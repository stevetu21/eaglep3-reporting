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Runs'!$A$12:$AG$219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0" i="1" l="1"/>
  <c r="X191" i="1"/>
  <c r="X192" i="1"/>
  <c r="X193" i="1"/>
  <c r="K14" i="1" l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AM17" i="1"/>
  <c r="K18" i="1"/>
  <c r="L18" i="1"/>
  <c r="M18" i="1"/>
  <c r="N18" i="1" s="1"/>
  <c r="V18" i="1"/>
  <c r="S29" i="3" s="1"/>
  <c r="Y18" i="1"/>
  <c r="Z18" i="1"/>
  <c r="AB18" i="1"/>
  <c r="AC18" i="1"/>
  <c r="AD18" i="1"/>
  <c r="AE18" i="1"/>
  <c r="R29" i="3" s="1"/>
  <c r="AF18" i="1"/>
  <c r="AH18" i="1"/>
  <c r="AM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K22" i="1"/>
  <c r="L22" i="1"/>
  <c r="M22" i="1"/>
  <c r="N22" i="1" s="1"/>
  <c r="V22" i="1"/>
  <c r="S14" i="3" s="1"/>
  <c r="Y22" i="1"/>
  <c r="Z22" i="1"/>
  <c r="AB22" i="1"/>
  <c r="AC22" i="1"/>
  <c r="AD22" i="1"/>
  <c r="AE22" i="1"/>
  <c r="AF22" i="1"/>
  <c r="AH22" i="1"/>
  <c r="AM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AM26" i="1"/>
  <c r="K27" i="1"/>
  <c r="L27" i="1"/>
  <c r="M27" i="1"/>
  <c r="P27" i="1" s="1"/>
  <c r="V27" i="1"/>
  <c r="S16" i="3" s="1"/>
  <c r="Y27" i="1"/>
  <c r="Z27" i="1"/>
  <c r="AB27" i="1"/>
  <c r="AC27" i="1"/>
  <c r="AD27" i="1"/>
  <c r="AG27" i="1" s="1"/>
  <c r="AE27" i="1"/>
  <c r="AF27" i="1"/>
  <c r="AH27" i="1"/>
  <c r="AM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K32" i="1"/>
  <c r="L32" i="1"/>
  <c r="M32" i="1"/>
  <c r="N32" i="1" s="1"/>
  <c r="V32" i="1"/>
  <c r="S12" i="3" s="1"/>
  <c r="Y32" i="1"/>
  <c r="Z32" i="1"/>
  <c r="AB32" i="1"/>
  <c r="AC32" i="1"/>
  <c r="AD32" i="1"/>
  <c r="T32" i="1" s="1"/>
  <c r="AE32" i="1"/>
  <c r="R12" i="3" s="1"/>
  <c r="AF32" i="1"/>
  <c r="AH32" i="1"/>
  <c r="AM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K36" i="1"/>
  <c r="L36" i="1"/>
  <c r="M36" i="1"/>
  <c r="N36" i="1" s="1"/>
  <c r="V36" i="1"/>
  <c r="S23" i="3" s="1"/>
  <c r="Y36" i="1"/>
  <c r="Z36" i="1"/>
  <c r="AB36" i="1"/>
  <c r="AC36" i="1"/>
  <c r="AD36" i="1"/>
  <c r="T36" i="1" s="1"/>
  <c r="AE36" i="1"/>
  <c r="R23" i="3" s="1"/>
  <c r="AF36" i="1"/>
  <c r="AH36" i="1"/>
  <c r="AM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K42" i="1"/>
  <c r="L42" i="1"/>
  <c r="M42" i="1"/>
  <c r="N42" i="1" s="1"/>
  <c r="T42" i="1"/>
  <c r="V42" i="1"/>
  <c r="Y42" i="1"/>
  <c r="Z42" i="1"/>
  <c r="AB42" i="1"/>
  <c r="AC42" i="1"/>
  <c r="AD42" i="1"/>
  <c r="AE42" i="1"/>
  <c r="AF42" i="1"/>
  <c r="AH42" i="1"/>
  <c r="AM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R30" i="3" s="1"/>
  <c r="AF44" i="1"/>
  <c r="AH44" i="1"/>
  <c r="AM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R24" i="3" s="1"/>
  <c r="AF48" i="1"/>
  <c r="AH48" i="1"/>
  <c r="AM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K58" i="1"/>
  <c r="L58" i="1"/>
  <c r="M58" i="1"/>
  <c r="N58" i="1" s="1"/>
  <c r="V58" i="1"/>
  <c r="S25" i="3" s="1"/>
  <c r="Y58" i="1"/>
  <c r="Z58" i="1"/>
  <c r="AB58" i="1"/>
  <c r="AC58" i="1"/>
  <c r="AD58" i="1"/>
  <c r="AE58" i="1"/>
  <c r="R25" i="3" s="1"/>
  <c r="AF58" i="1"/>
  <c r="AH58" i="1"/>
  <c r="AM58" i="1"/>
  <c r="K59" i="1"/>
  <c r="L59" i="1"/>
  <c r="M59" i="1"/>
  <c r="N59" i="1" s="1"/>
  <c r="V59" i="1"/>
  <c r="Y59" i="1"/>
  <c r="Z59" i="1"/>
  <c r="AA59" i="1" s="1"/>
  <c r="AB59" i="1"/>
  <c r="AC59" i="1"/>
  <c r="AD59" i="1"/>
  <c r="AE59" i="1"/>
  <c r="AF59" i="1"/>
  <c r="AH59" i="1"/>
  <c r="AM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K61" i="1"/>
  <c r="L61" i="1"/>
  <c r="M61" i="1"/>
  <c r="N61" i="1"/>
  <c r="V61" i="1"/>
  <c r="Y61" i="1"/>
  <c r="Z61" i="1"/>
  <c r="AB61" i="1"/>
  <c r="AC61" i="1"/>
  <c r="AD61" i="1"/>
  <c r="AE61" i="1"/>
  <c r="AF61" i="1"/>
  <c r="AH61" i="1"/>
  <c r="AM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K64" i="1"/>
  <c r="L64" i="1"/>
  <c r="M64" i="1"/>
  <c r="N64" i="1" s="1"/>
  <c r="V64" i="1"/>
  <c r="S26" i="3" s="1"/>
  <c r="Y64" i="1"/>
  <c r="Z64" i="1"/>
  <c r="AB64" i="1"/>
  <c r="AC64" i="1"/>
  <c r="AD64" i="1"/>
  <c r="T64" i="1" s="1"/>
  <c r="AE64" i="1"/>
  <c r="R26" i="3" s="1"/>
  <c r="AF64" i="1"/>
  <c r="AH64" i="1"/>
  <c r="AM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R9" i="3" s="1"/>
  <c r="AF65" i="1"/>
  <c r="AH65" i="1"/>
  <c r="AM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R31" i="3" s="1"/>
  <c r="AF68" i="1"/>
  <c r="AH68" i="1"/>
  <c r="AM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K70" i="1"/>
  <c r="L70" i="1"/>
  <c r="M70" i="1"/>
  <c r="N70" i="1" s="1"/>
  <c r="V70" i="1"/>
  <c r="Y70" i="1"/>
  <c r="Z70" i="1"/>
  <c r="AB70" i="1"/>
  <c r="AC70" i="1"/>
  <c r="AD70" i="1"/>
  <c r="AE70" i="1"/>
  <c r="R27" i="3" s="1"/>
  <c r="AF70" i="1"/>
  <c r="AH70" i="1"/>
  <c r="AM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R28" i="3" s="1"/>
  <c r="AF74" i="1"/>
  <c r="AH74" i="1"/>
  <c r="AM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K80" i="1"/>
  <c r="L80" i="1"/>
  <c r="M80" i="1"/>
  <c r="N80" i="1" s="1"/>
  <c r="V80" i="1"/>
  <c r="Y80" i="1"/>
  <c r="Z80" i="1"/>
  <c r="AB80" i="1"/>
  <c r="AC80" i="1"/>
  <c r="AD80" i="1"/>
  <c r="X80" i="1" s="1"/>
  <c r="AE80" i="1"/>
  <c r="AF80" i="1"/>
  <c r="AH80" i="1"/>
  <c r="AM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G85" i="1"/>
  <c r="AI85" i="1" s="1"/>
  <c r="AH85" i="1"/>
  <c r="AM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3" i="1"/>
  <c r="AM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AM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AM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AM9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7" i="1"/>
  <c r="AM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AM10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2" i="1"/>
  <c r="AM10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3" i="1"/>
  <c r="AM103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4" i="1"/>
  <c r="AM10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5" i="1"/>
  <c r="AM105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6" i="1"/>
  <c r="AM106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7" i="1"/>
  <c r="AM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AM1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9" i="1"/>
  <c r="AM1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0" i="1"/>
  <c r="AM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AM11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2" i="1"/>
  <c r="AM11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13" i="1"/>
  <c r="AM113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4" i="1"/>
  <c r="AM11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5" i="1"/>
  <c r="AM115" i="1"/>
  <c r="K181" i="1"/>
  <c r="L181" i="1"/>
  <c r="M181" i="1"/>
  <c r="V181" i="1"/>
  <c r="Y181" i="1"/>
  <c r="Z181" i="1"/>
  <c r="AB181" i="1"/>
  <c r="AC181" i="1"/>
  <c r="AD181" i="1"/>
  <c r="AE181" i="1"/>
  <c r="AF181" i="1"/>
  <c r="AH116" i="1"/>
  <c r="AM116" i="1"/>
  <c r="K182" i="1"/>
  <c r="L182" i="1"/>
  <c r="M182" i="1"/>
  <c r="V182" i="1"/>
  <c r="Y182" i="1"/>
  <c r="Z182" i="1"/>
  <c r="AB182" i="1"/>
  <c r="AC182" i="1"/>
  <c r="AD182" i="1"/>
  <c r="AE182" i="1"/>
  <c r="AF182" i="1"/>
  <c r="AH117" i="1"/>
  <c r="AM11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8" i="1"/>
  <c r="AM118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19" i="1"/>
  <c r="AM119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0" i="1"/>
  <c r="AM120" i="1"/>
  <c r="K186" i="1"/>
  <c r="L186" i="1"/>
  <c r="M186" i="1"/>
  <c r="N186" i="1" s="1"/>
  <c r="V186" i="1"/>
  <c r="S36" i="3" s="1"/>
  <c r="Y186" i="1"/>
  <c r="Z186" i="1"/>
  <c r="AB186" i="1"/>
  <c r="AC186" i="1"/>
  <c r="AD186" i="1"/>
  <c r="AG186" i="1" s="1"/>
  <c r="AE186" i="1"/>
  <c r="R36" i="3" s="1"/>
  <c r="AF186" i="1"/>
  <c r="AH121" i="1"/>
  <c r="AM121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2" i="1"/>
  <c r="AM12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3" i="1"/>
  <c r="AM123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4" i="1"/>
  <c r="AM124" i="1"/>
  <c r="K95" i="1"/>
  <c r="L95" i="1"/>
  <c r="M95" i="1"/>
  <c r="N95" i="1" s="1"/>
  <c r="V95" i="1"/>
  <c r="S33" i="3" s="1"/>
  <c r="Y95" i="1"/>
  <c r="Z95" i="1"/>
  <c r="AB95" i="1"/>
  <c r="AC95" i="1"/>
  <c r="AD95" i="1"/>
  <c r="T95" i="1" s="1"/>
  <c r="AE95" i="1"/>
  <c r="AF95" i="1"/>
  <c r="AH125" i="1"/>
  <c r="AM125" i="1"/>
  <c r="K190" i="1"/>
  <c r="L190" i="1"/>
  <c r="M190" i="1"/>
  <c r="N190" i="1" s="1"/>
  <c r="V190" i="1"/>
  <c r="S37" i="3" s="1"/>
  <c r="Y190" i="1"/>
  <c r="Z190" i="1"/>
  <c r="AB190" i="1"/>
  <c r="AC190" i="1"/>
  <c r="AD190" i="1"/>
  <c r="AG190" i="1" s="1"/>
  <c r="AE190" i="1"/>
  <c r="R37" i="3" s="1"/>
  <c r="AF190" i="1"/>
  <c r="AH126" i="1"/>
  <c r="AM126" i="1"/>
  <c r="AH127" i="1"/>
  <c r="AM127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128" i="1"/>
  <c r="AM1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9" i="1"/>
  <c r="AM129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30" i="1"/>
  <c r="AM130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31" i="1"/>
  <c r="AM131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2" i="1"/>
  <c r="AM132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3" i="1"/>
  <c r="AM133" i="1"/>
  <c r="K99" i="1"/>
  <c r="L99" i="1"/>
  <c r="M99" i="1"/>
  <c r="N99" i="1" s="1"/>
  <c r="V99" i="1"/>
  <c r="Y99" i="1"/>
  <c r="Z99" i="1"/>
  <c r="AA99" i="1" s="1"/>
  <c r="AB99" i="1"/>
  <c r="AC99" i="1"/>
  <c r="AD99" i="1"/>
  <c r="AG99" i="1" s="1"/>
  <c r="AE99" i="1"/>
  <c r="AF99" i="1"/>
  <c r="AH134" i="1"/>
  <c r="AM134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5" i="1"/>
  <c r="AM135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6" i="1"/>
  <c r="AM136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7" i="1"/>
  <c r="AM13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38" i="1"/>
  <c r="AM13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39" i="1"/>
  <c r="AM139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40" i="1"/>
  <c r="AM140" i="1"/>
  <c r="K104" i="1"/>
  <c r="L104" i="1"/>
  <c r="M104" i="1"/>
  <c r="N104" i="1" s="1"/>
  <c r="V104" i="1"/>
  <c r="Y104" i="1"/>
  <c r="Z104" i="1"/>
  <c r="AA104" i="1"/>
  <c r="AB104" i="1"/>
  <c r="AC104" i="1"/>
  <c r="AD104" i="1"/>
  <c r="T104" i="1" s="1"/>
  <c r="AE104" i="1"/>
  <c r="AF104" i="1"/>
  <c r="AH141" i="1"/>
  <c r="AM141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2" i="1"/>
  <c r="AM142" i="1"/>
  <c r="K106" i="1"/>
  <c r="L106" i="1"/>
  <c r="M106" i="1"/>
  <c r="N106" i="1" s="1"/>
  <c r="V106" i="1"/>
  <c r="S20" i="3" s="1"/>
  <c r="Y106" i="1"/>
  <c r="Z106" i="1"/>
  <c r="AB106" i="1"/>
  <c r="AC106" i="1"/>
  <c r="AD106" i="1"/>
  <c r="T106" i="1" s="1"/>
  <c r="AE106" i="1"/>
  <c r="R20" i="3" s="1"/>
  <c r="AF106" i="1"/>
  <c r="AH143" i="1"/>
  <c r="AM143" i="1"/>
  <c r="K107" i="1"/>
  <c r="L107" i="1"/>
  <c r="M107" i="1"/>
  <c r="N107" i="1" s="1"/>
  <c r="V107" i="1"/>
  <c r="S18" i="3" s="1"/>
  <c r="Y107" i="1"/>
  <c r="Z107" i="1"/>
  <c r="AB107" i="1"/>
  <c r="AC107" i="1"/>
  <c r="AD107" i="1"/>
  <c r="AG107" i="1" s="1"/>
  <c r="AE107" i="1"/>
  <c r="AF107" i="1"/>
  <c r="AH144" i="1"/>
  <c r="AM144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5" i="1"/>
  <c r="AM145" i="1"/>
  <c r="K109" i="1"/>
  <c r="L109" i="1"/>
  <c r="M109" i="1"/>
  <c r="N109" i="1" s="1"/>
  <c r="V109" i="1"/>
  <c r="S11" i="3" s="1"/>
  <c r="Y109" i="1"/>
  <c r="Z109" i="1"/>
  <c r="AB109" i="1"/>
  <c r="AC109" i="1"/>
  <c r="AD109" i="1"/>
  <c r="AG109" i="1" s="1"/>
  <c r="AE109" i="1"/>
  <c r="R11" i="3" s="1"/>
  <c r="AF109" i="1"/>
  <c r="AH146" i="1"/>
  <c r="AM146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R8" i="3" s="1"/>
  <c r="AF110" i="1"/>
  <c r="AH147" i="1"/>
  <c r="AM147" i="1"/>
  <c r="K111" i="1"/>
  <c r="L111" i="1"/>
  <c r="M111" i="1"/>
  <c r="N111" i="1" s="1"/>
  <c r="V111" i="1"/>
  <c r="Y111" i="1"/>
  <c r="Z111" i="1"/>
  <c r="AA111" i="1" s="1"/>
  <c r="AB111" i="1"/>
  <c r="AC111" i="1"/>
  <c r="AD111" i="1"/>
  <c r="AE111" i="1"/>
  <c r="AF111" i="1"/>
  <c r="AH148" i="1"/>
  <c r="AM148" i="1"/>
  <c r="K112" i="1"/>
  <c r="L112" i="1"/>
  <c r="M112" i="1"/>
  <c r="N112" i="1" s="1"/>
  <c r="V112" i="1"/>
  <c r="S32" i="3" s="1"/>
  <c r="Y112" i="1"/>
  <c r="Z112" i="1"/>
  <c r="AB112" i="1"/>
  <c r="AC112" i="1"/>
  <c r="AD112" i="1"/>
  <c r="AE112" i="1"/>
  <c r="AF112" i="1"/>
  <c r="AH149" i="1"/>
  <c r="AM149" i="1"/>
  <c r="AH150" i="1"/>
  <c r="AM150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1" i="1"/>
  <c r="AM151" i="1"/>
  <c r="K114" i="1"/>
  <c r="L114" i="1"/>
  <c r="M114" i="1"/>
  <c r="N114" i="1" s="1"/>
  <c r="V114" i="1"/>
  <c r="Y114" i="1"/>
  <c r="Z114" i="1"/>
  <c r="AB114" i="1"/>
  <c r="AC114" i="1"/>
  <c r="AD114" i="1"/>
  <c r="X114" i="1" s="1"/>
  <c r="AE114" i="1"/>
  <c r="AF114" i="1"/>
  <c r="AH152" i="1"/>
  <c r="AM152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3" i="1"/>
  <c r="AM153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4" i="1"/>
  <c r="AM154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55" i="1"/>
  <c r="AM155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6" i="1"/>
  <c r="AM156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7" i="1"/>
  <c r="AM157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8" i="1"/>
  <c r="AM158" i="1"/>
  <c r="K121" i="1"/>
  <c r="L121" i="1"/>
  <c r="M121" i="1"/>
  <c r="N121" i="1" s="1"/>
  <c r="V121" i="1"/>
  <c r="Y121" i="1"/>
  <c r="Z121" i="1"/>
  <c r="AA121" i="1" s="1"/>
  <c r="W121" i="1" s="1"/>
  <c r="AB121" i="1"/>
  <c r="AC121" i="1"/>
  <c r="AD121" i="1"/>
  <c r="AG121" i="1" s="1"/>
  <c r="AE121" i="1"/>
  <c r="R19" i="3" s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9" i="1"/>
  <c r="AM159" i="1"/>
  <c r="K123" i="1"/>
  <c r="L123" i="1"/>
  <c r="M123" i="1"/>
  <c r="N123" i="1" s="1"/>
  <c r="V123" i="1"/>
  <c r="Y123" i="1"/>
  <c r="Z123" i="1"/>
  <c r="AA123" i="1" s="1"/>
  <c r="AB123" i="1"/>
  <c r="AC123" i="1"/>
  <c r="AD123" i="1"/>
  <c r="AE123" i="1"/>
  <c r="AF123" i="1"/>
  <c r="AH160" i="1"/>
  <c r="AM160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1" i="1"/>
  <c r="AM161" i="1"/>
  <c r="K125" i="1"/>
  <c r="L125" i="1"/>
  <c r="M125" i="1"/>
  <c r="N125" i="1"/>
  <c r="V125" i="1"/>
  <c r="Y125" i="1"/>
  <c r="Z125" i="1"/>
  <c r="AB125" i="1"/>
  <c r="AC125" i="1"/>
  <c r="AD125" i="1"/>
  <c r="AG125" i="1" s="1"/>
  <c r="AE125" i="1"/>
  <c r="AF125" i="1"/>
  <c r="AH162" i="1"/>
  <c r="AM162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3" i="1"/>
  <c r="AM163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4" i="1"/>
  <c r="AM164" i="1"/>
  <c r="K128" i="1"/>
  <c r="L128" i="1"/>
  <c r="M128" i="1"/>
  <c r="N128" i="1" s="1"/>
  <c r="V128" i="1"/>
  <c r="S10" i="3" s="1"/>
  <c r="Y128" i="1"/>
  <c r="Z128" i="1"/>
  <c r="AB128" i="1"/>
  <c r="AC128" i="1"/>
  <c r="AD128" i="1"/>
  <c r="AE128" i="1"/>
  <c r="R10" i="3" s="1"/>
  <c r="AF128" i="1"/>
  <c r="AH165" i="1"/>
  <c r="AM165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R15" i="3" s="1"/>
  <c r="AF129" i="1"/>
  <c r="AH166" i="1"/>
  <c r="AM166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7" i="1"/>
  <c r="AM167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8" i="1"/>
  <c r="AM168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9" i="1"/>
  <c r="AM169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70" i="1"/>
  <c r="AM170" i="1"/>
  <c r="K134" i="1"/>
  <c r="L134" i="1"/>
  <c r="M134" i="1"/>
  <c r="V134" i="1"/>
  <c r="Y134" i="1"/>
  <c r="Z134" i="1"/>
  <c r="AB134" i="1"/>
  <c r="AC134" i="1"/>
  <c r="AD134" i="1"/>
  <c r="T134" i="1" s="1"/>
  <c r="AE134" i="1"/>
  <c r="AF134" i="1"/>
  <c r="AH171" i="1"/>
  <c r="AM171" i="1"/>
  <c r="K135" i="1"/>
  <c r="L135" i="1"/>
  <c r="M135" i="1"/>
  <c r="V135" i="1"/>
  <c r="Y135" i="1"/>
  <c r="Z135" i="1"/>
  <c r="AB135" i="1"/>
  <c r="AC135" i="1"/>
  <c r="AD135" i="1"/>
  <c r="AE135" i="1"/>
  <c r="AF135" i="1"/>
  <c r="AH172" i="1"/>
  <c r="AM172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3" i="1"/>
  <c r="AM173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74" i="1"/>
  <c r="AM174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5" i="1"/>
  <c r="AM175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6" i="1"/>
  <c r="AM176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7" i="1"/>
  <c r="AM177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8" i="1"/>
  <c r="AM178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9" i="1"/>
  <c r="AM179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80" i="1"/>
  <c r="AM180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81" i="1"/>
  <c r="AM181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2" i="1"/>
  <c r="AM182" i="1"/>
  <c r="K146" i="1"/>
  <c r="L146" i="1"/>
  <c r="M146" i="1"/>
  <c r="V146" i="1"/>
  <c r="S21" i="3" s="1"/>
  <c r="Y146" i="1"/>
  <c r="Z146" i="1"/>
  <c r="AB146" i="1"/>
  <c r="AC146" i="1"/>
  <c r="AD146" i="1"/>
  <c r="AG146" i="1" s="1"/>
  <c r="AE146" i="1"/>
  <c r="AF146" i="1"/>
  <c r="AH183" i="1"/>
  <c r="AM183" i="1"/>
  <c r="K147" i="1"/>
  <c r="L147" i="1"/>
  <c r="M147" i="1"/>
  <c r="V147" i="1"/>
  <c r="Y147" i="1"/>
  <c r="Z147" i="1"/>
  <c r="AB147" i="1"/>
  <c r="AC147" i="1"/>
  <c r="AD147" i="1"/>
  <c r="AE147" i="1"/>
  <c r="AF147" i="1"/>
  <c r="AH184" i="1"/>
  <c r="AM184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5" i="1"/>
  <c r="AM185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6" i="1"/>
  <c r="AM186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7" i="1"/>
  <c r="AM187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88" i="1"/>
  <c r="AM188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9" i="1"/>
  <c r="AM189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0" i="1"/>
  <c r="AM190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1" i="1"/>
  <c r="AM191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92" i="1"/>
  <c r="AM192" i="1"/>
  <c r="K157" i="1"/>
  <c r="L157" i="1"/>
  <c r="M157" i="1"/>
  <c r="N157" i="1" s="1"/>
  <c r="V157" i="1"/>
  <c r="S34" i="3" s="1"/>
  <c r="Y157" i="1"/>
  <c r="Z157" i="1"/>
  <c r="AB157" i="1"/>
  <c r="AC157" i="1"/>
  <c r="AD157" i="1"/>
  <c r="AE157" i="1"/>
  <c r="R34" i="3" s="1"/>
  <c r="AF157" i="1"/>
  <c r="AH193" i="1"/>
  <c r="AM193" i="1"/>
  <c r="K158" i="1"/>
  <c r="L158" i="1"/>
  <c r="M158" i="1"/>
  <c r="N158" i="1" s="1"/>
  <c r="V158" i="1"/>
  <c r="S13" i="3" s="1"/>
  <c r="Y158" i="1"/>
  <c r="Z158" i="1"/>
  <c r="AB158" i="1"/>
  <c r="AC158" i="1"/>
  <c r="AD158" i="1"/>
  <c r="AE158" i="1"/>
  <c r="AF158" i="1"/>
  <c r="AH194" i="1"/>
  <c r="AM194" i="1"/>
  <c r="AH195" i="1"/>
  <c r="AM195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6" i="1"/>
  <c r="AM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8" i="1"/>
  <c r="AM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0" i="1"/>
  <c r="AM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2" i="1"/>
  <c r="AM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4" i="1"/>
  <c r="AM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06" i="1"/>
  <c r="AM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07" i="1"/>
  <c r="AM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08" i="1"/>
  <c r="AM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AM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AM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1" i="1"/>
  <c r="AM211" i="1"/>
  <c r="K212" i="1"/>
  <c r="L212" i="1"/>
  <c r="M212" i="1"/>
  <c r="N212" i="1" s="1"/>
  <c r="V212" i="1"/>
  <c r="S39" i="3" s="1"/>
  <c r="Y212" i="1"/>
  <c r="Z212" i="1"/>
  <c r="AB212" i="1"/>
  <c r="AC212" i="1"/>
  <c r="AD212" i="1"/>
  <c r="AG212" i="1" s="1"/>
  <c r="AE212" i="1"/>
  <c r="R39" i="3" s="1"/>
  <c r="AF212" i="1"/>
  <c r="AH212" i="1"/>
  <c r="AM212" i="1"/>
  <c r="K213" i="1"/>
  <c r="L213" i="1"/>
  <c r="M213" i="1"/>
  <c r="N213" i="1"/>
  <c r="V213" i="1"/>
  <c r="Y213" i="1"/>
  <c r="Z213" i="1"/>
  <c r="AB213" i="1"/>
  <c r="AC213" i="1"/>
  <c r="AD213" i="1"/>
  <c r="T213" i="1" s="1"/>
  <c r="AE213" i="1"/>
  <c r="AF213" i="1"/>
  <c r="AH213" i="1"/>
  <c r="AM213" i="1"/>
  <c r="K214" i="1"/>
  <c r="L214" i="1"/>
  <c r="M214" i="1"/>
  <c r="N214" i="1" s="1"/>
  <c r="V214" i="1"/>
  <c r="S40" i="3" s="1"/>
  <c r="Y214" i="1"/>
  <c r="Z214" i="1"/>
  <c r="AI214" i="1" s="1"/>
  <c r="AB214" i="1"/>
  <c r="AC214" i="1"/>
  <c r="AD214" i="1"/>
  <c r="AG214" i="1" s="1"/>
  <c r="AE214" i="1"/>
  <c r="R40" i="3" s="1"/>
  <c r="AF214" i="1"/>
  <c r="AH214" i="1"/>
  <c r="AM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6" i="1"/>
  <c r="AM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K218" i="1"/>
  <c r="L218" i="1"/>
  <c r="M218" i="1"/>
  <c r="N218" i="1" s="1"/>
  <c r="V218" i="1"/>
  <c r="Y218" i="1"/>
  <c r="Z218" i="1"/>
  <c r="AA218" i="1" s="1"/>
  <c r="W218" i="1" s="1"/>
  <c r="AB218" i="1"/>
  <c r="AC218" i="1"/>
  <c r="AD218" i="1"/>
  <c r="AG218" i="1" s="1"/>
  <c r="AE218" i="1"/>
  <c r="AF218" i="1"/>
  <c r="AH218" i="1"/>
  <c r="AM218" i="1"/>
  <c r="M14" i="3"/>
  <c r="R14" i="3"/>
  <c r="U14" i="3"/>
  <c r="V14" i="3"/>
  <c r="W14" i="3"/>
  <c r="X14" i="3"/>
  <c r="M29" i="3"/>
  <c r="U29" i="3"/>
  <c r="AC29" i="3" s="1"/>
  <c r="V29" i="3"/>
  <c r="W29" i="3"/>
  <c r="X29" i="3"/>
  <c r="M16" i="3"/>
  <c r="R16" i="3"/>
  <c r="U16" i="3"/>
  <c r="AC16" i="3" s="1"/>
  <c r="V16" i="3"/>
  <c r="W16" i="3"/>
  <c r="X16" i="3"/>
  <c r="M12" i="3"/>
  <c r="U12" i="3"/>
  <c r="V12" i="3"/>
  <c r="W12" i="3"/>
  <c r="X12" i="3"/>
  <c r="M23" i="3"/>
  <c r="U23" i="3"/>
  <c r="V23" i="3"/>
  <c r="W23" i="3"/>
  <c r="X23" i="3"/>
  <c r="M35" i="3"/>
  <c r="R35" i="3"/>
  <c r="S35" i="3"/>
  <c r="U35" i="3"/>
  <c r="AC35" i="3" s="1"/>
  <c r="V35" i="3"/>
  <c r="W35" i="3"/>
  <c r="X35" i="3"/>
  <c r="M30" i="3"/>
  <c r="S30" i="3"/>
  <c r="U30" i="3"/>
  <c r="AC30" i="3" s="1"/>
  <c r="V30" i="3"/>
  <c r="W30" i="3"/>
  <c r="X30" i="3"/>
  <c r="M24" i="3"/>
  <c r="S24" i="3"/>
  <c r="U24" i="3"/>
  <c r="AC24" i="3" s="1"/>
  <c r="V24" i="3"/>
  <c r="W24" i="3"/>
  <c r="X24" i="3"/>
  <c r="M9" i="3"/>
  <c r="S9" i="3"/>
  <c r="U9" i="3"/>
  <c r="V9" i="3"/>
  <c r="W9" i="3"/>
  <c r="X9" i="3"/>
  <c r="M25" i="3"/>
  <c r="U25" i="3"/>
  <c r="AC25" i="3" s="1"/>
  <c r="V25" i="3"/>
  <c r="W25" i="3"/>
  <c r="X25" i="3"/>
  <c r="M17" i="3"/>
  <c r="R17" i="3"/>
  <c r="S17" i="3"/>
  <c r="U17" i="3"/>
  <c r="AC17" i="3" s="1"/>
  <c r="V17" i="3"/>
  <c r="W17" i="3"/>
  <c r="X17" i="3"/>
  <c r="M22" i="3"/>
  <c r="R22" i="3"/>
  <c r="S22" i="3"/>
  <c r="U22" i="3"/>
  <c r="V22" i="3"/>
  <c r="W22" i="3"/>
  <c r="Y22" i="3" s="1"/>
  <c r="X22" i="3"/>
  <c r="M26" i="3"/>
  <c r="U26" i="3"/>
  <c r="V26" i="3"/>
  <c r="W26" i="3"/>
  <c r="X26" i="3"/>
  <c r="M31" i="3"/>
  <c r="S31" i="3"/>
  <c r="U31" i="3"/>
  <c r="AC31" i="3" s="1"/>
  <c r="V31" i="3"/>
  <c r="W31" i="3"/>
  <c r="Y31" i="3" s="1"/>
  <c r="X31" i="3"/>
  <c r="M27" i="3"/>
  <c r="S27" i="3"/>
  <c r="U27" i="3"/>
  <c r="AC27" i="3" s="1"/>
  <c r="V27" i="3"/>
  <c r="W27" i="3"/>
  <c r="X27" i="3"/>
  <c r="M28" i="3"/>
  <c r="S28" i="3"/>
  <c r="U28" i="3"/>
  <c r="V28" i="3"/>
  <c r="W28" i="3"/>
  <c r="X28" i="3"/>
  <c r="M7" i="3"/>
  <c r="R7" i="3"/>
  <c r="S7" i="3"/>
  <c r="U7" i="3"/>
  <c r="V7" i="3"/>
  <c r="W7" i="3"/>
  <c r="X7" i="3"/>
  <c r="AD7" i="3"/>
  <c r="M33" i="3"/>
  <c r="R33" i="3"/>
  <c r="U33" i="3"/>
  <c r="V33" i="3"/>
  <c r="W33" i="3"/>
  <c r="X33" i="3"/>
  <c r="Y33" i="3"/>
  <c r="M18" i="3"/>
  <c r="R18" i="3"/>
  <c r="U18" i="3"/>
  <c r="AC18" i="3" s="1"/>
  <c r="V18" i="3"/>
  <c r="W18" i="3"/>
  <c r="X18" i="3"/>
  <c r="M11" i="3"/>
  <c r="U11" i="3"/>
  <c r="V11" i="3"/>
  <c r="W11" i="3"/>
  <c r="X11" i="3"/>
  <c r="AD11" i="3"/>
  <c r="M20" i="3"/>
  <c r="U20" i="3"/>
  <c r="V20" i="3"/>
  <c r="W20" i="3"/>
  <c r="X20" i="3"/>
  <c r="M8" i="3"/>
  <c r="S8" i="3"/>
  <c r="U8" i="3"/>
  <c r="V8" i="3"/>
  <c r="W8" i="3"/>
  <c r="X8" i="3"/>
  <c r="M32" i="3"/>
  <c r="R32" i="3"/>
  <c r="U32" i="3"/>
  <c r="AC32" i="3" s="1"/>
  <c r="V32" i="3"/>
  <c r="W32" i="3"/>
  <c r="Y32" i="3" s="1"/>
  <c r="X32" i="3"/>
  <c r="M19" i="3"/>
  <c r="S19" i="3"/>
  <c r="U19" i="3"/>
  <c r="V19" i="3"/>
  <c r="AE19" i="3" s="1"/>
  <c r="W19" i="3"/>
  <c r="X19" i="3"/>
  <c r="M15" i="3"/>
  <c r="S15" i="3"/>
  <c r="U15" i="3"/>
  <c r="V15" i="3"/>
  <c r="W15" i="3"/>
  <c r="X15" i="3"/>
  <c r="AD15" i="3"/>
  <c r="M36" i="3"/>
  <c r="U36" i="3"/>
  <c r="V36" i="3"/>
  <c r="W36" i="3"/>
  <c r="X36" i="3"/>
  <c r="M10" i="3"/>
  <c r="U10" i="3"/>
  <c r="AC10" i="3" s="1"/>
  <c r="V10" i="3"/>
  <c r="W10" i="3"/>
  <c r="Y10" i="3" s="1"/>
  <c r="X10" i="3"/>
  <c r="M37" i="3"/>
  <c r="U37" i="3"/>
  <c r="AC37" i="3" s="1"/>
  <c r="V37" i="3"/>
  <c r="AE37" i="3" s="1"/>
  <c r="W37" i="3"/>
  <c r="X37" i="3"/>
  <c r="AD37" i="3"/>
  <c r="M39" i="3"/>
  <c r="U39" i="3"/>
  <c r="V39" i="3"/>
  <c r="W39" i="3"/>
  <c r="X39" i="3"/>
  <c r="M40" i="3"/>
  <c r="U40" i="3"/>
  <c r="V40" i="3"/>
  <c r="W40" i="3"/>
  <c r="X40" i="3"/>
  <c r="M21" i="3"/>
  <c r="U21" i="3"/>
  <c r="AC21" i="3" s="1"/>
  <c r="V21" i="3"/>
  <c r="W21" i="3"/>
  <c r="X21" i="3"/>
  <c r="M34" i="3"/>
  <c r="U34" i="3"/>
  <c r="AC34" i="3" s="1"/>
  <c r="V34" i="3"/>
  <c r="W34" i="3"/>
  <c r="X34" i="3"/>
  <c r="M13" i="3"/>
  <c r="R13" i="3"/>
  <c r="U13" i="3"/>
  <c r="V13" i="3"/>
  <c r="W13" i="3"/>
  <c r="X13" i="3"/>
  <c r="AD13" i="3"/>
  <c r="T37" i="3" l="1"/>
  <c r="Y7" i="3"/>
  <c r="Y16" i="3"/>
  <c r="Y21" i="3"/>
  <c r="Y37" i="3"/>
  <c r="Y17" i="3"/>
  <c r="Y9" i="3"/>
  <c r="T13" i="3"/>
  <c r="AC13" i="3"/>
  <c r="AD40" i="3"/>
  <c r="AC40" i="3"/>
  <c r="T19" i="3"/>
  <c r="AC19" i="3"/>
  <c r="AD8" i="3"/>
  <c r="AC8" i="3"/>
  <c r="T23" i="3"/>
  <c r="AC23" i="3"/>
  <c r="T26" i="3"/>
  <c r="AC26" i="3"/>
  <c r="T12" i="3"/>
  <c r="AC12" i="3"/>
  <c r="T14" i="3"/>
  <c r="AC14" i="3"/>
  <c r="AD36" i="3"/>
  <c r="AC36" i="3"/>
  <c r="Y18" i="3"/>
  <c r="T7" i="3"/>
  <c r="AC7" i="3"/>
  <c r="Y35" i="3"/>
  <c r="Y14" i="3"/>
  <c r="AE11" i="3"/>
  <c r="AC11" i="3"/>
  <c r="AD33" i="3"/>
  <c r="AC33" i="3"/>
  <c r="T39" i="3"/>
  <c r="AC39" i="3"/>
  <c r="T15" i="3"/>
  <c r="AC15" i="3"/>
  <c r="T24" i="3"/>
  <c r="Y40" i="3"/>
  <c r="Y8" i="3"/>
  <c r="T20" i="3"/>
  <c r="AC20" i="3"/>
  <c r="AD28" i="3"/>
  <c r="AC28" i="3"/>
  <c r="Y27" i="3"/>
  <c r="T22" i="3"/>
  <c r="AC22" i="3"/>
  <c r="T9" i="3"/>
  <c r="AC9" i="3"/>
  <c r="Y23" i="3"/>
  <c r="Y29" i="3"/>
  <c r="T161" i="1"/>
  <c r="X161" i="1"/>
  <c r="AA142" i="1"/>
  <c r="W142" i="1" s="1"/>
  <c r="AA139" i="1"/>
  <c r="AA136" i="1"/>
  <c r="AA128" i="1"/>
  <c r="AA110" i="1"/>
  <c r="T160" i="1"/>
  <c r="X160" i="1"/>
  <c r="AA53" i="1"/>
  <c r="AG52" i="1"/>
  <c r="X52" i="1"/>
  <c r="T159" i="1"/>
  <c r="X159" i="1"/>
  <c r="AI212" i="1"/>
  <c r="AI208" i="1"/>
  <c r="AG158" i="1"/>
  <c r="X158" i="1"/>
  <c r="AA189" i="1"/>
  <c r="T162" i="1"/>
  <c r="X162" i="1"/>
  <c r="AA87" i="1"/>
  <c r="AA65" i="1"/>
  <c r="W65" i="1" s="1"/>
  <c r="AI37" i="1"/>
  <c r="AA33" i="1"/>
  <c r="W33" i="1" s="1"/>
  <c r="P181" i="1"/>
  <c r="AI216" i="1"/>
  <c r="X211" i="1"/>
  <c r="AA210" i="1"/>
  <c r="W210" i="1" s="1"/>
  <c r="AA137" i="1"/>
  <c r="W137" i="1" s="1"/>
  <c r="AA133" i="1"/>
  <c r="W133" i="1" s="1"/>
  <c r="AA129" i="1"/>
  <c r="W129" i="1" s="1"/>
  <c r="X115" i="1"/>
  <c r="AA103" i="1"/>
  <c r="X184" i="1"/>
  <c r="AA183" i="1"/>
  <c r="X180" i="1"/>
  <c r="AA179" i="1"/>
  <c r="AA178" i="1"/>
  <c r="X164" i="1"/>
  <c r="X70" i="1"/>
  <c r="AA41" i="1"/>
  <c r="W41" i="1" s="1"/>
  <c r="AA35" i="1"/>
  <c r="AA31" i="1"/>
  <c r="AA20" i="1"/>
  <c r="T112" i="1"/>
  <c r="X112" i="1"/>
  <c r="AA156" i="1"/>
  <c r="P146" i="1"/>
  <c r="P134" i="1"/>
  <c r="X129" i="1"/>
  <c r="AA117" i="1"/>
  <c r="W117" i="1" s="1"/>
  <c r="T113" i="1"/>
  <c r="X113" i="1"/>
  <c r="AA46" i="1"/>
  <c r="W46" i="1" s="1"/>
  <c r="AA212" i="1"/>
  <c r="W212" i="1" s="1"/>
  <c r="AA158" i="1"/>
  <c r="W158" i="1" s="1"/>
  <c r="AA154" i="1"/>
  <c r="W154" i="1" s="1"/>
  <c r="AA150" i="1"/>
  <c r="W150" i="1" s="1"/>
  <c r="AA146" i="1"/>
  <c r="W146" i="1" s="1"/>
  <c r="AI138" i="1"/>
  <c r="AA138" i="1"/>
  <c r="W138" i="1" s="1"/>
  <c r="X116" i="1"/>
  <c r="AA188" i="1"/>
  <c r="AI187" i="1"/>
  <c r="T186" i="1"/>
  <c r="U186" i="1" s="1"/>
  <c r="S186" i="1" s="1"/>
  <c r="AA161" i="1"/>
  <c r="X88" i="1"/>
  <c r="AA85" i="1"/>
  <c r="AA81" i="1"/>
  <c r="AA71" i="1"/>
  <c r="AG69" i="1"/>
  <c r="AI69" i="1" s="1"/>
  <c r="X68" i="1"/>
  <c r="X58" i="1"/>
  <c r="AA58" i="1"/>
  <c r="AA57" i="1"/>
  <c r="X54" i="1"/>
  <c r="X42" i="1"/>
  <c r="R21" i="3"/>
  <c r="AI202" i="1"/>
  <c r="AA202" i="1"/>
  <c r="W202" i="1" s="1"/>
  <c r="AI198" i="1"/>
  <c r="AA187" i="1"/>
  <c r="W187" i="1" s="1"/>
  <c r="AA93" i="1"/>
  <c r="AG168" i="1"/>
  <c r="X168" i="1"/>
  <c r="AG56" i="1"/>
  <c r="U56" i="1" s="1"/>
  <c r="S56" i="1" s="1"/>
  <c r="X28" i="1"/>
  <c r="X24" i="1"/>
  <c r="AI194" i="1"/>
  <c r="AA194" i="1"/>
  <c r="W194" i="1" s="1"/>
  <c r="AI137" i="1"/>
  <c r="AG113" i="1"/>
  <c r="AG206" i="1"/>
  <c r="AI206" i="1" s="1"/>
  <c r="X206" i="1"/>
  <c r="AG98" i="1"/>
  <c r="AA95" i="1"/>
  <c r="AA163" i="1"/>
  <c r="AG162" i="1"/>
  <c r="AI162" i="1" s="1"/>
  <c r="W85" i="1"/>
  <c r="AG84" i="1"/>
  <c r="AI84" i="1" s="1"/>
  <c r="AA80" i="1"/>
  <c r="AG78" i="1"/>
  <c r="U78" i="1" s="1"/>
  <c r="S78" i="1" s="1"/>
  <c r="AA74" i="1"/>
  <c r="AG73" i="1"/>
  <c r="AI73" i="1" s="1"/>
  <c r="AG68" i="1"/>
  <c r="AI68" i="1" s="1"/>
  <c r="AA61" i="1"/>
  <c r="AG60" i="1"/>
  <c r="U60" i="1" s="1"/>
  <c r="X60" i="1"/>
  <c r="AA49" i="1"/>
  <c r="AG48" i="1"/>
  <c r="U48" i="1" s="1"/>
  <c r="S48" i="1" s="1"/>
  <c r="AI204" i="1"/>
  <c r="X108" i="1"/>
  <c r="AA190" i="1"/>
  <c r="W190" i="1" s="1"/>
  <c r="AA164" i="1"/>
  <c r="AA92" i="1"/>
  <c r="AA88" i="1"/>
  <c r="X26" i="1"/>
  <c r="T156" i="1"/>
  <c r="U156" i="1" s="1"/>
  <c r="S156" i="1" s="1"/>
  <c r="AI125" i="1"/>
  <c r="AG104" i="1"/>
  <c r="U104" i="1" s="1"/>
  <c r="S104" i="1" s="1"/>
  <c r="AA192" i="1"/>
  <c r="X207" i="1"/>
  <c r="T158" i="1"/>
  <c r="U158" i="1" s="1"/>
  <c r="S158" i="1" s="1"/>
  <c r="AA144" i="1"/>
  <c r="W144" i="1" s="1"/>
  <c r="AI129" i="1"/>
  <c r="AA112" i="1"/>
  <c r="T108" i="1"/>
  <c r="AA107" i="1"/>
  <c r="W107" i="1" s="1"/>
  <c r="AA182" i="1"/>
  <c r="AA94" i="1"/>
  <c r="W94" i="1" s="1"/>
  <c r="AA177" i="1"/>
  <c r="AA172" i="1"/>
  <c r="T171" i="1"/>
  <c r="U171" i="1" s="1"/>
  <c r="S171" i="1" s="1"/>
  <c r="AA165" i="1"/>
  <c r="AA160" i="1"/>
  <c r="AA159" i="1"/>
  <c r="X90" i="1"/>
  <c r="AA89" i="1"/>
  <c r="AG42" i="1"/>
  <c r="AI42" i="1" s="1"/>
  <c r="X33" i="1"/>
  <c r="AA28" i="1"/>
  <c r="W28" i="1" s="1"/>
  <c r="T28" i="1"/>
  <c r="U28" i="1" s="1"/>
  <c r="S28" i="1" s="1"/>
  <c r="AA26" i="1"/>
  <c r="W26" i="1" s="1"/>
  <c r="T26" i="1"/>
  <c r="U26" i="1" s="1"/>
  <c r="S26" i="1" s="1"/>
  <c r="AA18" i="1"/>
  <c r="X216" i="1"/>
  <c r="X202" i="1"/>
  <c r="AA201" i="1"/>
  <c r="AA198" i="1"/>
  <c r="W198" i="1" s="1"/>
  <c r="T102" i="1"/>
  <c r="U102" i="1" s="1"/>
  <c r="S102" i="1" s="1"/>
  <c r="X84" i="1"/>
  <c r="AA79" i="1"/>
  <c r="X78" i="1"/>
  <c r="X19" i="1"/>
  <c r="T154" i="1"/>
  <c r="AA152" i="1"/>
  <c r="W152" i="1" s="1"/>
  <c r="T150" i="1"/>
  <c r="U150" i="1" s="1"/>
  <c r="S150" i="1" s="1"/>
  <c r="X132" i="1"/>
  <c r="AA131" i="1"/>
  <c r="AA125" i="1"/>
  <c r="W125" i="1" s="1"/>
  <c r="X120" i="1"/>
  <c r="AA119" i="1"/>
  <c r="AA113" i="1"/>
  <c r="AG112" i="1"/>
  <c r="AG106" i="1"/>
  <c r="U106" i="1" s="1"/>
  <c r="S106" i="1" s="1"/>
  <c r="X106" i="1"/>
  <c r="AA206" i="1"/>
  <c r="AA102" i="1"/>
  <c r="W102" i="1" s="1"/>
  <c r="X100" i="1"/>
  <c r="AA100" i="1"/>
  <c r="AA98" i="1"/>
  <c r="X96" i="1"/>
  <c r="AA193" i="1"/>
  <c r="AG192" i="1"/>
  <c r="AI192" i="1" s="1"/>
  <c r="T184" i="1"/>
  <c r="T180" i="1"/>
  <c r="AA176" i="1"/>
  <c r="AG175" i="1"/>
  <c r="AI175" i="1" s="1"/>
  <c r="X175" i="1"/>
  <c r="AA174" i="1"/>
  <c r="AA170" i="1"/>
  <c r="AA167" i="1"/>
  <c r="AG166" i="1"/>
  <c r="AI166" i="1" s="1"/>
  <c r="X166" i="1"/>
  <c r="T90" i="1"/>
  <c r="AA86" i="1"/>
  <c r="W86" i="1" s="1"/>
  <c r="AA83" i="1"/>
  <c r="AG82" i="1"/>
  <c r="X82" i="1"/>
  <c r="AA77" i="1"/>
  <c r="AA69" i="1"/>
  <c r="W69" i="1" s="1"/>
  <c r="AA67" i="1"/>
  <c r="AG66" i="1"/>
  <c r="AI66" i="1" s="1"/>
  <c r="X66" i="1"/>
  <c r="AA54" i="1"/>
  <c r="AA50" i="1"/>
  <c r="AA45" i="1"/>
  <c r="AG44" i="1"/>
  <c r="W44" i="1" s="1"/>
  <c r="X44" i="1"/>
  <c r="AI41" i="1"/>
  <c r="AA39" i="1"/>
  <c r="AA37" i="1"/>
  <c r="W37" i="1" s="1"/>
  <c r="AI33" i="1"/>
  <c r="X29" i="1"/>
  <c r="AA27" i="1"/>
  <c r="W27" i="1" s="1"/>
  <c r="T27" i="1"/>
  <c r="U27" i="1" s="1"/>
  <c r="S27" i="1" s="1"/>
  <c r="X25" i="1"/>
  <c r="AA216" i="1"/>
  <c r="W216" i="1" s="1"/>
  <c r="AA211" i="1"/>
  <c r="AA208" i="1"/>
  <c r="W208" i="1" s="1"/>
  <c r="AA200" i="1"/>
  <c r="W200" i="1" s="1"/>
  <c r="X198" i="1"/>
  <c r="AI196" i="1"/>
  <c r="W156" i="1"/>
  <c r="AA148" i="1"/>
  <c r="W148" i="1" s="1"/>
  <c r="X137" i="1"/>
  <c r="X110" i="1"/>
  <c r="U52" i="1"/>
  <c r="S52" i="1" s="1"/>
  <c r="AA47" i="1"/>
  <c r="X41" i="1"/>
  <c r="AA19" i="1"/>
  <c r="W19" i="1" s="1"/>
  <c r="T19" i="1"/>
  <c r="AA147" i="1"/>
  <c r="T144" i="1"/>
  <c r="U144" i="1" s="1"/>
  <c r="S144" i="1" s="1"/>
  <c r="AA143" i="1"/>
  <c r="AA140" i="1"/>
  <c r="W140" i="1" s="1"/>
  <c r="X117" i="1"/>
  <c r="AA116" i="1"/>
  <c r="AA105" i="1"/>
  <c r="AA205" i="1"/>
  <c r="W205" i="1" s="1"/>
  <c r="AA101" i="1"/>
  <c r="AA96" i="1"/>
  <c r="AG95" i="1"/>
  <c r="AG188" i="1"/>
  <c r="W188" i="1" s="1"/>
  <c r="X188" i="1"/>
  <c r="AG184" i="1"/>
  <c r="AG180" i="1"/>
  <c r="X173" i="1"/>
  <c r="AA173" i="1"/>
  <c r="AA169" i="1"/>
  <c r="AA91" i="1"/>
  <c r="AG90" i="1"/>
  <c r="U90" i="1" s="1"/>
  <c r="S90" i="1" s="1"/>
  <c r="AA76" i="1"/>
  <c r="AG75" i="1"/>
  <c r="AG72" i="1"/>
  <c r="U72" i="1" s="1"/>
  <c r="S72" i="1" s="1"/>
  <c r="X72" i="1"/>
  <c r="AG71" i="1"/>
  <c r="AA70" i="1"/>
  <c r="AI65" i="1"/>
  <c r="AA64" i="1"/>
  <c r="AA62" i="1"/>
  <c r="AA55" i="1"/>
  <c r="AA51" i="1"/>
  <c r="AA40" i="1"/>
  <c r="X37" i="1"/>
  <c r="AA29" i="1"/>
  <c r="W29" i="1" s="1"/>
  <c r="T29" i="1"/>
  <c r="X27" i="1"/>
  <c r="AA25" i="1"/>
  <c r="W25" i="1" s="1"/>
  <c r="T25" i="1"/>
  <c r="U25" i="1" s="1"/>
  <c r="S25" i="1" s="1"/>
  <c r="W193" i="1"/>
  <c r="U192" i="1"/>
  <c r="S192" i="1" s="1"/>
  <c r="U113" i="1"/>
  <c r="W96" i="1"/>
  <c r="X208" i="1"/>
  <c r="AI200" i="1"/>
  <c r="X197" i="1"/>
  <c r="T140" i="1"/>
  <c r="U140" i="1" s="1"/>
  <c r="S140" i="1" s="1"/>
  <c r="T110" i="1"/>
  <c r="U110" i="1" s="1"/>
  <c r="S110" i="1" s="1"/>
  <c r="AA108" i="1"/>
  <c r="W105" i="1"/>
  <c r="T96" i="1"/>
  <c r="U96" i="1" s="1"/>
  <c r="S96" i="1" s="1"/>
  <c r="T177" i="1"/>
  <c r="X177" i="1"/>
  <c r="AG177" i="1"/>
  <c r="AI177" i="1" s="1"/>
  <c r="U168" i="1"/>
  <c r="X215" i="1"/>
  <c r="X217" i="1"/>
  <c r="AA214" i="1"/>
  <c r="W214" i="1" s="1"/>
  <c r="X212" i="1"/>
  <c r="AI210" i="1"/>
  <c r="AA207" i="1"/>
  <c r="X201" i="1"/>
  <c r="AA196" i="1"/>
  <c r="W196" i="1" s="1"/>
  <c r="X194" i="1"/>
  <c r="U154" i="1"/>
  <c r="S154" i="1" s="1"/>
  <c r="X154" i="1"/>
  <c r="X150" i="1"/>
  <c r="X148" i="1"/>
  <c r="T146" i="1"/>
  <c r="U146" i="1" s="1"/>
  <c r="AA145" i="1"/>
  <c r="T142" i="1"/>
  <c r="AA141" i="1"/>
  <c r="X138" i="1"/>
  <c r="X136" i="1"/>
  <c r="AA135" i="1"/>
  <c r="X133" i="1"/>
  <c r="AA127" i="1"/>
  <c r="W127" i="1" s="1"/>
  <c r="X121" i="1"/>
  <c r="AA115" i="1"/>
  <c r="AA109" i="1"/>
  <c r="W109" i="1" s="1"/>
  <c r="AG108" i="1"/>
  <c r="AI108" i="1" s="1"/>
  <c r="T100" i="1"/>
  <c r="X182" i="1"/>
  <c r="AG182" i="1"/>
  <c r="T152" i="1"/>
  <c r="U152" i="1" s="1"/>
  <c r="S152" i="1" s="1"/>
  <c r="X140" i="1"/>
  <c r="AA132" i="1"/>
  <c r="X125" i="1"/>
  <c r="AA120" i="1"/>
  <c r="W99" i="1"/>
  <c r="U95" i="1"/>
  <c r="S95" i="1" s="1"/>
  <c r="X94" i="1"/>
  <c r="AG94" i="1"/>
  <c r="U94" i="1" s="1"/>
  <c r="S94" i="1" s="1"/>
  <c r="T94" i="1"/>
  <c r="AI218" i="1"/>
  <c r="AA215" i="1"/>
  <c r="X209" i="1"/>
  <c r="AA204" i="1"/>
  <c r="W204" i="1" s="1"/>
  <c r="AA197" i="1"/>
  <c r="T148" i="1"/>
  <c r="U148" i="1" s="1"/>
  <c r="S148" i="1" s="1"/>
  <c r="T138" i="1"/>
  <c r="AA124" i="1"/>
  <c r="W113" i="1"/>
  <c r="W110" i="1"/>
  <c r="AA106" i="1"/>
  <c r="AG100" i="1"/>
  <c r="AA97" i="1"/>
  <c r="T182" i="1"/>
  <c r="AA185" i="1"/>
  <c r="AA184" i="1"/>
  <c r="T173" i="1"/>
  <c r="AA171" i="1"/>
  <c r="W171" i="1" s="1"/>
  <c r="AG169" i="1"/>
  <c r="U169" i="1" s="1"/>
  <c r="S169" i="1" s="1"/>
  <c r="X169" i="1"/>
  <c r="T164" i="1"/>
  <c r="AA162" i="1"/>
  <c r="W162" i="1" s="1"/>
  <c r="AG160" i="1"/>
  <c r="U160" i="1" s="1"/>
  <c r="AG92" i="1"/>
  <c r="AI92" i="1" s="1"/>
  <c r="X92" i="1"/>
  <c r="T88" i="1"/>
  <c r="U88" i="1" s="1"/>
  <c r="S88" i="1" s="1"/>
  <c r="AG86" i="1"/>
  <c r="U86" i="1" s="1"/>
  <c r="S86" i="1" s="1"/>
  <c r="X86" i="1"/>
  <c r="AA84" i="1"/>
  <c r="AA82" i="1"/>
  <c r="W82" i="1" s="1"/>
  <c r="AG79" i="1"/>
  <c r="AG77" i="1"/>
  <c r="AI77" i="1" s="1"/>
  <c r="AG76" i="1"/>
  <c r="X76" i="1"/>
  <c r="AG74" i="1"/>
  <c r="W74" i="1" s="1"/>
  <c r="X74" i="1"/>
  <c r="AA72" i="1"/>
  <c r="T70" i="1"/>
  <c r="AG67" i="1"/>
  <c r="AG64" i="1"/>
  <c r="AG62" i="1"/>
  <c r="AI62" i="1" s="1"/>
  <c r="X62" i="1"/>
  <c r="T58" i="1"/>
  <c r="AA56" i="1"/>
  <c r="T54" i="1"/>
  <c r="AA52" i="1"/>
  <c r="W52" i="1" s="1"/>
  <c r="AG50" i="1"/>
  <c r="U50" i="1" s="1"/>
  <c r="S50" i="1" s="1"/>
  <c r="X50" i="1"/>
  <c r="AG46" i="1"/>
  <c r="U46" i="1" s="1"/>
  <c r="X46" i="1"/>
  <c r="U42" i="1"/>
  <c r="S42" i="1" s="1"/>
  <c r="AA24" i="1"/>
  <c r="W24" i="1" s="1"/>
  <c r="T24" i="1"/>
  <c r="AA23" i="1"/>
  <c r="W23" i="1" s="1"/>
  <c r="T23" i="1"/>
  <c r="AA22" i="1"/>
  <c r="T17" i="1"/>
  <c r="AA16" i="1"/>
  <c r="X15" i="1"/>
  <c r="X171" i="1"/>
  <c r="T80" i="1"/>
  <c r="AA43" i="1"/>
  <c r="AA42" i="1"/>
  <c r="AG40" i="1"/>
  <c r="AI40" i="1" s="1"/>
  <c r="X40" i="1"/>
  <c r="AA38" i="1"/>
  <c r="AG36" i="1"/>
  <c r="AI36" i="1" s="1"/>
  <c r="X36" i="1"/>
  <c r="AA34" i="1"/>
  <c r="AG32" i="1"/>
  <c r="W32" i="1" s="1"/>
  <c r="X32" i="1"/>
  <c r="AA30" i="1"/>
  <c r="T21" i="1"/>
  <c r="AA17" i="1"/>
  <c r="W17" i="1" s="1"/>
  <c r="AA14" i="1"/>
  <c r="AA181" i="1"/>
  <c r="AA180" i="1"/>
  <c r="W180" i="1" s="1"/>
  <c r="AA175" i="1"/>
  <c r="AG173" i="1"/>
  <c r="AA168" i="1"/>
  <c r="W168" i="1" s="1"/>
  <c r="AA166" i="1"/>
  <c r="W166" i="1" s="1"/>
  <c r="AG164" i="1"/>
  <c r="AA90" i="1"/>
  <c r="AG88" i="1"/>
  <c r="W88" i="1" s="1"/>
  <c r="AG83" i="1"/>
  <c r="AG81" i="1"/>
  <c r="AI81" i="1" s="1"/>
  <c r="AG80" i="1"/>
  <c r="AI80" i="1" s="1"/>
  <c r="AA78" i="1"/>
  <c r="AG70" i="1"/>
  <c r="AA68" i="1"/>
  <c r="AA66" i="1"/>
  <c r="AA63" i="1"/>
  <c r="AA60" i="1"/>
  <c r="W60" i="1" s="1"/>
  <c r="AG58" i="1"/>
  <c r="W58" i="1" s="1"/>
  <c r="AG54" i="1"/>
  <c r="AI54" i="1" s="1"/>
  <c r="AA48" i="1"/>
  <c r="AA44" i="1"/>
  <c r="T41" i="1"/>
  <c r="U41" i="1" s="1"/>
  <c r="S41" i="1" s="1"/>
  <c r="T37" i="1"/>
  <c r="U37" i="1" s="1"/>
  <c r="S37" i="1" s="1"/>
  <c r="T33" i="1"/>
  <c r="U33" i="1" s="1"/>
  <c r="S33" i="1" s="1"/>
  <c r="X23" i="1"/>
  <c r="AA21" i="1"/>
  <c r="W21" i="1" s="1"/>
  <c r="AA15" i="1"/>
  <c r="W15" i="1" s="1"/>
  <c r="T15" i="1"/>
  <c r="U15" i="1" s="1"/>
  <c r="S15" i="1" s="1"/>
  <c r="AA36" i="1"/>
  <c r="AA32" i="1"/>
  <c r="T209" i="1"/>
  <c r="T155" i="1"/>
  <c r="X155" i="1"/>
  <c r="T141" i="1"/>
  <c r="X141" i="1"/>
  <c r="AG141" i="1"/>
  <c r="AI141" i="1" s="1"/>
  <c r="AA186" i="1"/>
  <c r="W186" i="1" s="1"/>
  <c r="T214" i="1"/>
  <c r="U214" i="1" s="1"/>
  <c r="S214" i="1" s="1"/>
  <c r="AG213" i="1"/>
  <c r="X213" i="1"/>
  <c r="T204" i="1"/>
  <c r="U204" i="1" s="1"/>
  <c r="S204" i="1" s="1"/>
  <c r="AG203" i="1"/>
  <c r="X203" i="1"/>
  <c r="T200" i="1"/>
  <c r="U200" i="1" s="1"/>
  <c r="S200" i="1" s="1"/>
  <c r="AG199" i="1"/>
  <c r="X199" i="1"/>
  <c r="T196" i="1"/>
  <c r="U196" i="1" s="1"/>
  <c r="S196" i="1" s="1"/>
  <c r="AG195" i="1"/>
  <c r="X195" i="1"/>
  <c r="AG157" i="1"/>
  <c r="AG155" i="1"/>
  <c r="AI155" i="1" s="1"/>
  <c r="AG153" i="1"/>
  <c r="AG149" i="1"/>
  <c r="AI149" i="1" s="1"/>
  <c r="T143" i="1"/>
  <c r="X143" i="1"/>
  <c r="AG143" i="1"/>
  <c r="AI143" i="1" s="1"/>
  <c r="X142" i="1"/>
  <c r="U138" i="1"/>
  <c r="S138" i="1" s="1"/>
  <c r="X130" i="1"/>
  <c r="AG130" i="1"/>
  <c r="AI130" i="1" s="1"/>
  <c r="AG123" i="1"/>
  <c r="AI123" i="1" s="1"/>
  <c r="X123" i="1"/>
  <c r="T123" i="1"/>
  <c r="T114" i="1"/>
  <c r="AG114" i="1"/>
  <c r="T217" i="1"/>
  <c r="T151" i="1"/>
  <c r="U151" i="1" s="1"/>
  <c r="S151" i="1" s="1"/>
  <c r="X151" i="1"/>
  <c r="T218" i="1"/>
  <c r="U218" i="1" s="1"/>
  <c r="S218" i="1" s="1"/>
  <c r="AG217" i="1"/>
  <c r="T210" i="1"/>
  <c r="U210" i="1" s="1"/>
  <c r="S210" i="1" s="1"/>
  <c r="AG209" i="1"/>
  <c r="T215" i="1"/>
  <c r="T207" i="1"/>
  <c r="T201" i="1"/>
  <c r="X200" i="1"/>
  <c r="T197" i="1"/>
  <c r="X196" i="1"/>
  <c r="X156" i="1"/>
  <c r="X152" i="1"/>
  <c r="T145" i="1"/>
  <c r="X145" i="1"/>
  <c r="AG145" i="1"/>
  <c r="W145" i="1" s="1"/>
  <c r="X144" i="1"/>
  <c r="AG135" i="1"/>
  <c r="W135" i="1" s="1"/>
  <c r="X135" i="1"/>
  <c r="T135" i="1"/>
  <c r="X128" i="1"/>
  <c r="X126" i="1"/>
  <c r="AG126" i="1"/>
  <c r="AI126" i="1" s="1"/>
  <c r="AG119" i="1"/>
  <c r="W119" i="1" s="1"/>
  <c r="X119" i="1"/>
  <c r="T119" i="1"/>
  <c r="AI144" i="1"/>
  <c r="T103" i="1"/>
  <c r="X103" i="1"/>
  <c r="AG103" i="1"/>
  <c r="X104" i="1"/>
  <c r="AI76" i="1"/>
  <c r="U76" i="1"/>
  <c r="S76" i="1" s="1"/>
  <c r="T55" i="1"/>
  <c r="X55" i="1"/>
  <c r="AG55" i="1"/>
  <c r="X56" i="1"/>
  <c r="T157" i="1"/>
  <c r="X157" i="1"/>
  <c r="T153" i="1"/>
  <c r="X153" i="1"/>
  <c r="T149" i="1"/>
  <c r="X149" i="1"/>
  <c r="X134" i="1"/>
  <c r="AG134" i="1"/>
  <c r="AI134" i="1" s="1"/>
  <c r="AG127" i="1"/>
  <c r="AI127" i="1" s="1"/>
  <c r="X127" i="1"/>
  <c r="T127" i="1"/>
  <c r="X118" i="1"/>
  <c r="AG118" i="1"/>
  <c r="T101" i="1"/>
  <c r="X101" i="1"/>
  <c r="AG101" i="1"/>
  <c r="X102" i="1"/>
  <c r="U98" i="1"/>
  <c r="S98" i="1" s="1"/>
  <c r="AI133" i="1"/>
  <c r="X218" i="1"/>
  <c r="X214" i="1"/>
  <c r="T211" i="1"/>
  <c r="X210" i="1"/>
  <c r="X204" i="1"/>
  <c r="AA217" i="1"/>
  <c r="T216" i="1"/>
  <c r="U216" i="1" s="1"/>
  <c r="S216" i="1" s="1"/>
  <c r="AG215" i="1"/>
  <c r="AA213" i="1"/>
  <c r="T212" i="1"/>
  <c r="U212" i="1" s="1"/>
  <c r="S212" i="1" s="1"/>
  <c r="AG211" i="1"/>
  <c r="AA209" i="1"/>
  <c r="T208" i="1"/>
  <c r="U208" i="1" s="1"/>
  <c r="S208" i="1" s="1"/>
  <c r="AG207" i="1"/>
  <c r="AA203" i="1"/>
  <c r="T202" i="1"/>
  <c r="U202" i="1" s="1"/>
  <c r="S202" i="1" s="1"/>
  <c r="AG201" i="1"/>
  <c r="W201" i="1" s="1"/>
  <c r="AA199" i="1"/>
  <c r="T198" i="1"/>
  <c r="U198" i="1" s="1"/>
  <c r="S198" i="1" s="1"/>
  <c r="AG197" i="1"/>
  <c r="W197" i="1" s="1"/>
  <c r="AA195" i="1"/>
  <c r="T194" i="1"/>
  <c r="U194" i="1" s="1"/>
  <c r="S194" i="1" s="1"/>
  <c r="AA157" i="1"/>
  <c r="AA155" i="1"/>
  <c r="AA153" i="1"/>
  <c r="AA151" i="1"/>
  <c r="W151" i="1" s="1"/>
  <c r="AA149" i="1"/>
  <c r="T147" i="1"/>
  <c r="X147" i="1"/>
  <c r="AG147" i="1"/>
  <c r="AI147" i="1" s="1"/>
  <c r="X146" i="1"/>
  <c r="U142" i="1"/>
  <c r="S142" i="1" s="1"/>
  <c r="T139" i="1"/>
  <c r="X139" i="1"/>
  <c r="AG139" i="1"/>
  <c r="AI139" i="1" s="1"/>
  <c r="AG131" i="1"/>
  <c r="AI131" i="1" s="1"/>
  <c r="X131" i="1"/>
  <c r="T131" i="1"/>
  <c r="T130" i="1"/>
  <c r="X124" i="1"/>
  <c r="X122" i="1"/>
  <c r="AG122" i="1"/>
  <c r="AI122" i="1" s="1"/>
  <c r="AG115" i="1"/>
  <c r="W115" i="1" s="1"/>
  <c r="T115" i="1"/>
  <c r="AI142" i="1"/>
  <c r="W98" i="1"/>
  <c r="AI98" i="1"/>
  <c r="T111" i="1"/>
  <c r="X111" i="1"/>
  <c r="AG111" i="1"/>
  <c r="T97" i="1"/>
  <c r="X97" i="1"/>
  <c r="AG97" i="1"/>
  <c r="X98" i="1"/>
  <c r="T191" i="1"/>
  <c r="AG191" i="1"/>
  <c r="W191" i="1" s="1"/>
  <c r="AI121" i="1"/>
  <c r="T178" i="1"/>
  <c r="X178" i="1"/>
  <c r="AG178" i="1"/>
  <c r="T136" i="1"/>
  <c r="T132" i="1"/>
  <c r="T128" i="1"/>
  <c r="T124" i="1"/>
  <c r="T120" i="1"/>
  <c r="T116" i="1"/>
  <c r="AI113" i="1"/>
  <c r="T137" i="1"/>
  <c r="U137" i="1" s="1"/>
  <c r="S137" i="1" s="1"/>
  <c r="AG136" i="1"/>
  <c r="W136" i="1" s="1"/>
  <c r="AA134" i="1"/>
  <c r="T133" i="1"/>
  <c r="U133" i="1" s="1"/>
  <c r="S133" i="1" s="1"/>
  <c r="AG132" i="1"/>
  <c r="W132" i="1" s="1"/>
  <c r="AA130" i="1"/>
  <c r="T129" i="1"/>
  <c r="U129" i="1" s="1"/>
  <c r="S129" i="1" s="1"/>
  <c r="AG128" i="1"/>
  <c r="AA126" i="1"/>
  <c r="T125" i="1"/>
  <c r="U125" i="1" s="1"/>
  <c r="S125" i="1" s="1"/>
  <c r="AG124" i="1"/>
  <c r="AA122" i="1"/>
  <c r="T121" i="1"/>
  <c r="U121" i="1" s="1"/>
  <c r="S121" i="1" s="1"/>
  <c r="AG120" i="1"/>
  <c r="AA118" i="1"/>
  <c r="W118" i="1" s="1"/>
  <c r="T117" i="1"/>
  <c r="U117" i="1" s="1"/>
  <c r="S117" i="1" s="1"/>
  <c r="AG116" i="1"/>
  <c r="AA114" i="1"/>
  <c r="W114" i="1" s="1"/>
  <c r="S113" i="1"/>
  <c r="AI151" i="1"/>
  <c r="AI146" i="1"/>
  <c r="T107" i="1"/>
  <c r="U107" i="1" s="1"/>
  <c r="S107" i="1" s="1"/>
  <c r="X107" i="1"/>
  <c r="T105" i="1"/>
  <c r="U105" i="1" s="1"/>
  <c r="S105" i="1" s="1"/>
  <c r="X105" i="1"/>
  <c r="T185" i="1"/>
  <c r="X185" i="1"/>
  <c r="AG185" i="1"/>
  <c r="AI185" i="1" s="1"/>
  <c r="X186" i="1"/>
  <c r="U100" i="1"/>
  <c r="S100" i="1" s="1"/>
  <c r="T99" i="1"/>
  <c r="U99" i="1" s="1"/>
  <c r="S99" i="1" s="1"/>
  <c r="X99" i="1"/>
  <c r="T190" i="1"/>
  <c r="U190" i="1" s="1"/>
  <c r="S190" i="1" s="1"/>
  <c r="T179" i="1"/>
  <c r="X179" i="1"/>
  <c r="AG179" i="1"/>
  <c r="T172" i="1"/>
  <c r="X172" i="1"/>
  <c r="AG172" i="1"/>
  <c r="W172" i="1" s="1"/>
  <c r="AI100" i="1"/>
  <c r="U162" i="1"/>
  <c r="S162" i="1" s="1"/>
  <c r="AI86" i="1"/>
  <c r="U82" i="1"/>
  <c r="S82" i="1" s="1"/>
  <c r="U81" i="1"/>
  <c r="S81" i="1" s="1"/>
  <c r="W72" i="1"/>
  <c r="AI70" i="1"/>
  <c r="U66" i="1"/>
  <c r="S66" i="1" s="1"/>
  <c r="T189" i="1"/>
  <c r="X189" i="1"/>
  <c r="AI117" i="1"/>
  <c r="T181" i="1"/>
  <c r="X181" i="1"/>
  <c r="AG181" i="1"/>
  <c r="AI181" i="1" s="1"/>
  <c r="AI110" i="1"/>
  <c r="T174" i="1"/>
  <c r="X174" i="1"/>
  <c r="AG174" i="1"/>
  <c r="AI174" i="1" s="1"/>
  <c r="S168" i="1"/>
  <c r="AI102" i="1"/>
  <c r="AI72" i="1"/>
  <c r="T47" i="1"/>
  <c r="X47" i="1"/>
  <c r="AG47" i="1"/>
  <c r="T109" i="1"/>
  <c r="U109" i="1" s="1"/>
  <c r="S109" i="1" s="1"/>
  <c r="X109" i="1"/>
  <c r="T205" i="1"/>
  <c r="U205" i="1" s="1"/>
  <c r="S205" i="1" s="1"/>
  <c r="X205" i="1"/>
  <c r="T193" i="1"/>
  <c r="U193" i="1" s="1"/>
  <c r="S193" i="1" s="1"/>
  <c r="X95" i="1"/>
  <c r="AG189" i="1"/>
  <c r="AI189" i="1" s="1"/>
  <c r="T187" i="1"/>
  <c r="U187" i="1" s="1"/>
  <c r="S187" i="1" s="1"/>
  <c r="X187" i="1"/>
  <c r="T183" i="1"/>
  <c r="X183" i="1"/>
  <c r="AG183" i="1"/>
  <c r="W183" i="1" s="1"/>
  <c r="U180" i="1"/>
  <c r="S180" i="1" s="1"/>
  <c r="AI112" i="1"/>
  <c r="T176" i="1"/>
  <c r="X176" i="1"/>
  <c r="AG176" i="1"/>
  <c r="U173" i="1"/>
  <c r="S173" i="1" s="1"/>
  <c r="AI104" i="1"/>
  <c r="U166" i="1"/>
  <c r="S166" i="1" s="1"/>
  <c r="W164" i="1"/>
  <c r="AI96" i="1"/>
  <c r="AI88" i="1"/>
  <c r="U85" i="1"/>
  <c r="S85" i="1" s="1"/>
  <c r="W84" i="1"/>
  <c r="AI82" i="1"/>
  <c r="W76" i="1"/>
  <c r="U69" i="1"/>
  <c r="S69" i="1" s="1"/>
  <c r="X48" i="1"/>
  <c r="T65" i="1"/>
  <c r="U65" i="1" s="1"/>
  <c r="S65" i="1" s="1"/>
  <c r="X65" i="1"/>
  <c r="T57" i="1"/>
  <c r="X57" i="1"/>
  <c r="AG57" i="1"/>
  <c r="W57" i="1" s="1"/>
  <c r="AI50" i="1"/>
  <c r="T49" i="1"/>
  <c r="X49" i="1"/>
  <c r="AG49" i="1"/>
  <c r="AG39" i="1"/>
  <c r="W39" i="1" s="1"/>
  <c r="X39" i="1"/>
  <c r="T39" i="1"/>
  <c r="X38" i="1"/>
  <c r="AG38" i="1"/>
  <c r="AG35" i="1"/>
  <c r="W35" i="1" s="1"/>
  <c r="X35" i="1"/>
  <c r="T35" i="1"/>
  <c r="X34" i="1"/>
  <c r="AG34" i="1"/>
  <c r="AG31" i="1"/>
  <c r="X31" i="1"/>
  <c r="T31" i="1"/>
  <c r="X30" i="1"/>
  <c r="AG30" i="1"/>
  <c r="T16" i="1"/>
  <c r="X16" i="1"/>
  <c r="AG16" i="1"/>
  <c r="W16" i="1" s="1"/>
  <c r="X17" i="1"/>
  <c r="AG170" i="1"/>
  <c r="AI170" i="1" s="1"/>
  <c r="AG93" i="1"/>
  <c r="AG167" i="1"/>
  <c r="AG165" i="1"/>
  <c r="AG163" i="1"/>
  <c r="AG161" i="1"/>
  <c r="AG159" i="1"/>
  <c r="AG91" i="1"/>
  <c r="W91" i="1" s="1"/>
  <c r="AG89" i="1"/>
  <c r="AG87" i="1"/>
  <c r="T63" i="1"/>
  <c r="X63" i="1"/>
  <c r="S60" i="1"/>
  <c r="AI60" i="1"/>
  <c r="T59" i="1"/>
  <c r="X59" i="1"/>
  <c r="AG59" i="1"/>
  <c r="W59" i="1" s="1"/>
  <c r="AI52" i="1"/>
  <c r="T51" i="1"/>
  <c r="X51" i="1"/>
  <c r="AG51" i="1"/>
  <c r="T43" i="1"/>
  <c r="X43" i="1"/>
  <c r="AG43" i="1"/>
  <c r="U40" i="1"/>
  <c r="S40" i="1" s="1"/>
  <c r="AI32" i="1"/>
  <c r="T20" i="1"/>
  <c r="X20" i="1"/>
  <c r="AG20" i="1"/>
  <c r="X21" i="1"/>
  <c r="U17" i="1"/>
  <c r="S17" i="1" s="1"/>
  <c r="AI17" i="1"/>
  <c r="X170" i="1"/>
  <c r="X93" i="1"/>
  <c r="X167" i="1"/>
  <c r="X165" i="1"/>
  <c r="X163" i="1"/>
  <c r="X91" i="1"/>
  <c r="X89" i="1"/>
  <c r="X87" i="1"/>
  <c r="X85" i="1"/>
  <c r="X83" i="1"/>
  <c r="X81" i="1"/>
  <c r="X79" i="1"/>
  <c r="X77" i="1"/>
  <c r="X75" i="1"/>
  <c r="X73" i="1"/>
  <c r="X71" i="1"/>
  <c r="X69" i="1"/>
  <c r="X67" i="1"/>
  <c r="X64" i="1"/>
  <c r="AG63" i="1"/>
  <c r="W63" i="1" s="1"/>
  <c r="T61" i="1"/>
  <c r="X61" i="1"/>
  <c r="AG61" i="1"/>
  <c r="T53" i="1"/>
  <c r="X53" i="1"/>
  <c r="AG53" i="1"/>
  <c r="W53" i="1" s="1"/>
  <c r="S46" i="1"/>
  <c r="AI46" i="1"/>
  <c r="T45" i="1"/>
  <c r="X45" i="1"/>
  <c r="AG45" i="1"/>
  <c r="U21" i="1"/>
  <c r="S21" i="1" s="1"/>
  <c r="AI21" i="1"/>
  <c r="T14" i="1"/>
  <c r="AG14" i="1"/>
  <c r="AI29" i="1"/>
  <c r="U29" i="1"/>
  <c r="S29" i="1" s="1"/>
  <c r="AI28" i="1"/>
  <c r="AI27" i="1"/>
  <c r="AI26" i="1"/>
  <c r="AI25" i="1"/>
  <c r="AI24" i="1"/>
  <c r="U24" i="1"/>
  <c r="S24" i="1" s="1"/>
  <c r="U23" i="1"/>
  <c r="S23" i="1" s="1"/>
  <c r="AI23" i="1"/>
  <c r="T22" i="1"/>
  <c r="X22" i="1"/>
  <c r="AG22" i="1"/>
  <c r="U19" i="1"/>
  <c r="S19" i="1" s="1"/>
  <c r="AI19" i="1"/>
  <c r="T18" i="1"/>
  <c r="X18" i="1"/>
  <c r="AG18" i="1"/>
  <c r="AI15" i="1"/>
  <c r="AD34" i="3"/>
  <c r="Y39" i="3"/>
  <c r="T11" i="3"/>
  <c r="AD22" i="3"/>
  <c r="AE22" i="3"/>
  <c r="AD35" i="3"/>
  <c r="Y13" i="3"/>
  <c r="Y36" i="3"/>
  <c r="Y19" i="3"/>
  <c r="Y26" i="3"/>
  <c r="Y25" i="3"/>
  <c r="AD24" i="3"/>
  <c r="Y30" i="3"/>
  <c r="Y12" i="3"/>
  <c r="AD29" i="3"/>
  <c r="AD31" i="3"/>
  <c r="AE24" i="3"/>
  <c r="AD12" i="3"/>
  <c r="AE12" i="3"/>
  <c r="AD14" i="3"/>
  <c r="AD25" i="3"/>
  <c r="T34" i="3"/>
  <c r="AD39" i="3"/>
  <c r="Y15" i="3"/>
  <c r="AD19" i="3"/>
  <c r="Y11" i="3"/>
  <c r="T28" i="3"/>
  <c r="AD26" i="3"/>
  <c r="T17" i="3"/>
  <c r="Y24" i="3"/>
  <c r="AE30" i="3"/>
  <c r="AD23" i="3"/>
  <c r="T16" i="3"/>
  <c r="Y34" i="3"/>
  <c r="Y20" i="3"/>
  <c r="AE28" i="3"/>
  <c r="Y28" i="3"/>
  <c r="AE34" i="3"/>
  <c r="AD20" i="3"/>
  <c r="AE17" i="3"/>
  <c r="AD9" i="3"/>
  <c r="T30" i="3"/>
  <c r="AE16" i="3"/>
  <c r="AE27" i="3"/>
  <c r="AE40" i="3"/>
  <c r="T40" i="3"/>
  <c r="AD10" i="3"/>
  <c r="AE8" i="3"/>
  <c r="T8" i="3"/>
  <c r="AD18" i="3"/>
  <c r="AE33" i="3"/>
  <c r="T33" i="3"/>
  <c r="AD27" i="3"/>
  <c r="AE31" i="3"/>
  <c r="T31" i="3"/>
  <c r="AD17" i="3"/>
  <c r="AE25" i="3"/>
  <c r="T25" i="3"/>
  <c r="AD30" i="3"/>
  <c r="AE35" i="3"/>
  <c r="T35" i="3"/>
  <c r="AD16" i="3"/>
  <c r="AE29" i="3"/>
  <c r="T29" i="3"/>
  <c r="T21" i="3"/>
  <c r="AE10" i="3"/>
  <c r="T10" i="3"/>
  <c r="AE32" i="3"/>
  <c r="T32" i="3"/>
  <c r="AE18" i="3"/>
  <c r="T18" i="3"/>
  <c r="T27" i="3"/>
  <c r="AE36" i="3"/>
  <c r="T36" i="3"/>
  <c r="AD32" i="3"/>
  <c r="AE13" i="3"/>
  <c r="AE39" i="3"/>
  <c r="AE15" i="3"/>
  <c r="AE20" i="3"/>
  <c r="AE7" i="3"/>
  <c r="AE26" i="3"/>
  <c r="AE9" i="3"/>
  <c r="AE23" i="3"/>
  <c r="AE14" i="3"/>
  <c r="AM13" i="1"/>
  <c r="U32" i="1" l="1"/>
  <c r="S32" i="1" s="1"/>
  <c r="AI48" i="1"/>
  <c r="AI56" i="1"/>
  <c r="AI78" i="1"/>
  <c r="W130" i="1"/>
  <c r="U188" i="1"/>
  <c r="S188" i="1" s="1"/>
  <c r="AI90" i="1"/>
  <c r="W90" i="1"/>
  <c r="U58" i="1"/>
  <c r="S58" i="1" s="1"/>
  <c r="W161" i="1"/>
  <c r="AI94" i="1"/>
  <c r="AI115" i="1"/>
  <c r="U164" i="1"/>
  <c r="S164" i="1" s="1"/>
  <c r="W192" i="1"/>
  <c r="W61" i="1"/>
  <c r="AI58" i="1"/>
  <c r="AI119" i="1"/>
  <c r="W178" i="1"/>
  <c r="AI188" i="1"/>
  <c r="W48" i="1"/>
  <c r="W78" i="1"/>
  <c r="W56" i="1"/>
  <c r="W100" i="1"/>
  <c r="W55" i="1"/>
  <c r="W169" i="1"/>
  <c r="U184" i="1"/>
  <c r="S184" i="1" s="1"/>
  <c r="W112" i="1"/>
  <c r="W182" i="1"/>
  <c r="W80" i="1"/>
  <c r="W175" i="1"/>
  <c r="W92" i="1"/>
  <c r="W184" i="1"/>
  <c r="U112" i="1"/>
  <c r="S112" i="1" s="1"/>
  <c r="W18" i="1"/>
  <c r="AI135" i="1"/>
  <c r="U36" i="1"/>
  <c r="S36" i="1" s="1"/>
  <c r="U77" i="1"/>
  <c r="S77" i="1" s="1"/>
  <c r="U92" i="1"/>
  <c r="S92" i="1" s="1"/>
  <c r="W179" i="1"/>
  <c r="W215" i="1"/>
  <c r="W70" i="1"/>
  <c r="U108" i="1"/>
  <c r="S108" i="1" s="1"/>
  <c r="W14" i="1"/>
  <c r="W36" i="1"/>
  <c r="W122" i="1"/>
  <c r="W157" i="1"/>
  <c r="W203" i="1"/>
  <c r="W104" i="1"/>
  <c r="W49" i="1"/>
  <c r="U70" i="1"/>
  <c r="S70" i="1" s="1"/>
  <c r="S175" i="1"/>
  <c r="W120" i="1"/>
  <c r="W50" i="1"/>
  <c r="U44" i="1"/>
  <c r="S44" i="1" s="1"/>
  <c r="W206" i="1"/>
  <c r="W40" i="1"/>
  <c r="AI44" i="1"/>
  <c r="AI74" i="1"/>
  <c r="W47" i="1"/>
  <c r="S160" i="1"/>
  <c r="U73" i="1"/>
  <c r="S73" i="1" s="1"/>
  <c r="W126" i="1"/>
  <c r="W153" i="1"/>
  <c r="W199" i="1"/>
  <c r="W217" i="1"/>
  <c r="U68" i="1"/>
  <c r="S68" i="1" s="1"/>
  <c r="U84" i="1"/>
  <c r="S84" i="1" s="1"/>
  <c r="AI106" i="1"/>
  <c r="W66" i="1"/>
  <c r="U80" i="1"/>
  <c r="S80" i="1" s="1"/>
  <c r="W173" i="1"/>
  <c r="W42" i="1"/>
  <c r="W106" i="1"/>
  <c r="U175" i="1"/>
  <c r="W177" i="1"/>
  <c r="W68" i="1"/>
  <c r="U74" i="1"/>
  <c r="S74" i="1" s="1"/>
  <c r="W160" i="1"/>
  <c r="W155" i="1"/>
  <c r="W195" i="1"/>
  <c r="W213" i="1"/>
  <c r="U206" i="1"/>
  <c r="S206" i="1" s="1"/>
  <c r="W95" i="1"/>
  <c r="W73" i="1"/>
  <c r="U75" i="1"/>
  <c r="S75" i="1" s="1"/>
  <c r="AI75" i="1"/>
  <c r="U71" i="1"/>
  <c r="S71" i="1" s="1"/>
  <c r="AI71" i="1"/>
  <c r="W62" i="1"/>
  <c r="W108" i="1"/>
  <c r="W75" i="1"/>
  <c r="U54" i="1"/>
  <c r="S54" i="1" s="1"/>
  <c r="W71" i="1"/>
  <c r="AI145" i="1"/>
  <c r="U83" i="1"/>
  <c r="S83" i="1" s="1"/>
  <c r="AI83" i="1"/>
  <c r="W54" i="1"/>
  <c r="U67" i="1"/>
  <c r="S67" i="1" s="1"/>
  <c r="AI67" i="1"/>
  <c r="U79" i="1"/>
  <c r="S79" i="1" s="1"/>
  <c r="AI79" i="1"/>
  <c r="W67" i="1"/>
  <c r="U182" i="1"/>
  <c r="U177" i="1"/>
  <c r="S177" i="1" s="1"/>
  <c r="W185" i="1"/>
  <c r="AI179" i="1"/>
  <c r="AI183" i="1"/>
  <c r="W81" i="1"/>
  <c r="W77" i="1"/>
  <c r="W174" i="1"/>
  <c r="U62" i="1"/>
  <c r="S62" i="1" s="1"/>
  <c r="W83" i="1"/>
  <c r="W131" i="1"/>
  <c r="W139" i="1"/>
  <c r="U64" i="1"/>
  <c r="S64" i="1" s="1"/>
  <c r="AI64" i="1"/>
  <c r="W64" i="1"/>
  <c r="W79" i="1"/>
  <c r="AI38" i="1"/>
  <c r="U38" i="1"/>
  <c r="S38" i="1" s="1"/>
  <c r="W38" i="1"/>
  <c r="U43" i="1"/>
  <c r="S43" i="1" s="1"/>
  <c r="AI43" i="1"/>
  <c r="U167" i="1"/>
  <c r="S167" i="1" s="1"/>
  <c r="AI101" i="1"/>
  <c r="W167" i="1"/>
  <c r="U189" i="1"/>
  <c r="S189" i="1" s="1"/>
  <c r="AI124" i="1"/>
  <c r="W189" i="1"/>
  <c r="U172" i="1"/>
  <c r="S172" i="1" s="1"/>
  <c r="AI107" i="1"/>
  <c r="AI120" i="1"/>
  <c r="U185" i="1"/>
  <c r="S185" i="1" s="1"/>
  <c r="AI165" i="1"/>
  <c r="U128" i="1"/>
  <c r="S128" i="1" s="1"/>
  <c r="W43" i="1"/>
  <c r="U111" i="1"/>
  <c r="S111" i="1" s="1"/>
  <c r="AI148" i="1"/>
  <c r="AI207" i="1"/>
  <c r="U207" i="1"/>
  <c r="S207" i="1" s="1"/>
  <c r="W207" i="1"/>
  <c r="U55" i="1"/>
  <c r="S55" i="1" s="1"/>
  <c r="AI55" i="1"/>
  <c r="AI163" i="1"/>
  <c r="U126" i="1"/>
  <c r="S126" i="1" s="1"/>
  <c r="AI182" i="1"/>
  <c r="U145" i="1"/>
  <c r="S145" i="1" s="1"/>
  <c r="U123" i="1"/>
  <c r="S123" i="1" s="1"/>
  <c r="AI160" i="1"/>
  <c r="AI180" i="1"/>
  <c r="U143" i="1"/>
  <c r="S143" i="1" s="1"/>
  <c r="AI190" i="1"/>
  <c r="U153" i="1"/>
  <c r="S153" i="1" s="1"/>
  <c r="U165" i="1"/>
  <c r="S165" i="1" s="1"/>
  <c r="AI99" i="1"/>
  <c r="U39" i="1"/>
  <c r="S39" i="1" s="1"/>
  <c r="AI39" i="1"/>
  <c r="AI154" i="1"/>
  <c r="U116" i="1"/>
  <c r="S116" i="1" s="1"/>
  <c r="AI169" i="1"/>
  <c r="U132" i="1"/>
  <c r="S132" i="1" s="1"/>
  <c r="AI128" i="1"/>
  <c r="U191" i="1"/>
  <c r="S191" i="1" s="1"/>
  <c r="AI132" i="1"/>
  <c r="U97" i="1"/>
  <c r="S97" i="1" s="1"/>
  <c r="W116" i="1"/>
  <c r="AI209" i="1"/>
  <c r="U209" i="1"/>
  <c r="S209" i="1" s="1"/>
  <c r="AI178" i="1"/>
  <c r="U141" i="1"/>
  <c r="S141" i="1" s="1"/>
  <c r="AI20" i="1"/>
  <c r="U20" i="1"/>
  <c r="S20" i="1" s="1"/>
  <c r="AI14" i="1"/>
  <c r="U14" i="1"/>
  <c r="S14" i="1" s="1"/>
  <c r="U45" i="1"/>
  <c r="S45" i="1" s="1"/>
  <c r="AI45" i="1"/>
  <c r="U51" i="1"/>
  <c r="S51" i="1" s="1"/>
  <c r="AI51" i="1"/>
  <c r="W51" i="1"/>
  <c r="U161" i="1"/>
  <c r="S161" i="1" s="1"/>
  <c r="AI95" i="1"/>
  <c r="AI30" i="1"/>
  <c r="U30" i="1"/>
  <c r="S30" i="1" s="1"/>
  <c r="U31" i="1"/>
  <c r="S31" i="1" s="1"/>
  <c r="AI31" i="1"/>
  <c r="U57" i="1"/>
  <c r="S57" i="1" s="1"/>
  <c r="AI57" i="1"/>
  <c r="U174" i="1"/>
  <c r="S174" i="1" s="1"/>
  <c r="AI109" i="1"/>
  <c r="W30" i="1"/>
  <c r="AI161" i="1"/>
  <c r="U124" i="1"/>
  <c r="S124" i="1" s="1"/>
  <c r="W134" i="1"/>
  <c r="W165" i="1"/>
  <c r="W45" i="1"/>
  <c r="W124" i="1"/>
  <c r="U115" i="1"/>
  <c r="S115" i="1" s="1"/>
  <c r="AI153" i="1"/>
  <c r="U131" i="1"/>
  <c r="S131" i="1" s="1"/>
  <c r="AI168" i="1"/>
  <c r="W141" i="1"/>
  <c r="AI203" i="1"/>
  <c r="U201" i="1"/>
  <c r="S201" i="1" s="1"/>
  <c r="AI140" i="1"/>
  <c r="U103" i="1"/>
  <c r="S103" i="1" s="1"/>
  <c r="AI217" i="1"/>
  <c r="U217" i="1"/>
  <c r="S217" i="1" s="1"/>
  <c r="W111" i="1"/>
  <c r="AI167" i="1"/>
  <c r="U130" i="1"/>
  <c r="S130" i="1" s="1"/>
  <c r="AI191" i="1"/>
  <c r="U155" i="1"/>
  <c r="S155" i="1" s="1"/>
  <c r="AI197" i="1"/>
  <c r="U195" i="1"/>
  <c r="S195" i="1" s="1"/>
  <c r="AI201" i="1"/>
  <c r="U199" i="1"/>
  <c r="S199" i="1" s="1"/>
  <c r="AI205" i="1"/>
  <c r="U203" i="1"/>
  <c r="S203" i="1" s="1"/>
  <c r="AI213" i="1"/>
  <c r="U213" i="1"/>
  <c r="S213" i="1" s="1"/>
  <c r="U53" i="1"/>
  <c r="S53" i="1" s="1"/>
  <c r="AI53" i="1"/>
  <c r="U91" i="1"/>
  <c r="S91" i="1" s="1"/>
  <c r="AI91" i="1"/>
  <c r="U49" i="1"/>
  <c r="S49" i="1" s="1"/>
  <c r="AI49" i="1"/>
  <c r="U176" i="1"/>
  <c r="S176" i="1" s="1"/>
  <c r="AI111" i="1"/>
  <c r="AI184" i="1"/>
  <c r="U147" i="1"/>
  <c r="S146" i="1" s="1"/>
  <c r="AI195" i="1"/>
  <c r="AI211" i="1"/>
  <c r="U211" i="1"/>
  <c r="S211" i="1" s="1"/>
  <c r="AI136" i="1"/>
  <c r="U101" i="1"/>
  <c r="S101" i="1" s="1"/>
  <c r="W101" i="1"/>
  <c r="AI171" i="1"/>
  <c r="U134" i="1"/>
  <c r="U119" i="1"/>
  <c r="S119" i="1" s="1"/>
  <c r="AI157" i="1"/>
  <c r="W147" i="1"/>
  <c r="AI186" i="1"/>
  <c r="U149" i="1"/>
  <c r="S149" i="1" s="1"/>
  <c r="W211" i="1"/>
  <c r="AI18" i="1"/>
  <c r="U18" i="1"/>
  <c r="S18" i="1" s="1"/>
  <c r="U159" i="1"/>
  <c r="S159" i="1" s="1"/>
  <c r="AI93" i="1"/>
  <c r="W159" i="1"/>
  <c r="W20" i="1"/>
  <c r="U87" i="1"/>
  <c r="S87" i="1" s="1"/>
  <c r="AI87" i="1"/>
  <c r="U93" i="1"/>
  <c r="S93" i="1" s="1"/>
  <c r="AI103" i="1"/>
  <c r="AI16" i="1"/>
  <c r="U16" i="1"/>
  <c r="S16" i="1" s="1"/>
  <c r="U47" i="1"/>
  <c r="S47" i="1" s="1"/>
  <c r="AI47" i="1"/>
  <c r="AI22" i="1"/>
  <c r="U22" i="1"/>
  <c r="S22" i="1" s="1"/>
  <c r="W22" i="1"/>
  <c r="U61" i="1"/>
  <c r="S61" i="1" s="1"/>
  <c r="AI61" i="1"/>
  <c r="U63" i="1"/>
  <c r="S63" i="1" s="1"/>
  <c r="AI63" i="1"/>
  <c r="U59" i="1"/>
  <c r="S59" i="1"/>
  <c r="AI59" i="1"/>
  <c r="U89" i="1"/>
  <c r="S89" i="1" s="1"/>
  <c r="W89" i="1"/>
  <c r="AI89" i="1"/>
  <c r="U163" i="1"/>
  <c r="S163" i="1" s="1"/>
  <c r="W163" i="1"/>
  <c r="AI97" i="1"/>
  <c r="U170" i="1"/>
  <c r="S170" i="1" s="1"/>
  <c r="W170" i="1"/>
  <c r="AI105" i="1"/>
  <c r="AI34" i="1"/>
  <c r="U34" i="1"/>
  <c r="S34" i="1" s="1"/>
  <c r="U35" i="1"/>
  <c r="S35" i="1" s="1"/>
  <c r="AI35" i="1"/>
  <c r="U183" i="1"/>
  <c r="S183" i="1"/>
  <c r="AI118" i="1"/>
  <c r="W31" i="1"/>
  <c r="U181" i="1"/>
  <c r="AI116" i="1"/>
  <c r="W181" i="1"/>
  <c r="W34" i="1"/>
  <c r="U179" i="1"/>
  <c r="S179" i="1" s="1"/>
  <c r="AI114" i="1"/>
  <c r="W176" i="1"/>
  <c r="AI158" i="1"/>
  <c r="U120" i="1"/>
  <c r="S120" i="1" s="1"/>
  <c r="AI173" i="1"/>
  <c r="U136" i="1"/>
  <c r="S136" i="1" s="1"/>
  <c r="W87" i="1"/>
  <c r="W93" i="1"/>
  <c r="U178" i="1"/>
  <c r="S178" i="1" s="1"/>
  <c r="W128" i="1"/>
  <c r="AI159" i="1"/>
  <c r="U122" i="1"/>
  <c r="S122" i="1" s="1"/>
  <c r="AI176" i="1"/>
  <c r="U139" i="1"/>
  <c r="S139" i="1" s="1"/>
  <c r="W149" i="1"/>
  <c r="AI199" i="1"/>
  <c r="U197" i="1"/>
  <c r="S197" i="1" s="1"/>
  <c r="W209" i="1"/>
  <c r="AI215" i="1"/>
  <c r="U215" i="1"/>
  <c r="S215" i="1" s="1"/>
  <c r="W97" i="1"/>
  <c r="AI156" i="1"/>
  <c r="U118" i="1"/>
  <c r="S118" i="1" s="1"/>
  <c r="U127" i="1"/>
  <c r="S127" i="1" s="1"/>
  <c r="AI164" i="1"/>
  <c r="U135" i="1"/>
  <c r="AI172" i="1"/>
  <c r="W103" i="1"/>
  <c r="AI152" i="1"/>
  <c r="U114" i="1"/>
  <c r="S114" i="1" s="1"/>
  <c r="AI193" i="1"/>
  <c r="U157" i="1"/>
  <c r="S157" i="1" s="1"/>
  <c r="AI150" i="1"/>
  <c r="W123" i="1"/>
  <c r="W143" i="1"/>
  <c r="B70" i="9"/>
  <c r="B71" i="9"/>
  <c r="C72" i="9" s="1"/>
  <c r="C71" i="9"/>
  <c r="B72" i="9"/>
  <c r="B73" i="9"/>
  <c r="C73" i="9"/>
  <c r="B74" i="9"/>
  <c r="B75" i="9"/>
  <c r="C75" i="9" s="1"/>
  <c r="B76" i="9"/>
  <c r="B77" i="9"/>
  <c r="C78" i="9" s="1"/>
  <c r="B78" i="9"/>
  <c r="B79" i="9"/>
  <c r="C80" i="9" s="1"/>
  <c r="C79" i="9"/>
  <c r="B80" i="9"/>
  <c r="B81" i="9"/>
  <c r="C81" i="9"/>
  <c r="B82" i="9"/>
  <c r="C83" i="9" s="1"/>
  <c r="B83" i="9"/>
  <c r="B84" i="9"/>
  <c r="B85" i="9"/>
  <c r="C86" i="9" s="1"/>
  <c r="B86" i="9"/>
  <c r="B87" i="9"/>
  <c r="C88" i="9" s="1"/>
  <c r="C87" i="9"/>
  <c r="B88" i="9"/>
  <c r="B89" i="9"/>
  <c r="C89" i="9"/>
  <c r="B90" i="9"/>
  <c r="C91" i="9" s="1"/>
  <c r="B91" i="9"/>
  <c r="B92" i="9"/>
  <c r="B93" i="9"/>
  <c r="C94" i="9" s="1"/>
  <c r="B94" i="9"/>
  <c r="B95" i="9"/>
  <c r="C96" i="9" s="1"/>
  <c r="C95" i="9"/>
  <c r="B96" i="9"/>
  <c r="B97" i="9"/>
  <c r="C97" i="9"/>
  <c r="B98" i="9"/>
  <c r="C99" i="9" s="1"/>
  <c r="B99" i="9"/>
  <c r="B100" i="9"/>
  <c r="B101" i="9"/>
  <c r="M38" i="3"/>
  <c r="R38" i="3"/>
  <c r="S38" i="3"/>
  <c r="U38" i="3"/>
  <c r="AC38" i="3" s="1"/>
  <c r="V38" i="3"/>
  <c r="W38" i="3"/>
  <c r="X38" i="3"/>
  <c r="C90" i="9" l="1"/>
  <c r="C82" i="9"/>
  <c r="C74" i="9"/>
  <c r="C98" i="9"/>
  <c r="C101" i="9"/>
  <c r="C100" i="9"/>
  <c r="C93" i="9"/>
  <c r="C92" i="9"/>
  <c r="C85" i="9"/>
  <c r="C84" i="9"/>
  <c r="C77" i="9"/>
  <c r="C76" i="9"/>
  <c r="S134" i="1"/>
  <c r="S181" i="1"/>
  <c r="AD21" i="3"/>
  <c r="AE21" i="3"/>
  <c r="T38" i="3"/>
  <c r="AE38" i="3"/>
  <c r="Y38" i="3"/>
  <c r="AD38" i="3"/>
  <c r="M28" i="5" l="1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3" i="6" l="1"/>
  <c r="G3" i="6" s="1"/>
  <c r="K3" i="6"/>
  <c r="B4" i="6"/>
  <c r="K4" i="6"/>
  <c r="B5" i="6"/>
  <c r="G5" i="6" s="1"/>
  <c r="K5" i="6"/>
  <c r="J4" i="6" l="1"/>
  <c r="I5" i="6"/>
  <c r="J5" i="6"/>
  <c r="F4" i="6"/>
  <c r="F5" i="6"/>
  <c r="I4" i="6"/>
  <c r="G4" i="6"/>
  <c r="J3" i="6"/>
  <c r="I3" i="6"/>
  <c r="F3" i="6"/>
  <c r="B53" i="9" l="1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C70" i="9" s="1"/>
  <c r="C66" i="9" l="1"/>
  <c r="C62" i="9"/>
  <c r="C68" i="9"/>
  <c r="C64" i="9"/>
  <c r="C60" i="9"/>
  <c r="C56" i="9"/>
  <c r="C58" i="9"/>
  <c r="C67" i="9"/>
  <c r="C63" i="9"/>
  <c r="C59" i="9"/>
  <c r="C55" i="9"/>
  <c r="C54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29" i="3" s="1"/>
  <c r="G26" i="4"/>
  <c r="G27" i="4"/>
  <c r="G28" i="4"/>
  <c r="N16" i="3" s="1"/>
  <c r="G29" i="4"/>
  <c r="G30" i="4"/>
  <c r="N14" i="3" s="1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N12" i="3" s="1"/>
  <c r="G45" i="4"/>
  <c r="G46" i="4"/>
  <c r="G47" i="4"/>
  <c r="G48" i="4"/>
  <c r="N23" i="3" s="1"/>
  <c r="G49" i="4"/>
  <c r="G50" i="4"/>
  <c r="G51" i="4"/>
  <c r="G52" i="4"/>
  <c r="G53" i="4"/>
  <c r="G54" i="4"/>
  <c r="G55" i="4"/>
  <c r="G56" i="4"/>
  <c r="G57" i="4"/>
  <c r="G58" i="4"/>
  <c r="N30" i="3" s="1"/>
  <c r="G59" i="4"/>
  <c r="G60" i="4"/>
  <c r="G61" i="4"/>
  <c r="N35" i="3" s="1"/>
  <c r="G62" i="4"/>
  <c r="G63" i="4"/>
  <c r="N24" i="3" s="1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N22" i="3" s="1"/>
  <c r="G81" i="4"/>
  <c r="G82" i="4"/>
  <c r="G83" i="4"/>
  <c r="G84" i="4"/>
  <c r="G85" i="4"/>
  <c r="G86" i="4"/>
  <c r="N26" i="3" s="1"/>
  <c r="G87" i="4"/>
  <c r="G88" i="4"/>
  <c r="G89" i="4"/>
  <c r="G90" i="4"/>
  <c r="G91" i="4"/>
  <c r="N31" i="3" s="1"/>
  <c r="G92" i="4"/>
  <c r="N27" i="3" s="1"/>
  <c r="G93" i="4"/>
  <c r="G94" i="4"/>
  <c r="G95" i="4"/>
  <c r="G96" i="4"/>
  <c r="G97" i="4"/>
  <c r="G98" i="4"/>
  <c r="G99" i="4"/>
  <c r="N28" i="3" s="1"/>
  <c r="G100" i="4"/>
  <c r="G101" i="4"/>
  <c r="G102" i="4"/>
  <c r="G103" i="4"/>
  <c r="G104" i="4"/>
  <c r="G105" i="4"/>
  <c r="G106" i="4"/>
  <c r="G107" i="4"/>
  <c r="G108" i="4"/>
  <c r="G109" i="4"/>
  <c r="N7" i="3" s="1"/>
  <c r="G110" i="4"/>
  <c r="G111" i="4"/>
  <c r="G112" i="4"/>
  <c r="G113" i="4"/>
  <c r="G114" i="4"/>
  <c r="G115" i="4"/>
  <c r="G116" i="4"/>
  <c r="G117" i="4"/>
  <c r="N33" i="3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N18" i="3" s="1"/>
  <c r="G134" i="4"/>
  <c r="G135" i="4"/>
  <c r="G136" i="4"/>
  <c r="N11" i="3" s="1"/>
  <c r="G137" i="4"/>
  <c r="G138" i="4"/>
  <c r="G139" i="4"/>
  <c r="N20" i="3" s="1"/>
  <c r="G140" i="4"/>
  <c r="G141" i="4"/>
  <c r="G142" i="4"/>
  <c r="G143" i="4"/>
  <c r="N8" i="3" s="1"/>
  <c r="G144" i="4"/>
  <c r="G145" i="4"/>
  <c r="G146" i="4"/>
  <c r="G147" i="4"/>
  <c r="N32" i="3" s="1"/>
  <c r="G148" i="4"/>
  <c r="G149" i="4"/>
  <c r="G150" i="4"/>
  <c r="G151" i="4"/>
  <c r="G152" i="4"/>
  <c r="N19" i="3" s="1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N15" i="3" s="1"/>
  <c r="G169" i="4"/>
  <c r="G170" i="4"/>
  <c r="G171" i="4"/>
  <c r="G172" i="4"/>
  <c r="G173" i="4"/>
  <c r="G174" i="4"/>
  <c r="N36" i="3" s="1"/>
  <c r="G175" i="4"/>
  <c r="N10" i="3" s="1"/>
  <c r="G176" i="4"/>
  <c r="G177" i="4"/>
  <c r="G178" i="4"/>
  <c r="G179" i="4"/>
  <c r="G180" i="4"/>
  <c r="G181" i="4"/>
  <c r="G182" i="4"/>
  <c r="G183" i="4"/>
  <c r="G184" i="4"/>
  <c r="G185" i="4"/>
  <c r="G186" i="4"/>
  <c r="N39" i="3" s="1"/>
  <c r="G187" i="4"/>
  <c r="G188" i="4"/>
  <c r="G189" i="4"/>
  <c r="G190" i="4"/>
  <c r="G191" i="4"/>
  <c r="G192" i="4"/>
  <c r="G193" i="4"/>
  <c r="G194" i="4"/>
  <c r="G195" i="4"/>
  <c r="N40" i="3" s="1"/>
  <c r="G196" i="4"/>
  <c r="N37" i="3" s="1"/>
  <c r="G197" i="4"/>
  <c r="G198" i="4"/>
  <c r="G199" i="4"/>
  <c r="G200" i="4"/>
  <c r="G201" i="4"/>
  <c r="G202" i="4"/>
  <c r="G203" i="4"/>
  <c r="G204" i="4"/>
  <c r="G205" i="4"/>
  <c r="G206" i="4"/>
  <c r="N21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N34" i="3" s="1"/>
  <c r="G220" i="4"/>
  <c r="G221" i="4"/>
  <c r="G222" i="4"/>
  <c r="G223" i="4"/>
  <c r="G224" i="4"/>
  <c r="N13" i="3" s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9" i="3" l="1"/>
  <c r="N17" i="3"/>
  <c r="N38" i="3"/>
  <c r="N25" i="3"/>
  <c r="H6" i="6"/>
  <c r="H4" i="6"/>
  <c r="H5" i="6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<sst xmlns="http://schemas.openxmlformats.org/spreadsheetml/2006/main" count="2584" uniqueCount="935">
  <si>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</si>
  <si>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</si>
  <si>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</si>
  <si>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</si>
  <si>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</si>
  <si>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</si>
  <si>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</si>
  <si>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</si>
  <si>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</si>
  <si>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</si>
  <si>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</si>
  <si>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</si>
  <si>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</si>
  <si>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</si>
  <si>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</si>
  <si>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</si>
  <si>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</si>
  <si>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</si>
  <si>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</si>
  <si>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</si>
  <si>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</si>
  <si>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</si>
  <si>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</si>
  <si>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</si>
  <si>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</si>
  <si>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</si>
  <si>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</si>
  <si>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</si>
  <si>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</si>
  <si>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</si>
  <si>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</si>
  <si>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</si>
  <si>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</si>
  <si>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</si>
  <si>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</si>
  <si>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</si>
  <si>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</si>
  <si>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</si>
  <si>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</si>
  <si>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</si>
  <si>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</si>
  <si>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</si>
  <si>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</si>
  <si>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</si>
  <si>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</si>
  <si>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</si>
  <si>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</si>
  <si>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</si>
  <si>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</si>
  <si>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</si>
  <si>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</si>
  <si>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</si>
  <si>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</si>
  <si>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</si>
  <si>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</si>
  <si>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</si>
  <si>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</si>
  <si>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</si>
  <si>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</si>
  <si>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</si>
  <si>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</si>
  <si>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</si>
  <si>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</si>
  <si>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</si>
  <si>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</si>
  <si>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</si>
  <si>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</si>
  <si>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</si>
  <si>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</si>
  <si>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</si>
  <si>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</si>
  <si>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</si>
  <si>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</si>
  <si>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</si>
  <si>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</si>
  <si>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</si>
  <si>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</si>
  <si>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</si>
  <si>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</si>
  <si>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</si>
  <si>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</si>
  <si>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</si>
  <si>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</si>
  <si>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</si>
  <si>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</si>
  <si>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</si>
  <si>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</si>
  <si>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</si>
  <si>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</si>
  <si>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</si>
  <si>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</si>
  <si>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</si>
  <si>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</si>
  <si>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</si>
  <si>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</si>
  <si>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</si>
  <si>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</si>
  <si>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</si>
  <si>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</si>
  <si>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</si>
  <si>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</si>
  <si>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</si>
  <si>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</si>
  <si>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</si>
  <si>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</si>
  <si>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</si>
  <si>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</si>
  <si>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</si>
  <si>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</si>
  <si>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</si>
  <si>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</si>
  <si>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</si>
  <si>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</si>
  <si>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</si>
  <si>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</si>
  <si>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</si>
  <si>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</si>
  <si>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</si>
  <si>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</si>
  <si>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</si>
  <si>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</si>
  <si>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</si>
  <si>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</si>
  <si>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</si>
  <si>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</si>
  <si>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</si>
  <si>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</si>
  <si>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</si>
  <si>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</si>
  <si>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</si>
  <si>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</si>
  <si>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</si>
  <si>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</si>
  <si>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</si>
  <si>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</si>
  <si>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</si>
  <si>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</si>
  <si>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</si>
  <si>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</si>
  <si>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</si>
  <si>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</si>
  <si>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</si>
  <si>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</si>
  <si>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</si>
  <si>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</si>
  <si>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</si>
  <si>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</si>
  <si>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</si>
  <si>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</si>
  <si>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</si>
  <si>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</si>
  <si>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</si>
  <si>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</si>
  <si>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</si>
  <si>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</si>
  <si>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</si>
  <si>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</si>
  <si>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</si>
  <si>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</si>
  <si>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</si>
  <si>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</si>
  <si>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</si>
  <si>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</si>
  <si>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</si>
  <si>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</si>
  <si>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</si>
  <si>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</si>
  <si>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</si>
  <si>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</si>
  <si>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</si>
  <si>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</si>
  <si>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</si>
  <si>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</si>
  <si>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</si>
  <si>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</si>
  <si>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</si>
  <si>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</si>
  <si>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</si>
  <si>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</si>
  <si>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</si>
  <si>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</si>
  <si>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</si>
  <si>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</si>
  <si>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</si>
  <si>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</si>
  <si>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</si>
  <si>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</si>
  <si>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</si>
  <si>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</si>
  <si>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</si>
  <si>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</si>
  <si>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</si>
  <si>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</si>
  <si>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</si>
  <si>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</si>
  <si>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</si>
  <si>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</si>
  <si>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</si>
  <si>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</si>
  <si>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</si>
  <si>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</si>
  <si>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</si>
  <si>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</si>
  <si>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</si>
  <si>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</si>
  <si>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</si>
  <si>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</si>
  <si>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</si>
  <si>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</si>
  <si>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</si>
  <si>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</si>
  <si>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</si>
  <si>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</si>
  <si>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</si>
  <si>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</si>
  <si>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</si>
  <si>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</si>
  <si>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</si>
  <si>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</si>
  <si>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</si>
  <si>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</si>
  <si>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</si>
  <si>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</si>
  <si>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</si>
  <si>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</si>
  <si>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</si>
  <si>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</si>
  <si>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</si>
  <si>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</si>
  <si>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</si>
  <si>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</si>
  <si>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</si>
  <si>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</si>
  <si>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</si>
  <si>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</si>
  <si>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</si>
  <si>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</si>
  <si>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</si>
  <si>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</si>
  <si>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</si>
  <si>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rtdc.l.rtdc.4016:itc</t>
  </si>
  <si>
    <t>204:163</t>
  </si>
  <si>
    <t>Partly Cloudy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</si>
  <si>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</si>
  <si>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</si>
  <si>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</si>
  <si>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</si>
  <si>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</si>
  <si>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</si>
  <si>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</si>
  <si>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</si>
  <si>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rtdc.l.rtdc.4045:itc</t>
  </si>
  <si>
    <t>204:147</t>
  </si>
  <si>
    <t>204:139</t>
  </si>
  <si>
    <t>MICHAEL</t>
  </si>
  <si>
    <t>DAVIS</t>
  </si>
  <si>
    <t>204:232977</t>
  </si>
  <si>
    <t>204:160</t>
  </si>
  <si>
    <t>204:462</t>
  </si>
  <si>
    <t>204:232993</t>
  </si>
  <si>
    <t>rtdc.l.rtdc.4013:itc</t>
  </si>
  <si>
    <t>rtdc.l.rtdc.4004:itc</t>
  </si>
  <si>
    <t>rtdc.l.rtdc.4003:itc</t>
  </si>
  <si>
    <t>204:138</t>
  </si>
  <si>
    <t>204:233289</t>
  </si>
  <si>
    <t>204:232986</t>
  </si>
  <si>
    <t>204:440</t>
  </si>
  <si>
    <t>204:233299</t>
  </si>
  <si>
    <t>SMITH</t>
  </si>
  <si>
    <t>NEWELL</t>
  </si>
  <si>
    <t>204:449</t>
  </si>
  <si>
    <t>204:233308</t>
  </si>
  <si>
    <t>204:232973</t>
  </si>
  <si>
    <t>204:232978</t>
  </si>
  <si>
    <t>rtdc.l.rtdc.4028:itc</t>
  </si>
  <si>
    <t>rtdc.l.rtdc.4044:itc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</si>
  <si>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</si>
  <si>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</si>
  <si>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</si>
  <si>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</si>
  <si>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</si>
  <si>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</si>
  <si>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</si>
  <si>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</si>
  <si>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</si>
  <si>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</si>
  <si>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</si>
  <si>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</si>
  <si>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</si>
  <si>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</si>
  <si>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</si>
  <si>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</si>
  <si>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204:233301</t>
  </si>
  <si>
    <t>204:233297</t>
  </si>
  <si>
    <t>204:233312</t>
  </si>
  <si>
    <t>204:233293</t>
  </si>
  <si>
    <t>204:233300</t>
  </si>
  <si>
    <t>204:152</t>
  </si>
  <si>
    <t>204:232980</t>
  </si>
  <si>
    <t>204:232982</t>
  </si>
  <si>
    <t>HILLS</t>
  </si>
  <si>
    <t>DUSTIN</t>
  </si>
  <si>
    <t>BROWN</t>
  </si>
  <si>
    <t>JACOB</t>
  </si>
  <si>
    <t>204:158</t>
  </si>
  <si>
    <t>204:232998</t>
  </si>
  <si>
    <t>204:233304</t>
  </si>
  <si>
    <t>204:232987</t>
  </si>
  <si>
    <t>204:141</t>
  </si>
  <si>
    <t>204:233307</t>
  </si>
  <si>
    <t>rtdc.l.rtdc.4025:itc</t>
  </si>
  <si>
    <t>rtdc.l.rtdc.4026:itc</t>
  </si>
  <si>
    <t>244-23</t>
  </si>
  <si>
    <t>311-23</t>
  </si>
  <si>
    <t>246-23</t>
  </si>
  <si>
    <t>313-23</t>
  </si>
  <si>
    <t>315-23</t>
  </si>
  <si>
    <t>Clear</t>
  </si>
  <si>
    <t>clear-night</t>
  </si>
  <si>
    <t>204:232971</t>
  </si>
  <si>
    <t>204:457</t>
  </si>
  <si>
    <t>204:233291</t>
  </si>
  <si>
    <t>204:232976</t>
  </si>
  <si>
    <t>204:156</t>
  </si>
  <si>
    <t>204:233317</t>
  </si>
  <si>
    <t>300:23304</t>
  </si>
  <si>
    <t>300:58931</t>
  </si>
  <si>
    <t>rtdc.l.rtdc.4018:itc</t>
  </si>
  <si>
    <t>204:232988</t>
  </si>
  <si>
    <t>204:444</t>
  </si>
  <si>
    <t>204:232989</t>
  </si>
  <si>
    <t>204:233006</t>
  </si>
  <si>
    <t>204:232996</t>
  </si>
  <si>
    <t>204:232985</t>
  </si>
  <si>
    <t>300:58944</t>
  </si>
  <si>
    <t>rtdc.l.rtdc.4001:itc</t>
  </si>
  <si>
    <t>SIMONEAUX</t>
  </si>
  <si>
    <t>TERA</t>
  </si>
  <si>
    <t>204:466</t>
  </si>
  <si>
    <t>204:232975</t>
  </si>
  <si>
    <t>204:233270</t>
  </si>
  <si>
    <t>204:169</t>
  </si>
  <si>
    <t>300:23310</t>
  </si>
  <si>
    <t>300:58929</t>
  </si>
  <si>
    <t>rtdc.l.rtdc.4041:itc</t>
  </si>
  <si>
    <t>rtdc.l.rtdc.4019:itc</t>
  </si>
  <si>
    <t>MAELZER</t>
  </si>
  <si>
    <t>KURT</t>
  </si>
  <si>
    <t>244-27</t>
  </si>
  <si>
    <t>313-27</t>
  </si>
  <si>
    <t>315-27</t>
  </si>
  <si>
    <t>partly-cloudy-day</t>
  </si>
  <si>
    <t>204:233310</t>
  </si>
  <si>
    <t>204:759</t>
  </si>
  <si>
    <t>204:437</t>
  </si>
  <si>
    <t>204:233321</t>
  </si>
  <si>
    <t>204:233309</t>
  </si>
  <si>
    <t>204:478</t>
  </si>
  <si>
    <t>204:233008</t>
  </si>
  <si>
    <t>204:233011</t>
  </si>
  <si>
    <t>204:233314</t>
  </si>
  <si>
    <t>204:232991</t>
  </si>
  <si>
    <t>204:471</t>
  </si>
  <si>
    <t>204:129</t>
  </si>
  <si>
    <t>204:134</t>
  </si>
  <si>
    <t>300:58630</t>
  </si>
  <si>
    <t>204:750</t>
  </si>
  <si>
    <t>204:755</t>
  </si>
  <si>
    <t>300:58937</t>
  </si>
  <si>
    <t>300:58626</t>
  </si>
  <si>
    <t>204:754</t>
  </si>
  <si>
    <t>rtdc.l.rtdc.4030:itc</t>
  </si>
  <si>
    <t>TEMPORARY SPEED RESTRICTION</t>
  </si>
  <si>
    <t>rtdc.l.rtdc.4029:itc</t>
  </si>
  <si>
    <t>ISHMAEL</t>
  </si>
  <si>
    <t>JOSEPH</t>
  </si>
  <si>
    <t>YORK</t>
  </si>
  <si>
    <t>EDGAR</t>
  </si>
  <si>
    <t>JOHN</t>
  </si>
  <si>
    <t>HELVIE</t>
  </si>
  <si>
    <t>ADAM</t>
  </si>
  <si>
    <t>BRUDER</t>
  </si>
  <si>
    <t>RICHARD</t>
  </si>
  <si>
    <t>DELGADO</t>
  </si>
  <si>
    <t>DIANAH</t>
  </si>
  <si>
    <t>309-28</t>
  </si>
  <si>
    <t>311-28</t>
  </si>
  <si>
    <t>313-28</t>
  </si>
  <si>
    <t>51-29</t>
  </si>
  <si>
    <t>SPECTOR</t>
  </si>
  <si>
    <t>302-29</t>
  </si>
  <si>
    <t>204:233315</t>
  </si>
  <si>
    <t>204:233283</t>
  </si>
  <si>
    <t>204:442</t>
  </si>
  <si>
    <t>204:232969</t>
  </si>
  <si>
    <t>204:178</t>
  </si>
  <si>
    <t>204:233316</t>
  </si>
  <si>
    <t>204:467</t>
  </si>
  <si>
    <t>204:233305</t>
  </si>
  <si>
    <t>204:233025</t>
  </si>
  <si>
    <t>204:233325</t>
  </si>
  <si>
    <t>204:233000</t>
  </si>
  <si>
    <t>204:233261</t>
  </si>
  <si>
    <t>204:232984</t>
  </si>
  <si>
    <t>204:232967</t>
  </si>
  <si>
    <t>204:233319</t>
  </si>
  <si>
    <t>204:486</t>
  </si>
  <si>
    <t>204:233288</t>
  </si>
  <si>
    <t>204:233302</t>
  </si>
  <si>
    <t>204:233408</t>
  </si>
  <si>
    <t>204:233098</t>
  </si>
  <si>
    <t>204:233357</t>
  </si>
  <si>
    <t>204:233331</t>
  </si>
  <si>
    <t>300:23306</t>
  </si>
  <si>
    <t>300:58619</t>
  </si>
  <si>
    <t>300:58611</t>
  </si>
  <si>
    <t>204:1037</t>
  </si>
  <si>
    <t>300:58922</t>
  </si>
  <si>
    <t>300:58933</t>
  </si>
  <si>
    <t>300:58935</t>
  </si>
  <si>
    <t>300:58624</t>
  </si>
  <si>
    <t>204:715</t>
  </si>
  <si>
    <t>300:58621</t>
  </si>
  <si>
    <t>300:58941</t>
  </si>
  <si>
    <t>300:58926</t>
  </si>
  <si>
    <t>Cancelled due to Form O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</si>
  <si>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</si>
  <si>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</si>
  <si>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</si>
  <si>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</si>
  <si>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306-01</t>
  </si>
  <si>
    <t>rtdc.l.rtdc.4008:itc</t>
  </si>
  <si>
    <t>110-01</t>
  </si>
  <si>
    <t>106-01</t>
  </si>
  <si>
    <t>115-01</t>
  </si>
  <si>
    <t>rtdc.l.rtdc.4010:itc</t>
  </si>
  <si>
    <t>120-01</t>
  </si>
  <si>
    <t>124-01</t>
  </si>
  <si>
    <t>1806-01</t>
  </si>
  <si>
    <t>132-01</t>
  </si>
  <si>
    <t>rtdc.l.rtdc.4021:itc</t>
  </si>
  <si>
    <t>136-01</t>
  </si>
  <si>
    <t>153-01</t>
  </si>
  <si>
    <t>146-01</t>
  </si>
  <si>
    <t>155-01</t>
  </si>
  <si>
    <t>152-01</t>
  </si>
  <si>
    <t>156-01</t>
  </si>
  <si>
    <t>158-01</t>
  </si>
  <si>
    <t>162-01</t>
  </si>
  <si>
    <t>177-01</t>
  </si>
  <si>
    <t>183-01</t>
  </si>
  <si>
    <t>195-01</t>
  </si>
  <si>
    <t>197-01</t>
  </si>
  <si>
    <t>194-01</t>
  </si>
  <si>
    <t>SWITCH UNKNOWN</t>
  </si>
  <si>
    <t>Track device (7)</t>
  </si>
  <si>
    <t>198-01</t>
  </si>
  <si>
    <t>200-01</t>
  </si>
  <si>
    <t>209-01</t>
  </si>
  <si>
    <t>217-01</t>
  </si>
  <si>
    <t>1826-01</t>
  </si>
  <si>
    <t>216-01</t>
  </si>
  <si>
    <t>1830-01</t>
  </si>
  <si>
    <t>64-01</t>
  </si>
  <si>
    <t>66-01</t>
  </si>
  <si>
    <t>233-01</t>
  </si>
  <si>
    <t>243-01</t>
  </si>
  <si>
    <t>244-01</t>
  </si>
  <si>
    <t>245-31</t>
  </si>
  <si>
    <t>242-31</t>
  </si>
  <si>
    <t>rtdc.l.rtdc.4007:itc</t>
  </si>
  <si>
    <t>309-31</t>
  </si>
  <si>
    <t>244-31</t>
  </si>
  <si>
    <t>311-31</t>
  </si>
  <si>
    <t>246-31</t>
  </si>
  <si>
    <t>rtdc.l.rtdc.4031:itc</t>
  </si>
  <si>
    <t>313-31</t>
  </si>
  <si>
    <t>315-31</t>
  </si>
  <si>
    <t>302-01</t>
  </si>
  <si>
    <t>101-01</t>
  </si>
  <si>
    <t>304-01</t>
  </si>
  <si>
    <t>103-01</t>
  </si>
  <si>
    <t>BERLING</t>
  </si>
  <si>
    <t>GARY</t>
  </si>
  <si>
    <t>102-01</t>
  </si>
  <si>
    <t>105-01</t>
  </si>
  <si>
    <t>308-01</t>
  </si>
  <si>
    <t>WENDY</t>
  </si>
  <si>
    <t>310-01</t>
  </si>
  <si>
    <t>ROBINSON</t>
  </si>
  <si>
    <t>KADDIBA</t>
  </si>
  <si>
    <t>107-01</t>
  </si>
  <si>
    <t>104-01</t>
  </si>
  <si>
    <t>109-01</t>
  </si>
  <si>
    <t>111-01</t>
  </si>
  <si>
    <t>GEBRETEKLE</t>
  </si>
  <si>
    <t>DAGNEW</t>
  </si>
  <si>
    <t>113-01</t>
  </si>
  <si>
    <t>108-01</t>
  </si>
  <si>
    <t>1901-01</t>
  </si>
  <si>
    <t>SHOOK</t>
  </si>
  <si>
    <t>117-01</t>
  </si>
  <si>
    <t>1800-01</t>
  </si>
  <si>
    <t>112-01</t>
  </si>
  <si>
    <t>1801-01</t>
  </si>
  <si>
    <t>119-01</t>
  </si>
  <si>
    <t>114-01</t>
  </si>
  <si>
    <t>121-01</t>
  </si>
  <si>
    <t>116-01</t>
  </si>
  <si>
    <t>123-01</t>
  </si>
  <si>
    <t>1802-01</t>
  </si>
  <si>
    <t>118-01</t>
  </si>
  <si>
    <t>125-01</t>
  </si>
  <si>
    <t>1803-01</t>
  </si>
  <si>
    <t>127-01</t>
  </si>
  <si>
    <t>122-01</t>
  </si>
  <si>
    <t>129-01</t>
  </si>
  <si>
    <t>131-01</t>
  </si>
  <si>
    <t>126-01</t>
  </si>
  <si>
    <t>1804-01</t>
  </si>
  <si>
    <t>128-01</t>
  </si>
  <si>
    <t>133-01</t>
  </si>
  <si>
    <t>135-01</t>
  </si>
  <si>
    <t>130-01</t>
  </si>
  <si>
    <t>1805-01</t>
  </si>
  <si>
    <t>137-01</t>
  </si>
  <si>
    <t>139-01</t>
  </si>
  <si>
    <t>134-01</t>
  </si>
  <si>
    <t>141-01</t>
  </si>
  <si>
    <t>143-01</t>
  </si>
  <si>
    <t>1807-01</t>
  </si>
  <si>
    <t>138-01</t>
  </si>
  <si>
    <t>145-01</t>
  </si>
  <si>
    <t>140-01</t>
  </si>
  <si>
    <t>147-01</t>
  </si>
  <si>
    <t>142-01</t>
  </si>
  <si>
    <t>1808-01</t>
  </si>
  <si>
    <t>149-01</t>
  </si>
  <si>
    <t>SWANSON</t>
  </si>
  <si>
    <t>BRYCE</t>
  </si>
  <si>
    <t>144-01</t>
  </si>
  <si>
    <t>151-01</t>
  </si>
  <si>
    <t>1809-01</t>
  </si>
  <si>
    <t>rtdc.l.rtdc.4054:itc</t>
  </si>
  <si>
    <t>50-01</t>
  </si>
  <si>
    <t>ADANE</t>
  </si>
  <si>
    <t>ELSHADAY</t>
  </si>
  <si>
    <t>148-01</t>
  </si>
  <si>
    <t>150-01</t>
  </si>
  <si>
    <t>rtdc.l.rtdc.4053:itc</t>
  </si>
  <si>
    <t>51-01</t>
  </si>
  <si>
    <t>1810-01</t>
  </si>
  <si>
    <t>157-01</t>
  </si>
  <si>
    <t>159-01</t>
  </si>
  <si>
    <t>STEWART</t>
  </si>
  <si>
    <t>1811-01</t>
  </si>
  <si>
    <t>154-01</t>
  </si>
  <si>
    <t>161-01</t>
  </si>
  <si>
    <t>163-01</t>
  </si>
  <si>
    <t>SCOTT</t>
  </si>
  <si>
    <t>1812-01</t>
  </si>
  <si>
    <t>165-01</t>
  </si>
  <si>
    <t>160-01</t>
  </si>
  <si>
    <t>167-01</t>
  </si>
  <si>
    <t>GREGORY</t>
  </si>
  <si>
    <t>1813-01</t>
  </si>
  <si>
    <t>169-01</t>
  </si>
  <si>
    <t>164-01</t>
  </si>
  <si>
    <t>171-01</t>
  </si>
  <si>
    <t>KILLION</t>
  </si>
  <si>
    <t>DAVID</t>
  </si>
  <si>
    <t>166-01</t>
  </si>
  <si>
    <t>1814-01</t>
  </si>
  <si>
    <t>173-01</t>
  </si>
  <si>
    <t>168-01</t>
  </si>
  <si>
    <t>170-01</t>
  </si>
  <si>
    <t>175-01</t>
  </si>
  <si>
    <t>1815-01</t>
  </si>
  <si>
    <t>172-01</t>
  </si>
  <si>
    <t>179-01</t>
  </si>
  <si>
    <t>174-01</t>
  </si>
  <si>
    <t>1816-01</t>
  </si>
  <si>
    <t>181-01</t>
  </si>
  <si>
    <t>176-01</t>
  </si>
  <si>
    <t>178-01</t>
  </si>
  <si>
    <t>185-01</t>
  </si>
  <si>
    <t>1817-01</t>
  </si>
  <si>
    <t>180-01</t>
  </si>
  <si>
    <t>182-01</t>
  </si>
  <si>
    <t>187-01</t>
  </si>
  <si>
    <t>1818-01</t>
  </si>
  <si>
    <t>HAUSER</t>
  </si>
  <si>
    <t>FRANK</t>
  </si>
  <si>
    <t>189-01</t>
  </si>
  <si>
    <t>184-01</t>
  </si>
  <si>
    <t>191-01</t>
  </si>
  <si>
    <t>186-01</t>
  </si>
  <si>
    <t>193-01</t>
  </si>
  <si>
    <t>1819-01</t>
  </si>
  <si>
    <t>188-01</t>
  </si>
  <si>
    <t>LOPES</t>
  </si>
  <si>
    <t>KIMBERLY</t>
  </si>
  <si>
    <t>190-01</t>
  </si>
  <si>
    <t>1820-01</t>
  </si>
  <si>
    <t>192-01</t>
  </si>
  <si>
    <t>199-01</t>
  </si>
  <si>
    <t>201-01</t>
  </si>
  <si>
    <t>1821-01</t>
  </si>
  <si>
    <t>KAMDEN</t>
  </si>
  <si>
    <t>196-01</t>
  </si>
  <si>
    <t>203-01</t>
  </si>
  <si>
    <t>205-01</t>
  </si>
  <si>
    <t>1822-01</t>
  </si>
  <si>
    <t>207-01</t>
  </si>
  <si>
    <t>202-01</t>
  </si>
  <si>
    <t>71-01</t>
  </si>
  <si>
    <t>1823-01</t>
  </si>
  <si>
    <t>204-01</t>
  </si>
  <si>
    <t>211-01</t>
  </si>
  <si>
    <t>206-01</t>
  </si>
  <si>
    <t>1824-01</t>
  </si>
  <si>
    <t>213-01</t>
  </si>
  <si>
    <t>72-01</t>
  </si>
  <si>
    <t>208-01</t>
  </si>
  <si>
    <t>215-01</t>
  </si>
  <si>
    <t>70-01</t>
  </si>
  <si>
    <t>PERKINS</t>
  </si>
  <si>
    <t>DARREN</t>
  </si>
  <si>
    <t>210-01</t>
  </si>
  <si>
    <t>212-01</t>
  </si>
  <si>
    <t>1825-01</t>
  </si>
  <si>
    <t>75-01</t>
  </si>
  <si>
    <t>219-01</t>
  </si>
  <si>
    <t>214-01</t>
  </si>
  <si>
    <t>61-01</t>
  </si>
  <si>
    <t>MACDONALD</t>
  </si>
  <si>
    <t>THOMAS</t>
  </si>
  <si>
    <t>221-01</t>
  </si>
  <si>
    <t>218-01</t>
  </si>
  <si>
    <t>63-01</t>
  </si>
  <si>
    <t>220-01</t>
  </si>
  <si>
    <t>1827-01</t>
  </si>
  <si>
    <t>223-01</t>
  </si>
  <si>
    <t>62-01</t>
  </si>
  <si>
    <t>1828-01</t>
  </si>
  <si>
    <t>65-01</t>
  </si>
  <si>
    <t>225-01</t>
  </si>
  <si>
    <t>222-01</t>
  </si>
  <si>
    <t>224-01</t>
  </si>
  <si>
    <t>227-01</t>
  </si>
  <si>
    <t>1829-01</t>
  </si>
  <si>
    <t>87-01</t>
  </si>
  <si>
    <t>226-01</t>
  </si>
  <si>
    <t>89-01</t>
  </si>
  <si>
    <t>229-01</t>
  </si>
  <si>
    <t>231-01</t>
  </si>
  <si>
    <t>228-01</t>
  </si>
  <si>
    <t>1831-01</t>
  </si>
  <si>
    <t>91-01</t>
  </si>
  <si>
    <t>1832-01</t>
  </si>
  <si>
    <t>230-01</t>
  </si>
  <si>
    <t>235-01</t>
  </si>
  <si>
    <t>1833-01</t>
  </si>
  <si>
    <t>232-01</t>
  </si>
  <si>
    <t>1902-01</t>
  </si>
  <si>
    <t>234-01</t>
  </si>
  <si>
    <t>237-01</t>
  </si>
  <si>
    <t>236-01</t>
  </si>
  <si>
    <t>239-01</t>
  </si>
  <si>
    <t>241-01</t>
  </si>
  <si>
    <t>238-01</t>
  </si>
  <si>
    <t>240-01</t>
  </si>
  <si>
    <t>309-01</t>
  </si>
  <si>
    <t>242-01</t>
  </si>
  <si>
    <t>311-01</t>
  </si>
  <si>
    <t>313-01</t>
  </si>
  <si>
    <t>315-01</t>
  </si>
  <si>
    <t>Mostly Cloudy</t>
  </si>
  <si>
    <t>204:233330</t>
  </si>
  <si>
    <t>204:232666</t>
  </si>
  <si>
    <t>204:233342</t>
  </si>
  <si>
    <t>204:232702</t>
  </si>
  <si>
    <t>204:114</t>
  </si>
  <si>
    <t>204:785</t>
  </si>
  <si>
    <t>204:232677</t>
  </si>
  <si>
    <t>204:109</t>
  </si>
  <si>
    <t>204:435</t>
  </si>
  <si>
    <t>204:743</t>
  </si>
  <si>
    <t>204:761</t>
  </si>
  <si>
    <t>204:141891</t>
  </si>
  <si>
    <t>204:232968</t>
  </si>
  <si>
    <t>204:730</t>
  </si>
  <si>
    <t>204:121</t>
  </si>
  <si>
    <t>204:233334</t>
  </si>
  <si>
    <t>204:233322</t>
  </si>
  <si>
    <t>204:233010</t>
  </si>
  <si>
    <t>204:130</t>
  </si>
  <si>
    <t>204:127</t>
  </si>
  <si>
    <t>204:431</t>
  </si>
  <si>
    <t>204:161</t>
  </si>
  <si>
    <t>204:233303</t>
  </si>
  <si>
    <t>204:233001</t>
  </si>
  <si>
    <t>204:420</t>
  </si>
  <si>
    <t>204:233255</t>
  </si>
  <si>
    <t>204:232934</t>
  </si>
  <si>
    <t>204:427</t>
  </si>
  <si>
    <t>204:232990</t>
  </si>
  <si>
    <t>204:233215</t>
  </si>
  <si>
    <t>204:232955</t>
  </si>
  <si>
    <t>204:187</t>
  </si>
  <si>
    <t>204:233351</t>
  </si>
  <si>
    <t>204:233030</t>
  </si>
  <si>
    <t>204:475</t>
  </si>
  <si>
    <t>204:233337</t>
  </si>
  <si>
    <t>204:233028</t>
  </si>
  <si>
    <t>204:411</t>
  </si>
  <si>
    <t>204:232983</t>
  </si>
  <si>
    <t>204:738</t>
  </si>
  <si>
    <t>204:1032</t>
  </si>
  <si>
    <t>204:766</t>
  </si>
  <si>
    <t>204:1056</t>
  </si>
  <si>
    <t>300:58617</t>
  </si>
  <si>
    <t>204:764</t>
  </si>
  <si>
    <t>204:1046</t>
  </si>
  <si>
    <t>300:58608</t>
  </si>
  <si>
    <t>204:745</t>
  </si>
  <si>
    <t>204:757</t>
  </si>
  <si>
    <t>204:1048</t>
  </si>
  <si>
    <t>300:58623</t>
  </si>
  <si>
    <t>204:1041</t>
  </si>
  <si>
    <t>204:748</t>
  </si>
  <si>
    <t>204:1030</t>
  </si>
  <si>
    <t>300:58628</t>
  </si>
  <si>
    <t>204:794</t>
  </si>
  <si>
    <t>204:1083</t>
  </si>
  <si>
    <t>300:58939</t>
  </si>
  <si>
    <t>204:1034</t>
  </si>
  <si>
    <t>204:789</t>
  </si>
  <si>
    <t>204:1093</t>
  </si>
  <si>
    <t>300:13976</t>
  </si>
  <si>
    <t>300:13983</t>
  </si>
  <si>
    <t>204:904</t>
  </si>
  <si>
    <t>300:58954</t>
  </si>
  <si>
    <t>300:58638</t>
  </si>
  <si>
    <t>204:1065</t>
  </si>
  <si>
    <t>204:782</t>
  </si>
  <si>
    <t>204:233244</t>
  </si>
  <si>
    <t>300:57346</t>
  </si>
  <si>
    <t>300:58943</t>
  </si>
  <si>
    <t>204:232921</t>
  </si>
  <si>
    <t>204:233298</t>
  </si>
  <si>
    <t>204:232964</t>
  </si>
  <si>
    <t>204:232959</t>
  </si>
  <si>
    <t>300:30157</t>
  </si>
  <si>
    <t>300:21371</t>
  </si>
  <si>
    <t>204:426</t>
  </si>
  <si>
    <t>204:119</t>
  </si>
  <si>
    <t>204:1184</t>
  </si>
  <si>
    <t>204:446</t>
  </si>
  <si>
    <t>204:232972</t>
  </si>
  <si>
    <t>204:232981</t>
  </si>
  <si>
    <t>204:424</t>
  </si>
  <si>
    <t>204:232979</t>
  </si>
  <si>
    <t>204:232965</t>
  </si>
  <si>
    <t>204:233002</t>
  </si>
  <si>
    <t>204:402</t>
  </si>
  <si>
    <t>204:127846</t>
  </si>
  <si>
    <t>204:86353</t>
  </si>
  <si>
    <t>204:473</t>
  </si>
  <si>
    <t>204:233259</t>
  </si>
  <si>
    <t>204:154443</t>
  </si>
  <si>
    <t>204:110288</t>
  </si>
  <si>
    <t>204:233094</t>
  </si>
  <si>
    <t>300:23097</t>
  </si>
  <si>
    <t>300:19006</t>
  </si>
  <si>
    <t>300:23105</t>
  </si>
  <si>
    <t>300:23377</t>
  </si>
  <si>
    <t>204:132</t>
  </si>
  <si>
    <t>300:22850</t>
  </si>
  <si>
    <t>300:23214</t>
  </si>
  <si>
    <t>300:23301</t>
  </si>
  <si>
    <t>300:23299</t>
  </si>
  <si>
    <t>300:23104</t>
  </si>
  <si>
    <t>300:22898</t>
  </si>
  <si>
    <t>204:95</t>
  </si>
  <si>
    <t>204:394</t>
  </si>
  <si>
    <t>300:24586</t>
  </si>
  <si>
    <t>204:482</t>
  </si>
  <si>
    <t>204:1017</t>
  </si>
  <si>
    <t>204:233280</t>
  </si>
  <si>
    <t>204:937</t>
  </si>
  <si>
    <t>204:913</t>
  </si>
  <si>
    <t>204:1523</t>
  </si>
  <si>
    <t>300:23385</t>
  </si>
  <si>
    <t>204:889</t>
  </si>
  <si>
    <t>204:1203</t>
  </si>
  <si>
    <t>300:23308</t>
  </si>
  <si>
    <t>204:1238</t>
  </si>
  <si>
    <t>start /low /b %USERPROFILE%\Documents\GitHub\eaglep3\Utilities\DownloadLogsFromS3.py --loco 4002 --day 2017-01-01</t>
  </si>
  <si>
    <t>start /low /b %USERPROFILE%\Documents\GitHub\eaglep3\Utilities\DownloadLogsFromS3.py --loco 4004 --day 2017-01-01</t>
  </si>
  <si>
    <t>start /low /b %USERPROFILE%\Documents\GitHub\eaglep3\Utilities\DownloadLogsFromS3.py --loco 4009 --day 2017-01-01</t>
  </si>
  <si>
    <t>start /low /b %USERPROFILE%\Documents\GitHub\eaglep3\Utilities\DownloadLogsFromS3.py --loco 4043 --day 1969-12-31</t>
  </si>
  <si>
    <t>start /low /b %USERPROFILE%\Documents\GitHub\eaglep3\Utilities\DownloadLogsFromS3.py --loco 4030 --day 2017-01-01</t>
  </si>
  <si>
    <t>start /low /b %USERPROFILE%\Documents\GitHub\eaglep3\Utilities\DownloadLogsFromS3.py --loco 4022 --day 2017-01-01</t>
  </si>
  <si>
    <t>start /low /b %USERPROFILE%\Documents\GitHub\eaglep3\Utilities\DownloadLogsFromS3.py --loco 4013 --day 2017-01-02</t>
  </si>
  <si>
    <t>start /low /b %USERPROFILE%\Documents\GitHub\eaglep3\Utilities\DownloadLogsFromS3.py --loco 4003 --day 2017-01-01</t>
  </si>
  <si>
    <t>start /low /b %USERPROFILE%\Documents\GitHub\eaglep3\Utilities\DownloadLogsFromS3.py --loco 4041 --day 2017-01-02</t>
  </si>
  <si>
    <t>start /low /b %USERPROFILE%\Documents\GitHub\eaglep3\Utilities\DownloadLogsFromS3.py --loco 4014 --day 2017-01-01</t>
  </si>
  <si>
    <t>start /low /b %USERPROFILE%\Documents\GitHub\eaglep3\Utilities\DownloadLogsFromS3.py --loco 4010 --day 2017-01-01</t>
  </si>
  <si>
    <t>start /low /b %USERPROFILE%\Documents\GitHub\eaglep3\Utilities\DownloadLogsFromS3.py --loco 4021 --day 2017-01-02</t>
  </si>
  <si>
    <t>start /low /b %USERPROFILE%\Documents\GitHub\eaglep3\Utilities\DownloadLogsFromS3.py --loco 4008 --day 2017-01-01</t>
  </si>
  <si>
    <t>start /low /b %USERPROFILE%\Documents\GitHub\eaglep3\Utilities\DownloadLogsFromS3.py --loco 4009 --day 2017-01-02</t>
  </si>
  <si>
    <t>start /low /b %USERPROFILE%\Documents\GitHub\eaglep3\Utilities\DownloadLogsFromS3.py --loco 4003 --day 2017-01-02</t>
  </si>
  <si>
    <t>start /low /b %USERPROFILE%\Documents\GitHub\eaglep3\Utilities\DownloadLogsFromS3.py --loco 4021 --day 2017-01-01</t>
  </si>
  <si>
    <t>start /low /b %USERPROFILE%\Documents\GitHub\eaglep3\Utilities\DownloadLogsFromS3.py --loco 4041 --day 2017-01-01</t>
  </si>
  <si>
    <t>start /low /b %USERPROFILE%\Documents\GitHub\eaglep3\Utilities\DownloadLogsFromS3.py --loco 4001 --day 2017-01-01</t>
  </si>
  <si>
    <t>start /low /b %USERPROFILE%\Documents\GitHub\eaglep3\Utilities\DownloadLogsFromS3.py --loco 4012 --day 2017-01-01</t>
  </si>
  <si>
    <t>start /low /b %USERPROFILE%\Documents\GitHub\eaglep3\Utilities\DownloadLogsFromS3.py --loco 4013 --day 2017-01-01</t>
  </si>
  <si>
    <t>start /low /b %USERPROFILE%\Documents\GitHub\eaglep3\Utilities\DownloadLogsFromS3.py --loco 4001 --day 2017-01-02</t>
  </si>
  <si>
    <t>start /low /b %USERPROFILE%\Documents\GitHub\eaglep3\Utilities\DownloadLogsFromS3.py --loco 4022 --day 2017-01-02</t>
  </si>
  <si>
    <t>start /low /b %USERPROFILE%\Documents\GitHub\eaglep3\Utilities\DownloadLogsFromS3.py --loco 4043 --day 2017-01-01</t>
  </si>
  <si>
    <t>start /low /b %USERPROFILE%\Documents\GitHub\eaglep3\Utilities\DownloadLogsFromS3.py --loco 4030 --day 2017-01-02</t>
  </si>
  <si>
    <t>Wi-MAX data drop</t>
  </si>
  <si>
    <t>http://stevetu21.github.io/eaglep3/load_kml.html?kml=http://rtdc.gmaps-snips.s3.amazonaws.com/dccb2015-b0a7-4a29-b72a-f7d7f009aee5.kml</t>
  </si>
  <si>
    <t>http://stevetu21.github.io/eaglep3/load_kml.html?kml=http://rtdc.gmaps-snips.s3.amazonaws.com/1065b4d9-8cfa-4750-8b45-b01c1d41f1ba.kml</t>
  </si>
  <si>
    <t>Went active too close to signal</t>
  </si>
  <si>
    <t>Early arrival</t>
  </si>
  <si>
    <t>http://stevetu21.github.io/eaglep3/load_kml.html?kml=http://rtdc.gmaps-snips.s3.amazonaws.com/b05fec4b-1707-4472-9ffa-7334b919ab5d.kml</t>
  </si>
  <si>
    <t>http://stevetu21.github.io/eaglep3/load_kml.html?kml=http://rtdc.gmaps-snips.s3.amazonaws.com/fb9a48cd-4100-4c3c-8495-324453dfde4a.kml</t>
  </si>
  <si>
    <t>http://stevetu21.github.io/eaglep3/load_kml.html?kml=http://rtdc.gmaps-snips.s3.amazonaws.com/dc453369-7dab-49c8-ab63-d0e91041c480.kml</t>
  </si>
  <si>
    <t>http://stevetu21.github.io/eaglep3/load_kml.html?kml=http://rtdc.gmaps-snips.s3.amazonaws.com/cb36a8e9-faad-45cc-9150-2cc627444ab0.kml</t>
  </si>
  <si>
    <t>http://stevetu21.github.io/eaglep3/load_kml.html?kml=http://rtdc.gmaps-snips.s3.amazonaws.com/765e3041-fb6e-4c81-aab1-b1664c192bfe.kml</t>
  </si>
  <si>
    <t>SYS :2017/01/01 10:37:37.686:ENFORCEMENT:Predictive Enforcement Action:  Target Number: 00001003  Target Speed:   0.0  Current Speed:   3.6</t>
  </si>
  <si>
    <t>SYS :2017/01/01 11:07:12.335:ENFORCEMENT:Predictive Enforcement Action:  Target Number: 00001002  Target Speed:   0.0  Current Speed:   4.9</t>
  </si>
  <si>
    <t>SYS :2017/01/01 11:07:12.908:ENFORCEMENT:Predictive Enforcement Action:  Target Number: 00001002  Target Speed:   0.0  Current Speed:   4.9</t>
  </si>
  <si>
    <t>SYS :2017/01/01 11:07:50.111:ENFORCEMENT:Predictive Enforcement Action:  Target Number: 00001002  Target Speed:   0.0  Current Speed:   2.1</t>
  </si>
  <si>
    <t>SYS :2017/01/01 11:07:50.331:ENFORCEMENT:Predictive Enforcement Action:  Target Number: 00001002  Target Speed:   0.0  Current Speed:   2.0</t>
  </si>
  <si>
    <t>SYS :2017/01/01 11:07:50.909:ENFORCEMENT:Predictive Enforcement Action:  Target Number: 00001002  Target Speed:   0.0  Current Speed:   2.0</t>
  </si>
  <si>
    <t>SYS :2017/01/01 12:42:14.986:ENFORCEMENT:Reactive Enforcement Action:  Target Number: 0001001E  Target Speed:  35.0  Current Speed:  40.0</t>
  </si>
  <si>
    <t>SYS :2017/01/01 12:42:15.232:ENFORCEMENT:Reactive Enforcement Action:  Target Number: 0001001E  Target Speed:  35.0  Current Speed:  40.0</t>
  </si>
  <si>
    <t>SYS :2017/01/01 12:42:15.377:ENFORCEMENT:Reactive Enforcement Action:  Target Number: 0001001E  Target Speed:  35.0  Current Speed:  40.0</t>
  </si>
  <si>
    <t>SYS :2017/01/01 12:54:29.912:ENFORCEMENT:Predictive Enforcement Action:  Target Number: 00001004  Target Speed:   0.0  Current Speed:   2.8</t>
  </si>
  <si>
    <t>SYS :2017/01/01 12:54:30.106:ENFORCEMENT:Predictive Enforcement Action:  Target Number: 00001004  Target Speed:   0.0  Current Speed:   2.8</t>
  </si>
  <si>
    <t>SYS :2017/01/01 12:54:30.338:ENFORCEMENT:Predictive Enforcement Action:  Target Number: 00001004  Target Speed:   0.0  Current Speed:   2.8</t>
  </si>
  <si>
    <t>SYS :2017/01/01 13:03:56.031:ENFORCEMENT:Predictive Enforcement Action:  Target Number: 000060C5  Target Speed:   0.0  Current Speed:  61.2</t>
  </si>
  <si>
    <t>SYS :2017/01/01 13:03:56.494:ENFORCEMENT:Predictive Enforcement Action:  Target Number: 000061E4  Target Speed:   0.0  Current Speed:  60.9</t>
  </si>
  <si>
    <t>SYS :2017/01/01 13:03:57.864:ENFORCEMENT:Predictive Enforcement Action:  Target Number: 0000621A  Target Speed:   0.0  Current Speed:  61.1</t>
  </si>
  <si>
    <t>SYS :2017/01/01 14:05:01.260:ENFORCEMENT:Predictive Enforcement Action:  Target Number: 00010002  Target Speed:  45.0  Current Speed:  50.5</t>
  </si>
  <si>
    <t>SYS :2017/01/01 14:05:01.507:ENFORCEMENT:Reactive Enforcement Action:  Target Number: 00010002  Target Speed:  45.0  Current Speed:  50.5</t>
  </si>
  <si>
    <t>SYS :2017/01/01 14:05:02.145:ENFORCEMENT:Reactive Enforcement Action:  Target Number: 00010002  Target Speed:  45.0  Current Speed:  50.5</t>
  </si>
  <si>
    <t>SYS :2017/01/01 14:51:15.987:ENFORCEMENT:Predictive Enforcement Action:  Target Number: 0000A004  Target Speed:  15.0  Current Speed:  20.2</t>
  </si>
  <si>
    <t>SYS :2017/01/01 14:51:16.258:ENFORCEMENT:Predictive Enforcement Action:  Target Number: 0000A004  Target Speed:  15.0  Current Speed:  20.2</t>
  </si>
  <si>
    <t>SYS :2017/01/01 14:51:16.420:ENFORCEMENT:Predictive Enforcement Action:  Target Number: 0000A004  Target Speed:  15.0  Current Speed:  20.2</t>
  </si>
  <si>
    <t>SYS :2017/01/01 15:43:14.151:ENFORCEMENT:Reactive Enforcement Action:  Target Number: 00010050  Target Speed:  15.0  Current Speed:  20.7</t>
  </si>
  <si>
    <t>SYS :2017/01/01 15:43:14.221:ENFORCEMENT:Reactive Enforcement Action:  Target Number: 00010050  Target Speed:  15.0  Current Speed:  20.7</t>
  </si>
  <si>
    <t>SYS :2017/01/01 15:43:14.438:ENFORCEMENT:Reactive Enforcement Action:  Target Number: 00010050  Target Speed:  15.0  Current Speed:  20.7</t>
  </si>
  <si>
    <t>SYS :2017/01/01 16:05:11.314:ENFORCEMENT:Predictive Enforcement Action:  Target Number: 0000100B  Target Speed:   0.0  Current Speed:   4.2</t>
  </si>
  <si>
    <t>SYS :2017/01/01 16:05:11.686:ENFORCEMENT:Predictive Enforcement Action:  Target Number: 0000100B  Target Speed:   0.0  Current Speed:   4.2</t>
  </si>
  <si>
    <t>SYS :2017/01/01 16:05:11.981:ENFORCEMENT:Predictive Enforcement Action:  Target Number: 0000100B  Target Speed:   0.0  Current Speed:   4.2</t>
  </si>
  <si>
    <t>SYS :2017/01/01 16:20:29.798:ENFORCEMENT:Predictive Enforcement Action:  Target Number: 0000A004  Target Speed:  15.0  Current Speed:  20.7</t>
  </si>
  <si>
    <t>SYS :2017/01/01 16:20:30.538:ENFORCEMENT:Predictive Enforcement Action:  Target Number: 0000A004  Target Speed:  15.0  Current Speed:  20.7</t>
  </si>
  <si>
    <t>SYS :2017/01/01 16:20:30.841:ENFORCEMENT:Predictive Enforcement Action:  Target Number: 0000A004  Target Speed:  15.0  Current Speed:  20.7</t>
  </si>
  <si>
    <t>SYS :2017/01/01 16:21:44.500:ENFORCEMENT:Predictive Enforcement Action:  Target Number: 00001005  Target Speed:   0.0  Current Speed:   5.1</t>
  </si>
  <si>
    <t>SYS :2017/01/01 17:17:01.189:ENFORCEMENT:Reactive Enforcement Action:  Target Number: 0001009D  Target Speed:  20.0  Current Speed:  25.5</t>
  </si>
  <si>
    <t>SYS :2017/01/01 17:17:01.690:ENFORCEMENT:Reactive Enforcement Action:  Target Number: 00010087  Target Speed:  20.0  Current Speed:  25.5</t>
  </si>
  <si>
    <t>SYS :2017/01/01 17:17:02.002:ENFORCEMENT:Reactive Enforcement Action:  Target Number: 0001009D  Target Speed:  20.0  Current Speed:  25.5</t>
  </si>
  <si>
    <t>SYS :2017/01/01 17:36:06.702:ENFORCEMENT:Predictive Enforcement Action:  Target Number: 0000A005  Target Speed:  15.0  Current Speed:  20.0</t>
  </si>
  <si>
    <t>SYS :2017/01/01 17:36:07.325:ENFORCEMENT:Predictive Enforcement Action:  Target Number: 0000A005  Target Speed:  15.0  Current Speed:  20.0</t>
  </si>
  <si>
    <t>SYS :2017/01/01 17:36:08.000:ENFORCEMENT:Predictive Enforcement Action:  Target Number: 0000A005  Target Speed:  15.0  Current Speed:  20.0</t>
  </si>
  <si>
    <t>SYS :2017/01/01 17:40:43.999:ENFORCEMENT:Predictive Enforcement Action:  Target Number: 00006193  Target Speed:   0.0  Current Speed:  80.2</t>
  </si>
  <si>
    <t>SYS :2017/01/01 17:40:45.694:ENFORCEMENT:Predictive Enforcement Action:  Target Number: 00006169  Target Speed:   0.0  Current Speed:  80.2</t>
  </si>
  <si>
    <t>SYS :2017/01/01 17:40:46.175:ENFORCEMENT:Predictive Enforcement Action:  Target Number: 0000619F  Target Speed:   0.0  Current Speed:  80.2</t>
  </si>
  <si>
    <t>SYS :2017/01/01 17:43:53.921:ENFORCEMENT:Reactive Enforcement Action:  Target Number: 0000A005  Target Speed:  15.0  Current Speed:  20.5</t>
  </si>
  <si>
    <t>SYS :2017/01/01 17:43:53.937:ENFORCEMENT:Reactive Enforcement Action:  Target Number: 0000A006  Target Speed:  15.0  Current Speed:  20.5</t>
  </si>
  <si>
    <t>SYS :2017/01/01 17:43:54.379:ENFORCEMENT:Reactive Enforcement Action:  Target Number: 0000A006  Target Speed:  15.0  Current Speed:  20.5</t>
  </si>
  <si>
    <t>SYS :2017/01/01 18:05:37.516:ENFORCEMENT:Predictive Enforcement Action:  Target Number: 00001007  Target Speed:   0.0  Current Speed:   5.8</t>
  </si>
  <si>
    <t>SYS :2017/01/01 18:20:48.987:ENFORCEMENT:Reactive Enforcement Action:  Target Number: 0000A006  Target Speed:  15.0  Current Speed:  20.0</t>
  </si>
  <si>
    <t>SYS :2017/01/01 18:20:49.253:ENFORCEMENT:Reactive Enforcement Action:  Target Number: 0000A006  Target Speed:  15.0  Current Speed:  20.0</t>
  </si>
  <si>
    <t>SYS :2017/01/01 18:20:49.407:ENFORCEMENT:Reactive Enforcement Action:  Target Number: 0000A006  Target Speed:  15.0  Current Speed:  20.0</t>
  </si>
  <si>
    <t>SYS :2017/01/01 19:05:23.887:ENFORCEMENT:Predictive Enforcement Action:  Target Number: 0000100F  Target Speed:   0.0  Current Speed:   5.1</t>
  </si>
  <si>
    <t>SYS :2017/01/01 19:05:24.610:ENFORCEMENT:Predictive Enforcement Action:  Target Number: 0000100F  Target Speed:   0.0  Current Speed:   5.1</t>
  </si>
  <si>
    <t>SYS :2017/01/01 19:05:24.828:ENFORCEMENT:Predictive Enforcement Action:  Target Number: 0000100F  Target Speed:   0.0  Current Speed:   5.1</t>
  </si>
  <si>
    <t>SYS :2017/01/01 19:07:28.872:ENFORCEMENT:Reactive Enforcement Action:  Target Number: 0000A004  Target Speed:  15.0  Current Speed:  20.4</t>
  </si>
  <si>
    <t>SYS :2017/01/01 19:07:29.071:ENFORCEMENT:Reactive Enforcement Action:  Target Number: 0000A004  Target Speed:  15.0  Current Speed:  20.4</t>
  </si>
  <si>
    <t>SYS :2017/01/01 19:07:29.364:ENFORCEMENT:Reactive Enforcement Action:  Target Number: 0000A004  Target Speed:  15.0  Current Speed:  20.4</t>
  </si>
  <si>
    <t>SYS :2017/01/01 19:38:11.540:ENFORCEMENT:Reactive Enforcement Action:  Target Number: 0000A004  Target Speed:  15.0  Current Speed:  20.8</t>
  </si>
  <si>
    <t>SYS :2017/01/01 19:38:12.152:ENFORCEMENT:Reactive Enforcement Action:  Target Number: 0000A004  Target Speed:  15.0  Current Speed:  20.8</t>
  </si>
  <si>
    <t>SYS :2017/01/01 19:38:12.256:ENFORCEMENT:Reactive Enforcement Action:  Target Number: 0000A004  Target Speed:  15.0  Current Speed:  20.8</t>
  </si>
  <si>
    <t>SYS :2017/01/01 20:22:24.379:ENFORCEMENT:Predictive Enforcement Action:  Target Number: 00017078  Target Speed:   0.0  Current Speed:  23.2</t>
  </si>
  <si>
    <t>SYS :2017/01/01 20:22:24.472:ENFORCEMENT:Predictive Enforcement Action:  Target Number: 00017078  Target Speed:   0.0  Current Speed:  23.2</t>
  </si>
  <si>
    <t>SYS :2017/01/01 20:22:24.719:ENFORCEMENT:Predictive Enforcement Action:  Target Number: 00017078  Target Speed:   0.0  Current Speed:  23.2</t>
  </si>
  <si>
    <t>SYS :2017/01/01 21:39:42.354:ENFORCEMENT:Predictive Enforcement Action:  Target Number: 0000100D  Target Speed:   0.0  Current Speed:   9.4</t>
  </si>
  <si>
    <t>SYS :2017/01/01 21:39:42.910:ENFORCEMENT:Predictive Enforcement Action:  Target Number: 00001009  Target Speed:   0.0  Current Speed:   9.4</t>
  </si>
  <si>
    <t>SYS :2017/01/01 21:39:42.922:ENFORCEMENT:Predictive Enforcement Action:  Target Number: 0000100D  Target Speed:   0.0  Current Speed:   9.4</t>
  </si>
  <si>
    <t>SYS :2017/01/01 22:54:13.689:ENFORCEMENT:Predictive Enforcement Action:  Target Number: 0000623D  Target Speed:   0.0  Current Speed:  80.4</t>
  </si>
  <si>
    <t>SYS :2017/01/01 22:54:13.998:ENFORCEMENT:Predictive Enforcement Action:  Target Number: 00006269  Target Speed:   0.0  Current Speed:  80.4</t>
  </si>
  <si>
    <t>SYS :2017/01/01 22:54:15.181:ENFORCEMENT:Predictive Enforcement Action:  Target Number: 00006289  Target Speed:   0.0  Current Speed:  79.8</t>
  </si>
  <si>
    <t>SYS :2017/01/01 23:05:53.919:ENFORCEMENT:Reactive Enforcement Action:  Target Number: 000100BB  Target Speed:  40.0  Current Speed:  45.0</t>
  </si>
  <si>
    <t>SYS :2017/01/01 23:05:53.927:ENFORCEMENT:Reactive Enforcement Action:  Target Number: 000100E3  Target Speed:  40.0  Current Speed:  45.0</t>
  </si>
  <si>
    <t>SYS :2017/01/01 23:05:54.364:ENFORCEMENT:Reactive Enforcement Action:  Target Number: 000100E4  Target Speed:  40.0  Current Speed:  45.0</t>
  </si>
  <si>
    <t>SYS :2017/01/01 23:28:59.263:ENFORCEMENT:Predictive Enforcement Action:  Target Number: 000040E7  Target Speed:   0.0  Current Speed:  67.8</t>
  </si>
  <si>
    <t>SYS :2017/01/01 23:28:59.981:ENFORCEMENT:Reactive Enforcement Action:  Target Number: 000040E7  Target Speed:   0.0  Current Speed:  67.8</t>
  </si>
  <si>
    <t>SYS :2017/01/02 00:12:41.834:ENFORCEMENT:Reactive Enforcement Action:  Target Number: 000170CA  Target Speed:  19.0  Current Speed:  24.8</t>
  </si>
  <si>
    <t>SYS :2017/01/02 00:12:41.894:ENFORCEMENT:Reactive Enforcement Action:  Target Number: 000170CA  Target Speed:  19.0  Current Speed:  24.8</t>
  </si>
  <si>
    <t>SYS :2017/01/02 00:36:49.324:ENFORCEMENT:Predictive Enforcement Action:  Target Number: 00001011  Target Speed:   0.0  Current Speed:   4.5</t>
  </si>
  <si>
    <t>SYS :2017/01/02 00:39:54.613:ENFORCEMENT:Predictive Enforcement Action:  Target Number: 000062E2  Target Speed:   0.0  Current Speed:  80.0</t>
  </si>
  <si>
    <t>SYS :2017/01/02 00:39:55.235:ENFORCEMENT:Predictive Enforcement Action:  Target Number: 000062E8  Target Speed:   0.0  Current Speed:  79.3</t>
  </si>
  <si>
    <t>SYS :2017/01/02 00:39:55.242:ENFORCEMENT:Predictive Enforcement Action:  Target Number: 000062AF  Target Speed:   0.0  Current Speed:  79.3</t>
  </si>
  <si>
    <t>SYS :2017/01/02 01:33:02.849:ENFORCEMENT:Predictive Enforcement Action:  Target Number: 000062A6  Target Speed:   0.0  Current Speed:  18.7</t>
  </si>
  <si>
    <t>SYS :2017/01/02 01:33:03.160:ENFORCEMENT:Predictive Enforcement Action:  Target Number: 000061D9  Target Speed:   0.0  Current Speed:  18.7</t>
  </si>
  <si>
    <t>SYS :2017/01/02 01:33:03.765:ENFORCEMENT:Predictive Enforcement Action:  Target Number: 00006297  Target Speed:   0.0  Current Speed:  20.4</t>
  </si>
  <si>
    <t>SYS :2017/01/02 01:51:00.012:ENFORCEMENT:Predictive Enforcement Action:  Target Number: 00006082  Target Speed:   0.0  Current Speed:  14.2</t>
  </si>
  <si>
    <t>SYS :2017/01/02 01:51:02.097:ENFORCEMENT:Predictive Enforcement Action:  Target Number: 0000607C  Target Speed:   0.0  Current Speed:  14.0</t>
  </si>
  <si>
    <t>SYS :2017/01/02 01:51:02.297:ENFORCEMENT:Predictive Enforcement Action:  Target Number: 0000607D  Target Speed:   0.0  Current Speed:  13.9</t>
  </si>
  <si>
    <t>SYS :2017/01/02 02:27:34.704:ENFORCEMENT:Predictive Enforcement Action:  Target Number: 00010147  Target Speed:  30.0  Current Speed:  42.2</t>
  </si>
  <si>
    <t>SYS :2017/01/02 02:27:34.994:ENFORCEMENT:Predictive Enforcement Action:  Target Number: 00010144  Target Speed:  30.0  Current Speed:  42.2</t>
  </si>
  <si>
    <t>SYS :2017/01/02 02:27:35.322:ENFORCEMENT:Predictive Enforcement Action:  Target Number: 00010144  Target Speed:  30.0  Current Speed:  42.2</t>
  </si>
  <si>
    <t>SYS :2017/01/02 03:40:45.092:ENFORCEMENT:Reactive Enforcement Action:  Target Number: 000060AA  Target Speed:   0.0  Current Speed:   8.3</t>
  </si>
  <si>
    <t>SYS :2017/01/02 03:40:45.119:ENFORCEMENT:Reactive Enforcement Action:  Target Number: 0000407B  Target Speed:   0.0  Current Speed:   8.3</t>
  </si>
  <si>
    <t>SYS :2017/01/02 03:40:45.299:ENFORCEMENT:Reactive Enforcement Action:  Target Number: 000060BC  Target Speed:   0.0  Current Speed:   8.3</t>
  </si>
  <si>
    <t>SYS :2017/01/02 03:40:45.323:ENFORCEMENT:Reactive Enforcement Action:  Target Number: 00004077  Target Speed:   0.0  Current Speed:   8.3</t>
  </si>
  <si>
    <t>SYS :2017/01/02 03:40:46.001:ENFORCEMENT:Reactive Enforcement Action:  Target Number: 000060C2  Target Speed:   0.0  Current Speed:   8.3</t>
  </si>
  <si>
    <t>SYS :2017/01/02 03:40:46.025:ENFORCEMENT:Reactive Enforcement Action:  Target Number: 0000407B  Target Speed:   0.0  Current Speed:   8.3</t>
  </si>
  <si>
    <t>SYS :2017/01/02 03:51:44.607:ENFORCEMENT:Predictive Enforcement Action:  Target Number: 0000101E  Target Speed:   0.0  Current Speed:   8.6</t>
  </si>
  <si>
    <t>SYS :2017/01/02 03:51:44.820:ENFORCEMENT:Predictive Enforcement Action:  Target Number: 0000101E  Target Speed:   0.0  Current Speed:   8.7</t>
  </si>
  <si>
    <t>SYS :2017/01/02 03:51:44.892:ENFORCEMENT:Predictive Enforcement Action:  Target Number: 0000101E  Target Speed:   0.0  Current Speed:   8.6</t>
  </si>
  <si>
    <t>SYS :2017/01/02 04:23:01.982:ENFORCEMENT:Predictive Enforcement Action:  Target Number: 0000101F  Target Speed:   0.0  Current Speed:   2.3</t>
  </si>
  <si>
    <t>SYS :2017/01/02 05:19:29.768:ENFORCEMENT:Predictive Enforcement Action:  Target Number: 00004103  Target Speed:   0.0  Current Speed:  78.0</t>
  </si>
  <si>
    <t>SYS :2017/01/02 05:19:29.854:ENFORCEMENT:Predictive Enforcement Action:  Target Number: 000040DE  Target Speed:   0.0  Current Speed:  78.0</t>
  </si>
  <si>
    <t>SYS :2017/01/02 05:19:30.167:ENFORCEMENT:Predictive Enforcement Action:  Target Number: 000040C0  Target Speed:   0.0  Current Speed:  78.3</t>
  </si>
  <si>
    <t>SYS :2017/01/02 08:05:41.439:ENFORCEMENT:Predictive Enforcement Action:  Target Number: 0000101A  Target Speed:   0.0  Current Speed:   5.1</t>
  </si>
  <si>
    <t>SYS :2017/01/02 08:05:41.697:ENFORCEMENT:Predictive Enforcement Action:  Target Number: 0000101A  Target Speed:   0.0  Current Speed:   5.1</t>
  </si>
  <si>
    <t>SYS :2017/01/02 08:05:43.351:ENFORCEMENT:Predictive Enforcement Action:  Target Number: 0000101A  Target Speed:   0.0  Current Speed:   4.5</t>
  </si>
  <si>
    <t>Banner without braking</t>
  </si>
  <si>
    <t>Wi-MAX data drop, then Onboard in-route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</si>
</sst>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9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dccb2015-b0a7-4a29-b72a-f7d7f009aee5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1065b4d9-8cfa-4750-8b45-b01c1d41f1ba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2"/>
  <sheetViews>
    <sheetView tabSelected="1" topLeftCell="A160" workbookViewId="0">
      <selection activeCell="R181" sqref="R181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4.425781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42736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42736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34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COUNTIFS($N$13:$N$9352,"&gt;0",$AG$13:$AG$9352,I1)</f>
        <v>141</v>
      </c>
      <c r="K5" s="41"/>
      <c r="L5" s="41"/>
      <c r="M5" s="42">
        <f>AVERAGEIFS($N$13:$N$9352,$AG$13:$AG$9352,I1)</f>
        <v>39.108628841795699</v>
      </c>
      <c r="N5" s="40">
        <f t="array" ref="N5">MIN(IF($AG$13:$AG$9352=I1,IF(ISNUMBER($N$13:$N$9352),IF($N$13:$N$9352&gt;0,$N$13:$N$9352))))</f>
        <v>35.016666669398546</v>
      </c>
      <c r="O5" s="3">
        <f t="array" ref="O5">MAX(IF($AG$13:$AG$9352=I1,IF(ISNUMBER($N$13:$N$9352),IF($N$13:$N$9352&gt;0,$N$13:$N$9352))))</f>
        <v>49.333333329996094</v>
      </c>
      <c r="P5" s="2"/>
      <c r="R5" s="76" t="s">
        <v>17</v>
      </c>
      <c r="S5" s="52">
        <f>COUNTIFS($N$13:$N$9352,"&gt;0",$AG$13:$AG$9352,R1)</f>
        <v>33</v>
      </c>
      <c r="T5" s="41"/>
      <c r="U5" s="164"/>
      <c r="V5" s="42">
        <f>AVERAGEIFS($N$13:$N$9352,$AG$13:$AG$9352,R1)</f>
        <v>14.446464645972645</v>
      </c>
      <c r="W5" s="40">
        <f t="array" ref="W5">MIN(IF($AG$13:$AG$9352=R1,IF(ISNUMBER($N$13:$N$9352),IF($N$13:$N$9352&gt;0,$N$13:$N$9352))))</f>
        <v>12.883333327481523</v>
      </c>
      <c r="X5" s="169">
        <f t="array" ref="X5">MAX(IF($AG$13:$AG$9352=R1,IF(ISNUMBER($N$13:$N$9352),IF($N$13:$N$9352&gt;0,$N$13:$N$9352))))</f>
        <v>19.100000001490116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COUNT($O$13:$O$132)</f>
        <v>0</v>
      </c>
      <c r="K6" s="41"/>
      <c r="L6" s="41"/>
      <c r="M6" s="42">
        <f>IFERROR(AVERAGE($O$13:$O$132),0)</f>
        <v>0</v>
      </c>
      <c r="N6" s="40">
        <f>MIN($O$13:$O$132)</f>
        <v>0</v>
      </c>
      <c r="O6" s="3">
        <f>MAX($O$13:$O$132)</f>
        <v>0</v>
      </c>
      <c r="P6" s="2"/>
      <c r="R6" s="77" t="s">
        <v>43</v>
      </c>
      <c r="S6" s="52">
        <f>COUNT($O$13:$O$132)</f>
        <v>0</v>
      </c>
      <c r="T6" s="41"/>
      <c r="U6" s="164"/>
      <c r="V6" s="42">
        <f>IFERROR(AVERAGE($O$13:$O$132),0)</f>
        <v>0</v>
      </c>
      <c r="W6" s="40">
        <f>MIN($O$13:$O$132)</f>
        <v>0</v>
      </c>
      <c r="X6" s="169">
        <f>MAX($O$13:$O$132)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COUNTIFS($P$13:$P$9352,"&gt;0",$AG$13:$AG$9352,I1)</f>
        <v>3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COUNTIFS($P$13:$P$9352,"&gt;0",$AG$13:$AG$9352,R1)</f>
        <v>1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141</v>
      </c>
      <c r="K8" s="41"/>
      <c r="L8" s="41"/>
      <c r="M8" s="42">
        <f>M5</f>
        <v>39.108628841795699</v>
      </c>
      <c r="N8" s="40">
        <f>N5</f>
        <v>35.016666669398546</v>
      </c>
      <c r="O8" s="3">
        <f>O5</f>
        <v>49.333333329996094</v>
      </c>
      <c r="P8" s="2"/>
      <c r="R8" s="76" t="s">
        <v>16</v>
      </c>
      <c r="S8" s="52">
        <f>S5</f>
        <v>33</v>
      </c>
      <c r="T8" s="41"/>
      <c r="U8" s="164"/>
      <c r="V8" s="42">
        <f>V5</f>
        <v>14.446464645972645</v>
      </c>
      <c r="W8" s="40">
        <f>W5</f>
        <v>12.883333327481523</v>
      </c>
      <c r="X8" s="169">
        <f>X5</f>
        <v>19.100000001490116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0.97916666666666663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0.97058823529411764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90" t="str">
        <f>"Eagle P3 System Performance - "&amp;TEXT(Variables!A2,"yyyy-mm-dd")</f>
        <v>Eagle P3 System Performance - 2017-01-01</v>
      </c>
      <c r="B11" s="190"/>
      <c r="C11" s="190"/>
      <c r="D11" s="190"/>
      <c r="E11" s="190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S11" s="66">
        <f>AVERAGE(S13:S96)</f>
        <v>1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426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479</v>
      </c>
      <c r="B13" s="7">
        <v>4003</v>
      </c>
      <c r="C13" s="22" t="s">
        <v>205</v>
      </c>
      <c r="D13" s="22" t="s">
        <v>353</v>
      </c>
      <c r="E13" s="13">
        <v>42736.1325</v>
      </c>
      <c r="F13" s="13">
        <v>42736.135729166665</v>
      </c>
      <c r="G13" s="7">
        <v>1</v>
      </c>
      <c r="H13" s="22" t="s">
        <v>678</v>
      </c>
      <c r="I13" s="13">
        <v>42736.16369212963</v>
      </c>
      <c r="J13" s="7">
        <v>0</v>
      </c>
      <c r="K13" s="105" t="str">
        <f t="shared" ref="K13:K76" si="0">IF(ISEVEN(B13),(B13-1)&amp;"/"&amp;B13,B13&amp;"/"&amp;(B13+1))</f>
        <v>4003/4004</v>
      </c>
      <c r="L13" s="22" t="str">
        <f>VLOOKUP(A13,'Trips&amp;Operators'!$C$1:$G$99999,5,FALSE)</f>
        <v>OUN ZACK</v>
      </c>
      <c r="M13" s="6">
        <f t="shared" ref="M13:M76" si="1">I13-F13</f>
        <v>2.7962962965830229E-2</v>
      </c>
      <c r="N13" s="7">
        <f t="shared" ref="N13:P76" si="2">24*60*SUM($M13:$M13)</f>
        <v>40.26666667079553</v>
      </c>
      <c r="O13" s="7"/>
      <c r="P13" s="7"/>
      <c r="Q13" s="23"/>
      <c r="R13" s="23"/>
      <c r="S13" s="32">
        <f t="shared" ref="S13:S76" si="3">SUM(U13:U13)/IF(AG13="EC",12,1)</f>
        <v>1</v>
      </c>
      <c r="T13" s="47" t="str">
        <f t="shared" ref="T13:T76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https://search-rtdc-monitor-bjffxe2xuh6vdkpspy63sjmuny.us-east-1.es.amazonaws.com/_plugin/kibana/#/discover/Steve-Slow-Train-Analysis-(2080s-and-2083s)?_g=(refreshInterval:(display:Off,section:0,value:0),time:(from:'2017-01-01 02:10:48-700',mode:absolute,to:'2017-01-01 04:55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" s="49" t="str">
        <f t="shared" ref="W13:W76" si="6">IF(AA13&lt;IF(AG13="EC",23,5.65),"Y","N")</f>
        <v>N</v>
      </c>
      <c r="X13" s="173" t="e">
        <f t="shared" ref="X13:X76" si="7">VALUE(LEFT(AD13,4))-VALUE(LEFT(AD12,4))</f>
        <v>#VALUE!</v>
      </c>
      <c r="Y13" s="64">
        <f t="shared" ref="Y13:Y76" si="8">RIGHT(D13,LEN(D13)-4)/10000</f>
        <v>7.5899999999999995E-2</v>
      </c>
      <c r="Z13" s="64">
        <f t="shared" ref="Z13:Z76" si="9">RIGHT(H13,LEN(H13)-4)/10000</f>
        <v>23.332999999999998</v>
      </c>
      <c r="AA13" s="64">
        <f t="shared" ref="AA13:AA76" si="10">ABS(Z13-Y13)</f>
        <v>23.257099999999998</v>
      </c>
      <c r="AB13" s="61" t="e">
        <f>VLOOKUP(A13,Enforcements!$C$7:$K$19,8,0)</f>
        <v>#N/A</v>
      </c>
      <c r="AC13" s="57" t="e">
        <f>VLOOKUP(A13,Enforcements!$C$7:$E$19,3,0)</f>
        <v>#N/A</v>
      </c>
      <c r="AD13" s="58" t="str">
        <f t="shared" ref="AD13:AD76" si="11">IF(LEN(A13)=6,"0"&amp;A13,A13)</f>
        <v>0101-01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/stypes="app*4003*20170101*"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4003 --swversion DE.1.0.8.0 --startMP 204:759 --initTime 2017-01-01T03:10:48 --startdatetime 2017-01-01T03:15:27 --delay 1 --endMP 204:233330 --enddatetime 2017-01-01T03:55:43 --enforcementcount 0 &gt;&gt;C:\Users\stu\Documents\GitHub\eaglep3-reporting\EC\2017-01-01-refined-times.txt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{"issue":{"subject":"","project_id":79,"tracker_id":40,"status_id":1,"priority_id":2,"assigned_to_id":23,"start_date":"2017-01-01","description":"","custom_fields":[{"id":1,"name":"Subdivision","value":"EC"},{"id":4,"name":"Milepost","value":"23.333"},{"id":17,"name":"Train ID","value":"101-01"},{"id":16,"name":"Locomotive ID","value":"4003"},{"id":130,"name":"Impact","value":""},{"id":150,"name":"Time of Event (Mountain Time)","value":"03:55:43"},{"id":151,"name":"Denver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7">"start /low /b "&amp;dls3logs&amp;" --loco "&amp;B13&amp;" --day "&amp;TEXT(F13,"YYYY-MM-DD")</f>
        <v>start /low /b %USERPROFILE%\Documents\GitHub\eaglep3\Utilities\DownloadLogsFromS3.py --loco 4003 --day 2017-01-01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484</v>
      </c>
      <c r="B14" s="7">
        <v>4013</v>
      </c>
      <c r="C14" s="22" t="s">
        <v>205</v>
      </c>
      <c r="D14" s="22" t="s">
        <v>679</v>
      </c>
      <c r="E14" s="13">
        <v>42736.168541666666</v>
      </c>
      <c r="F14" s="13">
        <v>42736.174583333333</v>
      </c>
      <c r="G14" s="7">
        <v>1</v>
      </c>
      <c r="H14" s="22" t="s">
        <v>191</v>
      </c>
      <c r="I14" s="13">
        <v>42736.202974537038</v>
      </c>
      <c r="J14" s="7">
        <v>0</v>
      </c>
      <c r="K14" s="105" t="str">
        <f t="shared" si="0"/>
        <v>4013/4014</v>
      </c>
      <c r="L14" s="22" t="str">
        <f>VLOOKUP(A14,'Trips&amp;Operators'!$C$1:$G$99999,5,FALSE)</f>
        <v>OUN ZACK</v>
      </c>
      <c r="M14" s="6">
        <f t="shared" si="1"/>
        <v>2.8391203704813961E-2</v>
      </c>
      <c r="N14" s="7">
        <f t="shared" si="2"/>
        <v>40.883333334932104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03:02:42-700',mode:absolute,to:'2017-01-01 05:52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" s="49" t="str">
        <f t="shared" si="6"/>
        <v>N</v>
      </c>
      <c r="X14" s="173">
        <f t="shared" si="7"/>
        <v>1</v>
      </c>
      <c r="Y14" s="64">
        <f t="shared" si="8"/>
        <v>23.2666</v>
      </c>
      <c r="Z14" s="64">
        <f t="shared" si="9"/>
        <v>1.49E-2</v>
      </c>
      <c r="AA14" s="64">
        <f t="shared" si="10"/>
        <v>23.2517</v>
      </c>
      <c r="AB14" s="61" t="e">
        <f>VLOOKUP(A14,Enforcements!$C$7:$K$19,8,0)</f>
        <v>#N/A</v>
      </c>
      <c r="AC14" s="57" t="e">
        <f>VLOOKUP(A14,Enforcements!$C$7:$E$19,3,0)</f>
        <v>#N/A</v>
      </c>
      <c r="AD14" s="58" t="str">
        <f t="shared" si="11"/>
        <v>0102-01</v>
      </c>
      <c r="AE14" s="87" t="str">
        <f t="shared" si="12"/>
        <v>aws s3 cp s3://rtdc.mdm.uploadarchive.raw/RTDC4013/ "%USERPROFILE%\AppData\Local\Temp\OnboardLogs"\RTDC4013\2017-01-01 --exclude "*" --recursive --include "*20170101*" &amp; "%USERPROFILE%\Documents\GitHub\mrs-test-scripts\Headless Mode &amp; Sideloading\WalkAndUnGZ.bat" "%USERPROFILE%\AppData\Local\Temp\OnboardLogs"\RTDC4013\2017-01-01 &amp; 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</v>
      </c>
      <c r="AF14" s="84" t="str">
        <f t="shared" si="13"/>
        <v>"C:\Program Files (x86)\AstroGrep\AstroGrep.exe" /spath="%USERPROFILE%\AppData\Local\Temp\OnboardLogs" /stypes="app*4013*20170101*"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4013 --swversion DE.1.0.8.0 --startMP 204:232666 --initTime 2017-01-01T04:02:42 --startdatetime 2017-01-01T04:11:24 --delay 1 --endMP 204:149 --enddatetime 2017-01-01T04:52:17 --enforcementcount 0 &gt;&gt;C:\Users\stu\Documents\GitHub\eaglep3-reporting\EC\2017-01-01-refined-times.txt</v>
      </c>
      <c r="AI14" s="115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{"issue":{"subject":"","project_id":79,"tracker_id":40,"status_id":1,"priority_id":2,"assigned_to_id":23,"start_date":"2017-01-01","description":"","custom_fields":[{"id":1,"name":"Subdivision","value":"EC"},{"id":4,"name":"Milepost","value":"0.0149"},{"id":17,"name":"Train ID","value":"102-01"},{"id":16,"name":"Locomotive ID","value":"4013"},{"id":130,"name":"Impact","value":""},{"id":150,"name":"Time of Event (Mountain Time)","value":"04:52:17"},{"id":151,"name":"Denver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7" si="20">"start /low /b "&amp;dls3logs&amp;" --loco "&amp;B14&amp;" --day "&amp;TEXT(F14,"YYYY-MM-DD")</f>
        <v>start /low /b %USERPROFILE%\Documents\GitHub\eaglep3\Utilities\DownloadLogsFromS3.py --loco 4013 --day 2017-01-01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481</v>
      </c>
      <c r="B15" s="7">
        <v>4002</v>
      </c>
      <c r="C15" s="22" t="s">
        <v>205</v>
      </c>
      <c r="D15" s="22" t="s">
        <v>421</v>
      </c>
      <c r="E15" s="13">
        <v>42736.154004629629</v>
      </c>
      <c r="F15" s="13">
        <v>42736.1565625</v>
      </c>
      <c r="G15" s="7">
        <v>1</v>
      </c>
      <c r="H15" s="22" t="s">
        <v>680</v>
      </c>
      <c r="I15" s="13">
        <v>42736.183055555557</v>
      </c>
      <c r="J15" s="7">
        <v>0</v>
      </c>
      <c r="K15" s="105" t="str">
        <f t="shared" si="0"/>
        <v>4001/4002</v>
      </c>
      <c r="L15" s="22" t="str">
        <f>VLOOKUP(A15,'Trips&amp;Operators'!$C$1:$G$99999,5,FALSE)</f>
        <v>MAELZER KURT</v>
      </c>
      <c r="M15" s="6">
        <f t="shared" si="1"/>
        <v>2.6493055556784384E-2</v>
      </c>
      <c r="N15" s="7">
        <f t="shared" si="2"/>
        <v>38.150000001769513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02:41:46-700',mode:absolute,to:'2017-01-01 05:23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" s="49" t="str">
        <f t="shared" si="6"/>
        <v>N</v>
      </c>
      <c r="X15" s="173">
        <f t="shared" si="7"/>
        <v>1</v>
      </c>
      <c r="Y15" s="64">
        <f t="shared" si="8"/>
        <v>7.1499999999999994E-2</v>
      </c>
      <c r="Z15" s="64">
        <f t="shared" si="9"/>
        <v>23.334199999999999</v>
      </c>
      <c r="AA15" s="64">
        <f t="shared" si="10"/>
        <v>23.262699999999999</v>
      </c>
      <c r="AB15" s="61" t="e">
        <f>VLOOKUP(A15,Enforcements!$C$7:$K$19,8,0)</f>
        <v>#N/A</v>
      </c>
      <c r="AC15" s="57" t="e">
        <f>VLOOKUP(A15,Enforcements!$C$7:$E$19,3,0)</f>
        <v>#N/A</v>
      </c>
      <c r="AD15" s="58" t="str">
        <f t="shared" si="11"/>
        <v>0103-01</v>
      </c>
      <c r="AE15" s="87" t="str">
        <f t="shared" si="12"/>
        <v>aws s3 cp s3://rtdc.mdm.uploadarchive.raw/RTDC4002/ "%USERPROFILE%\AppData\Local\Temp\OnboardLogs"\RTDC4002\2017-01-01 --exclude "*" --recursive --include "*20170101*" &amp; "%USERPROFILE%\Documents\GitHub\mrs-test-scripts\Headless Mode &amp; Sideloading\WalkAndUnGZ.bat" "%USERPROFILE%\AppData\Local\Temp\OnboardLogs"\RTDC4002\2017-01-01 &amp; aws s3 cp s3://rtdc.mdm.uploadarchive.raw/RTDC4002/ "%USERPROFILE%\AppData\Local\Temp\OnboardLogs"\RTDC4002\2017-01-02 --exclude "*" --recursive --include "*20170102*" &amp; "%USERPROFILE%\Documents\GitHub\mrs-test-scripts\Headless Mode &amp; Sideloading\WalkAndUnGZ.bat" "%USERPROFILE%\AppData\Local\Temp\OnboardLogs"\RTDC4002\2017-01-02</v>
      </c>
      <c r="AF15" s="84" t="str">
        <f t="shared" si="13"/>
        <v>"C:\Program Files (x86)\AstroGrep\AstroGrep.exe" /spath="%USERPROFILE%\AppData\Local\Temp\OnboardLogs" /stypes="app*4002*20170101*"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103-01 --locoid 4002 --swversion DE.1.0.8.0 --startMP 204:715 --initTime 2017-01-01T03:41:46 --startdatetime 2017-01-01T03:45:27 --delay 1 --endMP 204:233342 --enddatetime 2017-01-01T04:23:36 --enforcementcount 0 &gt;&gt;C:\Users\stu\Documents\GitHub\eaglep3-reporting\EC\2017-01-01-refined-times.txt</v>
      </c>
      <c r="AI15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{"issue":{"subject":"","project_id":79,"tracker_id":40,"status_id":1,"priority_id":2,"assigned_to_id":23,"start_date":"2017-01-01","description":"","custom_fields":[{"id":1,"name":"Subdivision","value":"EC"},{"id":4,"name":"Milepost","value":"23.3342"},{"id":17,"name":"Train ID","value":"103-01"},{"id":16,"name":"Locomotive ID","value":"4002"},{"id":130,"name":"Impact","value":""},{"id":150,"name":"Time of Event (Mountain Time)","value":"04:23:36"},{"id":151,"name":"Denver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20"/>
        <v>start /low /b %USERPROFILE%\Documents\GitHub\eaglep3\Utilities\DownloadLogsFromS3.py --loco 4002 --day 2017-01-01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492</v>
      </c>
      <c r="B16" s="7">
        <v>4041</v>
      </c>
      <c r="C16" s="22" t="s">
        <v>205</v>
      </c>
      <c r="D16" s="22" t="s">
        <v>681</v>
      </c>
      <c r="E16" s="13">
        <v>42736.188842592594</v>
      </c>
      <c r="F16" s="13">
        <v>42736.195428240739</v>
      </c>
      <c r="G16" s="7">
        <v>1</v>
      </c>
      <c r="H16" s="22" t="s">
        <v>682</v>
      </c>
      <c r="I16" s="13">
        <v>42736.226666666669</v>
      </c>
      <c r="J16" s="7">
        <v>0</v>
      </c>
      <c r="K16" s="105" t="str">
        <f t="shared" si="0"/>
        <v>4041/4042</v>
      </c>
      <c r="L16" s="22" t="str">
        <f>VLOOKUP(A16,'Trips&amp;Operators'!$C$1:$G$99999,5,FALSE)</f>
        <v>MAELZER KURT</v>
      </c>
      <c r="M16" s="6">
        <f t="shared" si="1"/>
        <v>3.1238425930496305E-2</v>
      </c>
      <c r="N16" s="7">
        <f t="shared" si="2"/>
        <v>44.98333333991468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03:31:56-700',mode:absolute,to:'2017-01-01 06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" s="49" t="str">
        <f t="shared" si="6"/>
        <v>N</v>
      </c>
      <c r="X16" s="173">
        <f t="shared" si="7"/>
        <v>1</v>
      </c>
      <c r="Y16" s="64">
        <f t="shared" si="8"/>
        <v>23.270199999999999</v>
      </c>
      <c r="Z16" s="64">
        <f t="shared" si="9"/>
        <v>1.14E-2</v>
      </c>
      <c r="AA16" s="64">
        <f t="shared" si="10"/>
        <v>23.258800000000001</v>
      </c>
      <c r="AB16" s="61" t="e">
        <f>VLOOKUP(A16,Enforcements!$C$7:$K$19,8,0)</f>
        <v>#N/A</v>
      </c>
      <c r="AC16" s="57" t="e">
        <f>VLOOKUP(A16,Enforcements!$C$7:$E$19,3,0)</f>
        <v>#N/A</v>
      </c>
      <c r="AD16" s="58" t="str">
        <f t="shared" si="11"/>
        <v>0104-01</v>
      </c>
      <c r="AE16" s="87" t="str">
        <f t="shared" si="12"/>
        <v>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 &amp; 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</v>
      </c>
      <c r="AF16" s="84" t="str">
        <f t="shared" si="13"/>
        <v>"C:\Program Files (x86)\AstroGrep\AstroGrep.exe" /spath="%USERPROFILE%\AppData\Local\Temp\OnboardLogs" /stypes="app*4041*20170101*"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104-01 --locoid 4041 --swversion DE.1.0.8.0 --startMP 204:232702 --initTime 2017-01-01T04:31:56 --startdatetime 2017-01-01T04:41:25 --delay 1 --endMP 204:114 --enddatetime 2017-01-01T05:26:24 --enforcementcount 0 &gt;&gt;C:\Users\stu\Documents\GitHub\eaglep3-reporting\EC\2017-01-01-refined-times.txt</v>
      </c>
      <c r="AI16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{"issue":{"subject":"","project_id":79,"tracker_id":40,"status_id":1,"priority_id":2,"assigned_to_id":23,"start_date":"2017-01-01","description":"","custom_fields":[{"id":1,"name":"Subdivision","value":"EC"},{"id":4,"name":"Milepost","value":"0.0114"},{"id":17,"name":"Train ID","value":"104-01"},{"id":16,"name":"Locomotive ID","value":"4041"},{"id":130,"name":"Impact","value":""},{"id":150,"name":"Time of Event (Mountain Time)","value":"05:26:24"},{"id":151,"name":"Denver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20"/>
        <v>start /low /b %USERPROFILE%\Documents\GitHub\eaglep3\Utilities\DownloadLogsFromS3.py --loco 4041 --day 2017-01-01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485</v>
      </c>
      <c r="B17" s="7">
        <v>4009</v>
      </c>
      <c r="C17" s="22" t="s">
        <v>205</v>
      </c>
      <c r="D17" s="22" t="s">
        <v>683</v>
      </c>
      <c r="E17" s="13">
        <v>42736.174432870372</v>
      </c>
      <c r="F17" s="13">
        <v>42736.177511574075</v>
      </c>
      <c r="G17" s="7">
        <v>2</v>
      </c>
      <c r="H17" s="22" t="s">
        <v>396</v>
      </c>
      <c r="I17" s="13">
        <v>42736.205023148148</v>
      </c>
      <c r="J17" s="7">
        <v>0</v>
      </c>
      <c r="K17" s="105" t="str">
        <f t="shared" si="0"/>
        <v>4009/4010</v>
      </c>
      <c r="L17" s="22" t="str">
        <f>VLOOKUP(A17,'Trips&amp;Operators'!$C$1:$G$99999,5,FALSE)</f>
        <v>BERLING GARY</v>
      </c>
      <c r="M17" s="6">
        <f t="shared" si="1"/>
        <v>2.7511574073287193E-2</v>
      </c>
      <c r="N17" s="7">
        <f t="shared" si="2"/>
        <v>39.616666665533558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03:11:11-700',mode:absolute,to:'2017-01-01 05:55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" s="49" t="str">
        <f t="shared" si="6"/>
        <v>N</v>
      </c>
      <c r="X17" s="173">
        <f t="shared" si="7"/>
        <v>1</v>
      </c>
      <c r="Y17" s="64">
        <f t="shared" si="8"/>
        <v>7.85E-2</v>
      </c>
      <c r="Z17" s="64">
        <f t="shared" si="9"/>
        <v>23.331600000000002</v>
      </c>
      <c r="AA17" s="64">
        <f t="shared" si="10"/>
        <v>23.253100000000003</v>
      </c>
      <c r="AB17" s="61" t="e">
        <f>VLOOKUP(A17,Enforcements!$C$7:$K$19,8,0)</f>
        <v>#N/A</v>
      </c>
      <c r="AC17" s="57" t="e">
        <f>VLOOKUP(A17,Enforcements!$C$7:$E$19,3,0)</f>
        <v>#N/A</v>
      </c>
      <c r="AD17" s="58" t="str">
        <f t="shared" si="11"/>
        <v>0105-01</v>
      </c>
      <c r="AE17" s="87" t="str">
        <f t="shared" si="12"/>
        <v>aws s3 cp s3://rtdc.mdm.uploadarchive.raw/RTDC4009/ "%USERPROFILE%\AppData\Local\Temp\OnboardLogs"\RTDC4009\2017-01-01 --exclude "*" --recursive --include "*20170101*" &amp; "%USERPROFILE%\Documents\GitHub\mrs-test-scripts\Headless Mode &amp; Sideloading\WalkAndUnGZ.bat" "%USERPROFILE%\AppData\Local\Temp\OnboardLogs"\RTDC4009\2017-01-01 &amp; aws s3 cp s3://rtdc.mdm.uploadarchive.raw/RTDC4009/ "%USERPROFILE%\AppData\Local\Temp\OnboardLogs"\RTDC4009\2017-01-02 --exclude "*" --recursive --include "*20170102*" &amp; "%USERPROFILE%\Documents\GitHub\mrs-test-scripts\Headless Mode &amp; Sideloading\WalkAndUnGZ.bat" "%USERPROFILE%\AppData\Local\Temp\OnboardLogs"\RTDC4009\2017-01-02</v>
      </c>
      <c r="AF17" s="84" t="str">
        <f t="shared" si="13"/>
        <v>"C:\Program Files (x86)\AstroGrep\AstroGrep.exe" /spath="%USERPROFILE%\AppData\Local\Temp\OnboardLogs" /stypes="app*4009*20170101*"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105-01 --locoid 4009 --swversion DE.1.0.8.0 --startMP 204:785 --initTime 2017-01-01T04:11:11 --startdatetime 2017-01-01T04:15:37 --delay 2 --endMP 204:233316 --enddatetime 2017-01-01T04:55:14 --enforcementcount 0 &gt;&gt;C:\Users\stu\Documents\GitHub\eaglep3-reporting\EC\2017-01-01-refined-times.txt</v>
      </c>
      <c r="AI17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{"issue":{"subject":"","project_id":79,"tracker_id":40,"status_id":1,"priority_id":2,"assigned_to_id":23,"start_date":"2017-01-01","description":"","custom_fields":[{"id":1,"name":"Subdivision","value":"EC"},{"id":4,"name":"Milepost","value":"23.3316"},{"id":17,"name":"Train ID","value":"105-01"},{"id":16,"name":"Locomotive ID","value":"4009"},{"id":130,"name":"Impact","value":""},{"id":150,"name":"Time of Event (Mountain Time)","value":"04:55:14"},{"id":151,"name":"Denver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20"/>
        <v>start /low /b %USERPROFILE%\Documents\GitHub\eaglep3\Utilities\DownloadLogsFromS3.py --loco 4009 --day 2017-01-01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433</v>
      </c>
      <c r="B18" s="7">
        <v>4012</v>
      </c>
      <c r="C18" s="22" t="s">
        <v>205</v>
      </c>
      <c r="D18" s="22" t="s">
        <v>684</v>
      </c>
      <c r="E18" s="13">
        <v>42736.214155092595</v>
      </c>
      <c r="F18" s="13">
        <v>42736.21634259259</v>
      </c>
      <c r="G18" s="7">
        <v>1</v>
      </c>
      <c r="H18" s="22" t="s">
        <v>685</v>
      </c>
      <c r="I18" s="13">
        <v>42736.24622685185</v>
      </c>
      <c r="J18" s="7">
        <v>0</v>
      </c>
      <c r="K18" s="105" t="str">
        <f t="shared" si="0"/>
        <v>4011/4012</v>
      </c>
      <c r="L18" s="22" t="str">
        <f>VLOOKUP(A18,'Trips&amp;Operators'!$C$1:$G$99999,5,FALSE)</f>
        <v>BERLING GARY</v>
      </c>
      <c r="M18" s="6">
        <f t="shared" si="1"/>
        <v>2.9884259260143153E-2</v>
      </c>
      <c r="N18" s="7">
        <f t="shared" si="2"/>
        <v>43.033333334606141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04:08:23-700',mode:absolute,to:'2017-01-01 06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" s="49" t="str">
        <f t="shared" si="6"/>
        <v>N</v>
      </c>
      <c r="X18" s="173">
        <f t="shared" si="7"/>
        <v>1</v>
      </c>
      <c r="Y18" s="64">
        <f t="shared" si="8"/>
        <v>23.267700000000001</v>
      </c>
      <c r="Z18" s="64">
        <f t="shared" si="9"/>
        <v>1.09E-2</v>
      </c>
      <c r="AA18" s="64">
        <f t="shared" si="10"/>
        <v>23.256800000000002</v>
      </c>
      <c r="AB18" s="61" t="e">
        <f>VLOOKUP(A18,Enforcements!$C$7:$K$19,8,0)</f>
        <v>#N/A</v>
      </c>
      <c r="AC18" s="57" t="e">
        <f>VLOOKUP(A18,Enforcements!$C$7:$E$19,3,0)</f>
        <v>#N/A</v>
      </c>
      <c r="AD18" s="58" t="str">
        <f t="shared" si="11"/>
        <v>0106-01</v>
      </c>
      <c r="AE18" s="87" t="str">
        <f t="shared" si="12"/>
        <v>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 &amp; 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</v>
      </c>
      <c r="AF18" s="84" t="str">
        <f t="shared" si="13"/>
        <v>"C:\Program Files (x86)\AstroGrep\AstroGrep.exe" /spath="%USERPROFILE%\AppData\Local\Temp\OnboardLogs" /stypes="app*4012*20170101*"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106-01 --locoid 4012 --swversion DE.1.0.8.0 --startMP 204:232677 --initTime 2017-01-01T05:08:23 --startdatetime 2017-01-01T05:11:32 --delay 1 --endMP 204:109 --enddatetime 2017-01-01T05:54:34 --enforcementcount 0 &gt;&gt;C:\Users\stu\Documents\GitHub\eaglep3-reporting\EC\2017-01-01-refined-times.txt</v>
      </c>
      <c r="AI18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{"issue":{"subject":"","project_id":79,"tracker_id":40,"status_id":1,"priority_id":2,"assigned_to_id":23,"start_date":"2017-01-01","description":"","custom_fields":[{"id":1,"name":"Subdivision","value":"EC"},{"id":4,"name":"Milepost","value":"0.0109"},{"id":17,"name":"Train ID","value":"106-01"},{"id":16,"name":"Locomotive ID","value":"4012"},{"id":130,"name":"Impact","value":""},{"id":150,"name":"Time of Event (Mountain Time)","value":"05:54:34"},{"id":151,"name":"Denver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20"/>
        <v>start /low /b %USERPROFILE%\Documents\GitHub\eaglep3\Utilities\DownloadLogsFromS3.py --loco 4012 --day 2017-01-01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491</v>
      </c>
      <c r="B19" s="7">
        <v>4022</v>
      </c>
      <c r="C19" s="22" t="s">
        <v>205</v>
      </c>
      <c r="D19" s="22" t="s">
        <v>686</v>
      </c>
      <c r="E19" s="13">
        <v>42736.186099537037</v>
      </c>
      <c r="F19" s="13">
        <v>42736.187719907408</v>
      </c>
      <c r="G19" s="7">
        <v>2</v>
      </c>
      <c r="H19" s="22" t="s">
        <v>324</v>
      </c>
      <c r="I19" s="13">
        <v>42736.21603009259</v>
      </c>
      <c r="J19" s="7">
        <v>0</v>
      </c>
      <c r="K19" s="105" t="str">
        <f t="shared" si="0"/>
        <v>4021/4022</v>
      </c>
      <c r="L19" s="22" t="str">
        <f>VLOOKUP(A19,'Trips&amp;Operators'!$C$1:$G$99999,5,FALSE)</f>
        <v>DAVIS WENDY</v>
      </c>
      <c r="M19" s="6">
        <f t="shared" si="1"/>
        <v>2.8310185181908309E-2</v>
      </c>
      <c r="N19" s="7">
        <f t="shared" si="2"/>
        <v>40.766666661947966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03:27:59-700',mode:absolute,to:'2017-01-01 06:11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" s="49" t="str">
        <f t="shared" si="6"/>
        <v>N</v>
      </c>
      <c r="X19" s="173">
        <f t="shared" si="7"/>
        <v>1</v>
      </c>
      <c r="Y19" s="64">
        <f t="shared" si="8"/>
        <v>4.3499999999999997E-2</v>
      </c>
      <c r="Z19" s="64">
        <f t="shared" si="9"/>
        <v>23.331700000000001</v>
      </c>
      <c r="AA19" s="64">
        <f t="shared" si="10"/>
        <v>23.2882</v>
      </c>
      <c r="AB19" s="61" t="e">
        <f>VLOOKUP(A19,Enforcements!$C$7:$K$19,8,0)</f>
        <v>#N/A</v>
      </c>
      <c r="AC19" s="57" t="e">
        <f>VLOOKUP(A19,Enforcements!$C$7:$E$19,3,0)</f>
        <v>#N/A</v>
      </c>
      <c r="AD19" s="58" t="str">
        <f t="shared" si="11"/>
        <v>0107-01</v>
      </c>
      <c r="AE19" s="87" t="str">
        <f t="shared" si="12"/>
        <v>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 &amp; aws s3 cp s3://rtdc.mdm.uploadarchive.raw/RTDC4022/ "%USERPROFILE%\AppData\Local\Temp\OnboardLogs"\RTDC4022\2017-01-02 --exclude "*" --recursive --include "*20170102*" &amp; "%USERPROFILE%\Documents\GitHub\mrs-test-scripts\Headless Mode &amp; Sideloading\WalkAndUnGZ.bat" "%USERPROFILE%\AppData\Local\Temp\OnboardLogs"\RTDC4022\2017-01-02</v>
      </c>
      <c r="AF19" s="84" t="str">
        <f t="shared" si="13"/>
        <v>"C:\Program Files (x86)\AstroGrep\AstroGrep.exe" /spath="%USERPROFILE%\AppData\Local\Temp\OnboardLogs" /stypes="app*4022*20170101*"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107-01 --locoid 4022 --swversion DE.1.0.8.0 --startMP 204:435 --initTime 2017-01-01T04:27:59 --startdatetime 2017-01-01T04:30:19 --delay 2 --endMP 204:233317 --enddatetime 2017-01-01T05:11:05 --enforcementcount 0 &gt;&gt;C:\Users\stu\Documents\GitHub\eaglep3-reporting\EC\2017-01-01-refined-times.txt</v>
      </c>
      <c r="AI19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{"issue":{"subject":"","project_id":79,"tracker_id":40,"status_id":1,"priority_id":2,"assigned_to_id":23,"start_date":"2017-01-01","description":"","custom_fields":[{"id":1,"name":"Subdivision","value":"EC"},{"id":4,"name":"Milepost","value":"23.3317"},{"id":17,"name":"Train ID","value":"107-01"},{"id":16,"name":"Locomotive ID","value":"4022"},{"id":130,"name":"Impact","value":""},{"id":150,"name":"Time of Event (Mountain Time)","value":"05:11:05"},{"id":151,"name":"Denver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20"/>
        <v>start /low /b %USERPROFILE%\Documents\GitHub\eaglep3\Utilities\DownloadLogsFromS3.py --loco 4022 --day 2017-01-01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498</v>
      </c>
      <c r="B20" s="7">
        <v>4021</v>
      </c>
      <c r="C20" s="22" t="s">
        <v>205</v>
      </c>
      <c r="D20" s="22" t="s">
        <v>358</v>
      </c>
      <c r="E20" s="13">
        <v>42736.218969907408</v>
      </c>
      <c r="F20" s="13">
        <v>42736.226620370369</v>
      </c>
      <c r="G20" s="7">
        <v>2</v>
      </c>
      <c r="H20" s="22" t="s">
        <v>253</v>
      </c>
      <c r="I20" s="13">
        <v>42736.260879629626</v>
      </c>
      <c r="J20" s="7">
        <v>0</v>
      </c>
      <c r="K20" s="105" t="str">
        <f t="shared" si="0"/>
        <v>4021/4022</v>
      </c>
      <c r="L20" s="22" t="str">
        <f>VLOOKUP(A20,'Trips&amp;Operators'!$C$1:$G$99999,5,FALSE)</f>
        <v>DAVIS WENDY</v>
      </c>
      <c r="M20" s="6">
        <f t="shared" si="1"/>
        <v>3.4259259256941732E-2</v>
      </c>
      <c r="N20" s="7">
        <f t="shared" si="2"/>
        <v>49.333333329996094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04:15:19-700',mode:absolute,to:'2017-01-01 07:15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" s="49" t="str">
        <f t="shared" si="6"/>
        <v>N</v>
      </c>
      <c r="X20" s="173">
        <f t="shared" si="7"/>
        <v>1</v>
      </c>
      <c r="Y20" s="64">
        <f t="shared" si="8"/>
        <v>23.300799999999999</v>
      </c>
      <c r="Z20" s="64">
        <f t="shared" si="9"/>
        <v>1.3899999999999999E-2</v>
      </c>
      <c r="AA20" s="64">
        <f t="shared" si="10"/>
        <v>23.286899999999999</v>
      </c>
      <c r="AB20" s="61" t="e">
        <f>VLOOKUP(A20,Enforcements!$C$7:$K$19,8,0)</f>
        <v>#N/A</v>
      </c>
      <c r="AC20" s="57" t="e">
        <f>VLOOKUP(A20,Enforcements!$C$7:$E$19,3,0)</f>
        <v>#N/A</v>
      </c>
      <c r="AD20" s="58" t="str">
        <f t="shared" si="11"/>
        <v>0108-01</v>
      </c>
      <c r="AE20" s="87" t="str">
        <f t="shared" si="12"/>
        <v>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 &amp; 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</v>
      </c>
      <c r="AF20" s="84" t="str">
        <f t="shared" si="13"/>
        <v>"C:\Program Files (x86)\AstroGrep\AstroGrep.exe" /spath="%USERPROFILE%\AppData\Local\Temp\OnboardLogs" /stypes="app*4021*20170101*"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108-01 --locoid 4021 --swversion DE.1.0.8.0 --startMP 204:233008 --initTime 2017-01-01T05:15:19 --startdatetime 2017-01-01T05:26:20 --delay 2 --endMP 204:139 --enddatetime 2017-01-01T06:15:40 --enforcementcount 0 &gt;&gt;C:\Users\stu\Documents\GitHub\eaglep3-reporting\EC\2017-01-01-refined-times.txt</v>
      </c>
      <c r="AI20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{"issue":{"subject":"","project_id":79,"tracker_id":40,"status_id":1,"priority_id":2,"assigned_to_id":23,"start_date":"2017-01-01","description":"","custom_fields":[{"id":1,"name":"Subdivision","value":"EC"},{"id":4,"name":"Milepost","value":"0.0139"},{"id":17,"name":"Train ID","value":"108-01"},{"id":16,"name":"Locomotive ID","value":"4021"},{"id":130,"name":"Impact","value":""},{"id":150,"name":"Time of Event (Mountain Time)","value":"06:15:40"},{"id":151,"name":"Denver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20"/>
        <v>start /low /b %USERPROFILE%\Documents\GitHub\eaglep3\Utilities\DownloadLogsFromS3.py --loco 4021 --day 2017-01-01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493</v>
      </c>
      <c r="B21" s="7">
        <v>4007</v>
      </c>
      <c r="C21" s="22" t="s">
        <v>205</v>
      </c>
      <c r="D21" s="22" t="s">
        <v>338</v>
      </c>
      <c r="E21" s="13">
        <v>42736.195277777777</v>
      </c>
      <c r="F21" s="13">
        <v>42736.19809027778</v>
      </c>
      <c r="G21" s="7">
        <v>1</v>
      </c>
      <c r="H21" s="22" t="s">
        <v>267</v>
      </c>
      <c r="I21" s="13">
        <v>42736.230162037034</v>
      </c>
      <c r="J21" s="7">
        <v>0</v>
      </c>
      <c r="K21" s="105" t="str">
        <f t="shared" si="0"/>
        <v>4007/4008</v>
      </c>
      <c r="L21" s="22" t="str">
        <f>VLOOKUP(A21,'Trips&amp;Operators'!$C$1:$G$99999,5,FALSE)</f>
        <v>ROBINSON KADDIBA</v>
      </c>
      <c r="M21" s="6">
        <f t="shared" si="1"/>
        <v>3.2071759254904464E-2</v>
      </c>
      <c r="N21" s="7">
        <f t="shared" si="2"/>
        <v>46.183333327062428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03:41:12-700',mode:absolute,to:'2017-01-01 06:31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" s="49" t="str">
        <f t="shared" si="6"/>
        <v>N</v>
      </c>
      <c r="X21" s="173">
        <f t="shared" si="7"/>
        <v>1</v>
      </c>
      <c r="Y21" s="64">
        <f t="shared" si="8"/>
        <v>4.6600000000000003E-2</v>
      </c>
      <c r="Z21" s="64">
        <f t="shared" si="9"/>
        <v>23.329899999999999</v>
      </c>
      <c r="AA21" s="64">
        <f t="shared" si="10"/>
        <v>23.283299999999997</v>
      </c>
      <c r="AB21" s="61" t="e">
        <f>VLOOKUP(A21,Enforcements!$C$7:$K$19,8,0)</f>
        <v>#N/A</v>
      </c>
      <c r="AC21" s="57" t="e">
        <f>VLOOKUP(A21,Enforcements!$C$7:$E$19,3,0)</f>
        <v>#N/A</v>
      </c>
      <c r="AD21" s="58" t="str">
        <f t="shared" si="11"/>
        <v>0109-01</v>
      </c>
      <c r="AE21" s="87" t="str">
        <f t="shared" si="12"/>
        <v>aws s3 cp s3://rtdc.mdm.uploadarchive.raw/RTDC4007/ "%USERPROFILE%\AppData\Local\Temp\OnboardLogs"\RTDC4007\2017-01-01 --exclude "*" --recursive --include "*20170101*" &amp; "%USERPROFILE%\Documents\GitHub\mrs-test-scripts\Headless Mode &amp; Sideloading\WalkAndUnGZ.bat" "%USERPROFILE%\AppData\Local\Temp\OnboardLogs"\RTDC4007\2017-01-01 &amp; 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</v>
      </c>
      <c r="AF21" s="84" t="str">
        <f t="shared" si="13"/>
        <v>"C:\Program Files (x86)\AstroGrep\AstroGrep.exe" /spath="%USERPROFILE%\AppData\Local\Temp\OnboardLogs" /stypes="app*4007*20170101*"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109-01 --locoid 4007 --swversion DE.1.0.8.0 --startMP 204:466 --initTime 2017-01-01T04:41:12 --startdatetime 2017-01-01T04:45:15 --delay 1 --endMP 204:233299 --enddatetime 2017-01-01T05:31:26 --enforcementcount 0 &gt;&gt;C:\Users\stu\Documents\GitHub\eaglep3-reporting\EC\2017-01-01-refined-times.txt</v>
      </c>
      <c r="AI21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{"issue":{"subject":"","project_id":79,"tracker_id":40,"status_id":1,"priority_id":2,"assigned_to_id":23,"start_date":"2017-01-01","description":"","custom_fields":[{"id":1,"name":"Subdivision","value":"EC"},{"id":4,"name":"Milepost","value":"23.3299"},{"id":17,"name":"Train ID","value":"109-01"},{"id":16,"name":"Locomotive ID","value":"4007"},{"id":130,"name":"Impact","value":""},{"id":150,"name":"Time of Event (Mountain Time)","value":"05:31:26"},{"id":151,"name":"Denver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20"/>
        <v>start /low /b %USERPROFILE%\Documents\GitHub\eaglep3\Utilities\DownloadLogsFromS3.py --loco 4007 --day 2017-01-01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432</v>
      </c>
      <c r="B22" s="7">
        <v>4008</v>
      </c>
      <c r="C22" s="22" t="s">
        <v>205</v>
      </c>
      <c r="D22" s="22" t="s">
        <v>404</v>
      </c>
      <c r="E22" s="13">
        <v>42736.233356481483</v>
      </c>
      <c r="F22" s="13">
        <v>42736.236990740741</v>
      </c>
      <c r="G22" s="7">
        <v>1</v>
      </c>
      <c r="H22" s="22" t="s">
        <v>341</v>
      </c>
      <c r="I22" s="13">
        <v>42736.269849537035</v>
      </c>
      <c r="J22" s="7">
        <v>0</v>
      </c>
      <c r="K22" s="105" t="str">
        <f t="shared" si="0"/>
        <v>4007/4008</v>
      </c>
      <c r="L22" s="22" t="str">
        <f>VLOOKUP(A22,'Trips&amp;Operators'!$C$1:$G$99999,5,FALSE)</f>
        <v>ROBINSON KADDIBA</v>
      </c>
      <c r="M22" s="6">
        <f t="shared" si="1"/>
        <v>3.2858796294021886E-2</v>
      </c>
      <c r="N22" s="7">
        <f t="shared" si="2"/>
        <v>47.316666663391516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04:36:02-700',mode:absolute,to:'2017-01-01 07:28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" s="49" t="str">
        <f t="shared" si="6"/>
        <v>N</v>
      </c>
      <c r="X22" s="173">
        <f t="shared" si="7"/>
        <v>1</v>
      </c>
      <c r="Y22" s="64">
        <f t="shared" si="8"/>
        <v>23.296700000000001</v>
      </c>
      <c r="Z22" s="64">
        <f t="shared" si="9"/>
        <v>1.6899999999999998E-2</v>
      </c>
      <c r="AA22" s="64">
        <f t="shared" si="10"/>
        <v>23.279800000000002</v>
      </c>
      <c r="AB22" s="61" t="str">
        <f>VLOOKUP(A22,Enforcements!$C$7:$K$19,8,0)</f>
        <v>Speed (6)</v>
      </c>
      <c r="AC22" s="57" t="str">
        <f>VLOOKUP(A22,Enforcements!$C$7:$E$19,3,0)</f>
        <v>PERMANENT SPEED RESTRICTION</v>
      </c>
      <c r="AD22" s="58" t="str">
        <f t="shared" si="11"/>
        <v>0110-01</v>
      </c>
      <c r="AE22" s="87" t="str">
        <f t="shared" si="12"/>
        <v>aws s3 cp s3://rtdc.mdm.uploadarchive.raw/RTDC4008/ "%USERPROFILE%\AppData\Local\Temp\OnboardLogs"\RTDC4008\2017-01-01 --exclude "*" --recursive --include "*20170101*" &amp; "%USERPROFILE%\Documents\GitHub\mrs-test-scripts\Headless Mode &amp; Sideloading\WalkAndUnGZ.bat" "%USERPROFILE%\AppData\Local\Temp\OnboardLogs"\RTDC4008\2017-01-01 &amp; 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</v>
      </c>
      <c r="AF22" s="84" t="str">
        <f t="shared" si="13"/>
        <v>"C:\Program Files (x86)\AstroGrep\AstroGrep.exe" /spath="%USERPROFILE%\AppData\Local\Temp\OnboardLogs" /stypes="app*4008*20170101*"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110-01 --locoid 4008 --swversion DE.1.0.8.0 --startMP 204:232967 --initTime 2017-01-01T05:36:02 --startdatetime 2017-01-01T05:41:16 --delay 1 --endMP 204:169 --enddatetime 2017-01-01T06:28:35 --enforcementcount 0 &gt;&gt;C:\Users\stu\Documents\GitHub\eaglep3-reporting\EC\2017-01-01-refined-times.txt</v>
      </c>
      <c r="AI22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{"issue":{"subject":"","project_id":79,"tracker_id":40,"status_id":1,"priority_id":2,"assigned_to_id":23,"start_date":"2017-01-01","description":"","custom_fields":[{"id":1,"name":"Subdivision","value":"EC"},{"id":4,"name":"Milepost","value":"0.0169"},{"id":17,"name":"Train ID","value":"110-01"},{"id":16,"name":"Locomotive ID","value":"4008"},{"id":130,"name":"Impact","value":""},{"id":150,"name":"Time of Event (Mountain Time)","value":"06:28:35"},{"id":151,"name":"Denver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20"/>
        <v>start /low /b %USERPROFILE%\Documents\GitHub\eaglep3\Utilities\DownloadLogsFromS3.py --loco 4008 --day 2017-01-01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494</v>
      </c>
      <c r="B23" s="7">
        <v>4003</v>
      </c>
      <c r="C23" s="22" t="s">
        <v>205</v>
      </c>
      <c r="D23" s="22" t="s">
        <v>687</v>
      </c>
      <c r="E23" s="13">
        <v>42736.206307870372</v>
      </c>
      <c r="F23" s="13">
        <v>42736.208715277775</v>
      </c>
      <c r="G23" s="7">
        <v>1</v>
      </c>
      <c r="H23" s="22" t="s">
        <v>408</v>
      </c>
      <c r="I23" s="13">
        <v>42736.241863425923</v>
      </c>
      <c r="J23" s="7">
        <v>0</v>
      </c>
      <c r="K23" s="105" t="str">
        <f t="shared" si="0"/>
        <v>4003/4004</v>
      </c>
      <c r="L23" s="22" t="str">
        <f>VLOOKUP(A23,'Trips&amp;Operators'!$C$1:$G$99999,5,FALSE)</f>
        <v>GEBRETEKLE DAGNEW</v>
      </c>
      <c r="M23" s="6">
        <f t="shared" si="1"/>
        <v>3.3148148148029577E-2</v>
      </c>
      <c r="N23" s="7">
        <f t="shared" si="2"/>
        <v>47.733333333162591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03:57:05-700',mode:absolute,to:'2017-01-01 06:48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3" s="49" t="str">
        <f t="shared" si="6"/>
        <v>N</v>
      </c>
      <c r="X23" s="173">
        <f t="shared" si="7"/>
        <v>1</v>
      </c>
      <c r="Y23" s="64">
        <f t="shared" si="8"/>
        <v>7.4300000000000005E-2</v>
      </c>
      <c r="Z23" s="64">
        <f t="shared" si="9"/>
        <v>23.330200000000001</v>
      </c>
      <c r="AA23" s="64">
        <f t="shared" si="10"/>
        <v>23.2559</v>
      </c>
      <c r="AB23" s="61" t="e">
        <f>VLOOKUP(A23,Enforcements!$C$7:$K$19,8,0)</f>
        <v>#N/A</v>
      </c>
      <c r="AC23" s="57" t="e">
        <f>VLOOKUP(A23,Enforcements!$C$7:$E$19,3,0)</f>
        <v>#N/A</v>
      </c>
      <c r="AD23" s="58" t="str">
        <f t="shared" si="11"/>
        <v>0111-01</v>
      </c>
      <c r="AE23" s="87" t="str">
        <f t="shared" si="12"/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AF23" s="84" t="str">
        <f t="shared" si="13"/>
        <v>"C:\Program Files (x86)\AstroGrep\AstroGrep.exe" /spath="%USERPROFILE%\AppData\Local\Temp\OnboardLogs" /stypes="app*4003*20170101*"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111-01 --locoid 4003 --swversion DE.1.0.8.0 --startMP 204:743 --initTime 2017-01-01T04:57:05 --startdatetime 2017-01-01T05:00:33 --delay 1 --endMP 204:233302 --enddatetime 2017-01-01T05:48:17 --enforcementcount 0 &gt;&gt;C:\Users\stu\Documents\GitHub\eaglep3-reporting\EC\2017-01-01-refined-times.txt</v>
      </c>
      <c r="AI23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{"issue":{"subject":"","project_id":79,"tracker_id":40,"status_id":1,"priority_id":2,"assigned_to_id":23,"start_date":"2017-01-01","description":"","custom_fields":[{"id":1,"name":"Subdivision","value":"EC"},{"id":4,"name":"Milepost","value":"23.3302"},{"id":17,"name":"Train ID","value":"111-01"},{"id":16,"name":"Locomotive ID","value":"4003"},{"id":130,"name":"Impact","value":""},{"id":150,"name":"Time of Event (Mountain Time)","value":"05:48:17"},{"id":151,"name":"Denver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20"/>
        <v>start /low /b %USERPROFILE%\Documents\GitHub\eaglep3\Utilities\DownloadLogsFromS3.py --loco 4003 --day 2017-01-01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503</v>
      </c>
      <c r="B24" s="7">
        <v>4004</v>
      </c>
      <c r="C24" s="22" t="s">
        <v>205</v>
      </c>
      <c r="D24" s="22" t="s">
        <v>330</v>
      </c>
      <c r="E24" s="13">
        <v>42736.244363425925</v>
      </c>
      <c r="F24" s="13">
        <v>42736.247395833336</v>
      </c>
      <c r="G24" s="7">
        <v>1</v>
      </c>
      <c r="H24" s="22" t="s">
        <v>323</v>
      </c>
      <c r="I24" s="13">
        <v>42736.275555555556</v>
      </c>
      <c r="J24" s="7">
        <v>0</v>
      </c>
      <c r="K24" s="105" t="str">
        <f t="shared" si="0"/>
        <v>4003/4004</v>
      </c>
      <c r="L24" s="22" t="str">
        <f>VLOOKUP(A24,'Trips&amp;Operators'!$C$1:$G$99999,5,FALSE)</f>
        <v>GEBRETEKLE DAGNEW</v>
      </c>
      <c r="M24" s="6">
        <f t="shared" si="1"/>
        <v>2.8159722220152617E-2</v>
      </c>
      <c r="N24" s="7">
        <f t="shared" si="2"/>
        <v>40.549999997019768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04:51:53-700',mode:absolute,to:'2017-01-01 07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4" s="49" t="str">
        <f t="shared" si="6"/>
        <v>N</v>
      </c>
      <c r="X24" s="173">
        <f t="shared" si="7"/>
        <v>1</v>
      </c>
      <c r="Y24" s="64">
        <f t="shared" si="8"/>
        <v>23.2989</v>
      </c>
      <c r="Z24" s="64">
        <f t="shared" si="9"/>
        <v>1.5599999999999999E-2</v>
      </c>
      <c r="AA24" s="64">
        <f t="shared" si="10"/>
        <v>23.283300000000001</v>
      </c>
      <c r="AB24" s="61" t="e">
        <f>VLOOKUP(A24,Enforcements!$C$7:$K$19,8,0)</f>
        <v>#N/A</v>
      </c>
      <c r="AC24" s="57" t="e">
        <f>VLOOKUP(A24,Enforcements!$C$7:$E$19,3,0)</f>
        <v>#N/A</v>
      </c>
      <c r="AD24" s="58" t="str">
        <f t="shared" si="11"/>
        <v>0112-01</v>
      </c>
      <c r="AE24" s="87" t="str">
        <f t="shared" si="12"/>
        <v>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 &amp; aws s3 cp s3://rtdc.mdm.uploadarchive.raw/RTDC4004/ "%USERPROFILE%\AppData\Local\Temp\OnboardLogs"\RTDC4004\2017-01-02 --exclude "*" --recursive --include "*20170102*" &amp; "%USERPROFILE%\Documents\GitHub\mrs-test-scripts\Headless Mode &amp; Sideloading\WalkAndUnGZ.bat" "%USERPROFILE%\AppData\Local\Temp\OnboardLogs"\RTDC4004\2017-01-02</v>
      </c>
      <c r="AF24" s="84" t="str">
        <f t="shared" si="13"/>
        <v>"C:\Program Files (x86)\AstroGrep\AstroGrep.exe" /spath="%USERPROFILE%\AppData\Local\Temp\OnboardLogs" /stypes="app*4004*20170101*"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112-01 --locoid 4004 --swversion DE.1.0.8.0 --startMP 204:232989 --initTime 2017-01-01T05:51:53 --startdatetime 2017-01-01T05:56:15 --delay 1 --endMP 204:156 --enddatetime 2017-01-01T06:36:48 --enforcementcount 0 &gt;&gt;C:\Users\stu\Documents\GitHub\eaglep3-reporting\EC\2017-01-01-refined-times.txt</v>
      </c>
      <c r="AI24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{"issue":{"subject":"","project_id":79,"tracker_id":40,"status_id":1,"priority_id":2,"assigned_to_id":23,"start_date":"2017-01-01","description":"","custom_fields":[{"id":1,"name":"Subdivision","value":"EC"},{"id":4,"name":"Milepost","value":"0.0156"},{"id":17,"name":"Train ID","value":"112-01"},{"id":16,"name":"Locomotive ID","value":"4004"},{"id":130,"name":"Impact","value":""},{"id":150,"name":"Time of Event (Mountain Time)","value":"06:36:48"},{"id":151,"name":"Denver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20"/>
        <v>start /low /b %USERPROFILE%\Documents\GitHub\eaglep3\Utilities\DownloadLogsFromS3.py --loco 4004 --day 2017-01-01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497</v>
      </c>
      <c r="B25" s="7">
        <v>4014</v>
      </c>
      <c r="C25" s="22" t="s">
        <v>205</v>
      </c>
      <c r="D25" s="22" t="s">
        <v>194</v>
      </c>
      <c r="E25" s="13">
        <v>42736.213206018518</v>
      </c>
      <c r="F25" s="13">
        <v>42736.218946759262</v>
      </c>
      <c r="G25" s="7">
        <v>1</v>
      </c>
      <c r="H25" s="22" t="s">
        <v>398</v>
      </c>
      <c r="I25" s="13">
        <v>42736.247986111113</v>
      </c>
      <c r="J25" s="7">
        <v>0</v>
      </c>
      <c r="K25" s="105" t="str">
        <f t="shared" si="0"/>
        <v>4013/4014</v>
      </c>
      <c r="L25" s="22" t="str">
        <f>VLOOKUP(A25,'Trips&amp;Operators'!$C$1:$G$99999,5,FALSE)</f>
        <v>OUN ZACK</v>
      </c>
      <c r="M25" s="6">
        <f t="shared" si="1"/>
        <v>2.9039351851679385E-2</v>
      </c>
      <c r="N25" s="7">
        <f t="shared" si="2"/>
        <v>41.816666666418314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04:07:01-700',mode:absolute,to:'2017-01-01 06:57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5" s="49" t="str">
        <f t="shared" si="6"/>
        <v>N</v>
      </c>
      <c r="X25" s="173">
        <f t="shared" si="7"/>
        <v>1</v>
      </c>
      <c r="Y25" s="64">
        <f t="shared" si="8"/>
        <v>4.5100000000000001E-2</v>
      </c>
      <c r="Z25" s="64">
        <f t="shared" si="9"/>
        <v>23.330500000000001</v>
      </c>
      <c r="AA25" s="64">
        <f t="shared" si="10"/>
        <v>23.285399999999999</v>
      </c>
      <c r="AB25" s="61" t="e">
        <f>VLOOKUP(A25,Enforcements!$C$7:$K$19,8,0)</f>
        <v>#N/A</v>
      </c>
      <c r="AC25" s="57" t="e">
        <f>VLOOKUP(A25,Enforcements!$C$7:$E$19,3,0)</f>
        <v>#N/A</v>
      </c>
      <c r="AD25" s="58" t="str">
        <f t="shared" si="11"/>
        <v>0113-01</v>
      </c>
      <c r="AE25" s="87" t="str">
        <f t="shared" si="12"/>
        <v>aws s3 cp s3://rtdc.mdm.uploadarchive.raw/RTDC4014/ "%USERPROFILE%\AppData\Local\Temp\OnboardLogs"\RTDC4014\2017-01-01 --exclude "*" --recursive --include "*20170101*" &amp; "%USERPROFILE%\Documents\GitHub\mrs-test-scripts\Headless Mode &amp; Sideloading\WalkAndUnGZ.bat" "%USERPROFILE%\AppData\Local\Temp\OnboardLogs"\RTDC4014\2017-01-01 &amp; 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</v>
      </c>
      <c r="AF25" s="84" t="str">
        <f t="shared" si="13"/>
        <v>"C:\Program Files (x86)\AstroGrep\AstroGrep.exe" /spath="%USERPROFILE%\AppData\Local\Temp\OnboardLogs" /stypes="app*4014*20170101*"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113-01 --locoid 4014 --swversion DE.1.0.8.0 --startMP 204:451 --initTime 2017-01-01T05:07:01 --startdatetime 2017-01-01T05:15:17 --delay 1 --endMP 204:233305 --enddatetime 2017-01-01T05:57:06 --enforcementcount 0 &gt;&gt;C:\Users\stu\Documents\GitHub\eaglep3-reporting\EC\2017-01-01-refined-times.txt</v>
      </c>
      <c r="AI25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{"issue":{"subject":"","project_id":79,"tracker_id":40,"status_id":1,"priority_id":2,"assigned_to_id":23,"start_date":"2017-01-01","description":"","custom_fields":[{"id":1,"name":"Subdivision","value":"EC"},{"id":4,"name":"Milepost","value":"23.3305"},{"id":17,"name":"Train ID","value":"113-01"},{"id":16,"name":"Locomotive ID","value":"4014"},{"id":130,"name":"Impact","value":""},{"id":150,"name":"Time of Event (Mountain Time)","value":"05:57:06"},{"id":151,"name":"Denver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20"/>
        <v>start /low /b %USERPROFILE%\Documents\GitHub\eaglep3\Utilities\DownloadLogsFromS3.py --loco 4014 --day 2017-01-01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506</v>
      </c>
      <c r="B26" s="7">
        <v>4013</v>
      </c>
      <c r="C26" s="22" t="s">
        <v>205</v>
      </c>
      <c r="D26" s="22" t="s">
        <v>403</v>
      </c>
      <c r="E26" s="13">
        <v>42736.252696759257</v>
      </c>
      <c r="F26" s="13">
        <v>42736.257870370369</v>
      </c>
      <c r="G26" s="7">
        <v>1</v>
      </c>
      <c r="H26" s="22" t="s">
        <v>297</v>
      </c>
      <c r="I26" s="13">
        <v>42736.290011574078</v>
      </c>
      <c r="J26" s="7">
        <v>0</v>
      </c>
      <c r="K26" s="105" t="str">
        <f t="shared" si="0"/>
        <v>4013/4014</v>
      </c>
      <c r="L26" s="22" t="str">
        <f>VLOOKUP(A26,'Trips&amp;Operators'!$C$1:$G$99999,5,FALSE)</f>
        <v>OUN ZACK</v>
      </c>
      <c r="M26" s="6">
        <f t="shared" si="1"/>
        <v>3.2141203708306421E-2</v>
      </c>
      <c r="N26" s="7">
        <f t="shared" si="2"/>
        <v>46.283333339961246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05:03:53-700',mode:absolute,to:'2017-01-01 07:57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6" s="49" t="str">
        <f t="shared" si="6"/>
        <v>N</v>
      </c>
      <c r="X26" s="173">
        <f t="shared" si="7"/>
        <v>1</v>
      </c>
      <c r="Y26" s="64">
        <f t="shared" si="8"/>
        <v>23.298400000000001</v>
      </c>
      <c r="Z26" s="64">
        <f t="shared" si="9"/>
        <v>1.52E-2</v>
      </c>
      <c r="AA26" s="64">
        <f t="shared" si="10"/>
        <v>23.283200000000001</v>
      </c>
      <c r="AB26" s="61" t="e">
        <f>VLOOKUP(A26,Enforcements!$C$7:$K$19,8,0)</f>
        <v>#N/A</v>
      </c>
      <c r="AC26" s="57" t="e">
        <f>VLOOKUP(A26,Enforcements!$C$7:$E$19,3,0)</f>
        <v>#N/A</v>
      </c>
      <c r="AD26" s="58" t="str">
        <f t="shared" si="11"/>
        <v>0114-01</v>
      </c>
      <c r="AE26" s="87" t="str">
        <f t="shared" si="12"/>
        <v>aws s3 cp s3://rtdc.mdm.uploadarchive.raw/RTDC4013/ "%USERPROFILE%\AppData\Local\Temp\OnboardLogs"\RTDC4013\2017-01-01 --exclude "*" --recursive --include "*20170101*" &amp; "%USERPROFILE%\Documents\GitHub\mrs-test-scripts\Headless Mode &amp; Sideloading\WalkAndUnGZ.bat" "%USERPROFILE%\AppData\Local\Temp\OnboardLogs"\RTDC4013\2017-01-01 &amp; 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</v>
      </c>
      <c r="AF26" s="84" t="str">
        <f t="shared" si="13"/>
        <v>"C:\Program Files (x86)\AstroGrep\AstroGrep.exe" /spath="%USERPROFILE%\AppData\Local\Temp\OnboardLogs" /stypes="app*4013*20170101*"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114-01 --locoid 4013 --swversion DE.1.0.8.0 --startMP 204:232984 --initTime 2017-01-01T06:03:53 --startdatetime 2017-01-01T06:11:20 --delay 1 --endMP 204:152 --enddatetime 2017-01-01T06:57:37 --enforcementcount 0 &gt;&gt;C:\Users\stu\Documents\GitHub\eaglep3-reporting\EC\2017-01-01-refined-times.txt</v>
      </c>
      <c r="AI26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{"issue":{"subject":"","project_id":79,"tracker_id":40,"status_id":1,"priority_id":2,"assigned_to_id":23,"start_date":"2017-01-01","description":"","custom_fields":[{"id":1,"name":"Subdivision","value":"EC"},{"id":4,"name":"Milepost","value":"0.0152"},{"id":17,"name":"Train ID","value":"114-01"},{"id":16,"name":"Locomotive ID","value":"4013"},{"id":130,"name":"Impact","value":""},{"id":150,"name":"Time of Event (Mountain Time)","value":"06:57:37"},{"id":151,"name":"Denver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20"/>
        <v>start /low /b %USERPROFILE%\Documents\GitHub\eaglep3\Utilities\DownloadLogsFromS3.py --loco 4013 --day 2017-01-01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434</v>
      </c>
      <c r="B27" s="7">
        <v>4002</v>
      </c>
      <c r="C27" s="22" t="s">
        <v>205</v>
      </c>
      <c r="D27" s="22" t="s">
        <v>688</v>
      </c>
      <c r="E27" s="13">
        <v>42736.228541666664</v>
      </c>
      <c r="F27" s="13">
        <v>42736.232534722221</v>
      </c>
      <c r="G27" s="7">
        <v>2</v>
      </c>
      <c r="H27" s="22" t="s">
        <v>689</v>
      </c>
      <c r="I27" s="13">
        <v>42736.253125000003</v>
      </c>
      <c r="J27" s="7">
        <v>0</v>
      </c>
      <c r="K27" s="105" t="str">
        <f t="shared" si="0"/>
        <v>4001/4002</v>
      </c>
      <c r="L27" s="22" t="str">
        <f>VLOOKUP(A27,'Trips&amp;Operators'!$C$1:$G$99999,5,FALSE)</f>
        <v>SHOOK JOHN</v>
      </c>
      <c r="M27" s="6">
        <f t="shared" si="1"/>
        <v>2.0590277781593613E-2</v>
      </c>
      <c r="N27" s="7"/>
      <c r="O27" s="7"/>
      <c r="P27" s="7">
        <f t="shared" si="2"/>
        <v>29.650000005494803</v>
      </c>
      <c r="Q27" s="23"/>
      <c r="R27" s="23" t="s">
        <v>822</v>
      </c>
      <c r="S27" s="32">
        <f t="shared" si="3"/>
        <v>1</v>
      </c>
      <c r="T27" s="47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04:29:06-700',mode:absolute,to:'2017-01-01 07:04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7" s="49" t="str">
        <f t="shared" si="6"/>
        <v>Y</v>
      </c>
      <c r="X27" s="173">
        <f t="shared" si="7"/>
        <v>1</v>
      </c>
      <c r="Y27" s="64">
        <f t="shared" si="8"/>
        <v>7.6100000000000001E-2</v>
      </c>
      <c r="Z27" s="64">
        <f t="shared" si="9"/>
        <v>14.1891</v>
      </c>
      <c r="AA27" s="64">
        <f t="shared" si="10"/>
        <v>14.113</v>
      </c>
      <c r="AB27" s="61" t="str">
        <f>VLOOKUP(A27,Enforcements!$C$7:$K$19,8,0)</f>
        <v>Signal based authority (5)</v>
      </c>
      <c r="AC27" s="57" t="str">
        <f>VLOOKUP(A27,Enforcements!$C$7:$E$19,3,0)</f>
        <v>SIGNAL</v>
      </c>
      <c r="AD27" s="58" t="str">
        <f t="shared" si="11"/>
        <v>0115-01</v>
      </c>
      <c r="AE27" s="87" t="str">
        <f t="shared" si="12"/>
        <v>aws s3 cp s3://rtdc.mdm.uploadarchive.raw/RTDC4002/ "%USERPROFILE%\AppData\Local\Temp\OnboardLogs"\RTDC4002\2017-01-01 --exclude "*" --recursive --include "*20170101*" &amp; "%USERPROFILE%\Documents\GitHub\mrs-test-scripts\Headless Mode &amp; Sideloading\WalkAndUnGZ.bat" "%USERPROFILE%\AppData\Local\Temp\OnboardLogs"\RTDC4002\2017-01-01 &amp; aws s3 cp s3://rtdc.mdm.uploadarchive.raw/RTDC4002/ "%USERPROFILE%\AppData\Local\Temp\OnboardLogs"\RTDC4002\2017-01-02 --exclude "*" --recursive --include "*20170102*" &amp; "%USERPROFILE%\Documents\GitHub\mrs-test-scripts\Headless Mode &amp; Sideloading\WalkAndUnGZ.bat" "%USERPROFILE%\AppData\Local\Temp\OnboardLogs"\RTDC4002\2017-01-02</v>
      </c>
      <c r="AF27" s="84" t="str">
        <f t="shared" si="13"/>
        <v>"C:\Program Files (x86)\AstroGrep\AstroGrep.exe" /spath="%USERPROFILE%\AppData\Local\Temp\OnboardLogs" /stypes="app*4002*20170101*"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115-01 --locoid 4002 --swversion DE.1.0.8.0 --startMP 204:761 --initTime 2017-01-01T05:29:06 --startdatetime 2017-01-01T05:34:51 --delay 2 --endMP 204:141891 --enddatetime 2017-01-01T06:04:30 --enforcementcount 0 &gt;&gt;C:\Users\stu\Documents\GitHub\eaglep3-reporting\EC\2017-01-01-refined-times.txt</v>
      </c>
      <c r="AI27" s="115" t="str">
        <f t="shared" si="19"/>
        <v>echo {"issue":{"subject":"Wi-MAX data drop","project_id":79,"tracker_id":40,"status_id":1,"priority_id":2,"assigned_to_id":23,"start_date":"2017-01-01","description":"","custom_fields":[{"id":1,"name":"Subdivision","value":"EC"},{"id":4,"name":"Milepost","value":"14.1891"},{"id":17,"name":"Train ID","value":"115-01"},{"id":16,"name":"Locomotive ID","value":"4002"},{"id":130,"name":"Impact","value":""},{"id":150,"name":"Time of Event (Mountain Time)","value":"06:04:30"},{"id":151,"name":"Denver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20"/>
        <v>start /low /b %USERPROFILE%\Documents\GitHub\eaglep3\Utilities\DownloadLogsFromS3.py --loco 4002 --day 2017-01-01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508</v>
      </c>
      <c r="B28" s="7">
        <v>4001</v>
      </c>
      <c r="C28" s="22" t="s">
        <v>205</v>
      </c>
      <c r="D28" s="22" t="s">
        <v>690</v>
      </c>
      <c r="E28" s="13">
        <v>42736.267893518518</v>
      </c>
      <c r="F28" s="13">
        <v>42736.269618055558</v>
      </c>
      <c r="G28" s="7">
        <v>1</v>
      </c>
      <c r="H28" s="22" t="s">
        <v>233</v>
      </c>
      <c r="I28" s="13">
        <v>42736.298726851855</v>
      </c>
      <c r="J28" s="7">
        <v>0</v>
      </c>
      <c r="K28" s="105" t="str">
        <f t="shared" si="0"/>
        <v>4001/4002</v>
      </c>
      <c r="L28" s="22" t="str">
        <f>VLOOKUP(A28,'Trips&amp;Operators'!$C$1:$G$99999,5,FALSE)</f>
        <v>SHOOK JOHN</v>
      </c>
      <c r="M28" s="6">
        <f t="shared" si="1"/>
        <v>2.9108796297805384E-2</v>
      </c>
      <c r="N28" s="7">
        <f t="shared" si="2"/>
        <v>41.916666668839753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05:25:46-700',mode:absolute,to:'2017-01-01 08:10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8" s="49" t="str">
        <f t="shared" si="6"/>
        <v>N</v>
      </c>
      <c r="X28" s="173">
        <f t="shared" si="7"/>
        <v>1</v>
      </c>
      <c r="Y28" s="64">
        <f t="shared" si="8"/>
        <v>23.296800000000001</v>
      </c>
      <c r="Z28" s="64">
        <f t="shared" si="9"/>
        <v>1.4500000000000001E-2</v>
      </c>
      <c r="AA28" s="64">
        <f t="shared" si="10"/>
        <v>23.282299999999999</v>
      </c>
      <c r="AB28" s="61" t="e">
        <f>VLOOKUP(A28,Enforcements!$C$7:$K$19,8,0)</f>
        <v>#N/A</v>
      </c>
      <c r="AC28" s="57" t="e">
        <f>VLOOKUP(A28,Enforcements!$C$7:$E$19,3,0)</f>
        <v>#N/A</v>
      </c>
      <c r="AD28" s="58" t="str">
        <f t="shared" si="11"/>
        <v>0116-01</v>
      </c>
      <c r="AE28" s="87" t="str">
        <f t="shared" si="12"/>
        <v>aws s3 cp s3://rtdc.mdm.uploadarchive.raw/RTDC4001/ "%USERPROFILE%\AppData\Local\Temp\OnboardLogs"\RTDC4001\2017-01-01 --exclude "*" --recursive --include "*20170101*" &amp; "%USERPROFILE%\Documents\GitHub\mrs-test-scripts\Headless Mode &amp; Sideloading\WalkAndUnGZ.bat" "%USERPROFILE%\AppData\Local\Temp\OnboardLogs"\RTDC4001\2017-01-01 &amp; aws s3 cp s3://rtdc.mdm.uploadarchive.raw/RTDC4001/ "%USERPROFILE%\AppData\Local\Temp\OnboardLogs"\RTDC4001\2017-01-02 --exclude "*" --recursive --include "*20170102*" &amp; "%USERPROFILE%\Documents\GitHub\mrs-test-scripts\Headless Mode &amp; Sideloading\WalkAndUnGZ.bat" "%USERPROFILE%\AppData\Local\Temp\OnboardLogs"\RTDC4001\2017-01-02</v>
      </c>
      <c r="AF28" s="84" t="str">
        <f t="shared" si="13"/>
        <v>"C:\Program Files (x86)\AstroGrep\AstroGrep.exe" /spath="%USERPROFILE%\AppData\Local\Temp\OnboardLogs" /stypes="app*4001*20170101*"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116-01 --locoid 4001 --swversion DE.1.0.8.0 --startMP 204:232968 --initTime 2017-01-01T06:25:46 --startdatetime 2017-01-01T06:28:15 --delay 1 --endMP 204:145 --enddatetime 2017-01-01T07:10:10 --enforcementcount 0 &gt;&gt;C:\Users\stu\Documents\GitHub\eaglep3-reporting\EC\2017-01-01-refined-times.txt</v>
      </c>
      <c r="AI28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{"issue":{"subject":"","project_id":79,"tracker_id":40,"status_id":1,"priority_id":2,"assigned_to_id":23,"start_date":"2017-01-01","description":"","custom_fields":[{"id":1,"name":"Subdivision","value":"EC"},{"id":4,"name":"Milepost","value":"0.0145"},{"id":17,"name":"Train ID","value":"116-01"},{"id":16,"name":"Locomotive ID","value":"4001"},{"id":130,"name":"Impact","value":""},{"id":150,"name":"Time of Event (Mountain Time)","value":"07:10:10"},{"id":151,"name":"Denver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20"/>
        <v>start /low /b %USERPROFILE%\Documents\GitHub\eaglep3\Utilities\DownloadLogsFromS3.py --loco 4001 --day 2017-01-01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501</v>
      </c>
      <c r="B29" s="7">
        <v>4042</v>
      </c>
      <c r="C29" s="22" t="s">
        <v>205</v>
      </c>
      <c r="D29" s="22" t="s">
        <v>266</v>
      </c>
      <c r="E29" s="13">
        <v>42736.234074074076</v>
      </c>
      <c r="F29" s="13">
        <v>42736.239837962959</v>
      </c>
      <c r="G29" s="7">
        <v>3</v>
      </c>
      <c r="H29" s="22" t="s">
        <v>309</v>
      </c>
      <c r="I29" s="13">
        <v>42736.267939814818</v>
      </c>
      <c r="J29" s="7">
        <v>0</v>
      </c>
      <c r="K29" s="105" t="str">
        <f t="shared" si="0"/>
        <v>4041/4042</v>
      </c>
      <c r="L29" s="22" t="str">
        <f>VLOOKUP(A29,'Trips&amp;Operators'!$C$1:$G$99999,5,FALSE)</f>
        <v>MAELZER KURT</v>
      </c>
      <c r="M29" s="6">
        <f t="shared" si="1"/>
        <v>2.8101851858082227E-2</v>
      </c>
      <c r="N29" s="7">
        <f t="shared" si="2"/>
        <v>40.466666675638407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04:37:04-700',mode:absolute,to:'2017-01-01 07:25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9" s="49" t="str">
        <f t="shared" si="6"/>
        <v>N</v>
      </c>
      <c r="X29" s="173">
        <f t="shared" si="7"/>
        <v>1</v>
      </c>
      <c r="Y29" s="64">
        <f t="shared" si="8"/>
        <v>4.3999999999999997E-2</v>
      </c>
      <c r="Z29" s="64">
        <f t="shared" si="9"/>
        <v>23.3307</v>
      </c>
      <c r="AA29" s="64">
        <f t="shared" si="10"/>
        <v>23.2867</v>
      </c>
      <c r="AB29" s="61" t="e">
        <f>VLOOKUP(A29,Enforcements!$C$7:$K$19,8,0)</f>
        <v>#N/A</v>
      </c>
      <c r="AC29" s="57" t="e">
        <f>VLOOKUP(A29,Enforcements!$C$7:$E$19,3,0)</f>
        <v>#N/A</v>
      </c>
      <c r="AD29" s="58" t="str">
        <f t="shared" si="11"/>
        <v>0117-01</v>
      </c>
      <c r="AE29" s="87" t="str">
        <f t="shared" si="12"/>
        <v>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 &amp; 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</v>
      </c>
      <c r="AF29" s="84" t="str">
        <f t="shared" si="13"/>
        <v>"C:\Program Files (x86)\AstroGrep\AstroGrep.exe" /spath="%USERPROFILE%\AppData\Local\Temp\OnboardLogs" /stypes="app*4042*20170101*"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117-01 --locoid 4042 --swversion DE.1.0.8.0 --startMP 204:440 --initTime 2017-01-01T05:37:04 --startdatetime 2017-01-01T05:45:22 --delay 3 --endMP 204:233307 --enddatetime 2017-01-01T06:25:50 --enforcementcount 0 &gt;&gt;C:\Users\stu\Documents\GitHub\eaglep3-reporting\EC\2017-01-01-refined-times.txt</v>
      </c>
      <c r="AI29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{"issue":{"subject":"","project_id":79,"tracker_id":40,"status_id":1,"priority_id":2,"assigned_to_id":23,"start_date":"2017-01-01","description":"","custom_fields":[{"id":1,"name":"Subdivision","value":"EC"},{"id":4,"name":"Milepost","value":"23.3307"},{"id":17,"name":"Train ID","value":"117-01"},{"id":16,"name":"Locomotive ID","value":"4042"},{"id":130,"name":"Impact","value":""},{"id":150,"name":"Time of Event (Mountain Time)","value":"06:25:50"},{"id":151,"name":"Denver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20"/>
        <v>start /low /b %USERPROFILE%\Documents\GitHub\eaglep3\Utilities\DownloadLogsFromS3.py --loco 4042 --day 2017-01-01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511</v>
      </c>
      <c r="B30" s="7">
        <v>4041</v>
      </c>
      <c r="C30" s="22" t="s">
        <v>205</v>
      </c>
      <c r="D30" s="22" t="s">
        <v>273</v>
      </c>
      <c r="E30" s="13">
        <v>42736.277615740742</v>
      </c>
      <c r="F30" s="13">
        <v>42736.279224537036</v>
      </c>
      <c r="G30" s="7">
        <v>1</v>
      </c>
      <c r="H30" s="22" t="s">
        <v>308</v>
      </c>
      <c r="I30" s="13">
        <v>42736.306481481479</v>
      </c>
      <c r="J30" s="7">
        <v>0</v>
      </c>
      <c r="K30" s="105" t="str">
        <f t="shared" si="0"/>
        <v>4041/4042</v>
      </c>
      <c r="L30" s="22" t="str">
        <f>VLOOKUP(A30,'Trips&amp;Operators'!$C$1:$G$99999,5,FALSE)</f>
        <v>MAELZER KURT</v>
      </c>
      <c r="M30" s="6">
        <f t="shared" si="1"/>
        <v>2.7256944442342501E-2</v>
      </c>
      <c r="N30" s="7">
        <f t="shared" si="2"/>
        <v>39.249999996973202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05:39:46-700',mode:absolute,to:'2017-01-01 08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0" s="49" t="str">
        <f t="shared" si="6"/>
        <v>N</v>
      </c>
      <c r="X30" s="173">
        <f t="shared" si="7"/>
        <v>1</v>
      </c>
      <c r="Y30" s="64">
        <f t="shared" si="8"/>
        <v>23.297799999999999</v>
      </c>
      <c r="Z30" s="64">
        <f t="shared" si="9"/>
        <v>1.41E-2</v>
      </c>
      <c r="AA30" s="64">
        <f t="shared" si="10"/>
        <v>23.2837</v>
      </c>
      <c r="AB30" s="61" t="e">
        <f>VLOOKUP(A30,Enforcements!$C$7:$K$19,8,0)</f>
        <v>#N/A</v>
      </c>
      <c r="AC30" s="57" t="e">
        <f>VLOOKUP(A30,Enforcements!$C$7:$E$19,3,0)</f>
        <v>#N/A</v>
      </c>
      <c r="AD30" s="58" t="str">
        <f t="shared" si="11"/>
        <v>0118-01</v>
      </c>
      <c r="AE30" s="87" t="str">
        <f t="shared" si="12"/>
        <v>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 &amp; 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</v>
      </c>
      <c r="AF30" s="84" t="str">
        <f t="shared" si="13"/>
        <v>"C:\Program Files (x86)\AstroGrep\AstroGrep.exe" /spath="%USERPROFILE%\AppData\Local\Temp\OnboardLogs" /stypes="app*4041*20170101*"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118-01 --locoid 4041 --swversion DE.1.0.8.0 --startMP 204:232978 --initTime 2017-01-01T06:39:46 --startdatetime 2017-01-01T06:42:05 --delay 1 --endMP 204:141 --enddatetime 2017-01-01T07:21:20 --enforcementcount 0 &gt;&gt;C:\Users\stu\Documents\GitHub\eaglep3-reporting\EC\2017-01-01-refined-times.txt</v>
      </c>
      <c r="AI30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{"issue":{"subject":"","project_id":79,"tracker_id":40,"status_id":1,"priority_id":2,"assigned_to_id":23,"start_date":"2017-01-01","description":"","custom_fields":[{"id":1,"name":"Subdivision","value":"EC"},{"id":4,"name":"Milepost","value":"0.0141"},{"id":17,"name":"Train ID","value":"118-01"},{"id":16,"name":"Locomotive ID","value":"4041"},{"id":130,"name":"Impact","value":""},{"id":150,"name":"Time of Event (Mountain Time)","value":"07:21:20"},{"id":151,"name":"Denver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20"/>
        <v>start /low /b %USERPROFILE%\Documents\GitHub\eaglep3\Utilities\DownloadLogsFromS3.py --loco 4041 --day 2017-01-01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505</v>
      </c>
      <c r="B31" s="7">
        <v>4009</v>
      </c>
      <c r="C31" s="22" t="s">
        <v>205</v>
      </c>
      <c r="D31" s="22" t="s">
        <v>691</v>
      </c>
      <c r="E31" s="13">
        <v>42736.250613425924</v>
      </c>
      <c r="F31" s="13">
        <v>42736.253657407404</v>
      </c>
      <c r="G31" s="7">
        <v>1</v>
      </c>
      <c r="H31" s="22" t="s">
        <v>360</v>
      </c>
      <c r="I31" s="13">
        <v>42736.284444444442</v>
      </c>
      <c r="J31" s="7">
        <v>0</v>
      </c>
      <c r="K31" s="105" t="str">
        <f t="shared" si="0"/>
        <v>4009/4010</v>
      </c>
      <c r="L31" s="22" t="str">
        <f>VLOOKUP(A31,'Trips&amp;Operators'!$C$1:$G$99999,5,FALSE)</f>
        <v>BERLING GARY</v>
      </c>
      <c r="M31" s="6">
        <f t="shared" si="1"/>
        <v>3.0787037037953269E-2</v>
      </c>
      <c r="N31" s="7">
        <f t="shared" si="2"/>
        <v>44.333333334652707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05:00:53-700',mode:absolute,to:'2017-01-01 07:49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1" s="49" t="str">
        <f t="shared" si="6"/>
        <v>N</v>
      </c>
      <c r="X31" s="173">
        <f t="shared" si="7"/>
        <v>1</v>
      </c>
      <c r="Y31" s="64">
        <f t="shared" si="8"/>
        <v>7.2999999999999995E-2</v>
      </c>
      <c r="Z31" s="64">
        <f t="shared" si="9"/>
        <v>23.331399999999999</v>
      </c>
      <c r="AA31" s="64">
        <f t="shared" si="10"/>
        <v>23.258399999999998</v>
      </c>
      <c r="AB31" s="61" t="e">
        <f>VLOOKUP(A31,Enforcements!$C$7:$K$19,8,0)</f>
        <v>#N/A</v>
      </c>
      <c r="AC31" s="57" t="e">
        <f>VLOOKUP(A31,Enforcements!$C$7:$E$19,3,0)</f>
        <v>#N/A</v>
      </c>
      <c r="AD31" s="58" t="str">
        <f t="shared" si="11"/>
        <v>0119-01</v>
      </c>
      <c r="AE31" s="87" t="str">
        <f t="shared" si="12"/>
        <v>aws s3 cp s3://rtdc.mdm.uploadarchive.raw/RTDC4009/ "%USERPROFILE%\AppData\Local\Temp\OnboardLogs"\RTDC4009\2017-01-01 --exclude "*" --recursive --include "*20170101*" &amp; "%USERPROFILE%\Documents\GitHub\mrs-test-scripts\Headless Mode &amp; Sideloading\WalkAndUnGZ.bat" "%USERPROFILE%\AppData\Local\Temp\OnboardLogs"\RTDC4009\2017-01-01 &amp; aws s3 cp s3://rtdc.mdm.uploadarchive.raw/RTDC4009/ "%USERPROFILE%\AppData\Local\Temp\OnboardLogs"\RTDC4009\2017-01-02 --exclude "*" --recursive --include "*20170102*" &amp; "%USERPROFILE%\Documents\GitHub\mrs-test-scripts\Headless Mode &amp; Sideloading\WalkAndUnGZ.bat" "%USERPROFILE%\AppData\Local\Temp\OnboardLogs"\RTDC4009\2017-01-02</v>
      </c>
      <c r="AF31" s="84" t="str">
        <f t="shared" si="13"/>
        <v>"C:\Program Files (x86)\AstroGrep\AstroGrep.exe" /spath="%USERPROFILE%\AppData\Local\Temp\OnboardLogs" /stypes="app*4009*20170101*"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119-01 --locoid 4009 --swversion DE.1.0.8.0 --startMP 204:730 --initTime 2017-01-01T06:00:53 --startdatetime 2017-01-01T06:05:16 --delay 1 --endMP 204:233314 --enddatetime 2017-01-01T06:49:36 --enforcementcount 0 &gt;&gt;C:\Users\stu\Documents\GitHub\eaglep3-reporting\EC\2017-01-01-refined-times.txt</v>
      </c>
      <c r="AI31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{"issue":{"subject":"","project_id":79,"tracker_id":40,"status_id":1,"priority_id":2,"assigned_to_id":23,"start_date":"2017-01-01","description":"","custom_fields":[{"id":1,"name":"Subdivision","value":"EC"},{"id":4,"name":"Milepost","value":"23.3314"},{"id":17,"name":"Train ID","value":"119-01"},{"id":16,"name":"Locomotive ID","value":"4009"},{"id":130,"name":"Impact","value":""},{"id":150,"name":"Time of Event (Mountain Time)","value":"06:49:36"},{"id":151,"name":"Denver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20"/>
        <v>start /low /b %USERPROFILE%\Documents\GitHub\eaglep3\Utilities\DownloadLogsFromS3.py --loco 4009 --day 2017-01-01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436</v>
      </c>
      <c r="B32" s="7">
        <v>4010</v>
      </c>
      <c r="C32" s="22" t="s">
        <v>205</v>
      </c>
      <c r="D32" s="22" t="s">
        <v>358</v>
      </c>
      <c r="E32" s="13">
        <v>42736.28869212963</v>
      </c>
      <c r="F32" s="13">
        <v>42736.290335648147</v>
      </c>
      <c r="G32" s="7">
        <v>1</v>
      </c>
      <c r="H32" s="22" t="s">
        <v>692</v>
      </c>
      <c r="I32" s="13">
        <v>42736.3203587963</v>
      </c>
      <c r="J32" s="7">
        <v>0</v>
      </c>
      <c r="K32" s="105" t="str">
        <f t="shared" si="0"/>
        <v>4009/4010</v>
      </c>
      <c r="L32" s="22" t="str">
        <f>VLOOKUP(A32,'Trips&amp;Operators'!$C$1:$G$99999,5,FALSE)</f>
        <v>BERLING GARY</v>
      </c>
      <c r="M32" s="6">
        <f t="shared" si="1"/>
        <v>3.0023148152395152E-2</v>
      </c>
      <c r="N32" s="7">
        <f t="shared" si="2"/>
        <v>43.233333339449018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05:55:43-700',mode:absolute,to:'2017-01-01 08:41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2" s="49" t="str">
        <f t="shared" si="6"/>
        <v>N</v>
      </c>
      <c r="X32" s="173">
        <f t="shared" si="7"/>
        <v>1</v>
      </c>
      <c r="Y32" s="64">
        <f t="shared" si="8"/>
        <v>23.300799999999999</v>
      </c>
      <c r="Z32" s="64">
        <f t="shared" si="9"/>
        <v>1.21E-2</v>
      </c>
      <c r="AA32" s="64">
        <f t="shared" si="10"/>
        <v>23.288699999999999</v>
      </c>
      <c r="AB32" s="61" t="str">
        <f>VLOOKUP(A32,Enforcements!$C$7:$K$19,8,0)</f>
        <v>Speed (6)</v>
      </c>
      <c r="AC32" s="57" t="str">
        <f>VLOOKUP(A32,Enforcements!$C$7:$E$19,3,0)</f>
        <v>PERMANENT SPEED RESTRICTION</v>
      </c>
      <c r="AD32" s="58" t="str">
        <f t="shared" si="11"/>
        <v>0120-01</v>
      </c>
      <c r="AE32" s="87" t="str">
        <f t="shared" si="12"/>
        <v>aws s3 cp s3://rtdc.mdm.uploadarchive.raw/RTDC4010/ "%USERPROFILE%\AppData\Local\Temp\OnboardLogs"\RTDC4010\2017-01-01 --exclude "*" --recursive --include "*20170101*" &amp; "%USERPROFILE%\Documents\GitHub\mrs-test-scripts\Headless Mode &amp; Sideloading\WalkAndUnGZ.bat" "%USERPROFILE%\AppData\Local\Temp\OnboardLogs"\RTDC4010\2017-01-01 &amp; aws s3 cp s3://rtdc.mdm.uploadarchive.raw/RTDC4010/ "%USERPROFILE%\AppData\Local\Temp\OnboardLogs"\RTDC4010\2017-01-02 --exclude "*" --recursive --include "*20170102*" &amp; "%USERPROFILE%\Documents\GitHub\mrs-test-scripts\Headless Mode &amp; Sideloading\WalkAndUnGZ.bat" "%USERPROFILE%\AppData\Local\Temp\OnboardLogs"\RTDC4010\2017-01-02</v>
      </c>
      <c r="AF32" s="84" t="str">
        <f t="shared" si="13"/>
        <v>"C:\Program Files (x86)\AstroGrep\AstroGrep.exe" /spath="%USERPROFILE%\AppData\Local\Temp\OnboardLogs" /stypes="app*4010*20170101*"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120-01 --locoid 4010 --swversion DE.1.0.8.0 --startMP 204:233008 --initTime 2017-01-01T06:55:43 --startdatetime 2017-01-01T06:58:05 --delay 1 --endMP 204:121 --enddatetime 2017-01-01T07:41:19 --enforcementcount 0 &gt;&gt;C:\Users\stu\Documents\GitHub\eaglep3-reporting\EC\2017-01-01-refined-times.txt</v>
      </c>
      <c r="AI32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{"issue":{"subject":"","project_id":79,"tracker_id":40,"status_id":1,"priority_id":2,"assigned_to_id":23,"start_date":"2017-01-01","description":"","custom_fields":[{"id":1,"name":"Subdivision","value":"EC"},{"id":4,"name":"Milepost","value":"0.0121"},{"id":17,"name":"Train ID","value":"120-01"},{"id":16,"name":"Locomotive ID","value":"4010"},{"id":130,"name":"Impact","value":""},{"id":150,"name":"Time of Event (Mountain Time)","value":"07:41:19"},{"id":151,"name":"Denver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20"/>
        <v>start /low /b %USERPROFILE%\Documents\GitHub\eaglep3\Utilities\DownloadLogsFromS3.py --loco 4010 --day 2017-01-01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507</v>
      </c>
      <c r="B33" s="7">
        <v>4022</v>
      </c>
      <c r="C33" s="22" t="s">
        <v>205</v>
      </c>
      <c r="D33" s="22" t="s">
        <v>354</v>
      </c>
      <c r="E33" s="13">
        <v>42736.261736111112</v>
      </c>
      <c r="F33" s="13">
        <v>42736.262916666667</v>
      </c>
      <c r="G33" s="7">
        <v>1</v>
      </c>
      <c r="H33" s="22" t="s">
        <v>292</v>
      </c>
      <c r="I33" s="13">
        <v>42736.292881944442</v>
      </c>
      <c r="J33" s="7">
        <v>0</v>
      </c>
      <c r="K33" s="105" t="str">
        <f t="shared" si="0"/>
        <v>4021/4022</v>
      </c>
      <c r="L33" s="22" t="str">
        <f>VLOOKUP(A33,'Trips&amp;Operators'!$C$1:$G$99999,5,FALSE)</f>
        <v>DAVIS WENDY</v>
      </c>
      <c r="M33" s="6">
        <f t="shared" si="1"/>
        <v>2.9965277775772847E-2</v>
      </c>
      <c r="N33" s="7">
        <f t="shared" si="2"/>
        <v>43.1499999971129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05:16:54-700',mode:absolute,to:'2017-01-01 08:01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3" s="49" t="str">
        <f t="shared" si="6"/>
        <v>N</v>
      </c>
      <c r="X33" s="173">
        <f t="shared" si="7"/>
        <v>1</v>
      </c>
      <c r="Y33" s="64">
        <f t="shared" si="8"/>
        <v>4.3700000000000003E-2</v>
      </c>
      <c r="Z33" s="64">
        <f t="shared" si="9"/>
        <v>23.330100000000002</v>
      </c>
      <c r="AA33" s="64">
        <f t="shared" si="10"/>
        <v>23.2864</v>
      </c>
      <c r="AB33" s="61" t="e">
        <f>VLOOKUP(A33,Enforcements!$C$7:$K$19,8,0)</f>
        <v>#N/A</v>
      </c>
      <c r="AC33" s="57" t="e">
        <f>VLOOKUP(A33,Enforcements!$C$7:$E$19,3,0)</f>
        <v>#N/A</v>
      </c>
      <c r="AD33" s="58" t="str">
        <f t="shared" si="11"/>
        <v>0121-01</v>
      </c>
      <c r="AE33" s="87" t="str">
        <f t="shared" si="12"/>
        <v>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 &amp; aws s3 cp s3://rtdc.mdm.uploadarchive.raw/RTDC4022/ "%USERPROFILE%\AppData\Local\Temp\OnboardLogs"\RTDC4022\2017-01-02 --exclude "*" --recursive --include "*20170102*" &amp; "%USERPROFILE%\Documents\GitHub\mrs-test-scripts\Headless Mode &amp; Sideloading\WalkAndUnGZ.bat" "%USERPROFILE%\AppData\Local\Temp\OnboardLogs"\RTDC4022\2017-01-02</v>
      </c>
      <c r="AF33" s="84" t="str">
        <f t="shared" si="13"/>
        <v>"C:\Program Files (x86)\AstroGrep\AstroGrep.exe" /spath="%USERPROFILE%\AppData\Local\Temp\OnboardLogs" /stypes="app*4022*20170101*"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121-01 --locoid 4022 --swversion DE.1.0.8.0 --startMP 204:437 --initTime 2017-01-01T06:16:54 --startdatetime 2017-01-01T06:18:36 --delay 1 --endMP 204:233301 --enddatetime 2017-01-01T07:01:45 --enforcementcount 0 &gt;&gt;C:\Users\stu\Documents\GitHub\eaglep3-reporting\EC\2017-01-01-refined-times.txt</v>
      </c>
      <c r="AI33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{"issue":{"subject":"","project_id":79,"tracker_id":40,"status_id":1,"priority_id":2,"assigned_to_id":23,"start_date":"2017-01-01","description":"","custom_fields":[{"id":1,"name":"Subdivision","value":"EC"},{"id":4,"name":"Milepost","value":"23.3301"},{"id":17,"name":"Train ID","value":"121-01"},{"id":16,"name":"Locomotive ID","value":"4022"},{"id":130,"name":"Impact","value":""},{"id":150,"name":"Time of Event (Mountain Time)","value":"07:01:45"},{"id":151,"name":"Denver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20"/>
        <v>start /low /b %USERPROFILE%\Documents\GitHub\eaglep3\Utilities\DownloadLogsFromS3.py --loco 4022 --day 2017-01-01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515</v>
      </c>
      <c r="B34" s="7">
        <v>4021</v>
      </c>
      <c r="C34" s="22" t="s">
        <v>205</v>
      </c>
      <c r="D34" s="22" t="s">
        <v>328</v>
      </c>
      <c r="E34" s="13">
        <v>42736.297893518517</v>
      </c>
      <c r="F34" s="13">
        <v>42736.299583333333</v>
      </c>
      <c r="G34" s="7">
        <v>1</v>
      </c>
      <c r="H34" s="22" t="s">
        <v>304</v>
      </c>
      <c r="I34" s="13">
        <v>42736.327928240738</v>
      </c>
      <c r="J34" s="7">
        <v>0</v>
      </c>
      <c r="K34" s="105" t="str">
        <f t="shared" si="0"/>
        <v>4021/4022</v>
      </c>
      <c r="L34" s="22" t="str">
        <f>VLOOKUP(A34,'Trips&amp;Operators'!$C$1:$G$99999,5,FALSE)</f>
        <v>DAVIS WENDY</v>
      </c>
      <c r="M34" s="6">
        <f t="shared" si="1"/>
        <v>2.8344907404971309E-2</v>
      </c>
      <c r="N34" s="7">
        <f t="shared" si="2"/>
        <v>40.816666663158685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06:08:58-700',mode:absolute,to:'2017-01-01 08:52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4" s="49" t="str">
        <f t="shared" si="6"/>
        <v>N</v>
      </c>
      <c r="X34" s="173">
        <f t="shared" si="7"/>
        <v>1</v>
      </c>
      <c r="Y34" s="64">
        <f t="shared" si="8"/>
        <v>23.2988</v>
      </c>
      <c r="Z34" s="64">
        <f t="shared" si="9"/>
        <v>1.5800000000000002E-2</v>
      </c>
      <c r="AA34" s="64">
        <f t="shared" si="10"/>
        <v>23.283000000000001</v>
      </c>
      <c r="AB34" s="61" t="e">
        <f>VLOOKUP(A34,Enforcements!$C$7:$K$19,8,0)</f>
        <v>#N/A</v>
      </c>
      <c r="AC34" s="57" t="e">
        <f>VLOOKUP(A34,Enforcements!$C$7:$E$19,3,0)</f>
        <v>#N/A</v>
      </c>
      <c r="AD34" s="58" t="str">
        <f t="shared" si="11"/>
        <v>0122-01</v>
      </c>
      <c r="AE34" s="87" t="str">
        <f t="shared" si="12"/>
        <v>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 &amp; 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</v>
      </c>
      <c r="AF34" s="84" t="str">
        <f t="shared" si="13"/>
        <v>"C:\Program Files (x86)\AstroGrep\AstroGrep.exe" /spath="%USERPROFILE%\AppData\Local\Temp\OnboardLogs" /stypes="app*4021*20170101*"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122-01 --locoid 4021 --swversion DE.1.0.8.0 --startMP 204:232988 --initTime 2017-01-01T07:08:58 --startdatetime 2017-01-01T07:11:24 --delay 1 --endMP 204:158 --enddatetime 2017-01-01T07:52:13 --enforcementcount 0 &gt;&gt;C:\Users\stu\Documents\GitHub\eaglep3-reporting\EC\2017-01-01-refined-times.txt</v>
      </c>
      <c r="AI34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{"issue":{"subject":"","project_id":79,"tracker_id":40,"status_id":1,"priority_id":2,"assigned_to_id":23,"start_date":"2017-01-01","description":"","custom_fields":[{"id":1,"name":"Subdivision","value":"EC"},{"id":4,"name":"Milepost","value":"0.0158"},{"id":17,"name":"Train ID","value":"122-01"},{"id":16,"name":"Locomotive ID","value":"4021"},{"id":130,"name":"Impact","value":""},{"id":150,"name":"Time of Event (Mountain Time)","value":"07:52:13"},{"id":151,"name":"Denver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20"/>
        <v>start /low /b %USERPROFILE%\Documents\GitHub\eaglep3\Utilities\DownloadLogsFromS3.py --loco 4021 --day 2017-01-01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509</v>
      </c>
      <c r="B35" s="7">
        <v>4007</v>
      </c>
      <c r="C35" s="22" t="s">
        <v>205</v>
      </c>
      <c r="D35" s="22" t="s">
        <v>397</v>
      </c>
      <c r="E35" s="13">
        <v>42736.270624999997</v>
      </c>
      <c r="F35" s="13">
        <v>42736.271666666667</v>
      </c>
      <c r="G35" s="7">
        <v>0</v>
      </c>
      <c r="H35" s="22" t="s">
        <v>360</v>
      </c>
      <c r="I35" s="13">
        <v>42736.299953703703</v>
      </c>
      <c r="J35" s="7">
        <v>0</v>
      </c>
      <c r="K35" s="105" t="str">
        <f t="shared" si="0"/>
        <v>4007/4008</v>
      </c>
      <c r="L35" s="22" t="str">
        <f>VLOOKUP(A35,'Trips&amp;Operators'!$C$1:$G$99999,5,FALSE)</f>
        <v>ROBINSON KADDIBA</v>
      </c>
      <c r="M35" s="6">
        <f t="shared" si="1"/>
        <v>2.8287037035624962E-2</v>
      </c>
      <c r="N35" s="7">
        <f t="shared" si="2"/>
        <v>40.733333331299946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05:29:42-700',mode:absolute,to:'2017-01-01 08:11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5" s="49" t="str">
        <f t="shared" si="6"/>
        <v>N</v>
      </c>
      <c r="X35" s="173">
        <f t="shared" si="7"/>
        <v>1</v>
      </c>
      <c r="Y35" s="64">
        <f t="shared" si="8"/>
        <v>4.6699999999999998E-2</v>
      </c>
      <c r="Z35" s="64">
        <f t="shared" si="9"/>
        <v>23.331399999999999</v>
      </c>
      <c r="AA35" s="64">
        <f t="shared" si="10"/>
        <v>23.284699999999997</v>
      </c>
      <c r="AB35" s="61" t="e">
        <f>VLOOKUP(A35,Enforcements!$C$7:$K$19,8,0)</f>
        <v>#N/A</v>
      </c>
      <c r="AC35" s="57" t="e">
        <f>VLOOKUP(A35,Enforcements!$C$7:$E$19,3,0)</f>
        <v>#N/A</v>
      </c>
      <c r="AD35" s="58" t="str">
        <f t="shared" si="11"/>
        <v>0123-01</v>
      </c>
      <c r="AE35" s="87" t="str">
        <f t="shared" si="12"/>
        <v>aws s3 cp s3://rtdc.mdm.uploadarchive.raw/RTDC4007/ "%USERPROFILE%\AppData\Local\Temp\OnboardLogs"\RTDC4007\2017-01-01 --exclude "*" --recursive --include "*20170101*" &amp; "%USERPROFILE%\Documents\GitHub\mrs-test-scripts\Headless Mode &amp; Sideloading\WalkAndUnGZ.bat" "%USERPROFILE%\AppData\Local\Temp\OnboardLogs"\RTDC4007\2017-01-01 &amp; 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</v>
      </c>
      <c r="AF35" s="84" t="str">
        <f t="shared" si="13"/>
        <v>"C:\Program Files (x86)\AstroGrep\AstroGrep.exe" /spath="%USERPROFILE%\AppData\Local\Temp\OnboardLogs" /stypes="app*4007*20170101*"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123-01 --locoid 4007 --swversion DE.1.0.8.0 --startMP 204:467 --initTime 2017-01-01T06:29:42 --startdatetime 2017-01-01T06:31:12 --delay 0 --endMP 204:233314 --enddatetime 2017-01-01T07:11:56 --enforcementcount 0 &gt;&gt;C:\Users\stu\Documents\GitHub\eaglep3-reporting\EC\2017-01-01-refined-times.txt</v>
      </c>
      <c r="AI35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{"issue":{"subject":"","project_id":79,"tracker_id":40,"status_id":1,"priority_id":2,"assigned_to_id":23,"start_date":"2017-01-01","description":"","custom_fields":[{"id":1,"name":"Subdivision","value":"EC"},{"id":4,"name":"Milepost","value":"23.3314"},{"id":17,"name":"Train ID","value":"123-01"},{"id":16,"name":"Locomotive ID","value":"4007"},{"id":130,"name":"Impact","value":""},{"id":150,"name":"Time of Event (Mountain Time)","value":"07:11:56"},{"id":151,"name":"Denver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20"/>
        <v>start /low /b %USERPROFILE%\Documents\GitHub\eaglep3\Utilities\DownloadLogsFromS3.py --loco 4007 --day 2017-01-01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437</v>
      </c>
      <c r="B36" s="7">
        <v>4008</v>
      </c>
      <c r="C36" s="22" t="s">
        <v>205</v>
      </c>
      <c r="D36" s="22" t="s">
        <v>401</v>
      </c>
      <c r="E36" s="13">
        <v>42736.301944444444</v>
      </c>
      <c r="F36" s="13">
        <v>42736.309212962966</v>
      </c>
      <c r="G36" s="7">
        <v>1</v>
      </c>
      <c r="H36" s="22" t="s">
        <v>308</v>
      </c>
      <c r="I36" s="13">
        <v>42736.33966435185</v>
      </c>
      <c r="J36" s="7">
        <v>0</v>
      </c>
      <c r="K36" s="105" t="str">
        <f t="shared" si="0"/>
        <v>4007/4008</v>
      </c>
      <c r="L36" s="22" t="str">
        <f>VLOOKUP(A36,'Trips&amp;Operators'!$C$1:$G$99999,5,FALSE)</f>
        <v>ROBINSON KADDIBA</v>
      </c>
      <c r="M36" s="6">
        <f t="shared" si="1"/>
        <v>3.0451388884102926E-2</v>
      </c>
      <c r="N36" s="7">
        <f t="shared" si="2"/>
        <v>43.849999993108213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06:14:48-700',mode:absolute,to:'2017-01-01 09:09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6" s="49" t="str">
        <f t="shared" si="6"/>
        <v>N</v>
      </c>
      <c r="X36" s="173">
        <f t="shared" si="7"/>
        <v>1</v>
      </c>
      <c r="Y36" s="64">
        <f t="shared" si="8"/>
        <v>23.3</v>
      </c>
      <c r="Z36" s="64">
        <f t="shared" si="9"/>
        <v>1.41E-2</v>
      </c>
      <c r="AA36" s="64">
        <f t="shared" si="10"/>
        <v>23.285900000000002</v>
      </c>
      <c r="AB36" s="61" t="e">
        <f>VLOOKUP(A36,Enforcements!$C$7:$K$19,8,0)</f>
        <v>#N/A</v>
      </c>
      <c r="AC36" s="57" t="e">
        <f>VLOOKUP(A36,Enforcements!$C$7:$E$19,3,0)</f>
        <v>#N/A</v>
      </c>
      <c r="AD36" s="58" t="str">
        <f t="shared" si="11"/>
        <v>0124-01</v>
      </c>
      <c r="AE36" s="87" t="str">
        <f t="shared" si="12"/>
        <v>aws s3 cp s3://rtdc.mdm.uploadarchive.raw/RTDC4008/ "%USERPROFILE%\AppData\Local\Temp\OnboardLogs"\RTDC4008\2017-01-01 --exclude "*" --recursive --include "*20170101*" &amp; "%USERPROFILE%\Documents\GitHub\mrs-test-scripts\Headless Mode &amp; Sideloading\WalkAndUnGZ.bat" "%USERPROFILE%\AppData\Local\Temp\OnboardLogs"\RTDC4008\2017-01-01 &amp; 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</v>
      </c>
      <c r="AF36" s="84" t="str">
        <f t="shared" si="13"/>
        <v>"C:\Program Files (x86)\AstroGrep\AstroGrep.exe" /spath="%USERPROFILE%\AppData\Local\Temp\OnboardLogs" /stypes="app*4008*20170101*"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124-01 --locoid 4008 --swversion DE.1.0.8.0 --startMP 204:233000 --initTime 2017-01-01T07:14:48 --startdatetime 2017-01-01T07:25:16 --delay 1 --endMP 204:141 --enddatetime 2017-01-01T08:09:07 --enforcementcount 0 &gt;&gt;C:\Users\stu\Documents\GitHub\eaglep3-reporting\EC\2017-01-01-refined-times.txt</v>
      </c>
      <c r="AI36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{"issue":{"subject":"","project_id":79,"tracker_id":40,"status_id":1,"priority_id":2,"assigned_to_id":23,"start_date":"2017-01-01","description":"","custom_fields":[{"id":1,"name":"Subdivision","value":"EC"},{"id":4,"name":"Milepost","value":"0.0141"},{"id":17,"name":"Train ID","value":"124-01"},{"id":16,"name":"Locomotive ID","value":"4008"},{"id":130,"name":"Impact","value":""},{"id":150,"name":"Time of Event (Mountain Time)","value":"08:09:07"},{"id":151,"name":"Denver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20"/>
        <v>start /low /b %USERPROFILE%\Documents\GitHub\eaglep3\Utilities\DownloadLogsFromS3.py --loco 4008 --day 2017-01-01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512</v>
      </c>
      <c r="B37" s="7">
        <v>4003</v>
      </c>
      <c r="C37" s="22" t="s">
        <v>205</v>
      </c>
      <c r="D37" s="22" t="s">
        <v>230</v>
      </c>
      <c r="E37" s="13">
        <v>42736.27784722222</v>
      </c>
      <c r="F37" s="13">
        <v>42736.281458333331</v>
      </c>
      <c r="G37" s="7">
        <v>5</v>
      </c>
      <c r="H37" s="22" t="s">
        <v>293</v>
      </c>
      <c r="I37" s="13">
        <v>42736.306689814817</v>
      </c>
      <c r="J37" s="7">
        <v>0</v>
      </c>
      <c r="K37" s="105" t="str">
        <f t="shared" si="0"/>
        <v>4003/4004</v>
      </c>
      <c r="L37" s="22" t="str">
        <f>VLOOKUP(A37,'Trips&amp;Operators'!$C$1:$G$99999,5,FALSE)</f>
        <v>GEBRETEKLE DAGNEW</v>
      </c>
      <c r="M37" s="6">
        <f t="shared" si="1"/>
        <v>2.5231481486116536E-2</v>
      </c>
      <c r="N37" s="7">
        <f t="shared" si="2"/>
        <v>36.333333340007812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05:40:06-700',mode:absolute,to:'2017-01-01 08:21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7" s="49" t="str">
        <f t="shared" si="6"/>
        <v>N</v>
      </c>
      <c r="X37" s="173">
        <f t="shared" si="7"/>
        <v>1</v>
      </c>
      <c r="Y37" s="64">
        <f t="shared" si="8"/>
        <v>4.5999999999999999E-2</v>
      </c>
      <c r="Z37" s="64">
        <f t="shared" si="9"/>
        <v>23.329699999999999</v>
      </c>
      <c r="AA37" s="64">
        <f t="shared" si="10"/>
        <v>23.2837</v>
      </c>
      <c r="AB37" s="61" t="e">
        <f>VLOOKUP(A37,Enforcements!$C$7:$K$19,8,0)</f>
        <v>#N/A</v>
      </c>
      <c r="AC37" s="57" t="e">
        <f>VLOOKUP(A37,Enforcements!$C$7:$E$19,3,0)</f>
        <v>#N/A</v>
      </c>
      <c r="AD37" s="58" t="str">
        <f t="shared" si="11"/>
        <v>0125-01</v>
      </c>
      <c r="AE37" s="87" t="str">
        <f t="shared" si="12"/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AF37" s="84" t="str">
        <f t="shared" si="13"/>
        <v>"C:\Program Files (x86)\AstroGrep\AstroGrep.exe" /spath="%USERPROFILE%\AppData\Local\Temp\OnboardLogs" /stypes="app*4003*20170101*"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125-01 --locoid 4003 --swversion DE.1.0.8.0 --startMP 204:460 --initTime 2017-01-01T06:40:06 --startdatetime 2017-01-01T06:45:18 --delay 5 --endMP 204:233297 --enddatetime 2017-01-01T07:21:38 --enforcementcount 0 &gt;&gt;C:\Users\stu\Documents\GitHub\eaglep3-reporting\EC\2017-01-01-refined-times.txt</v>
      </c>
      <c r="AI37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{"issue":{"subject":"","project_id":79,"tracker_id":40,"status_id":1,"priority_id":2,"assigned_to_id":23,"start_date":"2017-01-01","description":"","custom_fields":[{"id":1,"name":"Subdivision","value":"EC"},{"id":4,"name":"Milepost","value":"23.3297"},{"id":17,"name":"Train ID","value":"125-01"},{"id":16,"name":"Locomotive ID","value":"4003"},{"id":130,"name":"Impact","value":""},{"id":150,"name":"Time of Event (Mountain Time)","value":"07:21:38"},{"id":151,"name":"Denver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20"/>
        <v>start /low /b %USERPROFILE%\Documents\GitHub\eaglep3\Utilities\DownloadLogsFromS3.py --loco 4003 --day 2017-01-01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518</v>
      </c>
      <c r="B38" s="7">
        <v>4004</v>
      </c>
      <c r="C38" s="22" t="s">
        <v>205</v>
      </c>
      <c r="D38" s="22" t="s">
        <v>265</v>
      </c>
      <c r="E38" s="13">
        <v>42736.315891203703</v>
      </c>
      <c r="F38" s="13">
        <v>42736.320335648146</v>
      </c>
      <c r="G38" s="7">
        <v>2</v>
      </c>
      <c r="H38" s="22" t="s">
        <v>252</v>
      </c>
      <c r="I38" s="13">
        <v>42736.347650462965</v>
      </c>
      <c r="J38" s="7">
        <v>0</v>
      </c>
      <c r="K38" s="105" t="str">
        <f t="shared" si="0"/>
        <v>4003/4004</v>
      </c>
      <c r="L38" s="22" t="str">
        <f>VLOOKUP(A38,'Trips&amp;Operators'!$C$1:$G$99999,5,FALSE)</f>
        <v>GEBRETEKLE DAGNEW</v>
      </c>
      <c r="M38" s="6">
        <f t="shared" si="1"/>
        <v>2.7314814818964805E-2</v>
      </c>
      <c r="N38" s="7">
        <f t="shared" si="2"/>
        <v>39.33333333930932</v>
      </c>
      <c r="O38" s="7"/>
      <c r="P38" s="7"/>
      <c r="Q38" s="23"/>
      <c r="R38" s="23"/>
      <c r="S38" s="32">
        <f t="shared" si="3"/>
        <v>1</v>
      </c>
      <c r="T38" s="47" t="str">
        <f t="shared" si="4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06:34:53-700',mode:absolute,to:'2017-01-01 09:20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8" s="49" t="str">
        <f t="shared" si="6"/>
        <v>N</v>
      </c>
      <c r="X38" s="173">
        <f t="shared" si="7"/>
        <v>1</v>
      </c>
      <c r="Y38" s="64">
        <f t="shared" si="8"/>
        <v>23.2986</v>
      </c>
      <c r="Z38" s="64">
        <f t="shared" si="9"/>
        <v>1.47E-2</v>
      </c>
      <c r="AA38" s="64">
        <f t="shared" si="10"/>
        <v>23.283899999999999</v>
      </c>
      <c r="AB38" s="61" t="e">
        <f>VLOOKUP(A38,Enforcements!$C$7:$K$19,8,0)</f>
        <v>#N/A</v>
      </c>
      <c r="AC38" s="57" t="e">
        <f>VLOOKUP(A38,Enforcements!$C$7:$E$19,3,0)</f>
        <v>#N/A</v>
      </c>
      <c r="AD38" s="58" t="str">
        <f t="shared" si="11"/>
        <v>0126-01</v>
      </c>
      <c r="AE38" s="87" t="str">
        <f t="shared" si="12"/>
        <v>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 &amp; aws s3 cp s3://rtdc.mdm.uploadarchive.raw/RTDC4004/ "%USERPROFILE%\AppData\Local\Temp\OnboardLogs"\RTDC4004\2017-01-02 --exclude "*" --recursive --include "*20170102*" &amp; "%USERPROFILE%\Documents\GitHub\mrs-test-scripts\Headless Mode &amp; Sideloading\WalkAndUnGZ.bat" "%USERPROFILE%\AppData\Local\Temp\OnboardLogs"\RTDC4004\2017-01-02</v>
      </c>
      <c r="AF38" s="84" t="str">
        <f t="shared" si="13"/>
        <v>"C:\Program Files (x86)\AstroGrep\AstroGrep.exe" /spath="%USERPROFILE%\AppData\Local\Temp\OnboardLogs" /stypes="app*4004*20170101*"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126-01 --locoid 4004 --swversion DE.1.0.8.0 --startMP 204:232986 --initTime 2017-01-01T07:34:53 --startdatetime 2017-01-01T07:41:17 --delay 2 --endMP 204:147 --enddatetime 2017-01-01T08:20:37 --enforcementcount 0 &gt;&gt;C:\Users\stu\Documents\GitHub\eaglep3-reporting\EC\2017-01-01-refined-times.txt</v>
      </c>
      <c r="AI38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{"issue":{"subject":"","project_id":79,"tracker_id":40,"status_id":1,"priority_id":2,"assigned_to_id":23,"start_date":"2017-01-01","description":"","custom_fields":[{"id":1,"name":"Subdivision","value":"EC"},{"id":4,"name":"Milepost","value":"0.0147"},{"id":17,"name":"Train ID","value":"126-01"},{"id":16,"name":"Locomotive ID","value":"4004"},{"id":130,"name":"Impact","value":""},{"id":150,"name":"Time of Event (Mountain Time)","value":"08:20:37"},{"id":151,"name":"Denver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20"/>
        <v>start /low /b %USERPROFILE%\Documents\GitHub\eaglep3\Utilities\DownloadLogsFromS3.py --loco 4004 --day 2017-01-01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514</v>
      </c>
      <c r="B39" s="7">
        <v>4014</v>
      </c>
      <c r="C39" s="22" t="s">
        <v>205</v>
      </c>
      <c r="D39" s="22" t="s">
        <v>329</v>
      </c>
      <c r="E39" s="13">
        <v>42736.29011574074</v>
      </c>
      <c r="F39" s="13">
        <v>42736.292002314818</v>
      </c>
      <c r="G39" s="7">
        <v>1</v>
      </c>
      <c r="H39" s="22" t="s">
        <v>693</v>
      </c>
      <c r="I39" s="13">
        <v>42736.318761574075</v>
      </c>
      <c r="J39" s="7">
        <v>0</v>
      </c>
      <c r="K39" s="105" t="str">
        <f t="shared" si="0"/>
        <v>4013/4014</v>
      </c>
      <c r="L39" s="22" t="str">
        <f>VLOOKUP(A39,'Trips&amp;Operators'!$C$1:$G$99999,5,FALSE)</f>
        <v>DELGADO DIANAH</v>
      </c>
      <c r="M39" s="6">
        <f t="shared" si="1"/>
        <v>2.675925925723277E-2</v>
      </c>
      <c r="N39" s="7">
        <f t="shared" si="2"/>
        <v>38.533333330415189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05:57:46-700',mode:absolute,to:'2017-01-01 08:39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9" s="49" t="str">
        <f t="shared" si="6"/>
        <v>N</v>
      </c>
      <c r="X39" s="173">
        <f t="shared" si="7"/>
        <v>1</v>
      </c>
      <c r="Y39" s="64">
        <f t="shared" si="8"/>
        <v>4.4400000000000002E-2</v>
      </c>
      <c r="Z39" s="64">
        <f t="shared" si="9"/>
        <v>23.333400000000001</v>
      </c>
      <c r="AA39" s="64">
        <f t="shared" si="10"/>
        <v>23.289000000000001</v>
      </c>
      <c r="AB39" s="61" t="e">
        <f>VLOOKUP(A39,Enforcements!$C$7:$K$19,8,0)</f>
        <v>#N/A</v>
      </c>
      <c r="AC39" s="57" t="e">
        <f>VLOOKUP(A39,Enforcements!$C$7:$E$19,3,0)</f>
        <v>#N/A</v>
      </c>
      <c r="AD39" s="58" t="str">
        <f t="shared" si="11"/>
        <v>0127-01</v>
      </c>
      <c r="AE39" s="87" t="str">
        <f t="shared" si="12"/>
        <v>aws s3 cp s3://rtdc.mdm.uploadarchive.raw/RTDC4014/ "%USERPROFILE%\AppData\Local\Temp\OnboardLogs"\RTDC4014\2017-01-01 --exclude "*" --recursive --include "*20170101*" &amp; "%USERPROFILE%\Documents\GitHub\mrs-test-scripts\Headless Mode &amp; Sideloading\WalkAndUnGZ.bat" "%USERPROFILE%\AppData\Local\Temp\OnboardLogs"\RTDC4014\2017-01-01 &amp; 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</v>
      </c>
      <c r="AF39" s="84" t="str">
        <f t="shared" si="13"/>
        <v>"C:\Program Files (x86)\AstroGrep\AstroGrep.exe" /spath="%USERPROFILE%\AppData\Local\Temp\OnboardLogs" /stypes="app*4014*20170101*"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127-01 --locoid 4014 --swversion DE.1.0.8.0 --startMP 204:444 --initTime 2017-01-01T06:57:46 --startdatetime 2017-01-01T07:00:29 --delay 1 --endMP 204:233334 --enddatetime 2017-01-01T07:39:01 --enforcementcount 0 &gt;&gt;C:\Users\stu\Documents\GitHub\eaglep3-reporting\EC\2017-01-01-refined-times.txt</v>
      </c>
      <c r="AI39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{"issue":{"subject":"","project_id":79,"tracker_id":40,"status_id":1,"priority_id":2,"assigned_to_id":23,"start_date":"2017-01-01","description":"","custom_fields":[{"id":1,"name":"Subdivision","value":"EC"},{"id":4,"name":"Milepost","value":"23.3334"},{"id":17,"name":"Train ID","value":"127-01"},{"id":16,"name":"Locomotive ID","value":"4014"},{"id":130,"name":"Impact","value":""},{"id":150,"name":"Time of Event (Mountain Time)","value":"07:39:01"},{"id":151,"name":"Denver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20"/>
        <v>start /low /b %USERPROFILE%\Documents\GitHub\eaglep3\Utilities\DownloadLogsFromS3.py --loco 4014 --day 2017-01-01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520</v>
      </c>
      <c r="B40" s="7">
        <v>4013</v>
      </c>
      <c r="C40" s="22" t="s">
        <v>205</v>
      </c>
      <c r="D40" s="22" t="s">
        <v>399</v>
      </c>
      <c r="E40" s="13">
        <v>42736.320810185185</v>
      </c>
      <c r="F40" s="13">
        <v>42736.330763888887</v>
      </c>
      <c r="G40" s="7">
        <v>1</v>
      </c>
      <c r="H40" s="22" t="s">
        <v>233</v>
      </c>
      <c r="I40" s="13">
        <v>42736.35869212963</v>
      </c>
      <c r="J40" s="7">
        <v>0</v>
      </c>
      <c r="K40" s="105" t="str">
        <f t="shared" si="0"/>
        <v>4013/4014</v>
      </c>
      <c r="L40" s="22" t="str">
        <f>VLOOKUP(A40,'Trips&amp;Operators'!$C$1:$G$99999,5,FALSE)</f>
        <v>DELGADO DIANAH</v>
      </c>
      <c r="M40" s="6">
        <f t="shared" si="1"/>
        <v>2.792824074276723E-2</v>
      </c>
      <c r="N40" s="7">
        <f t="shared" si="2"/>
        <v>40.216666669584811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06:41:58-700',mode:absolute,to:'2017-01-01 09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0" s="49" t="str">
        <f t="shared" si="6"/>
        <v>N</v>
      </c>
      <c r="X40" s="173">
        <f t="shared" si="7"/>
        <v>1</v>
      </c>
      <c r="Y40" s="64">
        <f t="shared" si="8"/>
        <v>23.302499999999998</v>
      </c>
      <c r="Z40" s="64">
        <f t="shared" si="9"/>
        <v>1.4500000000000001E-2</v>
      </c>
      <c r="AA40" s="64">
        <f t="shared" si="10"/>
        <v>23.287999999999997</v>
      </c>
      <c r="AB40" s="61" t="e">
        <f>VLOOKUP(A40,Enforcements!$C$7:$K$19,8,0)</f>
        <v>#N/A</v>
      </c>
      <c r="AC40" s="57" t="e">
        <f>VLOOKUP(A40,Enforcements!$C$7:$E$19,3,0)</f>
        <v>#N/A</v>
      </c>
      <c r="AD40" s="58" t="str">
        <f t="shared" si="11"/>
        <v>0128-01</v>
      </c>
      <c r="AE40" s="87" t="str">
        <f t="shared" si="12"/>
        <v>aws s3 cp s3://rtdc.mdm.uploadarchive.raw/RTDC4013/ "%USERPROFILE%\AppData\Local\Temp\OnboardLogs"\RTDC4013\2017-01-01 --exclude "*" --recursive --include "*20170101*" &amp; "%USERPROFILE%\Documents\GitHub\mrs-test-scripts\Headless Mode &amp; Sideloading\WalkAndUnGZ.bat" "%USERPROFILE%\AppData\Local\Temp\OnboardLogs"\RTDC4013\2017-01-01 &amp; 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</v>
      </c>
      <c r="AF40" s="84" t="str">
        <f t="shared" si="13"/>
        <v>"C:\Program Files (x86)\AstroGrep\AstroGrep.exe" /spath="%USERPROFILE%\AppData\Local\Temp\OnboardLogs" /stypes="app*4013*20170101*"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128-01 --locoid 4013 --swversion DE.1.0.8.0 --startMP 204:233025 --initTime 2017-01-01T07:41:58 --startdatetime 2017-01-01T07:56:18 --delay 1 --endMP 204:145 --enddatetime 2017-01-01T08:36:31 --enforcementcount 0 &gt;&gt;C:\Users\stu\Documents\GitHub\eaglep3-reporting\EC\2017-01-01-refined-times.txt</v>
      </c>
      <c r="AI40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{"issue":{"subject":"","project_id":79,"tracker_id":40,"status_id":1,"priority_id":2,"assigned_to_id":23,"start_date":"2017-01-01","description":"","custom_fields":[{"id":1,"name":"Subdivision","value":"EC"},{"id":4,"name":"Milepost","value":"0.0145"},{"id":17,"name":"Train ID","value":"128-01"},{"id":16,"name":"Locomotive ID","value":"4013"},{"id":130,"name":"Impact","value":""},{"id":150,"name":"Time of Event (Mountain Time)","value":"08:36:31"},{"id":151,"name":"Denver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20"/>
        <v>start /low /b %USERPROFILE%\Documents\GitHub\eaglep3\Utilities\DownloadLogsFromS3.py --loco 4013 --day 2017-01-01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516</v>
      </c>
      <c r="B41" s="7">
        <v>4002</v>
      </c>
      <c r="C41" s="22" t="s">
        <v>205</v>
      </c>
      <c r="D41" s="22" t="s">
        <v>397</v>
      </c>
      <c r="E41" s="13">
        <v>42736.300312500003</v>
      </c>
      <c r="F41" s="13">
        <v>42736.30228009259</v>
      </c>
      <c r="G41" s="7">
        <v>1</v>
      </c>
      <c r="H41" s="22" t="s">
        <v>694</v>
      </c>
      <c r="I41" s="13">
        <v>42736.32916666667</v>
      </c>
      <c r="J41" s="7">
        <v>0</v>
      </c>
      <c r="K41" s="105" t="str">
        <f t="shared" si="0"/>
        <v>4001/4002</v>
      </c>
      <c r="L41" s="22" t="str">
        <f>VLOOKUP(A41,'Trips&amp;Operators'!$C$1:$G$99999,5,FALSE)</f>
        <v>SHOOK JOHN</v>
      </c>
      <c r="M41" s="6">
        <f t="shared" si="1"/>
        <v>2.6886574079981074E-2</v>
      </c>
      <c r="N41" s="7">
        <f t="shared" si="2"/>
        <v>38.716666675172746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06:12:27-700',mode:absolute,to:'2017-01-01 08:54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1" s="49" t="str">
        <f t="shared" si="6"/>
        <v>N</v>
      </c>
      <c r="X41" s="173">
        <f t="shared" si="7"/>
        <v>1</v>
      </c>
      <c r="Y41" s="64">
        <f t="shared" si="8"/>
        <v>4.6699999999999998E-2</v>
      </c>
      <c r="Z41" s="64">
        <f t="shared" si="9"/>
        <v>23.3322</v>
      </c>
      <c r="AA41" s="64">
        <f t="shared" si="10"/>
        <v>23.285499999999999</v>
      </c>
      <c r="AB41" s="61" t="e">
        <f>VLOOKUP(A41,Enforcements!$C$7:$K$19,8,0)</f>
        <v>#N/A</v>
      </c>
      <c r="AC41" s="57" t="e">
        <f>VLOOKUP(A41,Enforcements!$C$7:$E$19,3,0)</f>
        <v>#N/A</v>
      </c>
      <c r="AD41" s="58" t="str">
        <f t="shared" si="11"/>
        <v>0129-01</v>
      </c>
      <c r="AE41" s="87" t="str">
        <f t="shared" si="12"/>
        <v>aws s3 cp s3://rtdc.mdm.uploadarchive.raw/RTDC4002/ "%USERPROFILE%\AppData\Local\Temp\OnboardLogs"\RTDC4002\2017-01-01 --exclude "*" --recursive --include "*20170101*" &amp; "%USERPROFILE%\Documents\GitHub\mrs-test-scripts\Headless Mode &amp; Sideloading\WalkAndUnGZ.bat" "%USERPROFILE%\AppData\Local\Temp\OnboardLogs"\RTDC4002\2017-01-01 &amp; aws s3 cp s3://rtdc.mdm.uploadarchive.raw/RTDC4002/ "%USERPROFILE%\AppData\Local\Temp\OnboardLogs"\RTDC4002\2017-01-02 --exclude "*" --recursive --include "*20170102*" &amp; "%USERPROFILE%\Documents\GitHub\mrs-test-scripts\Headless Mode &amp; Sideloading\WalkAndUnGZ.bat" "%USERPROFILE%\AppData\Local\Temp\OnboardLogs"\RTDC4002\2017-01-02</v>
      </c>
      <c r="AF41" s="84" t="str">
        <f t="shared" si="13"/>
        <v>"C:\Program Files (x86)\AstroGrep\AstroGrep.exe" /spath="%USERPROFILE%\AppData\Local\Temp\OnboardLogs" /stypes="app*4002*20170101*"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129-01 --locoid 4002 --swversion DE.1.0.8.0 --startMP 204:467 --initTime 2017-01-01T07:12:27 --startdatetime 2017-01-01T07:15:17 --delay 1 --endMP 204:233322 --enddatetime 2017-01-01T07:54:00 --enforcementcount 0 &gt;&gt;C:\Users\stu\Documents\GitHub\eaglep3-reporting\EC\2017-01-01-refined-times.txt</v>
      </c>
      <c r="AI41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{"issue":{"subject":"","project_id":79,"tracker_id":40,"status_id":1,"priority_id":2,"assigned_to_id":23,"start_date":"2017-01-01","description":"","custom_fields":[{"id":1,"name":"Subdivision","value":"EC"},{"id":4,"name":"Milepost","value":"23.3322"},{"id":17,"name":"Train ID","value":"129-01"},{"id":16,"name":"Locomotive ID","value":"4002"},{"id":130,"name":"Impact","value":""},{"id":150,"name":"Time of Event (Mountain Time)","value":"07:54:00"},{"id":151,"name":"Denver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20"/>
        <v>start /low /b %USERPROFILE%\Documents\GitHub\eaglep3\Utilities\DownloadLogsFromS3.py --loco 4002 --day 2017-01-01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523</v>
      </c>
      <c r="B42" s="7">
        <v>4001</v>
      </c>
      <c r="C42" s="22" t="s">
        <v>205</v>
      </c>
      <c r="D42" s="22" t="s">
        <v>401</v>
      </c>
      <c r="E42" s="13">
        <v>42736.331053240741</v>
      </c>
      <c r="F42" s="13">
        <v>42736.341192129628</v>
      </c>
      <c r="G42" s="7">
        <v>0</v>
      </c>
      <c r="H42" s="22" t="s">
        <v>252</v>
      </c>
      <c r="I42" s="13">
        <v>42736.370173611111</v>
      </c>
      <c r="J42" s="7">
        <v>0</v>
      </c>
      <c r="K42" s="105" t="str">
        <f t="shared" si="0"/>
        <v>4001/4002</v>
      </c>
      <c r="L42" s="22" t="str">
        <f>VLOOKUP(A42,'Trips&amp;Operators'!$C$1:$G$99999,5,FALSE)</f>
        <v>SHOOK JOHN</v>
      </c>
      <c r="M42" s="6">
        <f t="shared" si="1"/>
        <v>2.8981481482333038E-2</v>
      </c>
      <c r="N42" s="7">
        <f t="shared" si="2"/>
        <v>41.733333334559575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06:56:43-700',mode:absolute,to:'2017-01-01 09:53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2" s="49" t="str">
        <f t="shared" si="6"/>
        <v>N</v>
      </c>
      <c r="X42" s="173">
        <f t="shared" si="7"/>
        <v>1</v>
      </c>
      <c r="Y42" s="64">
        <f t="shared" si="8"/>
        <v>23.3</v>
      </c>
      <c r="Z42" s="64">
        <f t="shared" si="9"/>
        <v>1.47E-2</v>
      </c>
      <c r="AA42" s="64">
        <f t="shared" si="10"/>
        <v>23.285299999999999</v>
      </c>
      <c r="AB42" s="61" t="e">
        <f>VLOOKUP(A42,Enforcements!$C$7:$K$19,8,0)</f>
        <v>#N/A</v>
      </c>
      <c r="AC42" s="57" t="e">
        <f>VLOOKUP(A42,Enforcements!$C$7:$E$19,3,0)</f>
        <v>#N/A</v>
      </c>
      <c r="AD42" s="58" t="str">
        <f t="shared" si="11"/>
        <v>0130-01</v>
      </c>
      <c r="AE42" s="87" t="str">
        <f t="shared" si="12"/>
        <v>aws s3 cp s3://rtdc.mdm.uploadarchive.raw/RTDC4001/ "%USERPROFILE%\AppData\Local\Temp\OnboardLogs"\RTDC4001\2017-01-01 --exclude "*" --recursive --include "*20170101*" &amp; "%USERPROFILE%\Documents\GitHub\mrs-test-scripts\Headless Mode &amp; Sideloading\WalkAndUnGZ.bat" "%USERPROFILE%\AppData\Local\Temp\OnboardLogs"\RTDC4001\2017-01-01 &amp; aws s3 cp s3://rtdc.mdm.uploadarchive.raw/RTDC4001/ "%USERPROFILE%\AppData\Local\Temp\OnboardLogs"\RTDC4001\2017-01-02 --exclude "*" --recursive --include "*20170102*" &amp; "%USERPROFILE%\Documents\GitHub\mrs-test-scripts\Headless Mode &amp; Sideloading\WalkAndUnGZ.bat" "%USERPROFILE%\AppData\Local\Temp\OnboardLogs"\RTDC4001\2017-01-02</v>
      </c>
      <c r="AF42" s="84" t="str">
        <f t="shared" si="13"/>
        <v>"C:\Program Files (x86)\AstroGrep\AstroGrep.exe" /spath="%USERPROFILE%\AppData\Local\Temp\OnboardLogs" /stypes="app*4001*20170101*"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130-01 --locoid 4001 --swversion DE.1.0.8.0 --startMP 204:233000 --initTime 2017-01-01T07:56:43 --startdatetime 2017-01-01T08:11:19 --delay 0 --endMP 204:147 --enddatetime 2017-01-01T08:53:03 --enforcementcount 0 &gt;&gt;C:\Users\stu\Documents\GitHub\eaglep3-reporting\EC\2017-01-01-refined-times.txt</v>
      </c>
      <c r="AI42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{"issue":{"subject":"","project_id":79,"tracker_id":40,"status_id":1,"priority_id":2,"assigned_to_id":23,"start_date":"2017-01-01","description":"","custom_fields":[{"id":1,"name":"Subdivision","value":"EC"},{"id":4,"name":"Milepost","value":"0.0147"},{"id":17,"name":"Train ID","value":"130-01"},{"id":16,"name":"Locomotive ID","value":"4001"},{"id":130,"name":"Impact","value":""},{"id":150,"name":"Time of Event (Mountain Time)","value":"08:53:03"},{"id":151,"name":"Denver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20"/>
        <v>start /low /b %USERPROFILE%\Documents\GitHub\eaglep3\Utilities\DownloadLogsFromS3.py --loco 4001 --day 2017-01-01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517</v>
      </c>
      <c r="B43" s="7">
        <v>4042</v>
      </c>
      <c r="C43" s="22" t="s">
        <v>205</v>
      </c>
      <c r="D43" s="22" t="s">
        <v>228</v>
      </c>
      <c r="E43" s="13">
        <v>42736.308935185189</v>
      </c>
      <c r="F43" s="13">
        <v>42736.312974537039</v>
      </c>
      <c r="G43" s="7">
        <v>1</v>
      </c>
      <c r="H43" s="22" t="s">
        <v>271</v>
      </c>
      <c r="I43" s="13">
        <v>42736.339247685188</v>
      </c>
      <c r="J43" s="7">
        <v>0</v>
      </c>
      <c r="K43" s="105" t="str">
        <f t="shared" si="0"/>
        <v>4041/4042</v>
      </c>
      <c r="L43" s="22" t="str">
        <f>VLOOKUP(A43,'Trips&amp;Operators'!$C$1:$G$99999,5,FALSE)</f>
        <v>MAELZER KURT</v>
      </c>
      <c r="M43" s="6">
        <f t="shared" si="1"/>
        <v>2.6273148148902692E-2</v>
      </c>
      <c r="N43" s="7">
        <f t="shared" si="2"/>
        <v>37.833333334419876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06:24:52-700',mode:absolute,to:'2017-01-01 09:08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3" s="49" t="str">
        <f t="shared" si="6"/>
        <v>N</v>
      </c>
      <c r="X43" s="173">
        <f t="shared" si="7"/>
        <v>1</v>
      </c>
      <c r="Y43" s="64">
        <f t="shared" si="8"/>
        <v>4.5499999999999999E-2</v>
      </c>
      <c r="Z43" s="64">
        <f t="shared" si="9"/>
        <v>23.3308</v>
      </c>
      <c r="AA43" s="64">
        <f t="shared" si="10"/>
        <v>23.285299999999999</v>
      </c>
      <c r="AB43" s="61" t="e">
        <f>VLOOKUP(A43,Enforcements!$C$7:$K$19,8,0)</f>
        <v>#N/A</v>
      </c>
      <c r="AC43" s="57" t="e">
        <f>VLOOKUP(A43,Enforcements!$C$7:$E$19,3,0)</f>
        <v>#N/A</v>
      </c>
      <c r="AD43" s="58" t="str">
        <f t="shared" si="11"/>
        <v>0131-01</v>
      </c>
      <c r="AE43" s="87" t="str">
        <f t="shared" si="12"/>
        <v>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 &amp; 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</v>
      </c>
      <c r="AF43" s="84" t="str">
        <f t="shared" si="13"/>
        <v>"C:\Program Files (x86)\AstroGrep\AstroGrep.exe" /spath="%USERPROFILE%\AppData\Local\Temp\OnboardLogs" /stypes="app*4042*20170101*"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131-01 --locoid 4042 --swversion DE.1.0.8.0 --startMP 204:455 --initTime 2017-01-01T07:24:52 --startdatetime 2017-01-01T07:30:41 --delay 1 --endMP 204:233308 --enddatetime 2017-01-01T08:08:31 --enforcementcount 0 &gt;&gt;C:\Users\stu\Documents\GitHub\eaglep3-reporting\EC\2017-01-01-refined-times.txt</v>
      </c>
      <c r="AI43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{"issue":{"subject":"","project_id":79,"tracker_id":40,"status_id":1,"priority_id":2,"assigned_to_id":23,"start_date":"2017-01-01","description":"","custom_fields":[{"id":1,"name":"Subdivision","value":"EC"},{"id":4,"name":"Milepost","value":"23.3308"},{"id":17,"name":"Train ID","value":"131-01"},{"id":16,"name":"Locomotive ID","value":"4042"},{"id":130,"name":"Impact","value":""},{"id":150,"name":"Time of Event (Mountain Time)","value":"08:08:31"},{"id":151,"name":"Denver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20"/>
        <v>start /low /b %USERPROFILE%\Documents\GitHub\eaglep3\Utilities\DownloadLogsFromS3.py --loco 4042 --day 2017-01-01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439</v>
      </c>
      <c r="B44" s="7">
        <v>4041</v>
      </c>
      <c r="C44" s="22" t="s">
        <v>205</v>
      </c>
      <c r="D44" s="22" t="s">
        <v>695</v>
      </c>
      <c r="E44" s="13">
        <v>42736.347905092596</v>
      </c>
      <c r="F44" s="13">
        <v>42736.351979166669</v>
      </c>
      <c r="G44" s="7">
        <v>1</v>
      </c>
      <c r="H44" s="22" t="s">
        <v>696</v>
      </c>
      <c r="I44" s="13">
        <v>42736.378680555557</v>
      </c>
      <c r="J44" s="7">
        <v>0</v>
      </c>
      <c r="K44" s="105" t="str">
        <f t="shared" si="0"/>
        <v>4041/4042</v>
      </c>
      <c r="L44" s="22" t="str">
        <f>VLOOKUP(A44,'Trips&amp;Operators'!$C$1:$G$99999,5,FALSE)</f>
        <v>MAELZER KURT</v>
      </c>
      <c r="M44" s="6">
        <f t="shared" si="1"/>
        <v>2.6701388887886424E-2</v>
      </c>
      <c r="N44" s="7">
        <f t="shared" si="2"/>
        <v>38.44999999855645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07:20:59-700',mode:absolute,to:'2017-01-01 10:05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4" s="49" t="str">
        <f t="shared" si="6"/>
        <v>N</v>
      </c>
      <c r="X44" s="173">
        <f t="shared" si="7"/>
        <v>1</v>
      </c>
      <c r="Y44" s="64">
        <f t="shared" si="8"/>
        <v>23.300999999999998</v>
      </c>
      <c r="Z44" s="64">
        <f t="shared" si="9"/>
        <v>1.2999999999999999E-2</v>
      </c>
      <c r="AA44" s="64">
        <f t="shared" si="10"/>
        <v>23.287999999999997</v>
      </c>
      <c r="AB44" s="61" t="e">
        <f>VLOOKUP(A44,Enforcements!$C$7:$K$19,8,0)</f>
        <v>#N/A</v>
      </c>
      <c r="AC44" s="57" t="e">
        <f>VLOOKUP(A44,Enforcements!$C$7:$E$19,3,0)</f>
        <v>#N/A</v>
      </c>
      <c r="AD44" s="58" t="str">
        <f t="shared" si="11"/>
        <v>0132-01</v>
      </c>
      <c r="AE44" s="87" t="str">
        <f t="shared" si="12"/>
        <v>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 &amp; 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</v>
      </c>
      <c r="AF44" s="84" t="str">
        <f t="shared" si="13"/>
        <v>"C:\Program Files (x86)\AstroGrep\AstroGrep.exe" /spath="%USERPROFILE%\AppData\Local\Temp\OnboardLogs" /stypes="app*4041*20170101*"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132-01 --locoid 4041 --swversion DE.1.0.8.0 --startMP 204:233010 --initTime 2017-01-01T08:20:59 --startdatetime 2017-01-01T08:26:51 --delay 1 --endMP 204:130 --enddatetime 2017-01-01T09:05:18 --enforcementcount 0 &gt;&gt;C:\Users\stu\Documents\GitHub\eaglep3-reporting\EC\2017-01-01-refined-times.txt</v>
      </c>
      <c r="AI44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{"issue":{"subject":"","project_id":79,"tracker_id":40,"status_id":1,"priority_id":2,"assigned_to_id":23,"start_date":"2017-01-01","description":"","custom_fields":[{"id":1,"name":"Subdivision","value":"EC"},{"id":4,"name":"Milepost","value":"0.013"},{"id":17,"name":"Train ID","value":"132-01"},{"id":16,"name":"Locomotive ID","value":"4041"},{"id":130,"name":"Impact","value":""},{"id":150,"name":"Time of Event (Mountain Time)","value":"09:05:18"},{"id":151,"name":"Denver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20"/>
        <v>start /low /b %USERPROFILE%\Documents\GitHub\eaglep3\Utilities\DownloadLogsFromS3.py --loco 4041 --day 2017-01-01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521</v>
      </c>
      <c r="B45" s="7">
        <v>4009</v>
      </c>
      <c r="C45" s="22" t="s">
        <v>205</v>
      </c>
      <c r="D45" s="22" t="s">
        <v>354</v>
      </c>
      <c r="E45" s="13">
        <v>42736.321712962963</v>
      </c>
      <c r="F45" s="13">
        <v>42736.323541666665</v>
      </c>
      <c r="G45" s="7">
        <v>1</v>
      </c>
      <c r="H45" s="22" t="s">
        <v>694</v>
      </c>
      <c r="I45" s="13">
        <v>42736.350613425922</v>
      </c>
      <c r="J45" s="7">
        <v>0</v>
      </c>
      <c r="K45" s="105" t="str">
        <f t="shared" si="0"/>
        <v>4009/4010</v>
      </c>
      <c r="L45" s="22" t="str">
        <f>VLOOKUP(A45,'Trips&amp;Operators'!$C$1:$G$99999,5,FALSE)</f>
        <v>BERLING GARY</v>
      </c>
      <c r="M45" s="6">
        <f t="shared" si="1"/>
        <v>2.7071759257523809E-2</v>
      </c>
      <c r="N45" s="7">
        <f t="shared" si="2"/>
        <v>38.983333330834284</v>
      </c>
      <c r="O45" s="7"/>
      <c r="P45" s="7"/>
      <c r="Q45" s="23"/>
      <c r="R45" s="23"/>
      <c r="S45" s="32">
        <f t="shared" si="3"/>
        <v>1</v>
      </c>
      <c r="T45" s="47" t="str">
        <f t="shared" si="4"/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06:43:16-700',mode:absolute,to:'2017-01-01 09:24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5" s="49" t="str">
        <f t="shared" si="6"/>
        <v>N</v>
      </c>
      <c r="X45" s="173">
        <f t="shared" si="7"/>
        <v>1</v>
      </c>
      <c r="Y45" s="64">
        <f t="shared" si="8"/>
        <v>4.3700000000000003E-2</v>
      </c>
      <c r="Z45" s="64">
        <f t="shared" si="9"/>
        <v>23.3322</v>
      </c>
      <c r="AA45" s="64">
        <f t="shared" si="10"/>
        <v>23.288499999999999</v>
      </c>
      <c r="AB45" s="61" t="e">
        <f>VLOOKUP(A45,Enforcements!$C$7:$K$19,8,0)</f>
        <v>#N/A</v>
      </c>
      <c r="AC45" s="57" t="e">
        <f>VLOOKUP(A45,Enforcements!$C$7:$E$19,3,0)</f>
        <v>#N/A</v>
      </c>
      <c r="AD45" s="58" t="str">
        <f t="shared" si="11"/>
        <v>0133-01</v>
      </c>
      <c r="AE45" s="87" t="str">
        <f t="shared" si="12"/>
        <v>aws s3 cp s3://rtdc.mdm.uploadarchive.raw/RTDC4009/ "%USERPROFILE%\AppData\Local\Temp\OnboardLogs"\RTDC4009\2017-01-01 --exclude "*" --recursive --include "*20170101*" &amp; "%USERPROFILE%\Documents\GitHub\mrs-test-scripts\Headless Mode &amp; Sideloading\WalkAndUnGZ.bat" "%USERPROFILE%\AppData\Local\Temp\OnboardLogs"\RTDC4009\2017-01-01 &amp; aws s3 cp s3://rtdc.mdm.uploadarchive.raw/RTDC4009/ "%USERPROFILE%\AppData\Local\Temp\OnboardLogs"\RTDC4009\2017-01-02 --exclude "*" --recursive --include "*20170102*" &amp; "%USERPROFILE%\Documents\GitHub\mrs-test-scripts\Headless Mode &amp; Sideloading\WalkAndUnGZ.bat" "%USERPROFILE%\AppData\Local\Temp\OnboardLogs"\RTDC4009\2017-01-02</v>
      </c>
      <c r="AF45" s="84" t="str">
        <f t="shared" si="13"/>
        <v>"C:\Program Files (x86)\AstroGrep\AstroGrep.exe" /spath="%USERPROFILE%\AppData\Local\Temp\OnboardLogs" /stypes="app*4009*20170101*"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133-01 --locoid 4009 --swversion DE.1.0.8.0 --startMP 204:437 --initTime 2017-01-01T07:43:16 --startdatetime 2017-01-01T07:45:54 --delay 1 --endMP 204:233322 --enddatetime 2017-01-01T08:24:53 --enforcementcount 0 &gt;&gt;C:\Users\stu\Documents\GitHub\eaglep3-reporting\EC\2017-01-01-refined-times.txt</v>
      </c>
      <c r="AI45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{"issue":{"subject":"","project_id":79,"tracker_id":40,"status_id":1,"priority_id":2,"assigned_to_id":23,"start_date":"2017-01-01","description":"","custom_fields":[{"id":1,"name":"Subdivision","value":"EC"},{"id":4,"name":"Milepost","value":"23.3322"},{"id":17,"name":"Train ID","value":"133-01"},{"id":16,"name":"Locomotive ID","value":"4009"},{"id":130,"name":"Impact","value":""},{"id":150,"name":"Time of Event (Mountain Time)","value":"08:24:53"},{"id":151,"name":"Denver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20"/>
        <v>start /low /b %USERPROFILE%\Documents\GitHub\eaglep3\Utilities\DownloadLogsFromS3.py --loco 4009 --day 2017-01-01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527</v>
      </c>
      <c r="B46" s="7">
        <v>4010</v>
      </c>
      <c r="C46" s="22" t="s">
        <v>205</v>
      </c>
      <c r="D46" s="22" t="s">
        <v>305</v>
      </c>
      <c r="E46" s="13">
        <v>42736.358090277776</v>
      </c>
      <c r="F46" s="13">
        <v>42736.362280092595</v>
      </c>
      <c r="G46" s="7">
        <v>1</v>
      </c>
      <c r="H46" s="22" t="s">
        <v>697</v>
      </c>
      <c r="I46" s="13">
        <v>42736.390243055554</v>
      </c>
      <c r="J46" s="7">
        <v>0</v>
      </c>
      <c r="K46" s="105" t="str">
        <f t="shared" si="0"/>
        <v>4009/4010</v>
      </c>
      <c r="L46" s="22" t="str">
        <f>VLOOKUP(A46,'Trips&amp;Operators'!$C$1:$G$99999,5,FALSE)</f>
        <v>BERLING GARY</v>
      </c>
      <c r="M46" s="6">
        <f t="shared" si="1"/>
        <v>2.7962962958554272E-2</v>
      </c>
      <c r="N46" s="7">
        <f t="shared" si="2"/>
        <v>40.266666660318151</v>
      </c>
      <c r="O46" s="7"/>
      <c r="P46" s="7"/>
      <c r="Q46" s="23"/>
      <c r="R46" s="23"/>
      <c r="S46" s="32">
        <f t="shared" si="3"/>
        <v>1</v>
      </c>
      <c r="T46" s="47" t="str">
        <f t="shared" si="4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07:35:39-700',mode:absolute,to:'2017-01-01 10:21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6" s="49" t="str">
        <f t="shared" si="6"/>
        <v>N</v>
      </c>
      <c r="X46" s="173">
        <f t="shared" si="7"/>
        <v>1</v>
      </c>
      <c r="Y46" s="64">
        <f t="shared" si="8"/>
        <v>23.299800000000001</v>
      </c>
      <c r="Z46" s="64">
        <f t="shared" si="9"/>
        <v>1.2699999999999999E-2</v>
      </c>
      <c r="AA46" s="64">
        <f t="shared" si="10"/>
        <v>23.287100000000002</v>
      </c>
      <c r="AB46" s="61" t="e">
        <f>VLOOKUP(A46,Enforcements!$C$7:$K$19,8,0)</f>
        <v>#N/A</v>
      </c>
      <c r="AC46" s="57" t="e">
        <f>VLOOKUP(A46,Enforcements!$C$7:$E$19,3,0)</f>
        <v>#N/A</v>
      </c>
      <c r="AD46" s="58" t="str">
        <f t="shared" si="11"/>
        <v>0134-01</v>
      </c>
      <c r="AE46" s="87" t="str">
        <f t="shared" si="12"/>
        <v>aws s3 cp s3://rtdc.mdm.uploadarchive.raw/RTDC4010/ "%USERPROFILE%\AppData\Local\Temp\OnboardLogs"\RTDC4010\2017-01-01 --exclude "*" --recursive --include "*20170101*" &amp; "%USERPROFILE%\Documents\GitHub\mrs-test-scripts\Headless Mode &amp; Sideloading\WalkAndUnGZ.bat" "%USERPROFILE%\AppData\Local\Temp\OnboardLogs"\RTDC4010\2017-01-01 &amp; aws s3 cp s3://rtdc.mdm.uploadarchive.raw/RTDC4010/ "%USERPROFILE%\AppData\Local\Temp\OnboardLogs"\RTDC4010\2017-01-02 --exclude "*" --recursive --include "*20170102*" &amp; "%USERPROFILE%\Documents\GitHub\mrs-test-scripts\Headless Mode &amp; Sideloading\WalkAndUnGZ.bat" "%USERPROFILE%\AppData\Local\Temp\OnboardLogs"\RTDC4010\2017-01-02</v>
      </c>
      <c r="AF46" s="84" t="str">
        <f t="shared" si="13"/>
        <v>"C:\Program Files (x86)\AstroGrep\AstroGrep.exe" /spath="%USERPROFILE%\AppData\Local\Temp\OnboardLogs" /stypes="app*4010*20170101*"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134-01 --locoid 4010 --swversion DE.1.0.8.0 --startMP 204:232998 --initTime 2017-01-01T08:35:39 --startdatetime 2017-01-01T08:41:41 --delay 1 --endMP 204:127 --enddatetime 2017-01-01T09:21:57 --enforcementcount 0 &gt;&gt;C:\Users\stu\Documents\GitHub\eaglep3-reporting\EC\2017-01-01-refined-times.txt</v>
      </c>
      <c r="AI46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{"issue":{"subject":"","project_id":79,"tracker_id":40,"status_id":1,"priority_id":2,"assigned_to_id":23,"start_date":"2017-01-01","description":"","custom_fields":[{"id":1,"name":"Subdivision","value":"EC"},{"id":4,"name":"Milepost","value":"0.0127"},{"id":17,"name":"Train ID","value":"134-01"},{"id":16,"name":"Locomotive ID","value":"4010"},{"id":130,"name":"Impact","value":""},{"id":150,"name":"Time of Event (Mountain Time)","value":"09:21:57"},{"id":151,"name":"Denver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20"/>
        <v>start /low /b %USERPROFILE%\Documents\GitHub\eaglep3\Utilities\DownloadLogsFromS3.py --loco 4010 --day 2017-01-01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522</v>
      </c>
      <c r="B47" s="7">
        <v>4022</v>
      </c>
      <c r="C47" s="22" t="s">
        <v>205</v>
      </c>
      <c r="D47" s="22" t="s">
        <v>698</v>
      </c>
      <c r="E47" s="13">
        <v>42736.329155092593</v>
      </c>
      <c r="F47" s="13">
        <v>42736.333495370367</v>
      </c>
      <c r="G47" s="7">
        <v>1</v>
      </c>
      <c r="H47" s="22" t="s">
        <v>405</v>
      </c>
      <c r="I47" s="13">
        <v>42736.360243055555</v>
      </c>
      <c r="J47" s="7">
        <v>0</v>
      </c>
      <c r="K47" s="105" t="str">
        <f t="shared" si="0"/>
        <v>4021/4022</v>
      </c>
      <c r="L47" s="22" t="str">
        <f>VLOOKUP(A47,'Trips&amp;Operators'!$C$1:$G$99999,5,FALSE)</f>
        <v>DAVIS WENDY</v>
      </c>
      <c r="M47" s="6">
        <f t="shared" si="1"/>
        <v>2.6747685187729076E-2</v>
      </c>
      <c r="N47" s="7">
        <f t="shared" si="2"/>
        <v>38.516666670329869</v>
      </c>
      <c r="O47" s="7"/>
      <c r="P47" s="7"/>
      <c r="Q47" s="23"/>
      <c r="R47" s="23"/>
      <c r="S47" s="32">
        <f t="shared" si="3"/>
        <v>1</v>
      </c>
      <c r="T47" s="47" t="str">
        <f t="shared" si="4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06:53:59-700',mode:absolute,to:'2017-01-01 09:38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7" s="49" t="str">
        <f t="shared" si="6"/>
        <v>N</v>
      </c>
      <c r="X47" s="173">
        <f t="shared" si="7"/>
        <v>1</v>
      </c>
      <c r="Y47" s="64">
        <f t="shared" si="8"/>
        <v>4.3099999999999999E-2</v>
      </c>
      <c r="Z47" s="64">
        <f t="shared" si="9"/>
        <v>23.331900000000001</v>
      </c>
      <c r="AA47" s="64">
        <f t="shared" si="10"/>
        <v>23.288800000000002</v>
      </c>
      <c r="AB47" s="61" t="e">
        <f>VLOOKUP(A47,Enforcements!$C$7:$K$19,8,0)</f>
        <v>#N/A</v>
      </c>
      <c r="AC47" s="57" t="e">
        <f>VLOOKUP(A47,Enforcements!$C$7:$E$19,3,0)</f>
        <v>#N/A</v>
      </c>
      <c r="AD47" s="58" t="str">
        <f t="shared" si="11"/>
        <v>0135-01</v>
      </c>
      <c r="AE47" s="87" t="str">
        <f t="shared" si="12"/>
        <v>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 &amp; aws s3 cp s3://rtdc.mdm.uploadarchive.raw/RTDC4022/ "%USERPROFILE%\AppData\Local\Temp\OnboardLogs"\RTDC4022\2017-01-02 --exclude "*" --recursive --include "*20170102*" &amp; "%USERPROFILE%\Documents\GitHub\mrs-test-scripts\Headless Mode &amp; Sideloading\WalkAndUnGZ.bat" "%USERPROFILE%\AppData\Local\Temp\OnboardLogs"\RTDC4022\2017-01-02</v>
      </c>
      <c r="AF47" s="84" t="str">
        <f t="shared" si="13"/>
        <v>"C:\Program Files (x86)\AstroGrep\AstroGrep.exe" /spath="%USERPROFILE%\AppData\Local\Temp\OnboardLogs" /stypes="app*4022*20170101*"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135-01 --locoid 4022 --swversion DE.1.0.8.0 --startMP 204:431 --initTime 2017-01-01T07:53:59 --startdatetime 2017-01-01T08:00:14 --delay 1 --endMP 204:233319 --enddatetime 2017-01-01T08:38:45 --enforcementcount 0 &gt;&gt;C:\Users\stu\Documents\GitHub\eaglep3-reporting\EC\2017-01-01-refined-times.txt</v>
      </c>
      <c r="AI47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{"issue":{"subject":"","project_id":79,"tracker_id":40,"status_id":1,"priority_id":2,"assigned_to_id":23,"start_date":"2017-01-01","description":"","custom_fields":[{"id":1,"name":"Subdivision","value":"EC"},{"id":4,"name":"Milepost","value":"23.3319"},{"id":17,"name":"Train ID","value":"135-01"},{"id":16,"name":"Locomotive ID","value":"4022"},{"id":130,"name":"Impact","value":""},{"id":150,"name":"Time of Event (Mountain Time)","value":"08:38:45"},{"id":151,"name":"Denver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20"/>
        <v>start /low /b %USERPROFILE%\Documents\GitHub\eaglep3\Utilities\DownloadLogsFromS3.py --loco 4022 --day 2017-01-01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441</v>
      </c>
      <c r="B48" s="7">
        <v>4021</v>
      </c>
      <c r="C48" s="22" t="s">
        <v>205</v>
      </c>
      <c r="D48" s="22" t="s">
        <v>259</v>
      </c>
      <c r="E48" s="13">
        <v>42736.368738425925</v>
      </c>
      <c r="F48" s="13">
        <v>42736.372407407405</v>
      </c>
      <c r="G48" s="7">
        <v>0</v>
      </c>
      <c r="H48" s="22" t="s">
        <v>699</v>
      </c>
      <c r="I48" s="13">
        <v>42736.40111111111</v>
      </c>
      <c r="J48" s="7">
        <v>0</v>
      </c>
      <c r="K48" s="105" t="str">
        <f t="shared" si="0"/>
        <v>4021/4022</v>
      </c>
      <c r="L48" s="22" t="str">
        <f>VLOOKUP(A48,'Trips&amp;Operators'!$C$1:$G$99999,5,FALSE)</f>
        <v>DAVIS WENDY</v>
      </c>
      <c r="M48" s="6">
        <f t="shared" si="1"/>
        <v>2.8703703705104999E-2</v>
      </c>
      <c r="N48" s="7">
        <f t="shared" si="2"/>
        <v>41.333333335351199</v>
      </c>
      <c r="O48" s="7"/>
      <c r="P48" s="7"/>
      <c r="Q48" s="23"/>
      <c r="R48" s="23"/>
      <c r="S48" s="32">
        <f t="shared" si="3"/>
        <v>1</v>
      </c>
      <c r="T48" s="47" t="str">
        <f t="shared" si="4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07:50:59-700',mode:absolute,to:'2017-01-01 10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8" s="49" t="str">
        <f t="shared" si="6"/>
        <v>N</v>
      </c>
      <c r="X48" s="173">
        <f t="shared" si="7"/>
        <v>1</v>
      </c>
      <c r="Y48" s="64">
        <f t="shared" si="8"/>
        <v>23.299299999999999</v>
      </c>
      <c r="Z48" s="64">
        <f t="shared" si="9"/>
        <v>1.61E-2</v>
      </c>
      <c r="AA48" s="64">
        <f t="shared" si="10"/>
        <v>23.283199999999997</v>
      </c>
      <c r="AB48" s="61" t="e">
        <f>VLOOKUP(A48,Enforcements!$C$7:$K$19,8,0)</f>
        <v>#N/A</v>
      </c>
      <c r="AC48" s="57" t="e">
        <f>VLOOKUP(A48,Enforcements!$C$7:$E$19,3,0)</f>
        <v>#N/A</v>
      </c>
      <c r="AD48" s="58" t="str">
        <f t="shared" si="11"/>
        <v>0136-01</v>
      </c>
      <c r="AE48" s="87" t="str">
        <f t="shared" si="12"/>
        <v>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 &amp; 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</v>
      </c>
      <c r="AF48" s="84" t="str">
        <f t="shared" si="13"/>
        <v>"C:\Program Files (x86)\AstroGrep\AstroGrep.exe" /spath="%USERPROFILE%\AppData\Local\Temp\OnboardLogs" /stypes="app*4021*20170101*"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136-01 --locoid 4021 --swversion DE.1.0.8.0 --startMP 204:232993 --initTime 2017-01-01T08:50:59 --startdatetime 2017-01-01T08:56:16 --delay 0 --endMP 204:161 --enddatetime 2017-01-01T09:37:36 --enforcementcount 0 &gt;&gt;C:\Users\stu\Documents\GitHub\eaglep3-reporting\EC\2017-01-01-refined-times.txt</v>
      </c>
      <c r="AI48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{"issue":{"subject":"","project_id":79,"tracker_id":40,"status_id":1,"priority_id":2,"assigned_to_id":23,"start_date":"2017-01-01","description":"","custom_fields":[{"id":1,"name":"Subdivision","value":"EC"},{"id":4,"name":"Milepost","value":"0.0161"},{"id":17,"name":"Train ID","value":"136-01"},{"id":16,"name":"Locomotive ID","value":"4021"},{"id":130,"name":"Impact","value":""},{"id":150,"name":"Time of Event (Mountain Time)","value":"09:37:36"},{"id":151,"name":"Denver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20"/>
        <v>start /low /b %USERPROFILE%\Documents\GitHub\eaglep3\Utilities\DownloadLogsFromS3.py --loco 4021 --day 2017-01-01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525</v>
      </c>
      <c r="B49" s="7">
        <v>4007</v>
      </c>
      <c r="C49" s="22" t="s">
        <v>205</v>
      </c>
      <c r="D49" s="22" t="s">
        <v>397</v>
      </c>
      <c r="E49" s="13">
        <v>42736.341122685182</v>
      </c>
      <c r="F49" s="13">
        <v>42736.343935185185</v>
      </c>
      <c r="G49" s="7">
        <v>1</v>
      </c>
      <c r="H49" s="22" t="s">
        <v>700</v>
      </c>
      <c r="I49" s="13">
        <v>42736.369375000002</v>
      </c>
      <c r="J49" s="7">
        <v>0</v>
      </c>
      <c r="K49" s="105" t="str">
        <f t="shared" si="0"/>
        <v>4007/4008</v>
      </c>
      <c r="L49" s="22" t="str">
        <f>VLOOKUP(A49,'Trips&amp;Operators'!$C$1:$G$99999,5,FALSE)</f>
        <v>ROBINSON KADDIBA</v>
      </c>
      <c r="M49" s="6">
        <f t="shared" si="1"/>
        <v>2.5439814817218576E-2</v>
      </c>
      <c r="N49" s="7">
        <f t="shared" si="2"/>
        <v>36.633333336794749</v>
      </c>
      <c r="O49" s="7"/>
      <c r="P49" s="7"/>
      <c r="Q49" s="23"/>
      <c r="R49" s="23"/>
      <c r="S49" s="32">
        <f t="shared" si="3"/>
        <v>1</v>
      </c>
      <c r="T49" s="47" t="str">
        <f t="shared" si="4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07:11:13-700',mode:absolute,to:'2017-01-01 09:51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9" s="49" t="str">
        <f t="shared" si="6"/>
        <v>N</v>
      </c>
      <c r="X49" s="173">
        <f t="shared" si="7"/>
        <v>1</v>
      </c>
      <c r="Y49" s="64">
        <f t="shared" si="8"/>
        <v>4.6699999999999998E-2</v>
      </c>
      <c r="Z49" s="64">
        <f t="shared" si="9"/>
        <v>23.330300000000001</v>
      </c>
      <c r="AA49" s="64">
        <f t="shared" si="10"/>
        <v>23.2836</v>
      </c>
      <c r="AB49" s="61" t="e">
        <f>VLOOKUP(A49,Enforcements!$C$7:$K$19,8,0)</f>
        <v>#N/A</v>
      </c>
      <c r="AC49" s="57" t="e">
        <f>VLOOKUP(A49,Enforcements!$C$7:$E$19,3,0)</f>
        <v>#N/A</v>
      </c>
      <c r="AD49" s="58" t="str">
        <f t="shared" si="11"/>
        <v>0137-01</v>
      </c>
      <c r="AE49" s="87" t="str">
        <f t="shared" si="12"/>
        <v>aws s3 cp s3://rtdc.mdm.uploadarchive.raw/RTDC4007/ "%USERPROFILE%\AppData\Local\Temp\OnboardLogs"\RTDC4007\2017-01-01 --exclude "*" --recursive --include "*20170101*" &amp; "%USERPROFILE%\Documents\GitHub\mrs-test-scripts\Headless Mode &amp; Sideloading\WalkAndUnGZ.bat" "%USERPROFILE%\AppData\Local\Temp\OnboardLogs"\RTDC4007\2017-01-01 &amp; 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</v>
      </c>
      <c r="AF49" s="84" t="str">
        <f t="shared" si="13"/>
        <v>"C:\Program Files (x86)\AstroGrep\AstroGrep.exe" /spath="%USERPROFILE%\AppData\Local\Temp\OnboardLogs" /stypes="app*4007*20170101*"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137-01 --locoid 4007 --swversion DE.1.0.8.0 --startMP 204:467 --initTime 2017-01-01T08:11:13 --startdatetime 2017-01-01T08:15:16 --delay 1 --endMP 204:233303 --enddatetime 2017-01-01T08:51:54 --enforcementcount 0 &gt;&gt;C:\Users\stu\Documents\GitHub\eaglep3-reporting\EC\2017-01-01-refined-times.txt</v>
      </c>
      <c r="AI49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{"issue":{"subject":"","project_id":79,"tracker_id":40,"status_id":1,"priority_id":2,"assigned_to_id":23,"start_date":"2017-01-01","description":"","custom_fields":[{"id":1,"name":"Subdivision","value":"EC"},{"id":4,"name":"Milepost","value":"23.3303"},{"id":17,"name":"Train ID","value":"137-01"},{"id":16,"name":"Locomotive ID","value":"4007"},{"id":130,"name":"Impact","value":""},{"id":150,"name":"Time of Event (Mountain Time)","value":"08:51:54"},{"id":151,"name":"Denver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20"/>
        <v>start /low /b %USERPROFILE%\Documents\GitHub\eaglep3\Utilities\DownloadLogsFromS3.py --loco 4007 --day 2017-01-01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531</v>
      </c>
      <c r="B50" s="7">
        <v>4008</v>
      </c>
      <c r="C50" s="22" t="s">
        <v>205</v>
      </c>
      <c r="D50" s="22" t="s">
        <v>299</v>
      </c>
      <c r="E50" s="13">
        <v>42736.376203703701</v>
      </c>
      <c r="F50" s="13">
        <v>42736.382824074077</v>
      </c>
      <c r="G50" s="7">
        <v>1</v>
      </c>
      <c r="H50" s="22" t="s">
        <v>263</v>
      </c>
      <c r="I50" s="13">
        <v>42736.410069444442</v>
      </c>
      <c r="J50" s="7">
        <v>0</v>
      </c>
      <c r="K50" s="105" t="str">
        <f t="shared" si="0"/>
        <v>4007/4008</v>
      </c>
      <c r="L50" s="22" t="str">
        <f>VLOOKUP(A50,'Trips&amp;Operators'!$C$1:$G$99999,5,FALSE)</f>
        <v>ROBINSON KADDIBA</v>
      </c>
      <c r="M50" s="6">
        <f t="shared" si="1"/>
        <v>2.7245370365562849E-2</v>
      </c>
      <c r="N50" s="7">
        <f t="shared" si="2"/>
        <v>39.233333326410502</v>
      </c>
      <c r="O50" s="7"/>
      <c r="P50" s="7"/>
      <c r="Q50" s="23"/>
      <c r="R50" s="23"/>
      <c r="S50" s="32">
        <f t="shared" si="3"/>
        <v>1</v>
      </c>
      <c r="T50" s="47" t="str">
        <f t="shared" si="4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08:01:44-700',mode:absolute,to:'2017-01-01 10:50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0" s="49" t="str">
        <f t="shared" si="6"/>
        <v>N</v>
      </c>
      <c r="X50" s="173">
        <f t="shared" si="7"/>
        <v>1</v>
      </c>
      <c r="Y50" s="64">
        <f t="shared" si="8"/>
        <v>23.298200000000001</v>
      </c>
      <c r="Z50" s="64">
        <f t="shared" si="9"/>
        <v>1.38E-2</v>
      </c>
      <c r="AA50" s="64">
        <f t="shared" si="10"/>
        <v>23.284400000000002</v>
      </c>
      <c r="AB50" s="61" t="e">
        <f>VLOOKUP(A50,Enforcements!$C$7:$K$19,8,0)</f>
        <v>#N/A</v>
      </c>
      <c r="AC50" s="57" t="e">
        <f>VLOOKUP(A50,Enforcements!$C$7:$E$19,3,0)</f>
        <v>#N/A</v>
      </c>
      <c r="AD50" s="58" t="str">
        <f t="shared" si="11"/>
        <v>0138-01</v>
      </c>
      <c r="AE50" s="87" t="str">
        <f t="shared" si="12"/>
        <v>aws s3 cp s3://rtdc.mdm.uploadarchive.raw/RTDC4008/ "%USERPROFILE%\AppData\Local\Temp\OnboardLogs"\RTDC4008\2017-01-01 --exclude "*" --recursive --include "*20170101*" &amp; "%USERPROFILE%\Documents\GitHub\mrs-test-scripts\Headless Mode &amp; Sideloading\WalkAndUnGZ.bat" "%USERPROFILE%\AppData\Local\Temp\OnboardLogs"\RTDC4008\2017-01-01 &amp; 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</v>
      </c>
      <c r="AF50" s="84" t="str">
        <f t="shared" si="13"/>
        <v>"C:\Program Files (x86)\AstroGrep\AstroGrep.exe" /spath="%USERPROFILE%\AppData\Local\Temp\OnboardLogs" /stypes="app*4008*20170101*"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138-01 --locoid 4008 --swversion DE.1.0.8.0 --startMP 204:232982 --initTime 2017-01-01T09:01:44 --startdatetime 2017-01-01T09:11:16 --delay 1 --endMP 204:138 --enddatetime 2017-01-01T09:50:30 --enforcementcount 0 &gt;&gt;C:\Users\stu\Documents\GitHub\eaglep3-reporting\EC\2017-01-01-refined-times.txt</v>
      </c>
      <c r="AI50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{"issue":{"subject":"","project_id":79,"tracker_id":40,"status_id":1,"priority_id":2,"assigned_to_id":23,"start_date":"2017-01-01","description":"","custom_fields":[{"id":1,"name":"Subdivision","value":"EC"},{"id":4,"name":"Milepost","value":"0.0138"},{"id":17,"name":"Train ID","value":"138-01"},{"id":16,"name":"Locomotive ID","value":"4008"},{"id":130,"name":"Impact","value":""},{"id":150,"name":"Time of Event (Mountain Time)","value":"09:50:30"},{"id":151,"name":"Denver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20"/>
        <v>start /low /b %USERPROFILE%\Documents\GitHub\eaglep3\Utilities\DownloadLogsFromS3.py --loco 4008 --day 2017-01-01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526</v>
      </c>
      <c r="B51" s="7">
        <v>4003</v>
      </c>
      <c r="C51" s="22" t="s">
        <v>205</v>
      </c>
      <c r="D51" s="22" t="s">
        <v>320</v>
      </c>
      <c r="E51" s="13">
        <v>42736.350127314814</v>
      </c>
      <c r="F51" s="13">
        <v>42736.354375000003</v>
      </c>
      <c r="G51" s="7">
        <v>6</v>
      </c>
      <c r="H51" s="22" t="s">
        <v>391</v>
      </c>
      <c r="I51" s="13">
        <v>42736.38008101852</v>
      </c>
      <c r="J51" s="7">
        <v>0</v>
      </c>
      <c r="K51" s="105" t="str">
        <f t="shared" si="0"/>
        <v>4003/4004</v>
      </c>
      <c r="L51" s="22" t="str">
        <f>VLOOKUP(A51,'Trips&amp;Operators'!$C$1:$G$99999,5,FALSE)</f>
        <v>GEBRETEKLE DAGNEW</v>
      </c>
      <c r="M51" s="6">
        <f t="shared" si="1"/>
        <v>2.5706018517666962E-2</v>
      </c>
      <c r="N51" s="7">
        <f t="shared" si="2"/>
        <v>37.016666665440425</v>
      </c>
      <c r="O51" s="7"/>
      <c r="P51" s="7"/>
      <c r="Q51" s="23"/>
      <c r="R51" s="23"/>
      <c r="S51" s="32">
        <f t="shared" si="3"/>
        <v>1</v>
      </c>
      <c r="T51" s="47" t="str">
        <f t="shared" si="4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07:24:11-700',mode:absolute,to:'2017-01-01 10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1" s="49" t="str">
        <f t="shared" si="6"/>
        <v>N</v>
      </c>
      <c r="X51" s="173">
        <f t="shared" si="7"/>
        <v>1</v>
      </c>
      <c r="Y51" s="64">
        <f t="shared" si="8"/>
        <v>4.5699999999999998E-2</v>
      </c>
      <c r="Z51" s="64">
        <f t="shared" si="9"/>
        <v>23.331499999999998</v>
      </c>
      <c r="AA51" s="64">
        <f t="shared" si="10"/>
        <v>23.285799999999998</v>
      </c>
      <c r="AB51" s="61" t="e">
        <f>VLOOKUP(A51,Enforcements!$C$7:$K$19,8,0)</f>
        <v>#N/A</v>
      </c>
      <c r="AC51" s="57" t="e">
        <f>VLOOKUP(A51,Enforcements!$C$7:$E$19,3,0)</f>
        <v>#N/A</v>
      </c>
      <c r="AD51" s="58" t="str">
        <f t="shared" si="11"/>
        <v>0139-01</v>
      </c>
      <c r="AE51" s="87" t="str">
        <f t="shared" si="12"/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AF51" s="84" t="str">
        <f t="shared" si="13"/>
        <v>"C:\Program Files (x86)\AstroGrep\AstroGrep.exe" /spath="%USERPROFILE%\AppData\Local\Temp\OnboardLogs" /stypes="app*4003*20170101*"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139-01 --locoid 4003 --swversion DE.1.0.8.0 --startMP 204:457 --initTime 2017-01-01T08:24:11 --startdatetime 2017-01-01T08:30:18 --delay 6 --endMP 204:233315 --enddatetime 2017-01-01T09:07:19 --enforcementcount 0 &gt;&gt;C:\Users\stu\Documents\GitHub\eaglep3-reporting\EC\2017-01-01-refined-times.txt</v>
      </c>
      <c r="AI51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{"issue":{"subject":"","project_id":79,"tracker_id":40,"status_id":1,"priority_id":2,"assigned_to_id":23,"start_date":"2017-01-01","description":"","custom_fields":[{"id":1,"name":"Subdivision","value":"EC"},{"id":4,"name":"Milepost","value":"23.3315"},{"id":17,"name":"Train ID","value":"139-01"},{"id":16,"name":"Locomotive ID","value":"4003"},{"id":130,"name":"Impact","value":""},{"id":150,"name":"Time of Event (Mountain Time)","value":"09:07:19"},{"id":151,"name":"Denver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20"/>
        <v>start /low /b %USERPROFILE%\Documents\GitHub\eaglep3\Utilities\DownloadLogsFromS3.py --loco 4003 --day 2017-01-01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533</v>
      </c>
      <c r="B52" s="7">
        <v>4004</v>
      </c>
      <c r="C52" s="22" t="s">
        <v>205</v>
      </c>
      <c r="D52" s="22" t="s">
        <v>332</v>
      </c>
      <c r="E52" s="13">
        <v>42736.387465277781</v>
      </c>
      <c r="F52" s="13">
        <v>42736.393368055556</v>
      </c>
      <c r="G52" s="7">
        <v>1</v>
      </c>
      <c r="H52" s="22" t="s">
        <v>297</v>
      </c>
      <c r="I52" s="13">
        <v>42736.419872685183</v>
      </c>
      <c r="J52" s="7">
        <v>0</v>
      </c>
      <c r="K52" s="105" t="str">
        <f t="shared" si="0"/>
        <v>4003/4004</v>
      </c>
      <c r="L52" s="22" t="str">
        <f>VLOOKUP(A52,'Trips&amp;Operators'!$C$1:$G$99999,5,FALSE)</f>
        <v>GEBRETEKLE DAGNEW</v>
      </c>
      <c r="M52" s="6">
        <f t="shared" si="1"/>
        <v>2.6504629626288079E-2</v>
      </c>
      <c r="N52" s="7">
        <f t="shared" si="2"/>
        <v>38.166666661854833</v>
      </c>
      <c r="O52" s="7"/>
      <c r="P52" s="7"/>
      <c r="Q52" s="23"/>
      <c r="R52" s="23"/>
      <c r="S52" s="32">
        <f t="shared" si="3"/>
        <v>1</v>
      </c>
      <c r="T52" s="47" t="str">
        <f t="shared" si="4"/>
        <v>Southbound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08:17:57-700',mode:absolute,to:'2017-01-01 11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2" s="49" t="str">
        <f t="shared" si="6"/>
        <v>N</v>
      </c>
      <c r="X52" s="173">
        <f t="shared" si="7"/>
        <v>1</v>
      </c>
      <c r="Y52" s="64">
        <f t="shared" si="8"/>
        <v>23.299600000000002</v>
      </c>
      <c r="Z52" s="64">
        <f t="shared" si="9"/>
        <v>1.52E-2</v>
      </c>
      <c r="AA52" s="64">
        <f t="shared" si="10"/>
        <v>23.284400000000002</v>
      </c>
      <c r="AB52" s="61" t="e">
        <f>VLOOKUP(A52,Enforcements!$C$7:$K$19,8,0)</f>
        <v>#N/A</v>
      </c>
      <c r="AC52" s="57" t="e">
        <f>VLOOKUP(A52,Enforcements!$C$7:$E$19,3,0)</f>
        <v>#N/A</v>
      </c>
      <c r="AD52" s="58" t="str">
        <f t="shared" si="11"/>
        <v>0140-01</v>
      </c>
      <c r="AE52" s="87" t="str">
        <f t="shared" si="12"/>
        <v>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 &amp; aws s3 cp s3://rtdc.mdm.uploadarchive.raw/RTDC4004/ "%USERPROFILE%\AppData\Local\Temp\OnboardLogs"\RTDC4004\2017-01-02 --exclude "*" --recursive --include "*20170102*" &amp; "%USERPROFILE%\Documents\GitHub\mrs-test-scripts\Headless Mode &amp; Sideloading\WalkAndUnGZ.bat" "%USERPROFILE%\AppData\Local\Temp\OnboardLogs"\RTDC4004\2017-01-02</v>
      </c>
      <c r="AF52" s="84" t="str">
        <f t="shared" si="13"/>
        <v>"C:\Program Files (x86)\AstroGrep\AstroGrep.exe" /spath="%USERPROFILE%\AppData\Local\Temp\OnboardLogs" /stypes="app*4004*20170101*"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140-01 --locoid 4004 --swversion DE.1.0.8.0 --startMP 204:232996 --initTime 2017-01-01T09:17:57 --startdatetime 2017-01-01T09:26:27 --delay 1 --endMP 204:152 --enddatetime 2017-01-01T10:04:37 --enforcementcount 0 &gt;&gt;C:\Users\stu\Documents\GitHub\eaglep3-reporting\EC\2017-01-01-refined-times.txt</v>
      </c>
      <c r="AI52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{"issue":{"subject":"","project_id":79,"tracker_id":40,"status_id":1,"priority_id":2,"assigned_to_id":23,"start_date":"2017-01-01","description":"","custom_fields":[{"id":1,"name":"Subdivision","value":"EC"},{"id":4,"name":"Milepost","value":"0.0152"},{"id":17,"name":"Train ID","value":"140-01"},{"id":16,"name":"Locomotive ID","value":"4004"},{"id":130,"name":"Impact","value":""},{"id":150,"name":"Time of Event (Mountain Time)","value":"10:04:37"},{"id":151,"name":"Denver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20"/>
        <v>start /low /b %USERPROFILE%\Documents\GitHub\eaglep3\Utilities\DownloadLogsFromS3.py --loco 4004 --day 2017-01-01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29" customFormat="1" x14ac:dyDescent="0.25">
      <c r="A53" s="34" t="s">
        <v>528</v>
      </c>
      <c r="B53" s="7">
        <v>4014</v>
      </c>
      <c r="C53" s="22" t="s">
        <v>205</v>
      </c>
      <c r="D53" s="22" t="s">
        <v>320</v>
      </c>
      <c r="E53" s="13">
        <v>42736.359976851854</v>
      </c>
      <c r="F53" s="13">
        <v>42736.364814814813</v>
      </c>
      <c r="G53" s="7">
        <v>1</v>
      </c>
      <c r="H53" s="22" t="s">
        <v>398</v>
      </c>
      <c r="I53" s="13">
        <v>42736.389907407407</v>
      </c>
      <c r="J53" s="7">
        <v>0</v>
      </c>
      <c r="K53" s="105" t="str">
        <f t="shared" si="0"/>
        <v>4013/4014</v>
      </c>
      <c r="L53" s="22" t="str">
        <f>VLOOKUP(A53,'Trips&amp;Operators'!$C$1:$G$99999,5,FALSE)</f>
        <v>OUN ZACK</v>
      </c>
      <c r="M53" s="6">
        <f t="shared" si="1"/>
        <v>2.5092592593864538E-2</v>
      </c>
      <c r="N53" s="7">
        <f t="shared" si="2"/>
        <v>36.133333335164934</v>
      </c>
      <c r="O53" s="7"/>
      <c r="P53" s="7"/>
      <c r="Q53" s="23"/>
      <c r="R53" s="23"/>
      <c r="S53" s="32">
        <f t="shared" si="3"/>
        <v>1</v>
      </c>
      <c r="T53" s="47" t="str">
        <f t="shared" si="4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07:38:22-700',mode:absolute,to:'2017-01-01 10:21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3" s="49" t="str">
        <f t="shared" si="6"/>
        <v>N</v>
      </c>
      <c r="X53" s="173">
        <f t="shared" si="7"/>
        <v>1</v>
      </c>
      <c r="Y53" s="64">
        <f t="shared" si="8"/>
        <v>4.5699999999999998E-2</v>
      </c>
      <c r="Z53" s="64">
        <f t="shared" si="9"/>
        <v>23.330500000000001</v>
      </c>
      <c r="AA53" s="64">
        <f t="shared" si="10"/>
        <v>23.284800000000001</v>
      </c>
      <c r="AB53" s="61" t="e">
        <f>VLOOKUP(A53,Enforcements!$C$7:$K$19,8,0)</f>
        <v>#N/A</v>
      </c>
      <c r="AC53" s="57" t="e">
        <f>VLOOKUP(A53,Enforcements!$C$7:$E$19,3,0)</f>
        <v>#N/A</v>
      </c>
      <c r="AD53" s="58" t="str">
        <f t="shared" si="11"/>
        <v>0141-01</v>
      </c>
      <c r="AE53" s="87" t="str">
        <f t="shared" si="12"/>
        <v>aws s3 cp s3://rtdc.mdm.uploadarchive.raw/RTDC4014/ "%USERPROFILE%\AppData\Local\Temp\OnboardLogs"\RTDC4014\2017-01-01 --exclude "*" --recursive --include "*20170101*" &amp; "%USERPROFILE%\Documents\GitHub\mrs-test-scripts\Headless Mode &amp; Sideloading\WalkAndUnGZ.bat" "%USERPROFILE%\AppData\Local\Temp\OnboardLogs"\RTDC4014\2017-01-01 &amp; 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</v>
      </c>
      <c r="AF53" s="84" t="str">
        <f t="shared" si="13"/>
        <v>"C:\Program Files (x86)\AstroGrep\AstroGrep.exe" /spath="%USERPROFILE%\AppData\Local\Temp\OnboardLogs" /stypes="app*4014*20170101*"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141-01 --locoid 4014 --swversion DE.1.0.8.0 --startMP 204:457 --initTime 2017-01-01T08:38:22 --startdatetime 2017-01-01T08:45:20 --delay 1 --endMP 204:233305 --enddatetime 2017-01-01T09:21:28 --enforcementcount 0 &gt;&gt;C:\Users\stu\Documents\GitHub\eaglep3-reporting\EC\2017-01-01-refined-times.txt</v>
      </c>
      <c r="AI53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{"issue":{"subject":"","project_id":79,"tracker_id":40,"status_id":1,"priority_id":2,"assigned_to_id":23,"start_date":"2017-01-01","description":"","custom_fields":[{"id":1,"name":"Subdivision","value":"EC"},{"id":4,"name":"Milepost","value":"23.3305"},{"id":17,"name":"Train ID","value":"141-01"},{"id":16,"name":"Locomotive ID","value":"4014"},{"id":130,"name":"Impact","value":""},{"id":150,"name":"Time of Event (Mountain Time)","value":"09:21:28"},{"id":151,"name":"Denver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20"/>
        <v>start /low /b %USERPROFILE%\Documents\GitHub\eaglep3\Utilities\DownloadLogsFromS3.py --loco 4014 --day 2017-01-01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535</v>
      </c>
      <c r="B54" s="7">
        <v>4013</v>
      </c>
      <c r="C54" s="22" t="s">
        <v>205</v>
      </c>
      <c r="D54" s="22" t="s">
        <v>273</v>
      </c>
      <c r="E54" s="13">
        <v>42736.3981712963</v>
      </c>
      <c r="F54" s="13">
        <v>42736.403692129628</v>
      </c>
      <c r="G54" s="7">
        <v>1</v>
      </c>
      <c r="H54" s="22" t="s">
        <v>263</v>
      </c>
      <c r="I54" s="13">
        <v>42736.430891203701</v>
      </c>
      <c r="J54" s="7">
        <v>0</v>
      </c>
      <c r="K54" s="105" t="str">
        <f t="shared" si="0"/>
        <v>4013/4014</v>
      </c>
      <c r="L54" s="22" t="str">
        <f>VLOOKUP(A54,'Trips&amp;Operators'!$C$1:$G$99999,5,FALSE)</f>
        <v>OUN ZACK</v>
      </c>
      <c r="M54" s="6">
        <f t="shared" si="1"/>
        <v>2.7199074072996154E-2</v>
      </c>
      <c r="N54" s="7">
        <f t="shared" si="2"/>
        <v>39.166666665114462</v>
      </c>
      <c r="O54" s="7"/>
      <c r="P54" s="7"/>
      <c r="Q54" s="23"/>
      <c r="R54" s="23"/>
      <c r="S54" s="32">
        <f t="shared" si="3"/>
        <v>1</v>
      </c>
      <c r="T54" s="47" t="str">
        <f t="shared" si="4"/>
        <v>Southbound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08:33:22-700',mode:absolute,to:'2017-01-01 11:20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4" s="49" t="str">
        <f t="shared" si="6"/>
        <v>N</v>
      </c>
      <c r="X54" s="173">
        <f t="shared" si="7"/>
        <v>1</v>
      </c>
      <c r="Y54" s="64">
        <f t="shared" si="8"/>
        <v>23.297799999999999</v>
      </c>
      <c r="Z54" s="64">
        <f t="shared" si="9"/>
        <v>1.38E-2</v>
      </c>
      <c r="AA54" s="64">
        <f t="shared" si="10"/>
        <v>23.283999999999999</v>
      </c>
      <c r="AB54" s="61" t="e">
        <f>VLOOKUP(A54,Enforcements!$C$7:$K$19,8,0)</f>
        <v>#N/A</v>
      </c>
      <c r="AC54" s="57" t="e">
        <f>VLOOKUP(A54,Enforcements!$C$7:$E$19,3,0)</f>
        <v>#N/A</v>
      </c>
      <c r="AD54" s="58" t="str">
        <f t="shared" si="11"/>
        <v>0142-01</v>
      </c>
      <c r="AE54" s="87" t="str">
        <f t="shared" si="12"/>
        <v>aws s3 cp s3://rtdc.mdm.uploadarchive.raw/RTDC4013/ "%USERPROFILE%\AppData\Local\Temp\OnboardLogs"\RTDC4013\2017-01-01 --exclude "*" --recursive --include "*20170101*" &amp; "%USERPROFILE%\Documents\GitHub\mrs-test-scripts\Headless Mode &amp; Sideloading\WalkAndUnGZ.bat" "%USERPROFILE%\AppData\Local\Temp\OnboardLogs"\RTDC4013\2017-01-01 &amp; 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</v>
      </c>
      <c r="AF54" s="84" t="str">
        <f t="shared" si="13"/>
        <v>"C:\Program Files (x86)\AstroGrep\AstroGrep.exe" /spath="%USERPROFILE%\AppData\Local\Temp\OnboardLogs" /stypes="app*4013*20170101*"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142-01 --locoid 4013 --swversion DE.1.0.8.0 --startMP 204:232978 --initTime 2017-01-01T09:33:22 --startdatetime 2017-01-01T09:41:19 --delay 1 --endMP 204:138 --enddatetime 2017-01-01T10:20:29 --enforcementcount 0 &gt;&gt;C:\Users\stu\Documents\GitHub\eaglep3-reporting\EC\2017-01-01-refined-times.txt</v>
      </c>
      <c r="AI54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{"issue":{"subject":"","project_id":79,"tracker_id":40,"status_id":1,"priority_id":2,"assigned_to_id":23,"start_date":"2017-01-01","description":"","custom_fields":[{"id":1,"name":"Subdivision","value":"EC"},{"id":4,"name":"Milepost","value":"0.0138"},{"id":17,"name":"Train ID","value":"142-01"},{"id":16,"name":"Locomotive ID","value":"4013"},{"id":130,"name":"Impact","value":""},{"id":150,"name":"Time of Event (Mountain Time)","value":"10:20:29"},{"id":151,"name":"Denver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20"/>
        <v>start /low /b %USERPROFILE%\Documents\GitHub\eaglep3\Utilities\DownloadLogsFromS3.py --loco 4013 --day 2017-01-01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529</v>
      </c>
      <c r="B55" s="7">
        <v>4002</v>
      </c>
      <c r="C55" s="22" t="s">
        <v>205</v>
      </c>
      <c r="D55" s="22" t="s">
        <v>329</v>
      </c>
      <c r="E55" s="13">
        <v>42736.372106481482</v>
      </c>
      <c r="F55" s="13">
        <v>42736.375185185185</v>
      </c>
      <c r="G55" s="7">
        <v>4</v>
      </c>
      <c r="H55" s="22" t="s">
        <v>271</v>
      </c>
      <c r="I55" s="13">
        <v>42736.402002314811</v>
      </c>
      <c r="J55" s="7">
        <v>0</v>
      </c>
      <c r="K55" s="105" t="str">
        <f t="shared" si="0"/>
        <v>4001/4002</v>
      </c>
      <c r="L55" s="22" t="str">
        <f>VLOOKUP(A55,'Trips&amp;Operators'!$C$1:$G$99999,5,FALSE)</f>
        <v>SHOOK JOHN</v>
      </c>
      <c r="M55" s="6">
        <f t="shared" si="1"/>
        <v>2.6817129626579117E-2</v>
      </c>
      <c r="N55" s="7">
        <f t="shared" si="2"/>
        <v>38.616666662273929</v>
      </c>
      <c r="O55" s="7"/>
      <c r="P55" s="7"/>
      <c r="Q55" s="23"/>
      <c r="R55" s="23"/>
      <c r="S55" s="32">
        <f t="shared" si="3"/>
        <v>1</v>
      </c>
      <c r="T55" s="47" t="str">
        <f t="shared" si="4"/>
        <v>NorthBound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07:55:50-700',mode:absolute,to:'2017-01-01 10:38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5" s="49" t="str">
        <f t="shared" si="6"/>
        <v>N</v>
      </c>
      <c r="X55" s="173">
        <f t="shared" si="7"/>
        <v>1</v>
      </c>
      <c r="Y55" s="64">
        <f t="shared" si="8"/>
        <v>4.4400000000000002E-2</v>
      </c>
      <c r="Z55" s="64">
        <f t="shared" si="9"/>
        <v>23.3308</v>
      </c>
      <c r="AA55" s="64">
        <f t="shared" si="10"/>
        <v>23.2864</v>
      </c>
      <c r="AB55" s="61" t="e">
        <f>VLOOKUP(A55,Enforcements!$C$7:$K$19,8,0)</f>
        <v>#N/A</v>
      </c>
      <c r="AC55" s="57" t="e">
        <f>VLOOKUP(A55,Enforcements!$C$7:$E$19,3,0)</f>
        <v>#N/A</v>
      </c>
      <c r="AD55" s="58" t="str">
        <f t="shared" si="11"/>
        <v>0143-01</v>
      </c>
      <c r="AE55" s="87" t="str">
        <f t="shared" si="12"/>
        <v>aws s3 cp s3://rtdc.mdm.uploadarchive.raw/RTDC4002/ "%USERPROFILE%\AppData\Local\Temp\OnboardLogs"\RTDC4002\2017-01-01 --exclude "*" --recursive --include "*20170101*" &amp; "%USERPROFILE%\Documents\GitHub\mrs-test-scripts\Headless Mode &amp; Sideloading\WalkAndUnGZ.bat" "%USERPROFILE%\AppData\Local\Temp\OnboardLogs"\RTDC4002\2017-01-01 &amp; aws s3 cp s3://rtdc.mdm.uploadarchive.raw/RTDC4002/ "%USERPROFILE%\AppData\Local\Temp\OnboardLogs"\RTDC4002\2017-01-02 --exclude "*" --recursive --include "*20170102*" &amp; "%USERPROFILE%\Documents\GitHub\mrs-test-scripts\Headless Mode &amp; Sideloading\WalkAndUnGZ.bat" "%USERPROFILE%\AppData\Local\Temp\OnboardLogs"\RTDC4002\2017-01-02</v>
      </c>
      <c r="AF55" s="84" t="str">
        <f t="shared" si="13"/>
        <v>"C:\Program Files (x86)\AstroGrep\AstroGrep.exe" /spath="%USERPROFILE%\AppData\Local\Temp\OnboardLogs" /stypes="app*4002*20170101*"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143-01 --locoid 4002 --swversion DE.1.0.8.0 --startMP 204:444 --initTime 2017-01-01T08:55:50 --startdatetime 2017-01-01T09:00:16 --delay 4 --endMP 204:233308 --enddatetime 2017-01-01T09:38:53 --enforcementcount 0 &gt;&gt;C:\Users\stu\Documents\GitHub\eaglep3-reporting\EC\2017-01-01-refined-times.txt</v>
      </c>
      <c r="AI55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{"issue":{"subject":"","project_id":79,"tracker_id":40,"status_id":1,"priority_id":2,"assigned_to_id":23,"start_date":"2017-01-01","description":"","custom_fields":[{"id":1,"name":"Subdivision","value":"EC"},{"id":4,"name":"Milepost","value":"23.3308"},{"id":17,"name":"Train ID","value":"143-01"},{"id":16,"name":"Locomotive ID","value":"4002"},{"id":130,"name":"Impact","value":""},{"id":150,"name":"Time of Event (Mountain Time)","value":"09:38:53"},{"id":151,"name":"Denver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20"/>
        <v>start /low /b %USERPROFILE%\Documents\GitHub\eaglep3\Utilities\DownloadLogsFromS3.py --loco 4002 --day 2017-01-01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540</v>
      </c>
      <c r="B56" s="7">
        <v>4001</v>
      </c>
      <c r="C56" s="22" t="s">
        <v>205</v>
      </c>
      <c r="D56" s="22" t="s">
        <v>331</v>
      </c>
      <c r="E56" s="13">
        <v>42736.403865740744</v>
      </c>
      <c r="F56" s="13">
        <v>42736.414085648146</v>
      </c>
      <c r="G56" s="7">
        <v>1</v>
      </c>
      <c r="H56" s="22" t="s">
        <v>253</v>
      </c>
      <c r="I56" s="13">
        <v>42736.441724537035</v>
      </c>
      <c r="J56" s="7">
        <v>0</v>
      </c>
      <c r="K56" s="105" t="str">
        <f t="shared" si="0"/>
        <v>4001/4002</v>
      </c>
      <c r="L56" s="22" t="str">
        <f>VLOOKUP(A56,'Trips&amp;Operators'!$C$1:$G$99999,5,FALSE)</f>
        <v>SHOOK JOHN</v>
      </c>
      <c r="M56" s="6">
        <f t="shared" si="1"/>
        <v>2.7638888888759539E-2</v>
      </c>
      <c r="N56" s="7">
        <f t="shared" si="2"/>
        <v>39.799999999813735</v>
      </c>
      <c r="O56" s="7"/>
      <c r="P56" s="7"/>
      <c r="Q56" s="23"/>
      <c r="R56" s="23"/>
      <c r="S56" s="32">
        <f t="shared" si="3"/>
        <v>1</v>
      </c>
      <c r="T56" s="47" t="str">
        <f t="shared" si="4"/>
        <v>Southbound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08:41:34-700',mode:absolute,to:'2017-01-01 11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6" s="49" t="str">
        <f t="shared" si="6"/>
        <v>N</v>
      </c>
      <c r="X56" s="173">
        <f t="shared" si="7"/>
        <v>1</v>
      </c>
      <c r="Y56" s="64">
        <f t="shared" si="8"/>
        <v>23.300599999999999</v>
      </c>
      <c r="Z56" s="64">
        <f t="shared" si="9"/>
        <v>1.3899999999999999E-2</v>
      </c>
      <c r="AA56" s="64">
        <f t="shared" si="10"/>
        <v>23.2867</v>
      </c>
      <c r="AB56" s="61" t="e">
        <f>VLOOKUP(A56,Enforcements!$C$7:$K$19,8,0)</f>
        <v>#N/A</v>
      </c>
      <c r="AC56" s="57" t="e">
        <f>VLOOKUP(A56,Enforcements!$C$7:$E$19,3,0)</f>
        <v>#N/A</v>
      </c>
      <c r="AD56" s="58" t="str">
        <f t="shared" si="11"/>
        <v>0144-01</v>
      </c>
      <c r="AE56" s="87" t="str">
        <f t="shared" si="12"/>
        <v>aws s3 cp s3://rtdc.mdm.uploadarchive.raw/RTDC4001/ "%USERPROFILE%\AppData\Local\Temp\OnboardLogs"\RTDC4001\2017-01-01 --exclude "*" --recursive --include "*20170101*" &amp; "%USERPROFILE%\Documents\GitHub\mrs-test-scripts\Headless Mode &amp; Sideloading\WalkAndUnGZ.bat" "%USERPROFILE%\AppData\Local\Temp\OnboardLogs"\RTDC4001\2017-01-01 &amp; aws s3 cp s3://rtdc.mdm.uploadarchive.raw/RTDC4001/ "%USERPROFILE%\AppData\Local\Temp\OnboardLogs"\RTDC4001\2017-01-02 --exclude "*" --recursive --include "*20170102*" &amp; "%USERPROFILE%\Documents\GitHub\mrs-test-scripts\Headless Mode &amp; Sideloading\WalkAndUnGZ.bat" "%USERPROFILE%\AppData\Local\Temp\OnboardLogs"\RTDC4001\2017-01-02</v>
      </c>
      <c r="AF56" s="84" t="str">
        <f t="shared" si="13"/>
        <v>"C:\Program Files (x86)\AstroGrep\AstroGrep.exe" /spath="%USERPROFILE%\AppData\Local\Temp\OnboardLogs" /stypes="app*4001*20170101*"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144-01 --locoid 4001 --swversion DE.1.0.8.0 --startMP 204:233006 --initTime 2017-01-01T09:41:34 --startdatetime 2017-01-01T09:56:17 --delay 1 --endMP 204:139 --enddatetime 2017-01-01T10:36:05 --enforcementcount 0 &gt;&gt;C:\Users\stu\Documents\GitHub\eaglep3-reporting\EC\2017-01-01-refined-times.txt</v>
      </c>
      <c r="AI56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{"issue":{"subject":"","project_id":79,"tracker_id":40,"status_id":1,"priority_id":2,"assigned_to_id":23,"start_date":"2017-01-01","description":"","custom_fields":[{"id":1,"name":"Subdivision","value":"EC"},{"id":4,"name":"Milepost","value":"0.0139"},{"id":17,"name":"Train ID","value":"144-01"},{"id":16,"name":"Locomotive ID","value":"4001"},{"id":130,"name":"Impact","value":""},{"id":150,"name":"Time of Event (Mountain Time)","value":"10:36:05"},{"id":151,"name":"Denver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20"/>
        <v>start /low /b %USERPROFILE%\Documents\GitHub\eaglep3\Utilities\DownloadLogsFromS3.py --loco 4001 --day 2017-01-01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532</v>
      </c>
      <c r="B57" s="7">
        <v>4042</v>
      </c>
      <c r="C57" s="22" t="s">
        <v>205</v>
      </c>
      <c r="D57" s="22" t="s">
        <v>193</v>
      </c>
      <c r="E57" s="13">
        <v>42736.381851851853</v>
      </c>
      <c r="F57" s="13">
        <v>42736.385659722226</v>
      </c>
      <c r="G57" s="7">
        <v>1</v>
      </c>
      <c r="H57" s="22" t="s">
        <v>360</v>
      </c>
      <c r="I57" s="13">
        <v>42736.411412037036</v>
      </c>
      <c r="J57" s="7">
        <v>0</v>
      </c>
      <c r="K57" s="105" t="str">
        <f t="shared" si="0"/>
        <v>4041/4042</v>
      </c>
      <c r="L57" s="22" t="str">
        <f>VLOOKUP(A57,'Trips&amp;Operators'!$C$1:$G$99999,5,FALSE)</f>
        <v>MAELZER KURT</v>
      </c>
      <c r="M57" s="6">
        <f t="shared" si="1"/>
        <v>2.5752314810233656E-2</v>
      </c>
      <c r="N57" s="7">
        <f t="shared" si="2"/>
        <v>37.083333326736465</v>
      </c>
      <c r="O57" s="7"/>
      <c r="P57" s="7"/>
      <c r="Q57" s="23"/>
      <c r="R57" s="23"/>
      <c r="S57" s="32">
        <f t="shared" si="3"/>
        <v>1</v>
      </c>
      <c r="T57" s="47" t="str">
        <f t="shared" si="4"/>
        <v>NorthBound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08:09:52-700',mode:absolute,to:'2017-01-01 10:52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7" s="49" t="str">
        <f t="shared" si="6"/>
        <v>N</v>
      </c>
      <c r="X57" s="173">
        <f t="shared" si="7"/>
        <v>1</v>
      </c>
      <c r="Y57" s="64">
        <f t="shared" si="8"/>
        <v>4.4699999999999997E-2</v>
      </c>
      <c r="Z57" s="64">
        <f t="shared" si="9"/>
        <v>23.331399999999999</v>
      </c>
      <c r="AA57" s="64">
        <f t="shared" si="10"/>
        <v>23.2867</v>
      </c>
      <c r="AB57" s="61" t="e">
        <f>VLOOKUP(A57,Enforcements!$C$7:$K$19,8,0)</f>
        <v>#N/A</v>
      </c>
      <c r="AC57" s="57" t="e">
        <f>VLOOKUP(A57,Enforcements!$C$7:$E$19,3,0)</f>
        <v>#N/A</v>
      </c>
      <c r="AD57" s="58" t="str">
        <f t="shared" si="11"/>
        <v>0145-01</v>
      </c>
      <c r="AE57" s="87" t="str">
        <f t="shared" si="12"/>
        <v>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 &amp; 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</v>
      </c>
      <c r="AF57" s="84" t="str">
        <f t="shared" si="13"/>
        <v>"C:\Program Files (x86)\AstroGrep\AstroGrep.exe" /spath="%USERPROFILE%\AppData\Local\Temp\OnboardLogs" /stypes="app*4042*20170101*"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145-01 --locoid 4042 --swversion DE.1.0.8.0 --startMP 204:447 --initTime 2017-01-01T09:09:52 --startdatetime 2017-01-01T09:15:21 --delay 1 --endMP 204:233314 --enddatetime 2017-01-01T09:52:26 --enforcementcount 0 &gt;&gt;C:\Users\stu\Documents\GitHub\eaglep3-reporting\EC\2017-01-01-refined-times.txt</v>
      </c>
      <c r="AI57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{"issue":{"subject":"","project_id":79,"tracker_id":40,"status_id":1,"priority_id":2,"assigned_to_id":23,"start_date":"2017-01-01","description":"","custom_fields":[{"id":1,"name":"Subdivision","value":"EC"},{"id":4,"name":"Milepost","value":"23.3314"},{"id":17,"name":"Train ID","value":"145-01"},{"id":16,"name":"Locomotive ID","value":"4042"},{"id":130,"name":"Impact","value":""},{"id":150,"name":"Time of Event (Mountain Time)","value":"09:52:26"},{"id":151,"name":"Denver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20"/>
        <v>start /low /b %USERPROFILE%\Documents\GitHub\eaglep3\Utilities\DownloadLogsFromS3.py --loco 4042 --day 2017-01-01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443</v>
      </c>
      <c r="B58" s="7">
        <v>4041</v>
      </c>
      <c r="C58" s="22" t="s">
        <v>205</v>
      </c>
      <c r="D58" s="22" t="s">
        <v>701</v>
      </c>
      <c r="E58" s="13">
        <v>42736.420486111114</v>
      </c>
      <c r="F58" s="13">
        <v>42736.424618055556</v>
      </c>
      <c r="G58" s="7">
        <v>1</v>
      </c>
      <c r="H58" s="22" t="s">
        <v>263</v>
      </c>
      <c r="I58" s="13">
        <v>42736.452291666668</v>
      </c>
      <c r="J58" s="7">
        <v>0</v>
      </c>
      <c r="K58" s="105" t="str">
        <f t="shared" si="0"/>
        <v>4041/4042</v>
      </c>
      <c r="L58" s="22" t="str">
        <f>VLOOKUP(A58,'Trips&amp;Operators'!$C$1:$G$99999,5,FALSE)</f>
        <v>MAELZER KURT</v>
      </c>
      <c r="M58" s="6">
        <f t="shared" si="1"/>
        <v>2.7673611111822538E-2</v>
      </c>
      <c r="N58" s="7">
        <f t="shared" si="2"/>
        <v>39.850000001024455</v>
      </c>
      <c r="O58" s="7"/>
      <c r="P58" s="7"/>
      <c r="Q58" s="23"/>
      <c r="R58" s="23"/>
      <c r="S58" s="32">
        <f t="shared" si="3"/>
        <v>1</v>
      </c>
      <c r="T58" s="47" t="str">
        <f t="shared" si="4"/>
        <v>Southbound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09:05:30-700',mode:absolute,to:'2017-01-01 11:51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8" s="49" t="str">
        <f t="shared" si="6"/>
        <v>N</v>
      </c>
      <c r="X58" s="173">
        <f t="shared" si="7"/>
        <v>1</v>
      </c>
      <c r="Y58" s="64">
        <f t="shared" si="8"/>
        <v>23.3001</v>
      </c>
      <c r="Z58" s="64">
        <f t="shared" si="9"/>
        <v>1.38E-2</v>
      </c>
      <c r="AA58" s="64">
        <f t="shared" si="10"/>
        <v>23.286300000000001</v>
      </c>
      <c r="AB58" s="61" t="e">
        <f>VLOOKUP(A58,Enforcements!$C$7:$K$19,8,0)</f>
        <v>#N/A</v>
      </c>
      <c r="AC58" s="57" t="e">
        <f>VLOOKUP(A58,Enforcements!$C$7:$E$19,3,0)</f>
        <v>#N/A</v>
      </c>
      <c r="AD58" s="58" t="str">
        <f t="shared" si="11"/>
        <v>0146-01</v>
      </c>
      <c r="AE58" s="87" t="str">
        <f t="shared" si="12"/>
        <v>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 &amp; 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</v>
      </c>
      <c r="AF58" s="84" t="str">
        <f t="shared" si="13"/>
        <v>"C:\Program Files (x86)\AstroGrep\AstroGrep.exe" /spath="%USERPROFILE%\AppData\Local\Temp\OnboardLogs" /stypes="app*4041*20170101*"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146-01 --locoid 4041 --swversion DE.1.0.8.0 --startMP 204:233001 --initTime 2017-01-01T10:05:30 --startdatetime 2017-01-01T10:11:27 --delay 1 --endMP 204:138 --enddatetime 2017-01-01T10:51:18 --enforcementcount 0 &gt;&gt;C:\Users\stu\Documents\GitHub\eaglep3-reporting\EC\2017-01-01-refined-times.txt</v>
      </c>
      <c r="AI58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{"issue":{"subject":"","project_id":79,"tracker_id":40,"status_id":1,"priority_id":2,"assigned_to_id":23,"start_date":"2017-01-01","description":"","custom_fields":[{"id":1,"name":"Subdivision","value":"EC"},{"id":4,"name":"Milepost","value":"0.0138"},{"id":17,"name":"Train ID","value":"146-01"},{"id":16,"name":"Locomotive ID","value":"4041"},{"id":130,"name":"Impact","value":""},{"id":150,"name":"Time of Event (Mountain Time)","value":"10:51:18"},{"id":151,"name":"Denver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20"/>
        <v>start /low /b %USERPROFILE%\Documents\GitHub\eaglep3\Utilities\DownloadLogsFromS3.py --loco 4041 --day 2017-01-01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534</v>
      </c>
      <c r="B59" s="7">
        <v>4009</v>
      </c>
      <c r="C59" s="22" t="s">
        <v>205</v>
      </c>
      <c r="D59" s="22" t="s">
        <v>702</v>
      </c>
      <c r="E59" s="13">
        <v>42736.392372685186</v>
      </c>
      <c r="F59" s="13">
        <v>42736.396319444444</v>
      </c>
      <c r="G59" s="7">
        <v>2</v>
      </c>
      <c r="H59" s="22" t="s">
        <v>680</v>
      </c>
      <c r="I59" s="13">
        <v>42736.42291666667</v>
      </c>
      <c r="J59" s="7">
        <v>0</v>
      </c>
      <c r="K59" s="105" t="str">
        <f t="shared" si="0"/>
        <v>4009/4010</v>
      </c>
      <c r="L59" s="22" t="str">
        <f>VLOOKUP(A59,'Trips&amp;Operators'!$C$1:$G$99999,5,FALSE)</f>
        <v>BERLING GARY</v>
      </c>
      <c r="M59" s="6">
        <f t="shared" si="1"/>
        <v>2.6597222225973383E-2</v>
      </c>
      <c r="N59" s="7">
        <f t="shared" si="2"/>
        <v>38.300000005401671</v>
      </c>
      <c r="O59" s="7"/>
      <c r="P59" s="7"/>
      <c r="Q59" s="23"/>
      <c r="R59" s="23"/>
      <c r="S59" s="32">
        <f t="shared" si="3"/>
        <v>1</v>
      </c>
      <c r="T59" s="47" t="str">
        <f t="shared" si="4"/>
        <v>NorthBound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08:25:01-700',mode:absolute,to:'2017-01-01 11:09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9" s="49" t="str">
        <f t="shared" si="6"/>
        <v>N</v>
      </c>
      <c r="X59" s="173">
        <f t="shared" si="7"/>
        <v>1</v>
      </c>
      <c r="Y59" s="64">
        <f t="shared" si="8"/>
        <v>4.2000000000000003E-2</v>
      </c>
      <c r="Z59" s="64">
        <f t="shared" si="9"/>
        <v>23.334199999999999</v>
      </c>
      <c r="AA59" s="64">
        <f t="shared" si="10"/>
        <v>23.292199999999998</v>
      </c>
      <c r="AB59" s="61" t="e">
        <f>VLOOKUP(A59,Enforcements!$C$7:$K$19,8,0)</f>
        <v>#N/A</v>
      </c>
      <c r="AC59" s="57" t="e">
        <f>VLOOKUP(A59,Enforcements!$C$7:$E$19,3,0)</f>
        <v>#N/A</v>
      </c>
      <c r="AD59" s="58" t="str">
        <f t="shared" si="11"/>
        <v>0147-01</v>
      </c>
      <c r="AE59" s="87" t="str">
        <f t="shared" si="12"/>
        <v>aws s3 cp s3://rtdc.mdm.uploadarchive.raw/RTDC4009/ "%USERPROFILE%\AppData\Local\Temp\OnboardLogs"\RTDC4009\2017-01-01 --exclude "*" --recursive --include "*20170101*" &amp; "%USERPROFILE%\Documents\GitHub\mrs-test-scripts\Headless Mode &amp; Sideloading\WalkAndUnGZ.bat" "%USERPROFILE%\AppData\Local\Temp\OnboardLogs"\RTDC4009\2017-01-01 &amp; aws s3 cp s3://rtdc.mdm.uploadarchive.raw/RTDC4009/ "%USERPROFILE%\AppData\Local\Temp\OnboardLogs"\RTDC4009\2017-01-02 --exclude "*" --recursive --include "*20170102*" &amp; "%USERPROFILE%\Documents\GitHub\mrs-test-scripts\Headless Mode &amp; Sideloading\WalkAndUnGZ.bat" "%USERPROFILE%\AppData\Local\Temp\OnboardLogs"\RTDC4009\2017-01-02</v>
      </c>
      <c r="AF59" s="84" t="str">
        <f t="shared" si="13"/>
        <v>"C:\Program Files (x86)\AstroGrep\AstroGrep.exe" /spath="%USERPROFILE%\AppData\Local\Temp\OnboardLogs" /stypes="app*4009*20170101*"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147-01 --locoid 4009 --swversion DE.1.0.8.0 --startMP 204:420 --initTime 2017-01-01T09:25:01 --startdatetime 2017-01-01T09:30:42 --delay 2 --endMP 204:233342 --enddatetime 2017-01-01T10:09:00 --enforcementcount 0 &gt;&gt;C:\Users\stu\Documents\GitHub\eaglep3-reporting\EC\2017-01-01-refined-times.txt</v>
      </c>
      <c r="AI59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{"issue":{"subject":"","project_id":79,"tracker_id":40,"status_id":1,"priority_id":2,"assigned_to_id":23,"start_date":"2017-01-01","description":"","custom_fields":[{"id":1,"name":"Subdivision","value":"EC"},{"id":4,"name":"Milepost","value":"23.3342"},{"id":17,"name":"Train ID","value":"147-01"},{"id":16,"name":"Locomotive ID","value":"4009"},{"id":130,"name":"Impact","value":""},{"id":150,"name":"Time of Event (Mountain Time)","value":"10:09:00"},{"id":151,"name":"Denver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20"/>
        <v>start /low /b %USERPROFILE%\Documents\GitHub\eaglep3\Utilities\DownloadLogsFromS3.py --loco 4009 --day 2017-01-01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547</v>
      </c>
      <c r="B60" s="7">
        <v>4010</v>
      </c>
      <c r="C60" s="22" t="s">
        <v>205</v>
      </c>
      <c r="D60" s="22" t="s">
        <v>359</v>
      </c>
      <c r="E60" s="13">
        <v>42736.428136574075</v>
      </c>
      <c r="F60" s="13">
        <v>42736.43513888889</v>
      </c>
      <c r="G60" s="7">
        <v>1</v>
      </c>
      <c r="H60" s="22" t="s">
        <v>364</v>
      </c>
      <c r="I60" s="13">
        <v>42736.462418981479</v>
      </c>
      <c r="J60" s="7">
        <v>0</v>
      </c>
      <c r="K60" s="105" t="str">
        <f t="shared" si="0"/>
        <v>4009/4010</v>
      </c>
      <c r="L60" s="22" t="str">
        <f>VLOOKUP(A60,'Trips&amp;Operators'!$C$1:$G$99999,5,FALSE)</f>
        <v>BERLING GARY</v>
      </c>
      <c r="M60" s="6">
        <f t="shared" si="1"/>
        <v>2.7280092588625848E-2</v>
      </c>
      <c r="N60" s="7">
        <f t="shared" si="2"/>
        <v>39.283333327621222</v>
      </c>
      <c r="O60" s="7"/>
      <c r="P60" s="7"/>
      <c r="Q60" s="23"/>
      <c r="R60" s="23"/>
      <c r="S60" s="32">
        <f t="shared" si="3"/>
        <v>1</v>
      </c>
      <c r="T60" s="47" t="str">
        <f t="shared" si="4"/>
        <v>Southbound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09:16:31-700',mode:absolute,to:'2017-01-01 12:05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0" s="49" t="str">
        <f t="shared" si="6"/>
        <v>N</v>
      </c>
      <c r="X60" s="173">
        <f t="shared" si="7"/>
        <v>1</v>
      </c>
      <c r="Y60" s="64">
        <f t="shared" si="8"/>
        <v>23.301100000000002</v>
      </c>
      <c r="Z60" s="64">
        <f t="shared" si="9"/>
        <v>1.34E-2</v>
      </c>
      <c r="AA60" s="64">
        <f t="shared" si="10"/>
        <v>23.287700000000001</v>
      </c>
      <c r="AB60" s="61" t="e">
        <f>VLOOKUP(A60,Enforcements!$C$7:$K$19,8,0)</f>
        <v>#N/A</v>
      </c>
      <c r="AC60" s="57" t="e">
        <f>VLOOKUP(A60,Enforcements!$C$7:$E$19,3,0)</f>
        <v>#N/A</v>
      </c>
      <c r="AD60" s="58" t="str">
        <f t="shared" si="11"/>
        <v>0148-01</v>
      </c>
      <c r="AE60" s="87" t="str">
        <f t="shared" si="12"/>
        <v>aws s3 cp s3://rtdc.mdm.uploadarchive.raw/RTDC4010/ "%USERPROFILE%\AppData\Local\Temp\OnboardLogs"\RTDC4010\2017-01-01 --exclude "*" --recursive --include "*20170101*" &amp; "%USERPROFILE%\Documents\GitHub\mrs-test-scripts\Headless Mode &amp; Sideloading\WalkAndUnGZ.bat" "%USERPROFILE%\AppData\Local\Temp\OnboardLogs"\RTDC4010\2017-01-01 &amp; aws s3 cp s3://rtdc.mdm.uploadarchive.raw/RTDC4010/ "%USERPROFILE%\AppData\Local\Temp\OnboardLogs"\RTDC4010\2017-01-02 --exclude "*" --recursive --include "*20170102*" &amp; "%USERPROFILE%\Documents\GitHub\mrs-test-scripts\Headless Mode &amp; Sideloading\WalkAndUnGZ.bat" "%USERPROFILE%\AppData\Local\Temp\OnboardLogs"\RTDC4010\2017-01-02</v>
      </c>
      <c r="AF60" s="84" t="str">
        <f t="shared" si="13"/>
        <v>"C:\Program Files (x86)\AstroGrep\AstroGrep.exe" /spath="%USERPROFILE%\AppData\Local\Temp\OnboardLogs" /stypes="app*4010*20170101*"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148-01 --locoid 4010 --swversion DE.1.0.8.0 --startMP 204:233011 --initTime 2017-01-01T10:16:31 --startdatetime 2017-01-01T10:26:36 --delay 1 --endMP 204:134 --enddatetime 2017-01-01T11:05:53 --enforcementcount 0 &gt;&gt;C:\Users\stu\Documents\GitHub\eaglep3-reporting\EC\2017-01-01-refined-times.txt</v>
      </c>
      <c r="AI60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{"issue":{"subject":"","project_id":79,"tracker_id":40,"status_id":1,"priority_id":2,"assigned_to_id":23,"start_date":"2017-01-01","description":"","custom_fields":[{"id":1,"name":"Subdivision","value":"EC"},{"id":4,"name":"Milepost","value":"0.0134"},{"id":17,"name":"Train ID","value":"148-01"},{"id":16,"name":"Locomotive ID","value":"4010"},{"id":130,"name":"Impact","value":""},{"id":150,"name":"Time of Event (Mountain Time)","value":"11:05:53"},{"id":151,"name":"Denver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20"/>
        <v>start /low /b %USERPROFILE%\Documents\GitHub\eaglep3\Utilities\DownloadLogsFromS3.py --loco 4010 --day 2017-01-01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537</v>
      </c>
      <c r="B61" s="7">
        <v>4022</v>
      </c>
      <c r="C61" s="22" t="s">
        <v>205</v>
      </c>
      <c r="D61" s="22" t="s">
        <v>338</v>
      </c>
      <c r="E61" s="13">
        <v>42736.403460648151</v>
      </c>
      <c r="F61" s="13">
        <v>42736.406469907408</v>
      </c>
      <c r="G61" s="7">
        <v>2</v>
      </c>
      <c r="H61" s="22" t="s">
        <v>703</v>
      </c>
      <c r="I61" s="13">
        <v>42736.432835648149</v>
      </c>
      <c r="J61" s="7">
        <v>0</v>
      </c>
      <c r="K61" s="105" t="str">
        <f t="shared" si="0"/>
        <v>4021/4022</v>
      </c>
      <c r="L61" s="22" t="str">
        <f>VLOOKUP(A61,'Trips&amp;Operators'!$C$1:$G$99999,5,FALSE)</f>
        <v>SWANSON BRYCE</v>
      </c>
      <c r="M61" s="6">
        <f t="shared" si="1"/>
        <v>2.6365740741312038E-2</v>
      </c>
      <c r="N61" s="7">
        <f t="shared" si="2"/>
        <v>37.966666667489335</v>
      </c>
      <c r="O61" s="7"/>
      <c r="P61" s="7"/>
      <c r="Q61" s="23"/>
      <c r="R61" s="23"/>
      <c r="S61" s="32">
        <f t="shared" si="3"/>
        <v>1</v>
      </c>
      <c r="T61" s="47" t="str">
        <f t="shared" si="4"/>
        <v>NorthBound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08:40:59-700',mode:absolute,to:'2017-01-01 11:23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1" s="49" t="str">
        <f t="shared" si="6"/>
        <v>N</v>
      </c>
      <c r="X61" s="173">
        <f t="shared" si="7"/>
        <v>1</v>
      </c>
      <c r="Y61" s="64">
        <f t="shared" si="8"/>
        <v>4.6600000000000003E-2</v>
      </c>
      <c r="Z61" s="64">
        <f t="shared" si="9"/>
        <v>23.325500000000002</v>
      </c>
      <c r="AA61" s="64">
        <f t="shared" si="10"/>
        <v>23.2789</v>
      </c>
      <c r="AB61" s="61" t="e">
        <f>VLOOKUP(A61,Enforcements!$C$7:$K$19,8,0)</f>
        <v>#N/A</v>
      </c>
      <c r="AC61" s="57" t="e">
        <f>VLOOKUP(A61,Enforcements!$C$7:$E$19,3,0)</f>
        <v>#N/A</v>
      </c>
      <c r="AD61" s="58" t="str">
        <f t="shared" si="11"/>
        <v>0149-01</v>
      </c>
      <c r="AE61" s="87" t="str">
        <f t="shared" si="12"/>
        <v>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 &amp; aws s3 cp s3://rtdc.mdm.uploadarchive.raw/RTDC4022/ "%USERPROFILE%\AppData\Local\Temp\OnboardLogs"\RTDC4022\2017-01-02 --exclude "*" --recursive --include "*20170102*" &amp; "%USERPROFILE%\Documents\GitHub\mrs-test-scripts\Headless Mode &amp; Sideloading\WalkAndUnGZ.bat" "%USERPROFILE%\AppData\Local\Temp\OnboardLogs"\RTDC4022\2017-01-02</v>
      </c>
      <c r="AF61" s="84" t="str">
        <f t="shared" si="13"/>
        <v>"C:\Program Files (x86)\AstroGrep\AstroGrep.exe" /spath="%USERPROFILE%\AppData\Local\Temp\OnboardLogs" /stypes="app*4022*20170101*"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149-01 --locoid 4022 --swversion DE.1.0.8.0 --startMP 204:466 --initTime 2017-01-01T09:40:59 --startdatetime 2017-01-01T09:45:19 --delay 2 --endMP 204:233255 --enddatetime 2017-01-01T10:23:17 --enforcementcount 0 &gt;&gt;C:\Users\stu\Documents\GitHub\eaglep3-reporting\EC\2017-01-01-refined-times.txt</v>
      </c>
      <c r="AI61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{"issue":{"subject":"","project_id":79,"tracker_id":40,"status_id":1,"priority_id":2,"assigned_to_id":23,"start_date":"2017-01-01","description":"","custom_fields":[{"id":1,"name":"Subdivision","value":"EC"},{"id":4,"name":"Milepost","value":"23.3255"},{"id":17,"name":"Train ID","value":"149-01"},{"id":16,"name":"Locomotive ID","value":"4022"},{"id":130,"name":"Impact","value":""},{"id":150,"name":"Time of Event (Mountain Time)","value":"10:23:17"},{"id":151,"name":"Denver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20"/>
        <v>start /low /b %USERPROFILE%\Documents\GitHub\eaglep3\Utilities\DownloadLogsFromS3.py --loco 4022 --day 2017-01-01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548</v>
      </c>
      <c r="B62" s="7">
        <v>4021</v>
      </c>
      <c r="C62" s="22" t="s">
        <v>205</v>
      </c>
      <c r="D62" s="22" t="s">
        <v>704</v>
      </c>
      <c r="E62" s="13">
        <v>42736.435671296298</v>
      </c>
      <c r="F62" s="13">
        <v>42736.445381944446</v>
      </c>
      <c r="G62" s="7">
        <v>1</v>
      </c>
      <c r="H62" s="22" t="s">
        <v>297</v>
      </c>
      <c r="I62" s="13">
        <v>42736.474918981483</v>
      </c>
      <c r="J62" s="7">
        <v>0</v>
      </c>
      <c r="K62" s="105" t="str">
        <f t="shared" si="0"/>
        <v>4021/4022</v>
      </c>
      <c r="L62" s="22" t="str">
        <f>VLOOKUP(A62,'Trips&amp;Operators'!$C$1:$G$99999,5,FALSE)</f>
        <v>SWANSON BRYCE</v>
      </c>
      <c r="M62" s="6">
        <f t="shared" si="1"/>
        <v>2.9537037036789116E-2</v>
      </c>
      <c r="N62" s="7">
        <f t="shared" si="2"/>
        <v>42.533333332976326</v>
      </c>
      <c r="O62" s="7"/>
      <c r="P62" s="7"/>
      <c r="Q62" s="23"/>
      <c r="R62" s="23"/>
      <c r="S62" s="32">
        <f t="shared" si="3"/>
        <v>1</v>
      </c>
      <c r="T62" s="47" t="str">
        <f t="shared" si="4"/>
        <v>Southbound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09:27:22-700',mode:absolute,to:'2017-01-01 12:23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2" s="49" t="str">
        <f t="shared" si="6"/>
        <v>N</v>
      </c>
      <c r="X62" s="173">
        <f t="shared" si="7"/>
        <v>1</v>
      </c>
      <c r="Y62" s="64">
        <f t="shared" si="8"/>
        <v>23.293399999999998</v>
      </c>
      <c r="Z62" s="64">
        <f t="shared" si="9"/>
        <v>1.52E-2</v>
      </c>
      <c r="AA62" s="64">
        <f t="shared" si="10"/>
        <v>23.278199999999998</v>
      </c>
      <c r="AB62" s="61" t="e">
        <f>VLOOKUP(A62,Enforcements!$C$7:$K$19,8,0)</f>
        <v>#N/A</v>
      </c>
      <c r="AC62" s="57" t="e">
        <f>VLOOKUP(A62,Enforcements!$C$7:$E$19,3,0)</f>
        <v>#N/A</v>
      </c>
      <c r="AD62" s="58" t="str">
        <f t="shared" si="11"/>
        <v>0150-01</v>
      </c>
      <c r="AE62" s="87" t="str">
        <f t="shared" si="12"/>
        <v>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 &amp; 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</v>
      </c>
      <c r="AF62" s="84" t="str">
        <f t="shared" si="13"/>
        <v>"C:\Program Files (x86)\AstroGrep\AstroGrep.exe" /spath="%USERPROFILE%\AppData\Local\Temp\OnboardLogs" /stypes="app*4021*20170101*"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150-01 --locoid 4021 --swversion DE.1.0.8.0 --startMP 204:232934 --initTime 2017-01-01T10:27:22 --startdatetime 2017-01-01T10:41:21 --delay 1 --endMP 204:152 --enddatetime 2017-01-01T11:23:53 --enforcementcount 0 &gt;&gt;C:\Users\stu\Documents\GitHub\eaglep3-reporting\EC\2017-01-01-refined-times.txt</v>
      </c>
      <c r="AI62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{"issue":{"subject":"","project_id":79,"tracker_id":40,"status_id":1,"priority_id":2,"assigned_to_id":23,"start_date":"2017-01-01","description":"","custom_fields":[{"id":1,"name":"Subdivision","value":"EC"},{"id":4,"name":"Milepost","value":"0.0152"},{"id":17,"name":"Train ID","value":"150-01"},{"id":16,"name":"Locomotive ID","value":"4021"},{"id":130,"name":"Impact","value":""},{"id":150,"name":"Time of Event (Mountain Time)","value":"11:23:53"},{"id":151,"name":"Denver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20"/>
        <v>start /low /b %USERPROFILE%\Documents\GitHub\eaglep3\Utilities\DownloadLogsFromS3.py --loco 4021 --day 2017-01-01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541</v>
      </c>
      <c r="B63" s="7">
        <v>4007</v>
      </c>
      <c r="C63" s="22" t="s">
        <v>205</v>
      </c>
      <c r="D63" s="22" t="s">
        <v>320</v>
      </c>
      <c r="E63" s="13">
        <v>42736.413032407407</v>
      </c>
      <c r="F63" s="13">
        <v>42736.416851851849</v>
      </c>
      <c r="G63" s="7">
        <v>1</v>
      </c>
      <c r="H63" s="22" t="s">
        <v>412</v>
      </c>
      <c r="I63" s="13">
        <v>42736.443391203706</v>
      </c>
      <c r="J63" s="7">
        <v>0</v>
      </c>
      <c r="K63" s="105" t="str">
        <f t="shared" si="0"/>
        <v>4007/4008</v>
      </c>
      <c r="L63" s="22" t="str">
        <f>VLOOKUP(A63,'Trips&amp;Operators'!$C$1:$G$99999,5,FALSE)</f>
        <v>ROBINSON KADDIBA</v>
      </c>
      <c r="M63" s="6">
        <f t="shared" si="1"/>
        <v>2.6539351856627036E-2</v>
      </c>
      <c r="N63" s="7">
        <f t="shared" si="2"/>
        <v>38.216666673542932</v>
      </c>
      <c r="O63" s="7"/>
      <c r="P63" s="7"/>
      <c r="Q63" s="23"/>
      <c r="R63" s="23"/>
      <c r="S63" s="32">
        <f t="shared" si="3"/>
        <v>1</v>
      </c>
      <c r="T63" s="47" t="str">
        <f t="shared" si="4"/>
        <v>NorthBound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08:54:46-700',mode:absolute,to:'2017-01-01 11:38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3" s="49" t="str">
        <f t="shared" si="6"/>
        <v>N</v>
      </c>
      <c r="X63" s="173">
        <f t="shared" si="7"/>
        <v>1</v>
      </c>
      <c r="Y63" s="64">
        <f t="shared" si="8"/>
        <v>4.5699999999999998E-2</v>
      </c>
      <c r="Z63" s="64">
        <f t="shared" si="9"/>
        <v>23.333100000000002</v>
      </c>
      <c r="AA63" s="64">
        <f t="shared" si="10"/>
        <v>23.287400000000002</v>
      </c>
      <c r="AB63" s="61" t="e">
        <f>VLOOKUP(A63,Enforcements!$C$7:$K$19,8,0)</f>
        <v>#N/A</v>
      </c>
      <c r="AC63" s="57" t="e">
        <f>VLOOKUP(A63,Enforcements!$C$7:$E$19,3,0)</f>
        <v>#N/A</v>
      </c>
      <c r="AD63" s="58" t="str">
        <f t="shared" si="11"/>
        <v>0151-01</v>
      </c>
      <c r="AE63" s="87" t="str">
        <f t="shared" si="12"/>
        <v>aws s3 cp s3://rtdc.mdm.uploadarchive.raw/RTDC4007/ "%USERPROFILE%\AppData\Local\Temp\OnboardLogs"\RTDC4007\2017-01-01 --exclude "*" --recursive --include "*20170101*" &amp; "%USERPROFILE%\Documents\GitHub\mrs-test-scripts\Headless Mode &amp; Sideloading\WalkAndUnGZ.bat" "%USERPROFILE%\AppData\Local\Temp\OnboardLogs"\RTDC4007\2017-01-01 &amp; 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</v>
      </c>
      <c r="AF63" s="84" t="str">
        <f t="shared" si="13"/>
        <v>"C:\Program Files (x86)\AstroGrep\AstroGrep.exe" /spath="%USERPROFILE%\AppData\Local\Temp\OnboardLogs" /stypes="app*4007*20170101*"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151-01 --locoid 4007 --swversion DE.1.0.8.0 --startMP 204:457 --initTime 2017-01-01T09:54:46 --startdatetime 2017-01-01T10:00:16 --delay 1 --endMP 204:233331 --enddatetime 2017-01-01T10:38:29 --enforcementcount 0 &gt;&gt;C:\Users\stu\Documents\GitHub\eaglep3-reporting\EC\2017-01-01-refined-times.txt</v>
      </c>
      <c r="AI63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{"issue":{"subject":"","project_id":79,"tracker_id":40,"status_id":1,"priority_id":2,"assigned_to_id":23,"start_date":"2017-01-01","description":"","custom_fields":[{"id":1,"name":"Subdivision","value":"EC"},{"id":4,"name":"Milepost","value":"23.3331"},{"id":17,"name":"Train ID","value":"151-01"},{"id":16,"name":"Locomotive ID","value":"4007"},{"id":130,"name":"Impact","value":""},{"id":150,"name":"Time of Event (Mountain Time)","value":"10:38:29"},{"id":151,"name":"Denver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20"/>
        <v>start /low /b %USERPROFILE%\Documents\GitHub\eaglep3\Utilities\DownloadLogsFromS3.py --loco 4007 --day 2017-01-01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445</v>
      </c>
      <c r="B64" s="7">
        <v>4008</v>
      </c>
      <c r="C64" s="22" t="s">
        <v>205</v>
      </c>
      <c r="D64" s="22" t="s">
        <v>358</v>
      </c>
      <c r="E64" s="13">
        <v>42736.451747685183</v>
      </c>
      <c r="F64" s="13">
        <v>42736.455740740741</v>
      </c>
      <c r="G64" s="7">
        <v>1</v>
      </c>
      <c r="H64" s="22" t="s">
        <v>211</v>
      </c>
      <c r="I64" s="13">
        <v>42736.483356481483</v>
      </c>
      <c r="J64" s="7">
        <v>0</v>
      </c>
      <c r="K64" s="105" t="str">
        <f t="shared" si="0"/>
        <v>4007/4008</v>
      </c>
      <c r="L64" s="22" t="str">
        <f>VLOOKUP(A64,'Trips&amp;Operators'!$C$1:$G$99999,5,FALSE)</f>
        <v>ROBINSON KADDIBA</v>
      </c>
      <c r="M64" s="6">
        <f t="shared" si="1"/>
        <v>2.7615740742476191E-2</v>
      </c>
      <c r="N64" s="7">
        <f t="shared" si="2"/>
        <v>39.766666669165716</v>
      </c>
      <c r="O64" s="7"/>
      <c r="P64" s="7"/>
      <c r="Q64" s="23"/>
      <c r="R64" s="23"/>
      <c r="S64" s="32">
        <f t="shared" si="3"/>
        <v>1</v>
      </c>
      <c r="T64" s="47" t="str">
        <f t="shared" si="4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09:50:31-700',mode:absolute,to:'2017-01-01 12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4" s="49" t="str">
        <f t="shared" si="6"/>
        <v>N</v>
      </c>
      <c r="X64" s="173">
        <f t="shared" si="7"/>
        <v>1</v>
      </c>
      <c r="Y64" s="64">
        <f t="shared" si="8"/>
        <v>23.300799999999999</v>
      </c>
      <c r="Z64" s="64">
        <f t="shared" si="9"/>
        <v>1.4999999999999999E-2</v>
      </c>
      <c r="AA64" s="64">
        <f t="shared" si="10"/>
        <v>23.285799999999998</v>
      </c>
      <c r="AB64" s="61" t="e">
        <f>VLOOKUP(A64,Enforcements!$C$7:$K$19,8,0)</f>
        <v>#N/A</v>
      </c>
      <c r="AC64" s="57" t="e">
        <f>VLOOKUP(A64,Enforcements!$C$7:$E$19,3,0)</f>
        <v>#N/A</v>
      </c>
      <c r="AD64" s="58" t="str">
        <f t="shared" si="11"/>
        <v>0152-01</v>
      </c>
      <c r="AE64" s="87" t="str">
        <f t="shared" si="12"/>
        <v>aws s3 cp s3://rtdc.mdm.uploadarchive.raw/RTDC4008/ "%USERPROFILE%\AppData\Local\Temp\OnboardLogs"\RTDC4008\2017-01-01 --exclude "*" --recursive --include "*20170101*" &amp; "%USERPROFILE%\Documents\GitHub\mrs-test-scripts\Headless Mode &amp; Sideloading\WalkAndUnGZ.bat" "%USERPROFILE%\AppData\Local\Temp\OnboardLogs"\RTDC4008\2017-01-01 &amp; 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</v>
      </c>
      <c r="AF64" s="84" t="str">
        <f t="shared" si="13"/>
        <v>"C:\Program Files (x86)\AstroGrep\AstroGrep.exe" /spath="%USERPROFILE%\AppData\Local\Temp\OnboardLogs" /stypes="app*4008*20170101*"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152-01 --locoid 4008 --swversion DE.1.0.8.0 --startMP 204:233008 --initTime 2017-01-01T10:50:31 --startdatetime 2017-01-01T10:56:16 --delay 1 --endMP 204:150 --enddatetime 2017-01-01T11:36:02 --enforcementcount 0 &gt;&gt;C:\Users\stu\Documents\GitHub\eaglep3-reporting\EC\2017-01-01-refined-times.txt</v>
      </c>
      <c r="AI64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{"issue":{"subject":"","project_id":79,"tracker_id":40,"status_id":1,"priority_id":2,"assigned_to_id":23,"start_date":"2017-01-01","description":"","custom_fields":[{"id":1,"name":"Subdivision","value":"EC"},{"id":4,"name":"Milepost","value":"0.015"},{"id":17,"name":"Train ID","value":"152-01"},{"id":16,"name":"Locomotive ID","value":"4008"},{"id":130,"name":"Impact","value":""},{"id":150,"name":"Time of Event (Mountain Time)","value":"11:36:02"},{"id":151,"name":"Denver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20"/>
        <v>start /low /b %USERPROFILE%\Documents\GitHub\eaglep3\Utilities\DownloadLogsFromS3.py --loco 4008 --day 2017-01-01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442</v>
      </c>
      <c r="B65" s="7">
        <v>4003</v>
      </c>
      <c r="C65" s="22" t="s">
        <v>205</v>
      </c>
      <c r="D65" s="22" t="s">
        <v>397</v>
      </c>
      <c r="E65" s="13">
        <v>42736.422372685185</v>
      </c>
      <c r="F65" s="13">
        <v>42736.427256944444</v>
      </c>
      <c r="G65" s="7">
        <v>6</v>
      </c>
      <c r="H65" s="22" t="s">
        <v>321</v>
      </c>
      <c r="I65" s="13">
        <v>42736.454131944447</v>
      </c>
      <c r="J65" s="7">
        <v>0</v>
      </c>
      <c r="K65" s="105" t="str">
        <f t="shared" si="0"/>
        <v>4003/4004</v>
      </c>
      <c r="L65" s="22" t="str">
        <f>VLOOKUP(A65,'Trips&amp;Operators'!$C$1:$G$99999,5,FALSE)</f>
        <v>GEBRETEKLE DAGNEW</v>
      </c>
      <c r="M65" s="6">
        <f t="shared" si="1"/>
        <v>2.6875000003201421E-2</v>
      </c>
      <c r="N65" s="7">
        <f t="shared" si="2"/>
        <v>38.700000004610047</v>
      </c>
      <c r="O65" s="7"/>
      <c r="P65" s="7"/>
      <c r="Q65" s="23"/>
      <c r="R65" s="23"/>
      <c r="S65" s="32">
        <f t="shared" si="3"/>
        <v>1</v>
      </c>
      <c r="T65" s="47" t="str">
        <f t="shared" si="4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09:08:13-700',mode:absolute,to:'2017-01-01 11:53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5" s="49" t="str">
        <f t="shared" si="6"/>
        <v>N</v>
      </c>
      <c r="X65" s="173">
        <f t="shared" si="7"/>
        <v>1</v>
      </c>
      <c r="Y65" s="64">
        <f t="shared" si="8"/>
        <v>4.6699999999999998E-2</v>
      </c>
      <c r="Z65" s="64">
        <f t="shared" si="9"/>
        <v>23.3291</v>
      </c>
      <c r="AA65" s="64">
        <f t="shared" si="10"/>
        <v>23.282399999999999</v>
      </c>
      <c r="AB65" s="61" t="str">
        <f>VLOOKUP(A65,Enforcements!$C$7:$K$19,8,0)</f>
        <v>Speed (6)</v>
      </c>
      <c r="AC65" s="57" t="str">
        <f>VLOOKUP(A65,Enforcements!$C$7:$E$19,3,0)</f>
        <v>PERMANENT SPEED RESTRICTION</v>
      </c>
      <c r="AD65" s="58" t="str">
        <f t="shared" si="11"/>
        <v>0153-01</v>
      </c>
      <c r="AE65" s="87" t="str">
        <f t="shared" si="12"/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AF65" s="84" t="str">
        <f t="shared" si="13"/>
        <v>"C:\Program Files (x86)\AstroGrep\AstroGrep.exe" /spath="%USERPROFILE%\AppData\Local\Temp\OnboardLogs" /stypes="app*4003*20170101*"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153-01 --locoid 4003 --swversion DE.1.0.8.0 --startMP 204:467 --initTime 2017-01-01T10:08:13 --startdatetime 2017-01-01T10:15:15 --delay 6 --endMP 204:233291 --enddatetime 2017-01-01T10:53:57 --enforcementcount 0 &gt;&gt;C:\Users\stu\Documents\GitHub\eaglep3-reporting\EC\2017-01-01-refined-times.txt</v>
      </c>
      <c r="AI65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{"issue":{"subject":"","project_id":79,"tracker_id":40,"status_id":1,"priority_id":2,"assigned_to_id":23,"start_date":"2017-01-01","description":"","custom_fields":[{"id":1,"name":"Subdivision","value":"EC"},{"id":4,"name":"Milepost","value":"23.3291"},{"id":17,"name":"Train ID","value":"153-01"},{"id":16,"name":"Locomotive ID","value":"4003"},{"id":130,"name":"Impact","value":""},{"id":150,"name":"Time of Event (Mountain Time)","value":"10:53:57"},{"id":151,"name":"Denver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20"/>
        <v>start /low /b %USERPROFILE%\Documents\GitHub\eaglep3\Utilities\DownloadLogsFromS3.py --loco 4003 --day 2017-01-01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556</v>
      </c>
      <c r="B66" s="7">
        <v>4004</v>
      </c>
      <c r="C66" s="22" t="s">
        <v>205</v>
      </c>
      <c r="D66" s="22" t="s">
        <v>339</v>
      </c>
      <c r="E66" s="13">
        <v>42736.461400462962</v>
      </c>
      <c r="F66" s="13">
        <v>42736.466215277775</v>
      </c>
      <c r="G66" s="7">
        <v>2</v>
      </c>
      <c r="H66" s="22" t="s">
        <v>224</v>
      </c>
      <c r="I66" s="13">
        <v>42736.493425925924</v>
      </c>
      <c r="J66" s="7">
        <v>0</v>
      </c>
      <c r="K66" s="105" t="str">
        <f t="shared" si="0"/>
        <v>4003/4004</v>
      </c>
      <c r="L66" s="22" t="str">
        <f>VLOOKUP(A66,'Trips&amp;Operators'!$C$1:$G$99999,5,FALSE)</f>
        <v>GEBRETEKLE DAGNEW</v>
      </c>
      <c r="M66" s="6">
        <f t="shared" si="1"/>
        <v>2.7210648149775807E-2</v>
      </c>
      <c r="N66" s="7">
        <f t="shared" si="2"/>
        <v>39.183333335677162</v>
      </c>
      <c r="O66" s="7"/>
      <c r="P66" s="7"/>
      <c r="Q66" s="23"/>
      <c r="R66" s="23"/>
      <c r="S66" s="32">
        <f t="shared" si="3"/>
        <v>1</v>
      </c>
      <c r="T66" s="47" t="str">
        <f t="shared" si="4"/>
        <v>Southbound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10:04:25-700',mode:absolute,to:'2017-01-01 12:50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6" s="49" t="str">
        <f t="shared" si="6"/>
        <v>N</v>
      </c>
      <c r="X66" s="173">
        <f t="shared" si="7"/>
        <v>1</v>
      </c>
      <c r="Y66" s="64">
        <f t="shared" si="8"/>
        <v>23.297499999999999</v>
      </c>
      <c r="Z66" s="64">
        <f t="shared" si="9"/>
        <v>1.54E-2</v>
      </c>
      <c r="AA66" s="64">
        <f t="shared" si="10"/>
        <v>23.2821</v>
      </c>
      <c r="AB66" s="61" t="e">
        <f>VLOOKUP(A66,Enforcements!$C$7:$K$19,8,0)</f>
        <v>#N/A</v>
      </c>
      <c r="AC66" s="57" t="e">
        <f>VLOOKUP(A66,Enforcements!$C$7:$E$19,3,0)</f>
        <v>#N/A</v>
      </c>
      <c r="AD66" s="58" t="str">
        <f t="shared" si="11"/>
        <v>0154-01</v>
      </c>
      <c r="AE66" s="87" t="str">
        <f t="shared" si="12"/>
        <v>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 &amp; aws s3 cp s3://rtdc.mdm.uploadarchive.raw/RTDC4004/ "%USERPROFILE%\AppData\Local\Temp\OnboardLogs"\RTDC4004\2017-01-02 --exclude "*" --recursive --include "*20170102*" &amp; "%USERPROFILE%\Documents\GitHub\mrs-test-scripts\Headless Mode &amp; Sideloading\WalkAndUnGZ.bat" "%USERPROFILE%\AppData\Local\Temp\OnboardLogs"\RTDC4004\2017-01-02</v>
      </c>
      <c r="AF66" s="84" t="str">
        <f t="shared" si="13"/>
        <v>"C:\Program Files (x86)\AstroGrep\AstroGrep.exe" /spath="%USERPROFILE%\AppData\Local\Temp\OnboardLogs" /stypes="app*4004*20170101*"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154-01 --locoid 4004 --swversion DE.1.0.8.0 --startMP 204:232975 --initTime 2017-01-01T11:04:25 --startdatetime 2017-01-01T11:11:21 --delay 2 --endMP 204:154 --enddatetime 2017-01-01T11:50:32 --enforcementcount 0 &gt;&gt;C:\Users\stu\Documents\GitHub\eaglep3-reporting\EC\2017-01-01-refined-times.txt</v>
      </c>
      <c r="AI66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{"issue":{"subject":"","project_id":79,"tracker_id":40,"status_id":1,"priority_id":2,"assigned_to_id":23,"start_date":"2017-01-01","description":"","custom_fields":[{"id":1,"name":"Subdivision","value":"EC"},{"id":4,"name":"Milepost","value":"0.0154"},{"id":17,"name":"Train ID","value":"154-01"},{"id":16,"name":"Locomotive ID","value":"4004"},{"id":130,"name":"Impact","value":""},{"id":150,"name":"Time of Event (Mountain Time)","value":"11:50:32"},{"id":151,"name":"Denver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20"/>
        <v>start /low /b %USERPROFILE%\Documents\GitHub\eaglep3\Utilities\DownloadLogsFromS3.py --loco 4004 --day 2017-01-01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444</v>
      </c>
      <c r="B67" s="7">
        <v>4014</v>
      </c>
      <c r="C67" s="22" t="s">
        <v>205</v>
      </c>
      <c r="D67" s="22" t="s">
        <v>705</v>
      </c>
      <c r="E67" s="13">
        <v>42736.434513888889</v>
      </c>
      <c r="F67" s="13">
        <v>42736.437789351854</v>
      </c>
      <c r="G67" s="7">
        <v>1</v>
      </c>
      <c r="H67" s="22" t="s">
        <v>355</v>
      </c>
      <c r="I67" s="13">
        <v>42736.463495370372</v>
      </c>
      <c r="J67" s="7">
        <v>0</v>
      </c>
      <c r="K67" s="105" t="str">
        <f t="shared" si="0"/>
        <v>4013/4014</v>
      </c>
      <c r="L67" s="22" t="str">
        <f>VLOOKUP(A67,'Trips&amp;Operators'!$C$1:$G$99999,5,FALSE)</f>
        <v>ADANE ELSHADAY</v>
      </c>
      <c r="M67" s="6">
        <f t="shared" si="1"/>
        <v>2.5706018517666962E-2</v>
      </c>
      <c r="N67" s="7">
        <f t="shared" si="2"/>
        <v>37.016666665440425</v>
      </c>
      <c r="O67" s="7"/>
      <c r="P67" s="7"/>
      <c r="Q67" s="23"/>
      <c r="R67" s="23"/>
      <c r="S67" s="32">
        <f t="shared" si="3"/>
        <v>1</v>
      </c>
      <c r="T67" s="47" t="str">
        <f t="shared" si="4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09:25:42-700',mode:absolute,to:'2017-01-01 12:07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7" s="49" t="str">
        <f t="shared" si="6"/>
        <v>N</v>
      </c>
      <c r="X67" s="173">
        <f t="shared" si="7"/>
        <v>1</v>
      </c>
      <c r="Y67" s="64">
        <f t="shared" si="8"/>
        <v>4.2700000000000002E-2</v>
      </c>
      <c r="Z67" s="64">
        <f t="shared" si="9"/>
        <v>23.332100000000001</v>
      </c>
      <c r="AA67" s="64">
        <f t="shared" si="10"/>
        <v>23.289400000000001</v>
      </c>
      <c r="AB67" s="61" t="e">
        <f>VLOOKUP(A67,Enforcements!$C$7:$K$19,8,0)</f>
        <v>#N/A</v>
      </c>
      <c r="AC67" s="57" t="e">
        <f>VLOOKUP(A67,Enforcements!$C$7:$E$19,3,0)</f>
        <v>#N/A</v>
      </c>
      <c r="AD67" s="58" t="str">
        <f t="shared" si="11"/>
        <v>0155-01</v>
      </c>
      <c r="AE67" s="87" t="str">
        <f t="shared" si="12"/>
        <v>aws s3 cp s3://rtdc.mdm.uploadarchive.raw/RTDC4014/ "%USERPROFILE%\AppData\Local\Temp\OnboardLogs"\RTDC4014\2017-01-01 --exclude "*" --recursive --include "*20170101*" &amp; "%USERPROFILE%\Documents\GitHub\mrs-test-scripts\Headless Mode &amp; Sideloading\WalkAndUnGZ.bat" "%USERPROFILE%\AppData\Local\Temp\OnboardLogs"\RTDC4014\2017-01-01 &amp; 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</v>
      </c>
      <c r="AF67" s="84" t="str">
        <f t="shared" si="13"/>
        <v>"C:\Program Files (x86)\AstroGrep\AstroGrep.exe" /spath="%USERPROFILE%\AppData\Local\Temp\OnboardLogs" /stypes="app*4014*20170101*"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155-01 --locoid 4014 --swversion DE.1.0.8.0 --startMP 204:427 --initTime 2017-01-01T10:25:42 --startdatetime 2017-01-01T10:30:25 --delay 1 --endMP 204:233321 --enddatetime 2017-01-01T11:07:26 --enforcementcount 0 &gt;&gt;C:\Users\stu\Documents\GitHub\eaglep3-reporting\EC\2017-01-01-refined-times.txt</v>
      </c>
      <c r="AI67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{"issue":{"subject":"","project_id":79,"tracker_id":40,"status_id":1,"priority_id":2,"assigned_to_id":23,"start_date":"2017-01-01","description":"","custom_fields":[{"id":1,"name":"Subdivision","value":"EC"},{"id":4,"name":"Milepost","value":"23.3321"},{"id":17,"name":"Train ID","value":"155-01"},{"id":16,"name":"Locomotive ID","value":"4014"},{"id":130,"name":"Impact","value":""},{"id":150,"name":"Time of Event (Mountain Time)","value":"11:07:26"},{"id":151,"name":"Denver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20"/>
        <v>start /low /b %USERPROFILE%\Documents\GitHub\eaglep3\Utilities\DownloadLogsFromS3.py --loco 4014 --day 2017-01-01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446</v>
      </c>
      <c r="B68" s="7">
        <v>4013</v>
      </c>
      <c r="C68" s="22" t="s">
        <v>205</v>
      </c>
      <c r="D68" s="22" t="s">
        <v>358</v>
      </c>
      <c r="E68" s="13">
        <v>42736.465358796297</v>
      </c>
      <c r="F68" s="13">
        <v>42736.476805555554</v>
      </c>
      <c r="G68" s="7">
        <v>6</v>
      </c>
      <c r="H68" s="22" t="s">
        <v>253</v>
      </c>
      <c r="I68" s="13">
        <v>42736.503831018519</v>
      </c>
      <c r="J68" s="7">
        <v>0</v>
      </c>
      <c r="K68" s="105" t="str">
        <f t="shared" si="0"/>
        <v>4013/4014</v>
      </c>
      <c r="L68" s="22" t="str">
        <f>VLOOKUP(A68,'Trips&amp;Operators'!$C$1:$G$99999,5,FALSE)</f>
        <v>ADANE ELSHADAY</v>
      </c>
      <c r="M68" s="6">
        <f t="shared" si="1"/>
        <v>2.7025462964957114E-2</v>
      </c>
      <c r="N68" s="7">
        <f t="shared" si="2"/>
        <v>38.916666669538245</v>
      </c>
      <c r="O68" s="7"/>
      <c r="P68" s="7"/>
      <c r="Q68" s="23"/>
      <c r="R68" s="23"/>
      <c r="S68" s="32">
        <f t="shared" si="3"/>
        <v>1</v>
      </c>
      <c r="T68" s="47" t="str">
        <f t="shared" si="4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10:10:07-700',mode:absolute,to:'2017-01-01 13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8" s="49" t="str">
        <f t="shared" si="6"/>
        <v>N</v>
      </c>
      <c r="X68" s="173">
        <f t="shared" si="7"/>
        <v>1</v>
      </c>
      <c r="Y68" s="64">
        <f t="shared" si="8"/>
        <v>23.300799999999999</v>
      </c>
      <c r="Z68" s="64">
        <f t="shared" si="9"/>
        <v>1.3899999999999999E-2</v>
      </c>
      <c r="AA68" s="64">
        <f t="shared" si="10"/>
        <v>23.286899999999999</v>
      </c>
      <c r="AB68" s="61" t="e">
        <f>VLOOKUP(A68,Enforcements!$C$7:$K$19,8,0)</f>
        <v>#N/A</v>
      </c>
      <c r="AC68" s="57" t="e">
        <f>VLOOKUP(A68,Enforcements!$C$7:$E$19,3,0)</f>
        <v>#N/A</v>
      </c>
      <c r="AD68" s="58" t="str">
        <f t="shared" si="11"/>
        <v>0156-01</v>
      </c>
      <c r="AE68" s="87" t="str">
        <f t="shared" si="12"/>
        <v>aws s3 cp s3://rtdc.mdm.uploadarchive.raw/RTDC4013/ "%USERPROFILE%\AppData\Local\Temp\OnboardLogs"\RTDC4013\2017-01-01 --exclude "*" --recursive --include "*20170101*" &amp; "%USERPROFILE%\Documents\GitHub\mrs-test-scripts\Headless Mode &amp; Sideloading\WalkAndUnGZ.bat" "%USERPROFILE%\AppData\Local\Temp\OnboardLogs"\RTDC4013\2017-01-01 &amp; 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</v>
      </c>
      <c r="AF68" s="84" t="str">
        <f t="shared" si="13"/>
        <v>"C:\Program Files (x86)\AstroGrep\AstroGrep.exe" /spath="%USERPROFILE%\AppData\Local\Temp\OnboardLogs" /stypes="app*4013*20170101*"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156-01 --locoid 4013 --swversion DE.1.0.8.0 --startMP 204:233008 --initTime 2017-01-01T11:10:07 --startdatetime 2017-01-01T11:26:36 --delay 6 --endMP 204:139 --enddatetime 2017-01-01T12:05:31 --enforcementcount 0 &gt;&gt;C:\Users\stu\Documents\GitHub\eaglep3-reporting\EC\2017-01-01-refined-times.txt</v>
      </c>
      <c r="AI68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{"issue":{"subject":"","project_id":79,"tracker_id":40,"status_id":1,"priority_id":2,"assigned_to_id":23,"start_date":"2017-01-01","description":"","custom_fields":[{"id":1,"name":"Subdivision","value":"EC"},{"id":4,"name":"Milepost","value":"0.0139"},{"id":17,"name":"Train ID","value":"156-01"},{"id":16,"name":"Locomotive ID","value":"4013"},{"id":130,"name":"Impact","value":""},{"id":150,"name":"Time of Event (Mountain Time)","value":"12:05:31"},{"id":151,"name":"Denver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20"/>
        <v>start /low /b %USERPROFILE%\Documents\GitHub\eaglep3\Utilities\DownloadLogsFromS3.py --loco 4013 --day 2017-01-01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552</v>
      </c>
      <c r="B69" s="7">
        <v>4002</v>
      </c>
      <c r="C69" s="22" t="s">
        <v>205</v>
      </c>
      <c r="D69" s="22" t="s">
        <v>362</v>
      </c>
      <c r="E69" s="13">
        <v>42736.444826388892</v>
      </c>
      <c r="F69" s="13">
        <v>42736.448101851849</v>
      </c>
      <c r="G69" s="7">
        <v>1</v>
      </c>
      <c r="H69" s="22" t="s">
        <v>700</v>
      </c>
      <c r="I69" s="13">
        <v>42736.474641203706</v>
      </c>
      <c r="J69" s="7">
        <v>0</v>
      </c>
      <c r="K69" s="105" t="str">
        <f t="shared" si="0"/>
        <v>4001/4002</v>
      </c>
      <c r="L69" s="22" t="str">
        <f>VLOOKUP(A69,'Trips&amp;Operators'!$C$1:$G$99999,5,FALSE)</f>
        <v>SHOOK JOHN</v>
      </c>
      <c r="M69" s="6">
        <f t="shared" si="1"/>
        <v>2.6539351856627036E-2</v>
      </c>
      <c r="N69" s="7">
        <f t="shared" si="2"/>
        <v>38.216666673542932</v>
      </c>
      <c r="O69" s="7"/>
      <c r="P69" s="7"/>
      <c r="Q69" s="23"/>
      <c r="R69" s="23"/>
      <c r="S69" s="32">
        <f t="shared" si="3"/>
        <v>1</v>
      </c>
      <c r="T69" s="47" t="str">
        <f t="shared" si="4"/>
        <v>NorthBound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09:40:33-700',mode:absolute,to:'2017-01-01 12:23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9" s="49" t="str">
        <f t="shared" si="6"/>
        <v>N</v>
      </c>
      <c r="X69" s="173">
        <f t="shared" si="7"/>
        <v>1</v>
      </c>
      <c r="Y69" s="64">
        <f t="shared" si="8"/>
        <v>4.7100000000000003E-2</v>
      </c>
      <c r="Z69" s="64">
        <f t="shared" si="9"/>
        <v>23.330300000000001</v>
      </c>
      <c r="AA69" s="64">
        <f t="shared" si="10"/>
        <v>23.283200000000001</v>
      </c>
      <c r="AB69" s="61" t="e">
        <f>VLOOKUP(A69,Enforcements!$C$7:$K$19,8,0)</f>
        <v>#N/A</v>
      </c>
      <c r="AC69" s="57" t="e">
        <f>VLOOKUP(A69,Enforcements!$C$7:$E$19,3,0)</f>
        <v>#N/A</v>
      </c>
      <c r="AD69" s="58" t="str">
        <f t="shared" si="11"/>
        <v>0157-01</v>
      </c>
      <c r="AE69" s="87" t="str">
        <f t="shared" si="12"/>
        <v>aws s3 cp s3://rtdc.mdm.uploadarchive.raw/RTDC4002/ "%USERPROFILE%\AppData\Local\Temp\OnboardLogs"\RTDC4002\2017-01-01 --exclude "*" --recursive --include "*20170101*" &amp; "%USERPROFILE%\Documents\GitHub\mrs-test-scripts\Headless Mode &amp; Sideloading\WalkAndUnGZ.bat" "%USERPROFILE%\AppData\Local\Temp\OnboardLogs"\RTDC4002\2017-01-01 &amp; aws s3 cp s3://rtdc.mdm.uploadarchive.raw/RTDC4002/ "%USERPROFILE%\AppData\Local\Temp\OnboardLogs"\RTDC4002\2017-01-02 --exclude "*" --recursive --include "*20170102*" &amp; "%USERPROFILE%\Documents\GitHub\mrs-test-scripts\Headless Mode &amp; Sideloading\WalkAndUnGZ.bat" "%USERPROFILE%\AppData\Local\Temp\OnboardLogs"\RTDC4002\2017-01-02</v>
      </c>
      <c r="AF69" s="84" t="str">
        <f t="shared" si="13"/>
        <v>"C:\Program Files (x86)\AstroGrep\AstroGrep.exe" /spath="%USERPROFILE%\AppData\Local\Temp\OnboardLogs" /stypes="app*4002*20170101*"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157-01 --locoid 4002 --swversion DE.1.0.8.0 --startMP 204:471 --initTime 2017-01-01T10:40:33 --startdatetime 2017-01-01T10:45:16 --delay 1 --endMP 204:233303 --enddatetime 2017-01-01T11:23:29 --enforcementcount 0 &gt;&gt;C:\Users\stu\Documents\GitHub\eaglep3-reporting\EC\2017-01-01-refined-times.txt</v>
      </c>
      <c r="AI69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{"issue":{"subject":"","project_id":79,"tracker_id":40,"status_id":1,"priority_id":2,"assigned_to_id":23,"start_date":"2017-01-01","description":"","custom_fields":[{"id":1,"name":"Subdivision","value":"EC"},{"id":4,"name":"Milepost","value":"23.3303"},{"id":17,"name":"Train ID","value":"157-01"},{"id":16,"name":"Locomotive ID","value":"4002"},{"id":130,"name":"Impact","value":""},{"id":150,"name":"Time of Event (Mountain Time)","value":"11:23:29"},{"id":151,"name":"Denver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20"/>
        <v>start /low /b %USERPROFILE%\Documents\GitHub\eaglep3\Utilities\DownloadLogsFromS3.py --loco 4002 --day 2017-01-01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447</v>
      </c>
      <c r="B70" s="7">
        <v>4001</v>
      </c>
      <c r="C70" s="22" t="s">
        <v>205</v>
      </c>
      <c r="D70" s="22" t="s">
        <v>706</v>
      </c>
      <c r="E70" s="13">
        <v>42736.476550925923</v>
      </c>
      <c r="F70" s="13">
        <v>42736.487002314818</v>
      </c>
      <c r="G70" s="7">
        <v>1</v>
      </c>
      <c r="H70" s="22" t="s">
        <v>211</v>
      </c>
      <c r="I70" s="13">
        <v>42736.516273148147</v>
      </c>
      <c r="J70" s="7">
        <v>0</v>
      </c>
      <c r="K70" s="105" t="str">
        <f t="shared" si="0"/>
        <v>4001/4002</v>
      </c>
      <c r="L70" s="22" t="str">
        <f>VLOOKUP(A70,'Trips&amp;Operators'!$C$1:$G$99999,5,FALSE)</f>
        <v>SHOOK JOHN</v>
      </c>
      <c r="M70" s="6">
        <f t="shared" si="1"/>
        <v>2.9270833329064772E-2</v>
      </c>
      <c r="N70" s="7">
        <f t="shared" si="2"/>
        <v>42.149999993853271</v>
      </c>
      <c r="O70" s="7"/>
      <c r="P70" s="7"/>
      <c r="Q70" s="23"/>
      <c r="R70" s="23"/>
      <c r="S70" s="32">
        <f t="shared" si="3"/>
        <v>1</v>
      </c>
      <c r="T70" s="47" t="str">
        <f t="shared" si="4"/>
        <v>Southbound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10:26:14-700',mode:absolute,to:'2017-01-01 13:23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0" s="49" t="str">
        <f t="shared" si="6"/>
        <v>N</v>
      </c>
      <c r="X70" s="173">
        <f t="shared" si="7"/>
        <v>1</v>
      </c>
      <c r="Y70" s="64">
        <f t="shared" si="8"/>
        <v>23.298999999999999</v>
      </c>
      <c r="Z70" s="64">
        <f t="shared" si="9"/>
        <v>1.4999999999999999E-2</v>
      </c>
      <c r="AA70" s="64">
        <f t="shared" si="10"/>
        <v>23.283999999999999</v>
      </c>
      <c r="AB70" s="61" t="e">
        <f>VLOOKUP(A70,Enforcements!$C$7:$K$19,8,0)</f>
        <v>#N/A</v>
      </c>
      <c r="AC70" s="57" t="e">
        <f>VLOOKUP(A70,Enforcements!$C$7:$E$19,3,0)</f>
        <v>#N/A</v>
      </c>
      <c r="AD70" s="58" t="str">
        <f t="shared" si="11"/>
        <v>0158-01</v>
      </c>
      <c r="AE70" s="87" t="str">
        <f t="shared" si="12"/>
        <v>aws s3 cp s3://rtdc.mdm.uploadarchive.raw/RTDC4001/ "%USERPROFILE%\AppData\Local\Temp\OnboardLogs"\RTDC4001\2017-01-01 --exclude "*" --recursive --include "*20170101*" &amp; "%USERPROFILE%\Documents\GitHub\mrs-test-scripts\Headless Mode &amp; Sideloading\WalkAndUnGZ.bat" "%USERPROFILE%\AppData\Local\Temp\OnboardLogs"\RTDC4001\2017-01-01 &amp; aws s3 cp s3://rtdc.mdm.uploadarchive.raw/RTDC4001/ "%USERPROFILE%\AppData\Local\Temp\OnboardLogs"\RTDC4001\2017-01-02 --exclude "*" --recursive --include "*20170102*" &amp; "%USERPROFILE%\Documents\GitHub\mrs-test-scripts\Headless Mode &amp; Sideloading\WalkAndUnGZ.bat" "%USERPROFILE%\AppData\Local\Temp\OnboardLogs"\RTDC4001\2017-01-02</v>
      </c>
      <c r="AF70" s="84" t="str">
        <f t="shared" si="13"/>
        <v>"C:\Program Files (x86)\AstroGrep\AstroGrep.exe" /spath="%USERPROFILE%\AppData\Local\Temp\OnboardLogs" /stypes="app*4001*20170101*"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158-01 --locoid 4001 --swversion DE.1.0.8.0 --startMP 204:232990 --initTime 2017-01-01T11:26:14 --startdatetime 2017-01-01T11:41:17 --delay 1 --endMP 204:150 --enddatetime 2017-01-01T12:23:26 --enforcementcount 0 &gt;&gt;C:\Users\stu\Documents\GitHub\eaglep3-reporting\EC\2017-01-01-refined-times.txt</v>
      </c>
      <c r="AI70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{"issue":{"subject":"","project_id":79,"tracker_id":40,"status_id":1,"priority_id":2,"assigned_to_id":23,"start_date":"2017-01-01","description":"","custom_fields":[{"id":1,"name":"Subdivision","value":"EC"},{"id":4,"name":"Milepost","value":"0.015"},{"id":17,"name":"Train ID","value":"158-01"},{"id":16,"name":"Locomotive ID","value":"4001"},{"id":130,"name":"Impact","value":""},{"id":150,"name":"Time of Event (Mountain Time)","value":"12:23:26"},{"id":151,"name":"Denver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20"/>
        <v>start /low /b %USERPROFILE%\Documents\GitHub\eaglep3\Utilities\DownloadLogsFromS3.py --loco 4001 --day 2017-01-01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553</v>
      </c>
      <c r="B71" s="7">
        <v>4042</v>
      </c>
      <c r="C71" s="22" t="s">
        <v>205</v>
      </c>
      <c r="D71" s="22" t="s">
        <v>329</v>
      </c>
      <c r="E71" s="13">
        <v>42736.454398148147</v>
      </c>
      <c r="F71" s="13">
        <v>42736.45853009259</v>
      </c>
      <c r="G71" s="7">
        <v>2</v>
      </c>
      <c r="H71" s="22" t="s">
        <v>402</v>
      </c>
      <c r="I71" s="13">
        <v>42736.485717592594</v>
      </c>
      <c r="J71" s="7">
        <v>0</v>
      </c>
      <c r="K71" s="105" t="str">
        <f t="shared" si="0"/>
        <v>4041/4042</v>
      </c>
      <c r="L71" s="22" t="str">
        <f>VLOOKUP(A71,'Trips&amp;Operators'!$C$1:$G$99999,5,FALSE)</f>
        <v>STEWART MICHAEL</v>
      </c>
      <c r="M71" s="6">
        <f t="shared" si="1"/>
        <v>2.718750000349246E-2</v>
      </c>
      <c r="N71" s="7">
        <f t="shared" si="2"/>
        <v>39.150000005029142</v>
      </c>
      <c r="O71" s="7"/>
      <c r="P71" s="7"/>
      <c r="Q71" s="23"/>
      <c r="R71" s="23"/>
      <c r="S71" s="32">
        <f t="shared" si="3"/>
        <v>1</v>
      </c>
      <c r="T71" s="47" t="str">
        <f t="shared" si="4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09:54:20-700',mode:absolute,to:'2017-01-01 12:39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1" s="49" t="str">
        <f t="shared" si="6"/>
        <v>N</v>
      </c>
      <c r="X71" s="173">
        <f t="shared" si="7"/>
        <v>1</v>
      </c>
      <c r="Y71" s="64">
        <f t="shared" si="8"/>
        <v>4.4400000000000002E-2</v>
      </c>
      <c r="Z71" s="64">
        <f t="shared" si="9"/>
        <v>23.3261</v>
      </c>
      <c r="AA71" s="64">
        <f t="shared" si="10"/>
        <v>23.281700000000001</v>
      </c>
      <c r="AB71" s="61" t="e">
        <f>VLOOKUP(A71,Enforcements!$C$7:$K$19,8,0)</f>
        <v>#N/A</v>
      </c>
      <c r="AC71" s="57" t="e">
        <f>VLOOKUP(A71,Enforcements!$C$7:$E$19,3,0)</f>
        <v>#N/A</v>
      </c>
      <c r="AD71" s="58" t="str">
        <f t="shared" si="11"/>
        <v>0159-01</v>
      </c>
      <c r="AE71" s="87" t="str">
        <f t="shared" si="12"/>
        <v>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 &amp; 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</v>
      </c>
      <c r="AF71" s="84" t="str">
        <f t="shared" si="13"/>
        <v>"C:\Program Files (x86)\AstroGrep\AstroGrep.exe" /spath="%USERPROFILE%\AppData\Local\Temp\OnboardLogs" /stypes="app*4042*20170101*"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159-01 --locoid 4042 --swversion DE.1.0.8.0 --startMP 204:444 --initTime 2017-01-01T10:54:20 --startdatetime 2017-01-01T11:00:17 --delay 2 --endMP 204:233261 --enddatetime 2017-01-01T11:39:26 --enforcementcount 0 &gt;&gt;C:\Users\stu\Documents\GitHub\eaglep3-reporting\EC\2017-01-01-refined-times.txt</v>
      </c>
      <c r="AI71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{"issue":{"subject":"","project_id":79,"tracker_id":40,"status_id":1,"priority_id":2,"assigned_to_id":23,"start_date":"2017-01-01","description":"","custom_fields":[{"id":1,"name":"Subdivision","value":"EC"},{"id":4,"name":"Milepost","value":"23.3261"},{"id":17,"name":"Train ID","value":"159-01"},{"id":16,"name":"Locomotive ID","value":"4042"},{"id":130,"name":"Impact","value":""},{"id":150,"name":"Time of Event (Mountain Time)","value":"11:39:26"},{"id":151,"name":"Denver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20"/>
        <v>start /low /b %USERPROFILE%\Documents\GitHub\eaglep3\Utilities\DownloadLogsFromS3.py --loco 4042 --day 2017-01-01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562</v>
      </c>
      <c r="B72" s="7">
        <v>4041</v>
      </c>
      <c r="C72" s="22" t="s">
        <v>205</v>
      </c>
      <c r="D72" s="22" t="s">
        <v>307</v>
      </c>
      <c r="E72" s="13">
        <v>42736.495312500003</v>
      </c>
      <c r="F72" s="13">
        <v>42736.49763888889</v>
      </c>
      <c r="G72" s="7">
        <v>1</v>
      </c>
      <c r="H72" s="22" t="s">
        <v>323</v>
      </c>
      <c r="I72" s="13">
        <v>42736.524641203701</v>
      </c>
      <c r="J72" s="7">
        <v>0</v>
      </c>
      <c r="K72" s="105" t="str">
        <f t="shared" si="0"/>
        <v>4041/4042</v>
      </c>
      <c r="L72" s="22" t="str">
        <f>VLOOKUP(A72,'Trips&amp;Operators'!$C$1:$G$99999,5,FALSE)</f>
        <v>STEWART MICHAEL</v>
      </c>
      <c r="M72" s="6">
        <f t="shared" si="1"/>
        <v>2.700231481139781E-2</v>
      </c>
      <c r="N72" s="7">
        <f t="shared" si="2"/>
        <v>38.883333328412846</v>
      </c>
      <c r="O72" s="7"/>
      <c r="P72" s="7"/>
      <c r="Q72" s="23"/>
      <c r="R72" s="23"/>
      <c r="S72" s="32">
        <f t="shared" si="3"/>
        <v>1</v>
      </c>
      <c r="T72" s="47" t="str">
        <f t="shared" si="4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10:53:15-700',mode:absolute,to:'2017-01-01 13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2" s="49" t="str">
        <f t="shared" si="6"/>
        <v>N</v>
      </c>
      <c r="X72" s="173">
        <f t="shared" si="7"/>
        <v>1</v>
      </c>
      <c r="Y72" s="64">
        <f t="shared" si="8"/>
        <v>23.2987</v>
      </c>
      <c r="Z72" s="64">
        <f t="shared" si="9"/>
        <v>1.5599999999999999E-2</v>
      </c>
      <c r="AA72" s="64">
        <f t="shared" si="10"/>
        <v>23.283100000000001</v>
      </c>
      <c r="AB72" s="61" t="e">
        <f>VLOOKUP(A72,Enforcements!$C$7:$K$19,8,0)</f>
        <v>#N/A</v>
      </c>
      <c r="AC72" s="57" t="e">
        <f>VLOOKUP(A72,Enforcements!$C$7:$E$19,3,0)</f>
        <v>#N/A</v>
      </c>
      <c r="AD72" s="58" t="str">
        <f t="shared" si="11"/>
        <v>0160-01</v>
      </c>
      <c r="AE72" s="87" t="str">
        <f t="shared" si="12"/>
        <v>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 &amp; 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</v>
      </c>
      <c r="AF72" s="84" t="str">
        <f t="shared" si="13"/>
        <v>"C:\Program Files (x86)\AstroGrep\AstroGrep.exe" /spath="%USERPROFILE%\AppData\Local\Temp\OnboardLogs" /stypes="app*4041*20170101*"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160-01 --locoid 4041 --swversion DE.1.0.8.0 --startMP 204:232987 --initTime 2017-01-01T11:53:15 --startdatetime 2017-01-01T11:56:36 --delay 1 --endMP 204:156 --enddatetime 2017-01-01T12:35:29 --enforcementcount 0 &gt;&gt;C:\Users\stu\Documents\GitHub\eaglep3-reporting\EC\2017-01-01-refined-times.txt</v>
      </c>
      <c r="AI72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{"issue":{"subject":"","project_id":79,"tracker_id":40,"status_id":1,"priority_id":2,"assigned_to_id":23,"start_date":"2017-01-01","description":"","custom_fields":[{"id":1,"name":"Subdivision","value":"EC"},{"id":4,"name":"Milepost","value":"0.0156"},{"id":17,"name":"Train ID","value":"160-01"},{"id":16,"name":"Locomotive ID","value":"4041"},{"id":130,"name":"Impact","value":""},{"id":150,"name":"Time of Event (Mountain Time)","value":"12:35:29"},{"id":151,"name":"Denver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20"/>
        <v>start /low /b %USERPROFILE%\Documents\GitHub\eaglep3\Utilities\DownloadLogsFromS3.py --loco 4041 --day 2017-01-01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557</v>
      </c>
      <c r="B73" s="7">
        <v>4009</v>
      </c>
      <c r="C73" s="22" t="s">
        <v>205</v>
      </c>
      <c r="D73" s="22" t="s">
        <v>194</v>
      </c>
      <c r="E73" s="13">
        <v>42736.466840277775</v>
      </c>
      <c r="F73" s="13">
        <v>42736.469178240739</v>
      </c>
      <c r="G73" s="7">
        <v>1</v>
      </c>
      <c r="H73" s="22" t="s">
        <v>707</v>
      </c>
      <c r="I73" s="13">
        <v>42736.49560185185</v>
      </c>
      <c r="J73" s="7">
        <v>0</v>
      </c>
      <c r="K73" s="105" t="str">
        <f t="shared" si="0"/>
        <v>4009/4010</v>
      </c>
      <c r="L73" s="22" t="str">
        <f>VLOOKUP(A73,'Trips&amp;Operators'!$C$1:$G$99999,5,FALSE)</f>
        <v>DAVIS MICHAEL</v>
      </c>
      <c r="M73" s="6">
        <f t="shared" si="1"/>
        <v>2.6423611110658385E-2</v>
      </c>
      <c r="N73" s="7">
        <f t="shared" si="2"/>
        <v>38.049999999348074</v>
      </c>
      <c r="O73" s="7"/>
      <c r="P73" s="7"/>
      <c r="Q73" s="23"/>
      <c r="R73" s="23"/>
      <c r="S73" s="32">
        <f t="shared" si="3"/>
        <v>1</v>
      </c>
      <c r="T73" s="47" t="str">
        <f t="shared" si="4"/>
        <v>NorthBound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10:12:15-700',mode:absolute,to:'2017-01-01 12:53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3" s="49" t="str">
        <f t="shared" si="6"/>
        <v>N</v>
      </c>
      <c r="X73" s="173">
        <f t="shared" si="7"/>
        <v>1</v>
      </c>
      <c r="Y73" s="64">
        <f t="shared" si="8"/>
        <v>4.5100000000000001E-2</v>
      </c>
      <c r="Z73" s="64">
        <f t="shared" si="9"/>
        <v>23.3215</v>
      </c>
      <c r="AA73" s="64">
        <f t="shared" si="10"/>
        <v>23.276399999999999</v>
      </c>
      <c r="AB73" s="61" t="e">
        <f>VLOOKUP(A73,Enforcements!$C$7:$K$19,8,0)</f>
        <v>#N/A</v>
      </c>
      <c r="AC73" s="57" t="e">
        <f>VLOOKUP(A73,Enforcements!$C$7:$E$19,3,0)</f>
        <v>#N/A</v>
      </c>
      <c r="AD73" s="58" t="str">
        <f t="shared" si="11"/>
        <v>0161-01</v>
      </c>
      <c r="AE73" s="87" t="str">
        <f t="shared" si="12"/>
        <v>aws s3 cp s3://rtdc.mdm.uploadarchive.raw/RTDC4009/ "%USERPROFILE%\AppData\Local\Temp\OnboardLogs"\RTDC4009\2017-01-01 --exclude "*" --recursive --include "*20170101*" &amp; "%USERPROFILE%\Documents\GitHub\mrs-test-scripts\Headless Mode &amp; Sideloading\WalkAndUnGZ.bat" "%USERPROFILE%\AppData\Local\Temp\OnboardLogs"\RTDC4009\2017-01-01 &amp; aws s3 cp s3://rtdc.mdm.uploadarchive.raw/RTDC4009/ "%USERPROFILE%\AppData\Local\Temp\OnboardLogs"\RTDC4009\2017-01-02 --exclude "*" --recursive --include "*20170102*" &amp; "%USERPROFILE%\Documents\GitHub\mrs-test-scripts\Headless Mode &amp; Sideloading\WalkAndUnGZ.bat" "%USERPROFILE%\AppData\Local\Temp\OnboardLogs"\RTDC4009\2017-01-02</v>
      </c>
      <c r="AF73" s="84" t="str">
        <f t="shared" si="13"/>
        <v>"C:\Program Files (x86)\AstroGrep\AstroGrep.exe" /spath="%USERPROFILE%\AppData\Local\Temp\OnboardLogs" /stypes="app*4009*20170101*"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161-01 --locoid 4009 --swversion DE.1.0.8.0 --startMP 204:451 --initTime 2017-01-01T11:12:15 --startdatetime 2017-01-01T11:15:37 --delay 1 --endMP 204:233215 --enddatetime 2017-01-01T11:53:40 --enforcementcount 0 &gt;&gt;C:\Users\stu\Documents\GitHub\eaglep3-reporting\EC\2017-01-01-refined-times.txt</v>
      </c>
      <c r="AI73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{"issue":{"subject":"","project_id":79,"tracker_id":40,"status_id":1,"priority_id":2,"assigned_to_id":23,"start_date":"2017-01-01","description":"","custom_fields":[{"id":1,"name":"Subdivision","value":"EC"},{"id":4,"name":"Milepost","value":"23.3215"},{"id":17,"name":"Train ID","value":"161-01"},{"id":16,"name":"Locomotive ID","value":"4009"},{"id":130,"name":"Impact","value":""},{"id":150,"name":"Time of Event (Mountain Time)","value":"11:53:40"},{"id":151,"name":"Denver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20"/>
        <v>start /low /b %USERPROFILE%\Documents\GitHub\eaglep3\Utilities\DownloadLogsFromS3.py --loco 4009 --day 2017-01-01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448</v>
      </c>
      <c r="B74" s="7">
        <v>4010</v>
      </c>
      <c r="C74" s="22" t="s">
        <v>205</v>
      </c>
      <c r="D74" s="22" t="s">
        <v>708</v>
      </c>
      <c r="E74" s="13">
        <v>42736.504965277774</v>
      </c>
      <c r="F74" s="13">
        <v>42736.508229166669</v>
      </c>
      <c r="G74" s="7">
        <v>1</v>
      </c>
      <c r="H74" s="22" t="s">
        <v>709</v>
      </c>
      <c r="I74" s="13">
        <v>42736.538043981483</v>
      </c>
      <c r="J74" s="7">
        <v>0</v>
      </c>
      <c r="K74" s="105" t="str">
        <f t="shared" si="0"/>
        <v>4009/4010</v>
      </c>
      <c r="L74" s="22" t="str">
        <f>VLOOKUP(A74,'Trips&amp;Operators'!$C$1:$G$99999,5,FALSE)</f>
        <v>DAVIS MICHAEL</v>
      </c>
      <c r="M74" s="6">
        <f t="shared" si="1"/>
        <v>2.9814814814017154E-2</v>
      </c>
      <c r="N74" s="7">
        <f t="shared" si="2"/>
        <v>42.933333332184702</v>
      </c>
      <c r="O74" s="7"/>
      <c r="P74" s="7"/>
      <c r="Q74" s="23"/>
      <c r="R74" s="23"/>
      <c r="S74" s="32">
        <f t="shared" si="3"/>
        <v>1</v>
      </c>
      <c r="T74" s="47" t="str">
        <f t="shared" si="4"/>
        <v>Southbound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11:07:09-700',mode:absolute,to:'2017-01-01 13:54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4" s="49" t="str">
        <f t="shared" si="6"/>
        <v>N</v>
      </c>
      <c r="X74" s="173">
        <f t="shared" si="7"/>
        <v>1</v>
      </c>
      <c r="Y74" s="64">
        <f t="shared" si="8"/>
        <v>23.295500000000001</v>
      </c>
      <c r="Z74" s="64">
        <f t="shared" si="9"/>
        <v>1.8700000000000001E-2</v>
      </c>
      <c r="AA74" s="64">
        <f t="shared" si="10"/>
        <v>23.276800000000001</v>
      </c>
      <c r="AB74" s="61" t="e">
        <f>VLOOKUP(A74,Enforcements!$C$7:$K$19,8,0)</f>
        <v>#N/A</v>
      </c>
      <c r="AC74" s="57" t="e">
        <f>VLOOKUP(A74,Enforcements!$C$7:$E$19,3,0)</f>
        <v>#N/A</v>
      </c>
      <c r="AD74" s="58" t="str">
        <f t="shared" si="11"/>
        <v>0162-01</v>
      </c>
      <c r="AE74" s="87" t="str">
        <f t="shared" si="12"/>
        <v>aws s3 cp s3://rtdc.mdm.uploadarchive.raw/RTDC4010/ "%USERPROFILE%\AppData\Local\Temp\OnboardLogs"\RTDC4010\2017-01-01 --exclude "*" --recursive --include "*20170101*" &amp; "%USERPROFILE%\Documents\GitHub\mrs-test-scripts\Headless Mode &amp; Sideloading\WalkAndUnGZ.bat" "%USERPROFILE%\AppData\Local\Temp\OnboardLogs"\RTDC4010\2017-01-01 &amp; aws s3 cp s3://rtdc.mdm.uploadarchive.raw/RTDC4010/ "%USERPROFILE%\AppData\Local\Temp\OnboardLogs"\RTDC4010\2017-01-02 --exclude "*" --recursive --include "*20170102*" &amp; "%USERPROFILE%\Documents\GitHub\mrs-test-scripts\Headless Mode &amp; Sideloading\WalkAndUnGZ.bat" "%USERPROFILE%\AppData\Local\Temp\OnboardLogs"\RTDC4010\2017-01-02</v>
      </c>
      <c r="AF74" s="84" t="str">
        <f t="shared" si="13"/>
        <v>"C:\Program Files (x86)\AstroGrep\AstroGrep.exe" /spath="%USERPROFILE%\AppData\Local\Temp\OnboardLogs" /stypes="app*4010*20170101*"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162-01 --locoid 4010 --swversion DE.1.0.8.0 --startMP 204:232955 --initTime 2017-01-01T12:07:09 --startdatetime 2017-01-01T12:11:51 --delay 1 --endMP 204:187 --enddatetime 2017-01-01T12:54:47 --enforcementcount 0 &gt;&gt;C:\Users\stu\Documents\GitHub\eaglep3-reporting\EC\2017-01-01-refined-times.txt</v>
      </c>
      <c r="AI74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{"issue":{"subject":"","project_id":79,"tracker_id":40,"status_id":1,"priority_id":2,"assigned_to_id":23,"start_date":"2017-01-01","description":"","custom_fields":[{"id":1,"name":"Subdivision","value":"EC"},{"id":4,"name":"Milepost","value":"0.0187"},{"id":17,"name":"Train ID","value":"162-01"},{"id":16,"name":"Locomotive ID","value":"4010"},{"id":130,"name":"Impact","value":""},{"id":150,"name":"Time of Event (Mountain Time)","value":"12:54:47"},{"id":151,"name":"Denver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20"/>
        <v>start /low /b %USERPROFILE%\Documents\GitHub\eaglep3\Utilities\DownloadLogsFromS3.py --loco 4010 --day 2017-01-01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558</v>
      </c>
      <c r="B75" s="7">
        <v>4022</v>
      </c>
      <c r="C75" s="22" t="s">
        <v>205</v>
      </c>
      <c r="D75" s="22" t="s">
        <v>393</v>
      </c>
      <c r="E75" s="13">
        <v>42736.476909722223</v>
      </c>
      <c r="F75" s="13">
        <v>42736.479363425926</v>
      </c>
      <c r="G75" s="7">
        <v>2</v>
      </c>
      <c r="H75" s="22" t="s">
        <v>710</v>
      </c>
      <c r="I75" s="13">
        <v>42736.505127314813</v>
      </c>
      <c r="J75" s="7">
        <v>0</v>
      </c>
      <c r="K75" s="105" t="str">
        <f t="shared" si="0"/>
        <v>4021/4022</v>
      </c>
      <c r="L75" s="22" t="str">
        <f>VLOOKUP(A75,'Trips&amp;Operators'!$C$1:$G$99999,5,FALSE)</f>
        <v>LEVIN SCOTT</v>
      </c>
      <c r="M75" s="6">
        <f t="shared" si="1"/>
        <v>2.5763888887013309E-2</v>
      </c>
      <c r="N75" s="7">
        <f t="shared" si="2"/>
        <v>37.099999997299165</v>
      </c>
      <c r="O75" s="7"/>
      <c r="P75" s="7"/>
      <c r="Q75" s="23"/>
      <c r="R75" s="23"/>
      <c r="S75" s="32">
        <f t="shared" si="3"/>
        <v>1</v>
      </c>
      <c r="T75" s="47" t="str">
        <f t="shared" si="4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10:26:45-700',mode:absolute,to:'2017-01-01 13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5" s="49" t="str">
        <f t="shared" si="6"/>
        <v>N</v>
      </c>
      <c r="X75" s="173">
        <f t="shared" si="7"/>
        <v>1</v>
      </c>
      <c r="Y75" s="64">
        <f t="shared" si="8"/>
        <v>4.4200000000000003E-2</v>
      </c>
      <c r="Z75" s="64">
        <f t="shared" si="9"/>
        <v>23.335100000000001</v>
      </c>
      <c r="AA75" s="64">
        <f t="shared" si="10"/>
        <v>23.290900000000001</v>
      </c>
      <c r="AB75" s="61" t="e">
        <f>VLOOKUP(A75,Enforcements!$C$7:$K$19,8,0)</f>
        <v>#N/A</v>
      </c>
      <c r="AC75" s="57" t="e">
        <f>VLOOKUP(A75,Enforcements!$C$7:$E$19,3,0)</f>
        <v>#N/A</v>
      </c>
      <c r="AD75" s="58" t="str">
        <f t="shared" si="11"/>
        <v>0163-01</v>
      </c>
      <c r="AE75" s="87" t="str">
        <f t="shared" si="12"/>
        <v>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 &amp; aws s3 cp s3://rtdc.mdm.uploadarchive.raw/RTDC4022/ "%USERPROFILE%\AppData\Local\Temp\OnboardLogs"\RTDC4022\2017-01-02 --exclude "*" --recursive --include "*20170102*" &amp; "%USERPROFILE%\Documents\GitHub\mrs-test-scripts\Headless Mode &amp; Sideloading\WalkAndUnGZ.bat" "%USERPROFILE%\AppData\Local\Temp\OnboardLogs"\RTDC4022\2017-01-02</v>
      </c>
      <c r="AF75" s="84" t="str">
        <f t="shared" si="13"/>
        <v>"C:\Program Files (x86)\AstroGrep\AstroGrep.exe" /spath="%USERPROFILE%\AppData\Local\Temp\OnboardLogs" /stypes="app*4022*20170101*"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163-01 --locoid 4022 --swversion DE.1.0.8.0 --startMP 204:442 --initTime 2017-01-01T11:26:45 --startdatetime 2017-01-01T11:30:17 --delay 2 --endMP 204:233351 --enddatetime 2017-01-01T12:07:23 --enforcementcount 0 &gt;&gt;C:\Users\stu\Documents\GitHub\eaglep3-reporting\EC\2017-01-01-refined-times.txt</v>
      </c>
      <c r="AI75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{"issue":{"subject":"","project_id":79,"tracker_id":40,"status_id":1,"priority_id":2,"assigned_to_id":23,"start_date":"2017-01-01","description":"","custom_fields":[{"id":1,"name":"Subdivision","value":"EC"},{"id":4,"name":"Milepost","value":"23.3351"},{"id":17,"name":"Train ID","value":"163-01"},{"id":16,"name":"Locomotive ID","value":"4022"},{"id":130,"name":"Impact","value":""},{"id":150,"name":"Time of Event (Mountain Time)","value":"12:07:23"},{"id":151,"name":"Denver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20"/>
        <v>start /low /b %USERPROFILE%\Documents\GitHub\eaglep3\Utilities\DownloadLogsFromS3.py --loco 4022 --day 2017-01-01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567</v>
      </c>
      <c r="B76" s="7">
        <v>4021</v>
      </c>
      <c r="C76" s="22" t="s">
        <v>205</v>
      </c>
      <c r="D76" s="22" t="s">
        <v>711</v>
      </c>
      <c r="E76" s="13">
        <v>42736.512291666666</v>
      </c>
      <c r="F76" s="13">
        <v>42736.518437500003</v>
      </c>
      <c r="G76" s="7">
        <v>1</v>
      </c>
      <c r="H76" s="22" t="s">
        <v>211</v>
      </c>
      <c r="I76" s="13">
        <v>42736.545266203706</v>
      </c>
      <c r="J76" s="7">
        <v>0</v>
      </c>
      <c r="K76" s="105" t="str">
        <f t="shared" si="0"/>
        <v>4021/4022</v>
      </c>
      <c r="L76" s="22" t="str">
        <f>VLOOKUP(A76,'Trips&amp;Operators'!$C$1:$G$99999,5,FALSE)</f>
        <v>LEVIN SCOTT</v>
      </c>
      <c r="M76" s="6">
        <f t="shared" si="1"/>
        <v>2.6828703703358769E-2</v>
      </c>
      <c r="N76" s="7">
        <f t="shared" si="2"/>
        <v>38.633333332836628</v>
      </c>
      <c r="O76" s="7"/>
      <c r="P76" s="7"/>
      <c r="Q76" s="23"/>
      <c r="R76" s="23"/>
      <c r="S76" s="32">
        <f t="shared" si="3"/>
        <v>1</v>
      </c>
      <c r="T76" s="47" t="str">
        <f t="shared" si="4"/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https://search-rtdc-monitor-bjffxe2xuh6vdkpspy63sjmuny.us-east-1.es.amazonaws.com/_plugin/kibana/#/discover/Steve-Slow-Train-Analysis-(2080s-and-2083s)?_g=(refreshInterval:(display:Off,section:0,value:0),time:(from:'2017-01-01 11:17:42-700',mode:absolute,to:'2017-01-01 14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6" s="49" t="str">
        <f t="shared" si="6"/>
        <v>N</v>
      </c>
      <c r="X76" s="173">
        <f t="shared" si="7"/>
        <v>1</v>
      </c>
      <c r="Y76" s="64">
        <f t="shared" si="8"/>
        <v>23.303000000000001</v>
      </c>
      <c r="Z76" s="64">
        <f t="shared" si="9"/>
        <v>1.4999999999999999E-2</v>
      </c>
      <c r="AA76" s="64">
        <f t="shared" si="10"/>
        <v>23.288</v>
      </c>
      <c r="AB76" s="61" t="e">
        <f>VLOOKUP(A76,Enforcements!$C$7:$K$19,8,0)</f>
        <v>#N/A</v>
      </c>
      <c r="AC76" s="57" t="e">
        <f>VLOOKUP(A76,Enforcements!$C$7:$E$19,3,0)</f>
        <v>#N/A</v>
      </c>
      <c r="AD76" s="58" t="str">
        <f t="shared" si="11"/>
        <v>0164-01</v>
      </c>
      <c r="AE76" s="87" t="str">
        <f t="shared" si="12"/>
        <v>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 &amp; 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</v>
      </c>
      <c r="AF76" s="84" t="str">
        <f t="shared" si="13"/>
        <v>"C:\Program Files (x86)\AstroGrep\AstroGrep.exe" /spath="%USERPROFILE%\AppData\Local\Temp\OnboardLogs" /stypes="app*4021*20170101*"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164-01 --locoid 4021 --swversion DE.1.0.8.0 --startMP 204:233030 --initTime 2017-01-01T12:17:42 --startdatetime 2017-01-01T12:26:33 --delay 1 --endMP 204:150 --enddatetime 2017-01-01T13:05:11 --enforcementcount 0 &gt;&gt;C:\Users\stu\Documents\GitHub\eaglep3-reporting\EC\2017-01-01-refined-times.txt</v>
      </c>
      <c r="AI76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{"issue":{"subject":"","project_id":79,"tracker_id":40,"status_id":1,"priority_id":2,"assigned_to_id":23,"start_date":"2017-01-01","description":"","custom_fields":[{"id":1,"name":"Subdivision","value":"EC"},{"id":4,"name":"Milepost","value":"0.015"},{"id":17,"name":"Train ID","value":"164-01"},{"id":16,"name":"Locomotive ID","value":"4021"},{"id":130,"name":"Impact","value":""},{"id":150,"name":"Time of Event (Mountain Time)","value":"13:05:11"},{"id":151,"name":"Denver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20"/>
        <v>start /low /b %USERPROFILE%\Documents\GitHub\eaglep3\Utilities\DownloadLogsFromS3.py --loco 4021 --day 2017-01-01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561</v>
      </c>
      <c r="B77" s="7">
        <v>4007</v>
      </c>
      <c r="C77" s="22" t="s">
        <v>205</v>
      </c>
      <c r="D77" s="22" t="s">
        <v>686</v>
      </c>
      <c r="E77" s="13">
        <v>42736.487060185187</v>
      </c>
      <c r="F77" s="13">
        <v>42736.489756944444</v>
      </c>
      <c r="G77" s="7">
        <v>2</v>
      </c>
      <c r="H77" s="22" t="s">
        <v>700</v>
      </c>
      <c r="I77" s="13">
        <v>42736.515173611115</v>
      </c>
      <c r="J77" s="7">
        <v>0</v>
      </c>
      <c r="K77" s="105" t="str">
        <f t="shared" ref="K77:K139" si="21">IF(ISEVEN(B77),(B77-1)&amp;"/"&amp;B77,B77&amp;"/"&amp;(B77+1))</f>
        <v>4007/4008</v>
      </c>
      <c r="L77" s="22" t="str">
        <f>VLOOKUP(A77,'Trips&amp;Operators'!$C$1:$G$99999,5,FALSE)</f>
        <v>BRUDER RICHARD</v>
      </c>
      <c r="M77" s="6">
        <f t="shared" ref="M77:M139" si="22">I77-F77</f>
        <v>2.5416666670935228E-2</v>
      </c>
      <c r="N77" s="7">
        <f t="shared" ref="N77:N139" si="23">24*60*SUM($M77:$M77)</f>
        <v>36.600000006146729</v>
      </c>
      <c r="O77" s="7"/>
      <c r="P77" s="7"/>
      <c r="Q77" s="23"/>
      <c r="R77" s="23"/>
      <c r="S77" s="32">
        <f t="shared" ref="S77:S139" si="24">SUM(U77:U77)/IF(AG77="EC",12,1)</f>
        <v>1</v>
      </c>
      <c r="T77" s="47" t="str">
        <f t="shared" ref="T77:T139" si="25">IF(ISEVEN(LEFT(AD77,4)),"Southbound","NorthBound")</f>
        <v>NorthBound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39" si="26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https://search-rtdc-monitor-bjffxe2xuh6vdkpspy63sjmuny.us-east-1.es.amazonaws.com/_plugin/kibana/#/discover/Steve-Slow-Train-Analysis-(2080s-and-2083s)?_g=(refreshInterval:(display:Off,section:0,value:0),time:(from:'2017-01-01 10:41:22-700',mode:absolute,to:'2017-01-01 13:21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7" s="49" t="str">
        <f t="shared" ref="W77:W139" si="27">IF(AA77&lt;IF(AG77="EC",23,5.65),"Y","N")</f>
        <v>N</v>
      </c>
      <c r="X77" s="173">
        <f t="shared" ref="X77:X139" si="28">VALUE(LEFT(AD77,4))-VALUE(LEFT(AD76,4))</f>
        <v>1</v>
      </c>
      <c r="Y77" s="64">
        <f t="shared" ref="Y77:Y139" si="29">RIGHT(D77,LEN(D77)-4)/10000</f>
        <v>4.3499999999999997E-2</v>
      </c>
      <c r="Z77" s="64">
        <f t="shared" ref="Z77:Z139" si="30">RIGHT(H77,LEN(H77)-4)/10000</f>
        <v>23.330300000000001</v>
      </c>
      <c r="AA77" s="64">
        <f t="shared" ref="AA77:AA139" si="31">ABS(Z77-Y77)</f>
        <v>23.286799999999999</v>
      </c>
      <c r="AB77" s="61" t="e">
        <f>VLOOKUP(A77,Enforcements!$C$7:$K$19,8,0)</f>
        <v>#N/A</v>
      </c>
      <c r="AC77" s="57" t="e">
        <f>VLOOKUP(A77,Enforcements!$C$7:$E$19,3,0)</f>
        <v>#N/A</v>
      </c>
      <c r="AD77" s="58" t="str">
        <f t="shared" ref="AD77:AD139" si="32">IF(LEN(A77)=6,"0"&amp;A77,A77)</f>
        <v>0165-01</v>
      </c>
      <c r="AE77" s="87" t="str">
        <f t="shared" ref="AE77:AE139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s3://rtdc.mdm.uploadarchive.raw/RTDC4007/ "%USERPROFILE%\AppData\Local\Temp\OnboardLogs"\RTDC4007\2017-01-01 --exclude "*" --recursive --include "*20170101*" &amp; "%USERPROFILE%\Documents\GitHub\mrs-test-scripts\Headless Mode &amp; Sideloading\WalkAndUnGZ.bat" "%USERPROFILE%\AppData\Local\Temp\OnboardLogs"\RTDC4007\2017-01-01 &amp; 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</v>
      </c>
      <c r="AF77" s="84" t="str">
        <f t="shared" ref="AF77:AF139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/stypes="app*4007*20170101*" /stext=" 19:.+((SYSTEM_STATE.+slice.+state.+changed )|(ment ac)|(multiple cpu faults)|(system.+state.+changed )|(\[timeout)|(PRM\|1\|D)|(kpr)|(kdp)|(\|lc)|(penalty))" /e /r /s</v>
      </c>
      <c r="AG77" s="1" t="str">
        <f t="shared" ref="AG77:AG139" si="35">IFERROR(IF(VALUE(LEFT(AD77,2))&lt;=2,"EC",IF(OR(VALUE(LEFT(AD77,2))=8,VALUE(LEFT(AD77,2))=18),"NW","Other")),"Other")</f>
        <v>EC</v>
      </c>
      <c r="AH77" s="88" t="str">
        <f t="shared" si="18"/>
        <v>"%USERPROFILE%\Documents\GitHub\eaglep3\Utilities\RefineRTDCRunTimes.py" --tripid 165-01 --locoid 4007 --swversion DE.1.0.8.0 --startMP 204:435 --initTime 2017-01-01T11:41:22 --startdatetime 2017-01-01T11:45:15 --delay 2 --endMP 204:233303 --enddatetime 2017-01-01T12:21:51 --enforcementcount 0 &gt;&gt;C:\Users\stu\Documents\GitHub\eaglep3-reporting\EC\2017-01-01-refined-times.txt</v>
      </c>
      <c r="AI77" s="115" t="str">
        <f t="shared" si="19"/>
        <v>echo {"issue":{"subject":"","project_id":79,"tracker_id":40,"status_id":1,"priority_id":2,"assigned_to_id":23,"start_date":"2017-01-01","description":"","custom_fields":[{"id":1,"name":"Subdivision","value":"EC"},{"id":4,"name":"Milepost","value":"23.3303"},{"id":17,"name":"Train ID","value":"165-01"},{"id":16,"name":"Locomotive ID","value":"4007"},{"id":130,"name":"Impact","value":""},{"id":150,"name":"Time of Event (Mountain Time)","value":"12:21:51"},{"id":151,"name":"Denver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20"/>
        <v>start /low /b %USERPROFILE%\Documents\GitHub\eaglep3\Utilities\DownloadLogsFromS3.py --loco 4007 --day 2017-01-01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571</v>
      </c>
      <c r="B78" s="7">
        <v>4008</v>
      </c>
      <c r="C78" s="22" t="s">
        <v>205</v>
      </c>
      <c r="D78" s="22" t="s">
        <v>299</v>
      </c>
      <c r="E78" s="13">
        <v>42736.523738425924</v>
      </c>
      <c r="F78" s="13">
        <v>42736.528946759259</v>
      </c>
      <c r="G78" s="7">
        <v>3</v>
      </c>
      <c r="H78" s="22" t="s">
        <v>364</v>
      </c>
      <c r="I78" s="13">
        <v>42736.556666666664</v>
      </c>
      <c r="J78" s="7">
        <v>0</v>
      </c>
      <c r="K78" s="105" t="str">
        <f t="shared" si="21"/>
        <v>4007/4008</v>
      </c>
      <c r="L78" s="22" t="str">
        <f>VLOOKUP(A78,'Trips&amp;Operators'!$C$1:$G$99999,5,FALSE)</f>
        <v>BRUDER RICHARD</v>
      </c>
      <c r="M78" s="6">
        <f t="shared" si="22"/>
        <v>2.7719907404389232E-2</v>
      </c>
      <c r="N78" s="7">
        <f t="shared" si="23"/>
        <v>39.916666662320495</v>
      </c>
      <c r="O78" s="7"/>
      <c r="P78" s="7"/>
      <c r="Q78" s="23"/>
      <c r="R78" s="23"/>
      <c r="S78" s="32">
        <f t="shared" si="24"/>
        <v>1</v>
      </c>
      <c r="T78" s="47" t="str">
        <f t="shared" si="25"/>
        <v>Southbound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11:34:11-700',mode:absolute,to:'2017-01-01 14:21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8" s="49" t="str">
        <f t="shared" si="27"/>
        <v>N</v>
      </c>
      <c r="X78" s="173">
        <f t="shared" si="28"/>
        <v>1</v>
      </c>
      <c r="Y78" s="64">
        <f t="shared" si="29"/>
        <v>23.298200000000001</v>
      </c>
      <c r="Z78" s="64">
        <f t="shared" si="30"/>
        <v>1.34E-2</v>
      </c>
      <c r="AA78" s="64">
        <f t="shared" si="31"/>
        <v>23.284800000000001</v>
      </c>
      <c r="AB78" s="61" t="e">
        <f>VLOOKUP(A78,Enforcements!$C$7:$K$19,8,0)</f>
        <v>#N/A</v>
      </c>
      <c r="AC78" s="57" t="e">
        <f>VLOOKUP(A78,Enforcements!$C$7:$E$19,3,0)</f>
        <v>#N/A</v>
      </c>
      <c r="AD78" s="58" t="str">
        <f t="shared" si="32"/>
        <v>0166-01</v>
      </c>
      <c r="AE78" s="87" t="str">
        <f t="shared" si="33"/>
        <v>aws s3 cp s3://rtdc.mdm.uploadarchive.raw/RTDC4008/ "%USERPROFILE%\AppData\Local\Temp\OnboardLogs"\RTDC4008\2017-01-01 --exclude "*" --recursive --include "*20170101*" &amp; "%USERPROFILE%\Documents\GitHub\mrs-test-scripts\Headless Mode &amp; Sideloading\WalkAndUnGZ.bat" "%USERPROFILE%\AppData\Local\Temp\OnboardLogs"\RTDC4008\2017-01-01 &amp; 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</v>
      </c>
      <c r="AF78" s="84" t="str">
        <f t="shared" si="34"/>
        <v>"C:\Program Files (x86)\AstroGrep\AstroGrep.exe" /spath="%USERPROFILE%\AppData\Local\Temp\OnboardLogs" /stypes="app*4008*20170101*" /stext=" 20:.+((SYSTEM_STATE.+slice.+state.+changed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8" t="str">
        <f t="shared" ref="AH78:AH140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166-01 --locoid 4008 --swversion DE.1.0.8.0 --startMP 204:232982 --initTime 2017-01-01T12:34:11 --startdatetime 2017-01-01T12:41:41 --delay 3 --endMP 204:134 --enddatetime 2017-01-01T13:21:36 --enforcementcount 0 &gt;&gt;C:\Users\stu\Documents\GitHub\eaglep3-reporting\EC\2017-01-01-refined-times.txt</v>
      </c>
      <c r="AI78" s="115" t="str">
        <f t="shared" ref="AI78:AI140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{"issue":{"subject":"","project_id":79,"tracker_id":40,"status_id":1,"priority_id":2,"assigned_to_id":23,"start_date":"2017-01-01","description":"","custom_fields":[{"id":1,"name":"Subdivision","value":"EC"},{"id":4,"name":"Milepost","value":"0.0134"},{"id":17,"name":"Train ID","value":"166-01"},{"id":16,"name":"Locomotive ID","value":"4008"},{"id":130,"name":"Impact","value":""},{"id":150,"name":"Time of Event (Mountain Time)","value":"13:21:36"},{"id":151,"name":"Denver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ref="AM78:AM140" si="38">"start /low /b "&amp;dls3logs&amp;" --loco "&amp;B78&amp;" --day "&amp;TEXT(F78,"YYYY-MM-DD")</f>
        <v>start /low /b %USERPROFILE%\Documents\GitHub\eaglep3\Utilities\DownloadLogsFromS3.py --loco 4008 --day 2017-01-01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563</v>
      </c>
      <c r="B79" s="7">
        <v>4003</v>
      </c>
      <c r="C79" s="22" t="s">
        <v>205</v>
      </c>
      <c r="D79" s="22" t="s">
        <v>249</v>
      </c>
      <c r="E79" s="13">
        <v>42736.49659722222</v>
      </c>
      <c r="F79" s="13">
        <v>42736.500162037039</v>
      </c>
      <c r="G79" s="7">
        <v>2</v>
      </c>
      <c r="H79" s="22" t="s">
        <v>392</v>
      </c>
      <c r="I79" s="13">
        <v>42736.526608796295</v>
      </c>
      <c r="J79" s="7">
        <v>0</v>
      </c>
      <c r="K79" s="105" t="str">
        <f t="shared" si="21"/>
        <v>4003/4004</v>
      </c>
      <c r="L79" s="22" t="str">
        <f>VLOOKUP(A79,'Trips&amp;Operators'!$C$1:$G$99999,5,FALSE)</f>
        <v>LALONDE GREGORY</v>
      </c>
      <c r="M79" s="6">
        <f t="shared" si="22"/>
        <v>2.6446759256941732E-2</v>
      </c>
      <c r="N79" s="7">
        <f t="shared" si="23"/>
        <v>38.083333329996094</v>
      </c>
      <c r="O79" s="7"/>
      <c r="P79" s="7"/>
      <c r="Q79" s="23"/>
      <c r="R79" s="23"/>
      <c r="S79" s="32">
        <f t="shared" si="24"/>
        <v>1</v>
      </c>
      <c r="T79" s="47" t="str">
        <f t="shared" si="25"/>
        <v>NorthBound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10:55:06-700',mode:absolute,to:'2017-01-01 13:38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9" s="49" t="str">
        <f t="shared" si="27"/>
        <v>N</v>
      </c>
      <c r="X79" s="173">
        <f t="shared" si="28"/>
        <v>1</v>
      </c>
      <c r="Y79" s="64">
        <f t="shared" si="29"/>
        <v>4.53E-2</v>
      </c>
      <c r="Z79" s="64">
        <f t="shared" si="30"/>
        <v>23.328299999999999</v>
      </c>
      <c r="AA79" s="64">
        <f t="shared" si="31"/>
        <v>23.282999999999998</v>
      </c>
      <c r="AB79" s="61" t="e">
        <f>VLOOKUP(A79,Enforcements!$C$7:$K$19,8,0)</f>
        <v>#N/A</v>
      </c>
      <c r="AC79" s="57" t="e">
        <f>VLOOKUP(A79,Enforcements!$C$7:$E$19,3,0)</f>
        <v>#N/A</v>
      </c>
      <c r="AD79" s="58" t="str">
        <f t="shared" si="32"/>
        <v>0167-01</v>
      </c>
      <c r="AE79" s="87" t="str">
        <f t="shared" si="33"/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AF79" s="84" t="str">
        <f t="shared" si="34"/>
        <v>"C:\Program Files (x86)\AstroGrep\AstroGrep.exe" /spath="%USERPROFILE%\AppData\Local\Temp\OnboardLogs" /stypes="app*4003*20170101*" /stext=" 19:.+((SYSTEM_STATE.+slice.+state.+changed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8" t="str">
        <f t="shared" si="36"/>
        <v>"%USERPROFILE%\Documents\GitHub\eaglep3\Utilities\RefineRTDCRunTimes.py" --tripid 167-01 --locoid 4003 --swversion DE.1.0.8.0 --startMP 204:453 --initTime 2017-01-01T11:55:06 --startdatetime 2017-01-01T12:00:14 --delay 2 --endMP 204:233283 --enddatetime 2017-01-01T12:38:19 --enforcementcount 0 &gt;&gt;C:\Users\stu\Documents\GitHub\eaglep3-reporting\EC\2017-01-01-refined-times.txt</v>
      </c>
      <c r="AI79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{"issue":{"subject":"","project_id":79,"tracker_id":40,"status_id":1,"priority_id":2,"assigned_to_id":23,"start_date":"2017-01-01","description":"","custom_fields":[{"id":1,"name":"Subdivision","value":"EC"},{"id":4,"name":"Milepost","value":"23.3283"},{"id":17,"name":"Train ID","value":"167-01"},{"id":16,"name":"Locomotive ID","value":"4003"},{"id":130,"name":"Impact","value":""},{"id":150,"name":"Time of Event (Mountain Time)","value":"12:38:19"},{"id":151,"name":"Denver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38"/>
        <v>start /low /b %USERPROFILE%\Documents\GitHub\eaglep3\Utilities\DownloadLogsFromS3.py --loco 4003 --day 2017-01-01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574</v>
      </c>
      <c r="B80" s="7">
        <v>4004</v>
      </c>
      <c r="C80" s="22" t="s">
        <v>205</v>
      </c>
      <c r="D80" s="22" t="s">
        <v>330</v>
      </c>
      <c r="E80" s="13">
        <v>42736.52915509259</v>
      </c>
      <c r="F80" s="13">
        <v>42736.5390625</v>
      </c>
      <c r="G80" s="7">
        <v>2</v>
      </c>
      <c r="H80" s="22" t="s">
        <v>191</v>
      </c>
      <c r="I80" s="13">
        <v>42736.567349537036</v>
      </c>
      <c r="J80" s="7">
        <v>0</v>
      </c>
      <c r="K80" s="105" t="str">
        <f t="shared" si="21"/>
        <v>4003/4004</v>
      </c>
      <c r="L80" s="22" t="str">
        <f>VLOOKUP(A80,'Trips&amp;Operators'!$C$1:$G$99999,5,FALSE)</f>
        <v>LALONDE GREGORY</v>
      </c>
      <c r="M80" s="6">
        <f t="shared" si="22"/>
        <v>2.8287037035624962E-2</v>
      </c>
      <c r="N80" s="7">
        <f t="shared" si="23"/>
        <v>40.733333331299946</v>
      </c>
      <c r="O80" s="7"/>
      <c r="P80" s="7"/>
      <c r="Q80" s="23"/>
      <c r="R80" s="23"/>
      <c r="S80" s="32">
        <f t="shared" si="24"/>
        <v>1</v>
      </c>
      <c r="T80" s="47" t="str">
        <f t="shared" si="25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11:41:59-700',mode:absolute,to:'2017-01-01 14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0" s="49" t="str">
        <f t="shared" si="27"/>
        <v>N</v>
      </c>
      <c r="X80" s="173">
        <f t="shared" si="28"/>
        <v>1</v>
      </c>
      <c r="Y80" s="64">
        <f t="shared" si="29"/>
        <v>23.2989</v>
      </c>
      <c r="Z80" s="64">
        <f t="shared" si="30"/>
        <v>1.49E-2</v>
      </c>
      <c r="AA80" s="64">
        <f t="shared" si="31"/>
        <v>23.283999999999999</v>
      </c>
      <c r="AB80" s="61" t="e">
        <f>VLOOKUP(A80,Enforcements!$C$7:$K$19,8,0)</f>
        <v>#N/A</v>
      </c>
      <c r="AC80" s="57" t="e">
        <f>VLOOKUP(A80,Enforcements!$C$7:$E$19,3,0)</f>
        <v>#N/A</v>
      </c>
      <c r="AD80" s="58" t="str">
        <f t="shared" si="32"/>
        <v>0168-01</v>
      </c>
      <c r="AE80" s="87" t="str">
        <f t="shared" si="33"/>
        <v>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 &amp; aws s3 cp s3://rtdc.mdm.uploadarchive.raw/RTDC4004/ "%USERPROFILE%\AppData\Local\Temp\OnboardLogs"\RTDC4004\2017-01-02 --exclude "*" --recursive --include "*20170102*" &amp; "%USERPROFILE%\Documents\GitHub\mrs-test-scripts\Headless Mode &amp; Sideloading\WalkAndUnGZ.bat" "%USERPROFILE%\AppData\Local\Temp\OnboardLogs"\RTDC4004\2017-01-02</v>
      </c>
      <c r="AF80" s="84" t="str">
        <f t="shared" si="34"/>
        <v>"C:\Program Files (x86)\AstroGrep\AstroGrep.exe" /spath="%USERPROFILE%\AppData\Local\Temp\OnboardLogs" /stypes="app*4004*20170101*" /stext=" 20:.+((SYSTEM_STATE.+slice.+state.+changed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8" t="str">
        <f t="shared" si="36"/>
        <v>"%USERPROFILE%\Documents\GitHub\eaglep3\Utilities\RefineRTDCRunTimes.py" --tripid 168-01 --locoid 4004 --swversion DE.1.0.8.0 --startMP 204:232989 --initTime 2017-01-01T12:41:59 --startdatetime 2017-01-01T12:56:15 --delay 2 --endMP 204:149 --enddatetime 2017-01-01T13:36:59 --enforcementcount 0 &gt;&gt;C:\Users\stu\Documents\GitHub\eaglep3-reporting\EC\2017-01-01-refined-times.txt</v>
      </c>
      <c r="AI80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{"issue":{"subject":"","project_id":79,"tracker_id":40,"status_id":1,"priority_id":2,"assigned_to_id":23,"start_date":"2017-01-01","description":"","custom_fields":[{"id":1,"name":"Subdivision","value":"EC"},{"id":4,"name":"Milepost","value":"0.0149"},{"id":17,"name":"Train ID","value":"168-01"},{"id":16,"name":"Locomotive ID","value":"4004"},{"id":130,"name":"Impact","value":""},{"id":150,"name":"Time of Event (Mountain Time)","value":"13:36:59"},{"id":151,"name":"Denver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38"/>
        <v>start /low /b %USERPROFILE%\Documents\GitHub\eaglep3\Utilities\DownloadLogsFromS3.py --loco 4004 --day 2017-01-01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566</v>
      </c>
      <c r="B81" s="7">
        <v>4014</v>
      </c>
      <c r="C81" s="22" t="s">
        <v>205</v>
      </c>
      <c r="D81" s="22" t="s">
        <v>258</v>
      </c>
      <c r="E81" s="13">
        <v>42736.505462962959</v>
      </c>
      <c r="F81" s="13">
        <v>42736.51090277778</v>
      </c>
      <c r="G81" s="7">
        <v>1</v>
      </c>
      <c r="H81" s="22" t="s">
        <v>321</v>
      </c>
      <c r="I81" s="13">
        <v>42736.535763888889</v>
      </c>
      <c r="J81" s="7">
        <v>0</v>
      </c>
      <c r="K81" s="105" t="str">
        <f t="shared" si="21"/>
        <v>4013/4014</v>
      </c>
      <c r="L81" s="22" t="str">
        <f>VLOOKUP(A81,'Trips&amp;Operators'!$C$1:$G$99999,5,FALSE)</f>
        <v>ADANE ELSHADAY</v>
      </c>
      <c r="M81" s="6">
        <f t="shared" si="22"/>
        <v>2.4861111109203193E-2</v>
      </c>
      <c r="N81" s="7">
        <f t="shared" si="23"/>
        <v>35.799999997252598</v>
      </c>
      <c r="O81" s="7"/>
      <c r="P81" s="7"/>
      <c r="Q81" s="23"/>
      <c r="R81" s="23"/>
      <c r="S81" s="32">
        <f t="shared" si="24"/>
        <v>1</v>
      </c>
      <c r="T81" s="47" t="str">
        <f t="shared" si="25"/>
        <v>NorthBound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11:07:52-700',mode:absolute,to:'2017-01-01 13:51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1" s="49" t="str">
        <f t="shared" si="27"/>
        <v>N</v>
      </c>
      <c r="X81" s="173">
        <f t="shared" si="28"/>
        <v>1</v>
      </c>
      <c r="Y81" s="64">
        <f t="shared" si="29"/>
        <v>4.6199999999999998E-2</v>
      </c>
      <c r="Z81" s="64">
        <f t="shared" si="30"/>
        <v>23.3291</v>
      </c>
      <c r="AA81" s="64">
        <f t="shared" si="31"/>
        <v>23.282900000000001</v>
      </c>
      <c r="AB81" s="61" t="e">
        <f>VLOOKUP(A81,Enforcements!$C$7:$K$19,8,0)</f>
        <v>#N/A</v>
      </c>
      <c r="AC81" s="57" t="e">
        <f>VLOOKUP(A81,Enforcements!$C$7:$E$19,3,0)</f>
        <v>#N/A</v>
      </c>
      <c r="AD81" s="58" t="str">
        <f t="shared" si="32"/>
        <v>0169-01</v>
      </c>
      <c r="AE81" s="87" t="str">
        <f t="shared" si="33"/>
        <v>aws s3 cp s3://rtdc.mdm.uploadarchive.raw/RTDC4014/ "%USERPROFILE%\AppData\Local\Temp\OnboardLogs"\RTDC4014\2017-01-01 --exclude "*" --recursive --include "*20170101*" &amp; "%USERPROFILE%\Documents\GitHub\mrs-test-scripts\Headless Mode &amp; Sideloading\WalkAndUnGZ.bat" "%USERPROFILE%\AppData\Local\Temp\OnboardLogs"\RTDC4014\2017-01-01 &amp; 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</v>
      </c>
      <c r="AF81" s="84" t="str">
        <f t="shared" si="34"/>
        <v>"C:\Program Files (x86)\AstroGrep\AstroGrep.exe" /spath="%USERPROFILE%\AppData\Local\Temp\OnboardLogs" /stypes="app*4014*20170101*" /stext=" 19:.+((SYSTEM_STATE.+slice.+state.+changed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8" t="str">
        <f t="shared" si="36"/>
        <v>"%USERPROFILE%\Documents\GitHub\eaglep3\Utilities\RefineRTDCRunTimes.py" --tripid 169-01 --locoid 4014 --swversion DE.1.0.8.0 --startMP 204:462 --initTime 2017-01-01T12:07:52 --startdatetime 2017-01-01T12:15:42 --delay 1 --endMP 204:233291 --enddatetime 2017-01-01T12:51:30 --enforcementcount 0 &gt;&gt;C:\Users\stu\Documents\GitHub\eaglep3-reporting\EC\2017-01-01-refined-times.txt</v>
      </c>
      <c r="AI81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{"issue":{"subject":"","project_id":79,"tracker_id":40,"status_id":1,"priority_id":2,"assigned_to_id":23,"start_date":"2017-01-01","description":"","custom_fields":[{"id":1,"name":"Subdivision","value":"EC"},{"id":4,"name":"Milepost","value":"23.3291"},{"id":17,"name":"Train ID","value":"169-01"},{"id":16,"name":"Locomotive ID","value":"4014"},{"id":130,"name":"Impact","value":""},{"id":150,"name":"Time of Event (Mountain Time)","value":"12:51:30"},{"id":151,"name":"Denver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38"/>
        <v>start /low /b %USERPROFILE%\Documents\GitHub\eaglep3\Utilities\DownloadLogsFromS3.py --loco 4014 --day 2017-01-01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575</v>
      </c>
      <c r="B82" s="7">
        <v>4013</v>
      </c>
      <c r="C82" s="22" t="s">
        <v>205</v>
      </c>
      <c r="D82" s="22" t="s">
        <v>339</v>
      </c>
      <c r="E82" s="13">
        <v>42736.537106481483</v>
      </c>
      <c r="F82" s="13">
        <v>42736.549733796295</v>
      </c>
      <c r="G82" s="7">
        <v>1</v>
      </c>
      <c r="H82" s="22" t="s">
        <v>211</v>
      </c>
      <c r="I82" s="13">
        <v>42736.576585648145</v>
      </c>
      <c r="J82" s="7">
        <v>0</v>
      </c>
      <c r="K82" s="105" t="str">
        <f t="shared" si="21"/>
        <v>4013/4014</v>
      </c>
      <c r="L82" s="22" t="str">
        <f>VLOOKUP(A82,'Trips&amp;Operators'!$C$1:$G$99999,5,FALSE)</f>
        <v>ADANE ELSHADAY</v>
      </c>
      <c r="M82" s="6">
        <f t="shared" si="22"/>
        <v>2.6851851849642117E-2</v>
      </c>
      <c r="N82" s="7">
        <f t="shared" si="23"/>
        <v>38.666666663484648</v>
      </c>
      <c r="O82" s="7"/>
      <c r="P82" s="7"/>
      <c r="Q82" s="23"/>
      <c r="R82" s="23"/>
      <c r="S82" s="32">
        <f t="shared" si="24"/>
        <v>1</v>
      </c>
      <c r="T82" s="47" t="str">
        <f t="shared" si="25"/>
        <v>Southbound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11:53:26-700',mode:absolute,to:'2017-01-01 14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2" s="49" t="str">
        <f t="shared" si="27"/>
        <v>N</v>
      </c>
      <c r="X82" s="173">
        <f t="shared" si="28"/>
        <v>1</v>
      </c>
      <c r="Y82" s="64">
        <f t="shared" si="29"/>
        <v>23.297499999999999</v>
      </c>
      <c r="Z82" s="64">
        <f t="shared" si="30"/>
        <v>1.4999999999999999E-2</v>
      </c>
      <c r="AA82" s="64">
        <f t="shared" si="31"/>
        <v>23.282499999999999</v>
      </c>
      <c r="AB82" s="61" t="e">
        <f>VLOOKUP(A82,Enforcements!$C$7:$K$19,8,0)</f>
        <v>#N/A</v>
      </c>
      <c r="AC82" s="57" t="e">
        <f>VLOOKUP(A82,Enforcements!$C$7:$E$19,3,0)</f>
        <v>#N/A</v>
      </c>
      <c r="AD82" s="58" t="str">
        <f t="shared" si="32"/>
        <v>0170-01</v>
      </c>
      <c r="AE82" s="87" t="str">
        <f t="shared" si="33"/>
        <v>aws s3 cp s3://rtdc.mdm.uploadarchive.raw/RTDC4013/ "%USERPROFILE%\AppData\Local\Temp\OnboardLogs"\RTDC4013\2017-01-01 --exclude "*" --recursive --include "*20170101*" &amp; "%USERPROFILE%\Documents\GitHub\mrs-test-scripts\Headless Mode &amp; Sideloading\WalkAndUnGZ.bat" "%USERPROFILE%\AppData\Local\Temp\OnboardLogs"\RTDC4013\2017-01-01 &amp; 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</v>
      </c>
      <c r="AF82" s="84" t="str">
        <f t="shared" si="34"/>
        <v>"C:\Program Files (x86)\AstroGrep\AstroGrep.exe" /spath="%USERPROFILE%\AppData\Local\Temp\OnboardLogs" /stypes="app*4013*20170101*" /stext=" 20:.+((SYSTEM_STATE.+slice.+state.+changed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8" t="str">
        <f t="shared" si="36"/>
        <v>"%USERPROFILE%\Documents\GitHub\eaglep3\Utilities\RefineRTDCRunTimes.py" --tripid 170-01 --locoid 4013 --swversion DE.1.0.8.0 --startMP 204:232975 --initTime 2017-01-01T12:53:26 --startdatetime 2017-01-01T13:11:37 --delay 1 --endMP 204:150 --enddatetime 2017-01-01T13:50:17 --enforcementcount 0 &gt;&gt;C:\Users\stu\Documents\GitHub\eaglep3-reporting\EC\2017-01-01-refined-times.txt</v>
      </c>
      <c r="AI82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{"issue":{"subject":"","project_id":79,"tracker_id":40,"status_id":1,"priority_id":2,"assigned_to_id":23,"start_date":"2017-01-01","description":"","custom_fields":[{"id":1,"name":"Subdivision","value":"EC"},{"id":4,"name":"Milepost","value":"0.015"},{"id":17,"name":"Train ID","value":"170-01"},{"id":16,"name":"Locomotive ID","value":"4013"},{"id":130,"name":"Impact","value":""},{"id":150,"name":"Time of Event (Mountain Time)","value":"13:50:17"},{"id":151,"name":"Denver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38"/>
        <v>start /low /b %USERPROFILE%\Documents\GitHub\eaglep3\Utilities\DownloadLogsFromS3.py --loco 4013 --day 2017-01-01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568</v>
      </c>
      <c r="B83" s="7">
        <v>4002</v>
      </c>
      <c r="C83" s="22" t="s">
        <v>205</v>
      </c>
      <c r="D83" s="22" t="s">
        <v>329</v>
      </c>
      <c r="E83" s="13">
        <v>42736.517685185187</v>
      </c>
      <c r="F83" s="13">
        <v>42736.521018518521</v>
      </c>
      <c r="G83" s="7">
        <v>1</v>
      </c>
      <c r="H83" s="22" t="s">
        <v>294</v>
      </c>
      <c r="I83" s="13">
        <v>42736.549039351848</v>
      </c>
      <c r="J83" s="7">
        <v>0</v>
      </c>
      <c r="K83" s="105" t="str">
        <f t="shared" si="21"/>
        <v>4001/4002</v>
      </c>
      <c r="L83" s="22" t="str">
        <f>VLOOKUP(A83,'Trips&amp;Operators'!$C$1:$G$99999,5,FALSE)</f>
        <v>KILLION DAVID</v>
      </c>
      <c r="M83" s="6">
        <f t="shared" si="22"/>
        <v>2.8020833327900618E-2</v>
      </c>
      <c r="N83" s="7">
        <f t="shared" si="23"/>
        <v>40.34999999217689</v>
      </c>
      <c r="O83" s="7"/>
      <c r="P83" s="7"/>
      <c r="Q83" s="23"/>
      <c r="R83" s="23"/>
      <c r="S83" s="32">
        <f t="shared" si="24"/>
        <v>1</v>
      </c>
      <c r="T83" s="47" t="str">
        <f t="shared" si="25"/>
        <v>NorthBound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11:25:28-700',mode:absolute,to:'2017-01-01 14:10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3" s="49" t="str">
        <f t="shared" si="27"/>
        <v>N</v>
      </c>
      <c r="X83" s="173">
        <f t="shared" si="28"/>
        <v>1</v>
      </c>
      <c r="Y83" s="64">
        <f t="shared" si="29"/>
        <v>4.4400000000000002E-2</v>
      </c>
      <c r="Z83" s="64">
        <f t="shared" si="30"/>
        <v>23.331199999999999</v>
      </c>
      <c r="AA83" s="64">
        <f t="shared" si="31"/>
        <v>23.286799999999999</v>
      </c>
      <c r="AB83" s="61" t="e">
        <f>VLOOKUP(A83,Enforcements!$C$7:$K$19,8,0)</f>
        <v>#N/A</v>
      </c>
      <c r="AC83" s="57" t="e">
        <f>VLOOKUP(A83,Enforcements!$C$7:$E$19,3,0)</f>
        <v>#N/A</v>
      </c>
      <c r="AD83" s="58" t="str">
        <f t="shared" si="32"/>
        <v>0171-01</v>
      </c>
      <c r="AE83" s="87" t="str">
        <f t="shared" si="33"/>
        <v>aws s3 cp s3://rtdc.mdm.uploadarchive.raw/RTDC4002/ "%USERPROFILE%\AppData\Local\Temp\OnboardLogs"\RTDC4002\2017-01-01 --exclude "*" --recursive --include "*20170101*" &amp; "%USERPROFILE%\Documents\GitHub\mrs-test-scripts\Headless Mode &amp; Sideloading\WalkAndUnGZ.bat" "%USERPROFILE%\AppData\Local\Temp\OnboardLogs"\RTDC4002\2017-01-01 &amp; aws s3 cp s3://rtdc.mdm.uploadarchive.raw/RTDC4002/ "%USERPROFILE%\AppData\Local\Temp\OnboardLogs"\RTDC4002\2017-01-02 --exclude "*" --recursive --include "*20170102*" &amp; "%USERPROFILE%\Documents\GitHub\mrs-test-scripts\Headless Mode &amp; Sideloading\WalkAndUnGZ.bat" "%USERPROFILE%\AppData\Local\Temp\OnboardLogs"\RTDC4002\2017-01-02</v>
      </c>
      <c r="AF83" s="84" t="str">
        <f t="shared" si="34"/>
        <v>"C:\Program Files (x86)\AstroGrep\AstroGrep.exe" /spath="%USERPROFILE%\AppData\Local\Temp\OnboardLogs" /stypes="app*4002*20170101*" /stext=" 20:.+((SYSTEM_STATE.+slice.+state.+changed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8" t="str">
        <f t="shared" si="36"/>
        <v>"%USERPROFILE%\Documents\GitHub\eaglep3\Utilities\RefineRTDCRunTimes.py" --tripid 171-01 --locoid 4002 --swversion DE.1.0.8.0 --startMP 204:444 --initTime 2017-01-01T12:25:28 --startdatetime 2017-01-01T12:30:16 --delay 1 --endMP 204:233312 --enddatetime 2017-01-01T13:10:37 --enforcementcount 0 &gt;&gt;C:\Users\stu\Documents\GitHub\eaglep3-reporting\EC\2017-01-01-refined-times.txt</v>
      </c>
      <c r="AI83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{"issue":{"subject":"","project_id":79,"tracker_id":40,"status_id":1,"priority_id":2,"assigned_to_id":23,"start_date":"2017-01-01","description":"","custom_fields":[{"id":1,"name":"Subdivision","value":"EC"},{"id":4,"name":"Milepost","value":"23.3312"},{"id":17,"name":"Train ID","value":"171-01"},{"id":16,"name":"Locomotive ID","value":"4002"},{"id":130,"name":"Impact","value":""},{"id":150,"name":"Time of Event (Mountain Time)","value":"13:10:37"},{"id":151,"name":"Denver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38"/>
        <v>start /low /b %USERPROFILE%\Documents\GitHub\eaglep3\Utilities\DownloadLogsFromS3.py --loco 4002 --day 2017-01-01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578</v>
      </c>
      <c r="B84" s="7">
        <v>4001</v>
      </c>
      <c r="C84" s="22" t="s">
        <v>205</v>
      </c>
      <c r="D84" s="22" t="s">
        <v>333</v>
      </c>
      <c r="E84" s="13">
        <v>42736.554293981484</v>
      </c>
      <c r="F84" s="13">
        <v>42736.559884259259</v>
      </c>
      <c r="G84" s="7">
        <v>1</v>
      </c>
      <c r="H84" s="22" t="s">
        <v>211</v>
      </c>
      <c r="I84" s="13">
        <v>42736.587465277778</v>
      </c>
      <c r="J84" s="7">
        <v>0</v>
      </c>
      <c r="K84" s="105" t="str">
        <f t="shared" si="21"/>
        <v>4001/4002</v>
      </c>
      <c r="L84" s="22" t="str">
        <f>VLOOKUP(A84,'Trips&amp;Operators'!$C$1:$G$99999,5,FALSE)</f>
        <v>KILLION DAVID</v>
      </c>
      <c r="M84" s="6">
        <f t="shared" si="22"/>
        <v>2.7581018519413192E-2</v>
      </c>
      <c r="N84" s="7">
        <f t="shared" si="23"/>
        <v>39.716666667954996</v>
      </c>
      <c r="O84" s="7"/>
      <c r="P84" s="7"/>
      <c r="Q84" s="23"/>
      <c r="R84" s="23"/>
      <c r="S84" s="32">
        <f t="shared" si="24"/>
        <v>1</v>
      </c>
      <c r="T84" s="47" t="str">
        <f t="shared" si="25"/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12:18:11-700',mode:absolute,to:'2017-01-01 15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4" s="49" t="str">
        <f t="shared" si="27"/>
        <v>N</v>
      </c>
      <c r="X84" s="173">
        <f t="shared" si="28"/>
        <v>1</v>
      </c>
      <c r="Y84" s="64">
        <f t="shared" si="29"/>
        <v>23.298500000000001</v>
      </c>
      <c r="Z84" s="64">
        <f t="shared" si="30"/>
        <v>1.4999999999999999E-2</v>
      </c>
      <c r="AA84" s="64">
        <f t="shared" si="31"/>
        <v>23.2835</v>
      </c>
      <c r="AB84" s="61" t="e">
        <f>VLOOKUP(A84,Enforcements!$C$7:$K$19,8,0)</f>
        <v>#N/A</v>
      </c>
      <c r="AC84" s="57" t="e">
        <f>VLOOKUP(A84,Enforcements!$C$7:$E$19,3,0)</f>
        <v>#N/A</v>
      </c>
      <c r="AD84" s="58" t="str">
        <f t="shared" si="32"/>
        <v>0172-01</v>
      </c>
      <c r="AE84" s="87" t="str">
        <f t="shared" si="33"/>
        <v>aws s3 cp s3://rtdc.mdm.uploadarchive.raw/RTDC4001/ "%USERPROFILE%\AppData\Local\Temp\OnboardLogs"\RTDC4001\2017-01-01 --exclude "*" --recursive --include "*20170101*" &amp; "%USERPROFILE%\Documents\GitHub\mrs-test-scripts\Headless Mode &amp; Sideloading\WalkAndUnGZ.bat" "%USERPROFILE%\AppData\Local\Temp\OnboardLogs"\RTDC4001\2017-01-01 &amp; aws s3 cp s3://rtdc.mdm.uploadarchive.raw/RTDC4001/ "%USERPROFILE%\AppData\Local\Temp\OnboardLogs"\RTDC4001\2017-01-02 --exclude "*" --recursive --include "*20170102*" &amp; "%USERPROFILE%\Documents\GitHub\mrs-test-scripts\Headless Mode &amp; Sideloading\WalkAndUnGZ.bat" "%USERPROFILE%\AppData\Local\Temp\OnboardLogs"\RTDC4001\2017-01-02</v>
      </c>
      <c r="AF84" s="84" t="str">
        <f t="shared" si="34"/>
        <v>"C:\Program Files (x86)\AstroGrep\AstroGrep.exe" /spath="%USERPROFILE%\AppData\Local\Temp\OnboardLogs" /stypes="app*4001*20170101*" /stext=" 21:.+((SYSTEM_STATE.+slice.+state.+changed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8" t="str">
        <f t="shared" si="36"/>
        <v>"%USERPROFILE%\Documents\GitHub\eaglep3\Utilities\RefineRTDCRunTimes.py" --tripid 172-01 --locoid 4001 --swversion DE.1.0.8.0 --startMP 204:232985 --initTime 2017-01-01T13:18:11 --startdatetime 2017-01-01T13:26:14 --delay 1 --endMP 204:150 --enddatetime 2017-01-01T14:05:57 --enforcementcount 0 &gt;&gt;C:\Users\stu\Documents\GitHub\eaglep3-reporting\EC\2017-01-01-refined-times.txt</v>
      </c>
      <c r="AI84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{"issue":{"subject":"","project_id":79,"tracker_id":40,"status_id":1,"priority_id":2,"assigned_to_id":23,"start_date":"2017-01-01","description":"","custom_fields":[{"id":1,"name":"Subdivision","value":"EC"},{"id":4,"name":"Milepost","value":"0.015"},{"id":17,"name":"Train ID","value":"172-01"},{"id":16,"name":"Locomotive ID","value":"4001"},{"id":130,"name":"Impact","value":""},{"id":150,"name":"Time of Event (Mountain Time)","value":"14:05:57"},{"id":151,"name":"Denver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38"/>
        <v>start /low /b %USERPROFILE%\Documents\GitHub\eaglep3\Utilities\DownloadLogsFromS3.py --loco 4001 --day 2017-01-01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573</v>
      </c>
      <c r="B85" s="7">
        <v>4042</v>
      </c>
      <c r="C85" s="22" t="s">
        <v>205</v>
      </c>
      <c r="D85" s="22" t="s">
        <v>228</v>
      </c>
      <c r="E85" s="13">
        <v>42736.526678240742</v>
      </c>
      <c r="F85" s="13">
        <v>42736.531608796293</v>
      </c>
      <c r="G85" s="7">
        <v>1</v>
      </c>
      <c r="H85" s="22" t="s">
        <v>356</v>
      </c>
      <c r="I85" s="13">
        <v>42736.557152777779</v>
      </c>
      <c r="J85" s="7">
        <v>0</v>
      </c>
      <c r="K85" s="105" t="str">
        <f t="shared" si="21"/>
        <v>4041/4042</v>
      </c>
      <c r="L85" s="22" t="str">
        <f>VLOOKUP(A85,'Trips&amp;Operators'!$C$1:$G$99999,5,FALSE)</f>
        <v>STEWART MICHAEL</v>
      </c>
      <c r="M85" s="6">
        <f t="shared" si="22"/>
        <v>2.5543981486407574E-2</v>
      </c>
      <c r="N85" s="7">
        <f t="shared" si="23"/>
        <v>36.783333340426907</v>
      </c>
      <c r="O85" s="7"/>
      <c r="P85" s="7"/>
      <c r="Q85" s="23"/>
      <c r="R85" s="23"/>
      <c r="S85" s="32">
        <f t="shared" si="24"/>
        <v>1</v>
      </c>
      <c r="T85" s="47" t="str">
        <f t="shared" si="25"/>
        <v>NorthBound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11:38:25-700',mode:absolute,to:'2017-01-01 14:22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5" s="49" t="str">
        <f t="shared" si="27"/>
        <v>N</v>
      </c>
      <c r="X85" s="173">
        <f t="shared" si="28"/>
        <v>1</v>
      </c>
      <c r="Y85" s="64">
        <f t="shared" si="29"/>
        <v>4.5499999999999999E-2</v>
      </c>
      <c r="Z85" s="64">
        <f t="shared" si="30"/>
        <v>23.3309</v>
      </c>
      <c r="AA85" s="64">
        <f t="shared" si="31"/>
        <v>23.285399999999999</v>
      </c>
      <c r="AB85" s="61" t="e">
        <f>VLOOKUP(A85,Enforcements!$C$7:$K$19,8,0)</f>
        <v>#N/A</v>
      </c>
      <c r="AC85" s="57" t="e">
        <f>VLOOKUP(A85,Enforcements!$C$7:$E$19,3,0)</f>
        <v>#N/A</v>
      </c>
      <c r="AD85" s="58" t="str">
        <f t="shared" si="32"/>
        <v>0173-01</v>
      </c>
      <c r="AE85" s="87" t="str">
        <f t="shared" si="33"/>
        <v>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 &amp; 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</v>
      </c>
      <c r="AF85" s="84" t="str">
        <f t="shared" si="34"/>
        <v>"C:\Program Files (x86)\AstroGrep\AstroGrep.exe" /spath="%USERPROFILE%\AppData\Local\Temp\OnboardLogs" /stypes="app*4042*20170101*" /stext=" 20:.+((SYSTEM_STATE.+slice.+state.+changed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8" t="str">
        <f t="shared" si="36"/>
        <v>"%USERPROFILE%\Documents\GitHub\eaglep3\Utilities\RefineRTDCRunTimes.py" --tripid 173-01 --locoid 4042 --swversion DE.1.0.8.0 --startMP 204:455 --initTime 2017-01-01T12:38:25 --startdatetime 2017-01-01T12:45:31 --delay 1 --endMP 204:233309 --enddatetime 2017-01-01T13:22:18 --enforcementcount 0 &gt;&gt;C:\Users\stu\Documents\GitHub\eaglep3-reporting\EC\2017-01-01-refined-times.txt</v>
      </c>
      <c r="AI85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{"issue":{"subject":"","project_id":79,"tracker_id":40,"status_id":1,"priority_id":2,"assigned_to_id":23,"start_date":"2017-01-01","description":"","custom_fields":[{"id":1,"name":"Subdivision","value":"EC"},{"id":4,"name":"Milepost","value":"23.3309"},{"id":17,"name":"Train ID","value":"173-01"},{"id":16,"name":"Locomotive ID","value":"4042"},{"id":130,"name":"Impact","value":""},{"id":150,"name":"Time of Event (Mountain Time)","value":"13:22:18"},{"id":151,"name":"Denver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38"/>
        <v>start /low /b %USERPROFILE%\Documents\GitHub\eaglep3\Utilities\DownloadLogsFromS3.py --loco 4042 --day 2017-01-01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4" t="s">
        <v>580</v>
      </c>
      <c r="B86" s="7">
        <v>4041</v>
      </c>
      <c r="C86" s="22" t="s">
        <v>205</v>
      </c>
      <c r="D86" s="22" t="s">
        <v>256</v>
      </c>
      <c r="E86" s="13">
        <v>42736.56523148148</v>
      </c>
      <c r="F86" s="13">
        <v>42736.570335648146</v>
      </c>
      <c r="G86" s="7">
        <v>7</v>
      </c>
      <c r="H86" s="22" t="s">
        <v>253</v>
      </c>
      <c r="I86" s="13">
        <v>42736.59820601852</v>
      </c>
      <c r="J86" s="7">
        <v>0</v>
      </c>
      <c r="K86" s="105" t="str">
        <f t="shared" si="21"/>
        <v>4041/4042</v>
      </c>
      <c r="L86" s="22" t="str">
        <f>VLOOKUP(A86,'Trips&amp;Operators'!$C$1:$G$99999,5,FALSE)</f>
        <v>STEWART MICHAEL</v>
      </c>
      <c r="M86" s="6">
        <f t="shared" si="22"/>
        <v>2.7870370373420883E-2</v>
      </c>
      <c r="N86" s="7">
        <f t="shared" si="23"/>
        <v>40.133333337726071</v>
      </c>
      <c r="O86" s="7"/>
      <c r="P86" s="7"/>
      <c r="Q86" s="23"/>
      <c r="R86" s="23"/>
      <c r="S86" s="32">
        <f t="shared" si="24"/>
        <v>1</v>
      </c>
      <c r="T86" s="47" t="str">
        <f t="shared" si="25"/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12:33:56-700',mode:absolute,to:'2017-01-01 15:21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6" s="49" t="str">
        <f t="shared" si="27"/>
        <v>N</v>
      </c>
      <c r="X86" s="173">
        <f t="shared" si="28"/>
        <v>1</v>
      </c>
      <c r="Y86" s="64">
        <f t="shared" si="29"/>
        <v>23.297699999999999</v>
      </c>
      <c r="Z86" s="64">
        <f t="shared" si="30"/>
        <v>1.3899999999999999E-2</v>
      </c>
      <c r="AA86" s="64">
        <f t="shared" si="31"/>
        <v>23.283799999999999</v>
      </c>
      <c r="AB86" s="61" t="e">
        <f>VLOOKUP(A86,Enforcements!$C$7:$K$19,8,0)</f>
        <v>#N/A</v>
      </c>
      <c r="AC86" s="57" t="e">
        <f>VLOOKUP(A86,Enforcements!$C$7:$E$19,3,0)</f>
        <v>#N/A</v>
      </c>
      <c r="AD86" s="58" t="str">
        <f t="shared" si="32"/>
        <v>0174-01</v>
      </c>
      <c r="AE86" s="87" t="str">
        <f t="shared" si="33"/>
        <v>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 &amp; 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</v>
      </c>
      <c r="AF86" s="84" t="str">
        <f t="shared" si="34"/>
        <v>"C:\Program Files (x86)\AstroGrep\AstroGrep.exe" /spath="%USERPROFILE%\AppData\Local\Temp\OnboardLogs" /stypes="app*4041*20170101*" /stext=" 21:.+((SYSTEM_STATE.+slice.+state.+changed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8" t="str">
        <f t="shared" si="36"/>
        <v>"%USERPROFILE%\Documents\GitHub\eaglep3\Utilities\RefineRTDCRunTimes.py" --tripid 174-01 --locoid 4041 --swversion DE.1.0.8.0 --startMP 204:232977 --initTime 2017-01-01T13:33:56 --startdatetime 2017-01-01T13:41:17 --delay 7 --endMP 204:139 --enddatetime 2017-01-01T14:21:25 --enforcementcount 0 &gt;&gt;C:\Users\stu\Documents\GitHub\eaglep3-reporting\EC\2017-01-01-refined-times.txt</v>
      </c>
      <c r="AI86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{"issue":{"subject":"","project_id":79,"tracker_id":40,"status_id":1,"priority_id":2,"assigned_to_id":23,"start_date":"2017-01-01","description":"","custom_fields":[{"id":1,"name":"Subdivision","value":"EC"},{"id":4,"name":"Milepost","value":"0.0139"},{"id":17,"name":"Train ID","value":"174-01"},{"id":16,"name":"Locomotive ID","value":"4041"},{"id":130,"name":"Impact","value":""},{"id":150,"name":"Time of Event (Mountain Time)","value":"14:21:25"},{"id":151,"name":"Denver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38"/>
        <v>start /low /b %USERPROFILE%\Documents\GitHub\eaglep3\Utilities\DownloadLogsFromS3.py --loco 4041 --day 2017-01-01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4" t="s">
        <v>576</v>
      </c>
      <c r="B87" s="7">
        <v>4009</v>
      </c>
      <c r="C87" s="22" t="s">
        <v>205</v>
      </c>
      <c r="D87" s="22" t="s">
        <v>712</v>
      </c>
      <c r="E87" s="13">
        <v>42736.539606481485</v>
      </c>
      <c r="F87" s="13">
        <v>42736.54215277778</v>
      </c>
      <c r="G87" s="7">
        <v>1</v>
      </c>
      <c r="H87" s="22" t="s">
        <v>264</v>
      </c>
      <c r="I87" s="13">
        <v>42736.569120370368</v>
      </c>
      <c r="J87" s="7">
        <v>0</v>
      </c>
      <c r="K87" s="105" t="str">
        <f t="shared" si="21"/>
        <v>4009/4010</v>
      </c>
      <c r="L87" s="22" t="str">
        <f>VLOOKUP(A87,'Trips&amp;Operators'!$C$1:$G$99999,5,FALSE)</f>
        <v>DAVIS MICHAEL</v>
      </c>
      <c r="M87" s="6">
        <f t="shared" si="22"/>
        <v>2.696759258833481E-2</v>
      </c>
      <c r="N87" s="7">
        <f t="shared" si="23"/>
        <v>38.833333327202126</v>
      </c>
      <c r="O87" s="7"/>
      <c r="P87" s="7"/>
      <c r="Q87" s="23"/>
      <c r="R87" s="23"/>
      <c r="S87" s="32">
        <f t="shared" si="24"/>
        <v>1</v>
      </c>
      <c r="T87" s="47" t="str">
        <f t="shared" si="25"/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11:57:02-700',mode:absolute,to:'2017-01-01 14:39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7" s="49" t="str">
        <f t="shared" si="27"/>
        <v>N</v>
      </c>
      <c r="X87" s="173">
        <f t="shared" si="28"/>
        <v>1</v>
      </c>
      <c r="Y87" s="64">
        <f t="shared" si="29"/>
        <v>4.7500000000000001E-2</v>
      </c>
      <c r="Z87" s="64">
        <f t="shared" si="30"/>
        <v>23.328900000000001</v>
      </c>
      <c r="AA87" s="64">
        <f t="shared" si="31"/>
        <v>23.281400000000001</v>
      </c>
      <c r="AB87" s="61" t="e">
        <f>VLOOKUP(A87,Enforcements!$C$7:$K$19,8,0)</f>
        <v>#N/A</v>
      </c>
      <c r="AC87" s="57" t="e">
        <f>VLOOKUP(A87,Enforcements!$C$7:$E$19,3,0)</f>
        <v>#N/A</v>
      </c>
      <c r="AD87" s="58" t="str">
        <f t="shared" si="32"/>
        <v>0175-01</v>
      </c>
      <c r="AE87" s="87" t="str">
        <f t="shared" si="33"/>
        <v>aws s3 cp s3://rtdc.mdm.uploadarchive.raw/RTDC4009/ "%USERPROFILE%\AppData\Local\Temp\OnboardLogs"\RTDC4009\2017-01-01 --exclude "*" --recursive --include "*20170101*" &amp; "%USERPROFILE%\Documents\GitHub\mrs-test-scripts\Headless Mode &amp; Sideloading\WalkAndUnGZ.bat" "%USERPROFILE%\AppData\Local\Temp\OnboardLogs"\RTDC4009\2017-01-01 &amp; aws s3 cp s3://rtdc.mdm.uploadarchive.raw/RTDC4009/ "%USERPROFILE%\AppData\Local\Temp\OnboardLogs"\RTDC4009\2017-01-02 --exclude "*" --recursive --include "*20170102*" &amp; "%USERPROFILE%\Documents\GitHub\mrs-test-scripts\Headless Mode &amp; Sideloading\WalkAndUnGZ.bat" "%USERPROFILE%\AppData\Local\Temp\OnboardLogs"\RTDC4009\2017-01-02</v>
      </c>
      <c r="AF87" s="84" t="str">
        <f t="shared" si="34"/>
        <v>"C:\Program Files (x86)\AstroGrep\AstroGrep.exe" /spath="%USERPROFILE%\AppData\Local\Temp\OnboardLogs" /stypes="app*4009*20170101*" /stext=" 20:.+((SYSTEM_STATE.+slice.+state.+changed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8" t="str">
        <f t="shared" si="36"/>
        <v>"%USERPROFILE%\Documents\GitHub\eaglep3\Utilities\RefineRTDCRunTimes.py" --tripid 175-01 --locoid 4009 --swversion DE.1.0.8.0 --startMP 204:475 --initTime 2017-01-01T12:57:02 --startdatetime 2017-01-01T13:00:42 --delay 1 --endMP 204:233289 --enddatetime 2017-01-01T13:39:32 --enforcementcount 0 &gt;&gt;C:\Users\stu\Documents\GitHub\eaglep3-reporting\EC\2017-01-01-refined-times.txt</v>
      </c>
      <c r="AI87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{"issue":{"subject":"","project_id":79,"tracker_id":40,"status_id":1,"priority_id":2,"assigned_to_id":23,"start_date":"2017-01-01","description":"","custom_fields":[{"id":1,"name":"Subdivision","value":"EC"},{"id":4,"name":"Milepost","value":"23.3289"},{"id":17,"name":"Train ID","value":"175-01"},{"id":16,"name":"Locomotive ID","value":"4009"},{"id":130,"name":"Impact","value":""},{"id":150,"name":"Time of Event (Mountain Time)","value":"13:39:32"},{"id":151,"name":"Denver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38"/>
        <v>start /low /b %USERPROFILE%\Documents\GitHub\eaglep3\Utilities\DownloadLogsFromS3.py --loco 4009 --day 2017-01-01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583</v>
      </c>
      <c r="B88" s="7">
        <v>4010</v>
      </c>
      <c r="C88" s="22" t="s">
        <v>205</v>
      </c>
      <c r="D88" s="22" t="s">
        <v>322</v>
      </c>
      <c r="E88" s="13">
        <v>42736.57708333333</v>
      </c>
      <c r="F88" s="13">
        <v>42736.581296296295</v>
      </c>
      <c r="G88" s="7">
        <v>1</v>
      </c>
      <c r="H88" s="22" t="s">
        <v>233</v>
      </c>
      <c r="I88" s="13">
        <v>42736.609212962961</v>
      </c>
      <c r="J88" s="7">
        <v>0</v>
      </c>
      <c r="K88" s="105" t="str">
        <f t="shared" si="21"/>
        <v>4009/4010</v>
      </c>
      <c r="L88" s="22" t="str">
        <f>VLOOKUP(A88,'Trips&amp;Operators'!$C$1:$G$99999,5,FALSE)</f>
        <v>DAVIS MICHAEL</v>
      </c>
      <c r="M88" s="6">
        <f t="shared" si="22"/>
        <v>2.7916666665987577E-2</v>
      </c>
      <c r="N88" s="7">
        <f t="shared" si="23"/>
        <v>40.199999999022111</v>
      </c>
      <c r="O88" s="7"/>
      <c r="P88" s="7"/>
      <c r="Q88" s="23"/>
      <c r="R88" s="23"/>
      <c r="S88" s="32">
        <f t="shared" si="24"/>
        <v>1</v>
      </c>
      <c r="T88" s="47" t="str">
        <f t="shared" si="25"/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12:51:00-700',mode:absolute,to:'2017-01-01 15:37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8" s="49" t="str">
        <f t="shared" si="27"/>
        <v>N</v>
      </c>
      <c r="X88" s="173">
        <f t="shared" si="28"/>
        <v>1</v>
      </c>
      <c r="Y88" s="64">
        <f t="shared" si="29"/>
        <v>23.297599999999999</v>
      </c>
      <c r="Z88" s="64">
        <f t="shared" si="30"/>
        <v>1.4500000000000001E-2</v>
      </c>
      <c r="AA88" s="64">
        <f t="shared" si="31"/>
        <v>23.283099999999997</v>
      </c>
      <c r="AB88" s="61" t="e">
        <f>VLOOKUP(A88,Enforcements!$C$7:$K$19,8,0)</f>
        <v>#N/A</v>
      </c>
      <c r="AC88" s="57" t="e">
        <f>VLOOKUP(A88,Enforcements!$C$7:$E$19,3,0)</f>
        <v>#N/A</v>
      </c>
      <c r="AD88" s="58" t="str">
        <f t="shared" si="32"/>
        <v>0176-01</v>
      </c>
      <c r="AE88" s="87" t="str">
        <f t="shared" si="33"/>
        <v>aws s3 cp s3://rtdc.mdm.uploadarchive.raw/RTDC4010/ "%USERPROFILE%\AppData\Local\Temp\OnboardLogs"\RTDC4010\2017-01-01 --exclude "*" --recursive --include "*20170101*" &amp; "%USERPROFILE%\Documents\GitHub\mrs-test-scripts\Headless Mode &amp; Sideloading\WalkAndUnGZ.bat" "%USERPROFILE%\AppData\Local\Temp\OnboardLogs"\RTDC4010\2017-01-01 &amp; aws s3 cp s3://rtdc.mdm.uploadarchive.raw/RTDC4010/ "%USERPROFILE%\AppData\Local\Temp\OnboardLogs"\RTDC4010\2017-01-02 --exclude "*" --recursive --include "*20170102*" &amp; "%USERPROFILE%\Documents\GitHub\mrs-test-scripts\Headless Mode &amp; Sideloading\WalkAndUnGZ.bat" "%USERPROFILE%\AppData\Local\Temp\OnboardLogs"\RTDC4010\2017-01-02</v>
      </c>
      <c r="AF88" s="84" t="str">
        <f t="shared" si="34"/>
        <v>"C:\Program Files (x86)\AstroGrep\AstroGrep.exe" /spath="%USERPROFILE%\AppData\Local\Temp\OnboardLogs" /stypes="app*4010*20170101*" /stext=" 21:.+((SYSTEM_STATE.+slice.+state.+changed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8" t="str">
        <f t="shared" si="36"/>
        <v>"%USERPROFILE%\Documents\GitHub\eaglep3\Utilities\RefineRTDCRunTimes.py" --tripid 176-01 --locoid 4010 --swversion DE.1.0.8.0 --startMP 204:232976 --initTime 2017-01-01T13:51:00 --startdatetime 2017-01-01T13:57:04 --delay 1 --endMP 204:145 --enddatetime 2017-01-01T14:37:16 --enforcementcount 0 &gt;&gt;C:\Users\stu\Documents\GitHub\eaglep3-reporting\EC\2017-01-01-refined-times.txt</v>
      </c>
      <c r="AI88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{"issue":{"subject":"","project_id":79,"tracker_id":40,"status_id":1,"priority_id":2,"assigned_to_id":23,"start_date":"2017-01-01","description":"","custom_fields":[{"id":1,"name":"Subdivision","value":"EC"},{"id":4,"name":"Milepost","value":"0.0145"},{"id":17,"name":"Train ID","value":"176-01"},{"id":16,"name":"Locomotive ID","value":"4010"},{"id":130,"name":"Impact","value":""},{"id":150,"name":"Time of Event (Mountain Time)","value":"14:37:16"},{"id":151,"name":"Denver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38"/>
        <v>start /low /b %USERPROFILE%\Documents\GitHub\eaglep3\Utilities\DownloadLogsFromS3.py --loco 4010 --day 2017-01-01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449</v>
      </c>
      <c r="B89" s="7">
        <v>4022</v>
      </c>
      <c r="C89" s="22" t="s">
        <v>205</v>
      </c>
      <c r="D89" s="22" t="s">
        <v>393</v>
      </c>
      <c r="E89" s="13">
        <v>42736.547442129631</v>
      </c>
      <c r="F89" s="13">
        <v>42736.552673611113</v>
      </c>
      <c r="G89" s="7">
        <v>1</v>
      </c>
      <c r="H89" s="22" t="s">
        <v>713</v>
      </c>
      <c r="I89" s="13">
        <v>42736.578009259261</v>
      </c>
      <c r="J89" s="7">
        <v>0</v>
      </c>
      <c r="K89" s="105" t="str">
        <f t="shared" si="21"/>
        <v>4021/4022</v>
      </c>
      <c r="L89" s="22" t="str">
        <f>VLOOKUP(A89,'Trips&amp;Operators'!$C$1:$G$99999,5,FALSE)</f>
        <v>LEVIN SCOTT</v>
      </c>
      <c r="M89" s="6">
        <f t="shared" si="22"/>
        <v>2.5335648148029577E-2</v>
      </c>
      <c r="N89" s="7">
        <f t="shared" si="23"/>
        <v>36.483333333162591</v>
      </c>
      <c r="O89" s="7"/>
      <c r="P89" s="7"/>
      <c r="Q89" s="23"/>
      <c r="R89" s="23"/>
      <c r="S89" s="32">
        <f t="shared" si="24"/>
        <v>1</v>
      </c>
      <c r="T89" s="47" t="str">
        <f t="shared" si="25"/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12:08:19-700',mode:absolute,to:'2017-01-01 14:52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9" s="49" t="str">
        <f t="shared" si="27"/>
        <v>N</v>
      </c>
      <c r="X89" s="173">
        <f t="shared" si="28"/>
        <v>1</v>
      </c>
      <c r="Y89" s="64">
        <f t="shared" si="29"/>
        <v>4.4200000000000003E-2</v>
      </c>
      <c r="Z89" s="64">
        <f t="shared" si="30"/>
        <v>23.3337</v>
      </c>
      <c r="AA89" s="64">
        <f t="shared" si="31"/>
        <v>23.2895</v>
      </c>
      <c r="AB89" s="61" t="str">
        <f>VLOOKUP(A89,Enforcements!$C$7:$K$19,8,0)</f>
        <v>Bulletin (2)</v>
      </c>
      <c r="AC89" s="57" t="str">
        <f>VLOOKUP(A89,Enforcements!$C$7:$E$19,3,0)</f>
        <v>GRADE CROSSING</v>
      </c>
      <c r="AD89" s="58" t="str">
        <f t="shared" si="32"/>
        <v>0177-01</v>
      </c>
      <c r="AE89" s="87" t="str">
        <f t="shared" si="33"/>
        <v>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 &amp; aws s3 cp s3://rtdc.mdm.uploadarchive.raw/RTDC4022/ "%USERPROFILE%\AppData\Local\Temp\OnboardLogs"\RTDC4022\2017-01-02 --exclude "*" --recursive --include "*20170102*" &amp; "%USERPROFILE%\Documents\GitHub\mrs-test-scripts\Headless Mode &amp; Sideloading\WalkAndUnGZ.bat" "%USERPROFILE%\AppData\Local\Temp\OnboardLogs"\RTDC4022\2017-01-02</v>
      </c>
      <c r="AF89" s="84" t="str">
        <f t="shared" si="34"/>
        <v>"C:\Program Files (x86)\AstroGrep\AstroGrep.exe" /spath="%USERPROFILE%\AppData\Local\Temp\OnboardLogs" /stypes="app*4022*20170101*" /stext=" 20:.+((SYSTEM_STATE.+slice.+state.+changed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8" t="str">
        <f t="shared" si="36"/>
        <v>"%USERPROFILE%\Documents\GitHub\eaglep3\Utilities\RefineRTDCRunTimes.py" --tripid 177-01 --locoid 4022 --swversion DE.1.0.8.0 --startMP 204:442 --initTime 2017-01-01T13:08:19 --startdatetime 2017-01-01T13:15:51 --delay 1 --endMP 204:233337 --enddatetime 2017-01-01T13:52:20 --enforcementcount 0 &gt;&gt;C:\Users\stu\Documents\GitHub\eaglep3-reporting\EC\2017-01-01-refined-times.txt</v>
      </c>
      <c r="AI89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{"issue":{"subject":"","project_id":79,"tracker_id":40,"status_id":1,"priority_id":2,"assigned_to_id":23,"start_date":"2017-01-01","description":"","custom_fields":[{"id":1,"name":"Subdivision","value":"EC"},{"id":4,"name":"Milepost","value":"23.3337"},{"id":17,"name":"Train ID","value":"177-01"},{"id":16,"name":"Locomotive ID","value":"4022"},{"id":130,"name":"Impact","value":""},{"id":150,"name":"Time of Event (Mountain Time)","value":"13:52:20"},{"id":151,"name":"Denver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38"/>
        <v>start /low /b %USERPROFILE%\Documents\GitHub\eaglep3\Utilities\DownloadLogsFromS3.py --loco 4022 --day 2017-01-01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584</v>
      </c>
      <c r="B90" s="7">
        <v>4021</v>
      </c>
      <c r="C90" s="22" t="s">
        <v>205</v>
      </c>
      <c r="D90" s="22" t="s">
        <v>714</v>
      </c>
      <c r="E90" s="13">
        <v>42736.584918981483</v>
      </c>
      <c r="F90" s="13">
        <v>42736.590798611112</v>
      </c>
      <c r="G90" s="7">
        <v>1</v>
      </c>
      <c r="H90" s="22" t="s">
        <v>191</v>
      </c>
      <c r="I90" s="13">
        <v>42736.618263888886</v>
      </c>
      <c r="J90" s="7">
        <v>0</v>
      </c>
      <c r="K90" s="105" t="str">
        <f t="shared" si="21"/>
        <v>4021/4022</v>
      </c>
      <c r="L90" s="22" t="str">
        <f>VLOOKUP(A90,'Trips&amp;Operators'!$C$1:$G$99999,5,FALSE)</f>
        <v>LEVIN SCOTT</v>
      </c>
      <c r="M90" s="6">
        <f t="shared" si="22"/>
        <v>2.7465277773444541E-2</v>
      </c>
      <c r="N90" s="7">
        <f t="shared" si="23"/>
        <v>39.549999993760139</v>
      </c>
      <c r="O90" s="7"/>
      <c r="P90" s="7"/>
      <c r="Q90" s="23"/>
      <c r="R90" s="23"/>
      <c r="S90" s="32">
        <f t="shared" si="24"/>
        <v>1</v>
      </c>
      <c r="T90" s="47" t="str">
        <f t="shared" si="25"/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13:02:17-700',mode:absolute,to:'2017-01-01 15:50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0" s="49" t="str">
        <f t="shared" si="27"/>
        <v>N</v>
      </c>
      <c r="X90" s="173">
        <f t="shared" si="28"/>
        <v>1</v>
      </c>
      <c r="Y90" s="64">
        <f t="shared" si="29"/>
        <v>23.302800000000001</v>
      </c>
      <c r="Z90" s="64">
        <f t="shared" si="30"/>
        <v>1.49E-2</v>
      </c>
      <c r="AA90" s="64">
        <f t="shared" si="31"/>
        <v>23.2879</v>
      </c>
      <c r="AB90" s="61" t="e">
        <f>VLOOKUP(A90,Enforcements!$C$7:$K$19,8,0)</f>
        <v>#N/A</v>
      </c>
      <c r="AC90" s="57" t="e">
        <f>VLOOKUP(A90,Enforcements!$C$7:$E$19,3,0)</f>
        <v>#N/A</v>
      </c>
      <c r="AD90" s="58" t="str">
        <f t="shared" si="32"/>
        <v>0178-01</v>
      </c>
      <c r="AE90" s="87" t="str">
        <f t="shared" si="33"/>
        <v>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 &amp; 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</v>
      </c>
      <c r="AF90" s="84" t="str">
        <f t="shared" si="34"/>
        <v>"C:\Program Files (x86)\AstroGrep\AstroGrep.exe" /spath="%USERPROFILE%\AppData\Local\Temp\OnboardLogs" /stypes="app*4021*20170101*" /stext=" 21:.+((SYSTEM_STATE.+slice.+state.+changed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8" t="str">
        <f t="shared" si="36"/>
        <v>"%USERPROFILE%\Documents\GitHub\eaglep3\Utilities\RefineRTDCRunTimes.py" --tripid 178-01 --locoid 4021 --swversion DE.1.0.8.0 --startMP 204:233028 --initTime 2017-01-01T14:02:17 --startdatetime 2017-01-01T14:10:45 --delay 1 --endMP 204:149 --enddatetime 2017-01-01T14:50:18 --enforcementcount 0 &gt;&gt;C:\Users\stu\Documents\GitHub\eaglep3-reporting\EC\2017-01-01-refined-times.txt</v>
      </c>
      <c r="AI90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{"issue":{"subject":"","project_id":79,"tracker_id":40,"status_id":1,"priority_id":2,"assigned_to_id":23,"start_date":"2017-01-01","description":"","custom_fields":[{"id":1,"name":"Subdivision","value":"EC"},{"id":4,"name":"Milepost","value":"0.0149"},{"id":17,"name":"Train ID","value":"178-01"},{"id":16,"name":"Locomotive ID","value":"4021"},{"id":130,"name":"Impact","value":""},{"id":150,"name":"Time of Event (Mountain Time)","value":"14:50:18"},{"id":151,"name":"Denver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38"/>
        <v>start /low /b %USERPROFILE%\Documents\GitHub\eaglep3\Utilities\DownloadLogsFromS3.py --loco 4021 --day 2017-01-01</v>
      </c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579</v>
      </c>
      <c r="B91" s="7">
        <v>4007</v>
      </c>
      <c r="C91" s="22" t="s">
        <v>205</v>
      </c>
      <c r="D91" s="22" t="s">
        <v>715</v>
      </c>
      <c r="E91" s="13">
        <v>42736.559027777781</v>
      </c>
      <c r="F91" s="13">
        <v>42736.562685185185</v>
      </c>
      <c r="G91" s="7">
        <v>2</v>
      </c>
      <c r="H91" s="22" t="s">
        <v>352</v>
      </c>
      <c r="I91" s="13">
        <v>42736.588587962964</v>
      </c>
      <c r="J91" s="7">
        <v>0</v>
      </c>
      <c r="K91" s="105" t="str">
        <f t="shared" si="21"/>
        <v>4007/4008</v>
      </c>
      <c r="L91" s="22" t="str">
        <f>VLOOKUP(A91,'Trips&amp;Operators'!$C$1:$G$99999,5,FALSE)</f>
        <v>BRUDER RICHARD</v>
      </c>
      <c r="M91" s="6">
        <f t="shared" si="22"/>
        <v>2.5902777779265307E-2</v>
      </c>
      <c r="N91" s="7">
        <f t="shared" si="23"/>
        <v>37.300000002142042</v>
      </c>
      <c r="O91" s="7"/>
      <c r="P91" s="7"/>
      <c r="Q91" s="23"/>
      <c r="R91" s="23"/>
      <c r="S91" s="32">
        <f t="shared" si="24"/>
        <v>1</v>
      </c>
      <c r="T91" s="47" t="str">
        <f t="shared" si="25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12:25:00-700',mode:absolute,to:'2017-01-01 15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1" s="49" t="str">
        <f t="shared" si="27"/>
        <v>N</v>
      </c>
      <c r="X91" s="173">
        <f t="shared" si="28"/>
        <v>1</v>
      </c>
      <c r="Y91" s="64">
        <f t="shared" si="29"/>
        <v>4.1099999999999998E-2</v>
      </c>
      <c r="Z91" s="64">
        <f t="shared" si="30"/>
        <v>23.331</v>
      </c>
      <c r="AA91" s="64">
        <f t="shared" si="31"/>
        <v>23.289899999999999</v>
      </c>
      <c r="AB91" s="61" t="e">
        <f>VLOOKUP(A91,Enforcements!$C$7:$K$19,8,0)</f>
        <v>#N/A</v>
      </c>
      <c r="AC91" s="57" t="e">
        <f>VLOOKUP(A91,Enforcements!$C$7:$E$19,3,0)</f>
        <v>#N/A</v>
      </c>
      <c r="AD91" s="58" t="str">
        <f t="shared" si="32"/>
        <v>0179-01</v>
      </c>
      <c r="AE91" s="87" t="str">
        <f t="shared" si="33"/>
        <v>aws s3 cp s3://rtdc.mdm.uploadarchive.raw/RTDC4007/ "%USERPROFILE%\AppData\Local\Temp\OnboardLogs"\RTDC4007\2017-01-01 --exclude "*" --recursive --include "*20170101*" &amp; "%USERPROFILE%\Documents\GitHub\mrs-test-scripts\Headless Mode &amp; Sideloading\WalkAndUnGZ.bat" "%USERPROFILE%\AppData\Local\Temp\OnboardLogs"\RTDC4007\2017-01-01 &amp; 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</v>
      </c>
      <c r="AF91" s="84" t="str">
        <f t="shared" si="34"/>
        <v>"C:\Program Files (x86)\AstroGrep\AstroGrep.exe" /spath="%USERPROFILE%\AppData\Local\Temp\OnboardLogs" /stypes="app*4007*20170101*"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8" t="str">
        <f t="shared" si="36"/>
        <v>"%USERPROFILE%\Documents\GitHub\eaglep3\Utilities\RefineRTDCRunTimes.py" --tripid 179-01 --locoid 4007 --swversion DE.1.0.8.0 --startMP 204:411 --initTime 2017-01-01T13:25:00 --startdatetime 2017-01-01T13:30:16 --delay 2 --endMP 204:233310 --enddatetime 2017-01-01T14:07:34 --enforcementcount 0 &gt;&gt;C:\Users\stu\Documents\GitHub\eaglep3-reporting\EC\2017-01-01-refined-times.txt</v>
      </c>
      <c r="AI91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{"issue":{"subject":"","project_id":79,"tracker_id":40,"status_id":1,"priority_id":2,"assigned_to_id":23,"start_date":"2017-01-01","description":"","custom_fields":[{"id":1,"name":"Subdivision","value":"EC"},{"id":4,"name":"Milepost","value":"23.331"},{"id":17,"name":"Train ID","value":"179-01"},{"id":16,"name":"Locomotive ID","value":"4007"},{"id":130,"name":"Impact","value":""},{"id":150,"name":"Time of Event (Mountain Time)","value":"14:07:34"},{"id":151,"name":"Denver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38"/>
        <v>start /low /b %USERPROFILE%\Documents\GitHub\eaglep3\Utilities\DownloadLogsFromS3.py --loco 4007 --day 2017-01-01</v>
      </c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4" t="s">
        <v>587</v>
      </c>
      <c r="B92" s="7">
        <v>4008</v>
      </c>
      <c r="C92" s="22" t="s">
        <v>205</v>
      </c>
      <c r="D92" s="22" t="s">
        <v>716</v>
      </c>
      <c r="E92" s="13">
        <v>42736.596620370372</v>
      </c>
      <c r="F92" s="13">
        <v>42736.601689814815</v>
      </c>
      <c r="G92" s="7">
        <v>1</v>
      </c>
      <c r="H92" s="22" t="s">
        <v>211</v>
      </c>
      <c r="I92" s="13">
        <v>42736.629675925928</v>
      </c>
      <c r="J92" s="7">
        <v>0</v>
      </c>
      <c r="K92" s="105" t="str">
        <f t="shared" si="21"/>
        <v>4007/4008</v>
      </c>
      <c r="L92" s="22" t="str">
        <f>VLOOKUP(A92,'Trips&amp;Operators'!$C$1:$G$99999,5,FALSE)</f>
        <v>BRUDER RICHARD</v>
      </c>
      <c r="M92" s="6">
        <f t="shared" si="22"/>
        <v>2.7986111112113576E-2</v>
      </c>
      <c r="N92" s="7">
        <f t="shared" si="23"/>
        <v>40.30000000144355</v>
      </c>
      <c r="O92" s="7"/>
      <c r="P92" s="7"/>
      <c r="Q92" s="23"/>
      <c r="R92" s="23"/>
      <c r="S92" s="32">
        <f t="shared" si="24"/>
        <v>1</v>
      </c>
      <c r="T92" s="47" t="str">
        <f t="shared" si="25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13:19:08-700',mode:absolute,to:'2017-01-01 16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2" s="49" t="str">
        <f t="shared" si="27"/>
        <v>N</v>
      </c>
      <c r="X92" s="173">
        <f t="shared" si="28"/>
        <v>1</v>
      </c>
      <c r="Y92" s="64">
        <f t="shared" si="29"/>
        <v>23.298300000000001</v>
      </c>
      <c r="Z92" s="64">
        <f t="shared" si="30"/>
        <v>1.4999999999999999E-2</v>
      </c>
      <c r="AA92" s="64">
        <f t="shared" si="31"/>
        <v>23.283300000000001</v>
      </c>
      <c r="AB92" s="61" t="e">
        <f>VLOOKUP(A92,Enforcements!$C$7:$K$19,8,0)</f>
        <v>#N/A</v>
      </c>
      <c r="AC92" s="57" t="e">
        <f>VLOOKUP(A92,Enforcements!$C$7:$E$19,3,0)</f>
        <v>#N/A</v>
      </c>
      <c r="AD92" s="58" t="str">
        <f t="shared" si="32"/>
        <v>0180-01</v>
      </c>
      <c r="AE92" s="87" t="str">
        <f t="shared" si="33"/>
        <v>aws s3 cp s3://rtdc.mdm.uploadarchive.raw/RTDC4008/ "%USERPROFILE%\AppData\Local\Temp\OnboardLogs"\RTDC4008\2017-01-01 --exclude "*" --recursive --include "*20170101*" &amp; "%USERPROFILE%\Documents\GitHub\mrs-test-scripts\Headless Mode &amp; Sideloading\WalkAndUnGZ.bat" "%USERPROFILE%\AppData\Local\Temp\OnboardLogs"\RTDC4008\2017-01-01 &amp; 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</v>
      </c>
      <c r="AF92" s="84" t="str">
        <f t="shared" si="34"/>
        <v>"C:\Program Files (x86)\AstroGrep\AstroGrep.exe" /spath="%USERPROFILE%\AppData\Local\Temp\OnboardLogs" /stypes="app*4008*20170101*" /stext=" 22:.+((SYSTEM_STATE.+slice.+state.+changed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8" t="str">
        <f t="shared" si="36"/>
        <v>"%USERPROFILE%\Documents\GitHub\eaglep3\Utilities\RefineRTDCRunTimes.py" --tripid 180-01 --locoid 4008 --swversion DE.1.0.8.0 --startMP 204:232983 --initTime 2017-01-01T14:19:08 --startdatetime 2017-01-01T14:26:26 --delay 1 --endMP 204:150 --enddatetime 2017-01-01T15:06:44 --enforcementcount 0 &gt;&gt;C:\Users\stu\Documents\GitHub\eaglep3-reporting\EC\2017-01-01-refined-times.txt</v>
      </c>
      <c r="AI92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{"issue":{"subject":"","project_id":79,"tracker_id":40,"status_id":1,"priority_id":2,"assigned_to_id":23,"start_date":"2017-01-01","description":"","custom_fields":[{"id":1,"name":"Subdivision","value":"EC"},{"id":4,"name":"Milepost","value":"0.015"},{"id":17,"name":"Train ID","value":"180-01"},{"id":16,"name":"Locomotive ID","value":"4008"},{"id":130,"name":"Impact","value":""},{"id":150,"name":"Time of Event (Mountain Time)","value":"15:06:44"},{"id":151,"name":"Denver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38"/>
        <v>start /low /b %USERPROFILE%\Documents\GitHub\eaglep3\Utilities\DownloadLogsFromS3.py --loco 4008 --day 2017-01-01</v>
      </c>
    </row>
    <row r="93" spans="1:91" x14ac:dyDescent="0.25">
      <c r="A93" s="34" t="s">
        <v>582</v>
      </c>
      <c r="B93" s="7">
        <v>4003</v>
      </c>
      <c r="C93" s="22" t="s">
        <v>205</v>
      </c>
      <c r="D93" s="22" t="s">
        <v>193</v>
      </c>
      <c r="E93" s="13">
        <v>42736.569652777776</v>
      </c>
      <c r="F93" s="13">
        <v>42736.573229166665</v>
      </c>
      <c r="G93" s="7">
        <v>1</v>
      </c>
      <c r="H93" s="22" t="s">
        <v>293</v>
      </c>
      <c r="I93" s="13">
        <v>42736.598194444443</v>
      </c>
      <c r="J93" s="7">
        <v>0</v>
      </c>
      <c r="K93" s="105" t="str">
        <f t="shared" si="21"/>
        <v>4003/4004</v>
      </c>
      <c r="L93" s="22" t="str">
        <f>VLOOKUP(A93,'Trips&amp;Operators'!$C$1:$G$99999,5,FALSE)</f>
        <v>LALONDE GREGORY</v>
      </c>
      <c r="M93" s="6">
        <f t="shared" si="22"/>
        <v>2.4965277778392192E-2</v>
      </c>
      <c r="N93" s="7">
        <f t="shared" si="23"/>
        <v>35.950000000884756</v>
      </c>
      <c r="O93" s="7"/>
      <c r="P93" s="7"/>
      <c r="Q93" s="23"/>
      <c r="R93" s="23"/>
      <c r="S93" s="32">
        <f t="shared" si="24"/>
        <v>1</v>
      </c>
      <c r="T93" s="47" t="str">
        <f t="shared" si="25"/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12:40:18-700',mode:absolute,to:'2017-01-01 15:21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3" s="49" t="str">
        <f t="shared" si="27"/>
        <v>N</v>
      </c>
      <c r="X93" s="173">
        <f t="shared" si="28"/>
        <v>1</v>
      </c>
      <c r="Y93" s="64">
        <f t="shared" si="29"/>
        <v>4.4699999999999997E-2</v>
      </c>
      <c r="Z93" s="64">
        <f t="shared" si="30"/>
        <v>23.329699999999999</v>
      </c>
      <c r="AA93" s="64">
        <f t="shared" si="31"/>
        <v>23.285</v>
      </c>
      <c r="AB93" s="61" t="e">
        <f>VLOOKUP(A93,Enforcements!$C$7:$K$19,8,0)</f>
        <v>#N/A</v>
      </c>
      <c r="AC93" s="57" t="e">
        <f>VLOOKUP(A93,Enforcements!$C$7:$E$19,3,0)</f>
        <v>#N/A</v>
      </c>
      <c r="AD93" s="58" t="str">
        <f t="shared" si="32"/>
        <v>0181-01</v>
      </c>
      <c r="AE93" s="87" t="str">
        <f t="shared" si="33"/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AF93" s="84" t="str">
        <f t="shared" si="34"/>
        <v>"C:\Program Files (x86)\AstroGrep\AstroGrep.exe" /spath="%USERPROFILE%\AppData\Local\Temp\OnboardLogs" /stypes="app*4003*20170101*" /stext=" 21:.+((SYSTEM_STATE.+slice.+state.+changed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8" t="str">
        <f t="shared" si="36"/>
        <v>"%USERPROFILE%\Documents\GitHub\eaglep3\Utilities\RefineRTDCRunTimes.py" --tripid 181-01 --locoid 4003 --swversion DE.1.0.8.0 --startMP 204:447 --initTime 2017-01-01T13:40:18 --startdatetime 2017-01-01T13:45:27 --delay 1 --endMP 204:233297 --enddatetime 2017-01-01T14:21:24 --enforcementcount 0 &gt;&gt;C:\Users\stu\Documents\GitHub\eaglep3-reporting\EC\2017-01-01-refined-times.txt</v>
      </c>
      <c r="AI93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{"issue":{"subject":"","project_id":79,"tracker_id":40,"status_id":1,"priority_id":2,"assigned_to_id":23,"start_date":"2017-01-01","description":"","custom_fields":[{"id":1,"name":"Subdivision","value":"EC"},{"id":4,"name":"Milepost","value":"23.3297"},{"id":17,"name":"Train ID","value":"181-01"},{"id":16,"name":"Locomotive ID","value":"4003"},{"id":130,"name":"Impact","value":""},{"id":150,"name":"Time of Event (Mountain Time)","value":"14:21:24"},{"id":151,"name":"Denver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38"/>
        <v>start /low /b %USERPROFILE%\Documents\GitHub\eaglep3\Utilities\DownloadLogsFromS3.py --loco 4003 --day 2017-01-01</v>
      </c>
    </row>
    <row r="94" spans="1:91" x14ac:dyDescent="0.25">
      <c r="A94" s="34" t="s">
        <v>588</v>
      </c>
      <c r="B94" s="7">
        <v>4004</v>
      </c>
      <c r="C94" s="22" t="s">
        <v>205</v>
      </c>
      <c r="D94" s="22" t="s">
        <v>299</v>
      </c>
      <c r="E94" s="13">
        <v>42736.599618055552</v>
      </c>
      <c r="F94" s="13">
        <v>42736.612060185187</v>
      </c>
      <c r="G94" s="7">
        <v>1</v>
      </c>
      <c r="H94" s="22" t="s">
        <v>304</v>
      </c>
      <c r="I94" s="13">
        <v>42736.640162037038</v>
      </c>
      <c r="J94" s="7">
        <v>0</v>
      </c>
      <c r="K94" s="105" t="str">
        <f t="shared" si="21"/>
        <v>4003/4004</v>
      </c>
      <c r="L94" s="22" t="str">
        <f>VLOOKUP(A94,'Trips&amp;Operators'!$C$1:$G$99999,5,FALSE)</f>
        <v>LALONDE GREGORY</v>
      </c>
      <c r="M94" s="6">
        <f t="shared" si="22"/>
        <v>2.810185185080627E-2</v>
      </c>
      <c r="N94" s="7">
        <f t="shared" si="23"/>
        <v>40.466666665161029</v>
      </c>
      <c r="O94" s="7"/>
      <c r="P94" s="7"/>
      <c r="Q94" s="23"/>
      <c r="R94" s="23"/>
      <c r="S94" s="32">
        <f t="shared" si="24"/>
        <v>1</v>
      </c>
      <c r="T94" s="47" t="str">
        <f t="shared" si="25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13:23:27-700',mode:absolute,to:'2017-01-01 16:21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4" s="49" t="str">
        <f t="shared" si="27"/>
        <v>N</v>
      </c>
      <c r="X94" s="173">
        <f t="shared" si="28"/>
        <v>1</v>
      </c>
      <c r="Y94" s="64">
        <f t="shared" si="29"/>
        <v>23.298200000000001</v>
      </c>
      <c r="Z94" s="64">
        <f t="shared" si="30"/>
        <v>1.5800000000000002E-2</v>
      </c>
      <c r="AA94" s="64">
        <f t="shared" si="31"/>
        <v>23.282400000000003</v>
      </c>
      <c r="AB94" s="61" t="e">
        <f>VLOOKUP(A94,Enforcements!$C$7:$K$19,8,0)</f>
        <v>#N/A</v>
      </c>
      <c r="AC94" s="57" t="e">
        <f>VLOOKUP(A94,Enforcements!$C$7:$E$19,3,0)</f>
        <v>#N/A</v>
      </c>
      <c r="AD94" s="58" t="str">
        <f t="shared" si="32"/>
        <v>0182-01</v>
      </c>
      <c r="AE94" s="87" t="str">
        <f t="shared" si="33"/>
        <v>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 &amp; aws s3 cp s3://rtdc.mdm.uploadarchive.raw/RTDC4004/ "%USERPROFILE%\AppData\Local\Temp\OnboardLogs"\RTDC4004\2017-01-02 --exclude "*" --recursive --include "*20170102*" &amp; "%USERPROFILE%\Documents\GitHub\mrs-test-scripts\Headless Mode &amp; Sideloading\WalkAndUnGZ.bat" "%USERPROFILE%\AppData\Local\Temp\OnboardLogs"\RTDC4004\2017-01-02</v>
      </c>
      <c r="AF94" s="84" t="str">
        <f t="shared" si="34"/>
        <v>"C:\Program Files (x86)\AstroGrep\AstroGrep.exe" /spath="%USERPROFILE%\AppData\Local\Temp\OnboardLogs" /stypes="app*4004*20170101*" /stext=" 22:.+((SYSTEM_STATE.+slice.+state.+changed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8" t="str">
        <f t="shared" si="36"/>
        <v>"%USERPROFILE%\Documents\GitHub\eaglep3\Utilities\RefineRTDCRunTimes.py" --tripid 182-01 --locoid 4004 --swversion DE.1.0.8.0 --startMP 204:232982 --initTime 2017-01-01T14:23:27 --startdatetime 2017-01-01T14:41:22 --delay 1 --endMP 204:158 --enddatetime 2017-01-01T15:21:50 --enforcementcount 0 &gt;&gt;C:\Users\stu\Documents\GitHub\eaglep3-reporting\EC\2017-01-01-refined-times.txt</v>
      </c>
      <c r="AI94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{"issue":{"subject":"","project_id":79,"tracker_id":40,"status_id":1,"priority_id":2,"assigned_to_id":23,"start_date":"2017-01-01","description":"","custom_fields":[{"id":1,"name":"Subdivision","value":"EC"},{"id":4,"name":"Milepost","value":"0.0158"},{"id":17,"name":"Train ID","value":"182-01"},{"id":16,"name":"Locomotive ID","value":"4004"},{"id":130,"name":"Impact","value":""},{"id":150,"name":"Time of Event (Mountain Time)","value":"15:21:50"},{"id":151,"name":"Denver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38"/>
        <v>start /low /b %USERPROFILE%\Documents\GitHub\eaglep3\Utilities\DownloadLogsFromS3.py --loco 4004 --day 2017-01-01</v>
      </c>
    </row>
    <row r="95" spans="1:91" s="21" customFormat="1" x14ac:dyDescent="0.25">
      <c r="A95" s="34" t="s">
        <v>450</v>
      </c>
      <c r="B95" s="7">
        <v>4014</v>
      </c>
      <c r="C95" s="22" t="s">
        <v>205</v>
      </c>
      <c r="D95" s="22" t="s">
        <v>266</v>
      </c>
      <c r="E95" s="13">
        <v>42736.578182870369</v>
      </c>
      <c r="F95" s="13">
        <v>42736.583692129629</v>
      </c>
      <c r="G95" s="7">
        <v>1</v>
      </c>
      <c r="H95" s="22" t="s">
        <v>746</v>
      </c>
      <c r="I95" s="13">
        <v>42736.611006944448</v>
      </c>
      <c r="J95" s="7">
        <v>0</v>
      </c>
      <c r="K95" s="105" t="str">
        <f t="shared" si="21"/>
        <v>4013/4014</v>
      </c>
      <c r="L95" s="22" t="str">
        <f>VLOOKUP(A95,'Trips&amp;Operators'!$C$1:$G$99999,5,FALSE)</f>
        <v>ADANE ELSHADAY</v>
      </c>
      <c r="M95" s="6">
        <f t="shared" si="22"/>
        <v>2.7314814818964805E-2</v>
      </c>
      <c r="N95" s="7">
        <f t="shared" si="23"/>
        <v>39.33333333930932</v>
      </c>
      <c r="O95" s="7"/>
      <c r="P95" s="7"/>
      <c r="Q95" s="23"/>
      <c r="R95" s="23"/>
      <c r="S95" s="32">
        <f t="shared" si="24"/>
        <v>1</v>
      </c>
      <c r="T95" s="47" t="str">
        <f t="shared" si="25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12:52:35-700',mode:absolute,to:'2017-01-01 15:39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5" s="49" t="str">
        <f t="shared" si="27"/>
        <v>N</v>
      </c>
      <c r="X95" s="173">
        <f t="shared" si="28"/>
        <v>1</v>
      </c>
      <c r="Y95" s="64">
        <f t="shared" si="29"/>
        <v>4.3999999999999997E-2</v>
      </c>
      <c r="Z95" s="64">
        <f t="shared" si="30"/>
        <v>23.324400000000001</v>
      </c>
      <c r="AA95" s="64">
        <f t="shared" si="31"/>
        <v>23.2804</v>
      </c>
      <c r="AB95" s="61" t="e">
        <f>VLOOKUP(A95,Enforcements!$C$7:$K$19,8,0)</f>
        <v>#N/A</v>
      </c>
      <c r="AC95" s="57" t="e">
        <f>VLOOKUP(A95,Enforcements!$C$7:$E$19,3,0)</f>
        <v>#N/A</v>
      </c>
      <c r="AD95" s="58" t="str">
        <f t="shared" si="32"/>
        <v>0183-01</v>
      </c>
      <c r="AE95" s="87" t="str">
        <f t="shared" si="33"/>
        <v>aws s3 cp s3://rtdc.mdm.uploadarchive.raw/RTDC4014/ "%USERPROFILE%\AppData\Local\Temp\OnboardLogs"\RTDC4014\2017-01-01 --exclude "*" --recursive --include "*20170101*" &amp; "%USERPROFILE%\Documents\GitHub\mrs-test-scripts\Headless Mode &amp; Sideloading\WalkAndUnGZ.bat" "%USERPROFILE%\AppData\Local\Temp\OnboardLogs"\RTDC4014\2017-01-01 &amp; 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</v>
      </c>
      <c r="AF95" s="84" t="str">
        <f t="shared" si="34"/>
        <v>"C:\Program Files (x86)\AstroGrep\AstroGrep.exe" /spath="%USERPROFILE%\AppData\Local\Temp\OnboardLogs" /stypes="app*4014*20170101*" /stext=" 21:.+((SYSTEM_STATE.+slice.+state.+changed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8" t="str">
        <f t="shared" si="36"/>
        <v>"%USERPROFILE%\Documents\GitHub\eaglep3\Utilities\RefineRTDCRunTimes.py" --tripid 183-01 --locoid 4014 --swversion DE.1.0.8.0 --startMP 204:440 --initTime 2017-01-01T13:52:35 --startdatetime 2017-01-01T14:00:31 --delay 1 --endMP 204:233244 --enddatetime 2017-01-01T14:39:51 --enforcementcount 0 &gt;&gt;C:\Users\stu\Documents\GitHub\eaglep3-reporting\EC\2017-01-01-refined-times.txt</v>
      </c>
      <c r="AI95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{"issue":{"subject":"","project_id":79,"tracker_id":40,"status_id":1,"priority_id":2,"assigned_to_id":23,"start_date":"2017-01-01","description":"","custom_fields":[{"id":1,"name":"Subdivision","value":"EC"},{"id":4,"name":"Milepost","value":"23.3244"},{"id":17,"name":"Train ID","value":"183-01"},{"id":16,"name":"Locomotive ID","value":"4014"},{"id":130,"name":"Impact","value":""},{"id":150,"name":"Time of Event (Mountain Time)","value":"14:39:51"},{"id":151,"name":"Denver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38"/>
        <v>start /low /b %USERPROFILE%\Documents\GitHub\eaglep3\Utilities\DownloadLogsFromS3.py --loco 4014 --day 2017-01-01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594</v>
      </c>
      <c r="B96" s="7">
        <v>4013</v>
      </c>
      <c r="C96" s="22" t="s">
        <v>205</v>
      </c>
      <c r="D96" s="22" t="s">
        <v>749</v>
      </c>
      <c r="E96" s="13">
        <v>42736.612638888888</v>
      </c>
      <c r="F96" s="13">
        <v>42736.62296296296</v>
      </c>
      <c r="G96" s="7">
        <v>1</v>
      </c>
      <c r="H96" s="22" t="s">
        <v>323</v>
      </c>
      <c r="I96" s="13">
        <v>42736.649189814816</v>
      </c>
      <c r="J96" s="7">
        <v>0</v>
      </c>
      <c r="K96" s="105" t="str">
        <f t="shared" si="21"/>
        <v>4013/4014</v>
      </c>
      <c r="L96" s="22" t="str">
        <f>VLOOKUP(A96,'Trips&amp;Operators'!$C$1:$G$99999,5,FALSE)</f>
        <v>ADANE ELSHADAY</v>
      </c>
      <c r="M96" s="6">
        <f t="shared" si="22"/>
        <v>2.6226851856335998E-2</v>
      </c>
      <c r="N96" s="7">
        <f t="shared" si="23"/>
        <v>37.766666673123837</v>
      </c>
      <c r="O96" s="7"/>
      <c r="P96" s="7"/>
      <c r="Q96" s="23"/>
      <c r="R96" s="23"/>
      <c r="S96" s="32">
        <f t="shared" si="24"/>
        <v>1</v>
      </c>
      <c r="T96" s="47" t="str">
        <f t="shared" si="25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13:42:12-700',mode:absolute,to:'2017-01-01 16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6" s="49" t="str">
        <f t="shared" si="27"/>
        <v>N</v>
      </c>
      <c r="X96" s="173">
        <f t="shared" si="28"/>
        <v>1</v>
      </c>
      <c r="Y96" s="64">
        <f t="shared" si="29"/>
        <v>23.292100000000001</v>
      </c>
      <c r="Z96" s="64">
        <f t="shared" si="30"/>
        <v>1.5599999999999999E-2</v>
      </c>
      <c r="AA96" s="64">
        <f t="shared" si="31"/>
        <v>23.276500000000002</v>
      </c>
      <c r="AB96" s="61" t="e">
        <f>VLOOKUP(A96,Enforcements!$C$7:$K$19,8,0)</f>
        <v>#N/A</v>
      </c>
      <c r="AC96" s="57" t="e">
        <f>VLOOKUP(A96,Enforcements!$C$7:$E$19,3,0)</f>
        <v>#N/A</v>
      </c>
      <c r="AD96" s="58" t="str">
        <f t="shared" si="32"/>
        <v>0184-01</v>
      </c>
      <c r="AE96" s="87" t="str">
        <f t="shared" si="33"/>
        <v>aws s3 cp s3://rtdc.mdm.uploadarchive.raw/RTDC4013/ "%USERPROFILE%\AppData\Local\Temp\OnboardLogs"\RTDC4013\2017-01-01 --exclude "*" --recursive --include "*20170101*" &amp; "%USERPROFILE%\Documents\GitHub\mrs-test-scripts\Headless Mode &amp; Sideloading\WalkAndUnGZ.bat" "%USERPROFILE%\AppData\Local\Temp\OnboardLogs"\RTDC4013\2017-01-01 &amp; 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</v>
      </c>
      <c r="AF96" s="84" t="str">
        <f t="shared" si="34"/>
        <v>"C:\Program Files (x86)\AstroGrep\AstroGrep.exe" /spath="%USERPROFILE%\AppData\Local\Temp\OnboardLogs" /stypes="app*4013*20170101*" /stext=" 22:.+((SYSTEM_STATE.+slice.+state.+changed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8" t="str">
        <f t="shared" si="36"/>
        <v>"%USERPROFILE%\Documents\GitHub\eaglep3\Utilities\RefineRTDCRunTimes.py" --tripid 184-01 --locoid 4013 --swversion DE.1.0.8.0 --startMP 204:232921 --initTime 2017-01-01T14:42:12 --startdatetime 2017-01-01T14:57:04 --delay 1 --endMP 204:156 --enddatetime 2017-01-01T15:34:50 --enforcementcount 0 &gt;&gt;C:\Users\stu\Documents\GitHub\eaglep3-reporting\EC\2017-01-01-refined-times.txt</v>
      </c>
      <c r="AI96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{"issue":{"subject":"","project_id":79,"tracker_id":40,"status_id":1,"priority_id":2,"assigned_to_id":23,"start_date":"2017-01-01","description":"","custom_fields":[{"id":1,"name":"Subdivision","value":"EC"},{"id":4,"name":"Milepost","value":"0.0156"},{"id":17,"name":"Train ID","value":"184-01"},{"id":16,"name":"Locomotive ID","value":"4013"},{"id":130,"name":"Impact","value":""},{"id":150,"name":"Time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38"/>
        <v>start /low /b %USERPROFILE%\Documents\GitHub\eaglep3\Utilities\DownloadLogsFromS3.py --loco 4013 --day 2017-01-01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585</v>
      </c>
      <c r="B97" s="7">
        <v>4002</v>
      </c>
      <c r="C97" s="22" t="s">
        <v>205</v>
      </c>
      <c r="D97" s="22" t="s">
        <v>338</v>
      </c>
      <c r="E97" s="13">
        <v>42736.589583333334</v>
      </c>
      <c r="F97" s="13">
        <v>42736.5940625</v>
      </c>
      <c r="G97" s="7">
        <v>3</v>
      </c>
      <c r="H97" s="22" t="s">
        <v>407</v>
      </c>
      <c r="I97" s="13">
        <v>42736.61996527778</v>
      </c>
      <c r="J97" s="7">
        <v>0</v>
      </c>
      <c r="K97" s="105" t="str">
        <f t="shared" si="21"/>
        <v>4001/4002</v>
      </c>
      <c r="L97" s="22" t="str">
        <f>VLOOKUP(A97,'Trips&amp;Operators'!$C$1:$G$99999,5,FALSE)</f>
        <v>KILLION DAVID</v>
      </c>
      <c r="M97" s="6">
        <f t="shared" si="22"/>
        <v>2.5902777779265307E-2</v>
      </c>
      <c r="N97" s="7">
        <f t="shared" si="23"/>
        <v>37.300000002142042</v>
      </c>
      <c r="O97" s="7"/>
      <c r="P97" s="7"/>
      <c r="Q97" s="23"/>
      <c r="R97" s="23"/>
      <c r="S97" s="32">
        <f t="shared" si="24"/>
        <v>1</v>
      </c>
      <c r="T97" s="47" t="str">
        <f t="shared" si="25"/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13:09:00-700',mode:absolute,to:'2017-01-01 15:52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7" s="49" t="str">
        <f t="shared" si="27"/>
        <v>N</v>
      </c>
      <c r="X97" s="173">
        <f t="shared" si="28"/>
        <v>1</v>
      </c>
      <c r="Y97" s="64">
        <f t="shared" si="29"/>
        <v>4.6600000000000003E-2</v>
      </c>
      <c r="Z97" s="64">
        <f t="shared" si="30"/>
        <v>23.328800000000001</v>
      </c>
      <c r="AA97" s="64">
        <f t="shared" si="31"/>
        <v>23.2822</v>
      </c>
      <c r="AB97" s="61" t="e">
        <f>VLOOKUP(A97,Enforcements!$C$7:$K$19,8,0)</f>
        <v>#N/A</v>
      </c>
      <c r="AC97" s="57" t="e">
        <f>VLOOKUP(A97,Enforcements!$C$7:$E$19,3,0)</f>
        <v>#N/A</v>
      </c>
      <c r="AD97" s="58" t="str">
        <f t="shared" si="32"/>
        <v>0185-01</v>
      </c>
      <c r="AE97" s="87" t="str">
        <f t="shared" si="33"/>
        <v>aws s3 cp s3://rtdc.mdm.uploadarchive.raw/RTDC4002/ "%USERPROFILE%\AppData\Local\Temp\OnboardLogs"\RTDC4002\2017-01-01 --exclude "*" --recursive --include "*20170101*" &amp; "%USERPROFILE%\Documents\GitHub\mrs-test-scripts\Headless Mode &amp; Sideloading\WalkAndUnGZ.bat" "%USERPROFILE%\AppData\Local\Temp\OnboardLogs"\RTDC4002\2017-01-01 &amp; aws s3 cp s3://rtdc.mdm.uploadarchive.raw/RTDC4002/ "%USERPROFILE%\AppData\Local\Temp\OnboardLogs"\RTDC4002\2017-01-02 --exclude "*" --recursive --include "*20170102*" &amp; "%USERPROFILE%\Documents\GitHub\mrs-test-scripts\Headless Mode &amp; Sideloading\WalkAndUnGZ.bat" "%USERPROFILE%\AppData\Local\Temp\OnboardLogs"\RTDC4002\2017-01-02</v>
      </c>
      <c r="AF97" s="84" t="str">
        <f t="shared" si="34"/>
        <v>"C:\Program Files (x86)\AstroGrep\AstroGrep.exe" /spath="%USERPROFILE%\AppData\Local\Temp\OnboardLogs" /stypes="app*4002*20170101*" /stext=" 21:.+((SYSTEM_STATE.+slice.+state.+changed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8" t="str">
        <f t="shared" si="36"/>
        <v>"%USERPROFILE%\Documents\GitHub\eaglep3\Utilities\RefineRTDCRunTimes.py" --tripid 185-01 --locoid 4002 --swversion DE.1.0.8.0 --startMP 204:466 --initTime 2017-01-01T14:09:00 --startdatetime 2017-01-01T14:15:27 --delay 3 --endMP 204:233288 --enddatetime 2017-01-01T14:52:45 --enforcementcount 0 &gt;&gt;C:\Users\stu\Documents\GitHub\eaglep3-reporting\EC\2017-01-01-refined-times.txt</v>
      </c>
      <c r="AI97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{"issue":{"subject":"","project_id":79,"tracker_id":40,"status_id":1,"priority_id":2,"assigned_to_id":23,"start_date":"2017-01-01","description":"","custom_fields":[{"id":1,"name":"Subdivision","value":"EC"},{"id":4,"name":"Milepost","value":"23.3288"},{"id":17,"name":"Train ID","value":"185-01"},{"id":16,"name":"Locomotive ID","value":"4002"},{"id":130,"name":"Impact","value":""},{"id":150,"name":"Time of Event (Mountain Time)","value":"14:52:45"},{"id":151,"name":"Denver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38"/>
        <v>start /low /b %USERPROFILE%\Documents\GitHub\eaglep3\Utilities\DownloadLogsFromS3.py --loco 4002 --day 2017-01-01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596</v>
      </c>
      <c r="B98" s="7">
        <v>4001</v>
      </c>
      <c r="C98" s="22" t="s">
        <v>205</v>
      </c>
      <c r="D98" s="22" t="s">
        <v>272</v>
      </c>
      <c r="E98" s="13">
        <v>42736.6246875</v>
      </c>
      <c r="F98" s="13">
        <v>42736.632870370369</v>
      </c>
      <c r="G98" s="7">
        <v>1</v>
      </c>
      <c r="H98" s="22" t="s">
        <v>297</v>
      </c>
      <c r="I98" s="13">
        <v>42736.660613425927</v>
      </c>
      <c r="J98" s="7">
        <v>0</v>
      </c>
      <c r="K98" s="105" t="str">
        <f t="shared" si="21"/>
        <v>4001/4002</v>
      </c>
      <c r="L98" s="22" t="str">
        <f>VLOOKUP(A98,'Trips&amp;Operators'!$C$1:$G$99999,5,FALSE)</f>
        <v>KILLION DAVID</v>
      </c>
      <c r="M98" s="6">
        <f t="shared" si="22"/>
        <v>2.7743055557948537E-2</v>
      </c>
      <c r="N98" s="7">
        <f t="shared" si="23"/>
        <v>39.950000003445894</v>
      </c>
      <c r="O98" s="7"/>
      <c r="P98" s="7"/>
      <c r="Q98" s="23"/>
      <c r="R98" s="23"/>
      <c r="S98" s="32">
        <f t="shared" si="24"/>
        <v>1</v>
      </c>
      <c r="T98" s="47" t="str">
        <f t="shared" si="25"/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13:59:33-700',mode:absolute,to:'2017-01-01 16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8" s="49" t="str">
        <f t="shared" si="27"/>
        <v>N</v>
      </c>
      <c r="X98" s="173">
        <f t="shared" si="28"/>
        <v>1</v>
      </c>
      <c r="Y98" s="64">
        <f t="shared" si="29"/>
        <v>23.2973</v>
      </c>
      <c r="Z98" s="64">
        <f t="shared" si="30"/>
        <v>1.52E-2</v>
      </c>
      <c r="AA98" s="64">
        <f t="shared" si="31"/>
        <v>23.2821</v>
      </c>
      <c r="AB98" s="61" t="e">
        <f>VLOOKUP(A98,Enforcements!$C$7:$K$19,8,0)</f>
        <v>#N/A</v>
      </c>
      <c r="AC98" s="57" t="e">
        <f>VLOOKUP(A98,Enforcements!$C$7:$E$19,3,0)</f>
        <v>#N/A</v>
      </c>
      <c r="AD98" s="58" t="str">
        <f t="shared" si="32"/>
        <v>0186-01</v>
      </c>
      <c r="AE98" s="87" t="str">
        <f t="shared" si="33"/>
        <v>aws s3 cp s3://rtdc.mdm.uploadarchive.raw/RTDC4001/ "%USERPROFILE%\AppData\Local\Temp\OnboardLogs"\RTDC4001\2017-01-01 --exclude "*" --recursive --include "*20170101*" &amp; "%USERPROFILE%\Documents\GitHub\mrs-test-scripts\Headless Mode &amp; Sideloading\WalkAndUnGZ.bat" "%USERPROFILE%\AppData\Local\Temp\OnboardLogs"\RTDC4001\2017-01-01 &amp; aws s3 cp s3://rtdc.mdm.uploadarchive.raw/RTDC4001/ "%USERPROFILE%\AppData\Local\Temp\OnboardLogs"\RTDC4001\2017-01-02 --exclude "*" --recursive --include "*20170102*" &amp; "%USERPROFILE%\Documents\GitHub\mrs-test-scripts\Headless Mode &amp; Sideloading\WalkAndUnGZ.bat" "%USERPROFILE%\AppData\Local\Temp\OnboardLogs"\RTDC4001\2017-01-02</v>
      </c>
      <c r="AF98" s="84" t="str">
        <f t="shared" si="34"/>
        <v>"C:\Program Files (x86)\AstroGrep\AstroGrep.exe" /spath="%USERPROFILE%\AppData\Local\Temp\OnboardLogs" /stypes="app*4001*20170101*" /stext=" 22:.+((SYSTEM_STATE.+slice.+state.+changed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8" t="str">
        <f t="shared" si="36"/>
        <v>"%USERPROFILE%\Documents\GitHub\eaglep3\Utilities\RefineRTDCRunTimes.py" --tripid 186-01 --locoid 4001 --swversion DE.1.0.8.0 --startMP 204:232973 --initTime 2017-01-01T14:59:33 --startdatetime 2017-01-01T15:11:20 --delay 1 --endMP 204:152 --enddatetime 2017-01-01T15:51:17 --enforcementcount 0 &gt;&gt;C:\Users\stu\Documents\GitHub\eaglep3-reporting\EC\2017-01-01-refined-times.txt</v>
      </c>
      <c r="AI98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{"issue":{"subject":"","project_id":79,"tracker_id":40,"status_id":1,"priority_id":2,"assigned_to_id":23,"start_date":"2017-01-01","description":"","custom_fields":[{"id":1,"name":"Subdivision","value":"EC"},{"id":4,"name":"Milepost","value":"0.0152"},{"id":17,"name":"Train ID","value":"186-01"},{"id":16,"name":"Locomotive ID","value":"4001"},{"id":130,"name":"Impact","value":""},{"id":150,"name":"Time of Event (Mountain Time)","value":"15:51:17"},{"id":151,"name":"Denver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38"/>
        <v>start /low /b %USERPROFILE%\Documents\GitHub\eaglep3\Utilities\DownloadLogsFromS3.py --loco 4001 --day 2017-01-01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589</v>
      </c>
      <c r="B99" s="7">
        <v>4042</v>
      </c>
      <c r="C99" s="22" t="s">
        <v>205</v>
      </c>
      <c r="D99" s="22" t="s">
        <v>193</v>
      </c>
      <c r="E99" s="13">
        <v>42736.601087962961</v>
      </c>
      <c r="F99" s="13">
        <v>42736.60434027778</v>
      </c>
      <c r="G99" s="7">
        <v>1</v>
      </c>
      <c r="H99" s="22" t="s">
        <v>750</v>
      </c>
      <c r="I99" s="13">
        <v>42736.631354166668</v>
      </c>
      <c r="J99" s="7">
        <v>0</v>
      </c>
      <c r="K99" s="105" t="str">
        <f t="shared" si="21"/>
        <v>4041/4042</v>
      </c>
      <c r="L99" s="22" t="str">
        <f>VLOOKUP(A99,'Trips&amp;Operators'!$C$1:$G$99999,5,FALSE)</f>
        <v>STEWART MICHAEL</v>
      </c>
      <c r="M99" s="6">
        <f t="shared" si="22"/>
        <v>2.7013888888177462E-2</v>
      </c>
      <c r="N99" s="7">
        <f t="shared" si="23"/>
        <v>38.899999998975545</v>
      </c>
      <c r="O99" s="7"/>
      <c r="P99" s="7"/>
      <c r="Q99" s="23"/>
      <c r="R99" s="23"/>
      <c r="S99" s="32">
        <f t="shared" si="24"/>
        <v>1</v>
      </c>
      <c r="T99" s="47" t="str">
        <f t="shared" si="25"/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13:25:34-700',mode:absolute,to:'2017-01-01 16:09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9" s="49" t="str">
        <f t="shared" si="27"/>
        <v>N</v>
      </c>
      <c r="X99" s="173">
        <f t="shared" si="28"/>
        <v>1</v>
      </c>
      <c r="Y99" s="64">
        <f t="shared" si="29"/>
        <v>4.4699999999999997E-2</v>
      </c>
      <c r="Z99" s="64">
        <f t="shared" si="30"/>
        <v>23.329799999999999</v>
      </c>
      <c r="AA99" s="64">
        <f t="shared" si="31"/>
        <v>23.2851</v>
      </c>
      <c r="AB99" s="61" t="e">
        <f>VLOOKUP(A99,Enforcements!$C$7:$K$19,8,0)</f>
        <v>#N/A</v>
      </c>
      <c r="AC99" s="57" t="e">
        <f>VLOOKUP(A99,Enforcements!$C$7:$E$19,3,0)</f>
        <v>#N/A</v>
      </c>
      <c r="AD99" s="58" t="str">
        <f t="shared" si="32"/>
        <v>0187-01</v>
      </c>
      <c r="AE99" s="87" t="str">
        <f t="shared" si="33"/>
        <v>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 &amp; 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</v>
      </c>
      <c r="AF99" s="84" t="str">
        <f t="shared" si="34"/>
        <v>"C:\Program Files (x86)\AstroGrep\AstroGrep.exe" /spath="%USERPROFILE%\AppData\Local\Temp\OnboardLogs" /stypes="app*4042*20170101*" /stext=" 22:.+((SYSTEM_STATE.+slice.+state.+changed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8" t="str">
        <f t="shared" si="36"/>
        <v>"%USERPROFILE%\Documents\GitHub\eaglep3\Utilities\RefineRTDCRunTimes.py" --tripid 187-01 --locoid 4042 --swversion DE.1.0.8.0 --startMP 204:447 --initTime 2017-01-01T14:25:34 --startdatetime 2017-01-01T14:30:15 --delay 1 --endMP 204:233298 --enddatetime 2017-01-01T15:09:09 --enforcementcount 0 &gt;&gt;C:\Users\stu\Documents\GitHub\eaglep3-reporting\EC\2017-01-01-refined-times.txt</v>
      </c>
      <c r="AI99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{"issue":{"subject":"","project_id":79,"tracker_id":40,"status_id":1,"priority_id":2,"assigned_to_id":23,"start_date":"2017-01-01","description":"","custom_fields":[{"id":1,"name":"Subdivision","value":"EC"},{"id":4,"name":"Milepost","value":"23.3298"},{"id":17,"name":"Train ID","value":"187-01"},{"id":16,"name":"Locomotive ID","value":"4042"},{"id":130,"name":"Impact","value":""},{"id":150,"name":"Time of Event (Mountain Time)","value":"15:09:09"},{"id":151,"name":"Denver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38"/>
        <v>start /low /b %USERPROFILE%\Documents\GitHub\eaglep3\Utilities\DownloadLogsFromS3.py --loco 4042 --day 2017-01-01</v>
      </c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4" t="s">
        <v>599</v>
      </c>
      <c r="B100" s="7">
        <v>4041</v>
      </c>
      <c r="C100" s="22" t="s">
        <v>205</v>
      </c>
      <c r="D100" s="22" t="s">
        <v>751</v>
      </c>
      <c r="E100" s="13">
        <v>42736.639155092591</v>
      </c>
      <c r="F100" s="13">
        <v>42736.643252314818</v>
      </c>
      <c r="G100" s="7">
        <v>1</v>
      </c>
      <c r="H100" s="22" t="s">
        <v>297</v>
      </c>
      <c r="I100" s="13">
        <v>42736.669953703706</v>
      </c>
      <c r="J100" s="7">
        <v>0</v>
      </c>
      <c r="K100" s="105" t="str">
        <f t="shared" si="21"/>
        <v>4041/4042</v>
      </c>
      <c r="L100" s="22" t="str">
        <f>VLOOKUP(A100,'Trips&amp;Operators'!$C$1:$G$99999,5,FALSE)</f>
        <v>STEWART MICHAEL</v>
      </c>
      <c r="M100" s="6">
        <f t="shared" si="22"/>
        <v>2.6701388887886424E-2</v>
      </c>
      <c r="N100" s="7">
        <f t="shared" si="23"/>
        <v>38.44999999855645</v>
      </c>
      <c r="O100" s="7"/>
      <c r="P100" s="7"/>
      <c r="Q100" s="23"/>
      <c r="R100" s="23"/>
      <c r="S100" s="32">
        <f t="shared" si="24"/>
        <v>1</v>
      </c>
      <c r="T100" s="47" t="str">
        <f t="shared" si="25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14:20:23-700',mode:absolute,to:'2017-01-01 17:04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0" s="49" t="str">
        <f t="shared" si="27"/>
        <v>N</v>
      </c>
      <c r="X100" s="173">
        <f t="shared" si="28"/>
        <v>1</v>
      </c>
      <c r="Y100" s="64">
        <f t="shared" si="29"/>
        <v>23.296399999999998</v>
      </c>
      <c r="Z100" s="64">
        <f t="shared" si="30"/>
        <v>1.52E-2</v>
      </c>
      <c r="AA100" s="64">
        <f t="shared" si="31"/>
        <v>23.281199999999998</v>
      </c>
      <c r="AB100" s="61" t="e">
        <f>VLOOKUP(A100,Enforcements!$C$7:$K$19,8,0)</f>
        <v>#N/A</v>
      </c>
      <c r="AC100" s="57" t="e">
        <f>VLOOKUP(A100,Enforcements!$C$7:$E$19,3,0)</f>
        <v>#N/A</v>
      </c>
      <c r="AD100" s="58" t="str">
        <f t="shared" si="32"/>
        <v>0188-01</v>
      </c>
      <c r="AE100" s="87" t="str">
        <f t="shared" si="33"/>
        <v>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 &amp; 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</v>
      </c>
      <c r="AF100" s="84" t="str">
        <f t="shared" si="34"/>
        <v>"C:\Program Files (x86)\AstroGrep\AstroGrep.exe" /spath="%USERPROFILE%\AppData\Local\Temp\OnboardLogs" /stypes="app*4041*20170101*" /stext=" 23:.+((SYSTEM_STATE.+slice.+state.+changed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8" t="str">
        <f t="shared" si="36"/>
        <v>"%USERPROFILE%\Documents\GitHub\eaglep3\Utilities\RefineRTDCRunTimes.py" --tripid 188-01 --locoid 4041 --swversion DE.1.0.8.0 --startMP 204:232964 --initTime 2017-01-01T15:20:23 --startdatetime 2017-01-01T15:26:17 --delay 1 --endMP 204:152 --enddatetime 2017-01-01T16:04:44 --enforcementcount 0 &gt;&gt;C:\Users\stu\Documents\GitHub\eaglep3-reporting\EC\2017-01-01-refined-times.txt</v>
      </c>
      <c r="AI100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{"issue":{"subject":"","project_id":79,"tracker_id":40,"status_id":1,"priority_id":2,"assigned_to_id":23,"start_date":"2017-01-01","description":"","custom_fields":[{"id":1,"name":"Subdivision","value":"EC"},{"id":4,"name":"Milepost","value":"0.0152"},{"id":17,"name":"Train ID","value":"188-01"},{"id":16,"name":"Locomotive ID","value":"4041"},{"id":130,"name":"Impact","value":""},{"id":150,"name":"Time of Event (Mountain Time)","value":"16:04:44"},{"id":151,"name":"Denver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38"/>
        <v>start /low /b %USERPROFILE%\Documents\GitHub\eaglep3\Utilities\DownloadLogsFromS3.py --loco 4041 --day 2017-01-01</v>
      </c>
    </row>
    <row r="101" spans="1:91" s="21" customFormat="1" x14ac:dyDescent="0.25">
      <c r="A101" s="34" t="s">
        <v>593</v>
      </c>
      <c r="B101" s="7">
        <v>4009</v>
      </c>
      <c r="C101" s="22" t="s">
        <v>205</v>
      </c>
      <c r="D101" s="22" t="s">
        <v>193</v>
      </c>
      <c r="E101" s="13">
        <v>42736.611527777779</v>
      </c>
      <c r="F101" s="13">
        <v>42736.615439814814</v>
      </c>
      <c r="G101" s="7">
        <v>1</v>
      </c>
      <c r="H101" s="22" t="s">
        <v>294</v>
      </c>
      <c r="I101" s="13">
        <v>42736.641493055555</v>
      </c>
      <c r="J101" s="7">
        <v>0</v>
      </c>
      <c r="K101" s="105" t="str">
        <f t="shared" si="21"/>
        <v>4009/4010</v>
      </c>
      <c r="L101" s="22" t="str">
        <f>VLOOKUP(A101,'Trips&amp;Operators'!$C$1:$G$99999,5,FALSE)</f>
        <v>DAVIS MICHAEL</v>
      </c>
      <c r="M101" s="6">
        <f t="shared" si="22"/>
        <v>2.6053240741021E-2</v>
      </c>
      <c r="N101" s="7">
        <f t="shared" si="23"/>
        <v>37.51666666707024</v>
      </c>
      <c r="O101" s="7"/>
      <c r="P101" s="7"/>
      <c r="Q101" s="23"/>
      <c r="R101" s="23"/>
      <c r="S101" s="32">
        <f t="shared" si="24"/>
        <v>1</v>
      </c>
      <c r="T101" s="47" t="str">
        <f t="shared" si="25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13:40:36-700',mode:absolute,to:'2017-01-01 16:23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1" s="49" t="str">
        <f t="shared" si="27"/>
        <v>N</v>
      </c>
      <c r="X101" s="173">
        <f t="shared" si="28"/>
        <v>1</v>
      </c>
      <c r="Y101" s="64">
        <f t="shared" si="29"/>
        <v>4.4699999999999997E-2</v>
      </c>
      <c r="Z101" s="64">
        <f t="shared" si="30"/>
        <v>23.331199999999999</v>
      </c>
      <c r="AA101" s="64">
        <f t="shared" si="31"/>
        <v>23.2865</v>
      </c>
      <c r="AB101" s="61" t="e">
        <f>VLOOKUP(A101,Enforcements!$C$7:$K$19,8,0)</f>
        <v>#N/A</v>
      </c>
      <c r="AC101" s="57" t="e">
        <f>VLOOKUP(A101,Enforcements!$C$7:$E$19,3,0)</f>
        <v>#N/A</v>
      </c>
      <c r="AD101" s="58" t="str">
        <f t="shared" si="32"/>
        <v>0189-01</v>
      </c>
      <c r="AE101" s="87" t="str">
        <f t="shared" si="33"/>
        <v>aws s3 cp s3://rtdc.mdm.uploadarchive.raw/RTDC4009/ "%USERPROFILE%\AppData\Local\Temp\OnboardLogs"\RTDC4009\2017-01-01 --exclude "*" --recursive --include "*20170101*" &amp; "%USERPROFILE%\Documents\GitHub\mrs-test-scripts\Headless Mode &amp; Sideloading\WalkAndUnGZ.bat" "%USERPROFILE%\AppData\Local\Temp\OnboardLogs"\RTDC4009\2017-01-01 &amp; aws s3 cp s3://rtdc.mdm.uploadarchive.raw/RTDC4009/ "%USERPROFILE%\AppData\Local\Temp\OnboardLogs"\RTDC4009\2017-01-02 --exclude "*" --recursive --include "*20170102*" &amp; "%USERPROFILE%\Documents\GitHub\mrs-test-scripts\Headless Mode &amp; Sideloading\WalkAndUnGZ.bat" "%USERPROFILE%\AppData\Local\Temp\OnboardLogs"\RTDC4009\2017-01-02</v>
      </c>
      <c r="AF101" s="84" t="str">
        <f t="shared" si="34"/>
        <v>"C:\Program Files (x86)\AstroGrep\AstroGrep.exe" /spath="%USERPROFILE%\AppData\Local\Temp\OnboardLogs" /stypes="app*4009*20170101*" /stext=" 22:.+((SYSTEM_STATE.+slice.+state.+changed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8" t="str">
        <f t="shared" si="36"/>
        <v>"%USERPROFILE%\Documents\GitHub\eaglep3\Utilities\RefineRTDCRunTimes.py" --tripid 189-01 --locoid 4009 --swversion DE.1.0.8.0 --startMP 204:447 --initTime 2017-01-01T14:40:36 --startdatetime 2017-01-01T14:46:14 --delay 1 --endMP 204:233312 --enddatetime 2017-01-01T15:23:45 --enforcementcount 0 &gt;&gt;C:\Users\stu\Documents\GitHub\eaglep3-reporting\EC\2017-01-01-refined-times.txt</v>
      </c>
      <c r="AI101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{"issue":{"subject":"","project_id":79,"tracker_id":40,"status_id":1,"priority_id":2,"assigned_to_id":23,"start_date":"2017-01-01","description":"","custom_fields":[{"id":1,"name":"Subdivision","value":"EC"},{"id":4,"name":"Milepost","value":"23.3312"},{"id":17,"name":"Train ID","value":"189-01"},{"id":16,"name":"Locomotive ID","value":"4009"},{"id":130,"name":"Impact","value":""},{"id":150,"name":"Time of Event (Mountain Time)","value":"15:23:45"},{"id":151,"name":"Denver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38"/>
        <v>start /low /b %USERPROFILE%\Documents\GitHub\eaglep3\Utilities\DownloadLogsFromS3.py --loco 4009 --day 2017-01-01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602</v>
      </c>
      <c r="B102" s="7">
        <v>4010</v>
      </c>
      <c r="C102" s="22" t="s">
        <v>205</v>
      </c>
      <c r="D102" s="22" t="s">
        <v>752</v>
      </c>
      <c r="E102" s="13">
        <v>42736.650057870371</v>
      </c>
      <c r="F102" s="13">
        <v>42736.653912037036</v>
      </c>
      <c r="G102" s="7">
        <v>1</v>
      </c>
      <c r="H102" s="22" t="s">
        <v>323</v>
      </c>
      <c r="I102" s="13">
        <v>42736.682766203703</v>
      </c>
      <c r="J102" s="7">
        <v>0</v>
      </c>
      <c r="K102" s="105" t="str">
        <f t="shared" si="21"/>
        <v>4009/4010</v>
      </c>
      <c r="L102" s="22" t="str">
        <f>VLOOKUP(A102,'Trips&amp;Operators'!$C$1:$G$99999,5,FALSE)</f>
        <v>DAVIS MICHAEL</v>
      </c>
      <c r="M102" s="6">
        <f t="shared" si="22"/>
        <v>2.8854166666860692E-2</v>
      </c>
      <c r="N102" s="7">
        <f t="shared" si="23"/>
        <v>41.550000000279397</v>
      </c>
      <c r="O102" s="7"/>
      <c r="P102" s="7"/>
      <c r="Q102" s="23"/>
      <c r="R102" s="23"/>
      <c r="S102" s="32">
        <f t="shared" si="24"/>
        <v>1</v>
      </c>
      <c r="T102" s="47" t="str">
        <f t="shared" si="25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14:36:05-700',mode:absolute,to:'2017-01-01 17:23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2" s="49" t="str">
        <f t="shared" si="27"/>
        <v>N</v>
      </c>
      <c r="X102" s="173">
        <f t="shared" si="28"/>
        <v>1</v>
      </c>
      <c r="Y102" s="64">
        <f t="shared" si="29"/>
        <v>23.2959</v>
      </c>
      <c r="Z102" s="64">
        <f t="shared" si="30"/>
        <v>1.5599999999999999E-2</v>
      </c>
      <c r="AA102" s="64">
        <f t="shared" si="31"/>
        <v>23.2803</v>
      </c>
      <c r="AB102" s="61" t="e">
        <f>VLOOKUP(A102,Enforcements!$C$7:$K$19,8,0)</f>
        <v>#N/A</v>
      </c>
      <c r="AC102" s="57" t="e">
        <f>VLOOKUP(A102,Enforcements!$C$7:$E$19,3,0)</f>
        <v>#N/A</v>
      </c>
      <c r="AD102" s="58" t="str">
        <f t="shared" si="32"/>
        <v>0190-01</v>
      </c>
      <c r="AE102" s="87" t="str">
        <f t="shared" si="33"/>
        <v>aws s3 cp s3://rtdc.mdm.uploadarchive.raw/RTDC4010/ "%USERPROFILE%\AppData\Local\Temp\OnboardLogs"\RTDC4010\2017-01-01 --exclude "*" --recursive --include "*20170101*" &amp; "%USERPROFILE%\Documents\GitHub\mrs-test-scripts\Headless Mode &amp; Sideloading\WalkAndUnGZ.bat" "%USERPROFILE%\AppData\Local\Temp\OnboardLogs"\RTDC4010\2017-01-01 &amp; aws s3 cp s3://rtdc.mdm.uploadarchive.raw/RTDC4010/ "%USERPROFILE%\AppData\Local\Temp\OnboardLogs"\RTDC4010\2017-01-02 --exclude "*" --recursive --include "*20170102*" &amp; "%USERPROFILE%\Documents\GitHub\mrs-test-scripts\Headless Mode &amp; Sideloading\WalkAndUnGZ.bat" "%USERPROFILE%\AppData\Local\Temp\OnboardLogs"\RTDC4010\2017-01-02</v>
      </c>
      <c r="AF102" s="84" t="str">
        <f t="shared" si="34"/>
        <v>"C:\Program Files (x86)\AstroGrep\AstroGrep.exe" /spath="%USERPROFILE%\AppData\Local\Temp\OnboardLogs" /stypes="app*4010*20170101*" /stext=" 23:.+((SYSTEM_STATE.+slice.+state.+changed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8" t="str">
        <f t="shared" si="36"/>
        <v>"%USERPROFILE%\Documents\GitHub\eaglep3\Utilities\RefineRTDCRunTimes.py" --tripid 190-01 --locoid 4010 --swversion DE.1.0.8.0 --startMP 204:232959 --initTime 2017-01-01T15:36:05 --startdatetime 2017-01-01T15:41:38 --delay 1 --endMP 204:156 --enddatetime 2017-01-01T16:23:11 --enforcementcount 0 &gt;&gt;C:\Users\stu\Documents\GitHub\eaglep3-reporting\EC\2017-01-01-refined-times.txt</v>
      </c>
      <c r="AI102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{"issue":{"subject":"","project_id":79,"tracker_id":40,"status_id":1,"priority_id":2,"assigned_to_id":23,"start_date":"2017-01-01","description":"","custom_fields":[{"id":1,"name":"Subdivision","value":"EC"},{"id":4,"name":"Milepost","value":"0.0156"},{"id":17,"name":"Train ID","value":"190-01"},{"id":16,"name":"Locomotive ID","value":"4010"},{"id":130,"name":"Impact","value":""},{"id":150,"name":"Time of Event (Mountain Time)","value":"16:23:11"},{"id":151,"name":"Denver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38"/>
        <v>start /low /b %USERPROFILE%\Documents\GitHub\eaglep3\Utilities\DownloadLogsFromS3.py --loco 4010 --day 2017-01-01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595</v>
      </c>
      <c r="B103" s="7">
        <v>4022</v>
      </c>
      <c r="C103" s="22" t="s">
        <v>205</v>
      </c>
      <c r="D103" s="22" t="s">
        <v>755</v>
      </c>
      <c r="E103" s="13">
        <v>42736.620925925927</v>
      </c>
      <c r="F103" s="13">
        <v>42736.625289351854</v>
      </c>
      <c r="G103" s="7">
        <v>2</v>
      </c>
      <c r="H103" s="22" t="s">
        <v>710</v>
      </c>
      <c r="I103" s="13">
        <v>42736.650787037041</v>
      </c>
      <c r="J103" s="7">
        <v>0</v>
      </c>
      <c r="K103" s="105" t="str">
        <f t="shared" si="21"/>
        <v>4021/4022</v>
      </c>
      <c r="L103" s="22" t="str">
        <f>VLOOKUP(A103,'Trips&amp;Operators'!$C$1:$G$99999,5,FALSE)</f>
        <v>LEVIN SCOTT</v>
      </c>
      <c r="M103" s="6">
        <f t="shared" si="22"/>
        <v>2.5497685186564922E-2</v>
      </c>
      <c r="N103" s="7">
        <f t="shared" si="23"/>
        <v>36.716666668653488</v>
      </c>
      <c r="O103" s="7"/>
      <c r="P103" s="7"/>
      <c r="Q103" s="23"/>
      <c r="R103" s="23"/>
      <c r="S103" s="32">
        <f t="shared" si="24"/>
        <v>1</v>
      </c>
      <c r="T103" s="47" t="str">
        <f t="shared" si="25"/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13:54:08-700',mode:absolute,to:'2017-01-01 16:37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3" s="49" t="str">
        <f t="shared" si="27"/>
        <v>N</v>
      </c>
      <c r="X103" s="173">
        <f t="shared" si="28"/>
        <v>1</v>
      </c>
      <c r="Y103" s="64">
        <f t="shared" si="29"/>
        <v>4.2599999999999999E-2</v>
      </c>
      <c r="Z103" s="64">
        <f t="shared" si="30"/>
        <v>23.335100000000001</v>
      </c>
      <c r="AA103" s="64">
        <f t="shared" si="31"/>
        <v>23.2925</v>
      </c>
      <c r="AB103" s="61" t="e">
        <f>VLOOKUP(A103,Enforcements!$C$7:$K$19,8,0)</f>
        <v>#N/A</v>
      </c>
      <c r="AC103" s="57" t="e">
        <f>VLOOKUP(A103,Enforcements!$C$7:$E$19,3,0)</f>
        <v>#N/A</v>
      </c>
      <c r="AD103" s="58" t="str">
        <f t="shared" si="32"/>
        <v>0191-01</v>
      </c>
      <c r="AE103" s="87" t="str">
        <f t="shared" si="33"/>
        <v>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 &amp; aws s3 cp s3://rtdc.mdm.uploadarchive.raw/RTDC4022/ "%USERPROFILE%\AppData\Local\Temp\OnboardLogs"\RTDC4022\2017-01-02 --exclude "*" --recursive --include "*20170102*" &amp; "%USERPROFILE%\Documents\GitHub\mrs-test-scripts\Headless Mode &amp; Sideloading\WalkAndUnGZ.bat" "%USERPROFILE%\AppData\Local\Temp\OnboardLogs"\RTDC4022\2017-01-02</v>
      </c>
      <c r="AF103" s="84" t="str">
        <f t="shared" si="34"/>
        <v>"C:\Program Files (x86)\AstroGrep\AstroGrep.exe" /spath="%USERPROFILE%\AppData\Local\Temp\OnboardLogs" /stypes="app*4022*20170101*" /stext=" 22:.+((SYSTEM_STATE.+slice.+state.+changed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8" t="str">
        <f t="shared" si="36"/>
        <v>"%USERPROFILE%\Documents\GitHub\eaglep3\Utilities\RefineRTDCRunTimes.py" --tripid 191-01 --locoid 4022 --swversion DE.1.0.8.0 --startMP 204:426 --initTime 2017-01-01T14:54:08 --startdatetime 2017-01-01T15:00:25 --delay 2 --endMP 204:233351 --enddatetime 2017-01-01T15:37:08 --enforcementcount 0 &gt;&gt;C:\Users\stu\Documents\GitHub\eaglep3-reporting\EC\2017-01-01-refined-times.txt</v>
      </c>
      <c r="AI103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{"issue":{"subject":"","project_id":79,"tracker_id":40,"status_id":1,"priority_id":2,"assigned_to_id":23,"start_date":"2017-01-01","description":"","custom_fields":[{"id":1,"name":"Subdivision","value":"EC"},{"id":4,"name":"Milepost","value":"23.3351"},{"id":17,"name":"Train ID","value":"191-01"},{"id":16,"name":"Locomotive ID","value":"4022"},{"id":130,"name":"Impact","value":""},{"id":150,"name":"Time of Event (Mountain Time)","value":"15:37:08"},{"id":151,"name":"Denver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38"/>
        <v>start /low /b %USERPROFILE%\Documents\GitHub\eaglep3\Utilities\DownloadLogsFromS3.py --loco 4022 --day 2017-01-01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604</v>
      </c>
      <c r="B104" s="7">
        <v>4021</v>
      </c>
      <c r="C104" s="22" t="s">
        <v>205</v>
      </c>
      <c r="D104" s="22" t="s">
        <v>711</v>
      </c>
      <c r="E104" s="13">
        <v>42736.65997685185</v>
      </c>
      <c r="F104" s="13">
        <v>42736.664282407408</v>
      </c>
      <c r="G104" s="7">
        <v>2</v>
      </c>
      <c r="H104" s="22" t="s">
        <v>756</v>
      </c>
      <c r="I104" s="13">
        <v>42736.690474537034</v>
      </c>
      <c r="J104" s="7">
        <v>0</v>
      </c>
      <c r="K104" s="105" t="str">
        <f t="shared" si="21"/>
        <v>4021/4022</v>
      </c>
      <c r="L104" s="22" t="str">
        <f>VLOOKUP(A104,'Trips&amp;Operators'!$C$1:$G$99999,5,FALSE)</f>
        <v>LEVIN SCOTT</v>
      </c>
      <c r="M104" s="6">
        <f t="shared" si="22"/>
        <v>2.619212962599704E-2</v>
      </c>
      <c r="N104" s="7">
        <f t="shared" si="23"/>
        <v>37.716666661435738</v>
      </c>
      <c r="O104" s="7"/>
      <c r="P104" s="7"/>
      <c r="Q104" s="23"/>
      <c r="R104" s="23"/>
      <c r="S104" s="32">
        <f t="shared" si="24"/>
        <v>1</v>
      </c>
      <c r="T104" s="47" t="str">
        <f t="shared" si="25"/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14:50:22-700',mode:absolute,to:'2017-01-01 17:34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4" s="49" t="str">
        <f t="shared" si="27"/>
        <v>N</v>
      </c>
      <c r="X104" s="173">
        <f t="shared" si="28"/>
        <v>1</v>
      </c>
      <c r="Y104" s="64">
        <f t="shared" si="29"/>
        <v>23.303000000000001</v>
      </c>
      <c r="Z104" s="64">
        <f t="shared" si="30"/>
        <v>1.1900000000000001E-2</v>
      </c>
      <c r="AA104" s="64">
        <f t="shared" si="31"/>
        <v>23.2911</v>
      </c>
      <c r="AB104" s="61" t="e">
        <f>VLOOKUP(A104,Enforcements!$C$7:$K$19,8,0)</f>
        <v>#N/A</v>
      </c>
      <c r="AC104" s="57" t="e">
        <f>VLOOKUP(A104,Enforcements!$C$7:$E$19,3,0)</f>
        <v>#N/A</v>
      </c>
      <c r="AD104" s="58" t="str">
        <f t="shared" si="32"/>
        <v>0192-01</v>
      </c>
      <c r="AE104" s="87" t="str">
        <f t="shared" si="33"/>
        <v>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 &amp; 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</v>
      </c>
      <c r="AF104" s="84" t="str">
        <f t="shared" si="34"/>
        <v>"C:\Program Files (x86)\AstroGrep\AstroGrep.exe" /spath="%USERPROFILE%\AppData\Local\Temp\OnboardLogs" /stypes="app*4021*20170101*" /stext=" 23:.+((SYSTEM_STATE.+slice.+state.+changed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8" t="str">
        <f t="shared" si="36"/>
        <v>"%USERPROFILE%\Documents\GitHub\eaglep3\Utilities\RefineRTDCRunTimes.py" --tripid 192-01 --locoid 4021 --swversion DE.1.0.8.0 --startMP 204:233030 --initTime 2017-01-01T15:50:22 --startdatetime 2017-01-01T15:56:34 --delay 2 --endMP 204:119 --enddatetime 2017-01-01T16:34:17 --enforcementcount 0 &gt;&gt;C:\Users\stu\Documents\GitHub\eaglep3-reporting\EC\2017-01-01-refined-times.txt</v>
      </c>
      <c r="AI104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{"issue":{"subject":"","project_id":79,"tracker_id":40,"status_id":1,"priority_id":2,"assigned_to_id":23,"start_date":"2017-01-01","description":"","custom_fields":[{"id":1,"name":"Subdivision","value":"EC"},{"id":4,"name":"Milepost","value":"0.0119"},{"id":17,"name":"Train ID","value":"192-01"},{"id":16,"name":"Locomotive ID","value":"4021"},{"id":130,"name":"Impact","value":""},{"id":150,"name":"Time of Event (Mountain Time)","value":"16:34:17"},{"id":151,"name":"Denver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38"/>
        <v>start /low /b %USERPROFILE%\Documents\GitHub\eaglep3\Utilities\DownloadLogsFromS3.py --loco 4021 --day 2017-01-01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597</v>
      </c>
      <c r="B105" s="7">
        <v>4007</v>
      </c>
      <c r="C105" s="22" t="s">
        <v>205</v>
      </c>
      <c r="D105" s="22" t="s">
        <v>320</v>
      </c>
      <c r="E105" s="13">
        <v>42736.631365740737</v>
      </c>
      <c r="F105" s="13">
        <v>42736.635601851849</v>
      </c>
      <c r="G105" s="7">
        <v>1</v>
      </c>
      <c r="H105" s="22" t="s">
        <v>398</v>
      </c>
      <c r="I105" s="13">
        <v>42736.660104166665</v>
      </c>
      <c r="J105" s="7">
        <v>0</v>
      </c>
      <c r="K105" s="105" t="str">
        <f t="shared" si="21"/>
        <v>4007/4008</v>
      </c>
      <c r="L105" s="22" t="str">
        <f>VLOOKUP(A105,'Trips&amp;Operators'!$C$1:$G$99999,5,FALSE)</f>
        <v>BRUDER RICHARD</v>
      </c>
      <c r="M105" s="6">
        <f t="shared" si="22"/>
        <v>2.4502314816345461E-2</v>
      </c>
      <c r="N105" s="7">
        <f t="shared" si="23"/>
        <v>35.283333335537463</v>
      </c>
      <c r="O105" s="7"/>
      <c r="P105" s="7"/>
      <c r="Q105" s="23"/>
      <c r="R105" s="23"/>
      <c r="S105" s="32">
        <f t="shared" si="24"/>
        <v>1</v>
      </c>
      <c r="T105" s="47" t="str">
        <f t="shared" si="25"/>
        <v>NorthBound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14:09:10-700',mode:absolute,to:'2017-01-01 16:50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5" s="49" t="str">
        <f t="shared" si="27"/>
        <v>N</v>
      </c>
      <c r="X105" s="173">
        <f t="shared" si="28"/>
        <v>1</v>
      </c>
      <c r="Y105" s="64">
        <f t="shared" si="29"/>
        <v>4.5699999999999998E-2</v>
      </c>
      <c r="Z105" s="64">
        <f t="shared" si="30"/>
        <v>23.330500000000001</v>
      </c>
      <c r="AA105" s="64">
        <f t="shared" si="31"/>
        <v>23.284800000000001</v>
      </c>
      <c r="AB105" s="61" t="e">
        <f>VLOOKUP(A105,Enforcements!$C$7:$K$19,8,0)</f>
        <v>#N/A</v>
      </c>
      <c r="AC105" s="57" t="e">
        <f>VLOOKUP(A105,Enforcements!$C$7:$E$19,3,0)</f>
        <v>#N/A</v>
      </c>
      <c r="AD105" s="58" t="str">
        <f t="shared" si="32"/>
        <v>0193-01</v>
      </c>
      <c r="AE105" s="87" t="str">
        <f t="shared" si="33"/>
        <v>aws s3 cp s3://rtdc.mdm.uploadarchive.raw/RTDC4007/ "%USERPROFILE%\AppData\Local\Temp\OnboardLogs"\RTDC4007\2017-01-01 --exclude "*" --recursive --include "*20170101*" &amp; "%USERPROFILE%\Documents\GitHub\mrs-test-scripts\Headless Mode &amp; Sideloading\WalkAndUnGZ.bat" "%USERPROFILE%\AppData\Local\Temp\OnboardLogs"\RTDC4007\2017-01-01 &amp; 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</v>
      </c>
      <c r="AF105" s="84" t="str">
        <f t="shared" si="34"/>
        <v>"C:\Program Files (x86)\AstroGrep\AstroGrep.exe" /spath="%USERPROFILE%\AppData\Local\Temp\OnboardLogs" /stypes="app*4007*20170101*" /stext=" 22:.+((SYSTEM_STATE.+slice.+state.+changed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8" t="str">
        <f t="shared" si="36"/>
        <v>"%USERPROFILE%\Documents\GitHub\eaglep3\Utilities\RefineRTDCRunTimes.py" --tripid 193-01 --locoid 4007 --swversion DE.1.0.8.0 --startMP 204:457 --initTime 2017-01-01T15:09:10 --startdatetime 2017-01-01T15:15:16 --delay 1 --endMP 204:233305 --enddatetime 2017-01-01T15:50:33 --enforcementcount 0 &gt;&gt;C:\Users\stu\Documents\GitHub\eaglep3-reporting\EC\2017-01-01-refined-times.txt</v>
      </c>
      <c r="AI105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{"issue":{"subject":"","project_id":79,"tracker_id":40,"status_id":1,"priority_id":2,"assigned_to_id":23,"start_date":"2017-01-01","description":"","custom_fields":[{"id":1,"name":"Subdivision","value":"EC"},{"id":4,"name":"Milepost","value":"23.3305"},{"id":17,"name":"Train ID","value":"193-01"},{"id":16,"name":"Locomotive ID","value":"4007"},{"id":130,"name":"Impact","value":""},{"id":150,"name":"Time of Event (Mountain Time)","value":"15:50:33"},{"id":151,"name":"Denver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38"/>
        <v>start /low /b %USERPROFILE%\Documents\GitHub\eaglep3\Utilities\DownloadLogsFromS3.py --loco 4007 --day 2017-01-01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453</v>
      </c>
      <c r="B106" s="7">
        <v>4008</v>
      </c>
      <c r="C106" s="22" t="s">
        <v>205</v>
      </c>
      <c r="D106" s="22" t="s">
        <v>339</v>
      </c>
      <c r="E106" s="13">
        <v>42736.670949074076</v>
      </c>
      <c r="F106" s="13">
        <v>42736.674861111111</v>
      </c>
      <c r="G106" s="7">
        <v>1</v>
      </c>
      <c r="H106" s="22" t="s">
        <v>757</v>
      </c>
      <c r="I106" s="13">
        <v>42736.702222222222</v>
      </c>
      <c r="J106" s="7">
        <v>0</v>
      </c>
      <c r="K106" s="105" t="str">
        <f t="shared" si="21"/>
        <v>4007/4008</v>
      </c>
      <c r="L106" s="22" t="str">
        <f>VLOOKUP(A106,'Trips&amp;Operators'!$C$1:$G$99999,5,FALSE)</f>
        <v>BRUDER RICHARD</v>
      </c>
      <c r="M106" s="6">
        <f t="shared" si="22"/>
        <v>2.73611111115315E-2</v>
      </c>
      <c r="N106" s="7">
        <f t="shared" si="23"/>
        <v>39.40000000060536</v>
      </c>
      <c r="O106" s="7"/>
      <c r="P106" s="7"/>
      <c r="Q106" s="23"/>
      <c r="R106" s="23"/>
      <c r="S106" s="32">
        <f t="shared" si="24"/>
        <v>1</v>
      </c>
      <c r="T106" s="47" t="str">
        <f t="shared" si="25"/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15:06:10-700',mode:absolute,to:'2017-01-01 17:51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6" s="49" t="str">
        <f t="shared" si="27"/>
        <v>N</v>
      </c>
      <c r="X106" s="173">
        <f t="shared" si="28"/>
        <v>1</v>
      </c>
      <c r="Y106" s="64">
        <f t="shared" si="29"/>
        <v>23.297499999999999</v>
      </c>
      <c r="Z106" s="64">
        <f t="shared" si="30"/>
        <v>0.11840000000000001</v>
      </c>
      <c r="AA106" s="64">
        <f t="shared" si="31"/>
        <v>23.179099999999998</v>
      </c>
      <c r="AB106" s="61" t="e">
        <f>VLOOKUP(A106,Enforcements!$C$7:$K$19,8,0)</f>
        <v>#N/A</v>
      </c>
      <c r="AC106" s="57" t="e">
        <f>VLOOKUP(A106,Enforcements!$C$7:$E$19,3,0)</f>
        <v>#N/A</v>
      </c>
      <c r="AD106" s="58" t="str">
        <f t="shared" si="32"/>
        <v>0194-01</v>
      </c>
      <c r="AE106" s="87" t="str">
        <f t="shared" si="33"/>
        <v>aws s3 cp s3://rtdc.mdm.uploadarchive.raw/RTDC4008/ "%USERPROFILE%\AppData\Local\Temp\OnboardLogs"\RTDC4008\2017-01-01 --exclude "*" --recursive --include "*20170101*" &amp; "%USERPROFILE%\Documents\GitHub\mrs-test-scripts\Headless Mode &amp; Sideloading\WalkAndUnGZ.bat" "%USERPROFILE%\AppData\Local\Temp\OnboardLogs"\RTDC4008\2017-01-01 &amp; 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</v>
      </c>
      <c r="AF106" s="84" t="str">
        <f t="shared" si="34"/>
        <v>"C:\Program Files (x86)\AstroGrep\AstroGrep.exe" /spath="%USERPROFILE%\AppData\Local\Temp\OnboardLogs" /stypes="app*4008*20170101*" /stext=" 23:.+((SYSTEM_STATE.+slice.+state.+changed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8" t="str">
        <f t="shared" si="36"/>
        <v>"%USERPROFILE%\Documents\GitHub\eaglep3\Utilities\RefineRTDCRunTimes.py" --tripid 194-01 --locoid 4008 --swversion DE.1.0.8.0 --startMP 204:232975 --initTime 2017-01-01T16:06:10 --startdatetime 2017-01-01T16:11:48 --delay 1 --endMP 204:1184 --enddatetime 2017-01-01T16:51:12 --enforcementcount 0 &gt;&gt;C:\Users\stu\Documents\GitHub\eaglep3-reporting\EC\2017-01-01-refined-times.txt</v>
      </c>
      <c r="AI106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{"issue":{"subject":"","project_id":79,"tracker_id":40,"status_id":1,"priority_id":2,"assigned_to_id":23,"start_date":"2017-01-01","description":"","custom_fields":[{"id":1,"name":"Subdivision","value":"EC"},{"id":4,"name":"Milepost","value":"0.1184"},{"id":17,"name":"Train ID","value":"194-01"},{"id":16,"name":"Locomotive ID","value":"4008"},{"id":130,"name":"Impact","value":""},{"id":150,"name":"Time of Event (Mountain Time)","value":"16:51:12"},{"id":151,"name":"Denver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38"/>
        <v>start /low /b %USERPROFILE%\Documents\GitHub\eaglep3\Utilities\DownloadLogsFromS3.py --loco 4008 --day 2017-01-01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451</v>
      </c>
      <c r="B107" s="7">
        <v>4003</v>
      </c>
      <c r="C107" s="22" t="s">
        <v>205</v>
      </c>
      <c r="D107" s="22" t="s">
        <v>193</v>
      </c>
      <c r="E107" s="13">
        <v>42736.641608796293</v>
      </c>
      <c r="F107" s="13">
        <v>42736.646006944444</v>
      </c>
      <c r="G107" s="7">
        <v>1</v>
      </c>
      <c r="H107" s="22" t="s">
        <v>352</v>
      </c>
      <c r="I107" s="13">
        <v>42736.672696759262</v>
      </c>
      <c r="J107" s="7">
        <v>0</v>
      </c>
      <c r="K107" s="105" t="str">
        <f t="shared" si="21"/>
        <v>4003/4004</v>
      </c>
      <c r="L107" s="22" t="str">
        <f>VLOOKUP(A107,'Trips&amp;Operators'!$C$1:$G$99999,5,FALSE)</f>
        <v>LOPES KIMBERLY</v>
      </c>
      <c r="M107" s="6">
        <f t="shared" si="22"/>
        <v>2.6689814818382729E-2</v>
      </c>
      <c r="N107" s="7">
        <f t="shared" si="23"/>
        <v>38.43333333847113</v>
      </c>
      <c r="O107" s="7"/>
      <c r="P107" s="7"/>
      <c r="Q107" s="23"/>
      <c r="R107" s="23"/>
      <c r="S107" s="32">
        <f t="shared" si="24"/>
        <v>1</v>
      </c>
      <c r="T107" s="47" t="str">
        <f t="shared" si="25"/>
        <v>NorthBound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14:23:55-700',mode:absolute,to:'2017-01-01 17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7" s="49" t="str">
        <f t="shared" si="27"/>
        <v>N</v>
      </c>
      <c r="X107" s="173">
        <f t="shared" si="28"/>
        <v>1</v>
      </c>
      <c r="Y107" s="64">
        <f t="shared" si="29"/>
        <v>4.4699999999999997E-2</v>
      </c>
      <c r="Z107" s="64">
        <f t="shared" si="30"/>
        <v>23.331</v>
      </c>
      <c r="AA107" s="64">
        <f t="shared" si="31"/>
        <v>23.286300000000001</v>
      </c>
      <c r="AB107" s="61" t="str">
        <f>VLOOKUP(A107,Enforcements!$C$7:$K$19,8,0)</f>
        <v>Signal based authority (5)</v>
      </c>
      <c r="AC107" s="57" t="str">
        <f>VLOOKUP(A107,Enforcements!$C$7:$E$19,3,0)</f>
        <v>SIGNAL</v>
      </c>
      <c r="AD107" s="58" t="str">
        <f t="shared" si="32"/>
        <v>0195-01</v>
      </c>
      <c r="AE107" s="87" t="str">
        <f t="shared" si="33"/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AF107" s="84" t="str">
        <f t="shared" si="34"/>
        <v>"C:\Program Files (x86)\AstroGrep\AstroGrep.exe" /spath="%USERPROFILE%\AppData\Local\Temp\OnboardLogs" /stypes="app*4003*20170101*"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8" t="str">
        <f t="shared" si="36"/>
        <v>"%USERPROFILE%\Documents\GitHub\eaglep3\Utilities\RefineRTDCRunTimes.py" --tripid 195-01 --locoid 4003 --swversion DE.1.0.8.0 --startMP 204:447 --initTime 2017-01-01T15:23:55 --startdatetime 2017-01-01T15:30:15 --delay 1 --endMP 204:233310 --enddatetime 2017-01-01T16:08:41 --enforcementcount 0 &gt;&gt;C:\Users\stu\Documents\GitHub\eaglep3-reporting\EC\2017-01-01-refined-times.txt</v>
      </c>
      <c r="AI107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{"issue":{"subject":"","project_id":79,"tracker_id":40,"status_id":1,"priority_id":2,"assigned_to_id":23,"start_date":"2017-01-01","description":"","custom_fields":[{"id":1,"name":"Subdivision","value":"EC"},{"id":4,"name":"Milepost","value":"23.331"},{"id":17,"name":"Train ID","value":"195-01"},{"id":16,"name":"Locomotive ID","value":"4003"},{"id":130,"name":"Impact","value":""},{"id":150,"name":"Time of Event (Mountain Time)","value":"16:08:41"},{"id":151,"name":"Denver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38"/>
        <v>start /low /b %USERPROFILE%\Documents\GitHub\eaglep3\Utilities\DownloadLogsFromS3.py --loco 4003 --day 2017-01-01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609</v>
      </c>
      <c r="B108" s="7">
        <v>4004</v>
      </c>
      <c r="C108" s="22" t="s">
        <v>205</v>
      </c>
      <c r="D108" s="22" t="s">
        <v>716</v>
      </c>
      <c r="E108" s="13">
        <v>42736.676388888889</v>
      </c>
      <c r="F108" s="13">
        <v>42736.684872685182</v>
      </c>
      <c r="G108" s="7">
        <v>1</v>
      </c>
      <c r="H108" s="22" t="s">
        <v>297</v>
      </c>
      <c r="I108" s="13">
        <v>42736.711423611108</v>
      </c>
      <c r="J108" s="7">
        <v>0</v>
      </c>
      <c r="K108" s="105" t="str">
        <f t="shared" si="21"/>
        <v>4003/4004</v>
      </c>
      <c r="L108" s="22" t="str">
        <f>VLOOKUP(A108,'Trips&amp;Operators'!$C$1:$G$99999,5,FALSE)</f>
        <v>LOPES KIMBERLY</v>
      </c>
      <c r="M108" s="6">
        <f t="shared" si="22"/>
        <v>2.6550925926130731E-2</v>
      </c>
      <c r="N108" s="7">
        <f t="shared" si="23"/>
        <v>38.233333333628252</v>
      </c>
      <c r="O108" s="7"/>
      <c r="P108" s="7"/>
      <c r="Q108" s="23"/>
      <c r="R108" s="23"/>
      <c r="S108" s="32">
        <f t="shared" si="24"/>
        <v>1</v>
      </c>
      <c r="T108" s="47" t="str">
        <f t="shared" si="25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15:14:00-700',mode:absolute,to:'2017-01-01 18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8" s="49" t="str">
        <f t="shared" si="27"/>
        <v>N</v>
      </c>
      <c r="X108" s="173">
        <f t="shared" si="28"/>
        <v>1</v>
      </c>
      <c r="Y108" s="64">
        <f t="shared" si="29"/>
        <v>23.298300000000001</v>
      </c>
      <c r="Z108" s="64">
        <f t="shared" si="30"/>
        <v>1.52E-2</v>
      </c>
      <c r="AA108" s="64">
        <f t="shared" si="31"/>
        <v>23.283100000000001</v>
      </c>
      <c r="AB108" s="61" t="e">
        <f>VLOOKUP(A108,Enforcements!$C$7:$K$19,8,0)</f>
        <v>#N/A</v>
      </c>
      <c r="AC108" s="57" t="e">
        <f>VLOOKUP(A108,Enforcements!$C$7:$E$19,3,0)</f>
        <v>#N/A</v>
      </c>
      <c r="AD108" s="58" t="str">
        <f t="shared" si="32"/>
        <v>0196-01</v>
      </c>
      <c r="AE108" s="87" t="str">
        <f t="shared" si="33"/>
        <v>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 &amp; aws s3 cp s3://rtdc.mdm.uploadarchive.raw/RTDC4004/ "%USERPROFILE%\AppData\Local\Temp\OnboardLogs"\RTDC4004\2017-01-02 --exclude "*" --recursive --include "*20170102*" &amp; "%USERPROFILE%\Documents\GitHub\mrs-test-scripts\Headless Mode &amp; Sideloading\WalkAndUnGZ.bat" "%USERPROFILE%\AppData\Local\Temp\OnboardLogs"\RTDC4004\2017-01-02</v>
      </c>
      <c r="AF108" s="84" t="str">
        <f t="shared" si="34"/>
        <v>"C:\Program Files (x86)\AstroGrep\AstroGrep.exe" /spath="%USERPROFILE%\AppData\Local\Temp\OnboardLogs" /stypes="app*4004*20170102*" /stext=" 00:.+((SYSTEM_STATE.+slice.+state.+changed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8" t="str">
        <f t="shared" si="36"/>
        <v>"%USERPROFILE%\Documents\GitHub\eaglep3\Utilities\RefineRTDCRunTimes.py" --tripid 196-01 --locoid 4004 --swversion DE.1.0.8.0 --startMP 204:232983 --initTime 2017-01-01T16:14:00 --startdatetime 2017-01-01T16:26:13 --delay 1 --endMP 204:152 --enddatetime 2017-01-01T17:04:27 --enforcementcount 0 &gt;&gt;C:\Users\stu\Documents\GitHub\eaglep3-reporting\EC\2017-01-01-refined-times.txt</v>
      </c>
      <c r="AI108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{"issue":{"subject":"","project_id":79,"tracker_id":40,"status_id":1,"priority_id":2,"assigned_to_id":23,"start_date":"2017-01-01","description":"","custom_fields":[{"id":1,"name":"Subdivision","value":"EC"},{"id":4,"name":"Milepost","value":"0.0152"},{"id":17,"name":"Train ID","value":"196-01"},{"id":16,"name":"Locomotive ID","value":"4004"},{"id":130,"name":"Impact","value":""},{"id":150,"name":"Time of Event (Mountain Time)","value":"17:04:27"},{"id":151,"name":"Denver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38"/>
        <v>start /low /b %USERPROFILE%\Documents\GitHub\eaglep3\Utilities\DownloadLogsFromS3.py --loco 4004 --day 2017-01-01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452</v>
      </c>
      <c r="B109" s="7">
        <v>4014</v>
      </c>
      <c r="C109" s="22" t="s">
        <v>205</v>
      </c>
      <c r="D109" s="22" t="s">
        <v>249</v>
      </c>
      <c r="E109" s="13">
        <v>42736.651469907411</v>
      </c>
      <c r="F109" s="13">
        <v>42736.656782407408</v>
      </c>
      <c r="G109" s="7">
        <v>1</v>
      </c>
      <c r="H109" s="22" t="s">
        <v>292</v>
      </c>
      <c r="I109" s="13">
        <v>42736.681192129632</v>
      </c>
      <c r="J109" s="7">
        <v>0</v>
      </c>
      <c r="K109" s="105" t="str">
        <f t="shared" si="21"/>
        <v>4013/4014</v>
      </c>
      <c r="L109" s="22" t="str">
        <f>VLOOKUP(A109,'Trips&amp;Operators'!$C$1:$G$99999,5,FALSE)</f>
        <v>ADANE ELSHADAY</v>
      </c>
      <c r="M109" s="6">
        <f t="shared" si="22"/>
        <v>2.4409722223936114E-2</v>
      </c>
      <c r="N109" s="7">
        <f t="shared" si="23"/>
        <v>35.150000002468005</v>
      </c>
      <c r="O109" s="7"/>
      <c r="P109" s="7"/>
      <c r="Q109" s="23"/>
      <c r="R109" s="23"/>
      <c r="S109" s="32">
        <f t="shared" si="24"/>
        <v>1</v>
      </c>
      <c r="T109" s="47" t="str">
        <f t="shared" si="25"/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14:38:07-700',mode:absolute,to:'2017-01-01 17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9" s="49" t="str">
        <f t="shared" si="27"/>
        <v>N</v>
      </c>
      <c r="X109" s="173">
        <f t="shared" si="28"/>
        <v>1</v>
      </c>
      <c r="Y109" s="64">
        <f t="shared" si="29"/>
        <v>4.53E-2</v>
      </c>
      <c r="Z109" s="64">
        <f t="shared" si="30"/>
        <v>23.330100000000002</v>
      </c>
      <c r="AA109" s="64">
        <f t="shared" si="31"/>
        <v>23.284800000000001</v>
      </c>
      <c r="AB109" s="61" t="str">
        <f>VLOOKUP(A109,Enforcements!$C$7:$K$19,8,0)</f>
        <v>Speed (6)</v>
      </c>
      <c r="AC109" s="57" t="str">
        <f>VLOOKUP(A109,Enforcements!$C$7:$E$19,3,0)</f>
        <v>PERMANENT SPEED RESTRICTION</v>
      </c>
      <c r="AD109" s="58" t="str">
        <f t="shared" si="32"/>
        <v>0197-01</v>
      </c>
      <c r="AE109" s="87" t="str">
        <f t="shared" si="33"/>
        <v>aws s3 cp s3://rtdc.mdm.uploadarchive.raw/RTDC4014/ "%USERPROFILE%\AppData\Local\Temp\OnboardLogs"\RTDC4014\2017-01-01 --exclude "*" --recursive --include "*20170101*" &amp; "%USERPROFILE%\Documents\GitHub\mrs-test-scripts\Headless Mode &amp; Sideloading\WalkAndUnGZ.bat" "%USERPROFILE%\AppData\Local\Temp\OnboardLogs"\RTDC4014\2017-01-01 &amp; 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</v>
      </c>
      <c r="AF109" s="84" t="str">
        <f t="shared" si="34"/>
        <v>"C:\Program Files (x86)\AstroGrep\AstroGrep.exe" /spath="%USERPROFILE%\AppData\Local\Temp\OnboardLogs" /stypes="app*4014*20170101*" /stext=" 23:.+((SYSTEM_STATE.+slice.+state.+changed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8" t="str">
        <f t="shared" si="36"/>
        <v>"%USERPROFILE%\Documents\GitHub\eaglep3\Utilities\RefineRTDCRunTimes.py" --tripid 197-01 --locoid 4014 --swversion DE.1.0.8.0 --startMP 204:453 --initTime 2017-01-01T15:38:07 --startdatetime 2017-01-01T15:45:46 --delay 1 --endMP 204:233301 --enddatetime 2017-01-01T16:20:55 --enforcementcount 0 &gt;&gt;C:\Users\stu\Documents\GitHub\eaglep3-reporting\EC\2017-01-01-refined-times.txt</v>
      </c>
      <c r="AI109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{"issue":{"subject":"","project_id":79,"tracker_id":40,"status_id":1,"priority_id":2,"assigned_to_id":23,"start_date":"2017-01-01","description":"","custom_fields":[{"id":1,"name":"Subdivision","value":"EC"},{"id":4,"name":"Milepost","value":"23.3301"},{"id":17,"name":"Train ID","value":"197-01"},{"id":16,"name":"Locomotive ID","value":"4014"},{"id":130,"name":"Impact","value":""},{"id":150,"name":"Time of Event (Mountain Time)","value":"16:20:55"},{"id":151,"name":"Denver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38"/>
        <v>start /low /b %USERPROFILE%\Documents\GitHub\eaglep3\Utilities\DownloadLogsFromS3.py --loco 4014 --day 2017-01-01</v>
      </c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456</v>
      </c>
      <c r="B110" s="7">
        <v>4013</v>
      </c>
      <c r="C110" s="22" t="s">
        <v>205</v>
      </c>
      <c r="D110" s="22" t="s">
        <v>328</v>
      </c>
      <c r="E110" s="13">
        <v>42736.684363425928</v>
      </c>
      <c r="F110" s="13">
        <v>42736.695520833331</v>
      </c>
      <c r="G110" s="7">
        <v>1</v>
      </c>
      <c r="H110" s="22" t="s">
        <v>224</v>
      </c>
      <c r="I110" s="13">
        <v>42736.722708333335</v>
      </c>
      <c r="J110" s="7">
        <v>0</v>
      </c>
      <c r="K110" s="105" t="str">
        <f t="shared" si="21"/>
        <v>4013/4014</v>
      </c>
      <c r="L110" s="22" t="str">
        <f>VLOOKUP(A110,'Trips&amp;Operators'!$C$1:$G$99999,5,FALSE)</f>
        <v>ADANE ELSHADAY</v>
      </c>
      <c r="M110" s="6">
        <f t="shared" si="22"/>
        <v>2.718750000349246E-2</v>
      </c>
      <c r="N110" s="7">
        <f t="shared" si="23"/>
        <v>39.150000005029142</v>
      </c>
      <c r="O110" s="7"/>
      <c r="P110" s="7"/>
      <c r="Q110" s="23"/>
      <c r="R110" s="23"/>
      <c r="S110" s="32">
        <f t="shared" si="24"/>
        <v>1</v>
      </c>
      <c r="T110" s="47" t="str">
        <f t="shared" si="25"/>
        <v>Southbound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15:25:29-700',mode:absolute,to:'2017-01-01 18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0" s="49" t="str">
        <f t="shared" si="27"/>
        <v>N</v>
      </c>
      <c r="X110" s="173">
        <f t="shared" si="28"/>
        <v>1</v>
      </c>
      <c r="Y110" s="64">
        <f t="shared" si="29"/>
        <v>23.2988</v>
      </c>
      <c r="Z110" s="64">
        <f t="shared" si="30"/>
        <v>1.54E-2</v>
      </c>
      <c r="AA110" s="64">
        <f t="shared" si="31"/>
        <v>23.2834</v>
      </c>
      <c r="AB110" s="61" t="str">
        <f>VLOOKUP(A110,Enforcements!$C$7:$K$19,8,0)</f>
        <v>Bulletin (2)</v>
      </c>
      <c r="AC110" s="57" t="str">
        <f>VLOOKUP(A110,Enforcements!$C$7:$E$19,3,0)</f>
        <v>GRADE CROSSING</v>
      </c>
      <c r="AD110" s="58" t="str">
        <f t="shared" si="32"/>
        <v>0198-01</v>
      </c>
      <c r="AE110" s="87" t="str">
        <f t="shared" si="33"/>
        <v>aws s3 cp s3://rtdc.mdm.uploadarchive.raw/RTDC4013/ "%USERPROFILE%\AppData\Local\Temp\OnboardLogs"\RTDC4013\2017-01-01 --exclude "*" --recursive --include "*20170101*" &amp; "%USERPROFILE%\Documents\GitHub\mrs-test-scripts\Headless Mode &amp; Sideloading\WalkAndUnGZ.bat" "%USERPROFILE%\AppData\Local\Temp\OnboardLogs"\RTDC4013\2017-01-01 &amp; 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</v>
      </c>
      <c r="AF110" s="84" t="str">
        <f t="shared" si="34"/>
        <v>"C:\Program Files (x86)\AstroGrep\AstroGrep.exe" /spath="%USERPROFILE%\AppData\Local\Temp\OnboardLogs" /stypes="app*4013*20170102*" /stext=" 00:.+((SYSTEM_STATE.+slice.+state.+changed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8" t="str">
        <f t="shared" si="36"/>
        <v>"%USERPROFILE%\Documents\GitHub\eaglep3\Utilities\RefineRTDCRunTimes.py" --tripid 198-01 --locoid 4013 --swversion DE.1.0.8.0 --startMP 204:232988 --initTime 2017-01-01T16:25:29 --startdatetime 2017-01-01T16:41:33 --delay 1 --endMP 204:154 --enddatetime 2017-01-01T17:20:42 --enforcementcount 0 &gt;&gt;C:\Users\stu\Documents\GitHub\eaglep3-reporting\EC\2017-01-01-refined-times.txt</v>
      </c>
      <c r="AI110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{"issue":{"subject":"","project_id":79,"tracker_id":40,"status_id":1,"priority_id":2,"assigned_to_id":23,"start_date":"2017-01-01","description":"","custom_fields":[{"id":1,"name":"Subdivision","value":"EC"},{"id":4,"name":"Milepost","value":"0.0154"},{"id":17,"name":"Train ID","value":"198-01"},{"id":16,"name":"Locomotive ID","value":"4013"},{"id":130,"name":"Impact","value":""},{"id":150,"name":"Time of Event (Mountain Time)","value":"17:20:42"},{"id":151,"name":"Denver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38"/>
        <v>start /low /b %USERPROFILE%\Documents\GitHub\eaglep3\Utilities\DownloadLogsFromS3.py --loco 4013 --day 2017-01-01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605</v>
      </c>
      <c r="B111" s="7">
        <v>4002</v>
      </c>
      <c r="C111" s="22" t="s">
        <v>205</v>
      </c>
      <c r="D111" s="22" t="s">
        <v>758</v>
      </c>
      <c r="E111" s="13">
        <v>42736.66196759259</v>
      </c>
      <c r="F111" s="13">
        <v>42736.666851851849</v>
      </c>
      <c r="G111" s="7">
        <v>1</v>
      </c>
      <c r="H111" s="22" t="s">
        <v>293</v>
      </c>
      <c r="I111" s="13">
        <v>42736.692766203705</v>
      </c>
      <c r="J111" s="7">
        <v>0</v>
      </c>
      <c r="K111" s="105" t="str">
        <f t="shared" si="21"/>
        <v>4001/4002</v>
      </c>
      <c r="L111" s="22" t="str">
        <f>VLOOKUP(A111,'Trips&amp;Operators'!$C$1:$G$99999,5,FALSE)</f>
        <v>KILLION DAVID</v>
      </c>
      <c r="M111" s="6">
        <f t="shared" si="22"/>
        <v>2.5914351856044959E-2</v>
      </c>
      <c r="N111" s="7">
        <f t="shared" si="23"/>
        <v>37.316666672704741</v>
      </c>
      <c r="O111" s="7"/>
      <c r="P111" s="7"/>
      <c r="Q111" s="23"/>
      <c r="R111" s="23"/>
      <c r="S111" s="32">
        <f t="shared" si="24"/>
        <v>1</v>
      </c>
      <c r="T111" s="47" t="str">
        <f t="shared" si="25"/>
        <v>NorthBound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14:53:14-700',mode:absolute,to:'2017-01-01 17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1" s="49" t="str">
        <f t="shared" si="27"/>
        <v>N</v>
      </c>
      <c r="X111" s="173">
        <f t="shared" si="28"/>
        <v>1</v>
      </c>
      <c r="Y111" s="64">
        <f t="shared" si="29"/>
        <v>4.4600000000000001E-2</v>
      </c>
      <c r="Z111" s="64">
        <f t="shared" si="30"/>
        <v>23.329699999999999</v>
      </c>
      <c r="AA111" s="64">
        <f t="shared" si="31"/>
        <v>23.2851</v>
      </c>
      <c r="AB111" s="61" t="e">
        <f>VLOOKUP(A111,Enforcements!$C$7:$K$19,8,0)</f>
        <v>#N/A</v>
      </c>
      <c r="AC111" s="57" t="e">
        <f>VLOOKUP(A111,Enforcements!$C$7:$E$19,3,0)</f>
        <v>#N/A</v>
      </c>
      <c r="AD111" s="58" t="str">
        <f t="shared" si="32"/>
        <v>0199-01</v>
      </c>
      <c r="AE111" s="87" t="str">
        <f t="shared" si="33"/>
        <v>aws s3 cp s3://rtdc.mdm.uploadarchive.raw/RTDC4002/ "%USERPROFILE%\AppData\Local\Temp\OnboardLogs"\RTDC4002\2017-01-01 --exclude "*" --recursive --include "*20170101*" &amp; "%USERPROFILE%\Documents\GitHub\mrs-test-scripts\Headless Mode &amp; Sideloading\WalkAndUnGZ.bat" "%USERPROFILE%\AppData\Local\Temp\OnboardLogs"\RTDC4002\2017-01-01 &amp; aws s3 cp s3://rtdc.mdm.uploadarchive.raw/RTDC4002/ "%USERPROFILE%\AppData\Local\Temp\OnboardLogs"\RTDC4002\2017-01-02 --exclude "*" --recursive --include "*20170102*" &amp; "%USERPROFILE%\Documents\GitHub\mrs-test-scripts\Headless Mode &amp; Sideloading\WalkAndUnGZ.bat" "%USERPROFILE%\AppData\Local\Temp\OnboardLogs"\RTDC4002\2017-01-02</v>
      </c>
      <c r="AF111" s="84" t="str">
        <f t="shared" si="34"/>
        <v>"C:\Program Files (x86)\AstroGrep\AstroGrep.exe" /spath="%USERPROFILE%\AppData\Local\Temp\OnboardLogs" /stypes="app*4002*20170101*" /stext=" 23:.+((SYSTEM_STATE.+slice.+state.+changed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8" t="str">
        <f t="shared" si="36"/>
        <v>"%USERPROFILE%\Documents\GitHub\eaglep3\Utilities\RefineRTDCRunTimes.py" --tripid 199-01 --locoid 4002 --swversion DE.1.0.8.0 --startMP 204:446 --initTime 2017-01-01T15:53:14 --startdatetime 2017-01-01T16:00:16 --delay 1 --endMP 204:233297 --enddatetime 2017-01-01T16:37:35 --enforcementcount 0 &gt;&gt;C:\Users\stu\Documents\GitHub\eaglep3-reporting\EC\2017-01-01-refined-times.txt</v>
      </c>
      <c r="AI111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{"issue":{"subject":"","project_id":79,"tracker_id":40,"status_id":1,"priority_id":2,"assigned_to_id":23,"start_date":"2017-01-01","description":"","custom_fields":[{"id":1,"name":"Subdivision","value":"EC"},{"id":4,"name":"Milepost","value":"23.3297"},{"id":17,"name":"Train ID","value":"199-01"},{"id":16,"name":"Locomotive ID","value":"4002"},{"id":130,"name":"Impact","value":""},{"id":150,"name":"Time of Event (Mountain Time)","value":"16:37:35"},{"id":151,"name":"Denver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38"/>
        <v>start /low /b %USERPROFILE%\Documents\GitHub\eaglep3\Utilities\DownloadLogsFromS3.py --loco 4002 --day 2017-01-01</v>
      </c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x14ac:dyDescent="0.25">
      <c r="A112" s="34" t="s">
        <v>457</v>
      </c>
      <c r="B112" s="7">
        <v>4001</v>
      </c>
      <c r="C112" s="22" t="s">
        <v>205</v>
      </c>
      <c r="D112" s="22" t="s">
        <v>759</v>
      </c>
      <c r="E112" s="13">
        <v>42736.702002314814</v>
      </c>
      <c r="F112" s="13">
        <v>42736.705937500003</v>
      </c>
      <c r="G112" s="7">
        <v>1</v>
      </c>
      <c r="H112" s="22" t="s">
        <v>304</v>
      </c>
      <c r="I112" s="13">
        <v>42736.733981481484</v>
      </c>
      <c r="J112" s="7">
        <v>0</v>
      </c>
      <c r="K112" s="105" t="str">
        <f t="shared" si="21"/>
        <v>4001/4002</v>
      </c>
      <c r="L112" s="22" t="str">
        <f>VLOOKUP(A112,'Trips&amp;Operators'!$C$1:$G$99999,5,FALSE)</f>
        <v>KILLION DAVID</v>
      </c>
      <c r="M112" s="6">
        <f t="shared" si="22"/>
        <v>2.8043981481459923E-2</v>
      </c>
      <c r="N112" s="7">
        <f t="shared" si="23"/>
        <v>40.383333333302289</v>
      </c>
      <c r="O112" s="7"/>
      <c r="P112" s="7"/>
      <c r="Q112" s="23"/>
      <c r="R112" s="23"/>
      <c r="S112" s="32">
        <f t="shared" si="24"/>
        <v>1</v>
      </c>
      <c r="T112" s="47" t="str">
        <f t="shared" si="25"/>
        <v>Southbound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15:50:53-700',mode:absolute,to:'2017-01-01 18:36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2" s="49" t="str">
        <f t="shared" si="27"/>
        <v>N</v>
      </c>
      <c r="X112" s="173">
        <f t="shared" si="28"/>
        <v>1</v>
      </c>
      <c r="Y112" s="64">
        <f t="shared" si="29"/>
        <v>23.2972</v>
      </c>
      <c r="Z112" s="64">
        <f t="shared" si="30"/>
        <v>1.5800000000000002E-2</v>
      </c>
      <c r="AA112" s="64">
        <f t="shared" si="31"/>
        <v>23.281400000000001</v>
      </c>
      <c r="AB112" s="61" t="e">
        <f>VLOOKUP(A112,Enforcements!$C$7:$K$19,8,0)</f>
        <v>#N/A</v>
      </c>
      <c r="AC112" s="57" t="e">
        <f>VLOOKUP(A112,Enforcements!$C$7:$E$19,3,0)</f>
        <v>#N/A</v>
      </c>
      <c r="AD112" s="58" t="str">
        <f t="shared" si="32"/>
        <v>0200-01</v>
      </c>
      <c r="AE112" s="87" t="str">
        <f t="shared" si="33"/>
        <v>aws s3 cp s3://rtdc.mdm.uploadarchive.raw/RTDC4001/ "%USERPROFILE%\AppData\Local\Temp\OnboardLogs"\RTDC4001\2017-01-01 --exclude "*" --recursive --include "*20170101*" &amp; "%USERPROFILE%\Documents\GitHub\mrs-test-scripts\Headless Mode &amp; Sideloading\WalkAndUnGZ.bat" "%USERPROFILE%\AppData\Local\Temp\OnboardLogs"\RTDC4001\2017-01-01 &amp; aws s3 cp s3://rtdc.mdm.uploadarchive.raw/RTDC4001/ "%USERPROFILE%\AppData\Local\Temp\OnboardLogs"\RTDC4001\2017-01-02 --exclude "*" --recursive --include "*20170102*" &amp; "%USERPROFILE%\Documents\GitHub\mrs-test-scripts\Headless Mode &amp; Sideloading\WalkAndUnGZ.bat" "%USERPROFILE%\AppData\Local\Temp\OnboardLogs"\RTDC4001\2017-01-02</v>
      </c>
      <c r="AF112" s="84" t="str">
        <f t="shared" si="34"/>
        <v>"C:\Program Files (x86)\AstroGrep\AstroGrep.exe" /spath="%USERPROFILE%\AppData\Local\Temp\OnboardLogs" /stypes="app*4001*20170102*" /stext=" 00:.+((SYSTEM_STATE.+slice.+state.+changed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8" t="str">
        <f t="shared" si="36"/>
        <v>"%USERPROFILE%\Documents\GitHub\eaglep3\Utilities\RefineRTDCRunTimes.py" --tripid 200-01 --locoid 4001 --swversion DE.1.0.8.0 --startMP 204:232972 --initTime 2017-01-01T16:50:53 --startdatetime 2017-01-01T16:56:33 --delay 1 --endMP 204:158 --enddatetime 2017-01-01T17:36:56 --enforcementcount 0 &gt;&gt;C:\Users\stu\Documents\GitHub\eaglep3-reporting\EC\2017-01-01-refined-times.txt</v>
      </c>
      <c r="AI112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{"issue":{"subject":"","project_id":79,"tracker_id":40,"status_id":1,"priority_id":2,"assigned_to_id":23,"start_date":"2017-01-01","description":"","custom_fields":[{"id":1,"name":"Subdivision","value":"EC"},{"id":4,"name":"Milepost","value":"0.0158"},{"id":17,"name":"Train ID","value":"200-01"},{"id":16,"name":"Locomotive ID","value":"4001"},{"id":130,"name":"Impact","value":""},{"id":150,"name":"Time of Event (Mountain Time)","value":"17:36:56"},{"id":151,"name":"Denver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38"/>
        <v>start /low /b %USERPROFILE%\Documents\GitHub\eaglep3\Utilities\DownloadLogsFromS3.py --loco 4001 --day 2017-01-01</v>
      </c>
    </row>
    <row r="113" spans="1:91" s="21" customFormat="1" x14ac:dyDescent="0.25">
      <c r="A113" s="34" t="s">
        <v>606</v>
      </c>
      <c r="B113" s="7">
        <v>4042</v>
      </c>
      <c r="C113" s="22" t="s">
        <v>205</v>
      </c>
      <c r="D113" s="22" t="s">
        <v>329</v>
      </c>
      <c r="E113" s="13">
        <v>42736.673344907409</v>
      </c>
      <c r="F113" s="13">
        <v>42736.67732638889</v>
      </c>
      <c r="G113" s="7">
        <v>3</v>
      </c>
      <c r="H113" s="22" t="s">
        <v>340</v>
      </c>
      <c r="I113" s="13">
        <v>42736.702048611114</v>
      </c>
      <c r="J113" s="7">
        <v>0</v>
      </c>
      <c r="K113" s="105" t="str">
        <f t="shared" si="21"/>
        <v>4041/4042</v>
      </c>
      <c r="L113" s="22" t="str">
        <f>VLOOKUP(A113,'Trips&amp;Operators'!$C$1:$G$99999,5,FALSE)</f>
        <v>STEWART MICHAEL</v>
      </c>
      <c r="M113" s="6">
        <f t="shared" si="22"/>
        <v>2.4722222224227153E-2</v>
      </c>
      <c r="N113" s="7">
        <f t="shared" si="23"/>
        <v>35.6000000028871</v>
      </c>
      <c r="O113" s="7"/>
      <c r="P113" s="7"/>
      <c r="Q113" s="23"/>
      <c r="R113" s="23"/>
      <c r="S113" s="32">
        <f t="shared" si="24"/>
        <v>1</v>
      </c>
      <c r="T113" s="47" t="str">
        <f t="shared" si="25"/>
        <v>NorthBound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15:09:37-700',mode:absolute,to:'2017-01-01 17:50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3" s="49" t="str">
        <f t="shared" si="27"/>
        <v>N</v>
      </c>
      <c r="X113" s="173">
        <f t="shared" si="28"/>
        <v>1</v>
      </c>
      <c r="Y113" s="64">
        <f t="shared" si="29"/>
        <v>4.4400000000000002E-2</v>
      </c>
      <c r="Z113" s="64">
        <f t="shared" si="30"/>
        <v>23.327000000000002</v>
      </c>
      <c r="AA113" s="64">
        <f t="shared" si="31"/>
        <v>23.282600000000002</v>
      </c>
      <c r="AB113" s="61" t="e">
        <f>VLOOKUP(A113,Enforcements!$C$7:$K$19,8,0)</f>
        <v>#N/A</v>
      </c>
      <c r="AC113" s="57" t="e">
        <f>VLOOKUP(A113,Enforcements!$C$7:$E$19,3,0)</f>
        <v>#N/A</v>
      </c>
      <c r="AD113" s="58" t="str">
        <f t="shared" si="32"/>
        <v>0201-01</v>
      </c>
      <c r="AE113" s="87" t="str">
        <f t="shared" si="33"/>
        <v>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 &amp; 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</v>
      </c>
      <c r="AF113" s="84" t="str">
        <f t="shared" si="34"/>
        <v>"C:\Program Files (x86)\AstroGrep\AstroGrep.exe" /spath="%USERPROFILE%\AppData\Local\Temp\OnboardLogs" /stypes="app*4042*20170101*" /stext=" 23:.+((SYSTEM_STATE.+slice.+state.+changed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8" t="str">
        <f t="shared" si="36"/>
        <v>"%USERPROFILE%\Documents\GitHub\eaglep3\Utilities\RefineRTDCRunTimes.py" --tripid 201-01 --locoid 4042 --swversion DE.1.0.8.0 --startMP 204:444 --initTime 2017-01-01T16:09:37 --startdatetime 2017-01-01T16:15:21 --delay 3 --endMP 204:233270 --enddatetime 2017-01-01T16:50:57 --enforcementcount 0 &gt;&gt;C:\Users\stu\Documents\GitHub\eaglep3-reporting\EC\2017-01-01-refined-times.txt</v>
      </c>
      <c r="AI113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{"issue":{"subject":"","project_id":79,"tracker_id":40,"status_id":1,"priority_id":2,"assigned_to_id":23,"start_date":"2017-01-01","description":"","custom_fields":[{"id":1,"name":"Subdivision","value":"EC"},{"id":4,"name":"Milepost","value":"23.327"},{"id":17,"name":"Train ID","value":"201-01"},{"id":16,"name":"Locomotive ID","value":"4042"},{"id":130,"name":"Impact","value":""},{"id":150,"name":"Time of Event (Mountain Time)","value":"16:50:57"},{"id":151,"name":"Denver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38"/>
        <v>start /low /b %USERPROFILE%\Documents\GitHub\eaglep3\Utilities\DownloadLogsFromS3.py --loco 4042 --day 2017-01-01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614</v>
      </c>
      <c r="B114" s="7">
        <v>4041</v>
      </c>
      <c r="C114" s="22" t="s">
        <v>205</v>
      </c>
      <c r="D114" s="22" t="s">
        <v>272</v>
      </c>
      <c r="E114" s="13">
        <v>42736.711377314816</v>
      </c>
      <c r="F114" s="13">
        <v>42736.716203703705</v>
      </c>
      <c r="G114" s="7">
        <v>1</v>
      </c>
      <c r="H114" s="22" t="s">
        <v>304</v>
      </c>
      <c r="I114" s="13">
        <v>42736.743495370371</v>
      </c>
      <c r="J114" s="7">
        <v>0</v>
      </c>
      <c r="K114" s="105" t="str">
        <f t="shared" si="21"/>
        <v>4041/4042</v>
      </c>
      <c r="L114" s="22" t="str">
        <f>VLOOKUP(A114,'Trips&amp;Operators'!$C$1:$G$99999,5,FALSE)</f>
        <v>STEWART MICHAEL</v>
      </c>
      <c r="M114" s="6">
        <f t="shared" si="22"/>
        <v>2.7291666665405501E-2</v>
      </c>
      <c r="N114" s="7">
        <f t="shared" si="23"/>
        <v>39.299999998183921</v>
      </c>
      <c r="O114" s="7"/>
      <c r="P114" s="7"/>
      <c r="Q114" s="23"/>
      <c r="R114" s="23"/>
      <c r="S114" s="32">
        <f t="shared" si="24"/>
        <v>1</v>
      </c>
      <c r="T114" s="47" t="str">
        <f t="shared" si="25"/>
        <v>Southbound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16:04:23-700',mode:absolute,to:'2017-01-01 18:50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4" s="49" t="str">
        <f t="shared" si="27"/>
        <v>N</v>
      </c>
      <c r="X114" s="173">
        <f t="shared" si="28"/>
        <v>1</v>
      </c>
      <c r="Y114" s="64">
        <f t="shared" si="29"/>
        <v>23.2973</v>
      </c>
      <c r="Z114" s="64">
        <f t="shared" si="30"/>
        <v>1.5800000000000002E-2</v>
      </c>
      <c r="AA114" s="64">
        <f t="shared" si="31"/>
        <v>23.281500000000001</v>
      </c>
      <c r="AB114" s="61" t="e">
        <f>VLOOKUP(A114,Enforcements!$C$7:$K$19,8,0)</f>
        <v>#N/A</v>
      </c>
      <c r="AC114" s="57" t="e">
        <f>VLOOKUP(A114,Enforcements!$C$7:$E$19,3,0)</f>
        <v>#N/A</v>
      </c>
      <c r="AD114" s="58" t="str">
        <f t="shared" si="32"/>
        <v>0202-01</v>
      </c>
      <c r="AE114" s="87" t="str">
        <f t="shared" si="33"/>
        <v>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 &amp; 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</v>
      </c>
      <c r="AF114" s="84" t="str">
        <f t="shared" si="34"/>
        <v>"C:\Program Files (x86)\AstroGrep\AstroGrep.exe" /spath="%USERPROFILE%\AppData\Local\Temp\OnboardLogs" /stypes="app*4041*20170102*" /stext=" 00:.+((SYSTEM_STATE.+slice.+state.+changed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8" t="str">
        <f t="shared" si="36"/>
        <v>"%USERPROFILE%\Documents\GitHub\eaglep3\Utilities\RefineRTDCRunTimes.py" --tripid 202-01 --locoid 4041 --swversion DE.1.0.8.0 --startMP 204:232973 --initTime 2017-01-01T17:04:23 --startdatetime 2017-01-01T17:11:20 --delay 1 --endMP 204:158 --enddatetime 2017-01-01T17:50:38 --enforcementcount 0 &gt;&gt;C:\Users\stu\Documents\GitHub\eaglep3-reporting\EC\2017-01-01-refined-times.txt</v>
      </c>
      <c r="AI114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{"issue":{"subject":"","project_id":79,"tracker_id":40,"status_id":1,"priority_id":2,"assigned_to_id":23,"start_date":"2017-01-01","description":"","custom_fields":[{"id":1,"name":"Subdivision","value":"EC"},{"id":4,"name":"Milepost","value":"0.0158"},{"id":17,"name":"Train ID","value":"202-01"},{"id":16,"name":"Locomotive ID","value":"4041"},{"id":130,"name":"Impact","value":""},{"id":150,"name":"Time of Event (Mountain Time)","value":"17:50:38"},{"id":151,"name":"Denver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38"/>
        <v>start /low /b %USERPROFILE%\Documents\GitHub\eaglep3\Utilities\DownloadLogsFromS3.py --loco 4041 --day 2017-01-01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610</v>
      </c>
      <c r="B115" s="7">
        <v>4009</v>
      </c>
      <c r="C115" s="22" t="s">
        <v>205</v>
      </c>
      <c r="D115" s="22" t="s">
        <v>194</v>
      </c>
      <c r="E115" s="13">
        <v>42736.685682870368</v>
      </c>
      <c r="F115" s="13">
        <v>42736.687928240739</v>
      </c>
      <c r="G115" s="7">
        <v>1</v>
      </c>
      <c r="H115" s="22" t="s">
        <v>296</v>
      </c>
      <c r="I115" s="13">
        <v>42736.715879629628</v>
      </c>
      <c r="J115" s="7">
        <v>0</v>
      </c>
      <c r="K115" s="105" t="str">
        <f t="shared" si="21"/>
        <v>4009/4010</v>
      </c>
      <c r="L115" s="22" t="str">
        <f>VLOOKUP(A115,'Trips&amp;Operators'!$C$1:$G$99999,5,FALSE)</f>
        <v>DAVIS MICHAEL</v>
      </c>
      <c r="M115" s="6">
        <f t="shared" si="22"/>
        <v>2.7951388889050577E-2</v>
      </c>
      <c r="N115" s="7">
        <f t="shared" si="23"/>
        <v>40.250000000232831</v>
      </c>
      <c r="O115" s="7"/>
      <c r="P115" s="7"/>
      <c r="Q115" s="23"/>
      <c r="R115" s="23"/>
      <c r="S115" s="32">
        <f t="shared" si="24"/>
        <v>1</v>
      </c>
      <c r="T115" s="47" t="str">
        <f t="shared" si="25"/>
        <v>NorthBound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15:27:23-700',mode:absolute,to:'2017-01-01 18:10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5" s="49" t="str">
        <f t="shared" si="27"/>
        <v>N</v>
      </c>
      <c r="X115" s="173">
        <f t="shared" si="28"/>
        <v>1</v>
      </c>
      <c r="Y115" s="64">
        <f t="shared" si="29"/>
        <v>4.5100000000000001E-2</v>
      </c>
      <c r="Z115" s="64">
        <f t="shared" si="30"/>
        <v>23.33</v>
      </c>
      <c r="AA115" s="64">
        <f t="shared" si="31"/>
        <v>23.284899999999997</v>
      </c>
      <c r="AB115" s="61" t="e">
        <f>VLOOKUP(A115,Enforcements!$C$7:$K$19,8,0)</f>
        <v>#N/A</v>
      </c>
      <c r="AC115" s="57" t="e">
        <f>VLOOKUP(A115,Enforcements!$C$7:$E$19,3,0)</f>
        <v>#N/A</v>
      </c>
      <c r="AD115" s="58" t="str">
        <f t="shared" si="32"/>
        <v>0203-01</v>
      </c>
      <c r="AE115" s="87" t="str">
        <f t="shared" si="33"/>
        <v>aws s3 cp s3://rtdc.mdm.uploadarchive.raw/RTDC4009/ "%USERPROFILE%\AppData\Local\Temp\OnboardLogs"\RTDC4009\2017-01-01 --exclude "*" --recursive --include "*20170101*" &amp; "%USERPROFILE%\Documents\GitHub\mrs-test-scripts\Headless Mode &amp; Sideloading\WalkAndUnGZ.bat" "%USERPROFILE%\AppData\Local\Temp\OnboardLogs"\RTDC4009\2017-01-01 &amp; aws s3 cp s3://rtdc.mdm.uploadarchive.raw/RTDC4009/ "%USERPROFILE%\AppData\Local\Temp\OnboardLogs"\RTDC4009\2017-01-02 --exclude "*" --recursive --include "*20170102*" &amp; "%USERPROFILE%\Documents\GitHub\mrs-test-scripts\Headless Mode &amp; Sideloading\WalkAndUnGZ.bat" "%USERPROFILE%\AppData\Local\Temp\OnboardLogs"\RTDC4009\2017-01-02</v>
      </c>
      <c r="AF115" s="84" t="str">
        <f t="shared" si="34"/>
        <v>"C:\Program Files (x86)\AstroGrep\AstroGrep.exe" /spath="%USERPROFILE%\AppData\Local\Temp\OnboardLogs" /stypes="app*4009*20170102*"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8" t="str">
        <f t="shared" si="36"/>
        <v>"%USERPROFILE%\Documents\GitHub\eaglep3\Utilities\RefineRTDCRunTimes.py" --tripid 203-01 --locoid 4009 --swversion DE.1.0.8.0 --startMP 204:451 --initTime 2017-01-01T16:27:23 --startdatetime 2017-01-01T16:30:37 --delay 1 --endMP 204:233300 --enddatetime 2017-01-01T17:10:52 --enforcementcount 0 &gt;&gt;C:\Users\stu\Documents\GitHub\eaglep3-reporting\EC\2017-01-01-refined-times.txt</v>
      </c>
      <c r="AI115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{"issue":{"subject":"","project_id":79,"tracker_id":40,"status_id":1,"priority_id":2,"assigned_to_id":23,"start_date":"2017-01-01","description":"","custom_fields":[{"id":1,"name":"Subdivision","value":"EC"},{"id":4,"name":"Milepost","value":"23.33"},{"id":17,"name":"Train ID","value":"203-01"},{"id":16,"name":"Locomotive ID","value":"4009"},{"id":130,"name":"Impact","value":""},{"id":150,"name":"Time of Event (Mountain Time)","value":"17:10:52"},{"id":151,"name":"Denver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38"/>
        <v>start /low /b %USERPROFILE%\Documents\GitHub\eaglep3\Utilities\DownloadLogsFromS3.py --loco 4009 --day 2017-01-01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617</v>
      </c>
      <c r="B116" s="7">
        <v>4010</v>
      </c>
      <c r="C116" s="22" t="s">
        <v>205</v>
      </c>
      <c r="D116" s="22" t="s">
        <v>322</v>
      </c>
      <c r="E116" s="13">
        <v>42736.72246527778</v>
      </c>
      <c r="F116" s="13">
        <v>42736.726817129631</v>
      </c>
      <c r="G116" s="7">
        <v>1</v>
      </c>
      <c r="H116" s="22" t="s">
        <v>253</v>
      </c>
      <c r="I116" s="13">
        <v>42736.755729166667</v>
      </c>
      <c r="J116" s="7">
        <v>0</v>
      </c>
      <c r="K116" s="105" t="str">
        <f t="shared" si="21"/>
        <v>4009/4010</v>
      </c>
      <c r="L116" s="22" t="str">
        <f>VLOOKUP(A116,'Trips&amp;Operators'!$C$1:$G$99999,5,FALSE)</f>
        <v>DAVIS MICHAEL</v>
      </c>
      <c r="M116" s="6">
        <f t="shared" si="22"/>
        <v>2.8912037036207039E-2</v>
      </c>
      <c r="N116" s="7">
        <f t="shared" si="23"/>
        <v>41.633333332138136</v>
      </c>
      <c r="O116" s="7"/>
      <c r="P116" s="7"/>
      <c r="Q116" s="23"/>
      <c r="R116" s="23"/>
      <c r="S116" s="32">
        <f t="shared" si="24"/>
        <v>1</v>
      </c>
      <c r="T116" s="47" t="str">
        <f t="shared" si="25"/>
        <v>Southbound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16:20:21-700',mode:absolute,to:'2017-01-01 19:08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6" s="49" t="str">
        <f t="shared" si="27"/>
        <v>N</v>
      </c>
      <c r="X116" s="173">
        <f t="shared" si="28"/>
        <v>1</v>
      </c>
      <c r="Y116" s="64">
        <f t="shared" si="29"/>
        <v>23.297599999999999</v>
      </c>
      <c r="Z116" s="64">
        <f t="shared" si="30"/>
        <v>1.3899999999999999E-2</v>
      </c>
      <c r="AA116" s="64">
        <f t="shared" si="31"/>
        <v>23.2837</v>
      </c>
      <c r="AB116" s="61" t="e">
        <f>VLOOKUP(A116,Enforcements!$C$7:$K$19,8,0)</f>
        <v>#N/A</v>
      </c>
      <c r="AC116" s="57" t="e">
        <f>VLOOKUP(A116,Enforcements!$C$7:$E$19,3,0)</f>
        <v>#N/A</v>
      </c>
      <c r="AD116" s="58" t="str">
        <f t="shared" si="32"/>
        <v>0204-01</v>
      </c>
      <c r="AE116" s="87" t="str">
        <f t="shared" si="33"/>
        <v>aws s3 cp s3://rtdc.mdm.uploadarchive.raw/RTDC4010/ "%USERPROFILE%\AppData\Local\Temp\OnboardLogs"\RTDC4010\2017-01-01 --exclude "*" --recursive --include "*20170101*" &amp; "%USERPROFILE%\Documents\GitHub\mrs-test-scripts\Headless Mode &amp; Sideloading\WalkAndUnGZ.bat" "%USERPROFILE%\AppData\Local\Temp\OnboardLogs"\RTDC4010\2017-01-01 &amp; aws s3 cp s3://rtdc.mdm.uploadarchive.raw/RTDC4010/ "%USERPROFILE%\AppData\Local\Temp\OnboardLogs"\RTDC4010\2017-01-02 --exclude "*" --recursive --include "*20170102*" &amp; "%USERPROFILE%\Documents\GitHub\mrs-test-scripts\Headless Mode &amp; Sideloading\WalkAndUnGZ.bat" "%USERPROFILE%\AppData\Local\Temp\OnboardLogs"\RTDC4010\2017-01-02</v>
      </c>
      <c r="AF116" s="84" t="str">
        <f t="shared" si="34"/>
        <v>"C:\Program Files (x86)\AstroGrep\AstroGrep.exe" /spath="%USERPROFILE%\AppData\Local\Temp\OnboardLogs" /stypes="app*4010*20170102*" /stext=" 01:.+((SYSTEM_STATE.+slice.+state.+changed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8" t="str">
        <f t="shared" si="36"/>
        <v>"%USERPROFILE%\Documents\GitHub\eaglep3\Utilities\RefineRTDCRunTimes.py" --tripid 204-01 --locoid 4010 --swversion DE.1.0.8.0 --startMP 204:232976 --initTime 2017-01-01T17:20:21 --startdatetime 2017-01-01T17:26:37 --delay 1 --endMP 204:139 --enddatetime 2017-01-01T18:08:15 --enforcementcount 0 &gt;&gt;C:\Users\stu\Documents\GitHub\eaglep3-reporting\EC\2017-01-01-refined-times.txt</v>
      </c>
      <c r="AI116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{"issue":{"subject":"","project_id":79,"tracker_id":40,"status_id":1,"priority_id":2,"assigned_to_id":23,"start_date":"2017-01-01","description":"","custom_fields":[{"id":1,"name":"Subdivision","value":"EC"},{"id":4,"name":"Milepost","value":"0.0139"},{"id":17,"name":"Train ID","value":"204-01"},{"id":16,"name":"Locomotive ID","value":"4010"},{"id":130,"name":"Impact","value":""},{"id":150,"name":"Time of Event (Mountain Time)","value":"18:08:15"},{"id":151,"name":"Denver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38"/>
        <v>start /low /b %USERPROFILE%\Documents\GitHub\eaglep3\Utilities\DownloadLogsFromS3.py --loco 4010 --day 2017-01-01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611</v>
      </c>
      <c r="B117" s="7">
        <v>4022</v>
      </c>
      <c r="C117" s="22" t="s">
        <v>205</v>
      </c>
      <c r="D117" s="22" t="s">
        <v>249</v>
      </c>
      <c r="E117" s="13">
        <v>42736.691990740743</v>
      </c>
      <c r="F117" s="13">
        <v>42736.69809027778</v>
      </c>
      <c r="G117" s="7">
        <v>1</v>
      </c>
      <c r="H117" s="22" t="s">
        <v>396</v>
      </c>
      <c r="I117" s="13">
        <v>42736.72278935185</v>
      </c>
      <c r="J117" s="7">
        <v>0</v>
      </c>
      <c r="K117" s="105" t="str">
        <f t="shared" si="21"/>
        <v>4021/4022</v>
      </c>
      <c r="L117" s="22" t="str">
        <f>VLOOKUP(A117,'Trips&amp;Operators'!$C$1:$G$99999,5,FALSE)</f>
        <v>LEVIN SCOTT</v>
      </c>
      <c r="M117" s="6">
        <f t="shared" si="22"/>
        <v>2.4699074070667848E-2</v>
      </c>
      <c r="N117" s="7">
        <f t="shared" si="23"/>
        <v>35.566666661761701</v>
      </c>
      <c r="O117" s="7"/>
      <c r="P117" s="7"/>
      <c r="Q117" s="23"/>
      <c r="R117" s="23"/>
      <c r="S117" s="32">
        <f t="shared" si="24"/>
        <v>1</v>
      </c>
      <c r="T117" s="47" t="str">
        <f t="shared" si="25"/>
        <v>NorthBound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15:36:28-700',mode:absolute,to:'2017-01-01 18:20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7" s="49" t="str">
        <f t="shared" si="27"/>
        <v>N</v>
      </c>
      <c r="X117" s="173">
        <f t="shared" si="28"/>
        <v>1</v>
      </c>
      <c r="Y117" s="64">
        <f t="shared" si="29"/>
        <v>4.53E-2</v>
      </c>
      <c r="Z117" s="64">
        <f t="shared" si="30"/>
        <v>23.331600000000002</v>
      </c>
      <c r="AA117" s="64">
        <f t="shared" si="31"/>
        <v>23.286300000000001</v>
      </c>
      <c r="AB117" s="61" t="e">
        <f>VLOOKUP(A117,Enforcements!$C$7:$K$19,8,0)</f>
        <v>#N/A</v>
      </c>
      <c r="AC117" s="57" t="e">
        <f>VLOOKUP(A117,Enforcements!$C$7:$E$19,3,0)</f>
        <v>#N/A</v>
      </c>
      <c r="AD117" s="58" t="str">
        <f t="shared" si="32"/>
        <v>0205-01</v>
      </c>
      <c r="AE117" s="87" t="str">
        <f t="shared" si="33"/>
        <v>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 &amp; aws s3 cp s3://rtdc.mdm.uploadarchive.raw/RTDC4022/ "%USERPROFILE%\AppData\Local\Temp\OnboardLogs"\RTDC4022\2017-01-02 --exclude "*" --recursive --include "*20170102*" &amp; "%USERPROFILE%\Documents\GitHub\mrs-test-scripts\Headless Mode &amp; Sideloading\WalkAndUnGZ.bat" "%USERPROFILE%\AppData\Local\Temp\OnboardLogs"\RTDC4022\2017-01-02</v>
      </c>
      <c r="AF117" s="84" t="str">
        <f t="shared" si="34"/>
        <v>"C:\Program Files (x86)\AstroGrep\AstroGrep.exe" /spath="%USERPROFILE%\AppData\Local\Temp\OnboardLogs" /stypes="app*4022*20170102*" /stext=" 00:.+((SYSTEM_STATE.+slice.+state.+changed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8" t="str">
        <f t="shared" si="36"/>
        <v>"%USERPROFILE%\Documents\GitHub\eaglep3\Utilities\RefineRTDCRunTimes.py" --tripid 205-01 --locoid 4022 --swversion DE.1.0.8.0 --startMP 204:453 --initTime 2017-01-01T16:36:28 --startdatetime 2017-01-01T16:45:15 --delay 1 --endMP 204:233316 --enddatetime 2017-01-01T17:20:49 --enforcementcount 0 &gt;&gt;C:\Users\stu\Documents\GitHub\eaglep3-reporting\EC\2017-01-01-refined-times.txt</v>
      </c>
      <c r="AI117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{"issue":{"subject":"","project_id":79,"tracker_id":40,"status_id":1,"priority_id":2,"assigned_to_id":23,"start_date":"2017-01-01","description":"","custom_fields":[{"id":1,"name":"Subdivision","value":"EC"},{"id":4,"name":"Milepost","value":"23.3316"},{"id":17,"name":"Train ID","value":"205-01"},{"id":16,"name":"Locomotive ID","value":"4022"},{"id":130,"name":"Impact","value":""},{"id":150,"name":"Time of Event (Mountain Time)","value":"17:20:49"},{"id":151,"name":"Denver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38"/>
        <v>start /low /b %USERPROFILE%\Documents\GitHub\eaglep3\Utilities\DownloadLogsFromS3.py --loco 4022 --day 2017-01-01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619</v>
      </c>
      <c r="B118" s="7">
        <v>4021</v>
      </c>
      <c r="C118" s="22" t="s">
        <v>205</v>
      </c>
      <c r="D118" s="22" t="s">
        <v>332</v>
      </c>
      <c r="E118" s="13">
        <v>42736.732118055559</v>
      </c>
      <c r="F118" s="13">
        <v>42736.737060185187</v>
      </c>
      <c r="G118" s="7">
        <v>1</v>
      </c>
      <c r="H118" s="22" t="s">
        <v>363</v>
      </c>
      <c r="I118" s="13">
        <v>42736.764560185184</v>
      </c>
      <c r="J118" s="7">
        <v>0</v>
      </c>
      <c r="K118" s="105" t="str">
        <f t="shared" si="21"/>
        <v>4021/4022</v>
      </c>
      <c r="L118" s="22" t="str">
        <f>VLOOKUP(A118,'Trips&amp;Operators'!$C$1:$G$99999,5,FALSE)</f>
        <v>LEVIN SCOTT</v>
      </c>
      <c r="M118" s="6">
        <f t="shared" si="22"/>
        <v>2.749999999650754E-2</v>
      </c>
      <c r="N118" s="7">
        <f t="shared" si="23"/>
        <v>39.599999994970858</v>
      </c>
      <c r="O118" s="7"/>
      <c r="P118" s="7"/>
      <c r="Q118" s="23"/>
      <c r="R118" s="23"/>
      <c r="S118" s="32">
        <f t="shared" si="24"/>
        <v>1</v>
      </c>
      <c r="T118" s="47" t="str">
        <f t="shared" si="25"/>
        <v>Southbound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16:34:15-700',mode:absolute,to:'2017-01-01 19:20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8" s="49" t="str">
        <f t="shared" si="27"/>
        <v>N</v>
      </c>
      <c r="X118" s="173">
        <f t="shared" si="28"/>
        <v>1</v>
      </c>
      <c r="Y118" s="64">
        <f t="shared" si="29"/>
        <v>23.299600000000002</v>
      </c>
      <c r="Z118" s="64">
        <f t="shared" si="30"/>
        <v>1.29E-2</v>
      </c>
      <c r="AA118" s="64">
        <f t="shared" si="31"/>
        <v>23.286700000000003</v>
      </c>
      <c r="AB118" s="61" t="e">
        <f>VLOOKUP(A118,Enforcements!$C$7:$K$19,8,0)</f>
        <v>#N/A</v>
      </c>
      <c r="AC118" s="57" t="e">
        <f>VLOOKUP(A118,Enforcements!$C$7:$E$19,3,0)</f>
        <v>#N/A</v>
      </c>
      <c r="AD118" s="58" t="str">
        <f t="shared" si="32"/>
        <v>0206-01</v>
      </c>
      <c r="AE118" s="87" t="str">
        <f t="shared" si="33"/>
        <v>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 &amp; 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</v>
      </c>
      <c r="AF118" s="84" t="str">
        <f t="shared" si="34"/>
        <v>"C:\Program Files (x86)\AstroGrep\AstroGrep.exe" /spath="%USERPROFILE%\AppData\Local\Temp\OnboardLogs" /stypes="app*4021*20170102*" /stext=" 01:.+((SYSTEM_STATE.+slice.+state.+changed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8" t="str">
        <f t="shared" si="36"/>
        <v>"%USERPROFILE%\Documents\GitHub\eaglep3\Utilities\RefineRTDCRunTimes.py" --tripid 206-01 --locoid 4021 --swversion DE.1.0.8.0 --startMP 204:232996 --initTime 2017-01-01T17:34:15 --startdatetime 2017-01-01T17:41:22 --delay 1 --endMP 204:129 --enddatetime 2017-01-01T18:20:58 --enforcementcount 0 &gt;&gt;C:\Users\stu\Documents\GitHub\eaglep3-reporting\EC\2017-01-01-refined-times.txt</v>
      </c>
      <c r="AI118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{"issue":{"subject":"","project_id":79,"tracker_id":40,"status_id":1,"priority_id":2,"assigned_to_id":23,"start_date":"2017-01-01","description":"","custom_fields":[{"id":1,"name":"Subdivision","value":"EC"},{"id":4,"name":"Milepost","value":"0.0129"},{"id":17,"name":"Train ID","value":"206-01"},{"id":16,"name":"Locomotive ID","value":"4021"},{"id":130,"name":"Impact","value":""},{"id":150,"name":"Time of Event (Mountain Time)","value":"18:20:58"},{"id":151,"name":"Denver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38"/>
        <v>start /low /b %USERPROFILE%\Documents\GitHub\eaglep3\Utilities\DownloadLogsFromS3.py --loco 4021 --day 2017-01-01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613</v>
      </c>
      <c r="B119" s="7">
        <v>4011</v>
      </c>
      <c r="C119" s="22" t="s">
        <v>205</v>
      </c>
      <c r="D119" s="22" t="s">
        <v>761</v>
      </c>
      <c r="E119" s="13">
        <v>42736.706134259257</v>
      </c>
      <c r="F119" s="13">
        <v>42736.708495370367</v>
      </c>
      <c r="G119" s="7">
        <v>1</v>
      </c>
      <c r="H119" s="22" t="s">
        <v>294</v>
      </c>
      <c r="I119" s="13">
        <v>42736.734444444446</v>
      </c>
      <c r="J119" s="7">
        <v>0</v>
      </c>
      <c r="K119" s="105" t="str">
        <f t="shared" si="21"/>
        <v>4011/4012</v>
      </c>
      <c r="L119" s="22" t="str">
        <f>VLOOKUP(A119,'Trips&amp;Operators'!$C$1:$G$99999,5,FALSE)</f>
        <v>BRUDER RICHARD</v>
      </c>
      <c r="M119" s="6">
        <f t="shared" si="22"/>
        <v>2.5949074079107959E-2</v>
      </c>
      <c r="N119" s="7">
        <f t="shared" si="23"/>
        <v>37.366666673915461</v>
      </c>
      <c r="O119" s="7"/>
      <c r="P119" s="7"/>
      <c r="Q119" s="23"/>
      <c r="R119" s="23"/>
      <c r="S119" s="32">
        <f t="shared" si="24"/>
        <v>1</v>
      </c>
      <c r="T119" s="47" t="str">
        <f t="shared" si="25"/>
        <v>NorthBound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15:56:50-700',mode:absolute,to:'2017-01-01 18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9" s="49" t="str">
        <f t="shared" si="27"/>
        <v>N</v>
      </c>
      <c r="X119" s="173">
        <f t="shared" si="28"/>
        <v>1</v>
      </c>
      <c r="Y119" s="64">
        <f t="shared" si="29"/>
        <v>4.24E-2</v>
      </c>
      <c r="Z119" s="64">
        <f t="shared" si="30"/>
        <v>23.331199999999999</v>
      </c>
      <c r="AA119" s="64">
        <f t="shared" si="31"/>
        <v>23.288799999999998</v>
      </c>
      <c r="AB119" s="61" t="e">
        <f>VLOOKUP(A119,Enforcements!$C$7:$K$19,8,0)</f>
        <v>#N/A</v>
      </c>
      <c r="AC119" s="57" t="e">
        <f>VLOOKUP(A119,Enforcements!$C$7:$E$19,3,0)</f>
        <v>#N/A</v>
      </c>
      <c r="AD119" s="58" t="str">
        <f t="shared" si="32"/>
        <v>0207-01</v>
      </c>
      <c r="AE119" s="87" t="str">
        <f t="shared" si="33"/>
        <v>aws s3 cp s3://rtdc.mdm.uploadarchive.raw/RTDC4011/ "%USERPROFILE%\AppData\Local\Temp\OnboardLogs"\RTDC4011\2017-01-01 --exclude "*" --recursive --include "*20170101*" &amp; "%USERPROFILE%\Documents\GitHub\mrs-test-scripts\Headless Mode &amp; Sideloading\WalkAndUnGZ.bat" "%USERPROFILE%\AppData\Local\Temp\OnboardLogs"\RTDC4011\2017-01-01 &amp; aws s3 cp s3://rtdc.mdm.uploadarchive.raw/RTDC4011/ "%USERPROFILE%\AppData\Local\Temp\OnboardLogs"\RTDC4011\2017-01-02 --exclude "*" --recursive --include "*20170102*" &amp; "%USERPROFILE%\Documents\GitHub\mrs-test-scripts\Headless Mode &amp; Sideloading\WalkAndUnGZ.bat" "%USERPROFILE%\AppData\Local\Temp\OnboardLogs"\RTDC4011\2017-01-02</v>
      </c>
      <c r="AF119" s="84" t="str">
        <f t="shared" si="34"/>
        <v>"C:\Program Files (x86)\AstroGrep\AstroGrep.exe" /spath="%USERPROFILE%\AppData\Local\Temp\OnboardLogs" /stypes="app*4011*20170102*" /stext=" 00:.+((SYSTEM_STATE.+slice.+state.+changed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8" t="str">
        <f t="shared" si="36"/>
        <v>"%USERPROFILE%\Documents\GitHub\eaglep3\Utilities\RefineRTDCRunTimes.py" --tripid 207-01 --locoid 4011 --swversion DE.1.0.8.0 --startMP 204:424 --initTime 2017-01-01T16:56:50 --startdatetime 2017-01-01T17:00:14 --delay 1 --endMP 204:233312 --enddatetime 2017-01-01T17:37:36 --enforcementcount 0 &gt;&gt;C:\Users\stu\Documents\GitHub\eaglep3-reporting\EC\2017-01-01-refined-times.txt</v>
      </c>
      <c r="AI119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{"issue":{"subject":"","project_id":79,"tracker_id":40,"status_id":1,"priority_id":2,"assigned_to_id":23,"start_date":"2017-01-01","description":"","custom_fields":[{"id":1,"name":"Subdivision","value":"EC"},{"id":4,"name":"Milepost","value":"23.3312"},{"id":17,"name":"Train ID","value":"207-01"},{"id":16,"name":"Locomotive ID","value":"4011"},{"id":130,"name":"Impact","value":""},{"id":150,"name":"Time of Event (Mountain Time)","value":"17:37:36"},{"id":151,"name":"Denver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38"/>
        <v>start /low /b %USERPROFILE%\Documents\GitHub\eaglep3\Utilities\DownloadLogsFromS3.py --loco 4011 --day 2017-01-01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623</v>
      </c>
      <c r="B120" s="7">
        <v>4012</v>
      </c>
      <c r="C120" s="22" t="s">
        <v>205</v>
      </c>
      <c r="D120" s="22" t="s">
        <v>361</v>
      </c>
      <c r="E120" s="13">
        <v>42736.741481481484</v>
      </c>
      <c r="F120" s="13">
        <v>42736.747465277775</v>
      </c>
      <c r="G120" s="7">
        <v>2</v>
      </c>
      <c r="H120" s="22" t="s">
        <v>241</v>
      </c>
      <c r="I120" s="13">
        <v>42736.773773148147</v>
      </c>
      <c r="J120" s="7">
        <v>0</v>
      </c>
      <c r="K120" s="105" t="str">
        <f t="shared" si="21"/>
        <v>4011/4012</v>
      </c>
      <c r="L120" s="22" t="str">
        <f>VLOOKUP(A120,'Trips&amp;Operators'!$C$1:$G$99999,5,FALSE)</f>
        <v>BRUDER RICHARD</v>
      </c>
      <c r="M120" s="6">
        <f t="shared" si="22"/>
        <v>2.6307870371965691E-2</v>
      </c>
      <c r="N120" s="7">
        <f t="shared" si="23"/>
        <v>37.883333335630596</v>
      </c>
      <c r="O120" s="7"/>
      <c r="P120" s="7"/>
      <c r="Q120" s="23"/>
      <c r="R120" s="23"/>
      <c r="S120" s="32">
        <f t="shared" si="24"/>
        <v>1</v>
      </c>
      <c r="T120" s="47" t="str">
        <f t="shared" si="25"/>
        <v>Southbound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16:47:44-700',mode:absolute,to:'2017-01-01 19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0" s="49" t="str">
        <f t="shared" si="27"/>
        <v>N</v>
      </c>
      <c r="X120" s="173">
        <f t="shared" si="28"/>
        <v>1</v>
      </c>
      <c r="Y120" s="64">
        <f t="shared" si="29"/>
        <v>23.299099999999999</v>
      </c>
      <c r="Z120" s="64">
        <f t="shared" si="30"/>
        <v>1.6299999999999999E-2</v>
      </c>
      <c r="AA120" s="64">
        <f t="shared" si="31"/>
        <v>23.282799999999998</v>
      </c>
      <c r="AB120" s="61" t="e">
        <f>VLOOKUP(A120,Enforcements!$C$7:$K$19,8,0)</f>
        <v>#N/A</v>
      </c>
      <c r="AC120" s="57" t="e">
        <f>VLOOKUP(A120,Enforcements!$C$7:$E$19,3,0)</f>
        <v>#N/A</v>
      </c>
      <c r="AD120" s="58" t="str">
        <f t="shared" si="32"/>
        <v>0208-01</v>
      </c>
      <c r="AE120" s="87" t="str">
        <f t="shared" si="33"/>
        <v>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 &amp; 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</v>
      </c>
      <c r="AF120" s="84" t="str">
        <f t="shared" si="34"/>
        <v>"C:\Program Files (x86)\AstroGrep\AstroGrep.exe" /spath="%USERPROFILE%\AppData\Local\Temp\OnboardLogs" /stypes="app*4012*20170102*" /stext=" 01:.+((SYSTEM_STATE.+slice.+state.+changed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8" t="str">
        <f t="shared" si="36"/>
        <v>"%USERPROFILE%\Documents\GitHub\eaglep3\Utilities\RefineRTDCRunTimes.py" --tripid 208-01 --locoid 4012 --swversion DE.1.0.8.0 --startMP 204:232991 --initTime 2017-01-01T17:47:44 --startdatetime 2017-01-01T17:56:21 --delay 2 --endMP 204:163 --enddatetime 2017-01-01T18:34:14 --enforcementcount 0 &gt;&gt;C:\Users\stu\Documents\GitHub\eaglep3-reporting\EC\2017-01-01-refined-times.txt</v>
      </c>
      <c r="AI120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{"issue":{"subject":"","project_id":79,"tracker_id":40,"status_id":1,"priority_id":2,"assigned_to_id":23,"start_date":"2017-01-01","description":"","custom_fields":[{"id":1,"name":"Subdivision","value":"EC"},{"id":4,"name":"Milepost","value":"0.0163"},{"id":17,"name":"Train ID","value":"208-01"},{"id":16,"name":"Locomotive ID","value":"4012"},{"id":130,"name":"Impact","value":""},{"id":150,"name":"Time of Event (Mountain Time)","value":"18:34:14"},{"id":151,"name":"Denver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38"/>
        <v>start /low /b %USERPROFILE%\Documents\GitHub\eaglep3\Utilities\DownloadLogsFromS3.py --loco 4012 --day 2017-01-01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458</v>
      </c>
      <c r="B121" s="7">
        <v>4003</v>
      </c>
      <c r="C121" s="22" t="s">
        <v>205</v>
      </c>
      <c r="D121" s="22" t="s">
        <v>228</v>
      </c>
      <c r="E121" s="13">
        <v>42736.716458333336</v>
      </c>
      <c r="F121" s="13">
        <v>42736.7190625</v>
      </c>
      <c r="G121" s="7">
        <v>1</v>
      </c>
      <c r="H121" s="22" t="s">
        <v>321</v>
      </c>
      <c r="I121" s="13">
        <v>42736.745648148149</v>
      </c>
      <c r="J121" s="7">
        <v>0</v>
      </c>
      <c r="K121" s="105" t="str">
        <f t="shared" si="21"/>
        <v>4003/4004</v>
      </c>
      <c r="L121" s="22" t="str">
        <f>VLOOKUP(A121,'Trips&amp;Operators'!$C$1:$G$99999,5,FALSE)</f>
        <v>CHANDLER KELVIN</v>
      </c>
      <c r="M121" s="6">
        <f t="shared" si="22"/>
        <v>2.658564814919373E-2</v>
      </c>
      <c r="N121" s="7">
        <f t="shared" si="23"/>
        <v>38.283333334838971</v>
      </c>
      <c r="O121" s="7"/>
      <c r="P121" s="7"/>
      <c r="Q121" s="23"/>
      <c r="R121" s="23"/>
      <c r="S121" s="32">
        <f t="shared" si="24"/>
        <v>1</v>
      </c>
      <c r="T121" s="47" t="str">
        <f t="shared" si="25"/>
        <v>NorthBound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16:11:42-700',mode:absolute,to:'2017-01-01 18:53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1" s="49" t="str">
        <f t="shared" si="27"/>
        <v>N</v>
      </c>
      <c r="X121" s="173">
        <f t="shared" si="28"/>
        <v>1</v>
      </c>
      <c r="Y121" s="64">
        <f t="shared" si="29"/>
        <v>4.5499999999999999E-2</v>
      </c>
      <c r="Z121" s="64">
        <f t="shared" si="30"/>
        <v>23.3291</v>
      </c>
      <c r="AA121" s="64">
        <f t="shared" si="31"/>
        <v>23.2836</v>
      </c>
      <c r="AB121" s="61" t="str">
        <f>VLOOKUP(A121,Enforcements!$C$7:$K$19,8,0)</f>
        <v>Signal based authority (5)</v>
      </c>
      <c r="AC121" s="57" t="str">
        <f>VLOOKUP(A121,Enforcements!$C$7:$E$19,3,0)</f>
        <v>SIGNAL</v>
      </c>
      <c r="AD121" s="58" t="str">
        <f t="shared" si="32"/>
        <v>0209-01</v>
      </c>
      <c r="AE121" s="87" t="str">
        <f t="shared" si="33"/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AF121" s="84" t="str">
        <f t="shared" si="34"/>
        <v>"C:\Program Files (x86)\AstroGrep\AstroGrep.exe" /spath="%USERPROFILE%\AppData\Local\Temp\OnboardLogs" /stypes="app*4003*20170102*" /stext=" 00:.+((SYSTEM_STATE.+slice.+state.+changed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8" t="str">
        <f t="shared" si="36"/>
        <v>"%USERPROFILE%\Documents\GitHub\eaglep3\Utilities\RefineRTDCRunTimes.py" --tripid 209-01 --locoid 4003 --swversion DE.1.0.8.0 --startMP 204:455 --initTime 2017-01-01T17:11:42 --startdatetime 2017-01-01T17:15:27 --delay 1 --endMP 204:233291 --enddatetime 2017-01-01T17:53:44 --enforcementcount 0 &gt;&gt;C:\Users\stu\Documents\GitHub\eaglep3-reporting\EC\2017-01-01-refined-times.txt</v>
      </c>
      <c r="AI121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{"issue":{"subject":"","project_id":79,"tracker_id":40,"status_id":1,"priority_id":2,"assigned_to_id":23,"start_date":"2017-01-01","description":"","custom_fields":[{"id":1,"name":"Subdivision","value":"EC"},{"id":4,"name":"Milepost","value":"23.3291"},{"id":17,"name":"Train ID","value":"209-01"},{"id":16,"name":"Locomotive ID","value":"4003"},{"id":130,"name":"Impact","value":""},{"id":150,"name":"Time of Event (Mountain Time)","value":"17:53:44"},{"id":151,"name":"Denver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38"/>
        <v>start /low /b %USERPROFILE%\Documents\GitHub\eaglep3\Utilities\DownloadLogsFromS3.py --loco 4003 --day 2017-01-01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628</v>
      </c>
      <c r="B122" s="7">
        <v>4004</v>
      </c>
      <c r="C122" s="22" t="s">
        <v>205</v>
      </c>
      <c r="D122" s="22" t="s">
        <v>752</v>
      </c>
      <c r="E122" s="13">
        <v>42736.75445601852</v>
      </c>
      <c r="F122" s="13">
        <v>42736.757951388892</v>
      </c>
      <c r="G122" s="7">
        <v>2</v>
      </c>
      <c r="H122" s="22" t="s">
        <v>192</v>
      </c>
      <c r="I122" s="13">
        <v>42736.786041666666</v>
      </c>
      <c r="J122" s="7">
        <v>0</v>
      </c>
      <c r="K122" s="105" t="str">
        <f t="shared" si="21"/>
        <v>4003/4004</v>
      </c>
      <c r="L122" s="22" t="str">
        <f>VLOOKUP(A122,'Trips&amp;Operators'!$C$1:$G$99999,5,FALSE)</f>
        <v>CHANDLER KELVIN</v>
      </c>
      <c r="M122" s="6">
        <f t="shared" si="22"/>
        <v>2.8090277774026617E-2</v>
      </c>
      <c r="N122" s="7">
        <f t="shared" si="23"/>
        <v>40.449999994598329</v>
      </c>
      <c r="O122" s="7"/>
      <c r="P122" s="7"/>
      <c r="Q122" s="23"/>
      <c r="R122" s="23"/>
      <c r="S122" s="32">
        <f t="shared" si="24"/>
        <v>1</v>
      </c>
      <c r="T122" s="47" t="str">
        <f t="shared" si="25"/>
        <v>Southbound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17:06:25-700',mode:absolute,to:'2017-01-01 19:51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2" s="49" t="str">
        <f t="shared" si="27"/>
        <v>N</v>
      </c>
      <c r="X122" s="173">
        <f t="shared" si="28"/>
        <v>1</v>
      </c>
      <c r="Y122" s="64">
        <f t="shared" si="29"/>
        <v>23.2959</v>
      </c>
      <c r="Z122" s="64">
        <f t="shared" si="30"/>
        <v>1.43E-2</v>
      </c>
      <c r="AA122" s="64">
        <f t="shared" si="31"/>
        <v>23.281600000000001</v>
      </c>
      <c r="AB122" s="61" t="e">
        <f>VLOOKUP(A122,Enforcements!$C$7:$K$19,8,0)</f>
        <v>#N/A</v>
      </c>
      <c r="AC122" s="57" t="e">
        <f>VLOOKUP(A122,Enforcements!$C$7:$E$19,3,0)</f>
        <v>#N/A</v>
      </c>
      <c r="AD122" s="58" t="str">
        <f t="shared" si="32"/>
        <v>0210-01</v>
      </c>
      <c r="AE122" s="87" t="str">
        <f t="shared" si="33"/>
        <v>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 &amp; aws s3 cp s3://rtdc.mdm.uploadarchive.raw/RTDC4004/ "%USERPROFILE%\AppData\Local\Temp\OnboardLogs"\RTDC4004\2017-01-02 --exclude "*" --recursive --include "*20170102*" &amp; "%USERPROFILE%\Documents\GitHub\mrs-test-scripts\Headless Mode &amp; Sideloading\WalkAndUnGZ.bat" "%USERPROFILE%\AppData\Local\Temp\OnboardLogs"\RTDC4004\2017-01-02</v>
      </c>
      <c r="AF122" s="84" t="str">
        <f t="shared" si="34"/>
        <v>"C:\Program Files (x86)\AstroGrep\AstroGrep.exe" /spath="%USERPROFILE%\AppData\Local\Temp\OnboardLogs" /stypes="app*4004*20170102*" /stext=" 01:.+((SYSTEM_STATE.+slice.+state.+changed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8" t="str">
        <f t="shared" si="36"/>
        <v>"%USERPROFILE%\Documents\GitHub\eaglep3\Utilities\RefineRTDCRunTimes.py" --tripid 210-01 --locoid 4004 --swversion DE.1.0.8.0 --startMP 204:232959 --initTime 2017-01-01T18:06:25 --startdatetime 2017-01-01T18:11:27 --delay 2 --endMP 204:143 --enddatetime 2017-01-01T18:51:54 --enforcementcount 0 &gt;&gt;C:\Users\stu\Documents\GitHub\eaglep3-reporting\EC\2017-01-01-refined-times.txt</v>
      </c>
      <c r="AI122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{"issue":{"subject":"","project_id":79,"tracker_id":40,"status_id":1,"priority_id":2,"assigned_to_id":23,"start_date":"2017-01-01","description":"","custom_fields":[{"id":1,"name":"Subdivision","value":"EC"},{"id":4,"name":"Milepost","value":"0.0143"},{"id":17,"name":"Train ID","value":"210-01"},{"id":16,"name":"Locomotive ID","value":"4004"},{"id":130,"name":"Impact","value":""},{"id":150,"name":"Time of Event (Mountain Time)","value":"18:51:54"},{"id":151,"name":"Denver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38"/>
        <v>start /low /b %USERPROFILE%\Documents\GitHub\eaglep3\Utilities\DownloadLogsFromS3.py --loco 4004 --day 2017-01-01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618</v>
      </c>
      <c r="B123" s="7">
        <v>4014</v>
      </c>
      <c r="C123" s="22" t="s">
        <v>205</v>
      </c>
      <c r="D123" s="22" t="s">
        <v>357</v>
      </c>
      <c r="E123" s="13">
        <v>42736.725138888891</v>
      </c>
      <c r="F123" s="13">
        <v>42736.729328703703</v>
      </c>
      <c r="G123" s="7">
        <v>1</v>
      </c>
      <c r="H123" s="22" t="s">
        <v>321</v>
      </c>
      <c r="I123" s="13">
        <v>42736.754895833335</v>
      </c>
      <c r="J123" s="7">
        <v>0</v>
      </c>
      <c r="K123" s="105" t="str">
        <f t="shared" si="21"/>
        <v>4013/4014</v>
      </c>
      <c r="L123" s="22" t="str">
        <f>VLOOKUP(A123,'Trips&amp;Operators'!$C$1:$G$99999,5,FALSE)</f>
        <v>LALONDE GREGORY</v>
      </c>
      <c r="M123" s="6">
        <f t="shared" si="22"/>
        <v>2.5567129632690921E-2</v>
      </c>
      <c r="N123" s="7">
        <f t="shared" si="23"/>
        <v>36.816666671074927</v>
      </c>
      <c r="O123" s="7"/>
      <c r="P123" s="7"/>
      <c r="Q123" s="23"/>
      <c r="R123" s="23"/>
      <c r="S123" s="32">
        <f t="shared" si="24"/>
        <v>1</v>
      </c>
      <c r="T123" s="47" t="str">
        <f t="shared" si="25"/>
        <v>NorthBound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16:24:12-700',mode:absolute,to:'2017-01-01 19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3" s="49" t="str">
        <f t="shared" si="27"/>
        <v>N</v>
      </c>
      <c r="X123" s="173">
        <f t="shared" si="28"/>
        <v>1</v>
      </c>
      <c r="Y123" s="64">
        <f t="shared" si="29"/>
        <v>4.7800000000000002E-2</v>
      </c>
      <c r="Z123" s="64">
        <f t="shared" si="30"/>
        <v>23.3291</v>
      </c>
      <c r="AA123" s="64">
        <f t="shared" si="31"/>
        <v>23.281300000000002</v>
      </c>
      <c r="AB123" s="61" t="e">
        <f>VLOOKUP(A123,Enforcements!$C$7:$K$19,8,0)</f>
        <v>#N/A</v>
      </c>
      <c r="AC123" s="57" t="e">
        <f>VLOOKUP(A123,Enforcements!$C$7:$E$19,3,0)</f>
        <v>#N/A</v>
      </c>
      <c r="AD123" s="58" t="str">
        <f t="shared" si="32"/>
        <v>0211-01</v>
      </c>
      <c r="AE123" s="87" t="str">
        <f t="shared" si="33"/>
        <v>aws s3 cp s3://rtdc.mdm.uploadarchive.raw/RTDC4014/ "%USERPROFILE%\AppData\Local\Temp\OnboardLogs"\RTDC4014\2017-01-01 --exclude "*" --recursive --include "*20170101*" &amp; "%USERPROFILE%\Documents\GitHub\mrs-test-scripts\Headless Mode &amp; Sideloading\WalkAndUnGZ.bat" "%USERPROFILE%\AppData\Local\Temp\OnboardLogs"\RTDC4014\2017-01-01 &amp; 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</v>
      </c>
      <c r="AF123" s="84" t="str">
        <f t="shared" si="34"/>
        <v>"C:\Program Files (x86)\AstroGrep\AstroGrep.exe" /spath="%USERPROFILE%\AppData\Local\Temp\OnboardLogs" /stypes="app*4014*20170102*"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8" t="str">
        <f t="shared" si="36"/>
        <v>"%USERPROFILE%\Documents\GitHub\eaglep3\Utilities\RefineRTDCRunTimes.py" --tripid 211-01 --locoid 4014 --swversion DE.1.0.8.0 --startMP 204:478 --initTime 2017-01-01T17:24:12 --startdatetime 2017-01-01T17:30:14 --delay 1 --endMP 204:233291 --enddatetime 2017-01-01T18:07:03 --enforcementcount 0 &gt;&gt;C:\Users\stu\Documents\GitHub\eaglep3-reporting\EC\2017-01-01-refined-times.txt</v>
      </c>
      <c r="AI123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{"issue":{"subject":"","project_id":79,"tracker_id":40,"status_id":1,"priority_id":2,"assigned_to_id":23,"start_date":"2017-01-01","description":"","custom_fields":[{"id":1,"name":"Subdivision","value":"EC"},{"id":4,"name":"Milepost","value":"23.3291"},{"id":17,"name":"Train ID","value":"211-01"},{"id":16,"name":"Locomotive ID","value":"4014"},{"id":130,"name":"Impact","value":""},{"id":150,"name":"Time of Event (Mountain Time)","value":"18:07:03"},{"id":151,"name":"Denver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38"/>
        <v>start /low /b %USERPROFILE%\Documents\GitHub\eaglep3\Utilities\DownloadLogsFromS3.py --loco 4014 --day 2017-01-01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629</v>
      </c>
      <c r="B124" s="7">
        <v>4013</v>
      </c>
      <c r="C124" s="22" t="s">
        <v>205</v>
      </c>
      <c r="D124" s="22" t="s">
        <v>762</v>
      </c>
      <c r="E124" s="13">
        <v>42736.757187499999</v>
      </c>
      <c r="F124" s="13">
        <v>42736.76835648148</v>
      </c>
      <c r="G124" s="7">
        <v>1</v>
      </c>
      <c r="H124" s="22" t="s">
        <v>191</v>
      </c>
      <c r="I124" s="13">
        <v>42736.795659722222</v>
      </c>
      <c r="J124" s="7">
        <v>0</v>
      </c>
      <c r="K124" s="105" t="str">
        <f t="shared" si="21"/>
        <v>4013/4014</v>
      </c>
      <c r="L124" s="22" t="str">
        <f>VLOOKUP(A124,'Trips&amp;Operators'!$C$1:$G$99999,5,FALSE)</f>
        <v>LALONDE GREGORY</v>
      </c>
      <c r="M124" s="6">
        <f t="shared" si="22"/>
        <v>2.7303240742185153E-2</v>
      </c>
      <c r="N124" s="7">
        <f t="shared" si="23"/>
        <v>39.31666666874662</v>
      </c>
      <c r="O124" s="7"/>
      <c r="P124" s="7"/>
      <c r="Q124" s="23"/>
      <c r="R124" s="23"/>
      <c r="S124" s="32">
        <f t="shared" si="24"/>
        <v>1</v>
      </c>
      <c r="T124" s="47" t="str">
        <f t="shared" si="25"/>
        <v>Southbound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17:10:21-700',mode:absolute,to:'2017-01-01 20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4" s="49" t="str">
        <f t="shared" si="27"/>
        <v>N</v>
      </c>
      <c r="X124" s="173">
        <f t="shared" si="28"/>
        <v>1</v>
      </c>
      <c r="Y124" s="64">
        <f t="shared" si="29"/>
        <v>23.297899999999998</v>
      </c>
      <c r="Z124" s="64">
        <f t="shared" si="30"/>
        <v>1.49E-2</v>
      </c>
      <c r="AA124" s="64">
        <f t="shared" si="31"/>
        <v>23.282999999999998</v>
      </c>
      <c r="AB124" s="61" t="e">
        <f>VLOOKUP(A124,Enforcements!$C$7:$K$19,8,0)</f>
        <v>#N/A</v>
      </c>
      <c r="AC124" s="57" t="e">
        <f>VLOOKUP(A124,Enforcements!$C$7:$E$19,3,0)</f>
        <v>#N/A</v>
      </c>
      <c r="AD124" s="58" t="str">
        <f t="shared" si="32"/>
        <v>0212-01</v>
      </c>
      <c r="AE124" s="87" t="str">
        <f t="shared" si="33"/>
        <v>aws s3 cp s3://rtdc.mdm.uploadarchive.raw/RTDC4013/ "%USERPROFILE%\AppData\Local\Temp\OnboardLogs"\RTDC4013\2017-01-01 --exclude "*" --recursive --include "*20170101*" &amp; "%USERPROFILE%\Documents\GitHub\mrs-test-scripts\Headless Mode &amp; Sideloading\WalkAndUnGZ.bat" "%USERPROFILE%\AppData\Local\Temp\OnboardLogs"\RTDC4013\2017-01-01 &amp; 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</v>
      </c>
      <c r="AF124" s="84" t="str">
        <f t="shared" si="34"/>
        <v>"C:\Program Files (x86)\AstroGrep\AstroGrep.exe" /spath="%USERPROFILE%\AppData\Local\Temp\OnboardLogs" /stypes="app*4013*20170102*" /stext=" 02:.+((SYSTEM_STATE.+slice.+state.+changed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8" t="str">
        <f t="shared" si="36"/>
        <v>"%USERPROFILE%\Documents\GitHub\eaglep3\Utilities\RefineRTDCRunTimes.py" --tripid 212-01 --locoid 4013 --swversion DE.1.0.8.0 --startMP 204:232979 --initTime 2017-01-01T18:10:21 --startdatetime 2017-01-01T18:26:26 --delay 1 --endMP 204:149 --enddatetime 2017-01-01T19:05:45 --enforcementcount 0 &gt;&gt;C:\Users\stu\Documents\GitHub\eaglep3-reporting\EC\2017-01-01-refined-times.txt</v>
      </c>
      <c r="AI124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{"issue":{"subject":"","project_id":79,"tracker_id":40,"status_id":1,"priority_id":2,"assigned_to_id":23,"start_date":"2017-01-01","description":"","custom_fields":[{"id":1,"name":"Subdivision","value":"EC"},{"id":4,"name":"Milepost","value":"0.0149"},{"id":17,"name":"Train ID","value":"212-01"},{"id":16,"name":"Locomotive ID","value":"4013"},{"id":130,"name":"Impact","value":""},{"id":150,"name":"Time of Event (Mountain Time)","value":"19:05:45"},{"id":151,"name":"Denver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38"/>
        <v>start /low /b %USERPROFILE%\Documents\GitHub\eaglep3\Utilities\DownloadLogsFromS3.py --loco 4013 --day 2017-01-01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621</v>
      </c>
      <c r="B125" s="7">
        <v>4002</v>
      </c>
      <c r="C125" s="22" t="s">
        <v>205</v>
      </c>
      <c r="D125" s="22" t="s">
        <v>397</v>
      </c>
      <c r="E125" s="13">
        <v>42736.736145833333</v>
      </c>
      <c r="F125" s="13">
        <v>42736.739849537036</v>
      </c>
      <c r="G125" s="7">
        <v>1</v>
      </c>
      <c r="H125" s="22" t="s">
        <v>292</v>
      </c>
      <c r="I125" s="13">
        <v>42736.764166666668</v>
      </c>
      <c r="J125" s="7">
        <v>0</v>
      </c>
      <c r="K125" s="105" t="str">
        <f t="shared" si="21"/>
        <v>4001/4002</v>
      </c>
      <c r="L125" s="22" t="str">
        <f>VLOOKUP(A125,'Trips&amp;Operators'!$C$1:$G$99999,5,FALSE)</f>
        <v>NEWELL JAMES</v>
      </c>
      <c r="M125" s="6">
        <f t="shared" si="22"/>
        <v>2.4317129631526768E-2</v>
      </c>
      <c r="N125" s="7">
        <f t="shared" si="23"/>
        <v>35.016666669398546</v>
      </c>
      <c r="O125" s="7"/>
      <c r="P125" s="7"/>
      <c r="Q125" s="23"/>
      <c r="R125" s="23"/>
      <c r="S125" s="32">
        <f t="shared" si="24"/>
        <v>1</v>
      </c>
      <c r="T125" s="47" t="str">
        <f t="shared" si="25"/>
        <v>NorthBound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16:40:03-700',mode:absolute,to:'2017-01-01 19:20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5" s="49" t="str">
        <f t="shared" si="27"/>
        <v>N</v>
      </c>
      <c r="X125" s="173">
        <f t="shared" si="28"/>
        <v>1</v>
      </c>
      <c r="Y125" s="64">
        <f t="shared" si="29"/>
        <v>4.6699999999999998E-2</v>
      </c>
      <c r="Z125" s="64">
        <f t="shared" si="30"/>
        <v>23.330100000000002</v>
      </c>
      <c r="AA125" s="64">
        <f t="shared" si="31"/>
        <v>23.2834</v>
      </c>
      <c r="AB125" s="61" t="e">
        <f>VLOOKUP(A125,Enforcements!$C$7:$K$19,8,0)</f>
        <v>#N/A</v>
      </c>
      <c r="AC125" s="57" t="e">
        <f>VLOOKUP(A125,Enforcements!$C$7:$E$19,3,0)</f>
        <v>#N/A</v>
      </c>
      <c r="AD125" s="58" t="str">
        <f t="shared" si="32"/>
        <v>0213-01</v>
      </c>
      <c r="AE125" s="87" t="str">
        <f t="shared" si="33"/>
        <v>aws s3 cp s3://rtdc.mdm.uploadarchive.raw/RTDC4002/ "%USERPROFILE%\AppData\Local\Temp\OnboardLogs"\RTDC4002\2017-01-01 --exclude "*" --recursive --include "*20170101*" &amp; "%USERPROFILE%\Documents\GitHub\mrs-test-scripts\Headless Mode &amp; Sideloading\WalkAndUnGZ.bat" "%USERPROFILE%\AppData\Local\Temp\OnboardLogs"\RTDC4002\2017-01-01 &amp; aws s3 cp s3://rtdc.mdm.uploadarchive.raw/RTDC4002/ "%USERPROFILE%\AppData\Local\Temp\OnboardLogs"\RTDC4002\2017-01-02 --exclude "*" --recursive --include "*20170102*" &amp; "%USERPROFILE%\Documents\GitHub\mrs-test-scripts\Headless Mode &amp; Sideloading\WalkAndUnGZ.bat" "%USERPROFILE%\AppData\Local\Temp\OnboardLogs"\RTDC4002\2017-01-02</v>
      </c>
      <c r="AF125" s="84" t="str">
        <f t="shared" si="34"/>
        <v>"C:\Program Files (x86)\AstroGrep\AstroGrep.exe" /spath="%USERPROFILE%\AppData\Local\Temp\OnboardLogs" /stypes="app*4002*20170102*" /stext=" 01:.+((SYSTEM_STATE.+slice.+state.+changed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8" t="str">
        <f t="shared" si="36"/>
        <v>"%USERPROFILE%\Documents\GitHub\eaglep3\Utilities\RefineRTDCRunTimes.py" --tripid 213-01 --locoid 4002 --swversion DE.1.0.8.0 --startMP 204:467 --initTime 2017-01-01T17:40:03 --startdatetime 2017-01-01T17:45:23 --delay 1 --endMP 204:233301 --enddatetime 2017-01-01T18:20:24 --enforcementcount 0 &gt;&gt;C:\Users\stu\Documents\GitHub\eaglep3-reporting\EC\2017-01-01-refined-times.txt</v>
      </c>
      <c r="AI125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{"issue":{"subject":"","project_id":79,"tracker_id":40,"status_id":1,"priority_id":2,"assigned_to_id":23,"start_date":"2017-01-01","description":"","custom_fields":[{"id":1,"name":"Subdivision","value":"EC"},{"id":4,"name":"Milepost","value":"23.3301"},{"id":17,"name":"Train ID","value":"213-01"},{"id":16,"name":"Locomotive ID","value":"4002"},{"id":130,"name":"Impact","value":""},{"id":150,"name":"Time of Event (Mountain Time)","value":"18:20:24"},{"id":151,"name":"Denver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38"/>
        <v>start /low /b %USERPROFILE%\Documents\GitHub\eaglep3\Utilities\DownloadLogsFromS3.py --loco 4002 --day 2017-01-01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633</v>
      </c>
      <c r="B126" s="7">
        <v>4001</v>
      </c>
      <c r="C126" s="22" t="s">
        <v>205</v>
      </c>
      <c r="D126" s="22" t="s">
        <v>256</v>
      </c>
      <c r="E126" s="13">
        <v>42736.76871527778</v>
      </c>
      <c r="F126" s="13">
        <v>42736.778680555559</v>
      </c>
      <c r="G126" s="7">
        <v>1</v>
      </c>
      <c r="H126" s="22" t="s">
        <v>257</v>
      </c>
      <c r="I126" s="13">
        <v>42736.806909722225</v>
      </c>
      <c r="J126" s="7">
        <v>0</v>
      </c>
      <c r="K126" s="105" t="str">
        <f t="shared" si="21"/>
        <v>4001/4002</v>
      </c>
      <c r="L126" s="22" t="str">
        <f>VLOOKUP(A126,'Trips&amp;Operators'!$C$1:$G$99999,5,FALSE)</f>
        <v>NEWELL JAMES</v>
      </c>
      <c r="M126" s="6">
        <f t="shared" si="22"/>
        <v>2.8229166666278616E-2</v>
      </c>
      <c r="N126" s="7">
        <f t="shared" si="23"/>
        <v>40.649999999441206</v>
      </c>
      <c r="O126" s="7"/>
      <c r="P126" s="7"/>
      <c r="Q126" s="23"/>
      <c r="R126" s="23"/>
      <c r="S126" s="32">
        <f t="shared" si="24"/>
        <v>1</v>
      </c>
      <c r="T126" s="47" t="str">
        <f t="shared" si="25"/>
        <v>Southbound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17:26:57-700',mode:absolute,to:'2017-01-01 20:21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6" s="49" t="str">
        <f t="shared" si="27"/>
        <v>N</v>
      </c>
      <c r="X126" s="173">
        <f t="shared" si="28"/>
        <v>1</v>
      </c>
      <c r="Y126" s="64">
        <f t="shared" si="29"/>
        <v>23.297699999999999</v>
      </c>
      <c r="Z126" s="64">
        <f t="shared" si="30"/>
        <v>1.6E-2</v>
      </c>
      <c r="AA126" s="64">
        <f t="shared" si="31"/>
        <v>23.281700000000001</v>
      </c>
      <c r="AB126" s="61" t="e">
        <f>VLOOKUP(A126,Enforcements!$C$7:$K$19,8,0)</f>
        <v>#N/A</v>
      </c>
      <c r="AC126" s="57" t="e">
        <f>VLOOKUP(A126,Enforcements!$C$7:$E$19,3,0)</f>
        <v>#N/A</v>
      </c>
      <c r="AD126" s="58" t="str">
        <f t="shared" si="32"/>
        <v>0214-01</v>
      </c>
      <c r="AE126" s="87" t="str">
        <f t="shared" si="33"/>
        <v>aws s3 cp s3://rtdc.mdm.uploadarchive.raw/RTDC4001/ "%USERPROFILE%\AppData\Local\Temp\OnboardLogs"\RTDC4001\2017-01-01 --exclude "*" --recursive --include "*20170101*" &amp; "%USERPROFILE%\Documents\GitHub\mrs-test-scripts\Headless Mode &amp; Sideloading\WalkAndUnGZ.bat" "%USERPROFILE%\AppData\Local\Temp\OnboardLogs"\RTDC4001\2017-01-01 &amp; aws s3 cp s3://rtdc.mdm.uploadarchive.raw/RTDC4001/ "%USERPROFILE%\AppData\Local\Temp\OnboardLogs"\RTDC4001\2017-01-02 --exclude "*" --recursive --include "*20170102*" &amp; "%USERPROFILE%\Documents\GitHub\mrs-test-scripts\Headless Mode &amp; Sideloading\WalkAndUnGZ.bat" "%USERPROFILE%\AppData\Local\Temp\OnboardLogs"\RTDC4001\2017-01-02</v>
      </c>
      <c r="AF126" s="84" t="str">
        <f t="shared" si="34"/>
        <v>"C:\Program Files (x86)\AstroGrep\AstroGrep.exe" /spath="%USERPROFILE%\AppData\Local\Temp\OnboardLogs" /stypes="app*4001*20170102*" /stext=" 02:.+((SYSTEM_STATE.+slice.+state.+changed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8" t="str">
        <f t="shared" si="36"/>
        <v>"%USERPROFILE%\Documents\GitHub\eaglep3\Utilities\RefineRTDCRunTimes.py" --tripid 214-01 --locoid 4001 --swversion DE.1.0.8.0 --startMP 204:232977 --initTime 2017-01-01T18:26:57 --startdatetime 2017-01-01T18:41:18 --delay 1 --endMP 204:160 --enddatetime 2017-01-01T19:21:57 --enforcementcount 0 &gt;&gt;C:\Users\stu\Documents\GitHub\eaglep3-reporting\EC\2017-01-01-refined-times.txt</v>
      </c>
      <c r="AI126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{"issue":{"subject":"","project_id":79,"tracker_id":40,"status_id":1,"priority_id":2,"assigned_to_id":23,"start_date":"2017-01-01","description":"","custom_fields":[{"id":1,"name":"Subdivision","value":"EC"},{"id":4,"name":"Milepost","value":"0.016"},{"id":17,"name":"Train ID","value":"214-01"},{"id":16,"name":"Locomotive ID","value":"4001"},{"id":130,"name":"Impact","value":""},{"id":150,"name":"Time of Event (Mountain Time)","value":"19:21:57"},{"id":151,"name":"Denver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38"/>
        <v>start /low /b %USERPROFILE%\Documents\GitHub\eaglep3\Utilities\DownloadLogsFromS3.py --loco 4001 --day 2017-01-01</v>
      </c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624</v>
      </c>
      <c r="B127" s="7">
        <v>4042</v>
      </c>
      <c r="C127" s="22" t="s">
        <v>205</v>
      </c>
      <c r="D127" s="22" t="s">
        <v>362</v>
      </c>
      <c r="E127" s="13">
        <v>42736.744826388887</v>
      </c>
      <c r="F127" s="13">
        <v>42736.750243055554</v>
      </c>
      <c r="G127" s="7">
        <v>1</v>
      </c>
      <c r="H127" s="22" t="s">
        <v>750</v>
      </c>
      <c r="I127" s="13">
        <v>42736.776400462964</v>
      </c>
      <c r="J127" s="7">
        <v>0</v>
      </c>
      <c r="K127" s="105" t="str">
        <f t="shared" si="21"/>
        <v>4041/4042</v>
      </c>
      <c r="L127" s="22" t="str">
        <f>VLOOKUP(A127,'Trips&amp;Operators'!$C$1:$G$99999,5,FALSE)</f>
        <v>KILLION DAVID</v>
      </c>
      <c r="M127" s="6">
        <f t="shared" si="22"/>
        <v>2.6157407410209998E-2</v>
      </c>
      <c r="N127" s="7">
        <f t="shared" si="23"/>
        <v>37.666666670702398</v>
      </c>
      <c r="O127" s="7"/>
      <c r="P127" s="7"/>
      <c r="Q127" s="23"/>
      <c r="R127" s="23"/>
      <c r="S127" s="32">
        <f t="shared" si="24"/>
        <v>1</v>
      </c>
      <c r="T127" s="47" t="str">
        <f t="shared" si="25"/>
        <v>NorthBound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16:52:33-700',mode:absolute,to:'2017-01-01 19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7" s="49" t="str">
        <f t="shared" si="27"/>
        <v>N</v>
      </c>
      <c r="X127" s="173">
        <f t="shared" si="28"/>
        <v>1</v>
      </c>
      <c r="Y127" s="64">
        <f t="shared" si="29"/>
        <v>4.7100000000000003E-2</v>
      </c>
      <c r="Z127" s="64">
        <f t="shared" si="30"/>
        <v>23.329799999999999</v>
      </c>
      <c r="AA127" s="64">
        <f t="shared" si="31"/>
        <v>23.282699999999998</v>
      </c>
      <c r="AB127" s="61" t="e">
        <f>VLOOKUP(A127,Enforcements!$C$7:$K$19,8,0)</f>
        <v>#N/A</v>
      </c>
      <c r="AC127" s="57" t="e">
        <f>VLOOKUP(A127,Enforcements!$C$7:$E$19,3,0)</f>
        <v>#N/A</v>
      </c>
      <c r="AD127" s="58" t="str">
        <f t="shared" si="32"/>
        <v>0215-01</v>
      </c>
      <c r="AE127" s="87" t="str">
        <f t="shared" si="33"/>
        <v>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 &amp; 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</v>
      </c>
      <c r="AF127" s="84" t="str">
        <f t="shared" si="34"/>
        <v>"C:\Program Files (x86)\AstroGrep\AstroGrep.exe" /spath="%USERPROFILE%\AppData\Local\Temp\OnboardLogs" /stypes="app*4042*20170102*" /stext=" 01:.+((SYSTEM_STATE.+slice.+state.+changed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8" t="str">
        <f t="shared" si="36"/>
        <v>"%USERPROFILE%\Documents\GitHub\eaglep3\Utilities\RefineRTDCRunTimes.py" --tripid 215-01 --locoid 4042 --swversion DE.1.0.8.0 --startMP 204:471 --initTime 2017-01-01T17:52:33 --startdatetime 2017-01-01T18:00:21 --delay 1 --endMP 204:233298 --enddatetime 2017-01-01T18:38:01 --enforcementcount 0 &gt;&gt;C:\Users\stu\Documents\GitHub\eaglep3-reporting\EC\2017-01-01-refined-times.txt</v>
      </c>
      <c r="AI127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{"issue":{"subject":"","project_id":79,"tracker_id":40,"status_id":1,"priority_id":2,"assigned_to_id":23,"start_date":"2017-01-01","description":"","custom_fields":[{"id":1,"name":"Subdivision","value":"EC"},{"id":4,"name":"Milepost","value":"23.3298"},{"id":17,"name":"Train ID","value":"215-01"},{"id":16,"name":"Locomotive ID","value":"4042"},{"id":130,"name":"Impact","value":""},{"id":150,"name":"Time of Event (Mountain Time)","value":"18:38:01"},{"id":151,"name":"Denver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38"/>
        <v>start /low /b %USERPROFILE%\Documents\GitHub\eaglep3\Utilities\DownloadLogsFromS3.py --loco 4042 --day 2017-01-01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4" t="s">
        <v>461</v>
      </c>
      <c r="B128" s="7">
        <v>4041</v>
      </c>
      <c r="C128" s="22" t="s">
        <v>205</v>
      </c>
      <c r="D128" s="22" t="s">
        <v>760</v>
      </c>
      <c r="E128" s="13">
        <v>42736.784212962964</v>
      </c>
      <c r="F128" s="13">
        <v>42736.7891087963</v>
      </c>
      <c r="G128" s="7">
        <v>1</v>
      </c>
      <c r="H128" s="22" t="s">
        <v>699</v>
      </c>
      <c r="I128" s="13">
        <v>42736.816319444442</v>
      </c>
      <c r="J128" s="7">
        <v>0</v>
      </c>
      <c r="K128" s="105" t="str">
        <f t="shared" si="21"/>
        <v>4041/4042</v>
      </c>
      <c r="L128" s="22" t="str">
        <f>VLOOKUP(A128,'Trips&amp;Operators'!$C$1:$G$99999,5,FALSE)</f>
        <v>KILLION DAVID</v>
      </c>
      <c r="M128" s="6">
        <f t="shared" si="22"/>
        <v>2.7210648142499849E-2</v>
      </c>
      <c r="N128" s="7">
        <f t="shared" si="23"/>
        <v>39.183333325199783</v>
      </c>
      <c r="O128" s="7"/>
      <c r="P128" s="7"/>
      <c r="Q128" s="23"/>
      <c r="R128" s="23"/>
      <c r="S128" s="32">
        <f t="shared" si="24"/>
        <v>1</v>
      </c>
      <c r="T128" s="47" t="str">
        <f t="shared" si="25"/>
        <v>Southbound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17:49:16-700',mode:absolute,to:'2017-01-01 20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8" s="49" t="str">
        <f t="shared" si="27"/>
        <v>N</v>
      </c>
      <c r="X128" s="173">
        <f t="shared" si="28"/>
        <v>1</v>
      </c>
      <c r="Y128" s="64">
        <f t="shared" si="29"/>
        <v>23.298100000000002</v>
      </c>
      <c r="Z128" s="64">
        <f t="shared" si="30"/>
        <v>1.61E-2</v>
      </c>
      <c r="AA128" s="64">
        <f t="shared" si="31"/>
        <v>23.282</v>
      </c>
      <c r="AB128" s="61" t="str">
        <f>VLOOKUP(A128,Enforcements!$C$7:$K$19,8,0)</f>
        <v>Speed (6)</v>
      </c>
      <c r="AC128" s="57" t="str">
        <f>VLOOKUP(A128,Enforcements!$C$7:$E$19,3,0)</f>
        <v>PERMANENT SPEED RESTRICTION</v>
      </c>
      <c r="AD128" s="58" t="str">
        <f t="shared" si="32"/>
        <v>0216-01</v>
      </c>
      <c r="AE128" s="87" t="str">
        <f t="shared" si="33"/>
        <v>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 &amp; 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</v>
      </c>
      <c r="AF128" s="84" t="str">
        <f t="shared" si="34"/>
        <v>"C:\Program Files (x86)\AstroGrep\AstroGrep.exe" /spath="%USERPROFILE%\AppData\Local\Temp\OnboardLogs" /stypes="app*4041*20170102*" /stext=" 02:.+((SYSTEM_STATE.+slice.+state.+changed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8" t="str">
        <f t="shared" si="36"/>
        <v>"%USERPROFILE%\Documents\GitHub\eaglep3\Utilities\RefineRTDCRunTimes.py" --tripid 216-01 --locoid 4041 --swversion DE.1.0.8.0 --startMP 204:232981 --initTime 2017-01-01T18:49:16 --startdatetime 2017-01-01T18:56:19 --delay 1 --endMP 204:161 --enddatetime 2017-01-01T19:35:30 --enforcementcount 0 &gt;&gt;C:\Users\stu\Documents\GitHub\eaglep3-reporting\EC\2017-01-01-refined-times.txt</v>
      </c>
      <c r="AI128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{"issue":{"subject":"","project_id":79,"tracker_id":40,"status_id":1,"priority_id":2,"assigned_to_id":23,"start_date":"2017-01-01","description":"","custom_fields":[{"id":1,"name":"Subdivision","value":"EC"},{"id":4,"name":"Milepost","value":"0.0161"},{"id":17,"name":"Train ID","value":"216-01"},{"id":16,"name":"Locomotive ID","value":"4041"},{"id":130,"name":"Impact","value":""},{"id":150,"name":"Time of Event (Mountain Time)","value":"19:35:30"},{"id":151,"name":"Denver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38"/>
        <v>start /low /b %USERPROFILE%\Documents\GitHub\eaglep3\Utilities\DownloadLogsFromS3.py --loco 4041 --day 2017-01-01</v>
      </c>
    </row>
    <row r="129" spans="1:91" s="21" customFormat="1" x14ac:dyDescent="0.25">
      <c r="A129" s="34" t="s">
        <v>459</v>
      </c>
      <c r="B129" s="7">
        <v>4009</v>
      </c>
      <c r="C129" s="22" t="s">
        <v>205</v>
      </c>
      <c r="D129" s="22" t="s">
        <v>320</v>
      </c>
      <c r="E129" s="13">
        <v>42736.757939814815</v>
      </c>
      <c r="F129" s="13">
        <v>42736.760763888888</v>
      </c>
      <c r="G129" s="7">
        <v>2</v>
      </c>
      <c r="H129" s="22" t="s">
        <v>264</v>
      </c>
      <c r="I129" s="13">
        <v>42736.788287037038</v>
      </c>
      <c r="J129" s="7">
        <v>0</v>
      </c>
      <c r="K129" s="105" t="str">
        <f t="shared" si="21"/>
        <v>4009/4010</v>
      </c>
      <c r="L129" s="22" t="str">
        <f>VLOOKUP(A129,'Trips&amp;Operators'!$C$1:$G$99999,5,FALSE)</f>
        <v>SMITH MICHAEL</v>
      </c>
      <c r="M129" s="6">
        <f t="shared" si="22"/>
        <v>2.7523148150066845E-2</v>
      </c>
      <c r="N129" s="7">
        <f t="shared" si="23"/>
        <v>39.633333336096257</v>
      </c>
      <c r="O129" s="7"/>
      <c r="P129" s="7"/>
      <c r="Q129" s="23"/>
      <c r="R129" s="23"/>
      <c r="S129" s="32">
        <f t="shared" si="24"/>
        <v>1</v>
      </c>
      <c r="T129" s="47" t="str">
        <f t="shared" si="25"/>
        <v>NorthBound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17:11:26-700',mode:absolute,to:'2017-01-01 19:55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9" s="49" t="str">
        <f t="shared" si="27"/>
        <v>N</v>
      </c>
      <c r="X129" s="173">
        <f t="shared" si="28"/>
        <v>1</v>
      </c>
      <c r="Y129" s="64">
        <f t="shared" si="29"/>
        <v>4.5699999999999998E-2</v>
      </c>
      <c r="Z129" s="64">
        <f t="shared" si="30"/>
        <v>23.328900000000001</v>
      </c>
      <c r="AA129" s="64">
        <f t="shared" si="31"/>
        <v>23.283200000000001</v>
      </c>
      <c r="AB129" s="61" t="str">
        <f>VLOOKUP(A129,Enforcements!$C$7:$K$19,8,0)</f>
        <v>Signal based authority (5)</v>
      </c>
      <c r="AC129" s="57" t="str">
        <f>VLOOKUP(A129,Enforcements!$C$7:$E$19,3,0)</f>
        <v>SIGNAL</v>
      </c>
      <c r="AD129" s="58" t="str">
        <f t="shared" si="32"/>
        <v>0217-01</v>
      </c>
      <c r="AE129" s="87" t="str">
        <f t="shared" si="33"/>
        <v>aws s3 cp s3://rtdc.mdm.uploadarchive.raw/RTDC4009/ "%USERPROFILE%\AppData\Local\Temp\OnboardLogs"\RTDC4009\2017-01-01 --exclude "*" --recursive --include "*20170101*" &amp; "%USERPROFILE%\Documents\GitHub\mrs-test-scripts\Headless Mode &amp; Sideloading\WalkAndUnGZ.bat" "%USERPROFILE%\AppData\Local\Temp\OnboardLogs"\RTDC4009\2017-01-01 &amp; aws s3 cp s3://rtdc.mdm.uploadarchive.raw/RTDC4009/ "%USERPROFILE%\AppData\Local\Temp\OnboardLogs"\RTDC4009\2017-01-02 --exclude "*" --recursive --include "*20170102*" &amp; "%USERPROFILE%\Documents\GitHub\mrs-test-scripts\Headless Mode &amp; Sideloading\WalkAndUnGZ.bat" "%USERPROFILE%\AppData\Local\Temp\OnboardLogs"\RTDC4009\2017-01-02</v>
      </c>
      <c r="AF129" s="84" t="str">
        <f t="shared" si="34"/>
        <v>"C:\Program Files (x86)\AstroGrep\AstroGrep.exe" /spath="%USERPROFILE%\AppData\Local\Temp\OnboardLogs" /stypes="app*4009*20170102*" /stext=" 01:.+((SYSTEM_STATE.+slice.+state.+changed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8" t="str">
        <f t="shared" si="36"/>
        <v>"%USERPROFILE%\Documents\GitHub\eaglep3\Utilities\RefineRTDCRunTimes.py" --tripid 217-01 --locoid 4009 --swversion DE.1.0.8.0 --startMP 204:457 --initTime 2017-01-01T18:11:26 --startdatetime 2017-01-01T18:15:30 --delay 2 --endMP 204:233289 --enddatetime 2017-01-01T18:55:08 --enforcementcount 0 &gt;&gt;C:\Users\stu\Documents\GitHub\eaglep3-reporting\EC\2017-01-01-refined-times.txt</v>
      </c>
      <c r="AI129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{"issue":{"subject":"","project_id":79,"tracker_id":40,"status_id":1,"priority_id":2,"assigned_to_id":23,"start_date":"2017-01-01","description":"","custom_fields":[{"id":1,"name":"Subdivision","value":"EC"},{"id":4,"name":"Milepost","value":"23.3289"},{"id":17,"name":"Train ID","value":"217-01"},{"id":16,"name":"Locomotive ID","value":"4009"},{"id":130,"name":"Impact","value":""},{"id":150,"name":"Time of Event (Mountain Time)","value":"18:55:08"},{"id":151,"name":"Denver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38"/>
        <v>start /low /b %USERPROFILE%\Documents\GitHub\eaglep3\Utilities\DownloadLogsFromS3.py --loco 4009 --day 2017-01-01</v>
      </c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x14ac:dyDescent="0.25">
      <c r="A130" s="34" t="s">
        <v>638</v>
      </c>
      <c r="B130" s="7">
        <v>4010</v>
      </c>
      <c r="C130" s="22" t="s">
        <v>205</v>
      </c>
      <c r="D130" s="22" t="s">
        <v>763</v>
      </c>
      <c r="E130" s="13">
        <v>42736.792615740742</v>
      </c>
      <c r="F130" s="13">
        <v>42736.79954861111</v>
      </c>
      <c r="G130" s="7">
        <v>1</v>
      </c>
      <c r="H130" s="22" t="s">
        <v>191</v>
      </c>
      <c r="I130" s="13">
        <v>42736.826469907406</v>
      </c>
      <c r="J130" s="7">
        <v>0</v>
      </c>
      <c r="K130" s="105" t="str">
        <f t="shared" si="21"/>
        <v>4009/4010</v>
      </c>
      <c r="L130" s="22" t="str">
        <f>VLOOKUP(A130,'Trips&amp;Operators'!$C$1:$G$99999,5,FALSE)</f>
        <v>SMITH MICHAEL</v>
      </c>
      <c r="M130" s="6">
        <f t="shared" si="22"/>
        <v>2.6921296295768116E-2</v>
      </c>
      <c r="N130" s="7">
        <f t="shared" si="23"/>
        <v>38.766666665906087</v>
      </c>
      <c r="O130" s="7"/>
      <c r="P130" s="7"/>
      <c r="Q130" s="23"/>
      <c r="R130" s="23"/>
      <c r="S130" s="32">
        <f t="shared" si="24"/>
        <v>1</v>
      </c>
      <c r="T130" s="47" t="str">
        <f t="shared" si="25"/>
        <v>Southbound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18:01:22-700',mode:absolute,to:'2017-01-01 20:50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0" s="49" t="str">
        <f t="shared" si="27"/>
        <v>N</v>
      </c>
      <c r="X130" s="173">
        <f t="shared" si="28"/>
        <v>1</v>
      </c>
      <c r="Y130" s="64">
        <f t="shared" si="29"/>
        <v>23.296500000000002</v>
      </c>
      <c r="Z130" s="64">
        <f t="shared" si="30"/>
        <v>1.49E-2</v>
      </c>
      <c r="AA130" s="64">
        <f t="shared" si="31"/>
        <v>23.281600000000001</v>
      </c>
      <c r="AB130" s="61" t="e">
        <f>VLOOKUP(A130,Enforcements!$C$7:$K$19,8,0)</f>
        <v>#N/A</v>
      </c>
      <c r="AC130" s="57" t="e">
        <f>VLOOKUP(A130,Enforcements!$C$7:$E$19,3,0)</f>
        <v>#N/A</v>
      </c>
      <c r="AD130" s="58" t="str">
        <f t="shared" si="32"/>
        <v>0218-01</v>
      </c>
      <c r="AE130" s="87" t="str">
        <f t="shared" si="33"/>
        <v>aws s3 cp s3://rtdc.mdm.uploadarchive.raw/RTDC4010/ "%USERPROFILE%\AppData\Local\Temp\OnboardLogs"\RTDC4010\2017-01-01 --exclude "*" --recursive --include "*20170101*" &amp; "%USERPROFILE%\Documents\GitHub\mrs-test-scripts\Headless Mode &amp; Sideloading\WalkAndUnGZ.bat" "%USERPROFILE%\AppData\Local\Temp\OnboardLogs"\RTDC4010\2017-01-01 &amp; aws s3 cp s3://rtdc.mdm.uploadarchive.raw/RTDC4010/ "%USERPROFILE%\AppData\Local\Temp\OnboardLogs"\RTDC4010\2017-01-02 --exclude "*" --recursive --include "*20170102*" &amp; "%USERPROFILE%\Documents\GitHub\mrs-test-scripts\Headless Mode &amp; Sideloading\WalkAndUnGZ.bat" "%USERPROFILE%\AppData\Local\Temp\OnboardLogs"\RTDC4010\2017-01-02</v>
      </c>
      <c r="AF130" s="84" t="str">
        <f t="shared" si="34"/>
        <v>"C:\Program Files (x86)\AstroGrep\AstroGrep.exe" /spath="%USERPROFILE%\AppData\Local\Temp\OnboardLogs" /stypes="app*4010*20170102*" /stext=" 02:.+((SYSTEM_STATE.+slice.+state.+changed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8" t="str">
        <f t="shared" si="36"/>
        <v>"%USERPROFILE%\Documents\GitHub\eaglep3\Utilities\RefineRTDCRunTimes.py" --tripid 218-01 --locoid 4010 --swversion DE.1.0.8.0 --startMP 204:232965 --initTime 2017-01-01T19:01:22 --startdatetime 2017-01-01T19:11:21 --delay 1 --endMP 204:149 --enddatetime 2017-01-01T19:50:07 --enforcementcount 0 &gt;&gt;C:\Users\stu\Documents\GitHub\eaglep3-reporting\EC\2017-01-01-refined-times.txt</v>
      </c>
      <c r="AI130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{"issue":{"subject":"","project_id":79,"tracker_id":40,"status_id":1,"priority_id":2,"assigned_to_id":23,"start_date":"2017-01-01","description":"","custom_fields":[{"id":1,"name":"Subdivision","value":"EC"},{"id":4,"name":"Milepost","value":"0.0149"},{"id":17,"name":"Train ID","value":"218-01"},{"id":16,"name":"Locomotive ID","value":"4010"},{"id":130,"name":"Impact","value":""},{"id":150,"name":"Time of Event (Mountain Time)","value":"19:50:07"},{"id":151,"name":"Denver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38"/>
        <v>start /low /b %USERPROFILE%\Documents\GitHub\eaglep3\Utilities\DownloadLogsFromS3.py --loco 4010 --day 2017-01-01</v>
      </c>
    </row>
    <row r="131" spans="1:91" x14ac:dyDescent="0.25">
      <c r="A131" s="34" t="s">
        <v>632</v>
      </c>
      <c r="B131" s="7">
        <v>4022</v>
      </c>
      <c r="C131" s="22" t="s">
        <v>205</v>
      </c>
      <c r="D131" s="22" t="s">
        <v>755</v>
      </c>
      <c r="E131" s="13">
        <v>42736.766736111109</v>
      </c>
      <c r="F131" s="13">
        <v>42736.771145833336</v>
      </c>
      <c r="G131" s="7">
        <v>2</v>
      </c>
      <c r="H131" s="22" t="s">
        <v>271</v>
      </c>
      <c r="I131" s="13">
        <v>42736.796446759261</v>
      </c>
      <c r="J131" s="7">
        <v>0</v>
      </c>
      <c r="K131" s="105" t="str">
        <f t="shared" si="21"/>
        <v>4021/4022</v>
      </c>
      <c r="L131" s="22" t="str">
        <f>VLOOKUP(A131,'Trips&amp;Operators'!$C$1:$G$99999,5,FALSE)</f>
        <v>STAMBAUGH JAMES</v>
      </c>
      <c r="M131" s="6">
        <f t="shared" si="22"/>
        <v>2.5300925924966577E-2</v>
      </c>
      <c r="N131" s="7">
        <f t="shared" si="23"/>
        <v>36.433333331951872</v>
      </c>
      <c r="O131" s="7"/>
      <c r="P131" s="7"/>
      <c r="Q131" s="23"/>
      <c r="R131" s="23"/>
      <c r="S131" s="32">
        <f t="shared" si="24"/>
        <v>1</v>
      </c>
      <c r="T131" s="47" t="str">
        <f t="shared" si="25"/>
        <v>NorthBound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17:24:06-700',mode:absolute,to:'2017-01-01 20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1" s="49" t="str">
        <f t="shared" si="27"/>
        <v>N</v>
      </c>
      <c r="X131" s="173">
        <f t="shared" si="28"/>
        <v>1</v>
      </c>
      <c r="Y131" s="64">
        <f t="shared" si="29"/>
        <v>4.2599999999999999E-2</v>
      </c>
      <c r="Z131" s="64">
        <f t="shared" si="30"/>
        <v>23.3308</v>
      </c>
      <c r="AA131" s="64">
        <f t="shared" si="31"/>
        <v>23.2882</v>
      </c>
      <c r="AB131" s="61" t="e">
        <f>VLOOKUP(A131,Enforcements!$C$7:$K$19,8,0)</f>
        <v>#N/A</v>
      </c>
      <c r="AC131" s="57" t="e">
        <f>VLOOKUP(A131,Enforcements!$C$7:$E$19,3,0)</f>
        <v>#N/A</v>
      </c>
      <c r="AD131" s="58" t="str">
        <f t="shared" si="32"/>
        <v>0219-01</v>
      </c>
      <c r="AE131" s="87" t="str">
        <f t="shared" si="33"/>
        <v>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 &amp; aws s3 cp s3://rtdc.mdm.uploadarchive.raw/RTDC4022/ "%USERPROFILE%\AppData\Local\Temp\OnboardLogs"\RTDC4022\2017-01-02 --exclude "*" --recursive --include "*20170102*" &amp; "%USERPROFILE%\Documents\GitHub\mrs-test-scripts\Headless Mode &amp; Sideloading\WalkAndUnGZ.bat" "%USERPROFILE%\AppData\Local\Temp\OnboardLogs"\RTDC4022\2017-01-02</v>
      </c>
      <c r="AF131" s="84" t="str">
        <f t="shared" si="34"/>
        <v>"C:\Program Files (x86)\AstroGrep\AstroGrep.exe" /spath="%USERPROFILE%\AppData\Local\Temp\OnboardLogs" /stypes="app*4022*20170102*" /stext=" 02:.+((SYSTEM_STATE.+slice.+state.+changed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8" t="str">
        <f t="shared" si="36"/>
        <v>"%USERPROFILE%\Documents\GitHub\eaglep3\Utilities\RefineRTDCRunTimes.py" --tripid 219-01 --locoid 4022 --swversion DE.1.0.8.0 --startMP 204:426 --initTime 2017-01-01T18:24:06 --startdatetime 2017-01-01T18:30:27 --delay 2 --endMP 204:233308 --enddatetime 2017-01-01T19:06:53 --enforcementcount 0 &gt;&gt;C:\Users\stu\Documents\GitHub\eaglep3-reporting\EC\2017-01-01-refined-times.txt</v>
      </c>
      <c r="AI131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{"issue":{"subject":"","project_id":79,"tracker_id":40,"status_id":1,"priority_id":2,"assigned_to_id":23,"start_date":"2017-01-01","description":"","custom_fields":[{"id":1,"name":"Subdivision","value":"EC"},{"id":4,"name":"Milepost","value":"23.3308"},{"id":17,"name":"Train ID","value":"219-01"},{"id":16,"name":"Locomotive ID","value":"4022"},{"id":130,"name":"Impact","value":""},{"id":150,"name":"Time of Event (Mountain Time)","value":"19:06:53"},{"id":151,"name":"Denver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38"/>
        <v>start /low /b %USERPROFILE%\Documents\GitHub\eaglep3\Utilities\DownloadLogsFromS3.py --loco 4022 --day 2017-01-01</v>
      </c>
    </row>
    <row r="132" spans="1:91" s="21" customFormat="1" x14ac:dyDescent="0.25">
      <c r="A132" s="34" t="s">
        <v>640</v>
      </c>
      <c r="B132" s="7">
        <v>4021</v>
      </c>
      <c r="C132" s="22" t="s">
        <v>205</v>
      </c>
      <c r="D132" s="22" t="s">
        <v>764</v>
      </c>
      <c r="E132" s="13">
        <v>42736.799490740741</v>
      </c>
      <c r="F132" s="13">
        <v>42736.809988425928</v>
      </c>
      <c r="G132" s="7">
        <v>1</v>
      </c>
      <c r="H132" s="22" t="s">
        <v>323</v>
      </c>
      <c r="I132" s="13">
        <v>42736.8359837963</v>
      </c>
      <c r="J132" s="7">
        <v>0</v>
      </c>
      <c r="K132" s="105" t="str">
        <f t="shared" si="21"/>
        <v>4021/4022</v>
      </c>
      <c r="L132" s="22" t="str">
        <f>VLOOKUP(A132,'Trips&amp;Operators'!$C$1:$G$99999,5,FALSE)</f>
        <v>STAMBAUGH JAMES</v>
      </c>
      <c r="M132" s="6">
        <f t="shared" si="22"/>
        <v>2.5995370371674653E-2</v>
      </c>
      <c r="N132" s="7">
        <f t="shared" si="23"/>
        <v>37.433333335211501</v>
      </c>
      <c r="O132" s="7"/>
      <c r="P132" s="7"/>
      <c r="Q132" s="23"/>
      <c r="R132" s="23"/>
      <c r="S132" s="32">
        <f t="shared" si="24"/>
        <v>1</v>
      </c>
      <c r="T132" s="47" t="str">
        <f t="shared" si="25"/>
        <v>Southbound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18:11:16-700',mode:absolute,to:'2017-01-01 21:03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2" s="49" t="str">
        <f t="shared" si="27"/>
        <v>N</v>
      </c>
      <c r="X132" s="173">
        <f t="shared" si="28"/>
        <v>1</v>
      </c>
      <c r="Y132" s="64">
        <f t="shared" si="29"/>
        <v>23.3002</v>
      </c>
      <c r="Z132" s="64">
        <f t="shared" si="30"/>
        <v>1.5599999999999999E-2</v>
      </c>
      <c r="AA132" s="64">
        <f t="shared" si="31"/>
        <v>23.284600000000001</v>
      </c>
      <c r="AB132" s="61" t="e">
        <f>VLOOKUP(A132,Enforcements!$C$7:$K$19,8,0)</f>
        <v>#N/A</v>
      </c>
      <c r="AC132" s="57" t="e">
        <f>VLOOKUP(A132,Enforcements!$C$7:$E$19,3,0)</f>
        <v>#N/A</v>
      </c>
      <c r="AD132" s="58" t="str">
        <f t="shared" si="32"/>
        <v>0220-01</v>
      </c>
      <c r="AE132" s="87" t="str">
        <f t="shared" si="33"/>
        <v>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 &amp; 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</v>
      </c>
      <c r="AF132" s="84" t="str">
        <f t="shared" si="34"/>
        <v>"C:\Program Files (x86)\AstroGrep\AstroGrep.exe" /spath="%USERPROFILE%\AppData\Local\Temp\OnboardLogs" /stypes="app*4021*20170102*" /stext=" 03:.+((SYSTEM_STATE.+slice.+state.+changed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8" t="str">
        <f t="shared" si="36"/>
        <v>"%USERPROFILE%\Documents\GitHub\eaglep3\Utilities\RefineRTDCRunTimes.py" --tripid 220-01 --locoid 4021 --swversion DE.1.0.8.0 --startMP 204:233002 --initTime 2017-01-01T19:11:16 --startdatetime 2017-01-01T19:26:23 --delay 1 --endMP 204:156 --enddatetime 2017-01-01T20:03:49 --enforcementcount 0 &gt;&gt;C:\Users\stu\Documents\GitHub\eaglep3-reporting\EC\2017-01-01-refined-times.txt</v>
      </c>
      <c r="AI132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{"issue":{"subject":"","project_id":79,"tracker_id":40,"status_id":1,"priority_id":2,"assigned_to_id":23,"start_date":"2017-01-01","description":"","custom_fields":[{"id":1,"name":"Subdivision","value":"EC"},{"id":4,"name":"Milepost","value":"0.0156"},{"id":17,"name":"Train ID","value":"220-01"},{"id":16,"name":"Locomotive ID","value":"4021"},{"id":130,"name":"Impact","value":""},{"id":150,"name":"Time of Event (Mountain Time)","value":"20:03:49"},{"id":151,"name":"Denver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38"/>
        <v>start /low /b %USERPROFILE%\Documents\GitHub\eaglep3\Utilities\DownloadLogsFromS3.py --loco 4021 --day 2017-01-01</v>
      </c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637</v>
      </c>
      <c r="B133" s="7">
        <v>4003</v>
      </c>
      <c r="C133" s="22" t="s">
        <v>205</v>
      </c>
      <c r="D133" s="22" t="s">
        <v>765</v>
      </c>
      <c r="E133" s="13">
        <v>42736.79078703704</v>
      </c>
      <c r="F133" s="13">
        <v>42736.792222222219</v>
      </c>
      <c r="G133" s="7">
        <v>1</v>
      </c>
      <c r="H133" s="22" t="s">
        <v>293</v>
      </c>
      <c r="I133" s="13">
        <v>42736.818356481483</v>
      </c>
      <c r="J133" s="7">
        <v>0</v>
      </c>
      <c r="K133" s="105" t="str">
        <f t="shared" si="21"/>
        <v>4003/4004</v>
      </c>
      <c r="L133" s="22" t="str">
        <f>VLOOKUP(A133,'Trips&amp;Operators'!$C$1:$G$99999,5,FALSE)</f>
        <v>CHANDLER KELVIN</v>
      </c>
      <c r="M133" s="6">
        <f t="shared" si="22"/>
        <v>2.6134259263926651E-2</v>
      </c>
      <c r="N133" s="7">
        <f t="shared" si="23"/>
        <v>37.633333340054378</v>
      </c>
      <c r="O133" s="7"/>
      <c r="P133" s="7"/>
      <c r="Q133" s="23"/>
      <c r="R133" s="23"/>
      <c r="S133" s="32">
        <f t="shared" si="24"/>
        <v>1</v>
      </c>
      <c r="T133" s="47" t="str">
        <f t="shared" si="25"/>
        <v>NorthBound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17:58:44-700',mode:absolute,to:'2017-01-01 20:38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3" s="49" t="str">
        <f t="shared" si="27"/>
        <v>N</v>
      </c>
      <c r="X133" s="173">
        <f t="shared" si="28"/>
        <v>1</v>
      </c>
      <c r="Y133" s="64">
        <f t="shared" si="29"/>
        <v>4.02E-2</v>
      </c>
      <c r="Z133" s="64">
        <f t="shared" si="30"/>
        <v>23.329699999999999</v>
      </c>
      <c r="AA133" s="64">
        <f t="shared" si="31"/>
        <v>23.2895</v>
      </c>
      <c r="AB133" s="61" t="e">
        <f>VLOOKUP(A133,Enforcements!$C$7:$K$19,8,0)</f>
        <v>#N/A</v>
      </c>
      <c r="AC133" s="57" t="e">
        <f>VLOOKUP(A133,Enforcements!$C$7:$E$19,3,0)</f>
        <v>#N/A</v>
      </c>
      <c r="AD133" s="58" t="str">
        <f t="shared" si="32"/>
        <v>0221-01</v>
      </c>
      <c r="AE133" s="87" t="str">
        <f t="shared" si="33"/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AF133" s="84" t="str">
        <f t="shared" si="34"/>
        <v>"C:\Program Files (x86)\AstroGrep\AstroGrep.exe" /spath="%USERPROFILE%\AppData\Local\Temp\OnboardLogs" /stypes="app*4003*20170102*" /stext=" 02:.+((SYSTEM_STATE.+slice.+state.+changed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8" t="str">
        <f t="shared" si="36"/>
        <v>"%USERPROFILE%\Documents\GitHub\eaglep3\Utilities\RefineRTDCRunTimes.py" --tripid 221-01 --locoid 4003 --swversion DE.1.0.8.0 --startMP 204:402 --initTime 2017-01-01T18:58:44 --startdatetime 2017-01-01T19:00:48 --delay 1 --endMP 204:233297 --enddatetime 2017-01-01T19:38:26 --enforcementcount 0 &gt;&gt;C:\Users\stu\Documents\GitHub\eaglep3-reporting\EC\2017-01-01-refined-times.txt</v>
      </c>
      <c r="AI133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{"issue":{"subject":"","project_id":79,"tracker_id":40,"status_id":1,"priority_id":2,"assigned_to_id":23,"start_date":"2017-01-01","description":"","custom_fields":[{"id":1,"name":"Subdivision","value":"EC"},{"id":4,"name":"Milepost","value":"23.3297"},{"id":17,"name":"Train ID","value":"221-01"},{"id":16,"name":"Locomotive ID","value":"4003"},{"id":130,"name":"Impact","value":""},{"id":150,"name":"Time of Event (Mountain Time)","value":"19:38:26"},{"id":151,"name":"Denver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38"/>
        <v>start /low /b %USERPROFILE%\Documents\GitHub\eaglep3\Utilities\DownloadLogsFromS3.py --loco 4003 --day 2017-01-01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647</v>
      </c>
      <c r="B134" s="7">
        <v>4004</v>
      </c>
      <c r="C134" s="22" t="s">
        <v>205</v>
      </c>
      <c r="D134" s="22" t="s">
        <v>307</v>
      </c>
      <c r="E134" s="13">
        <v>42736.829398148147</v>
      </c>
      <c r="F134" s="13">
        <v>42736.83053240741</v>
      </c>
      <c r="G134" s="7">
        <v>1</v>
      </c>
      <c r="H134" s="22" t="s">
        <v>766</v>
      </c>
      <c r="I134" s="13">
        <v>42736.843113425923</v>
      </c>
      <c r="J134" s="7">
        <v>0</v>
      </c>
      <c r="K134" s="105" t="str">
        <f t="shared" si="21"/>
        <v>4003/4004</v>
      </c>
      <c r="L134" s="22" t="str">
        <f>VLOOKUP(A134,'Trips&amp;Operators'!$C$1:$G$99999,5,FALSE)</f>
        <v>CHANDLER KELVIN</v>
      </c>
      <c r="M134" s="6">
        <f t="shared" si="22"/>
        <v>1.2581018512719311E-2</v>
      </c>
      <c r="N134" s="7"/>
      <c r="O134" s="7"/>
      <c r="P134" s="7">
        <f>24*60*SUM($M134:$M135)</f>
        <v>42.866666660411283</v>
      </c>
      <c r="Q134" s="23"/>
      <c r="R134" s="23" t="s">
        <v>822</v>
      </c>
      <c r="S134" s="32">
        <f>SUM(U134:U135)/IF(AG134="EC",12,1)</f>
        <v>0.83333333333333337</v>
      </c>
      <c r="T134" s="47" t="str">
        <f t="shared" si="25"/>
        <v>Southbound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0</v>
      </c>
      <c r="V134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18:54:20-700',mode:absolute,to:'2017-01-01 21:14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4" s="49" t="str">
        <f t="shared" si="27"/>
        <v>Y</v>
      </c>
      <c r="X134" s="173">
        <f t="shared" si="28"/>
        <v>1</v>
      </c>
      <c r="Y134" s="64">
        <f t="shared" si="29"/>
        <v>23.2987</v>
      </c>
      <c r="Z134" s="64">
        <f t="shared" si="30"/>
        <v>12.784599999999999</v>
      </c>
      <c r="AA134" s="64">
        <f t="shared" si="31"/>
        <v>10.514100000000001</v>
      </c>
      <c r="AB134" s="61" t="e">
        <f>VLOOKUP(A134,Enforcements!$C$7:$K$19,8,0)</f>
        <v>#N/A</v>
      </c>
      <c r="AC134" s="57" t="e">
        <f>VLOOKUP(A134,Enforcements!$C$7:$E$19,3,0)</f>
        <v>#N/A</v>
      </c>
      <c r="AD134" s="58" t="str">
        <f t="shared" si="32"/>
        <v>0222-01</v>
      </c>
      <c r="AE134" s="87" t="str">
        <f t="shared" si="33"/>
        <v>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 &amp; aws s3 cp s3://rtdc.mdm.uploadarchive.raw/RTDC4004/ "%USERPROFILE%\AppData\Local\Temp\OnboardLogs"\RTDC4004\2017-01-02 --exclude "*" --recursive --include "*20170102*" &amp; "%USERPROFILE%\Documents\GitHub\mrs-test-scripts\Headless Mode &amp; Sideloading\WalkAndUnGZ.bat" "%USERPROFILE%\AppData\Local\Temp\OnboardLogs"\RTDC4004\2017-01-02</v>
      </c>
      <c r="AF134" s="84" t="str">
        <f t="shared" si="34"/>
        <v>"C:\Program Files (x86)\AstroGrep\AstroGrep.exe" /spath="%USERPROFILE%\AppData\Local\Temp\OnboardLogs" /stypes="app*4004*20170102*" /stext=" 03:.+((SYSTEM_STATE.+slice.+state.+changed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8" t="str">
        <f t="shared" si="36"/>
        <v>"%USERPROFILE%\Documents\GitHub\eaglep3\Utilities\RefineRTDCRunTimes.py" --tripid 222-01 --locoid 4004 --swversion DE.1.0.8.0 --startMP 204:232987 --initTime 2017-01-01T19:54:20 --startdatetime 2017-01-01T19:55:58 --delay 1 --endMP 204:127846 --enddatetime 2017-01-01T20:14:05 --enforcementcount 0 &gt;&gt;C:\Users\stu\Documents\GitHub\eaglep3-reporting\EC\2017-01-01-refined-times.txt</v>
      </c>
      <c r="AI134" s="115" t="str">
        <f t="shared" si="37"/>
        <v>echo {"issue":{"subject":"Wi-MAX data drop","project_id":79,"tracker_id":40,"status_id":1,"priority_id":2,"assigned_to_id":23,"start_date":"2017-01-01","description":"http://stevetu21.github.io/eaglep3/load_kml.html?kml=http://rtdc.gmaps-snips.s3.amazonaws.com/dccb2015-b0a7-4a29-b72a-f7d7f009aee5.kml","custom_fields":[{"id":1,"name":"Subdivision","value":"EC"},{"id":4,"name":"Milepost","value":"12.7846"},{"id":17,"name":"Train ID","value":"222-01"},{"id":16,"name":"Locomotive ID","value":"4004"},{"id":130,"name":"Impact","value":"Unexpected Cut-Out or Disengaged"},{"id":150,"name":"Time of Event (Mountain Time)","value":"20:14:05"},{"id":151,"name":"Denver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34" s="189" t="s">
        <v>823</v>
      </c>
      <c r="AK134" s="50" t="s">
        <v>131</v>
      </c>
      <c r="AL134" s="50" t="s">
        <v>138</v>
      </c>
      <c r="AM134" s="180" t="str">
        <f t="shared" si="38"/>
        <v>start /low /b %USERPROFILE%\Documents\GitHub\eaglep3\Utilities\DownloadLogsFromS3.py --loco 4004 --day 2017-01-01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647</v>
      </c>
      <c r="B135" s="7">
        <v>4004</v>
      </c>
      <c r="C135" s="22" t="s">
        <v>205</v>
      </c>
      <c r="D135" s="22" t="s">
        <v>767</v>
      </c>
      <c r="E135" s="13">
        <v>42736.846562500003</v>
      </c>
      <c r="F135" s="13">
        <v>42736.847233796296</v>
      </c>
      <c r="G135" s="7">
        <v>0</v>
      </c>
      <c r="H135" s="22" t="s">
        <v>297</v>
      </c>
      <c r="I135" s="13">
        <v>42736.864421296297</v>
      </c>
      <c r="J135" s="7">
        <v>0</v>
      </c>
      <c r="K135" s="105" t="str">
        <f t="shared" si="21"/>
        <v>4003/4004</v>
      </c>
      <c r="L135" s="22" t="str">
        <f>VLOOKUP(A135,'Trips&amp;Operators'!$C$1:$G$99999,5,FALSE)</f>
        <v>CHANDLER KELVIN</v>
      </c>
      <c r="M135" s="6">
        <f t="shared" si="22"/>
        <v>1.7187500001455192E-2</v>
      </c>
      <c r="N135" s="7"/>
      <c r="O135" s="7"/>
      <c r="P135" s="7"/>
      <c r="Q135" s="23"/>
      <c r="R135" s="23"/>
      <c r="S135" s="32"/>
      <c r="T135" s="47" t="str">
        <f t="shared" si="25"/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10</v>
      </c>
      <c r="V135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19:19:03-700',mode:absolute,to:'2017-01-01 21:44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5" s="49" t="str">
        <f t="shared" si="27"/>
        <v>Y</v>
      </c>
      <c r="X135" s="173">
        <f t="shared" si="28"/>
        <v>0</v>
      </c>
      <c r="Y135" s="64">
        <f t="shared" si="29"/>
        <v>8.6353000000000009</v>
      </c>
      <c r="Z135" s="64">
        <f t="shared" si="30"/>
        <v>1.52E-2</v>
      </c>
      <c r="AA135" s="64">
        <f t="shared" si="31"/>
        <v>8.6201000000000008</v>
      </c>
      <c r="AB135" s="61" t="e">
        <f>VLOOKUP(A135,Enforcements!$C$7:$K$19,8,0)</f>
        <v>#N/A</v>
      </c>
      <c r="AC135" s="57" t="e">
        <f>VLOOKUP(A135,Enforcements!$C$7:$E$19,3,0)</f>
        <v>#N/A</v>
      </c>
      <c r="AD135" s="58" t="str">
        <f t="shared" si="32"/>
        <v>0222-01</v>
      </c>
      <c r="AE135" s="87" t="str">
        <f t="shared" si="33"/>
        <v>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 &amp; aws s3 cp s3://rtdc.mdm.uploadarchive.raw/RTDC4004/ "%USERPROFILE%\AppData\Local\Temp\OnboardLogs"\RTDC4004\2017-01-02 --exclude "*" --recursive --include "*20170102*" &amp; "%USERPROFILE%\Documents\GitHub\mrs-test-scripts\Headless Mode &amp; Sideloading\WalkAndUnGZ.bat" "%USERPROFILE%\AppData\Local\Temp\OnboardLogs"\RTDC4004\2017-01-02</v>
      </c>
      <c r="AF135" s="84" t="str">
        <f t="shared" si="34"/>
        <v>"C:\Program Files (x86)\AstroGrep\AstroGrep.exe" /spath="%USERPROFILE%\AppData\Local\Temp\OnboardLogs" /stypes="app*4004*20170102*" /stext=" 03:.+((SYSTEM_STATE.+slice.+state.+changed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8" t="str">
        <f t="shared" si="36"/>
        <v>"%USERPROFILE%\Documents\GitHub\eaglep3\Utilities\RefineRTDCRunTimes.py" --tripid 222-01 --locoid 4004 --swversion DE.1.0.8.0 --startMP 204:86353 --initTime 2017-01-01T20:19:03 --startdatetime 2017-01-01T20:20:01 --delay 0 --endMP 204:152 --enddatetime 2017-01-01T20:44:46 --enforcementcount 0 &gt;&gt;C:\Users\stu\Documents\GitHub\eaglep3-reporting\EC\2017-01-01-refined-times.txt</v>
      </c>
      <c r="AI135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{"issue":{"subject":"","project_id":79,"tracker_id":40,"status_id":1,"priority_id":2,"assigned_to_id":23,"start_date":"2017-01-01","description":"","custom_fields":[{"id":1,"name":"Subdivision","value":"EC"},{"id":4,"name":"Milepost","value":"0.0152"},{"id":17,"name":"Train ID","value":"222-01"},{"id":16,"name":"Locomotive ID","value":"4004"},{"id":130,"name":"Impact","value":""},{"id":150,"name":"Time of Event (Mountain Time)","value":"20:44:46"},{"id":151,"name":"Denver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38"/>
        <v>start /low /b %USERPROFILE%\Documents\GitHub\eaglep3\Utilities\DownloadLogsFromS3.py --loco 4004 --day 2017-01-01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642</v>
      </c>
      <c r="B136" s="7">
        <v>4002</v>
      </c>
      <c r="C136" s="22" t="s">
        <v>205</v>
      </c>
      <c r="D136" s="22" t="s">
        <v>193</v>
      </c>
      <c r="E136" s="13">
        <v>42736.808136574073</v>
      </c>
      <c r="F136" s="13">
        <v>42736.812650462962</v>
      </c>
      <c r="G136" s="7">
        <v>1</v>
      </c>
      <c r="H136" s="22" t="s">
        <v>408</v>
      </c>
      <c r="I136" s="13">
        <v>42736.838206018518</v>
      </c>
      <c r="J136" s="7">
        <v>0</v>
      </c>
      <c r="K136" s="105" t="str">
        <f t="shared" si="21"/>
        <v>4001/4002</v>
      </c>
      <c r="L136" s="22" t="str">
        <f>VLOOKUP(A136,'Trips&amp;Operators'!$C$1:$G$99999,5,FALSE)</f>
        <v>NEWELL JAMES</v>
      </c>
      <c r="M136" s="6">
        <f t="shared" si="22"/>
        <v>2.5555555555911269E-2</v>
      </c>
      <c r="N136" s="7">
        <f t="shared" si="23"/>
        <v>36.800000000512227</v>
      </c>
      <c r="O136" s="7"/>
      <c r="P136" s="7"/>
      <c r="Q136" s="23"/>
      <c r="R136" s="23"/>
      <c r="S136" s="32">
        <f t="shared" si="24"/>
        <v>1</v>
      </c>
      <c r="T136" s="47" t="str">
        <f t="shared" si="25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18:23:43-700',mode:absolute,to:'2017-01-01 21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6" s="49" t="str">
        <f t="shared" si="27"/>
        <v>N</v>
      </c>
      <c r="X136" s="173">
        <f t="shared" si="28"/>
        <v>1</v>
      </c>
      <c r="Y136" s="64">
        <f t="shared" si="29"/>
        <v>4.4699999999999997E-2</v>
      </c>
      <c r="Z136" s="64">
        <f t="shared" si="30"/>
        <v>23.330200000000001</v>
      </c>
      <c r="AA136" s="64">
        <f t="shared" si="31"/>
        <v>23.285500000000003</v>
      </c>
      <c r="AB136" s="61" t="e">
        <f>VLOOKUP(A136,Enforcements!$C$7:$K$19,8,0)</f>
        <v>#N/A</v>
      </c>
      <c r="AC136" s="57" t="e">
        <f>VLOOKUP(A136,Enforcements!$C$7:$E$19,3,0)</f>
        <v>#N/A</v>
      </c>
      <c r="AD136" s="58" t="str">
        <f t="shared" si="32"/>
        <v>0223-01</v>
      </c>
      <c r="AE136" s="87" t="str">
        <f t="shared" si="33"/>
        <v>aws s3 cp s3://rtdc.mdm.uploadarchive.raw/RTDC4002/ "%USERPROFILE%\AppData\Local\Temp\OnboardLogs"\RTDC4002\2017-01-01 --exclude "*" --recursive --include "*20170101*" &amp; "%USERPROFILE%\Documents\GitHub\mrs-test-scripts\Headless Mode &amp; Sideloading\WalkAndUnGZ.bat" "%USERPROFILE%\AppData\Local\Temp\OnboardLogs"\RTDC4002\2017-01-01 &amp; aws s3 cp s3://rtdc.mdm.uploadarchive.raw/RTDC4002/ "%USERPROFILE%\AppData\Local\Temp\OnboardLogs"\RTDC4002\2017-01-02 --exclude "*" --recursive --include "*20170102*" &amp; "%USERPROFILE%\Documents\GitHub\mrs-test-scripts\Headless Mode &amp; Sideloading\WalkAndUnGZ.bat" "%USERPROFILE%\AppData\Local\Temp\OnboardLogs"\RTDC4002\2017-01-02</v>
      </c>
      <c r="AF136" s="84" t="str">
        <f t="shared" si="34"/>
        <v>"C:\Program Files (x86)\AstroGrep\AstroGrep.exe" /spath="%USERPROFILE%\AppData\Local\Temp\OnboardLogs" /stypes="app*4002*20170102*" /stext=" 03:.+((SYSTEM_STATE.+slice.+state.+changed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8" t="str">
        <f t="shared" si="36"/>
        <v>"%USERPROFILE%\Documents\GitHub\eaglep3\Utilities\RefineRTDCRunTimes.py" --tripid 223-01 --locoid 4002 --swversion DE.1.0.8.0 --startMP 204:447 --initTime 2017-01-01T19:23:43 --startdatetime 2017-01-01T19:30:13 --delay 1 --endMP 204:233302 --enddatetime 2017-01-01T20:07:01 --enforcementcount 0 &gt;&gt;C:\Users\stu\Documents\GitHub\eaglep3-reporting\EC\2017-01-01-refined-times.txt</v>
      </c>
      <c r="AI136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{"issue":{"subject":"","project_id":79,"tracker_id":40,"status_id":1,"priority_id":2,"assigned_to_id":23,"start_date":"2017-01-01","description":"","custom_fields":[{"id":1,"name":"Subdivision","value":"EC"},{"id":4,"name":"Milepost","value":"23.3302"},{"id":17,"name":"Train ID","value":"223-01"},{"id":16,"name":"Locomotive ID","value":"4002"},{"id":130,"name":"Impact","value":""},{"id":150,"name":"Time of Event (Mountain Time)","value":"20:07:01"},{"id":151,"name":"Denver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38"/>
        <v>start /low /b %USERPROFILE%\Documents\GitHub\eaglep3\Utilities\DownloadLogsFromS3.py --loco 4002 --day 2017-01-01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648</v>
      </c>
      <c r="B137" s="7">
        <v>4001</v>
      </c>
      <c r="C137" s="22" t="s">
        <v>205</v>
      </c>
      <c r="D137" s="22" t="s">
        <v>330</v>
      </c>
      <c r="E137" s="13">
        <v>42736.840011574073</v>
      </c>
      <c r="F137" s="13">
        <v>42736.851539351854</v>
      </c>
      <c r="G137" s="7">
        <v>3</v>
      </c>
      <c r="H137" s="22" t="s">
        <v>252</v>
      </c>
      <c r="I137" s="13">
        <v>42736.877349537041</v>
      </c>
      <c r="J137" s="7">
        <v>0</v>
      </c>
      <c r="K137" s="105" t="str">
        <f t="shared" si="21"/>
        <v>4001/4002</v>
      </c>
      <c r="L137" s="22" t="str">
        <f>VLOOKUP(A137,'Trips&amp;Operators'!$C$1:$G$99999,5,FALSE)</f>
        <v>NEWELL JAMES</v>
      </c>
      <c r="M137" s="6">
        <f t="shared" si="22"/>
        <v>2.5810185186855961E-2</v>
      </c>
      <c r="N137" s="7">
        <f t="shared" si="23"/>
        <v>37.166666669072583</v>
      </c>
      <c r="O137" s="7"/>
      <c r="P137" s="7"/>
      <c r="Q137" s="23"/>
      <c r="R137" s="23"/>
      <c r="S137" s="32">
        <f t="shared" si="24"/>
        <v>1</v>
      </c>
      <c r="T137" s="47" t="str">
        <f t="shared" si="25"/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19:09:37-700',mode:absolute,to:'2017-01-01 22:03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7" s="49" t="str">
        <f t="shared" si="27"/>
        <v>N</v>
      </c>
      <c r="X137" s="173">
        <f t="shared" si="28"/>
        <v>1</v>
      </c>
      <c r="Y137" s="64">
        <f t="shared" si="29"/>
        <v>23.2989</v>
      </c>
      <c r="Z137" s="64">
        <f t="shared" si="30"/>
        <v>1.47E-2</v>
      </c>
      <c r="AA137" s="64">
        <f t="shared" si="31"/>
        <v>23.284199999999998</v>
      </c>
      <c r="AB137" s="61" t="e">
        <f>VLOOKUP(A137,Enforcements!$C$7:$K$19,8,0)</f>
        <v>#N/A</v>
      </c>
      <c r="AC137" s="57" t="e">
        <f>VLOOKUP(A137,Enforcements!$C$7:$E$19,3,0)</f>
        <v>#N/A</v>
      </c>
      <c r="AD137" s="58" t="str">
        <f t="shared" si="32"/>
        <v>0224-01</v>
      </c>
      <c r="AE137" s="87" t="str">
        <f t="shared" si="33"/>
        <v>aws s3 cp s3://rtdc.mdm.uploadarchive.raw/RTDC4001/ "%USERPROFILE%\AppData\Local\Temp\OnboardLogs"\RTDC4001\2017-01-01 --exclude "*" --recursive --include "*20170101*" &amp; "%USERPROFILE%\Documents\GitHub\mrs-test-scripts\Headless Mode &amp; Sideloading\WalkAndUnGZ.bat" "%USERPROFILE%\AppData\Local\Temp\OnboardLogs"\RTDC4001\2017-01-01 &amp; aws s3 cp s3://rtdc.mdm.uploadarchive.raw/RTDC4001/ "%USERPROFILE%\AppData\Local\Temp\OnboardLogs"\RTDC4001\2017-01-02 --exclude "*" --recursive --include "*20170102*" &amp; "%USERPROFILE%\Documents\GitHub\mrs-test-scripts\Headless Mode &amp; Sideloading\WalkAndUnGZ.bat" "%USERPROFILE%\AppData\Local\Temp\OnboardLogs"\RTDC4001\2017-01-02</v>
      </c>
      <c r="AF137" s="84" t="str">
        <f t="shared" si="34"/>
        <v>"C:\Program Files (x86)\AstroGrep\AstroGrep.exe" /spath="%USERPROFILE%\AppData\Local\Temp\OnboardLogs" /stypes="app*4001*20170102*" /stext=" 04:.+((SYSTEM_STATE.+slice.+state.+changed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8" t="str">
        <f t="shared" si="36"/>
        <v>"%USERPROFILE%\Documents\GitHub\eaglep3\Utilities\RefineRTDCRunTimes.py" --tripid 224-01 --locoid 4001 --swversion DE.1.0.8.0 --startMP 204:232989 --initTime 2017-01-01T20:09:37 --startdatetime 2017-01-01T20:26:13 --delay 3 --endMP 204:147 --enddatetime 2017-01-01T21:03:23 --enforcementcount 0 &gt;&gt;C:\Users\stu\Documents\GitHub\eaglep3-reporting\EC\2017-01-01-refined-times.txt</v>
      </c>
      <c r="AI137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{"issue":{"subject":"","project_id":79,"tracker_id":40,"status_id":1,"priority_id":2,"assigned_to_id":23,"start_date":"2017-01-01","description":"","custom_fields":[{"id":1,"name":"Subdivision","value":"EC"},{"id":4,"name":"Milepost","value":"0.0147"},{"id":17,"name":"Train ID","value":"224-01"},{"id":16,"name":"Locomotive ID","value":"4001"},{"id":130,"name":"Impact","value":""},{"id":150,"name":"Time of Event (Mountain Time)","value":"21:03:23"},{"id":151,"name":"Denver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38"/>
        <v>start /low /b %USERPROFILE%\Documents\GitHub\eaglep3\Utilities\DownloadLogsFromS3.py --loco 4001 --day 2017-01-01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646</v>
      </c>
      <c r="B138" s="7">
        <v>4009</v>
      </c>
      <c r="C138" s="22" t="s">
        <v>205</v>
      </c>
      <c r="D138" s="22" t="s">
        <v>249</v>
      </c>
      <c r="E138" s="13">
        <v>42736.828402777777</v>
      </c>
      <c r="F138" s="13">
        <v>42736.833749999998</v>
      </c>
      <c r="G138" s="7">
        <v>2</v>
      </c>
      <c r="H138" s="22" t="s">
        <v>321</v>
      </c>
      <c r="I138" s="13">
        <v>42736.85900462963</v>
      </c>
      <c r="J138" s="7">
        <v>0</v>
      </c>
      <c r="K138" s="105" t="str">
        <f t="shared" si="21"/>
        <v>4009/4010</v>
      </c>
      <c r="L138" s="22" t="str">
        <f>VLOOKUP(A138,'Trips&amp;Operators'!$C$1:$G$99999,5,FALSE)</f>
        <v>SMITH MICHAEL</v>
      </c>
      <c r="M138" s="6">
        <f t="shared" si="22"/>
        <v>2.5254629632399883E-2</v>
      </c>
      <c r="N138" s="7">
        <f t="shared" si="23"/>
        <v>36.366666670655832</v>
      </c>
      <c r="O138" s="7"/>
      <c r="P138" s="7"/>
      <c r="Q138" s="23"/>
      <c r="R138" s="23"/>
      <c r="S138" s="32">
        <f t="shared" si="24"/>
        <v>1</v>
      </c>
      <c r="T138" s="47" t="str">
        <f t="shared" si="25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18:52:54-700',mode:absolute,to:'2017-01-01 21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8" s="49" t="str">
        <f t="shared" si="27"/>
        <v>N</v>
      </c>
      <c r="X138" s="173">
        <f t="shared" si="28"/>
        <v>1</v>
      </c>
      <c r="Y138" s="64">
        <f t="shared" si="29"/>
        <v>4.53E-2</v>
      </c>
      <c r="Z138" s="64">
        <f t="shared" si="30"/>
        <v>23.3291</v>
      </c>
      <c r="AA138" s="64">
        <f t="shared" si="31"/>
        <v>23.283799999999999</v>
      </c>
      <c r="AB138" s="61" t="e">
        <f>VLOOKUP(A138,Enforcements!$C$7:$K$19,8,0)</f>
        <v>#N/A</v>
      </c>
      <c r="AC138" s="57" t="e">
        <f>VLOOKUP(A138,Enforcements!$C$7:$E$19,3,0)</f>
        <v>#N/A</v>
      </c>
      <c r="AD138" s="58" t="str">
        <f t="shared" si="32"/>
        <v>0225-01</v>
      </c>
      <c r="AE138" s="87" t="str">
        <f t="shared" si="33"/>
        <v>aws s3 cp s3://rtdc.mdm.uploadarchive.raw/RTDC4009/ "%USERPROFILE%\AppData\Local\Temp\OnboardLogs"\RTDC4009\2017-01-01 --exclude "*" --recursive --include "*20170101*" &amp; "%USERPROFILE%\Documents\GitHub\mrs-test-scripts\Headless Mode &amp; Sideloading\WalkAndUnGZ.bat" "%USERPROFILE%\AppData\Local\Temp\OnboardLogs"\RTDC4009\2017-01-01 &amp; aws s3 cp s3://rtdc.mdm.uploadarchive.raw/RTDC4009/ "%USERPROFILE%\AppData\Local\Temp\OnboardLogs"\RTDC4009\2017-01-02 --exclude "*" --recursive --include "*20170102*" &amp; "%USERPROFILE%\Documents\GitHub\mrs-test-scripts\Headless Mode &amp; Sideloading\WalkAndUnGZ.bat" "%USERPROFILE%\AppData\Local\Temp\OnboardLogs"\RTDC4009\2017-01-02</v>
      </c>
      <c r="AF138" s="84" t="str">
        <f t="shared" si="34"/>
        <v>"C:\Program Files (x86)\AstroGrep\AstroGrep.exe" /spath="%USERPROFILE%\AppData\Local\Temp\OnboardLogs" /stypes="app*4009*20170102*" /stext=" 03:.+((SYSTEM_STATE.+slice.+state.+changed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8" t="str">
        <f t="shared" si="36"/>
        <v>"%USERPROFILE%\Documents\GitHub\eaglep3\Utilities\RefineRTDCRunTimes.py" --tripid 225-01 --locoid 4009 --swversion DE.1.0.8.0 --startMP 204:453 --initTime 2017-01-01T19:52:54 --startdatetime 2017-01-01T20:00:36 --delay 2 --endMP 204:233291 --enddatetime 2017-01-01T20:36:58 --enforcementcount 0 &gt;&gt;C:\Users\stu\Documents\GitHub\eaglep3-reporting\EC\2017-01-01-refined-times.txt</v>
      </c>
      <c r="AI138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{"issue":{"subject":"","project_id":79,"tracker_id":40,"status_id":1,"priority_id":2,"assigned_to_id":23,"start_date":"2017-01-01","description":"","custom_fields":[{"id":1,"name":"Subdivision","value":"EC"},{"id":4,"name":"Milepost","value":"23.3291"},{"id":17,"name":"Train ID","value":"225-01"},{"id":16,"name":"Locomotive ID","value":"4009"},{"id":130,"name":"Impact","value":""},{"id":150,"name":"Time of Event (Mountain Time)","value":"20:36:58"},{"id":151,"name":"Denver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38"/>
        <v>start /low /b %USERPROFILE%\Documents\GitHub\eaglep3\Utilities\DownloadLogsFromS3.py --loco 4009 --day 2017-01-01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652</v>
      </c>
      <c r="B139" s="7">
        <v>4010</v>
      </c>
      <c r="C139" s="22" t="s">
        <v>205</v>
      </c>
      <c r="D139" s="22" t="s">
        <v>762</v>
      </c>
      <c r="E139" s="13">
        <v>42736.864062499997</v>
      </c>
      <c r="F139" s="13">
        <v>42736.872453703705</v>
      </c>
      <c r="G139" s="7">
        <v>1</v>
      </c>
      <c r="H139" s="22" t="s">
        <v>252</v>
      </c>
      <c r="I139" s="13">
        <v>42736.900138888886</v>
      </c>
      <c r="J139" s="7">
        <v>0</v>
      </c>
      <c r="K139" s="105" t="str">
        <f t="shared" si="21"/>
        <v>4009/4010</v>
      </c>
      <c r="L139" s="22" t="str">
        <f>VLOOKUP(A139,'Trips&amp;Operators'!$C$1:$G$99999,5,FALSE)</f>
        <v>SMITH MICHAEL</v>
      </c>
      <c r="M139" s="6">
        <f t="shared" si="22"/>
        <v>2.7685185181326233E-2</v>
      </c>
      <c r="N139" s="7">
        <f t="shared" si="23"/>
        <v>39.866666661109775</v>
      </c>
      <c r="O139" s="7"/>
      <c r="P139" s="7"/>
      <c r="Q139" s="23"/>
      <c r="R139" s="23"/>
      <c r="S139" s="32">
        <f t="shared" si="24"/>
        <v>1</v>
      </c>
      <c r="T139" s="47" t="str">
        <f t="shared" si="25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https://search-rtdc-monitor-bjffxe2xuh6vdkpspy63sjmuny.us-east-1.es.amazonaws.com/_plugin/kibana/#/discover/Steve-Slow-Train-Analysis-(2080s-and-2083s)?_g=(refreshInterval:(display:Off,section:0,value:0),time:(from:'2017-01-01 19:44:15-700',mode:absolute,to:'2017-01-01 22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9" s="49" t="str">
        <f t="shared" si="27"/>
        <v>N</v>
      </c>
      <c r="X139" s="173">
        <f t="shared" si="28"/>
        <v>1</v>
      </c>
      <c r="Y139" s="64">
        <f t="shared" si="29"/>
        <v>23.297899999999998</v>
      </c>
      <c r="Z139" s="64">
        <f t="shared" si="30"/>
        <v>1.47E-2</v>
      </c>
      <c r="AA139" s="64">
        <f t="shared" si="31"/>
        <v>23.283199999999997</v>
      </c>
      <c r="AB139" s="61" t="e">
        <f>VLOOKUP(A139,Enforcements!$C$7:$K$19,8,0)</f>
        <v>#N/A</v>
      </c>
      <c r="AC139" s="57" t="e">
        <f>VLOOKUP(A139,Enforcements!$C$7:$E$19,3,0)</f>
        <v>#N/A</v>
      </c>
      <c r="AD139" s="58" t="str">
        <f t="shared" si="32"/>
        <v>0226-01</v>
      </c>
      <c r="AE139" s="87" t="str">
        <f t="shared" si="33"/>
        <v>aws s3 cp s3://rtdc.mdm.uploadarchive.raw/RTDC4010/ "%USERPROFILE%\AppData\Local\Temp\OnboardLogs"\RTDC4010\2017-01-01 --exclude "*" --recursive --include "*20170101*" &amp; "%USERPROFILE%\Documents\GitHub\mrs-test-scripts\Headless Mode &amp; Sideloading\WalkAndUnGZ.bat" "%USERPROFILE%\AppData\Local\Temp\OnboardLogs"\RTDC4010\2017-01-01 &amp; aws s3 cp s3://rtdc.mdm.uploadarchive.raw/RTDC4010/ "%USERPROFILE%\AppData\Local\Temp\OnboardLogs"\RTDC4010\2017-01-02 --exclude "*" --recursive --include "*20170102*" &amp; "%USERPROFILE%\Documents\GitHub\mrs-test-scripts\Headless Mode &amp; Sideloading\WalkAndUnGZ.bat" "%USERPROFILE%\AppData\Local\Temp\OnboardLogs"\RTDC4010\2017-01-02</v>
      </c>
      <c r="AF139" s="84" t="str">
        <f t="shared" si="34"/>
        <v>"C:\Program Files (x86)\AstroGrep\AstroGrep.exe" /spath="%USERPROFILE%\AppData\Local\Temp\OnboardLogs" /stypes="app*4010*20170102*" /stext=" 04:.+((SYSTEM_STATE.+slice.+state.+changed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8" t="str">
        <f t="shared" si="36"/>
        <v>"%USERPROFILE%\Documents\GitHub\eaglep3\Utilities\RefineRTDCRunTimes.py" --tripid 226-01 --locoid 4010 --swversion DE.1.0.8.0 --startMP 204:232979 --initTime 2017-01-01T20:44:15 --startdatetime 2017-01-01T20:56:20 --delay 1 --endMP 204:147 --enddatetime 2017-01-01T21:36:12 --enforcementcount 0 &gt;&gt;C:\Users\stu\Documents\GitHub\eaglep3-reporting\EC\2017-01-01-refined-times.txt</v>
      </c>
      <c r="AI139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{"issue":{"subject":"","project_id":79,"tracker_id":40,"status_id":1,"priority_id":2,"assigned_to_id":23,"start_date":"2017-01-01","description":"","custom_fields":[{"id":1,"name":"Subdivision","value":"EC"},{"id":4,"name":"Milepost","value":"0.0147"},{"id":17,"name":"Train ID","value":"226-01"},{"id":16,"name":"Locomotive ID","value":"4010"},{"id":130,"name":"Impact","value":""},{"id":150,"name":"Time of Event (Mountain Time)","value":"21:36:12"},{"id":151,"name":"Denver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38"/>
        <v>start /low /b %USERPROFILE%\Documents\GitHub\eaglep3\Utilities\DownloadLogsFromS3.py --loco 4010 --day 2017-01-01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649</v>
      </c>
      <c r="B140" s="7">
        <v>4022</v>
      </c>
      <c r="C140" s="22" t="s">
        <v>205</v>
      </c>
      <c r="D140" s="22" t="s">
        <v>250</v>
      </c>
      <c r="E140" s="13">
        <v>42736.841585648152</v>
      </c>
      <c r="F140" s="13">
        <v>42736.85460648148</v>
      </c>
      <c r="G140" s="7">
        <v>1</v>
      </c>
      <c r="H140" s="22" t="s">
        <v>411</v>
      </c>
      <c r="I140" s="13">
        <v>42736.879351851851</v>
      </c>
      <c r="J140" s="7">
        <v>0</v>
      </c>
      <c r="K140" s="105" t="str">
        <f t="shared" ref="K140:K201" si="39">IF(ISEVEN(B140),(B140-1)&amp;"/"&amp;B140,B140&amp;"/"&amp;(B140+1))</f>
        <v>4021/4022</v>
      </c>
      <c r="L140" s="22" t="str">
        <f>VLOOKUP(A140,'Trips&amp;Operators'!$C$1:$G$99999,5,FALSE)</f>
        <v>STAMBAUGH JAMES</v>
      </c>
      <c r="M140" s="6">
        <f t="shared" ref="M140:M201" si="40">I140-F140</f>
        <v>2.47453703705105E-2</v>
      </c>
      <c r="N140" s="7">
        <f t="shared" ref="N140:N201" si="41">24*60*SUM($M140:$M140)</f>
        <v>35.63333333353512</v>
      </c>
      <c r="O140" s="7"/>
      <c r="P140" s="7"/>
      <c r="Q140" s="23"/>
      <c r="R140" s="23"/>
      <c r="S140" s="32">
        <f t="shared" ref="S140:S201" si="42">SUM(U140:U140)/IF(AG140="EC",12,1)</f>
        <v>1</v>
      </c>
      <c r="T140" s="47" t="str">
        <f t="shared" ref="T140:T201" si="43">IF(ISEVEN(LEFT(AD140,4)),"Southbound","NorthBound")</f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ref="V140:V201" si="44"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https://search-rtdc-monitor-bjffxe2xuh6vdkpspy63sjmuny.us-east-1.es.amazonaws.com/_plugin/kibana/#/discover/Steve-Slow-Train-Analysis-(2080s-and-2083s)?_g=(refreshInterval:(display:Off,section:0,value:0),time:(from:'2017-01-01 19:11:53-700',mode:absolute,to:'2017-01-01 22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0" s="49" t="str">
        <f t="shared" ref="W140:W201" si="45">IF(AA140&lt;IF(AG140="EC",23,5.65),"Y","N")</f>
        <v>N</v>
      </c>
      <c r="X140" s="173">
        <f t="shared" ref="X140:X201" si="46">VALUE(LEFT(AD140,4))-VALUE(LEFT(AD139,4))</f>
        <v>1</v>
      </c>
      <c r="Y140" s="64">
        <f t="shared" ref="Y140:Y201" si="47">RIGHT(D140,LEN(D140)-4)/10000</f>
        <v>4.6399999999999997E-2</v>
      </c>
      <c r="Z140" s="64">
        <f t="shared" ref="Z140:Z201" si="48">RIGHT(H140,LEN(H140)-4)/10000</f>
        <v>23.335699999999999</v>
      </c>
      <c r="AA140" s="64">
        <f t="shared" ref="AA140:AA201" si="49">ABS(Z140-Y140)</f>
        <v>23.289300000000001</v>
      </c>
      <c r="AB140" s="61" t="e">
        <f>VLOOKUP(A140,Enforcements!$C$7:$K$19,8,0)</f>
        <v>#N/A</v>
      </c>
      <c r="AC140" s="57" t="e">
        <f>VLOOKUP(A140,Enforcements!$C$7:$E$19,3,0)</f>
        <v>#N/A</v>
      </c>
      <c r="AD140" s="58" t="str">
        <f t="shared" ref="AD140:AD201" si="50">IF(LEN(A140)=6,"0"&amp;A140,A140)</f>
        <v>0227-01</v>
      </c>
      <c r="AE140" s="87" t="str">
        <f t="shared" ref="AE140:AE201" si="51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 &amp; aws s3 cp s3://rtdc.mdm.uploadarchive.raw/RTDC4022/ "%USERPROFILE%\AppData\Local\Temp\OnboardLogs"\RTDC4022\2017-01-02 --exclude "*" --recursive --include "*20170102*" &amp; "%USERPROFILE%\Documents\GitHub\mrs-test-scripts\Headless Mode &amp; Sideloading\WalkAndUnGZ.bat" "%USERPROFILE%\AppData\Local\Temp\OnboardLogs"\RTDC4022\2017-01-02</v>
      </c>
      <c r="AF140" s="84" t="str">
        <f t="shared" ref="AF140:AF201" si="52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/stypes="app*4022*20170102*" /stext=" 04:.+((SYSTEM_STATE.+slice.+state.+changed )|(ment ac)|(multiple cpu faults)|(system.+state.+changed )|(\[timeout)|(PRM\|1\|D)|(kpr)|(kdp)|(\|lc)|(penalty))" /e /r /s</v>
      </c>
      <c r="AG140" s="1" t="str">
        <f t="shared" ref="AG140:AG201" si="53">IFERROR(IF(VALUE(LEFT(AD140,2))&lt;=2,"EC",IF(OR(VALUE(LEFT(AD140,2))=8,VALUE(LEFT(AD140,2))=18),"NW","Other")),"Other")</f>
        <v>EC</v>
      </c>
      <c r="AH140" s="88" t="str">
        <f t="shared" si="36"/>
        <v>"%USERPROFILE%\Documents\GitHub\eaglep3\Utilities\RefineRTDCRunTimes.py" --tripid 227-01 --locoid 4022 --swversion DE.1.0.8.0 --startMP 204:464 --initTime 2017-01-01T20:11:53 --startdatetime 2017-01-01T20:30:38 --delay 1 --endMP 204:233357 --enddatetime 2017-01-01T21:06:16 --enforcementcount 0 &gt;&gt;C:\Users\stu\Documents\GitHub\eaglep3-reporting\EC\2017-01-01-refined-times.txt</v>
      </c>
      <c r="AI140" s="115" t="str">
        <f t="shared" si="37"/>
        <v>echo {"issue":{"subject":"","project_id":79,"tracker_id":40,"status_id":1,"priority_id":2,"assigned_to_id":23,"start_date":"2017-01-01","description":"","custom_fields":[{"id":1,"name":"Subdivision","value":"EC"},{"id":4,"name":"Milepost","value":"23.3357"},{"id":17,"name":"Train ID","value":"227-01"},{"id":16,"name":"Locomotive ID","value":"4022"},{"id":130,"name":"Impact","value":""},{"id":150,"name":"Time of Event (Mountain Time)","value":"21:06:16"},{"id":151,"name":"Denver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38"/>
        <v>start /low /b %USERPROFILE%\Documents\GitHub\eaglep3\Utilities\DownloadLogsFromS3.py --loco 4022 --day 2017-01-01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656</v>
      </c>
      <c r="B141" s="7">
        <v>4021</v>
      </c>
      <c r="C141" s="22" t="s">
        <v>205</v>
      </c>
      <c r="D141" s="22" t="s">
        <v>410</v>
      </c>
      <c r="E141" s="13">
        <v>42736.88449074074</v>
      </c>
      <c r="F141" s="13">
        <v>42736.893553240741</v>
      </c>
      <c r="G141" s="7">
        <v>1</v>
      </c>
      <c r="H141" s="22" t="s">
        <v>211</v>
      </c>
      <c r="I141" s="13">
        <v>42736.919664351852</v>
      </c>
      <c r="J141" s="7">
        <v>0</v>
      </c>
      <c r="K141" s="105" t="str">
        <f t="shared" si="39"/>
        <v>4021/4022</v>
      </c>
      <c r="L141" s="22" t="str">
        <f>VLOOKUP(A141,'Trips&amp;Operators'!$C$1:$G$99999,5,FALSE)</f>
        <v>STAMBAUGH JAMES</v>
      </c>
      <c r="M141" s="6">
        <f t="shared" si="40"/>
        <v>2.6111111110367347E-2</v>
      </c>
      <c r="N141" s="7">
        <f t="shared" si="41"/>
        <v>37.599999998928979</v>
      </c>
      <c r="O141" s="7"/>
      <c r="P141" s="7"/>
      <c r="Q141" s="23"/>
      <c r="R141" s="23"/>
      <c r="S141" s="32">
        <f t="shared" si="42"/>
        <v>1</v>
      </c>
      <c r="T141" s="47" t="str">
        <f t="shared" si="43"/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20:13:40-700',mode:absolute,to:'2017-01-01 23:04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1" s="49" t="str">
        <f t="shared" si="45"/>
        <v>N</v>
      </c>
      <c r="X141" s="173">
        <f t="shared" si="46"/>
        <v>1</v>
      </c>
      <c r="Y141" s="64">
        <f t="shared" si="47"/>
        <v>23.309799999999999</v>
      </c>
      <c r="Z141" s="64">
        <f t="shared" si="48"/>
        <v>1.4999999999999999E-2</v>
      </c>
      <c r="AA141" s="64">
        <f t="shared" si="49"/>
        <v>23.294799999999999</v>
      </c>
      <c r="AB141" s="61" t="e">
        <f>VLOOKUP(A141,Enforcements!$C$7:$K$19,8,0)</f>
        <v>#N/A</v>
      </c>
      <c r="AC141" s="57" t="e">
        <f>VLOOKUP(A141,Enforcements!$C$7:$E$19,3,0)</f>
        <v>#N/A</v>
      </c>
      <c r="AD141" s="58" t="str">
        <f t="shared" si="50"/>
        <v>0228-01</v>
      </c>
      <c r="AE141" s="87" t="str">
        <f t="shared" si="51"/>
        <v>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 &amp; 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</v>
      </c>
      <c r="AF141" s="84" t="str">
        <f t="shared" si="52"/>
        <v>"C:\Program Files (x86)\AstroGrep\AstroGrep.exe" /spath="%USERPROFILE%\AppData\Local\Temp\OnboardLogs" /stypes="app*4021*20170102*" /stext=" 05:.+((SYSTEM_STATE.+slice.+state.+changed )|(ment ac)|(multiple cpu faults)|(system.+state.+changed )|(\[timeout)|(PRM\|1\|D)|(kpr)|(kdp)|(\|lc)|(penalty))" /e /r /s</v>
      </c>
      <c r="AG141" s="1" t="str">
        <f t="shared" si="53"/>
        <v>EC</v>
      </c>
      <c r="AH141" s="88" t="str">
        <f t="shared" ref="AH141:AH202" si="54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228-01 --locoid 4021 --swversion DE.1.0.8.0 --startMP 204:233098 --initTime 2017-01-01T21:13:40 --startdatetime 2017-01-01T21:26:43 --delay 1 --endMP 204:150 --enddatetime 2017-01-01T22:04:19 --enforcementcount 0 &gt;&gt;C:\Users\stu\Documents\GitHub\eaglep3-reporting\EC\2017-01-01-refined-times.txt</v>
      </c>
      <c r="AI141" s="115" t="str">
        <f t="shared" ref="AI141:AI202" si="55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{"issue":{"subject":"","project_id":79,"tracker_id":40,"status_id":1,"priority_id":2,"assigned_to_id":23,"start_date":"2017-01-01","description":"","custom_fields":[{"id":1,"name":"Subdivision","value":"EC"},{"id":4,"name":"Milepost","value":"0.015"},{"id":17,"name":"Train ID","value":"228-01"},{"id":16,"name":"Locomotive ID","value":"4021"},{"id":130,"name":"Impact","value":""},{"id":150,"name":"Time of Event (Mountain Time)","value":"22:04:19"},{"id":151,"name":"Denver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ref="AM141:AM202" si="56">"start /low /b "&amp;dls3logs&amp;" --loco "&amp;B141&amp;" --day "&amp;TEXT(F141,"YYYY-MM-DD")</f>
        <v>start /low /b %USERPROFILE%\Documents\GitHub\eaglep3\Utilities\DownloadLogsFromS3.py --loco 4021 --day 2017-01-01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654</v>
      </c>
      <c r="B142" s="7">
        <v>4003</v>
      </c>
      <c r="C142" s="22" t="s">
        <v>205</v>
      </c>
      <c r="D142" s="22" t="s">
        <v>768</v>
      </c>
      <c r="E142" s="13">
        <v>42736.873506944445</v>
      </c>
      <c r="F142" s="13">
        <v>42736.875335648147</v>
      </c>
      <c r="G142" s="7">
        <v>1</v>
      </c>
      <c r="H142" s="22" t="s">
        <v>769</v>
      </c>
      <c r="I142" s="13">
        <v>42736.900347222225</v>
      </c>
      <c r="J142" s="7">
        <v>0</v>
      </c>
      <c r="K142" s="105" t="str">
        <f t="shared" si="39"/>
        <v>4003/4004</v>
      </c>
      <c r="L142" s="22" t="str">
        <f>VLOOKUP(A142,'Trips&amp;Operators'!$C$1:$G$99999,5,FALSE)</f>
        <v>CHANDLER KELVIN</v>
      </c>
      <c r="M142" s="6">
        <f t="shared" si="40"/>
        <v>2.5011574078234844E-2</v>
      </c>
      <c r="N142" s="7">
        <f t="shared" si="41"/>
        <v>36.016666672658175</v>
      </c>
      <c r="O142" s="7"/>
      <c r="P142" s="7"/>
      <c r="Q142" s="23"/>
      <c r="R142" s="23"/>
      <c r="S142" s="32">
        <f t="shared" si="42"/>
        <v>1</v>
      </c>
      <c r="T142" s="47" t="str">
        <f t="shared" si="43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19:57:51-700',mode:absolute,to:'2017-01-01 22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2" s="49" t="str">
        <f t="shared" si="45"/>
        <v>N</v>
      </c>
      <c r="X142" s="173">
        <f t="shared" si="46"/>
        <v>1</v>
      </c>
      <c r="Y142" s="64">
        <f t="shared" si="47"/>
        <v>4.7300000000000002E-2</v>
      </c>
      <c r="Z142" s="64">
        <f t="shared" si="48"/>
        <v>23.325900000000001</v>
      </c>
      <c r="AA142" s="64">
        <f t="shared" si="49"/>
        <v>23.278600000000001</v>
      </c>
      <c r="AB142" s="61" t="e">
        <f>VLOOKUP(A142,Enforcements!$C$7:$K$19,8,0)</f>
        <v>#N/A</v>
      </c>
      <c r="AC142" s="57" t="e">
        <f>VLOOKUP(A142,Enforcements!$C$7:$E$19,3,0)</f>
        <v>#N/A</v>
      </c>
      <c r="AD142" s="58" t="str">
        <f t="shared" si="50"/>
        <v>0229-01</v>
      </c>
      <c r="AE142" s="87" t="str">
        <f t="shared" si="51"/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AF142" s="84" t="str">
        <f t="shared" si="52"/>
        <v>"C:\Program Files (x86)\AstroGrep\AstroGrep.exe" /spath="%USERPROFILE%\AppData\Local\Temp\OnboardLogs" /stypes="app*4003*20170102*" /stext=" 04:.+((SYSTEM_STATE.+slice.+state.+changed )|(ment ac)|(multiple cpu faults)|(system.+state.+changed )|(\[timeout)|(PRM\|1\|D)|(kpr)|(kdp)|(\|lc)|(penalty))" /e /r /s</v>
      </c>
      <c r="AG142" s="1" t="str">
        <f t="shared" si="53"/>
        <v>EC</v>
      </c>
      <c r="AH142" s="88" t="str">
        <f t="shared" si="54"/>
        <v>"%USERPROFILE%\Documents\GitHub\eaglep3\Utilities\RefineRTDCRunTimes.py" --tripid 229-01 --locoid 4003 --swversion DE.1.0.8.0 --startMP 204:473 --initTime 2017-01-01T20:57:51 --startdatetime 2017-01-01T21:00:29 --delay 1 --endMP 204:233259 --enddatetime 2017-01-01T21:36:30 --enforcementcount 0 &gt;&gt;C:\Users\stu\Documents\GitHub\eaglep3-reporting\EC\2017-01-01-refined-times.txt</v>
      </c>
      <c r="AI142" s="115" t="str">
        <f t="shared" si="55"/>
        <v>echo {"issue":{"subject":"","project_id":79,"tracker_id":40,"status_id":1,"priority_id":2,"assigned_to_id":23,"start_date":"2017-01-01","description":"","custom_fields":[{"id":1,"name":"Subdivision","value":"EC"},{"id":4,"name":"Milepost","value":"23.3259"},{"id":17,"name":"Train ID","value":"229-01"},{"id":16,"name":"Locomotive ID","value":"4003"},{"id":130,"name":"Impact","value":""},{"id":150,"name":"Time of Event (Mountain Time)","value":"21:36:30"},{"id":151,"name":"Denver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56"/>
        <v>start /low /b %USERPROFILE%\Documents\GitHub\eaglep3\Utilities\DownloadLogsFromS3.py --loco 4003 --day 2017-01-01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660</v>
      </c>
      <c r="B143" s="7">
        <v>4004</v>
      </c>
      <c r="C143" s="22" t="s">
        <v>205</v>
      </c>
      <c r="D143" s="22" t="s">
        <v>256</v>
      </c>
      <c r="E143" s="13">
        <v>42736.90997685185</v>
      </c>
      <c r="F143" s="13">
        <v>42736.914143518516</v>
      </c>
      <c r="G143" s="7">
        <v>1</v>
      </c>
      <c r="H143" s="22" t="s">
        <v>241</v>
      </c>
      <c r="I143" s="13">
        <v>42736.943356481483</v>
      </c>
      <c r="J143" s="7">
        <v>0</v>
      </c>
      <c r="K143" s="105" t="str">
        <f t="shared" si="39"/>
        <v>4003/4004</v>
      </c>
      <c r="L143" s="22" t="str">
        <f>VLOOKUP(A143,'Trips&amp;Operators'!$C$1:$G$99999,5,FALSE)</f>
        <v>CHANDLER KELVIN</v>
      </c>
      <c r="M143" s="6">
        <f t="shared" si="40"/>
        <v>2.9212962966994382E-2</v>
      </c>
      <c r="N143" s="7">
        <f t="shared" si="41"/>
        <v>42.066666672471911</v>
      </c>
      <c r="O143" s="7"/>
      <c r="P143" s="7"/>
      <c r="Q143" s="23"/>
      <c r="R143" s="23"/>
      <c r="S143" s="32">
        <f t="shared" si="42"/>
        <v>1</v>
      </c>
      <c r="T143" s="47" t="str">
        <f t="shared" si="43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20:50:22-700',mode:absolute,to:'2017-01-01 23:38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3" s="49" t="str">
        <f t="shared" si="45"/>
        <v>N</v>
      </c>
      <c r="X143" s="173">
        <f t="shared" si="46"/>
        <v>1</v>
      </c>
      <c r="Y143" s="64">
        <f t="shared" si="47"/>
        <v>23.297699999999999</v>
      </c>
      <c r="Z143" s="64">
        <f t="shared" si="48"/>
        <v>1.6299999999999999E-2</v>
      </c>
      <c r="AA143" s="64">
        <f t="shared" si="49"/>
        <v>23.281399999999998</v>
      </c>
      <c r="AB143" s="61" t="e">
        <f>VLOOKUP(A143,Enforcements!$C$7:$K$19,8,0)</f>
        <v>#N/A</v>
      </c>
      <c r="AC143" s="57" t="e">
        <f>VLOOKUP(A143,Enforcements!$C$7:$E$19,3,0)</f>
        <v>#N/A</v>
      </c>
      <c r="AD143" s="58" t="str">
        <f t="shared" si="50"/>
        <v>0230-01</v>
      </c>
      <c r="AE143" s="87" t="str">
        <f t="shared" si="51"/>
        <v>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 &amp; aws s3 cp s3://rtdc.mdm.uploadarchive.raw/RTDC4004/ "%USERPROFILE%\AppData\Local\Temp\OnboardLogs"\RTDC4004\2017-01-02 --exclude "*" --recursive --include "*20170102*" &amp; "%USERPROFILE%\Documents\GitHub\mrs-test-scripts\Headless Mode &amp; Sideloading\WalkAndUnGZ.bat" "%USERPROFILE%\AppData\Local\Temp\OnboardLogs"\RTDC4004\2017-01-02</v>
      </c>
      <c r="AF143" s="84" t="str">
        <f t="shared" si="52"/>
        <v>"C:\Program Files (x86)\AstroGrep\AstroGrep.exe" /spath="%USERPROFILE%\AppData\Local\Temp\OnboardLogs" /stypes="app*4004*20170102*" /stext=" 05:.+((SYSTEM_STATE.+slice.+state.+changed )|(ment ac)|(multiple cpu faults)|(system.+state.+changed )|(\[timeout)|(PRM\|1\|D)|(kpr)|(kdp)|(\|lc)|(penalty))" /e /r /s</v>
      </c>
      <c r="AG143" s="1" t="str">
        <f t="shared" si="53"/>
        <v>EC</v>
      </c>
      <c r="AH143" s="88" t="str">
        <f t="shared" si="54"/>
        <v>"%USERPROFILE%\Documents\GitHub\eaglep3\Utilities\RefineRTDCRunTimes.py" --tripid 230-01 --locoid 4004 --swversion DE.1.0.8.0 --startMP 204:232977 --initTime 2017-01-01T21:50:22 --startdatetime 2017-01-01T21:56:22 --delay 1 --endMP 204:163 --enddatetime 2017-01-01T22:38:26 --enforcementcount 0 &gt;&gt;C:\Users\stu\Documents\GitHub\eaglep3-reporting\EC\2017-01-01-refined-times.txt</v>
      </c>
      <c r="AI143" s="115" t="str">
        <f t="shared" si="55"/>
        <v>echo {"issue":{"subject":"","project_id":79,"tracker_id":40,"status_id":1,"priority_id":2,"assigned_to_id":23,"start_date":"2017-01-01","description":"","custom_fields":[{"id":1,"name":"Subdivision","value":"EC"},{"id":4,"name":"Milepost","value":"0.0163"},{"id":17,"name":"Train ID","value":"230-01"},{"id":16,"name":"Locomotive ID","value":"4004"},{"id":130,"name":"Impact","value":""},{"id":150,"name":"Time of Event (Mountain Time)","value":"22:38:26"},{"id":151,"name":"Denver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56"/>
        <v>start /low /b %USERPROFILE%\Documents\GitHub\eaglep3\Utilities\DownloadLogsFromS3.py --loco 4004 --day 2017-01-01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655</v>
      </c>
      <c r="B144" s="7">
        <v>4002</v>
      </c>
      <c r="C144" s="22" t="s">
        <v>205</v>
      </c>
      <c r="D144" s="22" t="s">
        <v>320</v>
      </c>
      <c r="E144" s="13">
        <v>42736.878761574073</v>
      </c>
      <c r="F144" s="13">
        <v>42736.896006944444</v>
      </c>
      <c r="G144" s="7">
        <v>1</v>
      </c>
      <c r="H144" s="22" t="s">
        <v>352</v>
      </c>
      <c r="I144" s="13">
        <v>42736.92046296296</v>
      </c>
      <c r="J144" s="7">
        <v>0</v>
      </c>
      <c r="K144" s="105" t="str">
        <f t="shared" si="39"/>
        <v>4001/4002</v>
      </c>
      <c r="L144" s="22" t="str">
        <f>VLOOKUP(A144,'Trips&amp;Operators'!$C$1:$G$99999,5,FALSE)</f>
        <v>NEWELL JAMES</v>
      </c>
      <c r="M144" s="6">
        <f t="shared" si="40"/>
        <v>2.4456018516502809E-2</v>
      </c>
      <c r="N144" s="7">
        <f t="shared" si="41"/>
        <v>35.216666663764045</v>
      </c>
      <c r="O144" s="7"/>
      <c r="P144" s="7"/>
      <c r="Q144" s="23"/>
      <c r="R144" s="23"/>
      <c r="S144" s="32">
        <f t="shared" si="42"/>
        <v>1</v>
      </c>
      <c r="T144" s="47" t="str">
        <f t="shared" si="43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20:05:25-700',mode:absolute,to:'2017-01-01 23:05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4" s="49" t="str">
        <f t="shared" si="45"/>
        <v>N</v>
      </c>
      <c r="X144" s="173">
        <f t="shared" si="46"/>
        <v>1</v>
      </c>
      <c r="Y144" s="64">
        <f t="shared" si="47"/>
        <v>4.5699999999999998E-2</v>
      </c>
      <c r="Z144" s="64">
        <f t="shared" si="48"/>
        <v>23.331</v>
      </c>
      <c r="AA144" s="64">
        <f t="shared" si="49"/>
        <v>23.285299999999999</v>
      </c>
      <c r="AB144" s="61" t="e">
        <f>VLOOKUP(A144,Enforcements!$C$7:$K$19,8,0)</f>
        <v>#N/A</v>
      </c>
      <c r="AC144" s="57" t="e">
        <f>VLOOKUP(A144,Enforcements!$C$7:$E$19,3,0)</f>
        <v>#N/A</v>
      </c>
      <c r="AD144" s="58" t="str">
        <f t="shared" si="50"/>
        <v>0231-01</v>
      </c>
      <c r="AE144" s="87" t="str">
        <f t="shared" si="51"/>
        <v>aws s3 cp s3://rtdc.mdm.uploadarchive.raw/RTDC4002/ "%USERPROFILE%\AppData\Local\Temp\OnboardLogs"\RTDC4002\2017-01-01 --exclude "*" --recursive --include "*20170101*" &amp; "%USERPROFILE%\Documents\GitHub\mrs-test-scripts\Headless Mode &amp; Sideloading\WalkAndUnGZ.bat" "%USERPROFILE%\AppData\Local\Temp\OnboardLogs"\RTDC4002\2017-01-01 &amp; aws s3 cp s3://rtdc.mdm.uploadarchive.raw/RTDC4002/ "%USERPROFILE%\AppData\Local\Temp\OnboardLogs"\RTDC4002\2017-01-02 --exclude "*" --recursive --include "*20170102*" &amp; "%USERPROFILE%\Documents\GitHub\mrs-test-scripts\Headless Mode &amp; Sideloading\WalkAndUnGZ.bat" "%USERPROFILE%\AppData\Local\Temp\OnboardLogs"\RTDC4002\2017-01-02</v>
      </c>
      <c r="AF144" s="84" t="str">
        <f t="shared" si="52"/>
        <v>"C:\Program Files (x86)\AstroGrep\AstroGrep.exe" /spath="%USERPROFILE%\AppData\Local\Temp\OnboardLogs" /stypes="app*4002*20170102*" /stext=" 05:.+((SYSTEM_STATE.+slice.+state.+changed )|(ment ac)|(multiple cpu faults)|(system.+state.+changed )|(\[timeout)|(PRM\|1\|D)|(kpr)|(kdp)|(\|lc)|(penalty))" /e /r /s</v>
      </c>
      <c r="AG144" s="1" t="str">
        <f t="shared" si="53"/>
        <v>EC</v>
      </c>
      <c r="AH144" s="88" t="str">
        <f t="shared" si="54"/>
        <v>"%USERPROFILE%\Documents\GitHub\eaglep3\Utilities\RefineRTDCRunTimes.py" --tripid 231-01 --locoid 4002 --swversion DE.1.0.8.0 --startMP 204:457 --initTime 2017-01-01T21:05:25 --startdatetime 2017-01-01T21:30:15 --delay 1 --endMP 204:233310 --enddatetime 2017-01-01T22:05:28 --enforcementcount 0 &gt;&gt;C:\Users\stu\Documents\GitHub\eaglep3-reporting\EC\2017-01-01-refined-times.txt</v>
      </c>
      <c r="AI144" s="115" t="str">
        <f t="shared" si="55"/>
        <v>echo {"issue":{"subject":"","project_id":79,"tracker_id":40,"status_id":1,"priority_id":2,"assigned_to_id":23,"start_date":"2017-01-01","description":"","custom_fields":[{"id":1,"name":"Subdivision","value":"EC"},{"id":4,"name":"Milepost","value":"23.331"},{"id":17,"name":"Train ID","value":"231-01"},{"id":16,"name":"Locomotive ID","value":"4002"},{"id":130,"name":"Impact","value":""},{"id":150,"name":"Time of Event (Mountain Time)","value":"22:05:28"},{"id":151,"name":"Denver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56"/>
        <v>start /low /b %USERPROFILE%\Documents\GitHub\eaglep3\Utilities\DownloadLogsFromS3.py --loco 4002 --day 2017-01-01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663</v>
      </c>
      <c r="B145" s="7">
        <v>4001</v>
      </c>
      <c r="C145" s="22" t="s">
        <v>205</v>
      </c>
      <c r="D145" s="22" t="s">
        <v>307</v>
      </c>
      <c r="E145" s="13">
        <v>42736.931342592594</v>
      </c>
      <c r="F145" s="13">
        <v>42736.934895833336</v>
      </c>
      <c r="G145" s="7">
        <v>1</v>
      </c>
      <c r="H145" s="22" t="s">
        <v>211</v>
      </c>
      <c r="I145" s="13">
        <v>42736.962650462963</v>
      </c>
      <c r="J145" s="7">
        <v>0</v>
      </c>
      <c r="K145" s="105" t="str">
        <f t="shared" si="39"/>
        <v>4001/4002</v>
      </c>
      <c r="L145" s="22" t="str">
        <f>VLOOKUP(A145,'Trips&amp;Operators'!$C$1:$G$99999,5,FALSE)</f>
        <v>NEWELL JAMES</v>
      </c>
      <c r="M145" s="6">
        <f t="shared" si="40"/>
        <v>2.7754629627452232E-2</v>
      </c>
      <c r="N145" s="7">
        <f t="shared" si="41"/>
        <v>39.966666663531214</v>
      </c>
      <c r="O145" s="7"/>
      <c r="P145" s="7"/>
      <c r="Q145" s="23"/>
      <c r="R145" s="23"/>
      <c r="S145" s="32">
        <f t="shared" si="42"/>
        <v>1</v>
      </c>
      <c r="T145" s="47" t="str">
        <f t="shared" si="43"/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21:21:08-700',mode:absolute,to:'2017-01-02 00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5" s="49" t="str">
        <f t="shared" si="45"/>
        <v>N</v>
      </c>
      <c r="X145" s="173">
        <f t="shared" si="46"/>
        <v>1</v>
      </c>
      <c r="Y145" s="64">
        <f t="shared" si="47"/>
        <v>23.2987</v>
      </c>
      <c r="Z145" s="64">
        <f t="shared" si="48"/>
        <v>1.4999999999999999E-2</v>
      </c>
      <c r="AA145" s="64">
        <f t="shared" si="49"/>
        <v>23.2837</v>
      </c>
      <c r="AB145" s="61" t="e">
        <f>VLOOKUP(A145,Enforcements!$C$7:$K$19,8,0)</f>
        <v>#N/A</v>
      </c>
      <c r="AC145" s="57" t="e">
        <f>VLOOKUP(A145,Enforcements!$C$7:$E$19,3,0)</f>
        <v>#N/A</v>
      </c>
      <c r="AD145" s="58" t="str">
        <f t="shared" si="50"/>
        <v>0232-01</v>
      </c>
      <c r="AE145" s="87" t="str">
        <f t="shared" si="51"/>
        <v>aws s3 cp s3://rtdc.mdm.uploadarchive.raw/RTDC4001/ "%USERPROFILE%\AppData\Local\Temp\OnboardLogs"\RTDC4001\2017-01-01 --exclude "*" --recursive --include "*20170101*" &amp; "%USERPROFILE%\Documents\GitHub\mrs-test-scripts\Headless Mode &amp; Sideloading\WalkAndUnGZ.bat" "%USERPROFILE%\AppData\Local\Temp\OnboardLogs"\RTDC4001\2017-01-01 &amp; aws s3 cp s3://rtdc.mdm.uploadarchive.raw/RTDC4001/ "%USERPROFILE%\AppData\Local\Temp\OnboardLogs"\RTDC4001\2017-01-02 --exclude "*" --recursive --include "*20170102*" &amp; "%USERPROFILE%\Documents\GitHub\mrs-test-scripts\Headless Mode &amp; Sideloading\WalkAndUnGZ.bat" "%USERPROFILE%\AppData\Local\Temp\OnboardLogs"\RTDC4001\2017-01-02</v>
      </c>
      <c r="AF145" s="84" t="str">
        <f t="shared" si="52"/>
        <v>"C:\Program Files (x86)\AstroGrep\AstroGrep.exe" /spath="%USERPROFILE%\AppData\Local\Temp\OnboardLogs" /stypes="app*4001*20170102*" /stext=" 06:.+((SYSTEM_STATE.+slice.+state.+changed )|(ment ac)|(multiple cpu faults)|(system.+state.+changed )|(\[timeout)|(PRM\|1\|D)|(kpr)|(kdp)|(\|lc)|(penalty))" /e /r /s</v>
      </c>
      <c r="AG145" s="1" t="str">
        <f t="shared" si="53"/>
        <v>EC</v>
      </c>
      <c r="AH145" s="88" t="str">
        <f t="shared" si="54"/>
        <v>"%USERPROFILE%\Documents\GitHub\eaglep3\Utilities\RefineRTDCRunTimes.py" --tripid 232-01 --locoid 4001 --swversion DE.1.0.8.0 --startMP 204:232987 --initTime 2017-01-01T22:21:08 --startdatetime 2017-01-01T22:26:15 --delay 1 --endMP 204:150 --enddatetime 2017-01-01T23:06:13 --enforcementcount 0 &gt;&gt;C:\Users\stu\Documents\GitHub\eaglep3-reporting\EC\2017-01-01-refined-times.txt</v>
      </c>
      <c r="AI145" s="115" t="str">
        <f t="shared" si="55"/>
        <v>echo {"issue":{"subject":"","project_id":79,"tracker_id":40,"status_id":1,"priority_id":2,"assigned_to_id":23,"start_date":"2017-01-01","description":"","custom_fields":[{"id":1,"name":"Subdivision","value":"EC"},{"id":4,"name":"Milepost","value":"0.015"},{"id":17,"name":"Train ID","value":"232-01"},{"id":16,"name":"Locomotive ID","value":"4001"},{"id":130,"name":"Impact","value":""},{"id":150,"name":"Time of Event (Mountain Time)","value":"23:06:13"},{"id":151,"name":"Denver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56"/>
        <v>start /low /b %USERPROFILE%\Documents\GitHub\eaglep3\Utilities\DownloadLogsFromS3.py --loco 4001 --day 2017-01-01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465</v>
      </c>
      <c r="B146" s="7">
        <v>4009</v>
      </c>
      <c r="C146" s="22" t="s">
        <v>205</v>
      </c>
      <c r="D146" s="22" t="s">
        <v>770</v>
      </c>
      <c r="E146" s="13">
        <v>42736.936249999999</v>
      </c>
      <c r="F146" s="13">
        <v>42736.937037037038</v>
      </c>
      <c r="G146" s="7">
        <v>1</v>
      </c>
      <c r="H146" s="22" t="s">
        <v>264</v>
      </c>
      <c r="I146" s="13">
        <v>42736.946585648147</v>
      </c>
      <c r="J146" s="7">
        <v>0</v>
      </c>
      <c r="K146" s="105" t="str">
        <f t="shared" si="39"/>
        <v>4009/4010</v>
      </c>
      <c r="L146" s="22" t="str">
        <f>VLOOKUP(A146,'Trips&amp;Operators'!$C$1:$G$99999,5,FALSE)</f>
        <v>SMITH MICHAEL</v>
      </c>
      <c r="M146" s="6">
        <f t="shared" si="40"/>
        <v>9.5486111094942316E-3</v>
      </c>
      <c r="N146" s="7"/>
      <c r="O146" s="7"/>
      <c r="P146" s="7">
        <f>24*60*SUM($M146:$M147)</f>
        <v>46.583333326270804</v>
      </c>
      <c r="Q146" s="23"/>
      <c r="R146" s="23" t="s">
        <v>822</v>
      </c>
      <c r="S146" s="32">
        <f>SUM(U146:U147)/IF(AG146="EC",12,1)</f>
        <v>1</v>
      </c>
      <c r="T146" s="47" t="str">
        <f t="shared" si="43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21:28:12-700',mode:absolute,to:'2017-01-01 23:43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6" s="49" t="str">
        <f t="shared" si="45"/>
        <v>Y</v>
      </c>
      <c r="X146" s="173">
        <f t="shared" si="46"/>
        <v>1</v>
      </c>
      <c r="Y146" s="64">
        <f t="shared" si="47"/>
        <v>15.4443</v>
      </c>
      <c r="Z146" s="64">
        <f t="shared" si="48"/>
        <v>23.328900000000001</v>
      </c>
      <c r="AA146" s="64">
        <f t="shared" si="49"/>
        <v>7.8846000000000007</v>
      </c>
      <c r="AB146" s="61" t="e">
        <f>VLOOKUP(A146,Enforcements!$C$7:$K$19,8,0)</f>
        <v>#N/A</v>
      </c>
      <c r="AC146" s="57" t="e">
        <f>VLOOKUP(A146,Enforcements!$C$7:$E$19,3,0)</f>
        <v>#N/A</v>
      </c>
      <c r="AD146" s="58" t="str">
        <f t="shared" si="50"/>
        <v>0233-01</v>
      </c>
      <c r="AE146" s="87" t="str">
        <f t="shared" si="51"/>
        <v>aws s3 cp s3://rtdc.mdm.uploadarchive.raw/RTDC4009/ "%USERPROFILE%\AppData\Local\Temp\OnboardLogs"\RTDC4009\2017-01-01 --exclude "*" --recursive --include "*20170101*" &amp; "%USERPROFILE%\Documents\GitHub\mrs-test-scripts\Headless Mode &amp; Sideloading\WalkAndUnGZ.bat" "%USERPROFILE%\AppData\Local\Temp\OnboardLogs"\RTDC4009\2017-01-01 &amp; aws s3 cp s3://rtdc.mdm.uploadarchive.raw/RTDC4009/ "%USERPROFILE%\AppData\Local\Temp\OnboardLogs"\RTDC4009\2017-01-02 --exclude "*" --recursive --include "*20170102*" &amp; "%USERPROFILE%\Documents\GitHub\mrs-test-scripts\Headless Mode &amp; Sideloading\WalkAndUnGZ.bat" "%USERPROFILE%\AppData\Local\Temp\OnboardLogs"\RTDC4009\2017-01-02</v>
      </c>
      <c r="AF146" s="84" t="str">
        <f t="shared" si="52"/>
        <v>"C:\Program Files (x86)\AstroGrep\AstroGrep.exe" /spath="%USERPROFILE%\AppData\Local\Temp\OnboardLogs" /stypes="app*4009*20170102*" /stext=" 05:.+((SYSTEM_STATE.+slice.+state.+changed )|(ment ac)|(multiple cpu faults)|(system.+state.+changed )|(\[timeout)|(PRM\|1\|D)|(kpr)|(kdp)|(\|lc)|(penalty))" /e /r /s</v>
      </c>
      <c r="AG146" s="1" t="str">
        <f t="shared" si="53"/>
        <v>EC</v>
      </c>
      <c r="AH146" s="88" t="str">
        <f t="shared" si="54"/>
        <v>"%USERPROFILE%\Documents\GitHub\eaglep3\Utilities\RefineRTDCRunTimes.py" --tripid 233-01 --locoid 4009 --swversion DE.1.0.8.0 --startMP 204:154443 --initTime 2017-01-01T22:28:12 --startdatetime 2017-01-01T22:29:20 --delay 1 --endMP 204:233289 --enddatetime 2017-01-01T22:43:05 --enforcementcount 0 &gt;&gt;C:\Users\stu\Documents\GitHub\eaglep3-reporting\EC\2017-01-01-refined-times.txt</v>
      </c>
      <c r="AI146" s="115" t="str">
        <f t="shared" si="55"/>
        <v>echo {"issue":{"subject":"Wi-MAX data drop","project_id":79,"tracker_id":40,"status_id":1,"priority_id":2,"assigned_to_id":23,"start_date":"2017-01-01","description":"","custom_fields":[{"id":1,"name":"Subdivision","value":"EC"},{"id":4,"name":"Milepost","value":"23.3289"},{"id":17,"name":"Train ID","value":"233-01"},{"id":16,"name":"Locomotive ID","value":"4009"},{"id":130,"name":"Impact","value":""},{"id":150,"name":"Time of Event (Mountain Time)","value":"22:43:05"},{"id":151,"name":"Denver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56"/>
        <v>start /low /b %USERPROFILE%\Documents\GitHub\eaglep3\Utilities\DownloadLogsFromS3.py --loco 4009 --day 2017-01-01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465</v>
      </c>
      <c r="B147" s="7">
        <v>4009</v>
      </c>
      <c r="C147" s="22" t="s">
        <v>205</v>
      </c>
      <c r="D147" s="22" t="s">
        <v>250</v>
      </c>
      <c r="E147" s="13">
        <v>42736.906597222223</v>
      </c>
      <c r="F147" s="13">
        <v>42736.907905092594</v>
      </c>
      <c r="G147" s="7">
        <v>1</v>
      </c>
      <c r="H147" s="22" t="s">
        <v>771</v>
      </c>
      <c r="I147" s="13">
        <v>42736.930706018517</v>
      </c>
      <c r="J147" s="7">
        <v>1</v>
      </c>
      <c r="K147" s="105" t="str">
        <f t="shared" si="39"/>
        <v>4009/4010</v>
      </c>
      <c r="L147" s="22" t="str">
        <f>VLOOKUP(A147,'Trips&amp;Operators'!$C$1:$G$99999,5,FALSE)</f>
        <v>SMITH MICHAEL</v>
      </c>
      <c r="M147" s="6">
        <f t="shared" si="40"/>
        <v>2.2800925922638271E-2</v>
      </c>
      <c r="N147" s="7"/>
      <c r="O147" s="7"/>
      <c r="P147" s="7"/>
      <c r="Q147" s="23"/>
      <c r="R147" s="23"/>
      <c r="S147" s="32"/>
      <c r="T147" s="47" t="str">
        <f t="shared" si="43"/>
        <v>NorthBound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20:45:30-700',mode:absolute,to:'2017-01-01 23:20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7" s="49" t="str">
        <f t="shared" si="45"/>
        <v>Y</v>
      </c>
      <c r="X147" s="173">
        <f t="shared" si="46"/>
        <v>0</v>
      </c>
      <c r="Y147" s="64">
        <f t="shared" si="47"/>
        <v>4.6399999999999997E-2</v>
      </c>
      <c r="Z147" s="64">
        <f t="shared" si="48"/>
        <v>11.0288</v>
      </c>
      <c r="AA147" s="64">
        <f t="shared" si="49"/>
        <v>10.9824</v>
      </c>
      <c r="AB147" s="61" t="e">
        <f>VLOOKUP(A147,Enforcements!$C$7:$K$19,8,0)</f>
        <v>#N/A</v>
      </c>
      <c r="AC147" s="57" t="e">
        <f>VLOOKUP(A147,Enforcements!$C$7:$E$19,3,0)</f>
        <v>#N/A</v>
      </c>
      <c r="AD147" s="58" t="str">
        <f t="shared" si="50"/>
        <v>0233-01</v>
      </c>
      <c r="AE147" s="87" t="str">
        <f t="shared" si="51"/>
        <v>aws s3 cp s3://rtdc.mdm.uploadarchive.raw/RTDC4009/ "%USERPROFILE%\AppData\Local\Temp\OnboardLogs"\RTDC4009\2017-01-01 --exclude "*" --recursive --include "*20170101*" &amp; "%USERPROFILE%\Documents\GitHub\mrs-test-scripts\Headless Mode &amp; Sideloading\WalkAndUnGZ.bat" "%USERPROFILE%\AppData\Local\Temp\OnboardLogs"\RTDC4009\2017-01-01 &amp; aws s3 cp s3://rtdc.mdm.uploadarchive.raw/RTDC4009/ "%USERPROFILE%\AppData\Local\Temp\OnboardLogs"\RTDC4009\2017-01-02 --exclude "*" --recursive --include "*20170102*" &amp; "%USERPROFILE%\Documents\GitHub\mrs-test-scripts\Headless Mode &amp; Sideloading\WalkAndUnGZ.bat" "%USERPROFILE%\AppData\Local\Temp\OnboardLogs"\RTDC4009\2017-01-02</v>
      </c>
      <c r="AF147" s="84" t="str">
        <f t="shared" si="52"/>
        <v>"C:\Program Files (x86)\AstroGrep\AstroGrep.exe" /spath="%USERPROFILE%\AppData\Local\Temp\OnboardLogs" /stypes="app*4009*20170102*" /stext=" 05:.+((SYSTEM_STATE.+slice.+state.+changed )|(ment ac)|(multiple cpu faults)|(system.+state.+changed )|(\[timeout)|(PRM\|1\|D)|(kpr)|(kdp)|(\|lc)|(penalty))" /e /r /s</v>
      </c>
      <c r="AG147" s="1" t="str">
        <f t="shared" si="53"/>
        <v>EC</v>
      </c>
      <c r="AH147" s="88" t="str">
        <f t="shared" si="54"/>
        <v>"%USERPROFILE%\Documents\GitHub\eaglep3\Utilities\RefineRTDCRunTimes.py" --tripid 233-01 --locoid 4009 --swversion DE.1.0.8.0 --startMP 204:464 --initTime 2017-01-01T21:45:30 --startdatetime 2017-01-01T21:47:23 --delay 1 --endMP 204:110288 --enddatetime 2017-01-01T22:20:13 --enforcementcount 1 &gt;&gt;C:\Users\stu\Documents\GitHub\eaglep3-reporting\EC\2017-01-01-refined-times.txt</v>
      </c>
      <c r="AI147" s="115" t="str">
        <f t="shared" si="55"/>
        <v>echo {"issue":{"subject":"","project_id":79,"tracker_id":40,"status_id":1,"priority_id":2,"assigned_to_id":23,"start_date":"2017-01-01","description":"","custom_fields":[{"id":1,"name":"Subdivision","value":"EC"},{"id":4,"name":"Milepost","value":"11.0288"},{"id":17,"name":"Train ID","value":"233-01"},{"id":16,"name":"Locomotive ID","value":"4009"},{"id":130,"name":"Impact","value":""},{"id":150,"name":"Time of Event (Mountain Time)","value":"22:20:13"},{"id":151,"name":"Denver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56"/>
        <v>start /low /b %USERPROFILE%\Documents\GitHub\eaglep3\Utilities\DownloadLogsFromS3.py --loco 4009 --day 2017-01-01</v>
      </c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665</v>
      </c>
      <c r="B148" s="7">
        <v>4010</v>
      </c>
      <c r="C148" s="22" t="s">
        <v>205</v>
      </c>
      <c r="D148" s="22" t="s">
        <v>307</v>
      </c>
      <c r="E148" s="13">
        <v>42736.949259259258</v>
      </c>
      <c r="F148" s="13">
        <v>42736.955833333333</v>
      </c>
      <c r="G148" s="7">
        <v>1</v>
      </c>
      <c r="H148" s="22" t="s">
        <v>233</v>
      </c>
      <c r="I148" s="13">
        <v>42736.982835648145</v>
      </c>
      <c r="J148" s="7">
        <v>0</v>
      </c>
      <c r="K148" s="105" t="str">
        <f t="shared" si="39"/>
        <v>4009/4010</v>
      </c>
      <c r="L148" s="22" t="str">
        <f>VLOOKUP(A148,'Trips&amp;Operators'!$C$1:$G$99999,5,FALSE)</f>
        <v>SMITH MICHAEL</v>
      </c>
      <c r="M148" s="6">
        <f t="shared" si="40"/>
        <v>2.700231481139781E-2</v>
      </c>
      <c r="N148" s="7">
        <f t="shared" si="41"/>
        <v>38.883333328412846</v>
      </c>
      <c r="O148" s="7"/>
      <c r="P148" s="7"/>
      <c r="Q148" s="23"/>
      <c r="R148" s="23"/>
      <c r="S148" s="32">
        <f t="shared" si="42"/>
        <v>1</v>
      </c>
      <c r="T148" s="47" t="str">
        <f t="shared" si="43"/>
        <v>Southbound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21:46:56-700',mode:absolute,to:'2017-01-02 00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8" s="49" t="str">
        <f t="shared" si="45"/>
        <v>N</v>
      </c>
      <c r="X148" s="173">
        <f t="shared" si="46"/>
        <v>1</v>
      </c>
      <c r="Y148" s="64">
        <f t="shared" si="47"/>
        <v>23.2987</v>
      </c>
      <c r="Z148" s="64">
        <f t="shared" si="48"/>
        <v>1.4500000000000001E-2</v>
      </c>
      <c r="AA148" s="64">
        <f t="shared" si="49"/>
        <v>23.284199999999998</v>
      </c>
      <c r="AB148" s="61" t="e">
        <f>VLOOKUP(A148,Enforcements!$C$7:$K$19,8,0)</f>
        <v>#N/A</v>
      </c>
      <c r="AC148" s="57" t="e">
        <f>VLOOKUP(A148,Enforcements!$C$7:$E$19,3,0)</f>
        <v>#N/A</v>
      </c>
      <c r="AD148" s="58" t="str">
        <f t="shared" si="50"/>
        <v>0234-01</v>
      </c>
      <c r="AE148" s="87" t="str">
        <f t="shared" si="51"/>
        <v>aws s3 cp s3://rtdc.mdm.uploadarchive.raw/RTDC4010/ "%USERPROFILE%\AppData\Local\Temp\OnboardLogs"\RTDC4010\2017-01-01 --exclude "*" --recursive --include "*20170101*" &amp; "%USERPROFILE%\Documents\GitHub\mrs-test-scripts\Headless Mode &amp; Sideloading\WalkAndUnGZ.bat" "%USERPROFILE%\AppData\Local\Temp\OnboardLogs"\RTDC4010\2017-01-01 &amp; aws s3 cp s3://rtdc.mdm.uploadarchive.raw/RTDC4010/ "%USERPROFILE%\AppData\Local\Temp\OnboardLogs"\RTDC4010\2017-01-02 --exclude "*" --recursive --include "*20170102*" &amp; "%USERPROFILE%\Documents\GitHub\mrs-test-scripts\Headless Mode &amp; Sideloading\WalkAndUnGZ.bat" "%USERPROFILE%\AppData\Local\Temp\OnboardLogs"\RTDC4010\2017-01-02</v>
      </c>
      <c r="AF148" s="84" t="str">
        <f t="shared" si="52"/>
        <v>"C:\Program Files (x86)\AstroGrep\AstroGrep.exe" /spath="%USERPROFILE%\AppData\Local\Temp\OnboardLogs" /stypes="app*4010*20170102*" /stext=" 06:.+((SYSTEM_STATE.+slice.+state.+changed )|(ment ac)|(multiple cpu faults)|(system.+state.+changed )|(\[timeout)|(PRM\|1\|D)|(kpr)|(kdp)|(\|lc)|(penalty))" /e /r /s</v>
      </c>
      <c r="AG148" s="1" t="str">
        <f t="shared" si="53"/>
        <v>EC</v>
      </c>
      <c r="AH148" s="88" t="str">
        <f t="shared" si="54"/>
        <v>"%USERPROFILE%\Documents\GitHub\eaglep3\Utilities\RefineRTDCRunTimes.py" --tripid 234-01 --locoid 4010 --swversion DE.1.0.8.0 --startMP 204:232987 --initTime 2017-01-01T22:46:56 --startdatetime 2017-01-01T22:56:24 --delay 1 --endMP 204:145 --enddatetime 2017-01-01T23:35:17 --enforcementcount 0 &gt;&gt;C:\Users\stu\Documents\GitHub\eaglep3-reporting\EC\2017-01-01-refined-times.txt</v>
      </c>
      <c r="AI148" s="115" t="str">
        <f t="shared" si="55"/>
        <v>echo {"issue":{"subject":"","project_id":79,"tracker_id":40,"status_id":1,"priority_id":2,"assigned_to_id":23,"start_date":"2017-01-01","description":"","custom_fields":[{"id":1,"name":"Subdivision","value":"EC"},{"id":4,"name":"Milepost","value":"0.0145"},{"id":17,"name":"Train ID","value":"234-01"},{"id":16,"name":"Locomotive ID","value":"4010"},{"id":130,"name":"Impact","value":""},{"id":150,"name":"Time of Event (Mountain Time)","value":"23:35:17"},{"id":151,"name":"Denver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56"/>
        <v>start /low /b %USERPROFILE%\Documents\GitHub\eaglep3\Utilities\DownloadLogsFromS3.py --loco 4010 --day 2017-01-01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661</v>
      </c>
      <c r="B149" s="7">
        <v>4022</v>
      </c>
      <c r="C149" s="22" t="s">
        <v>205</v>
      </c>
      <c r="D149" s="22" t="s">
        <v>338</v>
      </c>
      <c r="E149" s="13">
        <v>42736.921793981484</v>
      </c>
      <c r="F149" s="13">
        <v>42736.937800925924</v>
      </c>
      <c r="G149" s="7">
        <v>5</v>
      </c>
      <c r="H149" s="22" t="s">
        <v>391</v>
      </c>
      <c r="I149" s="13">
        <v>42736.962326388886</v>
      </c>
      <c r="J149" s="7">
        <v>0</v>
      </c>
      <c r="K149" s="105" t="str">
        <f t="shared" si="39"/>
        <v>4021/4022</v>
      </c>
      <c r="L149" s="22" t="str">
        <f>VLOOKUP(A149,'Trips&amp;Operators'!$C$1:$G$99999,5,FALSE)</f>
        <v>STAMBAUGH JAMES</v>
      </c>
      <c r="M149" s="6">
        <f t="shared" si="40"/>
        <v>2.4525462962628808E-2</v>
      </c>
      <c r="N149" s="7">
        <f t="shared" si="41"/>
        <v>35.316666666185483</v>
      </c>
      <c r="O149" s="7"/>
      <c r="P149" s="7"/>
      <c r="Q149" s="23"/>
      <c r="R149" s="23"/>
      <c r="S149" s="32">
        <f t="shared" si="42"/>
        <v>1</v>
      </c>
      <c r="T149" s="47" t="str">
        <f t="shared" si="43"/>
        <v>NorthBound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21:07:23-700',mode:absolute,to:'2017-01-02 00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9" s="49" t="str">
        <f t="shared" si="45"/>
        <v>N</v>
      </c>
      <c r="X149" s="173">
        <f t="shared" si="46"/>
        <v>1</v>
      </c>
      <c r="Y149" s="64">
        <f t="shared" si="47"/>
        <v>4.6600000000000003E-2</v>
      </c>
      <c r="Z149" s="64">
        <f t="shared" si="48"/>
        <v>23.331499999999998</v>
      </c>
      <c r="AA149" s="64">
        <f t="shared" si="49"/>
        <v>23.284899999999997</v>
      </c>
      <c r="AB149" s="61" t="e">
        <f>VLOOKUP(A149,Enforcements!$C$7:$K$19,8,0)</f>
        <v>#N/A</v>
      </c>
      <c r="AC149" s="57" t="e">
        <f>VLOOKUP(A149,Enforcements!$C$7:$E$19,3,0)</f>
        <v>#N/A</v>
      </c>
      <c r="AD149" s="58" t="str">
        <f t="shared" si="50"/>
        <v>0235-01</v>
      </c>
      <c r="AE149" s="87" t="str">
        <f t="shared" si="51"/>
        <v>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 &amp; aws s3 cp s3://rtdc.mdm.uploadarchive.raw/RTDC4022/ "%USERPROFILE%\AppData\Local\Temp\OnboardLogs"\RTDC4022\2017-01-02 --exclude "*" --recursive --include "*20170102*" &amp; "%USERPROFILE%\Documents\GitHub\mrs-test-scripts\Headless Mode &amp; Sideloading\WalkAndUnGZ.bat" "%USERPROFILE%\AppData\Local\Temp\OnboardLogs"\RTDC4022\2017-01-02</v>
      </c>
      <c r="AF149" s="84" t="str">
        <f t="shared" si="52"/>
        <v>"C:\Program Files (x86)\AstroGrep\AstroGrep.exe" /spath="%USERPROFILE%\AppData\Local\Temp\OnboardLogs" /stypes="app*4022*20170102*" /stext=" 06:.+((SYSTEM_STATE.+slice.+state.+changed )|(ment ac)|(multiple cpu faults)|(system.+state.+changed )|(\[timeout)|(PRM\|1\|D)|(kpr)|(kdp)|(\|lc)|(penalty))" /e /r /s</v>
      </c>
      <c r="AG149" s="1" t="str">
        <f t="shared" si="53"/>
        <v>EC</v>
      </c>
      <c r="AH149" s="88" t="str">
        <f t="shared" si="54"/>
        <v>"%USERPROFILE%\Documents\GitHub\eaglep3\Utilities\RefineRTDCRunTimes.py" --tripid 235-01 --locoid 4022 --swversion DE.1.0.8.0 --startMP 204:466 --initTime 2017-01-01T22:07:23 --startdatetime 2017-01-01T22:30:26 --delay 5 --endMP 204:233315 --enddatetime 2017-01-01T23:05:45 --enforcementcount 0 &gt;&gt;C:\Users\stu\Documents\GitHub\eaglep3-reporting\EC\2017-01-01-refined-times.txt</v>
      </c>
      <c r="AI149" s="115" t="str">
        <f t="shared" si="55"/>
        <v>echo {"issue":{"subject":"","project_id":79,"tracker_id":40,"status_id":1,"priority_id":2,"assigned_to_id":23,"start_date":"2017-01-01","description":"","custom_fields":[{"id":1,"name":"Subdivision","value":"EC"},{"id":4,"name":"Milepost","value":"23.3315"},{"id":17,"name":"Train ID","value":"235-01"},{"id":16,"name":"Locomotive ID","value":"4022"},{"id":130,"name":"Impact","value":""},{"id":150,"name":"Time of Event (Mountain Time)","value":"23:05:45"},{"id":151,"name":"Denver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56"/>
        <v>start /low /b %USERPROFILE%\Documents\GitHub\eaglep3\Utilities\DownloadLogsFromS3.py --loco 4022 --day 2017-01-01</v>
      </c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4" t="s">
        <v>667</v>
      </c>
      <c r="B150" s="7">
        <v>4021</v>
      </c>
      <c r="C150" s="22" t="s">
        <v>205</v>
      </c>
      <c r="D150" s="22" t="s">
        <v>331</v>
      </c>
      <c r="E150" s="13">
        <v>42736.972731481481</v>
      </c>
      <c r="F150" s="13">
        <v>42736.976701388892</v>
      </c>
      <c r="G150" s="7">
        <v>1</v>
      </c>
      <c r="H150" s="22" t="s">
        <v>211</v>
      </c>
      <c r="I150" s="13">
        <v>42737.00267361111</v>
      </c>
      <c r="J150" s="7">
        <v>0</v>
      </c>
      <c r="K150" s="105" t="str">
        <f t="shared" si="39"/>
        <v>4021/4022</v>
      </c>
      <c r="L150" s="22" t="str">
        <f>VLOOKUP(A150,'Trips&amp;Operators'!$C$1:$G$99999,5,FALSE)</f>
        <v>STAMBAUGH JAMES</v>
      </c>
      <c r="M150" s="6">
        <f t="shared" si="40"/>
        <v>2.5972222218115348E-2</v>
      </c>
      <c r="N150" s="7">
        <f t="shared" si="41"/>
        <v>37.399999994086102</v>
      </c>
      <c r="O150" s="7"/>
      <c r="P150" s="7"/>
      <c r="Q150" s="23"/>
      <c r="R150" s="23"/>
      <c r="S150" s="32">
        <f t="shared" si="42"/>
        <v>1</v>
      </c>
      <c r="T150" s="47" t="str">
        <f t="shared" si="43"/>
        <v>Southbound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22:20:44-700',mode:absolute,to:'2017-01-02 01:03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0" s="49" t="str">
        <f t="shared" si="45"/>
        <v>N</v>
      </c>
      <c r="X150" s="173">
        <f t="shared" si="46"/>
        <v>1</v>
      </c>
      <c r="Y150" s="64">
        <f t="shared" si="47"/>
        <v>23.300599999999999</v>
      </c>
      <c r="Z150" s="64">
        <f t="shared" si="48"/>
        <v>1.4999999999999999E-2</v>
      </c>
      <c r="AA150" s="64">
        <f t="shared" si="49"/>
        <v>23.285599999999999</v>
      </c>
      <c r="AB150" s="61" t="e">
        <f>VLOOKUP(A150,Enforcements!$C$7:$K$19,8,0)</f>
        <v>#N/A</v>
      </c>
      <c r="AC150" s="57" t="e">
        <f>VLOOKUP(A150,Enforcements!$C$7:$E$19,3,0)</f>
        <v>#N/A</v>
      </c>
      <c r="AD150" s="58" t="str">
        <f t="shared" si="50"/>
        <v>0236-01</v>
      </c>
      <c r="AE150" s="87" t="str">
        <f t="shared" si="51"/>
        <v>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 &amp; 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</v>
      </c>
      <c r="AF150" s="84" t="str">
        <f t="shared" si="52"/>
        <v>"C:\Program Files (x86)\AstroGrep\AstroGrep.exe" /spath="%USERPROFILE%\AppData\Local\Temp\OnboardLogs" /stypes="app*4021*20170102*" /stext=" 07:.+((SYSTEM_STATE.+slice.+state.+changed )|(ment ac)|(multiple cpu faults)|(system.+state.+changed )|(\[timeout)|(PRM\|1\|D)|(kpr)|(kdp)|(\|lc)|(penalty))" /e /r /s</v>
      </c>
      <c r="AG150" s="1" t="str">
        <f t="shared" si="53"/>
        <v>EC</v>
      </c>
      <c r="AH150" s="88" t="str">
        <f t="shared" si="54"/>
        <v>"%USERPROFILE%\Documents\GitHub\eaglep3\Utilities\RefineRTDCRunTimes.py" --tripid 236-01 --locoid 4021 --swversion DE.1.0.8.0 --startMP 204:233006 --initTime 2017-01-01T23:20:44 --startdatetime 2017-01-01T23:26:27 --delay 1 --endMP 204:150 --enddatetime 2017-01-02T00:03:51 --enforcementcount 0 &gt;&gt;C:\Users\stu\Documents\GitHub\eaglep3-reporting\EC\2017-01-01-refined-times.txt</v>
      </c>
      <c r="AI150" s="115" t="str">
        <f t="shared" si="55"/>
        <v>echo {"issue":{"subject":"","project_id":79,"tracker_id":40,"status_id":1,"priority_id":2,"assigned_to_id":23,"start_date":"2017-01-02","description":"","custom_fields":[{"id":1,"name":"Subdivision","value":"EC"},{"id":4,"name":"Milepost","value":"0.015"},{"id":17,"name":"Train ID","value":"236-01"},{"id":16,"name":"Locomotive ID","value":"4021"},{"id":130,"name":"Impact","value":""},{"id":150,"name":"Time of Event (Mountain Time)","value":"00:03:51"},{"id":151,"name":"Denver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56"/>
        <v>start /low /b %USERPROFILE%\Documents\GitHub\eaglep3\Utilities\DownloadLogsFromS3.py --loco 4021 --day 2017-01-01</v>
      </c>
    </row>
    <row r="151" spans="1:91" s="21" customFormat="1" x14ac:dyDescent="0.25">
      <c r="A151" s="34" t="s">
        <v>666</v>
      </c>
      <c r="B151" s="7">
        <v>4003</v>
      </c>
      <c r="C151" s="22" t="s">
        <v>205</v>
      </c>
      <c r="D151" s="22" t="s">
        <v>258</v>
      </c>
      <c r="E151" s="13">
        <v>42736.95689814815</v>
      </c>
      <c r="F151" s="13">
        <v>42736.958773148152</v>
      </c>
      <c r="G151" s="7">
        <v>1</v>
      </c>
      <c r="H151" s="22" t="s">
        <v>321</v>
      </c>
      <c r="I151" s="13">
        <v>42736.983773148146</v>
      </c>
      <c r="J151" s="7">
        <v>0</v>
      </c>
      <c r="K151" s="105" t="str">
        <f t="shared" si="39"/>
        <v>4003/4004</v>
      </c>
      <c r="L151" s="22" t="str">
        <f>VLOOKUP(A151,'Trips&amp;Operators'!$C$1:$G$99999,5,FALSE)</f>
        <v>CHANDLER KELVIN</v>
      </c>
      <c r="M151" s="6">
        <f t="shared" si="40"/>
        <v>2.4999999994179234E-2</v>
      </c>
      <c r="N151" s="7">
        <f t="shared" si="41"/>
        <v>35.999999991618097</v>
      </c>
      <c r="O151" s="7"/>
      <c r="P151" s="7"/>
      <c r="Q151" s="23"/>
      <c r="R151" s="23"/>
      <c r="S151" s="32">
        <f t="shared" si="42"/>
        <v>1</v>
      </c>
      <c r="T151" s="47" t="str">
        <f t="shared" si="43"/>
        <v>NorthBound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21:57:56-700',mode:absolute,to:'2017-01-02 00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1" s="49" t="str">
        <f t="shared" si="45"/>
        <v>N</v>
      </c>
      <c r="X151" s="173">
        <f t="shared" si="46"/>
        <v>1</v>
      </c>
      <c r="Y151" s="64">
        <f t="shared" si="47"/>
        <v>4.6199999999999998E-2</v>
      </c>
      <c r="Z151" s="64">
        <f t="shared" si="48"/>
        <v>23.3291</v>
      </c>
      <c r="AA151" s="64">
        <f t="shared" si="49"/>
        <v>23.282900000000001</v>
      </c>
      <c r="AB151" s="61" t="e">
        <f>VLOOKUP(A151,Enforcements!$C$7:$K$19,8,0)</f>
        <v>#N/A</v>
      </c>
      <c r="AC151" s="57" t="e">
        <f>VLOOKUP(A151,Enforcements!$C$7:$E$19,3,0)</f>
        <v>#N/A</v>
      </c>
      <c r="AD151" s="58" t="str">
        <f t="shared" si="50"/>
        <v>0237-01</v>
      </c>
      <c r="AE151" s="87" t="str">
        <f t="shared" si="51"/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AF151" s="84" t="str">
        <f t="shared" si="52"/>
        <v>"C:\Program Files (x86)\AstroGrep\AstroGrep.exe" /spath="%USERPROFILE%\AppData\Local\Temp\OnboardLogs" /stypes="app*4003*20170102*" /stext=" 06:.+((SYSTEM_STATE.+slice.+state.+changed )|(ment ac)|(multiple cpu faults)|(system.+state.+changed )|(\[timeout)|(PRM\|1\|D)|(kpr)|(kdp)|(\|lc)|(penalty))" /e /r /s</v>
      </c>
      <c r="AG151" s="1" t="str">
        <f t="shared" si="53"/>
        <v>EC</v>
      </c>
      <c r="AH151" s="88" t="str">
        <f t="shared" si="54"/>
        <v>"%USERPROFILE%\Documents\GitHub\eaglep3\Utilities\RefineRTDCRunTimes.py" --tripid 237-01 --locoid 4003 --swversion DE.1.0.8.0 --startMP 204:462 --initTime 2017-01-01T22:57:56 --startdatetime 2017-01-01T23:00:38 --delay 1 --endMP 204:233291 --enddatetime 2017-01-01T23:36:38 --enforcementcount 0 &gt;&gt;C:\Users\stu\Documents\GitHub\eaglep3-reporting\EC\2017-01-01-refined-times.txt</v>
      </c>
      <c r="AI151" s="115" t="str">
        <f t="shared" si="55"/>
        <v>echo {"issue":{"subject":"","project_id":79,"tracker_id":40,"status_id":1,"priority_id":2,"assigned_to_id":23,"start_date":"2017-01-01","description":"","custom_fields":[{"id":1,"name":"Subdivision","value":"EC"},{"id":4,"name":"Milepost","value":"23.3291"},{"id":17,"name":"Train ID","value":"237-01"},{"id":16,"name":"Locomotive ID","value":"4003"},{"id":130,"name":"Impact","value":""},{"id":150,"name":"Time of Event (Mountain Time)","value":"23:36:38"},{"id":151,"name":"Denver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56"/>
        <v>start /low /b %USERPROFILE%\Documents\GitHub\eaglep3\Utilities\DownloadLogsFromS3.py --loco 4003 --day 2017-01-01</v>
      </c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670</v>
      </c>
      <c r="B152" s="7">
        <v>4004</v>
      </c>
      <c r="C152" s="22" t="s">
        <v>205</v>
      </c>
      <c r="D152" s="22" t="s">
        <v>322</v>
      </c>
      <c r="E152" s="13">
        <v>42736.993935185186</v>
      </c>
      <c r="F152" s="13">
        <v>42736.997523148151</v>
      </c>
      <c r="G152" s="7">
        <v>1</v>
      </c>
      <c r="H152" s="22" t="s">
        <v>341</v>
      </c>
      <c r="I152" s="13">
        <v>42737.025081018517</v>
      </c>
      <c r="J152" s="7">
        <v>0</v>
      </c>
      <c r="K152" s="105" t="str">
        <f t="shared" si="39"/>
        <v>4003/4004</v>
      </c>
      <c r="L152" s="22" t="str">
        <f>VLOOKUP(A152,'Trips&amp;Operators'!$C$1:$G$99999,5,FALSE)</f>
        <v>CHANDLER KELVIN</v>
      </c>
      <c r="M152" s="6">
        <f t="shared" si="40"/>
        <v>2.7557870365853887E-2</v>
      </c>
      <c r="N152" s="7">
        <f t="shared" si="41"/>
        <v>39.683333326829597</v>
      </c>
      <c r="O152" s="7"/>
      <c r="P152" s="7"/>
      <c r="Q152" s="23"/>
      <c r="R152" s="23"/>
      <c r="S152" s="32">
        <f t="shared" si="42"/>
        <v>1</v>
      </c>
      <c r="T152" s="47" t="str">
        <f t="shared" si="43"/>
        <v>Southbound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22:51:16-700',mode:absolute,to:'2017-01-02 01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2" s="49" t="str">
        <f t="shared" si="45"/>
        <v>N</v>
      </c>
      <c r="X152" s="173">
        <f t="shared" si="46"/>
        <v>1</v>
      </c>
      <c r="Y152" s="64">
        <f t="shared" si="47"/>
        <v>23.297599999999999</v>
      </c>
      <c r="Z152" s="64">
        <f t="shared" si="48"/>
        <v>1.6899999999999998E-2</v>
      </c>
      <c r="AA152" s="64">
        <f t="shared" si="49"/>
        <v>23.2807</v>
      </c>
      <c r="AB152" s="61" t="e">
        <f>VLOOKUP(A152,Enforcements!$C$7:$K$19,8,0)</f>
        <v>#N/A</v>
      </c>
      <c r="AC152" s="57" t="e">
        <f>VLOOKUP(A152,Enforcements!$C$7:$E$19,3,0)</f>
        <v>#N/A</v>
      </c>
      <c r="AD152" s="58" t="str">
        <f t="shared" si="50"/>
        <v>0238-01</v>
      </c>
      <c r="AE152" s="87" t="str">
        <f t="shared" si="51"/>
        <v>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 &amp; aws s3 cp s3://rtdc.mdm.uploadarchive.raw/RTDC4004/ "%USERPROFILE%\AppData\Local\Temp\OnboardLogs"\RTDC4004\2017-01-02 --exclude "*" --recursive --include "*20170102*" &amp; "%USERPROFILE%\Documents\GitHub\mrs-test-scripts\Headless Mode &amp; Sideloading\WalkAndUnGZ.bat" "%USERPROFILE%\AppData\Local\Temp\OnboardLogs"\RTDC4004\2017-01-02</v>
      </c>
      <c r="AF152" s="84" t="str">
        <f t="shared" si="52"/>
        <v>"C:\Program Files (x86)\AstroGrep\AstroGrep.exe" /spath="%USERPROFILE%\AppData\Local\Temp\OnboardLogs" /stypes="app*4004*20170102*" /stext=" 07:.+((SYSTEM_STATE.+slice.+state.+changed )|(ment ac)|(multiple cpu faults)|(system.+state.+changed )|(\[timeout)|(PRM\|1\|D)|(kpr)|(kdp)|(\|lc)|(penalty))" /e /r /s</v>
      </c>
      <c r="AG152" s="1" t="str">
        <f t="shared" si="53"/>
        <v>EC</v>
      </c>
      <c r="AH152" s="88" t="str">
        <f t="shared" si="54"/>
        <v>"%USERPROFILE%\Documents\GitHub\eaglep3\Utilities\RefineRTDCRunTimes.py" --tripid 238-01 --locoid 4004 --swversion DE.1.0.8.0 --startMP 204:232976 --initTime 2017-01-01T23:51:16 --startdatetime 2017-01-01T23:56:26 --delay 1 --endMP 204:169 --enddatetime 2017-01-02T00:36:07 --enforcementcount 0 &gt;&gt;C:\Users\stu\Documents\GitHub\eaglep3-reporting\EC\2017-01-01-refined-times.txt</v>
      </c>
      <c r="AI152" s="115" t="str">
        <f t="shared" si="55"/>
        <v>echo {"issue":{"subject":"","project_id":79,"tracker_id":40,"status_id":1,"priority_id":2,"assigned_to_id":23,"start_date":"2017-01-02","description":"","custom_fields":[{"id":1,"name":"Subdivision","value":"EC"},{"id":4,"name":"Milepost","value":"0.0169"},{"id":17,"name":"Train ID","value":"238-01"},{"id":16,"name":"Locomotive ID","value":"4004"},{"id":130,"name":"Impact","value":""},{"id":150,"name":"Time of Event (Mountain Time)","value":"00:36:07"},{"id":151,"name":"Denver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56"/>
        <v>start /low /b %USERPROFILE%\Documents\GitHub\eaglep3\Utilities\DownloadLogsFromS3.py --loco 4004 --day 2017-01-01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4" t="s">
        <v>668</v>
      </c>
      <c r="B153" s="7">
        <v>4002</v>
      </c>
      <c r="C153" s="22" t="s">
        <v>205</v>
      </c>
      <c r="D153" s="22" t="s">
        <v>194</v>
      </c>
      <c r="E153" s="13">
        <v>42736.976053240738</v>
      </c>
      <c r="F153" s="13">
        <v>42736.979513888888</v>
      </c>
      <c r="G153" s="7">
        <v>2</v>
      </c>
      <c r="H153" s="22" t="s">
        <v>306</v>
      </c>
      <c r="I153" s="13">
        <v>42737.003842592596</v>
      </c>
      <c r="J153" s="7">
        <v>0</v>
      </c>
      <c r="K153" s="105" t="str">
        <f t="shared" si="39"/>
        <v>4001/4002</v>
      </c>
      <c r="L153" s="22" t="str">
        <f>VLOOKUP(A153,'Trips&amp;Operators'!$C$1:$G$99999,5,FALSE)</f>
        <v>NEWELL JAMES</v>
      </c>
      <c r="M153" s="6">
        <f t="shared" si="40"/>
        <v>2.4328703708306421E-2</v>
      </c>
      <c r="N153" s="7">
        <f t="shared" si="41"/>
        <v>35.033333339961246</v>
      </c>
      <c r="O153" s="7"/>
      <c r="P153" s="7"/>
      <c r="Q153" s="23"/>
      <c r="R153" s="23"/>
      <c r="S153" s="32">
        <f t="shared" si="42"/>
        <v>1</v>
      </c>
      <c r="T153" s="47" t="str">
        <f t="shared" si="43"/>
        <v>NorthBound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22:25:31-700',mode:absolute,to:'2017-01-02 01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3" s="49" t="str">
        <f t="shared" si="45"/>
        <v>N</v>
      </c>
      <c r="X153" s="173">
        <f t="shared" si="46"/>
        <v>1</v>
      </c>
      <c r="Y153" s="64">
        <f t="shared" si="47"/>
        <v>4.5100000000000001E-2</v>
      </c>
      <c r="Z153" s="64">
        <f t="shared" si="48"/>
        <v>23.330400000000001</v>
      </c>
      <c r="AA153" s="64">
        <f t="shared" si="49"/>
        <v>23.285299999999999</v>
      </c>
      <c r="AB153" s="61" t="e">
        <f>VLOOKUP(A153,Enforcements!$C$7:$K$19,8,0)</f>
        <v>#N/A</v>
      </c>
      <c r="AC153" s="57" t="e">
        <f>VLOOKUP(A153,Enforcements!$C$7:$E$19,3,0)</f>
        <v>#N/A</v>
      </c>
      <c r="AD153" s="58" t="str">
        <f t="shared" si="50"/>
        <v>0239-01</v>
      </c>
      <c r="AE153" s="87" t="str">
        <f t="shared" si="51"/>
        <v>aws s3 cp s3://rtdc.mdm.uploadarchive.raw/RTDC4002/ "%USERPROFILE%\AppData\Local\Temp\OnboardLogs"\RTDC4002\2017-01-01 --exclude "*" --recursive --include "*20170101*" &amp; "%USERPROFILE%\Documents\GitHub\mrs-test-scripts\Headless Mode &amp; Sideloading\WalkAndUnGZ.bat" "%USERPROFILE%\AppData\Local\Temp\OnboardLogs"\RTDC4002\2017-01-01 &amp; aws s3 cp s3://rtdc.mdm.uploadarchive.raw/RTDC4002/ "%USERPROFILE%\AppData\Local\Temp\OnboardLogs"\RTDC4002\2017-01-02 --exclude "*" --recursive --include "*20170102*" &amp; "%USERPROFILE%\Documents\GitHub\mrs-test-scripts\Headless Mode &amp; Sideloading\WalkAndUnGZ.bat" "%USERPROFILE%\AppData\Local\Temp\OnboardLogs"\RTDC4002\2017-01-02</v>
      </c>
      <c r="AF153" s="84" t="str">
        <f t="shared" si="52"/>
        <v>"C:\Program Files (x86)\AstroGrep\AstroGrep.exe" /spath="%USERPROFILE%\AppData\Local\Temp\OnboardLogs" /stypes="app*4002*20170102*" /stext=" 07:.+((SYSTEM_STATE.+slice.+state.+changed )|(ment ac)|(multiple cpu faults)|(system.+state.+changed )|(\[timeout)|(PRM\|1\|D)|(kpr)|(kdp)|(\|lc)|(penalty))" /e /r /s</v>
      </c>
      <c r="AG153" s="1" t="str">
        <f t="shared" si="53"/>
        <v>EC</v>
      </c>
      <c r="AH153" s="88" t="str">
        <f t="shared" si="54"/>
        <v>"%USERPROFILE%\Documents\GitHub\eaglep3\Utilities\RefineRTDCRunTimes.py" --tripid 239-01 --locoid 4002 --swversion DE.1.0.8.0 --startMP 204:451 --initTime 2017-01-01T23:25:31 --startdatetime 2017-01-01T23:30:30 --delay 2 --endMP 204:233304 --enddatetime 2017-01-02T00:05:32 --enforcementcount 0 &gt;&gt;C:\Users\stu\Documents\GitHub\eaglep3-reporting\EC\2017-01-01-refined-times.txt</v>
      </c>
      <c r="AI153" s="115" t="str">
        <f t="shared" si="55"/>
        <v>echo {"issue":{"subject":"","project_id":79,"tracker_id":40,"status_id":1,"priority_id":2,"assigned_to_id":23,"start_date":"2017-01-02","description":"","custom_fields":[{"id":1,"name":"Subdivision","value":"EC"},{"id":4,"name":"Milepost","value":"23.3304"},{"id":17,"name":"Train ID","value":"239-01"},{"id":16,"name":"Locomotive ID","value":"4002"},{"id":130,"name":"Impact","value":""},{"id":150,"name":"Time of Event (Mountain Time)","value":"00:05:32"},{"id":151,"name":"Denver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56"/>
        <v>start /low /b %USERPROFILE%\Documents\GitHub\eaglep3\Utilities\DownloadLogsFromS3.py --loco 4002 --day 2017-01-01</v>
      </c>
    </row>
    <row r="154" spans="1:91" s="21" customFormat="1" x14ac:dyDescent="0.25">
      <c r="A154" s="34" t="s">
        <v>671</v>
      </c>
      <c r="B154" s="7">
        <v>4001</v>
      </c>
      <c r="C154" s="22" t="s">
        <v>205</v>
      </c>
      <c r="D154" s="22" t="s">
        <v>716</v>
      </c>
      <c r="E154" s="13">
        <v>42737.01295138889</v>
      </c>
      <c r="F154" s="13">
        <v>42737.018206018518</v>
      </c>
      <c r="G154" s="7">
        <v>1</v>
      </c>
      <c r="H154" s="22" t="s">
        <v>699</v>
      </c>
      <c r="I154" s="13">
        <v>42737.043935185182</v>
      </c>
      <c r="J154" s="7">
        <v>0</v>
      </c>
      <c r="K154" s="105" t="str">
        <f t="shared" si="39"/>
        <v>4001/4002</v>
      </c>
      <c r="L154" s="22" t="str">
        <f>VLOOKUP(A154,'Trips&amp;Operators'!$C$1:$G$99999,5,FALSE)</f>
        <v>NEWELL JAMES</v>
      </c>
      <c r="M154" s="6">
        <f t="shared" si="40"/>
        <v>2.5729166663950309E-2</v>
      </c>
      <c r="N154" s="7">
        <f t="shared" si="41"/>
        <v>37.049999996088445</v>
      </c>
      <c r="O154" s="7"/>
      <c r="P154" s="7"/>
      <c r="Q154" s="23"/>
      <c r="R154" s="23"/>
      <c r="S154" s="32">
        <f t="shared" si="42"/>
        <v>1</v>
      </c>
      <c r="T154" s="47" t="str">
        <f t="shared" si="43"/>
        <v>Southbound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23:18:39-700',mode:absolute,to:'2017-01-02 02:03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4" s="49" t="str">
        <f t="shared" si="45"/>
        <v>N</v>
      </c>
      <c r="X154" s="173">
        <f t="shared" si="46"/>
        <v>1</v>
      </c>
      <c r="Y154" s="64">
        <f t="shared" si="47"/>
        <v>23.298300000000001</v>
      </c>
      <c r="Z154" s="64">
        <f t="shared" si="48"/>
        <v>1.61E-2</v>
      </c>
      <c r="AA154" s="64">
        <f t="shared" si="49"/>
        <v>23.2822</v>
      </c>
      <c r="AB154" s="61" t="e">
        <f>VLOOKUP(A154,Enforcements!$C$7:$K$19,8,0)</f>
        <v>#N/A</v>
      </c>
      <c r="AC154" s="57" t="e">
        <f>VLOOKUP(A154,Enforcements!$C$7:$E$19,3,0)</f>
        <v>#N/A</v>
      </c>
      <c r="AD154" s="58" t="str">
        <f t="shared" si="50"/>
        <v>0240-01</v>
      </c>
      <c r="AE154" s="87" t="str">
        <f t="shared" si="51"/>
        <v>aws s3 cp s3://rtdc.mdm.uploadarchive.raw/RTDC4001/ "%USERPROFILE%\AppData\Local\Temp\OnboardLogs"\RTDC4001\2017-01-02 --exclude "*" --recursive --include "*20170102*" &amp; "%USERPROFILE%\Documents\GitHub\mrs-test-scripts\Headless Mode &amp; Sideloading\WalkAndUnGZ.bat" "%USERPROFILE%\AppData\Local\Temp\OnboardLogs"\RTDC4001\2017-01-02 &amp; aws s3 cp s3://rtdc.mdm.uploadarchive.raw/RTDC4001/ "%USERPROFILE%\AppData\Local\Temp\OnboardLogs"\RTDC4001\2017-01-03 --exclude "*" --recursive --include "*20170103*" &amp; "%USERPROFILE%\Documents\GitHub\mrs-test-scripts\Headless Mode &amp; Sideloading\WalkAndUnGZ.bat" "%USERPROFILE%\AppData\Local\Temp\OnboardLogs"\RTDC4001\2017-01-03</v>
      </c>
      <c r="AF154" s="84" t="str">
        <f t="shared" si="52"/>
        <v>"C:\Program Files (x86)\AstroGrep\AstroGrep.exe" /spath="%USERPROFILE%\AppData\Local\Temp\OnboardLogs" /stypes="app*4001*20170102*" /stext=" 08:.+((SYSTEM_STATE.+slice.+state.+changed )|(ment ac)|(multiple cpu faults)|(system.+state.+changed )|(\[timeout)|(PRM\|1\|D)|(kpr)|(kdp)|(\|lc)|(penalty))" /e /r /s</v>
      </c>
      <c r="AG154" s="1" t="str">
        <f t="shared" si="53"/>
        <v>EC</v>
      </c>
      <c r="AH154" s="88" t="str">
        <f t="shared" si="54"/>
        <v>"%USERPROFILE%\Documents\GitHub\eaglep3\Utilities\RefineRTDCRunTimes.py" --tripid 240-01 --locoid 4001 --swversion DE.1.0.8.0 --startMP 204:232983 --initTime 2017-01-02T00:18:39 --startdatetime 2017-01-02T00:26:13 --delay 1 --endMP 204:161 --enddatetime 2017-01-02T01:03:16 --enforcementcount 0 &gt;&gt;C:\Users\stu\Documents\GitHub\eaglep3-reporting\EC\2017-01-01-refined-times.txt</v>
      </c>
      <c r="AI154" s="115" t="str">
        <f t="shared" si="55"/>
        <v>echo {"issue":{"subject":"","project_id":79,"tracker_id":40,"status_id":1,"priority_id":2,"assigned_to_id":23,"start_date":"2017-01-02","description":"","custom_fields":[{"id":1,"name":"Subdivision","value":"EC"},{"id":4,"name":"Milepost","value":"0.0161"},{"id":17,"name":"Train ID","value":"240-01"},{"id":16,"name":"Locomotive ID","value":"4001"},{"id":130,"name":"Impact","value":""},{"id":150,"name":"Time of Event (Mountain Time)","value":"01:03:16"},{"id":151,"name":"Denver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56"/>
        <v>start /low /b %USERPROFILE%\Documents\GitHub\eaglep3\Utilities\DownloadLogsFromS3.py --loco 4001 --day 2017-01-02</v>
      </c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669</v>
      </c>
      <c r="B155" s="7">
        <v>4009</v>
      </c>
      <c r="C155" s="22" t="s">
        <v>205</v>
      </c>
      <c r="D155" s="22" t="s">
        <v>338</v>
      </c>
      <c r="E155" s="13">
        <v>42736.985000000001</v>
      </c>
      <c r="F155" s="13">
        <v>42737.000254629631</v>
      </c>
      <c r="G155" s="7">
        <v>1</v>
      </c>
      <c r="H155" s="22" t="s">
        <v>400</v>
      </c>
      <c r="I155" s="13">
        <v>42737.025185185186</v>
      </c>
      <c r="J155" s="7">
        <v>0</v>
      </c>
      <c r="K155" s="105" t="str">
        <f t="shared" si="39"/>
        <v>4009/4010</v>
      </c>
      <c r="L155" s="22" t="str">
        <f>VLOOKUP(A155,'Trips&amp;Operators'!$C$1:$G$99999,5,FALSE)</f>
        <v>SMITH MICHAEL</v>
      </c>
      <c r="M155" s="6">
        <f t="shared" si="40"/>
        <v>2.4930555555329192E-2</v>
      </c>
      <c r="N155" s="7">
        <f t="shared" si="41"/>
        <v>35.899999999674037</v>
      </c>
      <c r="O155" s="7"/>
      <c r="P155" s="7"/>
      <c r="Q155" s="23"/>
      <c r="R155" s="23"/>
      <c r="S155" s="32">
        <f t="shared" si="42"/>
        <v>1</v>
      </c>
      <c r="T155" s="47" t="str">
        <f t="shared" si="43"/>
        <v>NorthBound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22:38:24-700',mode:absolute,to:'2017-01-02 01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5" s="49" t="str">
        <f t="shared" si="45"/>
        <v>N</v>
      </c>
      <c r="X155" s="173">
        <f t="shared" si="46"/>
        <v>1</v>
      </c>
      <c r="Y155" s="64">
        <f t="shared" si="47"/>
        <v>4.6600000000000003E-2</v>
      </c>
      <c r="Z155" s="64">
        <f t="shared" si="48"/>
        <v>23.3325</v>
      </c>
      <c r="AA155" s="64">
        <f t="shared" si="49"/>
        <v>23.285899999999998</v>
      </c>
      <c r="AB155" s="61" t="e">
        <f>VLOOKUP(A155,Enforcements!$C$7:$K$19,8,0)</f>
        <v>#N/A</v>
      </c>
      <c r="AC155" s="57" t="e">
        <f>VLOOKUP(A155,Enforcements!$C$7:$E$19,3,0)</f>
        <v>#N/A</v>
      </c>
      <c r="AD155" s="58" t="str">
        <f t="shared" si="50"/>
        <v>0241-01</v>
      </c>
      <c r="AE155" s="87" t="str">
        <f t="shared" si="51"/>
        <v>aws s3 cp s3://rtdc.mdm.uploadarchive.raw/RTDC4009/ "%USERPROFILE%\AppData\Local\Temp\OnboardLogs"\RTDC4009\2017-01-02 --exclude "*" --recursive --include "*20170102*" &amp; "%USERPROFILE%\Documents\GitHub\mrs-test-scripts\Headless Mode &amp; Sideloading\WalkAndUnGZ.bat" "%USERPROFILE%\AppData\Local\Temp\OnboardLogs"\RTDC4009\2017-01-02 &amp; aws s3 cp s3://rtdc.mdm.uploadarchive.raw/RTDC4009/ "%USERPROFILE%\AppData\Local\Temp\OnboardLogs"\RTDC4009\2017-01-03 --exclude "*" --recursive --include "*20170103*" &amp; "%USERPROFILE%\Documents\GitHub\mrs-test-scripts\Headless Mode &amp; Sideloading\WalkAndUnGZ.bat" "%USERPROFILE%\AppData\Local\Temp\OnboardLogs"\RTDC4009\2017-01-03</v>
      </c>
      <c r="AF155" s="84" t="str">
        <f t="shared" si="52"/>
        <v>"C:\Program Files (x86)\AstroGrep\AstroGrep.exe" /spath="%USERPROFILE%\AppData\Local\Temp\OnboardLogs" /stypes="app*4009*20170102*" /stext=" 07:.+((SYSTEM_STATE.+slice.+state.+changed )|(ment ac)|(multiple cpu faults)|(system.+state.+changed )|(\[timeout)|(PRM\|1\|D)|(kpr)|(kdp)|(\|lc)|(penalty))" /e /r /s</v>
      </c>
      <c r="AG155" s="1" t="str">
        <f t="shared" si="53"/>
        <v>EC</v>
      </c>
      <c r="AH155" s="88" t="str">
        <f t="shared" si="54"/>
        <v>"%USERPROFILE%\Documents\GitHub\eaglep3\Utilities\RefineRTDCRunTimes.py" --tripid 241-01 --locoid 4009 --swversion DE.1.0.8.0 --startMP 204:466 --initTime 2017-01-01T23:38:24 --startdatetime 2017-01-02T00:00:22 --delay 1 --endMP 204:233325 --enddatetime 2017-01-02T00:36:16 --enforcementcount 0 &gt;&gt;C:\Users\stu\Documents\GitHub\eaglep3-reporting\EC\2017-01-01-refined-times.txt</v>
      </c>
      <c r="AI155" s="115" t="str">
        <f t="shared" si="55"/>
        <v>echo {"issue":{"subject":"","project_id":79,"tracker_id":40,"status_id":1,"priority_id":2,"assigned_to_id":23,"start_date":"2017-01-02","description":"","custom_fields":[{"id":1,"name":"Subdivision","value":"EC"},{"id":4,"name":"Milepost","value":"23.3325"},{"id":17,"name":"Train ID","value":"241-01"},{"id":16,"name":"Locomotive ID","value":"4009"},{"id":130,"name":"Impact","value":""},{"id":150,"name":"Time of Event (Mountain Time)","value":"00:36:16"},{"id":151,"name":"Denver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56"/>
        <v>start /low /b %USERPROFILE%\Documents\GitHub\eaglep3\Utilities\DownloadLogsFromS3.py --loco 4009 --day 2017-01-02</v>
      </c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673</v>
      </c>
      <c r="B156" s="7">
        <v>4010</v>
      </c>
      <c r="C156" s="22" t="s">
        <v>205</v>
      </c>
      <c r="D156" s="22" t="s">
        <v>307</v>
      </c>
      <c r="E156" s="13">
        <v>42737.030370370368</v>
      </c>
      <c r="F156" s="13">
        <v>42737.039212962962</v>
      </c>
      <c r="G156" s="7">
        <v>1</v>
      </c>
      <c r="H156" s="22" t="s">
        <v>263</v>
      </c>
      <c r="I156" s="13">
        <v>42737.066076388888</v>
      </c>
      <c r="J156" s="7">
        <v>0</v>
      </c>
      <c r="K156" s="105" t="str">
        <f t="shared" si="39"/>
        <v>4009/4010</v>
      </c>
      <c r="L156" s="22" t="str">
        <f>VLOOKUP(A156,'Trips&amp;Operators'!$C$1:$G$99999,5,FALSE)</f>
        <v>SMITH MICHAEL</v>
      </c>
      <c r="M156" s="6">
        <f t="shared" si="40"/>
        <v>2.6863425926421769E-2</v>
      </c>
      <c r="N156" s="7">
        <f t="shared" si="41"/>
        <v>38.683333334047347</v>
      </c>
      <c r="O156" s="7"/>
      <c r="P156" s="7"/>
      <c r="Q156" s="23"/>
      <c r="R156" s="23"/>
      <c r="S156" s="32">
        <f t="shared" si="42"/>
        <v>1</v>
      </c>
      <c r="T156" s="47" t="str">
        <f t="shared" si="43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23:43:44-700',mode:absolute,to:'2017-01-02 02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6" s="49" t="str">
        <f t="shared" si="45"/>
        <v>N</v>
      </c>
      <c r="X156" s="173">
        <f t="shared" si="46"/>
        <v>1</v>
      </c>
      <c r="Y156" s="64">
        <f t="shared" si="47"/>
        <v>23.2987</v>
      </c>
      <c r="Z156" s="64">
        <f t="shared" si="48"/>
        <v>1.38E-2</v>
      </c>
      <c r="AA156" s="64">
        <f t="shared" si="49"/>
        <v>23.2849</v>
      </c>
      <c r="AB156" s="61" t="e">
        <f>VLOOKUP(A156,Enforcements!$C$7:$K$19,8,0)</f>
        <v>#N/A</v>
      </c>
      <c r="AC156" s="57" t="e">
        <f>VLOOKUP(A156,Enforcements!$C$7:$E$19,3,0)</f>
        <v>#N/A</v>
      </c>
      <c r="AD156" s="58" t="str">
        <f t="shared" si="50"/>
        <v>0242-01</v>
      </c>
      <c r="AE156" s="87" t="str">
        <f t="shared" si="51"/>
        <v>aws s3 cp s3://rtdc.mdm.uploadarchive.raw/RTDC4010/ "%USERPROFILE%\AppData\Local\Temp\OnboardLogs"\RTDC4010\2017-01-02 --exclude "*" --recursive --include "*20170102*" &amp; "%USERPROFILE%\Documents\GitHub\mrs-test-scripts\Headless Mode &amp; Sideloading\WalkAndUnGZ.bat" "%USERPROFILE%\AppData\Local\Temp\OnboardLogs"\RTDC4010\2017-01-02 &amp; aws s3 cp s3://rtdc.mdm.uploadarchive.raw/RTDC4010/ "%USERPROFILE%\AppData\Local\Temp\OnboardLogs"\RTDC4010\2017-01-03 --exclude "*" --recursive --include "*20170103*" &amp; "%USERPROFILE%\Documents\GitHub\mrs-test-scripts\Headless Mode &amp; Sideloading\WalkAndUnGZ.bat" "%USERPROFILE%\AppData\Local\Temp\OnboardLogs"\RTDC4010\2017-01-03</v>
      </c>
      <c r="AF156" s="84" t="str">
        <f t="shared" si="52"/>
        <v>"C:\Program Files (x86)\AstroGrep\AstroGrep.exe" /spath="%USERPROFILE%\AppData\Local\Temp\OnboardLogs" /stypes="app*4010*20170102*" /stext=" 08:.+((SYSTEM_STATE.+slice.+state.+changed )|(ment ac)|(multiple cpu faults)|(system.+state.+changed )|(\[timeout)|(PRM\|1\|D)|(kpr)|(kdp)|(\|lc)|(penalty))" /e /r /s</v>
      </c>
      <c r="AG156" s="1" t="str">
        <f t="shared" si="53"/>
        <v>EC</v>
      </c>
      <c r="AH156" s="88" t="str">
        <f t="shared" si="54"/>
        <v>"%USERPROFILE%\Documents\GitHub\eaglep3\Utilities\RefineRTDCRunTimes.py" --tripid 242-01 --locoid 4010 --swversion DE.1.0.8.0 --startMP 204:232987 --initTime 2017-01-02T00:43:44 --startdatetime 2017-01-02T00:56:28 --delay 1 --endMP 204:138 --enddatetime 2017-01-02T01:35:09 --enforcementcount 0 &gt;&gt;C:\Users\stu\Documents\GitHub\eaglep3-reporting\EC\2017-01-01-refined-times.txt</v>
      </c>
      <c r="AI156" s="115" t="str">
        <f t="shared" si="55"/>
        <v>echo {"issue":{"subject":"","project_id":79,"tracker_id":40,"status_id":1,"priority_id":2,"assigned_to_id":23,"start_date":"2017-01-02","description":"","custom_fields":[{"id":1,"name":"Subdivision","value":"EC"},{"id":4,"name":"Milepost","value":"0.0138"},{"id":17,"name":"Train ID","value":"242-01"},{"id":16,"name":"Locomotive ID","value":"4010"},{"id":130,"name":"Impact","value":""},{"id":150,"name":"Time of Event (Mountain Time)","value":"01:35:09"},{"id":151,"name":"Denver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56"/>
        <v>start /low /b %USERPROFILE%\Documents\GitHub\eaglep3\Utilities\DownloadLogsFromS3.py --loco 4010 --day 2017-01-02</v>
      </c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4" t="s">
        <v>466</v>
      </c>
      <c r="B157" s="7">
        <v>4022</v>
      </c>
      <c r="C157" s="22" t="s">
        <v>205</v>
      </c>
      <c r="D157" s="22" t="s">
        <v>270</v>
      </c>
      <c r="E157" s="13">
        <v>42737.005104166667</v>
      </c>
      <c r="F157" s="13">
        <v>42737.021122685182</v>
      </c>
      <c r="G157" s="7">
        <v>1</v>
      </c>
      <c r="H157" s="22" t="s">
        <v>409</v>
      </c>
      <c r="I157" s="13">
        <v>42737.045682870368</v>
      </c>
      <c r="J157" s="7">
        <v>0</v>
      </c>
      <c r="K157" s="105" t="str">
        <f t="shared" si="39"/>
        <v>4021/4022</v>
      </c>
      <c r="L157" s="22" t="str">
        <f>VLOOKUP(A157,'Trips&amp;Operators'!$C$1:$G$99999,5,FALSE)</f>
        <v>STAMBAUGH JAMES</v>
      </c>
      <c r="M157" s="6">
        <f t="shared" si="40"/>
        <v>2.4560185185691807E-2</v>
      </c>
      <c r="N157" s="7">
        <f t="shared" si="41"/>
        <v>35.366666667396203</v>
      </c>
      <c r="O157" s="7"/>
      <c r="P157" s="7"/>
      <c r="Q157" s="23"/>
      <c r="R157" s="23"/>
      <c r="S157" s="32">
        <f t="shared" si="42"/>
        <v>1</v>
      </c>
      <c r="T157" s="47" t="str">
        <f t="shared" si="43"/>
        <v>NorthBound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23:07:21-700',mode:absolute,to:'2017-01-02 02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7" s="49" t="str">
        <f t="shared" si="45"/>
        <v>N</v>
      </c>
      <c r="X157" s="173">
        <f t="shared" si="46"/>
        <v>1</v>
      </c>
      <c r="Y157" s="64">
        <f t="shared" si="47"/>
        <v>4.4900000000000002E-2</v>
      </c>
      <c r="Z157" s="64">
        <f t="shared" si="48"/>
        <v>23.340800000000002</v>
      </c>
      <c r="AA157" s="64">
        <f t="shared" si="49"/>
        <v>23.295900000000003</v>
      </c>
      <c r="AB157" s="61" t="e">
        <f>VLOOKUP(A157,Enforcements!$C$7:$K$19,8,0)</f>
        <v>#N/A</v>
      </c>
      <c r="AC157" s="57" t="e">
        <f>VLOOKUP(A157,Enforcements!$C$7:$E$19,3,0)</f>
        <v>#N/A</v>
      </c>
      <c r="AD157" s="58" t="str">
        <f t="shared" si="50"/>
        <v>0243-01</v>
      </c>
      <c r="AE157" s="87" t="str">
        <f t="shared" si="51"/>
        <v>aws s3 cp s3://rtdc.mdm.uploadarchive.raw/RTDC4022/ "%USERPROFILE%\AppData\Local\Temp\OnboardLogs"\RTDC4022\2017-01-02 --exclude "*" --recursive --include "*20170102*" &amp; "%USERPROFILE%\Documents\GitHub\mrs-test-scripts\Headless Mode &amp; Sideloading\WalkAndUnGZ.bat" "%USERPROFILE%\AppData\Local\Temp\OnboardLogs"\RTDC4022\2017-01-02 &amp; aws s3 cp s3://rtdc.mdm.uploadarchive.raw/RTDC4022/ "%USERPROFILE%\AppData\Local\Temp\OnboardLogs"\RTDC4022\2017-01-03 --exclude "*" --recursive --include "*20170103*" &amp; "%USERPROFILE%\Documents\GitHub\mrs-test-scripts\Headless Mode &amp; Sideloading\WalkAndUnGZ.bat" "%USERPROFILE%\AppData\Local\Temp\OnboardLogs"\RTDC4022\2017-01-03</v>
      </c>
      <c r="AF157" s="84" t="str">
        <f t="shared" si="52"/>
        <v>"C:\Program Files (x86)\AstroGrep\AstroGrep.exe" /spath="%USERPROFILE%\AppData\Local\Temp\OnboardLogs" /stypes="app*4022*20170102*" /stext=" 08:.+((SYSTEM_STATE.+slice.+state.+changed )|(ment ac)|(multiple cpu faults)|(system.+state.+changed )|(\[timeout)|(PRM\|1\|D)|(kpr)|(kdp)|(\|lc)|(penalty))" /e /r /s</v>
      </c>
      <c r="AG157" s="1" t="str">
        <f t="shared" si="53"/>
        <v>EC</v>
      </c>
      <c r="AH157" s="88" t="str">
        <f t="shared" si="54"/>
        <v>"%USERPROFILE%\Documents\GitHub\eaglep3\Utilities\RefineRTDCRunTimes.py" --tripid 243-01 --locoid 4022 --swversion DE.1.0.8.0 --startMP 204:449 --initTime 2017-01-02T00:07:21 --startdatetime 2017-01-02T00:30:25 --delay 1 --endMP 204:233408 --enddatetime 2017-01-02T01:05:47 --enforcementcount 0 &gt;&gt;C:\Users\stu\Documents\GitHub\eaglep3-reporting\EC\2017-01-01-refined-times.txt</v>
      </c>
      <c r="AI157" s="115" t="str">
        <f t="shared" si="55"/>
        <v>echo {"issue":{"subject":"","project_id":79,"tracker_id":40,"status_id":1,"priority_id":2,"assigned_to_id":23,"start_date":"2017-01-02","description":"","custom_fields":[{"id":1,"name":"Subdivision","value":"EC"},{"id":4,"name":"Milepost","value":"23.3408"},{"id":17,"name":"Train ID","value":"243-01"},{"id":16,"name":"Locomotive ID","value":"4022"},{"id":130,"name":"Impact","value":""},{"id":150,"name":"Time of Event (Mountain Time)","value":"01:05:47"},{"id":151,"name":"Denver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56"/>
        <v>start /low /b %USERPROFILE%\Documents\GitHub\eaglep3\Utilities\DownloadLogsFromS3.py --loco 4022 --day 2017-01-02</v>
      </c>
    </row>
    <row r="158" spans="1:91" s="21" customFormat="1" x14ac:dyDescent="0.25">
      <c r="A158" s="34" t="s">
        <v>467</v>
      </c>
      <c r="B158" s="7">
        <v>4021</v>
      </c>
      <c r="C158" s="22" t="s">
        <v>205</v>
      </c>
      <c r="D158" s="22" t="s">
        <v>772</v>
      </c>
      <c r="E158" s="13">
        <v>42737.054618055554</v>
      </c>
      <c r="F158" s="13">
        <v>42737.060335648152</v>
      </c>
      <c r="G158" s="7">
        <v>1</v>
      </c>
      <c r="H158" s="22" t="s">
        <v>395</v>
      </c>
      <c r="I158" s="13">
        <v>42737.086574074077</v>
      </c>
      <c r="J158" s="7">
        <v>0</v>
      </c>
      <c r="K158" s="105" t="str">
        <f t="shared" si="39"/>
        <v>4021/4022</v>
      </c>
      <c r="L158" s="22" t="str">
        <f>VLOOKUP(A158,'Trips&amp;Operators'!$C$1:$G$99999,5,FALSE)</f>
        <v>STAMBAUGH JAMES</v>
      </c>
      <c r="M158" s="6">
        <f t="shared" si="40"/>
        <v>2.6238425925839692E-2</v>
      </c>
      <c r="N158" s="7">
        <f t="shared" si="41"/>
        <v>37.783333333209157</v>
      </c>
      <c r="O158" s="7"/>
      <c r="P158" s="7"/>
      <c r="Q158" s="23"/>
      <c r="R158" s="23"/>
      <c r="S158" s="32">
        <f t="shared" si="42"/>
        <v>1</v>
      </c>
      <c r="T158" s="47" t="str">
        <f t="shared" si="43"/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https://search-rtdc-monitor-bjffxe2xuh6vdkpspy63sjmuny.us-east-1.es.amazonaws.com/_plugin/kibana/#/discover/Steve-Slow-Train-Analysis-(2080s-and-2083s)?_g=(refreshInterval:(display:Off,section:0,value:0),time:(from:'2017-01-02 00:18:39-700',mode:absolute,to:'2017-01-02 03:04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8" s="49" t="str">
        <f t="shared" si="45"/>
        <v>N</v>
      </c>
      <c r="X158" s="173">
        <f t="shared" si="46"/>
        <v>1</v>
      </c>
      <c r="Y158" s="64">
        <f t="shared" si="47"/>
        <v>23.3094</v>
      </c>
      <c r="Z158" s="64">
        <f t="shared" si="48"/>
        <v>1.78E-2</v>
      </c>
      <c r="AA158" s="64">
        <f t="shared" si="49"/>
        <v>23.291599999999999</v>
      </c>
      <c r="AB158" s="61" t="str">
        <f>VLOOKUP(A158,Enforcements!$C$7:$K$19,8,0)</f>
        <v>Speed (6)</v>
      </c>
      <c r="AC158" s="57" t="str">
        <f>VLOOKUP(A158,Enforcements!$C$7:$E$19,3,0)</f>
        <v>PERMANENT SPEED RESTRICTION</v>
      </c>
      <c r="AD158" s="58" t="str">
        <f t="shared" si="50"/>
        <v>0244-01</v>
      </c>
      <c r="AE158" s="87" t="str">
        <f t="shared" si="51"/>
        <v>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 &amp; aws s3 cp s3://rtdc.mdm.uploadarchive.raw/RTDC4021/ "%USERPROFILE%\AppData\Local\Temp\OnboardLogs"\RTDC4021\2017-01-03 --exclude "*" --recursive --include "*20170103*" &amp; "%USERPROFILE%\Documents\GitHub\mrs-test-scripts\Headless Mode &amp; Sideloading\WalkAndUnGZ.bat" "%USERPROFILE%\AppData\Local\Temp\OnboardLogs"\RTDC4021\2017-01-03</v>
      </c>
      <c r="AF158" s="84" t="str">
        <f t="shared" si="52"/>
        <v>"C:\Program Files (x86)\AstroGrep\AstroGrep.exe" /spath="%USERPROFILE%\AppData\Local\Temp\OnboardLogs" /stypes="app*4021*20170102*" /stext=" 09:.+((SYSTEM_STATE.+slice.+state.+changed )|(ment ac)|(multiple cpu faults)|(system.+state.+changed )|(\[timeout)|(PRM\|1\|D)|(kpr)|(kdp)|(\|lc)|(penalty))" /e /r /s</v>
      </c>
      <c r="AG158" s="1" t="str">
        <f t="shared" si="53"/>
        <v>EC</v>
      </c>
      <c r="AH158" s="88" t="str">
        <f t="shared" si="54"/>
        <v>"%USERPROFILE%\Documents\GitHub\eaglep3\Utilities\RefineRTDCRunTimes.py" --tripid 244-01 --locoid 4021 --swversion DE.1.0.8.0 --startMP 204:233094 --initTime 2017-01-02T01:18:39 --startdatetime 2017-01-02T01:26:53 --delay 1 --endMP 204:178 --enddatetime 2017-01-02T02:04:40 --enforcementcount 0 &gt;&gt;C:\Users\stu\Documents\GitHub\eaglep3-reporting\EC\2017-01-01-refined-times.txt</v>
      </c>
      <c r="AI158" s="115" t="str">
        <f t="shared" si="55"/>
        <v>echo {"issue":{"subject":"","project_id":79,"tracker_id":40,"status_id":1,"priority_id":2,"assigned_to_id":23,"start_date":"2017-01-02","description":"","custom_fields":[{"id":1,"name":"Subdivision","value":"EC"},{"id":4,"name":"Milepost","value":"0.0178"},{"id":17,"name":"Train ID","value":"244-01"},{"id":16,"name":"Locomotive ID","value":"4021"},{"id":130,"name":"Impact","value":""},{"id":150,"name":"Time of Event (Mountain Time)","value":"02:04:40"},{"id":151,"name":"Denver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56"/>
        <v>start /low /b %USERPROFILE%\Documents\GitHub\eaglep3\Utilities\DownloadLogsFromS3.py --loco 4021 --day 2017-01-02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502</v>
      </c>
      <c r="B159" s="7">
        <v>4043</v>
      </c>
      <c r="C159" s="22" t="s">
        <v>205</v>
      </c>
      <c r="D159" s="22" t="s">
        <v>414</v>
      </c>
      <c r="E159" s="13">
        <v>42736.23510416667</v>
      </c>
      <c r="F159" s="13">
        <v>42736.236875000002</v>
      </c>
      <c r="G159" s="7">
        <v>1</v>
      </c>
      <c r="H159" s="22" t="s">
        <v>717</v>
      </c>
      <c r="I159" s="13">
        <v>42736.246354166666</v>
      </c>
      <c r="J159" s="7">
        <v>0</v>
      </c>
      <c r="K159" s="105" t="str">
        <f t="shared" si="39"/>
        <v>4043/4044</v>
      </c>
      <c r="L159" s="22" t="str">
        <f>VLOOKUP(A159,'Trips&amp;Operators'!$C$1:$G$99999,5,FALSE)</f>
        <v>YORK EDGAR</v>
      </c>
      <c r="M159" s="6">
        <f t="shared" si="40"/>
        <v>9.4791666633682325E-3</v>
      </c>
      <c r="N159" s="7">
        <f t="shared" si="41"/>
        <v>13.649999995250255</v>
      </c>
      <c r="O159" s="7"/>
      <c r="P159" s="7"/>
      <c r="Q159" s="23"/>
      <c r="R159" s="23"/>
      <c r="S159" s="32">
        <f t="shared" si="42"/>
        <v>1</v>
      </c>
      <c r="T159" s="47" t="str">
        <f t="shared" si="43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04:38:33-700',mode:absolute,to:'2017-01-01 06:54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9" s="49" t="str">
        <f t="shared" si="45"/>
        <v>N</v>
      </c>
      <c r="X159" s="173">
        <f t="shared" si="46"/>
        <v>1556</v>
      </c>
      <c r="Y159" s="64">
        <f t="shared" si="47"/>
        <v>5.8619000000000003</v>
      </c>
      <c r="Z159" s="64">
        <f t="shared" si="48"/>
        <v>7.3800000000000004E-2</v>
      </c>
      <c r="AA159" s="64">
        <f t="shared" si="49"/>
        <v>5.7881</v>
      </c>
      <c r="AB159" s="61" t="e">
        <f>VLOOKUP(A159,Enforcements!$C$7:$K$19,8,0)</f>
        <v>#N/A</v>
      </c>
      <c r="AC159" s="57" t="e">
        <f>VLOOKUP(A159,Enforcements!$C$7:$E$19,3,0)</f>
        <v>#N/A</v>
      </c>
      <c r="AD159" s="58" t="str">
        <f t="shared" si="50"/>
        <v>1800-01</v>
      </c>
      <c r="AE159" s="87" t="str">
        <f t="shared" si="51"/>
        <v>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 &amp; 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</v>
      </c>
      <c r="AF159" s="84" t="str">
        <f t="shared" si="52"/>
        <v>"C:\Program Files (x86)\AstroGrep\AstroGrep.exe" /spath="%USERPROFILE%\AppData\Local\Temp\OnboardLogs" /stypes="app*4043*20170101*" /stext=" 12:.+((SYSTEM_STATE.+slice.+state.+changed )|(ment ac)|(multiple cpu faults)|(system.+state.+changed )|(\[timeout)|(PRM\|1\|D)|(kpr)|(kdp)|(\|lc)|(penalty))" /e /r /s</v>
      </c>
      <c r="AG159" s="1" t="str">
        <f t="shared" si="53"/>
        <v>NW</v>
      </c>
      <c r="AH159" s="88" t="str">
        <f t="shared" si="54"/>
        <v>"%USERPROFILE%\Documents\GitHub\eaglep3\Utilities\RefineRTDCRunTimes.py" --tripid 1800-01 --locoid 4043 --swversion DE.1.0.8.0 --startMP 300:58619 --initTime 2017-01-01T05:38:33 --startdatetime 2017-01-01T05:41:06 --delay 1 --endMP 204:738 --enddatetime 2017-01-01T05:54:45 --enforcementcount 0 &gt;&gt;C:\Users\stu\Documents\GitHub\eaglep3-reporting\EC\2017-01-01-refined-times.txt</v>
      </c>
      <c r="AI159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{"issue":{"subject":"","project_id":79,"tracker_id":40,"status_id":1,"priority_id":2,"assigned_to_id":23,"start_date":"2017-01-01","description":"","custom_fields":[{"id":1,"name":"Subdivision","value":"NW"},{"id":4,"name":"Milepost","value":"0.0738"},{"id":17,"name":"Train ID","value":"1800-01"},{"id":16,"name":"Locomotive ID","value":"4043"},{"id":130,"name":"Impact","value":""},{"id":150,"name":"Time of Event (Mountain Time)","value":"05:54:45"},{"id":151,"name":"Denver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56"/>
        <v>start /low /b %USERPROFILE%\Documents\GitHub\eaglep3\Utilities\DownloadLogsFromS3.py --loco 4043 --day 2017-01-01</v>
      </c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504</v>
      </c>
      <c r="B160" s="7">
        <v>4044</v>
      </c>
      <c r="C160" s="22" t="s">
        <v>205</v>
      </c>
      <c r="D160" s="22" t="s">
        <v>718</v>
      </c>
      <c r="E160" s="13">
        <v>42736.248159722221</v>
      </c>
      <c r="F160" s="13">
        <v>42736.264953703707</v>
      </c>
      <c r="G160" s="7">
        <v>1</v>
      </c>
      <c r="H160" s="22" t="s">
        <v>418</v>
      </c>
      <c r="I160" s="13">
        <v>42736.27443287037</v>
      </c>
      <c r="J160" s="7">
        <v>0</v>
      </c>
      <c r="K160" s="105" t="str">
        <f t="shared" si="39"/>
        <v>4043/4044</v>
      </c>
      <c r="L160" s="22" t="str">
        <f>VLOOKUP(A160,'Trips&amp;Operators'!$C$1:$G$99999,5,FALSE)</f>
        <v>YORK EDGAR</v>
      </c>
      <c r="M160" s="6">
        <f t="shared" si="40"/>
        <v>9.4791666633682325E-3</v>
      </c>
      <c r="N160" s="7">
        <f t="shared" si="41"/>
        <v>13.649999995250255</v>
      </c>
      <c r="O160" s="7"/>
      <c r="P160" s="7"/>
      <c r="Q160" s="23"/>
      <c r="R160" s="23"/>
      <c r="S160" s="32">
        <f t="shared" si="42"/>
        <v>1</v>
      </c>
      <c r="T160" s="47" t="str">
        <f t="shared" si="43"/>
        <v>NorthBound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04:57:21-700',mode:absolute,to:'2017-01-01 07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0" s="49" t="str">
        <f t="shared" si="45"/>
        <v>N</v>
      </c>
      <c r="X160" s="173">
        <f t="shared" si="46"/>
        <v>1</v>
      </c>
      <c r="Y160" s="64">
        <f t="shared" si="47"/>
        <v>0.1032</v>
      </c>
      <c r="Z160" s="64">
        <f t="shared" si="48"/>
        <v>5.8933</v>
      </c>
      <c r="AA160" s="64">
        <f t="shared" si="49"/>
        <v>5.7900999999999998</v>
      </c>
      <c r="AB160" s="61" t="e">
        <f>VLOOKUP(A160,Enforcements!$C$7:$K$19,8,0)</f>
        <v>#N/A</v>
      </c>
      <c r="AC160" s="57" t="e">
        <f>VLOOKUP(A160,Enforcements!$C$7:$E$19,3,0)</f>
        <v>#N/A</v>
      </c>
      <c r="AD160" s="58" t="str">
        <f t="shared" si="50"/>
        <v>1801-01</v>
      </c>
      <c r="AE160" s="87" t="str">
        <f t="shared" si="51"/>
        <v>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 &amp; aws s3 cp s3://rtdc.mdm.uploadarchive.raw/RTDC4044/ "%USERPROFILE%\AppData\Local\Temp\OnboardLogs"\RTDC4044\2017-01-02 --exclude "*" --recursive --include "*20170102*" &amp; "%USERPROFILE%\Documents\GitHub\mrs-test-scripts\Headless Mode &amp; Sideloading\WalkAndUnGZ.bat" "%USERPROFILE%\AppData\Local\Temp\OnboardLogs"\RTDC4044\2017-01-02</v>
      </c>
      <c r="AF160" s="84" t="str">
        <f t="shared" si="52"/>
        <v>"C:\Program Files (x86)\AstroGrep\AstroGrep.exe" /spath="%USERPROFILE%\AppData\Local\Temp\OnboardLogs" /stypes="app*4044*20170101*" /stext=" 13:.+((SYSTEM_STATE.+slice.+state.+changed )|(ment ac)|(multiple cpu faults)|(system.+state.+changed )|(\[timeout)|(PRM\|1\|D)|(kpr)|(kdp)|(\|lc)|(penalty))" /e /r /s</v>
      </c>
      <c r="AG160" s="1" t="str">
        <f t="shared" si="53"/>
        <v>NW</v>
      </c>
      <c r="AH160" s="88" t="str">
        <f t="shared" si="54"/>
        <v>"%USERPROFILE%\Documents\GitHub\eaglep3\Utilities\RefineRTDCRunTimes.py" --tripid 1801-01 --locoid 4044 --swversion DE.1.0.8.0 --startMP 204:1032 --initTime 2017-01-01T05:57:21 --startdatetime 2017-01-01T06:21:32 --delay 1 --endMP 300:58933 --enddatetime 2017-01-01T06:35:11 --enforcementcount 0 &gt;&gt;C:\Users\stu\Documents\GitHub\eaglep3-reporting\EC\2017-01-01-refined-times.txt</v>
      </c>
      <c r="AI160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{"issue":{"subject":"","project_id":79,"tracker_id":40,"status_id":1,"priority_id":2,"assigned_to_id":23,"start_date":"2017-01-01","description":"","custom_fields":[{"id":1,"name":"Subdivision","value":"NW"},{"id":4,"name":"Milepost","value":"5.8933"},{"id":17,"name":"Train ID","value":"1801-01"},{"id":16,"name":"Locomotive ID","value":"4044"},{"id":130,"name":"Impact","value":""},{"id":150,"name":"Time of Event (Mountain Time)","value":"06:35:11"},{"id":151,"name":"Denver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56"/>
        <v>start /low /b %USERPROFILE%\Documents\GitHub\eaglep3\Utilities\DownloadLogsFromS3.py --loco 4044 --day 2017-01-01</v>
      </c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510</v>
      </c>
      <c r="B161" s="7">
        <v>4043</v>
      </c>
      <c r="C161" s="22" t="s">
        <v>205</v>
      </c>
      <c r="D161" s="22" t="s">
        <v>415</v>
      </c>
      <c r="E161" s="13">
        <v>42736.275335648148</v>
      </c>
      <c r="F161" s="13">
        <v>42736.278611111113</v>
      </c>
      <c r="G161" s="7">
        <v>1</v>
      </c>
      <c r="H161" s="22" t="s">
        <v>719</v>
      </c>
      <c r="I161" s="13">
        <v>42736.287986111114</v>
      </c>
      <c r="J161" s="7">
        <v>0</v>
      </c>
      <c r="K161" s="105" t="str">
        <f t="shared" si="39"/>
        <v>4043/4044</v>
      </c>
      <c r="L161" s="22" t="str">
        <f>VLOOKUP(A161,'Trips&amp;Operators'!$C$1:$G$99999,5,FALSE)</f>
        <v>YORK EDGAR</v>
      </c>
      <c r="M161" s="6">
        <f t="shared" si="40"/>
        <v>9.3750000014551915E-3</v>
      </c>
      <c r="N161" s="7">
        <f t="shared" si="41"/>
        <v>13.500000002095476</v>
      </c>
      <c r="O161" s="7"/>
      <c r="P161" s="7"/>
      <c r="Q161" s="23"/>
      <c r="R161" s="23"/>
      <c r="S161" s="32">
        <f t="shared" si="42"/>
        <v>1</v>
      </c>
      <c r="T161" s="47" t="str">
        <f t="shared" si="43"/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05:36:29-700',mode:absolute,to:'2017-01-01 07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1" s="49" t="str">
        <f t="shared" si="45"/>
        <v>N</v>
      </c>
      <c r="X161" s="173">
        <f t="shared" si="46"/>
        <v>1</v>
      </c>
      <c r="Y161" s="64">
        <f t="shared" si="47"/>
        <v>5.8611000000000004</v>
      </c>
      <c r="Z161" s="64">
        <f t="shared" si="48"/>
        <v>7.6600000000000001E-2</v>
      </c>
      <c r="AA161" s="64">
        <f t="shared" si="49"/>
        <v>5.7845000000000004</v>
      </c>
      <c r="AB161" s="61" t="e">
        <f>VLOOKUP(A161,Enforcements!$C$7:$K$19,8,0)</f>
        <v>#N/A</v>
      </c>
      <c r="AC161" s="57" t="e">
        <f>VLOOKUP(A161,Enforcements!$C$7:$E$19,3,0)</f>
        <v>#N/A</v>
      </c>
      <c r="AD161" s="58" t="str">
        <f t="shared" si="50"/>
        <v>1802-01</v>
      </c>
      <c r="AE161" s="87" t="str">
        <f t="shared" si="51"/>
        <v>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 &amp; 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</v>
      </c>
      <c r="AF161" s="84" t="str">
        <f t="shared" si="52"/>
        <v>"C:\Program Files (x86)\AstroGrep\AstroGrep.exe" /spath="%USERPROFILE%\AppData\Local\Temp\OnboardLogs" /stypes="app*4043*20170101*" /stext=" 13:.+((SYSTEM_STATE.+slice.+state.+changed )|(ment ac)|(multiple cpu faults)|(system.+state.+changed )|(\[timeout)|(PRM\|1\|D)|(kpr)|(kdp)|(\|lc)|(penalty))" /e /r /s</v>
      </c>
      <c r="AG161" s="1" t="str">
        <f t="shared" si="53"/>
        <v>NW</v>
      </c>
      <c r="AH161" s="88" t="str">
        <f t="shared" si="54"/>
        <v>"%USERPROFILE%\Documents\GitHub\eaglep3\Utilities\RefineRTDCRunTimes.py" --tripid 1802-01 --locoid 4043 --swversion DE.1.0.8.0 --startMP 300:58611 --initTime 2017-01-01T06:36:29 --startdatetime 2017-01-01T06:41:12 --delay 1 --endMP 204:766 --enddatetime 2017-01-01T06:54:42 --enforcementcount 0 &gt;&gt;C:\Users\stu\Documents\GitHub\eaglep3-reporting\EC\2017-01-01-refined-times.txt</v>
      </c>
      <c r="AI161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{"issue":{"subject":"","project_id":79,"tracker_id":40,"status_id":1,"priority_id":2,"assigned_to_id":23,"start_date":"2017-01-01","description":"","custom_fields":[{"id":1,"name":"Subdivision","value":"NW"},{"id":4,"name":"Milepost","value":"0.0766"},{"id":17,"name":"Train ID","value":"1802-01"},{"id":16,"name":"Locomotive ID","value":"4043"},{"id":130,"name":"Impact","value":""},{"id":150,"name":"Time of Event (Mountain Time)","value":"06:54:42"},{"id":151,"name":"Denver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56"/>
        <v>start /low /b %USERPROFILE%\Documents\GitHub\eaglep3\Utilities\DownloadLogsFromS3.py --loco 4043 --day 2017-01-01</v>
      </c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513</v>
      </c>
      <c r="B162" s="7">
        <v>4044</v>
      </c>
      <c r="C162" s="22" t="s">
        <v>205</v>
      </c>
      <c r="D162" s="22" t="s">
        <v>720</v>
      </c>
      <c r="E162" s="13">
        <v>42736.2890625</v>
      </c>
      <c r="F162" s="13">
        <v>42736.306666666664</v>
      </c>
      <c r="G162" s="7">
        <v>1</v>
      </c>
      <c r="H162" s="22" t="s">
        <v>343</v>
      </c>
      <c r="I162" s="13">
        <v>42736.316192129627</v>
      </c>
      <c r="J162" s="7">
        <v>0</v>
      </c>
      <c r="K162" s="105" t="str">
        <f t="shared" si="39"/>
        <v>4043/4044</v>
      </c>
      <c r="L162" s="22" t="str">
        <f>VLOOKUP(A162,'Trips&amp;Operators'!$C$1:$G$99999,5,FALSE)</f>
        <v>YORK EDGAR</v>
      </c>
      <c r="M162" s="6">
        <f t="shared" si="40"/>
        <v>9.5254629632108845E-3</v>
      </c>
      <c r="N162" s="7">
        <f t="shared" si="41"/>
        <v>13.716666667023674</v>
      </c>
      <c r="O162" s="7"/>
      <c r="P162" s="7"/>
      <c r="Q162" s="23"/>
      <c r="R162" s="23"/>
      <c r="S162" s="32">
        <f t="shared" si="42"/>
        <v>1</v>
      </c>
      <c r="T162" s="47" t="str">
        <f t="shared" si="43"/>
        <v>NorthBound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05:56:15-700',mode:absolute,to:'2017-01-01 08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2" s="49" t="str">
        <f t="shared" si="45"/>
        <v>N</v>
      </c>
      <c r="X162" s="173">
        <f t="shared" si="46"/>
        <v>1</v>
      </c>
      <c r="Y162" s="64">
        <f t="shared" si="47"/>
        <v>0.1056</v>
      </c>
      <c r="Z162" s="64">
        <f t="shared" si="48"/>
        <v>5.8929</v>
      </c>
      <c r="AA162" s="64">
        <f t="shared" si="49"/>
        <v>5.7873000000000001</v>
      </c>
      <c r="AB162" s="61" t="e">
        <f>VLOOKUP(A162,Enforcements!$C$7:$K$19,8,0)</f>
        <v>#N/A</v>
      </c>
      <c r="AC162" s="57" t="e">
        <f>VLOOKUP(A162,Enforcements!$C$7:$E$19,3,0)</f>
        <v>#N/A</v>
      </c>
      <c r="AD162" s="58" t="str">
        <f t="shared" si="50"/>
        <v>1803-01</v>
      </c>
      <c r="AE162" s="87" t="str">
        <f t="shared" si="51"/>
        <v>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 &amp; aws s3 cp s3://rtdc.mdm.uploadarchive.raw/RTDC4044/ "%USERPROFILE%\AppData\Local\Temp\OnboardLogs"\RTDC4044\2017-01-02 --exclude "*" --recursive --include "*20170102*" &amp; "%USERPROFILE%\Documents\GitHub\mrs-test-scripts\Headless Mode &amp; Sideloading\WalkAndUnGZ.bat" "%USERPROFILE%\AppData\Local\Temp\OnboardLogs"\RTDC4044\2017-01-02</v>
      </c>
      <c r="AF162" s="84" t="str">
        <f t="shared" si="52"/>
        <v>"C:\Program Files (x86)\AstroGrep\AstroGrep.exe" /spath="%USERPROFILE%\AppData\Local\Temp\OnboardLogs" /stypes="app*4044*20170101*" /stext=" 14:.+((SYSTEM_STATE.+slice.+state.+changed )|(ment ac)|(multiple cpu faults)|(system.+state.+changed )|(\[timeout)|(PRM\|1\|D)|(kpr)|(kdp)|(\|lc)|(penalty))" /e /r /s</v>
      </c>
      <c r="AG162" s="1" t="str">
        <f t="shared" si="53"/>
        <v>NW</v>
      </c>
      <c r="AH162" s="88" t="str">
        <f t="shared" si="54"/>
        <v>"%USERPROFILE%\Documents\GitHub\eaglep3\Utilities\RefineRTDCRunTimes.py" --tripid 1803-01 --locoid 4044 --swversion DE.1.0.8.0 --startMP 204:1056 --initTime 2017-01-01T06:56:15 --startdatetime 2017-01-01T07:21:36 --delay 1 --endMP 300:58929 --enddatetime 2017-01-01T07:35:19 --enforcementcount 0 &gt;&gt;C:\Users\stu\Documents\GitHub\eaglep3-reporting\EC\2017-01-01-refined-times.txt</v>
      </c>
      <c r="AI162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{"issue":{"subject":"","project_id":79,"tracker_id":40,"status_id":1,"priority_id":2,"assigned_to_id":23,"start_date":"2017-01-01","description":"","custom_fields":[{"id":1,"name":"Subdivision","value":"NW"},{"id":4,"name":"Milepost","value":"5.8929"},{"id":17,"name":"Train ID","value":"1803-01"},{"id":16,"name":"Locomotive ID","value":"4044"},{"id":130,"name":"Impact","value":""},{"id":150,"name":"Time of Event (Mountain Time)","value":"07:35:19"},{"id":151,"name":"Denver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56"/>
        <v>start /low /b %USERPROFILE%\Documents\GitHub\eaglep3\Utilities\DownloadLogsFromS3.py --loco 4044 --day 2017-01-01</v>
      </c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519</v>
      </c>
      <c r="B163" s="7">
        <v>4043</v>
      </c>
      <c r="C163" s="22" t="s">
        <v>205</v>
      </c>
      <c r="D163" s="22" t="s">
        <v>721</v>
      </c>
      <c r="E163" s="13">
        <v>42736.318148148152</v>
      </c>
      <c r="F163" s="13">
        <v>42736.321377314816</v>
      </c>
      <c r="G163" s="7">
        <v>2</v>
      </c>
      <c r="H163" s="22" t="s">
        <v>722</v>
      </c>
      <c r="I163" s="13">
        <v>42736.330324074072</v>
      </c>
      <c r="J163" s="7">
        <v>0</v>
      </c>
      <c r="K163" s="105" t="str">
        <f t="shared" si="39"/>
        <v>4043/4044</v>
      </c>
      <c r="L163" s="22" t="str">
        <f>VLOOKUP(A163,'Trips&amp;Operators'!$C$1:$G$99999,5,FALSE)</f>
        <v>YORK EDGAR</v>
      </c>
      <c r="M163" s="6">
        <f t="shared" si="40"/>
        <v>8.9467592551955022E-3</v>
      </c>
      <c r="N163" s="7">
        <f t="shared" si="41"/>
        <v>12.883333327481523</v>
      </c>
      <c r="O163" s="7"/>
      <c r="P163" s="7"/>
      <c r="Q163" s="23"/>
      <c r="R163" s="23"/>
      <c r="S163" s="32">
        <f t="shared" si="42"/>
        <v>1</v>
      </c>
      <c r="T163" s="47" t="str">
        <f t="shared" si="43"/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06:38:08-700',mode:absolute,to:'2017-01-01 08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3" s="49" t="str">
        <f t="shared" si="45"/>
        <v>N</v>
      </c>
      <c r="X163" s="173">
        <f t="shared" si="46"/>
        <v>1</v>
      </c>
      <c r="Y163" s="64">
        <f t="shared" si="47"/>
        <v>5.8616999999999999</v>
      </c>
      <c r="Z163" s="64">
        <f t="shared" si="48"/>
        <v>7.6399999999999996E-2</v>
      </c>
      <c r="AA163" s="64">
        <f t="shared" si="49"/>
        <v>5.7853000000000003</v>
      </c>
      <c r="AB163" s="61" t="e">
        <f>VLOOKUP(A163,Enforcements!$C$7:$K$19,8,0)</f>
        <v>#N/A</v>
      </c>
      <c r="AC163" s="57" t="e">
        <f>VLOOKUP(A163,Enforcements!$C$7:$E$19,3,0)</f>
        <v>#N/A</v>
      </c>
      <c r="AD163" s="58" t="str">
        <f t="shared" si="50"/>
        <v>1804-01</v>
      </c>
      <c r="AE163" s="87" t="str">
        <f t="shared" si="51"/>
        <v>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 &amp; 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</v>
      </c>
      <c r="AF163" s="84" t="str">
        <f t="shared" si="52"/>
        <v>"C:\Program Files (x86)\AstroGrep\AstroGrep.exe" /spath="%USERPROFILE%\AppData\Local\Temp\OnboardLogs" /stypes="app*4043*20170101*" /stext=" 14:.+((SYSTEM_STATE.+slice.+state.+changed )|(ment ac)|(multiple cpu faults)|(system.+state.+changed )|(\[timeout)|(PRM\|1\|D)|(kpr)|(kdp)|(\|lc)|(penalty))" /e /r /s</v>
      </c>
      <c r="AG163" s="1" t="str">
        <f t="shared" si="53"/>
        <v>NW</v>
      </c>
      <c r="AH163" s="88" t="str">
        <f t="shared" si="54"/>
        <v>"%USERPROFILE%\Documents\GitHub\eaglep3\Utilities\RefineRTDCRunTimes.py" --tripid 1804-01 --locoid 4043 --swversion DE.1.0.8.0 --startMP 300:58617 --initTime 2017-01-01T07:38:08 --startdatetime 2017-01-01T07:42:47 --delay 2 --endMP 204:764 --enddatetime 2017-01-01T07:55:40 --enforcementcount 0 &gt;&gt;C:\Users\stu\Documents\GitHub\eaglep3-reporting\EC\2017-01-01-refined-times.txt</v>
      </c>
      <c r="AI163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{"issue":{"subject":"","project_id":79,"tracker_id":40,"status_id":1,"priority_id":2,"assigned_to_id":23,"start_date":"2017-01-01","description":"","custom_fields":[{"id":1,"name":"Subdivision","value":"NW"},{"id":4,"name":"Milepost","value":"0.0764"},{"id":17,"name":"Train ID","value":"1804-01"},{"id":16,"name":"Locomotive ID","value":"4043"},{"id":130,"name":"Impact","value":""},{"id":150,"name":"Time of Event (Mountain Time)","value":"07:55:40"},{"id":151,"name":"Denver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56"/>
        <v>start /low /b %USERPROFILE%\Documents\GitHub\eaglep3\Utilities\DownloadLogsFromS3.py --loco 4043 --day 2017-01-01</v>
      </c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4" t="s">
        <v>524</v>
      </c>
      <c r="B164" s="7">
        <v>4044</v>
      </c>
      <c r="C164" s="22" t="s">
        <v>205</v>
      </c>
      <c r="D164" s="22" t="s">
        <v>723</v>
      </c>
      <c r="E164" s="13">
        <v>42736.332037037035</v>
      </c>
      <c r="F164" s="13">
        <v>42736.348136574074</v>
      </c>
      <c r="G164" s="7">
        <v>0</v>
      </c>
      <c r="H164" s="22" t="s">
        <v>424</v>
      </c>
      <c r="I164" s="13">
        <v>42736.358437499999</v>
      </c>
      <c r="J164" s="7">
        <v>0</v>
      </c>
      <c r="K164" s="105" t="str">
        <f t="shared" si="39"/>
        <v>4043/4044</v>
      </c>
      <c r="L164" s="22" t="str">
        <f>VLOOKUP(A164,'Trips&amp;Operators'!$C$1:$G$99999,5,FALSE)</f>
        <v>YORK EDGAR</v>
      </c>
      <c r="M164" s="6">
        <f t="shared" si="40"/>
        <v>1.0300925925548654E-2</v>
      </c>
      <c r="N164" s="7">
        <f t="shared" si="41"/>
        <v>14.833333332790062</v>
      </c>
      <c r="O164" s="7"/>
      <c r="P164" s="7"/>
      <c r="Q164" s="23"/>
      <c r="R164" s="23"/>
      <c r="S164" s="32">
        <f t="shared" si="42"/>
        <v>1</v>
      </c>
      <c r="T164" s="47" t="str">
        <f t="shared" si="43"/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06:58:08-700',mode:absolute,to:'2017-01-01 09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4" s="49" t="str">
        <f t="shared" si="45"/>
        <v>N</v>
      </c>
      <c r="X164" s="173">
        <f t="shared" si="46"/>
        <v>1</v>
      </c>
      <c r="Y164" s="64">
        <f t="shared" si="47"/>
        <v>0.1046</v>
      </c>
      <c r="Z164" s="64">
        <f t="shared" si="48"/>
        <v>5.8925999999999998</v>
      </c>
      <c r="AA164" s="64">
        <f t="shared" si="49"/>
        <v>5.7880000000000003</v>
      </c>
      <c r="AB164" s="61" t="e">
        <f>VLOOKUP(A164,Enforcements!$C$7:$K$19,8,0)</f>
        <v>#N/A</v>
      </c>
      <c r="AC164" s="57" t="e">
        <f>VLOOKUP(A164,Enforcements!$C$7:$E$19,3,0)</f>
        <v>#N/A</v>
      </c>
      <c r="AD164" s="58" t="str">
        <f t="shared" si="50"/>
        <v>1805-01</v>
      </c>
      <c r="AE164" s="87" t="str">
        <f t="shared" si="51"/>
        <v>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 &amp; aws s3 cp s3://rtdc.mdm.uploadarchive.raw/RTDC4044/ "%USERPROFILE%\AppData\Local\Temp\OnboardLogs"\RTDC4044\2017-01-02 --exclude "*" --recursive --include "*20170102*" &amp; "%USERPROFILE%\Documents\GitHub\mrs-test-scripts\Headless Mode &amp; Sideloading\WalkAndUnGZ.bat" "%USERPROFILE%\AppData\Local\Temp\OnboardLogs"\RTDC4044\2017-01-02</v>
      </c>
      <c r="AF164" s="84" t="str">
        <f t="shared" si="52"/>
        <v>"C:\Program Files (x86)\AstroGrep\AstroGrep.exe" /spath="%USERPROFILE%\AppData\Local\Temp\OnboardLogs" /stypes="app*4044*20170101*" /stext=" 15:.+((SYSTEM_STATE.+slice.+state.+changed )|(ment ac)|(multiple cpu faults)|(system.+state.+changed )|(\[timeout)|(PRM\|1\|D)|(kpr)|(kdp)|(\|lc)|(penalty))" /e /r /s</v>
      </c>
      <c r="AG164" s="1" t="str">
        <f t="shared" si="53"/>
        <v>NW</v>
      </c>
      <c r="AH164" s="88" t="str">
        <f t="shared" si="54"/>
        <v>"%USERPROFILE%\Documents\GitHub\eaglep3\Utilities\RefineRTDCRunTimes.py" --tripid 1805-01 --locoid 4044 --swversion DE.1.0.8.0 --startMP 204:1046 --initTime 2017-01-01T07:58:08 --startdatetime 2017-01-01T08:21:19 --delay 0 --endMP 300:58926 --enddatetime 2017-01-01T08:36:09 --enforcementcount 0 &gt;&gt;C:\Users\stu\Documents\GitHub\eaglep3-reporting\EC\2017-01-01-refined-times.txt</v>
      </c>
      <c r="AI164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{"issue":{"subject":"","project_id":79,"tracker_id":40,"status_id":1,"priority_id":2,"assigned_to_id":23,"start_date":"2017-01-01","description":"","custom_fields":[{"id":1,"name":"Subdivision","value":"NW"},{"id":4,"name":"Milepost","value":"5.8926"},{"id":17,"name":"Train ID","value":"1805-01"},{"id":16,"name":"Locomotive ID","value":"4044"},{"id":130,"name":"Impact","value":""},{"id":150,"name":"Time of Event (Mountain Time)","value":"08:36:09"},{"id":151,"name":"Denver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56"/>
        <v>start /low /b %USERPROFILE%\Documents\GitHub\eaglep3\Utilities\DownloadLogsFromS3.py --loco 4044 --day 2017-01-01</v>
      </c>
    </row>
    <row r="165" spans="1:91" x14ac:dyDescent="0.25">
      <c r="A165" s="34" t="s">
        <v>438</v>
      </c>
      <c r="B165" s="7">
        <v>4043</v>
      </c>
      <c r="C165" s="22" t="s">
        <v>205</v>
      </c>
      <c r="D165" s="22" t="s">
        <v>724</v>
      </c>
      <c r="E165" s="13">
        <v>42736.359513888892</v>
      </c>
      <c r="F165" s="13">
        <v>42736.360914351855</v>
      </c>
      <c r="G165" s="7">
        <v>1</v>
      </c>
      <c r="H165" s="22" t="s">
        <v>725</v>
      </c>
      <c r="I165" s="13">
        <v>42736.371724537035</v>
      </c>
      <c r="J165" s="7">
        <v>0</v>
      </c>
      <c r="K165" s="105" t="str">
        <f t="shared" si="39"/>
        <v>4043/4044</v>
      </c>
      <c r="L165" s="22" t="str">
        <f>VLOOKUP(A165,'Trips&amp;Operators'!$C$1:$G$99999,5,FALSE)</f>
        <v>YORK EDGAR</v>
      </c>
      <c r="M165" s="6">
        <f t="shared" si="40"/>
        <v>1.081018518016208E-2</v>
      </c>
      <c r="N165" s="7">
        <f t="shared" si="41"/>
        <v>15.566666659433395</v>
      </c>
      <c r="O165" s="7"/>
      <c r="P165" s="7"/>
      <c r="Q165" s="23"/>
      <c r="R165" s="23"/>
      <c r="S165" s="32">
        <f t="shared" si="42"/>
        <v>1</v>
      </c>
      <c r="T165" s="47" t="str">
        <f t="shared" si="43"/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07:37:42-700',mode:absolute,to:'2017-01-01 09:55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5" s="49" t="str">
        <f t="shared" si="45"/>
        <v>N</v>
      </c>
      <c r="X165" s="173">
        <f t="shared" si="46"/>
        <v>1</v>
      </c>
      <c r="Y165" s="64">
        <f t="shared" si="47"/>
        <v>5.8608000000000002</v>
      </c>
      <c r="Z165" s="64">
        <f t="shared" si="48"/>
        <v>7.4499999999999997E-2</v>
      </c>
      <c r="AA165" s="64">
        <f t="shared" si="49"/>
        <v>5.7863000000000007</v>
      </c>
      <c r="AB165" s="61" t="e">
        <f>VLOOKUP(A165,Enforcements!$C$7:$K$19,8,0)</f>
        <v>#N/A</v>
      </c>
      <c r="AC165" s="57" t="e">
        <f>VLOOKUP(A165,Enforcements!$C$7:$E$19,3,0)</f>
        <v>#N/A</v>
      </c>
      <c r="AD165" s="58" t="str">
        <f t="shared" si="50"/>
        <v>1806-01</v>
      </c>
      <c r="AE165" s="87" t="str">
        <f t="shared" si="51"/>
        <v>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 &amp; 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</v>
      </c>
      <c r="AF165" s="84" t="str">
        <f t="shared" si="52"/>
        <v>"C:\Program Files (x86)\AstroGrep\AstroGrep.exe" /spath="%USERPROFILE%\AppData\Local\Temp\OnboardLogs" /stypes="app*4043*20170101*" /stext=" 15:.+((SYSTEM_STATE.+slice.+state.+changed )|(ment ac)|(multiple cpu faults)|(system.+state.+changed )|(\[timeout)|(PRM\|1\|D)|(kpr)|(kdp)|(\|lc)|(penalty))" /e /r /s</v>
      </c>
      <c r="AG165" s="1" t="str">
        <f t="shared" si="53"/>
        <v>NW</v>
      </c>
      <c r="AH165" s="88" t="str">
        <f t="shared" si="54"/>
        <v>"%USERPROFILE%\Documents\GitHub\eaglep3\Utilities\RefineRTDCRunTimes.py" --tripid 1806-01 --locoid 4043 --swversion DE.1.0.8.0 --startMP 300:58608 --initTime 2017-01-01T08:37:42 --startdatetime 2017-01-01T08:39:43 --delay 1 --endMP 204:745 --enddatetime 2017-01-01T08:55:17 --enforcementcount 0 &gt;&gt;C:\Users\stu\Documents\GitHub\eaglep3-reporting\EC\2017-01-01-refined-times.txt</v>
      </c>
      <c r="AI165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{"issue":{"subject":"","project_id":79,"tracker_id":40,"status_id":1,"priority_id":2,"assigned_to_id":23,"start_date":"2017-01-01","description":"","custom_fields":[{"id":1,"name":"Subdivision","value":"NW"},{"id":4,"name":"Milepost","value":"0.0745"},{"id":17,"name":"Train ID","value":"1806-01"},{"id":16,"name":"Locomotive ID","value":"4043"},{"id":130,"name":"Impact","value":""},{"id":150,"name":"Time of Event (Mountain Time)","value":"08:55:17"},{"id":151,"name":"Denver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56"/>
        <v>start /low /b %USERPROFILE%\Documents\GitHub\eaglep3\Utilities\DownloadLogsFromS3.py --loco 4043 --day 2017-01-01</v>
      </c>
    </row>
    <row r="166" spans="1:91" x14ac:dyDescent="0.25">
      <c r="A166" s="34" t="s">
        <v>530</v>
      </c>
      <c r="B166" s="7">
        <v>4044</v>
      </c>
      <c r="C166" s="22" t="s">
        <v>205</v>
      </c>
      <c r="D166" s="22" t="s">
        <v>416</v>
      </c>
      <c r="E166" s="13">
        <v>42736.372743055559</v>
      </c>
      <c r="F166" s="13">
        <v>42736.389907407407</v>
      </c>
      <c r="G166" s="7">
        <v>0</v>
      </c>
      <c r="H166" s="22" t="s">
        <v>343</v>
      </c>
      <c r="I166" s="13">
        <v>42736.399675925924</v>
      </c>
      <c r="J166" s="7">
        <v>0</v>
      </c>
      <c r="K166" s="105" t="str">
        <f t="shared" si="39"/>
        <v>4043/4044</v>
      </c>
      <c r="L166" s="22" t="str">
        <f>VLOOKUP(A166,'Trips&amp;Operators'!$C$1:$G$99999,5,FALSE)</f>
        <v>YORK EDGAR</v>
      </c>
      <c r="M166" s="6">
        <f t="shared" si="40"/>
        <v>9.7685185173759237E-3</v>
      </c>
      <c r="N166" s="7">
        <f t="shared" si="41"/>
        <v>14.06666666502133</v>
      </c>
      <c r="O166" s="7"/>
      <c r="P166" s="7"/>
      <c r="Q166" s="23"/>
      <c r="R166" s="23"/>
      <c r="S166" s="32">
        <f t="shared" si="42"/>
        <v>1</v>
      </c>
      <c r="T166" s="47" t="str">
        <f t="shared" si="43"/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07:56:45-700',mode:absolute,to:'2017-01-01 10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6" s="49" t="str">
        <f t="shared" si="45"/>
        <v>N</v>
      </c>
      <c r="X166" s="173">
        <f t="shared" si="46"/>
        <v>1</v>
      </c>
      <c r="Y166" s="64">
        <f t="shared" si="47"/>
        <v>0.1037</v>
      </c>
      <c r="Z166" s="64">
        <f t="shared" si="48"/>
        <v>5.8929</v>
      </c>
      <c r="AA166" s="64">
        <f t="shared" si="49"/>
        <v>5.7892000000000001</v>
      </c>
      <c r="AB166" s="61" t="e">
        <f>VLOOKUP(A166,Enforcements!$C$7:$K$19,8,0)</f>
        <v>#N/A</v>
      </c>
      <c r="AC166" s="57" t="e">
        <f>VLOOKUP(A166,Enforcements!$C$7:$E$19,3,0)</f>
        <v>#N/A</v>
      </c>
      <c r="AD166" s="58" t="str">
        <f t="shared" si="50"/>
        <v>1807-01</v>
      </c>
      <c r="AE166" s="87" t="str">
        <f t="shared" si="51"/>
        <v>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 &amp; aws s3 cp s3://rtdc.mdm.uploadarchive.raw/RTDC4044/ "%USERPROFILE%\AppData\Local\Temp\OnboardLogs"\RTDC4044\2017-01-02 --exclude "*" --recursive --include "*20170102*" &amp; "%USERPROFILE%\Documents\GitHub\mrs-test-scripts\Headless Mode &amp; Sideloading\WalkAndUnGZ.bat" "%USERPROFILE%\AppData\Local\Temp\OnboardLogs"\RTDC4044\2017-01-02</v>
      </c>
      <c r="AF166" s="84" t="str">
        <f t="shared" si="52"/>
        <v>"C:\Program Files (x86)\AstroGrep\AstroGrep.exe" /spath="%USERPROFILE%\AppData\Local\Temp\OnboardLogs" /stypes="app*4044*20170101*" /stext=" 16:.+((SYSTEM_STATE.+slice.+state.+changed )|(ment ac)|(multiple cpu faults)|(system.+state.+changed )|(\[timeout)|(PRM\|1\|D)|(kpr)|(kdp)|(\|lc)|(penalty))" /e /r /s</v>
      </c>
      <c r="AG166" s="1" t="str">
        <f t="shared" si="53"/>
        <v>NW</v>
      </c>
      <c r="AH166" s="88" t="str">
        <f t="shared" si="54"/>
        <v>"%USERPROFILE%\Documents\GitHub\eaglep3\Utilities\RefineRTDCRunTimes.py" --tripid 1807-01 --locoid 4044 --swversion DE.1.0.8.0 --startMP 204:1037 --initTime 2017-01-01T08:56:45 --startdatetime 2017-01-01T09:21:28 --delay 0 --endMP 300:58929 --enddatetime 2017-01-01T09:35:32 --enforcementcount 0 &gt;&gt;C:\Users\stu\Documents\GitHub\eaglep3-reporting\EC\2017-01-01-refined-times.txt</v>
      </c>
      <c r="AI166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{"issue":{"subject":"","project_id":79,"tracker_id":40,"status_id":1,"priority_id":2,"assigned_to_id":23,"start_date":"2017-01-01","description":"","custom_fields":[{"id":1,"name":"Subdivision","value":"NW"},{"id":4,"name":"Milepost","value":"5.8929"},{"id":17,"name":"Train ID","value":"1807-01"},{"id":16,"name":"Locomotive ID","value":"4044"},{"id":130,"name":"Impact","value":""},{"id":150,"name":"Time of Event (Mountain Time)","value":"09:35:32"},{"id":151,"name":"Denver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56"/>
        <v>start /low /b %USERPROFILE%\Documents\GitHub\eaglep3\Utilities\DownloadLogsFromS3.py --loco 4044 --day 2017-01-01</v>
      </c>
    </row>
    <row r="167" spans="1:91" x14ac:dyDescent="0.25">
      <c r="A167" s="34" t="s">
        <v>536</v>
      </c>
      <c r="B167" s="7">
        <v>4043</v>
      </c>
      <c r="C167" s="22" t="s">
        <v>205</v>
      </c>
      <c r="D167" s="22" t="s">
        <v>422</v>
      </c>
      <c r="E167" s="13">
        <v>42736.400821759256</v>
      </c>
      <c r="F167" s="13">
        <v>42736.403877314813</v>
      </c>
      <c r="G167" s="7">
        <v>1</v>
      </c>
      <c r="H167" s="22" t="s">
        <v>726</v>
      </c>
      <c r="I167" s="13">
        <v>42736.41306712963</v>
      </c>
      <c r="J167" s="7">
        <v>0</v>
      </c>
      <c r="K167" s="105" t="str">
        <f t="shared" si="39"/>
        <v>4043/4044</v>
      </c>
      <c r="L167" s="22" t="str">
        <f>VLOOKUP(A167,'Trips&amp;Operators'!$C$1:$G$99999,5,FALSE)</f>
        <v>YORK EDGAR</v>
      </c>
      <c r="M167" s="6">
        <f t="shared" si="40"/>
        <v>9.189814816636499E-3</v>
      </c>
      <c r="N167" s="7">
        <f t="shared" si="41"/>
        <v>13.233333335956559</v>
      </c>
      <c r="O167" s="7"/>
      <c r="P167" s="7"/>
      <c r="Q167" s="23"/>
      <c r="R167" s="23"/>
      <c r="S167" s="32">
        <f t="shared" si="42"/>
        <v>1</v>
      </c>
      <c r="T167" s="47" t="str">
        <f t="shared" si="43"/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08:37:11-700',mode:absolute,to:'2017-01-01 10:54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7" s="49" t="str">
        <f t="shared" si="45"/>
        <v>N</v>
      </c>
      <c r="X167" s="173">
        <f t="shared" si="46"/>
        <v>1</v>
      </c>
      <c r="Y167" s="64">
        <f t="shared" si="47"/>
        <v>5.8620999999999999</v>
      </c>
      <c r="Z167" s="64">
        <f t="shared" si="48"/>
        <v>7.5700000000000003E-2</v>
      </c>
      <c r="AA167" s="64">
        <f t="shared" si="49"/>
        <v>5.7863999999999995</v>
      </c>
      <c r="AB167" s="61" t="e">
        <f>VLOOKUP(A167,Enforcements!$C$7:$K$19,8,0)</f>
        <v>#N/A</v>
      </c>
      <c r="AC167" s="57" t="e">
        <f>VLOOKUP(A167,Enforcements!$C$7:$E$19,3,0)</f>
        <v>#N/A</v>
      </c>
      <c r="AD167" s="58" t="str">
        <f t="shared" si="50"/>
        <v>1808-01</v>
      </c>
      <c r="AE167" s="87" t="str">
        <f t="shared" si="51"/>
        <v>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 &amp; 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</v>
      </c>
      <c r="AF167" s="84" t="str">
        <f t="shared" si="52"/>
        <v>"C:\Program Files (x86)\AstroGrep\AstroGrep.exe" /spath="%USERPROFILE%\AppData\Local\Temp\OnboardLogs" /stypes="app*4043*20170101*" /stext=" 16:.+((SYSTEM_STATE.+slice.+state.+changed )|(ment ac)|(multiple cpu faults)|(system.+state.+changed )|(\[timeout)|(PRM\|1\|D)|(kpr)|(kdp)|(\|lc)|(penalty))" /e /r /s</v>
      </c>
      <c r="AG167" s="1" t="str">
        <f t="shared" si="53"/>
        <v>NW</v>
      </c>
      <c r="AH167" s="88" t="str">
        <f t="shared" si="54"/>
        <v>"%USERPROFILE%\Documents\GitHub\eaglep3\Utilities\RefineRTDCRunTimes.py" --tripid 1808-01 --locoid 4043 --swversion DE.1.0.8.0 --startMP 300:58621 --initTime 2017-01-01T09:37:11 --startdatetime 2017-01-01T09:41:35 --delay 1 --endMP 204:757 --enddatetime 2017-01-01T09:54:49 --enforcementcount 0 &gt;&gt;C:\Users\stu\Documents\GitHub\eaglep3-reporting\EC\2017-01-01-refined-times.txt</v>
      </c>
      <c r="AI167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{"issue":{"subject":"","project_id":79,"tracker_id":40,"status_id":1,"priority_id":2,"assigned_to_id":23,"start_date":"2017-01-01","description":"","custom_fields":[{"id":1,"name":"Subdivision","value":"NW"},{"id":4,"name":"Milepost","value":"0.0757"},{"id":17,"name":"Train ID","value":"1808-01"},{"id":16,"name":"Locomotive ID","value":"4043"},{"id":130,"name":"Impact","value":""},{"id":150,"name":"Time of Event (Mountain Time)","value":"09:54:49"},{"id":151,"name":"Denver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56"/>
        <v>start /low /b %USERPROFILE%\Documents\GitHub\eaglep3\Utilities\DownloadLogsFromS3.py --loco 4043 --day 2017-01-01</v>
      </c>
    </row>
    <row r="168" spans="1:91" s="21" customFormat="1" x14ac:dyDescent="0.25">
      <c r="A168" s="34" t="s">
        <v>542</v>
      </c>
      <c r="B168" s="7">
        <v>4044</v>
      </c>
      <c r="C168" s="22" t="s">
        <v>205</v>
      </c>
      <c r="D168" s="22" t="s">
        <v>727</v>
      </c>
      <c r="E168" s="13">
        <v>42736.414247685185</v>
      </c>
      <c r="F168" s="13">
        <v>42736.43141203704</v>
      </c>
      <c r="G168" s="7">
        <v>1</v>
      </c>
      <c r="H168" s="22" t="s">
        <v>423</v>
      </c>
      <c r="I168" s="13">
        <v>42736.441620370373</v>
      </c>
      <c r="J168" s="7">
        <v>0</v>
      </c>
      <c r="K168" s="105" t="str">
        <f t="shared" si="39"/>
        <v>4043/4044</v>
      </c>
      <c r="L168" s="22" t="str">
        <f>VLOOKUP(A168,'Trips&amp;Operators'!$C$1:$G$99999,5,FALSE)</f>
        <v>YORK EDGAR</v>
      </c>
      <c r="M168" s="6">
        <f t="shared" si="40"/>
        <v>1.0208333333139308E-2</v>
      </c>
      <c r="N168" s="7">
        <f t="shared" si="41"/>
        <v>14.699999999720603</v>
      </c>
      <c r="O168" s="7"/>
      <c r="P168" s="7"/>
      <c r="Q168" s="23"/>
      <c r="R168" s="23"/>
      <c r="S168" s="32">
        <f t="shared" si="42"/>
        <v>1</v>
      </c>
      <c r="T168" s="47" t="str">
        <f t="shared" si="43"/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08:56:31-700',mode:absolute,to:'2017-01-01 11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8" s="49" t="str">
        <f t="shared" si="45"/>
        <v>N</v>
      </c>
      <c r="X168" s="173">
        <f t="shared" si="46"/>
        <v>1</v>
      </c>
      <c r="Y168" s="64">
        <f t="shared" si="47"/>
        <v>0.1048</v>
      </c>
      <c r="Z168" s="64">
        <f t="shared" si="48"/>
        <v>5.8940999999999999</v>
      </c>
      <c r="AA168" s="64">
        <f t="shared" si="49"/>
        <v>5.7892999999999999</v>
      </c>
      <c r="AB168" s="61" t="e">
        <f>VLOOKUP(A168,Enforcements!$C$7:$K$19,8,0)</f>
        <v>#N/A</v>
      </c>
      <c r="AC168" s="57" t="e">
        <f>VLOOKUP(A168,Enforcements!$C$7:$E$19,3,0)</f>
        <v>#N/A</v>
      </c>
      <c r="AD168" s="58" t="str">
        <f t="shared" si="50"/>
        <v>1809-01</v>
      </c>
      <c r="AE168" s="87" t="str">
        <f t="shared" si="51"/>
        <v>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 &amp; aws s3 cp s3://rtdc.mdm.uploadarchive.raw/RTDC4044/ "%USERPROFILE%\AppData\Local\Temp\OnboardLogs"\RTDC4044\2017-01-02 --exclude "*" --recursive --include "*20170102*" &amp; "%USERPROFILE%\Documents\GitHub\mrs-test-scripts\Headless Mode &amp; Sideloading\WalkAndUnGZ.bat" "%USERPROFILE%\AppData\Local\Temp\OnboardLogs"\RTDC4044\2017-01-02</v>
      </c>
      <c r="AF168" s="84" t="str">
        <f t="shared" si="52"/>
        <v>"C:\Program Files (x86)\AstroGrep\AstroGrep.exe" /spath="%USERPROFILE%\AppData\Local\Temp\OnboardLogs" /stypes="app*4044*20170101*" /stext=" 17:.+((SYSTEM_STATE.+slice.+state.+changed )|(ment ac)|(multiple cpu faults)|(system.+state.+changed )|(\[timeout)|(PRM\|1\|D)|(kpr)|(kdp)|(\|lc)|(penalty))" /e /r /s</v>
      </c>
      <c r="AG168" s="1" t="str">
        <f t="shared" si="53"/>
        <v>NW</v>
      </c>
      <c r="AH168" s="88" t="str">
        <f t="shared" si="54"/>
        <v>"%USERPROFILE%\Documents\GitHub\eaglep3\Utilities\RefineRTDCRunTimes.py" --tripid 1809-01 --locoid 4044 --swversion DE.1.0.8.0 --startMP 204:1048 --initTime 2017-01-01T09:56:31 --startdatetime 2017-01-01T10:21:14 --delay 1 --endMP 300:58941 --enddatetime 2017-01-01T10:35:56 --enforcementcount 0 &gt;&gt;C:\Users\stu\Documents\GitHub\eaglep3-reporting\EC\2017-01-01-refined-times.txt</v>
      </c>
      <c r="AI168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{"issue":{"subject":"","project_id":79,"tracker_id":40,"status_id":1,"priority_id":2,"assigned_to_id":23,"start_date":"2017-01-01","description":"","custom_fields":[{"id":1,"name":"Subdivision","value":"NW"},{"id":4,"name":"Milepost","value":"5.8941"},{"id":17,"name":"Train ID","value":"1809-01"},{"id":16,"name":"Locomotive ID","value":"4044"},{"id":130,"name":"Impact","value":""},{"id":150,"name":"Time of Event (Mountain Time)","value":"10:35:56"},{"id":151,"name":"Denver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56"/>
        <v>start /low /b %USERPROFILE%\Documents\GitHub\eaglep3\Utilities\DownloadLogsFromS3.py --loco 4044 --day 2017-01-01</v>
      </c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4" t="s">
        <v>551</v>
      </c>
      <c r="B169" s="7">
        <v>4043</v>
      </c>
      <c r="C169" s="22" t="s">
        <v>205</v>
      </c>
      <c r="D169" s="22" t="s">
        <v>728</v>
      </c>
      <c r="E169" s="13">
        <v>42736.442569444444</v>
      </c>
      <c r="F169" s="13">
        <v>42736.445231481484</v>
      </c>
      <c r="G169" s="7">
        <v>2</v>
      </c>
      <c r="H169" s="22" t="s">
        <v>353</v>
      </c>
      <c r="I169" s="13">
        <v>42736.454652777778</v>
      </c>
      <c r="J169" s="7">
        <v>0</v>
      </c>
      <c r="K169" s="105" t="str">
        <f t="shared" si="39"/>
        <v>4043/4044</v>
      </c>
      <c r="L169" s="22" t="str">
        <f>VLOOKUP(A169,'Trips&amp;Operators'!$C$1:$G$99999,5,FALSE)</f>
        <v>YORK EDGAR</v>
      </c>
      <c r="M169" s="6">
        <f t="shared" si="40"/>
        <v>9.4212962940218858E-3</v>
      </c>
      <c r="N169" s="7">
        <f t="shared" si="41"/>
        <v>13.566666663391516</v>
      </c>
      <c r="O169" s="7"/>
      <c r="P169" s="7"/>
      <c r="Q169" s="23"/>
      <c r="R169" s="23"/>
      <c r="S169" s="32">
        <f t="shared" si="42"/>
        <v>1</v>
      </c>
      <c r="T169" s="47" t="str">
        <f t="shared" si="43"/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09:37:18-700',mode:absolute,to:'2017-01-01 11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9" s="49" t="str">
        <f t="shared" si="45"/>
        <v>N</v>
      </c>
      <c r="X169" s="173">
        <f t="shared" si="46"/>
        <v>1</v>
      </c>
      <c r="Y169" s="64">
        <f t="shared" si="47"/>
        <v>5.8623000000000003</v>
      </c>
      <c r="Z169" s="64">
        <f t="shared" si="48"/>
        <v>7.5899999999999995E-2</v>
      </c>
      <c r="AA169" s="64">
        <f t="shared" si="49"/>
        <v>5.7864000000000004</v>
      </c>
      <c r="AB169" s="61" t="e">
        <f>VLOOKUP(A169,Enforcements!$C$7:$K$19,8,0)</f>
        <v>#N/A</v>
      </c>
      <c r="AC169" s="57" t="e">
        <f>VLOOKUP(A169,Enforcements!$C$7:$E$19,3,0)</f>
        <v>#N/A</v>
      </c>
      <c r="AD169" s="58" t="str">
        <f t="shared" si="50"/>
        <v>1810-01</v>
      </c>
      <c r="AE169" s="87" t="str">
        <f t="shared" si="51"/>
        <v>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 &amp; 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</v>
      </c>
      <c r="AF169" s="84" t="str">
        <f t="shared" si="52"/>
        <v>"C:\Program Files (x86)\AstroGrep\AstroGrep.exe" /spath="%USERPROFILE%\AppData\Local\Temp\OnboardLogs" /stypes="app*4043*20170101*" /stext=" 17:.+((SYSTEM_STATE.+slice.+state.+changed )|(ment ac)|(multiple cpu faults)|(system.+state.+changed )|(\[timeout)|(PRM\|1\|D)|(kpr)|(kdp)|(\|lc)|(penalty))" /e /r /s</v>
      </c>
      <c r="AG169" s="1" t="str">
        <f t="shared" si="53"/>
        <v>NW</v>
      </c>
      <c r="AH169" s="88" t="str">
        <f t="shared" si="54"/>
        <v>"%USERPROFILE%\Documents\GitHub\eaglep3\Utilities\RefineRTDCRunTimes.py" --tripid 1810-01 --locoid 4043 --swversion DE.1.0.8.0 --startMP 300:58623 --initTime 2017-01-01T10:37:18 --startdatetime 2017-01-01T10:41:08 --delay 2 --endMP 204:759 --enddatetime 2017-01-01T10:54:42 --enforcementcount 0 &gt;&gt;C:\Users\stu\Documents\GitHub\eaglep3-reporting\EC\2017-01-01-refined-times.txt</v>
      </c>
      <c r="AI169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{"issue":{"subject":"","project_id":79,"tracker_id":40,"status_id":1,"priority_id":2,"assigned_to_id":23,"start_date":"2017-01-01","description":"","custom_fields":[{"id":1,"name":"Subdivision","value":"NW"},{"id":4,"name":"Milepost","value":"0.0759"},{"id":17,"name":"Train ID","value":"1810-01"},{"id":16,"name":"Locomotive ID","value":"4043"},{"id":130,"name":"Impact","value":""},{"id":150,"name":"Time of Event (Mountain Time)","value":"10:54:42"},{"id":151,"name":"Denver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56"/>
        <v>start /low /b %USERPROFILE%\Documents\GitHub\eaglep3\Utilities\DownloadLogsFromS3.py --loco 4043 --day 2017-01-01</v>
      </c>
    </row>
    <row r="170" spans="1:91" x14ac:dyDescent="0.25">
      <c r="A170" s="34" t="s">
        <v>555</v>
      </c>
      <c r="B170" s="7">
        <v>4044</v>
      </c>
      <c r="C170" s="22" t="s">
        <v>205</v>
      </c>
      <c r="D170" s="22" t="s">
        <v>729</v>
      </c>
      <c r="E170" s="13">
        <v>42736.457337962966</v>
      </c>
      <c r="F170" s="13">
        <v>42736.473368055558</v>
      </c>
      <c r="G170" s="7">
        <v>1</v>
      </c>
      <c r="H170" s="22" t="s">
        <v>417</v>
      </c>
      <c r="I170" s="13">
        <v>42736.482708333337</v>
      </c>
      <c r="J170" s="7">
        <v>0</v>
      </c>
      <c r="K170" s="105" t="str">
        <f t="shared" si="39"/>
        <v>4043/4044</v>
      </c>
      <c r="L170" s="22" t="str">
        <f>VLOOKUP(A170,'Trips&amp;Operators'!$C$1:$G$99999,5,FALSE)</f>
        <v>YORK EDGAR</v>
      </c>
      <c r="M170" s="6">
        <f t="shared" si="40"/>
        <v>9.340277778392192E-3</v>
      </c>
      <c r="N170" s="7">
        <f t="shared" si="41"/>
        <v>13.450000000884756</v>
      </c>
      <c r="O170" s="7"/>
      <c r="P170" s="7"/>
      <c r="Q170" s="23"/>
      <c r="R170" s="23"/>
      <c r="S170" s="32">
        <f t="shared" si="42"/>
        <v>1</v>
      </c>
      <c r="T170" s="47" t="str">
        <f t="shared" si="43"/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09:58:34-700',mode:absolute,to:'2017-01-01 12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0" s="49" t="str">
        <f t="shared" si="45"/>
        <v>N</v>
      </c>
      <c r="X170" s="173">
        <f t="shared" si="46"/>
        <v>1</v>
      </c>
      <c r="Y170" s="64">
        <f t="shared" si="47"/>
        <v>0.1041</v>
      </c>
      <c r="Z170" s="64">
        <f t="shared" si="48"/>
        <v>5.8921999999999999</v>
      </c>
      <c r="AA170" s="64">
        <f t="shared" si="49"/>
        <v>5.7881</v>
      </c>
      <c r="AB170" s="61" t="e">
        <f>VLOOKUP(A170,Enforcements!$C$7:$K$19,8,0)</f>
        <v>#N/A</v>
      </c>
      <c r="AC170" s="57" t="e">
        <f>VLOOKUP(A170,Enforcements!$C$7:$E$19,3,0)</f>
        <v>#N/A</v>
      </c>
      <c r="AD170" s="58" t="str">
        <f t="shared" si="50"/>
        <v>1811-01</v>
      </c>
      <c r="AE170" s="87" t="str">
        <f t="shared" si="51"/>
        <v>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 &amp; aws s3 cp s3://rtdc.mdm.uploadarchive.raw/RTDC4044/ "%USERPROFILE%\AppData\Local\Temp\OnboardLogs"\RTDC4044\2017-01-02 --exclude "*" --recursive --include "*20170102*" &amp; "%USERPROFILE%\Documents\GitHub\mrs-test-scripts\Headless Mode &amp; Sideloading\WalkAndUnGZ.bat" "%USERPROFILE%\AppData\Local\Temp\OnboardLogs"\RTDC4044\2017-01-02</v>
      </c>
      <c r="AF170" s="84" t="str">
        <f t="shared" si="52"/>
        <v>"C:\Program Files (x86)\AstroGrep\AstroGrep.exe" /spath="%USERPROFILE%\AppData\Local\Temp\OnboardLogs" /stypes="app*4044*20170101*" /stext=" 18:.+((SYSTEM_STATE.+slice.+state.+changed )|(ment ac)|(multiple cpu faults)|(system.+state.+changed )|(\[timeout)|(PRM\|1\|D)|(kpr)|(kdp)|(\|lc)|(penalty))" /e /r /s</v>
      </c>
      <c r="AG170" s="1" t="str">
        <f t="shared" si="53"/>
        <v>NW</v>
      </c>
      <c r="AH170" s="88" t="str">
        <f t="shared" si="54"/>
        <v>"%USERPROFILE%\Documents\GitHub\eaglep3\Utilities\RefineRTDCRunTimes.py" --tripid 1811-01 --locoid 4044 --swversion DE.1.0.8.0 --startMP 204:1041 --initTime 2017-01-01T10:58:34 --startdatetime 2017-01-01T11:21:39 --delay 1 --endMP 300:58922 --enddatetime 2017-01-01T11:35:06 --enforcementcount 0 &gt;&gt;C:\Users\stu\Documents\GitHub\eaglep3-reporting\EC\2017-01-01-refined-times.txt</v>
      </c>
      <c r="AI170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{"issue":{"subject":"","project_id":79,"tracker_id":40,"status_id":1,"priority_id":2,"assigned_to_id":23,"start_date":"2017-01-01","description":"","custom_fields":[{"id":1,"name":"Subdivision","value":"NW"},{"id":4,"name":"Milepost","value":"5.8922"},{"id":17,"name":"Train ID","value":"1811-01"},{"id":16,"name":"Locomotive ID","value":"4044"},{"id":130,"name":"Impact","value":""},{"id":150,"name":"Time of Event (Mountain Time)","value":"11:35:06"},{"id":151,"name":"Denver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56"/>
        <v>start /low /b %USERPROFILE%\Documents\GitHub\eaglep3\Utilities\DownloadLogsFromS3.py --loco 4044 --day 2017-01-01</v>
      </c>
    </row>
    <row r="171" spans="1:91" x14ac:dyDescent="0.25">
      <c r="A171" s="34" t="s">
        <v>560</v>
      </c>
      <c r="B171" s="7">
        <v>4043</v>
      </c>
      <c r="C171" s="22" t="s">
        <v>205</v>
      </c>
      <c r="D171" s="22" t="s">
        <v>724</v>
      </c>
      <c r="E171" s="13">
        <v>42736.484837962962</v>
      </c>
      <c r="F171" s="13">
        <v>42736.48642361111</v>
      </c>
      <c r="G171" s="7">
        <v>1</v>
      </c>
      <c r="H171" s="22" t="s">
        <v>730</v>
      </c>
      <c r="I171" s="13">
        <v>42736.496446759258</v>
      </c>
      <c r="J171" s="7">
        <v>0</v>
      </c>
      <c r="K171" s="105" t="str">
        <f t="shared" si="39"/>
        <v>4043/4044</v>
      </c>
      <c r="L171" s="22" t="str">
        <f>VLOOKUP(A171,'Trips&amp;Operators'!$C$1:$G$99999,5,FALSE)</f>
        <v>YORK EDGAR</v>
      </c>
      <c r="M171" s="6">
        <f t="shared" si="40"/>
        <v>1.0023148148320615E-2</v>
      </c>
      <c r="N171" s="7">
        <f t="shared" si="41"/>
        <v>14.433333333581686</v>
      </c>
      <c r="O171" s="7"/>
      <c r="P171" s="7"/>
      <c r="Q171" s="23"/>
      <c r="R171" s="23"/>
      <c r="S171" s="32">
        <f t="shared" si="42"/>
        <v>1</v>
      </c>
      <c r="T171" s="47" t="str">
        <f t="shared" si="43"/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10:38:10-700',mode:absolute,to:'2017-01-01 12:54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1" s="49" t="str">
        <f t="shared" si="45"/>
        <v>N</v>
      </c>
      <c r="X171" s="173">
        <f t="shared" si="46"/>
        <v>1</v>
      </c>
      <c r="Y171" s="64">
        <f t="shared" si="47"/>
        <v>5.8608000000000002</v>
      </c>
      <c r="Z171" s="64">
        <f t="shared" si="48"/>
        <v>7.4800000000000005E-2</v>
      </c>
      <c r="AA171" s="64">
        <f t="shared" si="49"/>
        <v>5.7860000000000005</v>
      </c>
      <c r="AB171" s="61" t="e">
        <f>VLOOKUP(A171,Enforcements!$C$7:$K$19,8,0)</f>
        <v>#N/A</v>
      </c>
      <c r="AC171" s="57" t="e">
        <f>VLOOKUP(A171,Enforcements!$C$7:$E$19,3,0)</f>
        <v>#N/A</v>
      </c>
      <c r="AD171" s="58" t="str">
        <f t="shared" si="50"/>
        <v>1812-01</v>
      </c>
      <c r="AE171" s="87" t="str">
        <f t="shared" si="51"/>
        <v>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 &amp; 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</v>
      </c>
      <c r="AF171" s="84" t="str">
        <f t="shared" si="52"/>
        <v>"C:\Program Files (x86)\AstroGrep\AstroGrep.exe" /spath="%USERPROFILE%\AppData\Local\Temp\OnboardLogs" /stypes="app*4043*20170101*" /stext=" 18:.+((SYSTEM_STATE.+slice.+state.+changed )|(ment ac)|(multiple cpu faults)|(system.+state.+changed )|(\[timeout)|(PRM\|1\|D)|(kpr)|(kdp)|(\|lc)|(penalty))" /e /r /s</v>
      </c>
      <c r="AG171" s="1" t="str">
        <f t="shared" si="53"/>
        <v>NW</v>
      </c>
      <c r="AH171" s="88" t="str">
        <f t="shared" si="54"/>
        <v>"%USERPROFILE%\Documents\GitHub\eaglep3\Utilities\RefineRTDCRunTimes.py" --tripid 1812-01 --locoid 4043 --swversion DE.1.0.8.0 --startMP 300:58608 --initTime 2017-01-01T11:38:10 --startdatetime 2017-01-01T11:40:27 --delay 1 --endMP 204:748 --enddatetime 2017-01-01T11:54:53 --enforcementcount 0 &gt;&gt;C:\Users\stu\Documents\GitHub\eaglep3-reporting\EC\2017-01-01-refined-times.txt</v>
      </c>
      <c r="AI171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{"issue":{"subject":"","project_id":79,"tracker_id":40,"status_id":1,"priority_id":2,"assigned_to_id":23,"start_date":"2017-01-01","description":"","custom_fields":[{"id":1,"name":"Subdivision","value":"NW"},{"id":4,"name":"Milepost","value":"0.0748"},{"id":17,"name":"Train ID","value":"1812-01"},{"id":16,"name":"Locomotive ID","value":"4043"},{"id":130,"name":"Impact","value":""},{"id":150,"name":"Time of Event (Mountain Time)","value":"11:54:53"},{"id":151,"name":"Denver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56"/>
        <v>start /low /b %USERPROFILE%\Documents\GitHub\eaglep3\Utilities\DownloadLogsFromS3.py --loco 4043 --day 2017-01-01</v>
      </c>
    </row>
    <row r="172" spans="1:91" x14ac:dyDescent="0.25">
      <c r="A172" s="34" t="s">
        <v>565</v>
      </c>
      <c r="B172" s="7">
        <v>4044</v>
      </c>
      <c r="C172" s="22" t="s">
        <v>205</v>
      </c>
      <c r="D172" s="22" t="s">
        <v>731</v>
      </c>
      <c r="E172" s="13">
        <v>42736.498194444444</v>
      </c>
      <c r="F172" s="13">
        <v>42736.514965277776</v>
      </c>
      <c r="G172" s="7">
        <v>1</v>
      </c>
      <c r="H172" s="22" t="s">
        <v>368</v>
      </c>
      <c r="I172" s="13">
        <v>42736.524247685185</v>
      </c>
      <c r="J172" s="7">
        <v>0</v>
      </c>
      <c r="K172" s="105" t="str">
        <f t="shared" si="39"/>
        <v>4043/4044</v>
      </c>
      <c r="L172" s="22" t="str">
        <f>VLOOKUP(A172,'Trips&amp;Operators'!$C$1:$G$99999,5,FALSE)</f>
        <v>YORK EDGAR</v>
      </c>
      <c r="M172" s="6">
        <f t="shared" si="40"/>
        <v>9.2824074090458453E-3</v>
      </c>
      <c r="N172" s="7">
        <f t="shared" si="41"/>
        <v>13.366666669026017</v>
      </c>
      <c r="O172" s="7"/>
      <c r="P172" s="7"/>
      <c r="Q172" s="23"/>
      <c r="R172" s="23"/>
      <c r="S172" s="32">
        <f t="shared" si="42"/>
        <v>1</v>
      </c>
      <c r="T172" s="47" t="str">
        <f t="shared" si="43"/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10:57:24-700',mode:absolute,to:'2017-01-01 13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2" s="49" t="str">
        <f t="shared" si="45"/>
        <v>N</v>
      </c>
      <c r="X172" s="173">
        <f t="shared" si="46"/>
        <v>1</v>
      </c>
      <c r="Y172" s="64">
        <f t="shared" si="47"/>
        <v>0.10299999999999999</v>
      </c>
      <c r="Z172" s="64">
        <f t="shared" si="48"/>
        <v>5.8936999999999999</v>
      </c>
      <c r="AA172" s="64">
        <f t="shared" si="49"/>
        <v>5.7907000000000002</v>
      </c>
      <c r="AB172" s="61" t="e">
        <f>VLOOKUP(A172,Enforcements!$C$7:$K$19,8,0)</f>
        <v>#N/A</v>
      </c>
      <c r="AC172" s="57" t="e">
        <f>VLOOKUP(A172,Enforcements!$C$7:$E$19,3,0)</f>
        <v>#N/A</v>
      </c>
      <c r="AD172" s="58" t="str">
        <f t="shared" si="50"/>
        <v>1813-01</v>
      </c>
      <c r="AE172" s="87" t="str">
        <f t="shared" si="51"/>
        <v>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 &amp; aws s3 cp s3://rtdc.mdm.uploadarchive.raw/RTDC4044/ "%USERPROFILE%\AppData\Local\Temp\OnboardLogs"\RTDC4044\2017-01-02 --exclude "*" --recursive --include "*20170102*" &amp; "%USERPROFILE%\Documents\GitHub\mrs-test-scripts\Headless Mode &amp; Sideloading\WalkAndUnGZ.bat" "%USERPROFILE%\AppData\Local\Temp\OnboardLogs"\RTDC4044\2017-01-02</v>
      </c>
      <c r="AF172" s="84" t="str">
        <f t="shared" si="52"/>
        <v>"C:\Program Files (x86)\AstroGrep\AstroGrep.exe" /spath="%USERPROFILE%\AppData\Local\Temp\OnboardLogs" /stypes="app*4044*20170101*" /stext=" 19:.+((SYSTEM_STATE.+slice.+state.+changed )|(ment ac)|(multiple cpu faults)|(system.+state.+changed )|(\[timeout)|(PRM\|1\|D)|(kpr)|(kdp)|(\|lc)|(penalty))" /e /r /s</v>
      </c>
      <c r="AG172" s="1" t="str">
        <f t="shared" si="53"/>
        <v>NW</v>
      </c>
      <c r="AH172" s="88" t="str">
        <f t="shared" si="54"/>
        <v>"%USERPROFILE%\Documents\GitHub\eaglep3\Utilities\RefineRTDCRunTimes.py" --tripid 1813-01 --locoid 4044 --swversion DE.1.0.8.0 --startMP 204:1030 --initTime 2017-01-01T11:57:24 --startdatetime 2017-01-01T12:21:33 --delay 1 --endMP 300:58937 --enddatetime 2017-01-01T12:34:55 --enforcementcount 0 &gt;&gt;C:\Users\stu\Documents\GitHub\eaglep3-reporting\EC\2017-01-01-refined-times.txt</v>
      </c>
      <c r="AI172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{"issue":{"subject":"","project_id":79,"tracker_id":40,"status_id":1,"priority_id":2,"assigned_to_id":23,"start_date":"2017-01-01","description":"","custom_fields":[{"id":1,"name":"Subdivision","value":"NW"},{"id":4,"name":"Milepost","value":"5.8937"},{"id":17,"name":"Train ID","value":"1813-01"},{"id":16,"name":"Locomotive ID","value":"4044"},{"id":130,"name":"Impact","value":""},{"id":150,"name":"Time of Event (Mountain Time)","value":"12:34:55"},{"id":151,"name":"Denver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56"/>
        <v>start /low /b %USERPROFILE%\Documents\GitHub\eaglep3\Utilities\DownloadLogsFromS3.py --loco 4044 --day 2017-01-01</v>
      </c>
    </row>
    <row r="173" spans="1:91" x14ac:dyDescent="0.25">
      <c r="A173" s="34" t="s">
        <v>572</v>
      </c>
      <c r="B173" s="7">
        <v>4043</v>
      </c>
      <c r="C173" s="22" t="s">
        <v>205</v>
      </c>
      <c r="D173" s="22" t="s">
        <v>732</v>
      </c>
      <c r="E173" s="13">
        <v>42736.525497685187</v>
      </c>
      <c r="F173" s="13">
        <v>42736.528171296297</v>
      </c>
      <c r="G173" s="7">
        <v>0</v>
      </c>
      <c r="H173" s="22" t="s">
        <v>367</v>
      </c>
      <c r="I173" s="13">
        <v>42736.538414351853</v>
      </c>
      <c r="J173" s="7">
        <v>0</v>
      </c>
      <c r="K173" s="105" t="str">
        <f t="shared" si="39"/>
        <v>4043/4044</v>
      </c>
      <c r="L173" s="22" t="str">
        <f>VLOOKUP(A173,'Trips&amp;Operators'!$C$1:$G$99999,5,FALSE)</f>
        <v>YORK EDGAR</v>
      </c>
      <c r="M173" s="6">
        <f t="shared" si="40"/>
        <v>1.0243055556202307E-2</v>
      </c>
      <c r="N173" s="7">
        <f t="shared" si="41"/>
        <v>14.750000000931323</v>
      </c>
      <c r="O173" s="7"/>
      <c r="P173" s="7"/>
      <c r="Q173" s="23"/>
      <c r="R173" s="23"/>
      <c r="S173" s="32">
        <f t="shared" si="42"/>
        <v>1</v>
      </c>
      <c r="T173" s="47" t="str">
        <f t="shared" si="43"/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11:36:43-700',mode:absolute,to:'2017-01-01 13:55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3" s="49" t="str">
        <f t="shared" si="45"/>
        <v>N</v>
      </c>
      <c r="X173" s="173">
        <f t="shared" si="46"/>
        <v>1</v>
      </c>
      <c r="Y173" s="64">
        <f t="shared" si="47"/>
        <v>5.8628</v>
      </c>
      <c r="Z173" s="64">
        <f t="shared" si="48"/>
        <v>7.5499999999999998E-2</v>
      </c>
      <c r="AA173" s="64">
        <f t="shared" si="49"/>
        <v>5.7873000000000001</v>
      </c>
      <c r="AB173" s="61" t="e">
        <f>VLOOKUP(A173,Enforcements!$C$7:$K$19,8,0)</f>
        <v>#N/A</v>
      </c>
      <c r="AC173" s="57" t="e">
        <f>VLOOKUP(A173,Enforcements!$C$7:$E$19,3,0)</f>
        <v>#N/A</v>
      </c>
      <c r="AD173" s="58" t="str">
        <f t="shared" si="50"/>
        <v>1814-01</v>
      </c>
      <c r="AE173" s="87" t="str">
        <f t="shared" si="51"/>
        <v>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 &amp; 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</v>
      </c>
      <c r="AF173" s="84" t="str">
        <f t="shared" si="52"/>
        <v>"C:\Program Files (x86)\AstroGrep\AstroGrep.exe" /spath="%USERPROFILE%\AppData\Local\Temp\OnboardLogs" /stypes="app*4043*20170101*" /stext=" 19:.+((SYSTEM_STATE.+slice.+state.+changed )|(ment ac)|(multiple cpu faults)|(system.+state.+changed )|(\[timeout)|(PRM\|1\|D)|(kpr)|(kdp)|(\|lc)|(penalty))" /e /r /s</v>
      </c>
      <c r="AG173" s="1" t="str">
        <f t="shared" si="53"/>
        <v>NW</v>
      </c>
      <c r="AH173" s="88" t="str">
        <f t="shared" si="54"/>
        <v>"%USERPROFILE%\Documents\GitHub\eaglep3\Utilities\RefineRTDCRunTimes.py" --tripid 1814-01 --locoid 4043 --swversion DE.1.0.8.0 --startMP 300:58628 --initTime 2017-01-01T12:36:43 --startdatetime 2017-01-01T12:40:34 --delay 0 --endMP 204:755 --enddatetime 2017-01-01T12:55:19 --enforcementcount 0 &gt;&gt;C:\Users\stu\Documents\GitHub\eaglep3-reporting\EC\2017-01-01-refined-times.txt</v>
      </c>
      <c r="AI173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{"issue":{"subject":"","project_id":79,"tracker_id":40,"status_id":1,"priority_id":2,"assigned_to_id":23,"start_date":"2017-01-01","description":"","custom_fields":[{"id":1,"name":"Subdivision","value":"NW"},{"id":4,"name":"Milepost","value":"0.0755"},{"id":17,"name":"Train ID","value":"1814-01"},{"id":16,"name":"Locomotive ID","value":"4043"},{"id":130,"name":"Impact","value":""},{"id":150,"name":"Time of Event (Mountain Time)","value":"12:55:19"},{"id":151,"name":"Denver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56"/>
        <v>start /low /b %USERPROFILE%\Documents\GitHub\eaglep3\Utilities\DownloadLogsFromS3.py --loco 4043 --day 2017-01-01</v>
      </c>
    </row>
    <row r="174" spans="1:91" s="21" customFormat="1" x14ac:dyDescent="0.25">
      <c r="A174" s="34" t="s">
        <v>577</v>
      </c>
      <c r="B174" s="7">
        <v>4044</v>
      </c>
      <c r="C174" s="22" t="s">
        <v>205</v>
      </c>
      <c r="D174" s="22" t="s">
        <v>729</v>
      </c>
      <c r="E174" s="13">
        <v>42736.55091435185</v>
      </c>
      <c r="F174" s="13">
        <v>42736.55641203704</v>
      </c>
      <c r="G174" s="7">
        <v>1</v>
      </c>
      <c r="H174" s="22" t="s">
        <v>326</v>
      </c>
      <c r="I174" s="13">
        <v>42736.56590277778</v>
      </c>
      <c r="J174" s="7">
        <v>0</v>
      </c>
      <c r="K174" s="105" t="str">
        <f t="shared" si="39"/>
        <v>4043/4044</v>
      </c>
      <c r="L174" s="22" t="str">
        <f>VLOOKUP(A174,'Trips&amp;Operators'!$C$1:$G$99999,5,FALSE)</f>
        <v>YORK EDGAR</v>
      </c>
      <c r="M174" s="6">
        <f t="shared" si="40"/>
        <v>9.4907407401478849E-3</v>
      </c>
      <c r="N174" s="7">
        <f t="shared" si="41"/>
        <v>13.666666665812954</v>
      </c>
      <c r="O174" s="7"/>
      <c r="P174" s="7"/>
      <c r="Q174" s="23"/>
      <c r="R174" s="23"/>
      <c r="S174" s="32">
        <f t="shared" si="42"/>
        <v>1</v>
      </c>
      <c r="T174" s="47" t="str">
        <f t="shared" si="43"/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12:13:19-700',mode:absolute,to:'2017-01-01 14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4" s="49" t="str">
        <f t="shared" si="45"/>
        <v>N</v>
      </c>
      <c r="X174" s="173">
        <f t="shared" si="46"/>
        <v>1</v>
      </c>
      <c r="Y174" s="64">
        <f t="shared" si="47"/>
        <v>0.1041</v>
      </c>
      <c r="Z174" s="64">
        <f t="shared" si="48"/>
        <v>5.8930999999999996</v>
      </c>
      <c r="AA174" s="64">
        <f t="shared" si="49"/>
        <v>5.7889999999999997</v>
      </c>
      <c r="AB174" s="61" t="e">
        <f>VLOOKUP(A174,Enforcements!$C$7:$K$19,8,0)</f>
        <v>#N/A</v>
      </c>
      <c r="AC174" s="57" t="e">
        <f>VLOOKUP(A174,Enforcements!$C$7:$E$19,3,0)</f>
        <v>#N/A</v>
      </c>
      <c r="AD174" s="58" t="str">
        <f t="shared" si="50"/>
        <v>1815-01</v>
      </c>
      <c r="AE174" s="87" t="str">
        <f t="shared" si="51"/>
        <v>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 &amp; aws s3 cp s3://rtdc.mdm.uploadarchive.raw/RTDC4044/ "%USERPROFILE%\AppData\Local\Temp\OnboardLogs"\RTDC4044\2017-01-02 --exclude "*" --recursive --include "*20170102*" &amp; "%USERPROFILE%\Documents\GitHub\mrs-test-scripts\Headless Mode &amp; Sideloading\WalkAndUnGZ.bat" "%USERPROFILE%\AppData\Local\Temp\OnboardLogs"\RTDC4044\2017-01-02</v>
      </c>
      <c r="AF174" s="84" t="str">
        <f t="shared" si="52"/>
        <v>"C:\Program Files (x86)\AstroGrep\AstroGrep.exe" /spath="%USERPROFILE%\AppData\Local\Temp\OnboardLogs" /stypes="app*4044*20170101*" /stext=" 20:.+((SYSTEM_STATE.+slice.+state.+changed )|(ment ac)|(multiple cpu faults)|(system.+state.+changed )|(\[timeout)|(PRM\|1\|D)|(kpr)|(kdp)|(\|lc)|(penalty))" /e /r /s</v>
      </c>
      <c r="AG174" s="1" t="str">
        <f t="shared" si="53"/>
        <v>NW</v>
      </c>
      <c r="AH174" s="88" t="str">
        <f t="shared" si="54"/>
        <v>"%USERPROFILE%\Documents\GitHub\eaglep3\Utilities\RefineRTDCRunTimes.py" --tripid 1815-01 --locoid 4044 --swversion DE.1.0.8.0 --startMP 204:1041 --initTime 2017-01-01T13:13:19 --startdatetime 2017-01-01T13:21:14 --delay 1 --endMP 300:58931 --enddatetime 2017-01-01T13:34:54 --enforcementcount 0 &gt;&gt;C:\Users\stu\Documents\GitHub\eaglep3-reporting\EC\2017-01-01-refined-times.txt</v>
      </c>
      <c r="AI174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{"issue":{"subject":"","project_id":79,"tracker_id":40,"status_id":1,"priority_id":2,"assigned_to_id":23,"start_date":"2017-01-01","description":"","custom_fields":[{"id":1,"name":"Subdivision","value":"NW"},{"id":4,"name":"Milepost","value":"5.8931"},{"id":17,"name":"Train ID","value":"1815-01"},{"id":16,"name":"Locomotive ID","value":"4044"},{"id":130,"name":"Impact","value":""},{"id":150,"name":"Time of Event (Mountain Time)","value":"13:34:54"},{"id":151,"name":"Denver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56"/>
        <v>start /low /b %USERPROFILE%\Documents\GitHub\eaglep3\Utilities\DownloadLogsFromS3.py --loco 4044 --day 2017-01-01</v>
      </c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581</v>
      </c>
      <c r="B175" s="7">
        <v>4043</v>
      </c>
      <c r="C175" s="22" t="s">
        <v>205</v>
      </c>
      <c r="D175" s="22" t="s">
        <v>728</v>
      </c>
      <c r="E175" s="13">
        <v>42736.567060185182</v>
      </c>
      <c r="F175" s="13">
        <v>42736.570277777777</v>
      </c>
      <c r="G175" s="7">
        <v>2</v>
      </c>
      <c r="H175" s="22" t="s">
        <v>733</v>
      </c>
      <c r="I175" s="13">
        <v>42736.58016203704</v>
      </c>
      <c r="J175" s="7">
        <v>0</v>
      </c>
      <c r="K175" s="105" t="str">
        <f t="shared" si="39"/>
        <v>4043/4044</v>
      </c>
      <c r="L175" s="22" t="str">
        <f>VLOOKUP(A175,'Trips&amp;Operators'!$C$1:$G$99999,5,FALSE)</f>
        <v>YORK EDGAR</v>
      </c>
      <c r="M175" s="6">
        <f t="shared" si="40"/>
        <v>9.8842592633445747E-3</v>
      </c>
      <c r="N175" s="7">
        <f t="shared" si="41"/>
        <v>14.233333339216188</v>
      </c>
      <c r="O175" s="7"/>
      <c r="P175" s="7"/>
      <c r="Q175" s="23"/>
      <c r="R175" s="23"/>
      <c r="S175" s="32">
        <f t="shared" si="42"/>
        <v>1</v>
      </c>
      <c r="T175" s="47" t="str">
        <f t="shared" si="43"/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12:36:34-700',mode:absolute,to:'2017-01-01 14:55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5" s="49" t="str">
        <f t="shared" si="45"/>
        <v>N</v>
      </c>
      <c r="X175" s="173">
        <f t="shared" si="46"/>
        <v>1</v>
      </c>
      <c r="Y175" s="64">
        <f t="shared" si="47"/>
        <v>5.8623000000000003</v>
      </c>
      <c r="Z175" s="64">
        <f t="shared" si="48"/>
        <v>7.9399999999999998E-2</v>
      </c>
      <c r="AA175" s="64">
        <f t="shared" si="49"/>
        <v>5.7829000000000006</v>
      </c>
      <c r="AB175" s="61" t="e">
        <f>VLOOKUP(A175,Enforcements!$C$7:$K$19,8,0)</f>
        <v>#N/A</v>
      </c>
      <c r="AC175" s="57" t="e">
        <f>VLOOKUP(A175,Enforcements!$C$7:$E$19,3,0)</f>
        <v>#N/A</v>
      </c>
      <c r="AD175" s="58" t="str">
        <f t="shared" si="50"/>
        <v>1816-01</v>
      </c>
      <c r="AE175" s="87" t="str">
        <f t="shared" si="51"/>
        <v>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 &amp; 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</v>
      </c>
      <c r="AF175" s="84" t="str">
        <f t="shared" si="52"/>
        <v>"C:\Program Files (x86)\AstroGrep\AstroGrep.exe" /spath="%USERPROFILE%\AppData\Local\Temp\OnboardLogs" /stypes="app*4043*20170101*" /stext=" 20:.+((SYSTEM_STATE.+slice.+state.+changed )|(ment ac)|(multiple cpu faults)|(system.+state.+changed )|(\[timeout)|(PRM\|1\|D)|(kpr)|(kdp)|(\|lc)|(penalty))" /e /r /s</v>
      </c>
      <c r="AG175" s="1" t="str">
        <f t="shared" si="53"/>
        <v>NW</v>
      </c>
      <c r="AH175" s="88" t="str">
        <f t="shared" si="54"/>
        <v>"%USERPROFILE%\Documents\GitHub\eaglep3\Utilities\RefineRTDCRunTimes.py" --tripid 1816-01 --locoid 4043 --swversion DE.1.0.8.0 --startMP 300:58623 --initTime 2017-01-01T13:36:34 --startdatetime 2017-01-01T13:41:12 --delay 2 --endMP 204:794 --enddatetime 2017-01-01T13:55:26 --enforcementcount 0 &gt;&gt;C:\Users\stu\Documents\GitHub\eaglep3-reporting\EC\2017-01-01-refined-times.txt</v>
      </c>
      <c r="AI175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{"issue":{"subject":"","project_id":79,"tracker_id":40,"status_id":1,"priority_id":2,"assigned_to_id":23,"start_date":"2017-01-01","description":"","custom_fields":[{"id":1,"name":"Subdivision","value":"NW"},{"id":4,"name":"Milepost","value":"0.0794"},{"id":17,"name":"Train ID","value":"1816-01"},{"id":16,"name":"Locomotive ID","value":"4043"},{"id":130,"name":"Impact","value":""},{"id":150,"name":"Time of Event (Mountain Time)","value":"13:55:26"},{"id":151,"name":"Denver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56"/>
        <v>start /low /b %USERPROFILE%\Documents\GitHub\eaglep3\Utilities\DownloadLogsFromS3.py --loco 4043 --day 2017-01-01</v>
      </c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586</v>
      </c>
      <c r="B176" s="7">
        <v>4044</v>
      </c>
      <c r="C176" s="22" t="s">
        <v>205</v>
      </c>
      <c r="D176" s="22" t="s">
        <v>734</v>
      </c>
      <c r="E176" s="13">
        <v>42736.593715277777</v>
      </c>
      <c r="F176" s="13">
        <v>42736.598217592589</v>
      </c>
      <c r="G176" s="7">
        <v>1</v>
      </c>
      <c r="H176" s="22" t="s">
        <v>735</v>
      </c>
      <c r="I176" s="13">
        <v>42736.607905092591</v>
      </c>
      <c r="J176" s="7">
        <v>0</v>
      </c>
      <c r="K176" s="105" t="str">
        <f t="shared" si="39"/>
        <v>4043/4044</v>
      </c>
      <c r="L176" s="22" t="str">
        <f>VLOOKUP(A176,'Trips&amp;Operators'!$C$1:$G$99999,5,FALSE)</f>
        <v>HELVIE ADAM</v>
      </c>
      <c r="M176" s="6">
        <f t="shared" si="40"/>
        <v>9.6875000017462298E-3</v>
      </c>
      <c r="N176" s="7">
        <f t="shared" si="41"/>
        <v>13.950000002514571</v>
      </c>
      <c r="O176" s="7"/>
      <c r="P176" s="7"/>
      <c r="Q176" s="23"/>
      <c r="R176" s="23"/>
      <c r="S176" s="32">
        <f t="shared" si="42"/>
        <v>1</v>
      </c>
      <c r="T176" s="47" t="str">
        <f t="shared" si="43"/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13:14:57-700',mode:absolute,to:'2017-01-01 15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6" s="49" t="str">
        <f t="shared" si="45"/>
        <v>N</v>
      </c>
      <c r="X176" s="173">
        <f t="shared" si="46"/>
        <v>1</v>
      </c>
      <c r="Y176" s="64">
        <f t="shared" si="47"/>
        <v>0.10829999999999999</v>
      </c>
      <c r="Z176" s="64">
        <f t="shared" si="48"/>
        <v>5.8939000000000004</v>
      </c>
      <c r="AA176" s="64">
        <f t="shared" si="49"/>
        <v>5.7856000000000005</v>
      </c>
      <c r="AB176" s="61" t="e">
        <f>VLOOKUP(A176,Enforcements!$C$7:$K$19,8,0)</f>
        <v>#N/A</v>
      </c>
      <c r="AC176" s="57" t="e">
        <f>VLOOKUP(A176,Enforcements!$C$7:$E$19,3,0)</f>
        <v>#N/A</v>
      </c>
      <c r="AD176" s="58" t="str">
        <f t="shared" si="50"/>
        <v>1817-01</v>
      </c>
      <c r="AE176" s="87" t="str">
        <f t="shared" si="51"/>
        <v>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 &amp; aws s3 cp s3://rtdc.mdm.uploadarchive.raw/RTDC4044/ "%USERPROFILE%\AppData\Local\Temp\OnboardLogs"\RTDC4044\2017-01-02 --exclude "*" --recursive --include "*20170102*" &amp; "%USERPROFILE%\Documents\GitHub\mrs-test-scripts\Headless Mode &amp; Sideloading\WalkAndUnGZ.bat" "%USERPROFILE%\AppData\Local\Temp\OnboardLogs"\RTDC4044\2017-01-02</v>
      </c>
      <c r="AF176" s="84" t="str">
        <f t="shared" si="52"/>
        <v>"C:\Program Files (x86)\AstroGrep\AstroGrep.exe" /spath="%USERPROFILE%\AppData\Local\Temp\OnboardLogs" /stypes="app*4044*20170101*" /stext=" 21:.+((SYSTEM_STATE.+slice.+state.+changed )|(ment ac)|(multiple cpu faults)|(system.+state.+changed )|(\[timeout)|(PRM\|1\|D)|(kpr)|(kdp)|(\|lc)|(penalty))" /e /r /s</v>
      </c>
      <c r="AG176" s="1" t="str">
        <f t="shared" si="53"/>
        <v>NW</v>
      </c>
      <c r="AH176" s="88" t="str">
        <f t="shared" si="54"/>
        <v>"%USERPROFILE%\Documents\GitHub\eaglep3\Utilities\RefineRTDCRunTimes.py" --tripid 1817-01 --locoid 4044 --swversion DE.1.0.8.0 --startMP 204:1083 --initTime 2017-01-01T14:14:57 --startdatetime 2017-01-01T14:21:26 --delay 1 --endMP 300:58939 --enddatetime 2017-01-01T14:35:23 --enforcementcount 0 &gt;&gt;C:\Users\stu\Documents\GitHub\eaglep3-reporting\EC\2017-01-01-refined-times.txt</v>
      </c>
      <c r="AI176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{"issue":{"subject":"","project_id":79,"tracker_id":40,"status_id":1,"priority_id":2,"assigned_to_id":23,"start_date":"2017-01-01","description":"","custom_fields":[{"id":1,"name":"Subdivision","value":"NW"},{"id":4,"name":"Milepost","value":"5.8939"},{"id":17,"name":"Train ID","value":"1817-01"},{"id":16,"name":"Locomotive ID","value":"4044"},{"id":130,"name":"Impact","value":""},{"id":150,"name":"Time of Event (Mountain Time)","value":"14:35:23"},{"id":151,"name":"Denver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56"/>
        <v>start /low /b %USERPROFILE%\Documents\GitHub\eaglep3\Utilities\DownloadLogsFromS3.py --loco 4044 --day 2017-01-01</v>
      </c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4" t="s">
        <v>590</v>
      </c>
      <c r="B177" s="7">
        <v>4043</v>
      </c>
      <c r="C177" s="22" t="s">
        <v>205</v>
      </c>
      <c r="D177" s="22" t="s">
        <v>732</v>
      </c>
      <c r="E177" s="13">
        <v>42736.609236111108</v>
      </c>
      <c r="F177" s="13">
        <v>42736.610891203702</v>
      </c>
      <c r="G177" s="7">
        <v>1</v>
      </c>
      <c r="H177" s="22" t="s">
        <v>730</v>
      </c>
      <c r="I177" s="13">
        <v>42736.621712962966</v>
      </c>
      <c r="J177" s="7">
        <v>0</v>
      </c>
      <c r="K177" s="105" t="str">
        <f t="shared" si="39"/>
        <v>4043/4044</v>
      </c>
      <c r="L177" s="22" t="str">
        <f>VLOOKUP(A177,'Trips&amp;Operators'!$C$1:$G$99999,5,FALSE)</f>
        <v>HAUSER FRANK</v>
      </c>
      <c r="M177" s="6">
        <f t="shared" si="40"/>
        <v>1.082175926421769E-2</v>
      </c>
      <c r="N177" s="7">
        <f t="shared" si="41"/>
        <v>15.583333340473473</v>
      </c>
      <c r="O177" s="7"/>
      <c r="P177" s="7"/>
      <c r="Q177" s="23"/>
      <c r="R177" s="23"/>
      <c r="S177" s="32">
        <f t="shared" si="42"/>
        <v>1</v>
      </c>
      <c r="T177" s="47" t="str">
        <f t="shared" si="43"/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13:37:18-700',mode:absolute,to:'2017-01-01 15:55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7" s="49" t="str">
        <f t="shared" si="45"/>
        <v>N</v>
      </c>
      <c r="X177" s="173">
        <f t="shared" si="46"/>
        <v>1</v>
      </c>
      <c r="Y177" s="64">
        <f t="shared" si="47"/>
        <v>5.8628</v>
      </c>
      <c r="Z177" s="64">
        <f t="shared" si="48"/>
        <v>7.4800000000000005E-2</v>
      </c>
      <c r="AA177" s="64">
        <f t="shared" si="49"/>
        <v>5.7880000000000003</v>
      </c>
      <c r="AB177" s="61" t="e">
        <f>VLOOKUP(A177,Enforcements!$C$7:$K$19,8,0)</f>
        <v>#N/A</v>
      </c>
      <c r="AC177" s="57" t="e">
        <f>VLOOKUP(A177,Enforcements!$C$7:$E$19,3,0)</f>
        <v>#N/A</v>
      </c>
      <c r="AD177" s="58" t="str">
        <f t="shared" si="50"/>
        <v>1818-01</v>
      </c>
      <c r="AE177" s="87" t="str">
        <f t="shared" si="51"/>
        <v>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 &amp; 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</v>
      </c>
      <c r="AF177" s="84" t="str">
        <f t="shared" si="52"/>
        <v>"C:\Program Files (x86)\AstroGrep\AstroGrep.exe" /spath="%USERPROFILE%\AppData\Local\Temp\OnboardLogs" /stypes="app*4043*20170101*" /stext=" 21:.+((SYSTEM_STATE.+slice.+state.+changed )|(ment ac)|(multiple cpu faults)|(system.+state.+changed )|(\[timeout)|(PRM\|1\|D)|(kpr)|(kdp)|(\|lc)|(penalty))" /e /r /s</v>
      </c>
      <c r="AG177" s="1" t="str">
        <f t="shared" si="53"/>
        <v>NW</v>
      </c>
      <c r="AH177" s="88" t="str">
        <f t="shared" si="54"/>
        <v>"%USERPROFILE%\Documents\GitHub\eaglep3\Utilities\RefineRTDCRunTimes.py" --tripid 1818-01 --locoid 4043 --swversion DE.1.0.8.0 --startMP 300:58628 --initTime 2017-01-01T14:37:18 --startdatetime 2017-01-01T14:39:41 --delay 1 --endMP 204:748 --enddatetime 2017-01-01T14:55:16 --enforcementcount 0 &gt;&gt;C:\Users\stu\Documents\GitHub\eaglep3-reporting\EC\2017-01-01-refined-times.txt</v>
      </c>
      <c r="AI177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{"issue":{"subject":"","project_id":79,"tracker_id":40,"status_id":1,"priority_id":2,"assigned_to_id":23,"start_date":"2017-01-01","description":"","custom_fields":[{"id":1,"name":"Subdivision","value":"NW"},{"id":4,"name":"Milepost","value":"0.0748"},{"id":17,"name":"Train ID","value":"1818-01"},{"id":16,"name":"Locomotive ID","value":"4043"},{"id":130,"name":"Impact","value":""},{"id":150,"name":"Time of Event (Mountain Time)","value":"14:55:16"},{"id":151,"name":"Denver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56"/>
        <v>start /low /b %USERPROFILE%\Documents\GitHub\eaglep3\Utilities\DownloadLogsFromS3.py --loco 4043 --day 2017-01-01</v>
      </c>
    </row>
    <row r="178" spans="1:91" x14ac:dyDescent="0.25">
      <c r="A178" s="34" t="s">
        <v>598</v>
      </c>
      <c r="B178" s="7">
        <v>4044</v>
      </c>
      <c r="C178" s="22" t="s">
        <v>205</v>
      </c>
      <c r="D178" s="22" t="s">
        <v>736</v>
      </c>
      <c r="E178" s="13">
        <v>42736.637986111113</v>
      </c>
      <c r="F178" s="13">
        <v>42736.639780092592</v>
      </c>
      <c r="G178" s="7">
        <v>1</v>
      </c>
      <c r="H178" s="22" t="s">
        <v>419</v>
      </c>
      <c r="I178" s="13">
        <v>42736.650254629632</v>
      </c>
      <c r="J178" s="7">
        <v>0</v>
      </c>
      <c r="K178" s="105" t="str">
        <f t="shared" si="39"/>
        <v>4043/4044</v>
      </c>
      <c r="L178" s="22" t="str">
        <f>VLOOKUP(A178,'Trips&amp;Operators'!$C$1:$G$99999,5,FALSE)</f>
        <v>HELVIE ADAM</v>
      </c>
      <c r="M178" s="6">
        <f t="shared" si="40"/>
        <v>1.0474537040863652E-2</v>
      </c>
      <c r="N178" s="7">
        <f t="shared" si="41"/>
        <v>15.083333338843659</v>
      </c>
      <c r="O178" s="7"/>
      <c r="P178" s="7"/>
      <c r="Q178" s="23"/>
      <c r="R178" s="23"/>
      <c r="S178" s="32">
        <f t="shared" si="42"/>
        <v>1</v>
      </c>
      <c r="T178" s="47" t="str">
        <f t="shared" si="43"/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14:18:42-700',mode:absolute,to:'2017-01-01 16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8" s="49" t="str">
        <f t="shared" si="45"/>
        <v>N</v>
      </c>
      <c r="X178" s="173">
        <f t="shared" si="46"/>
        <v>1</v>
      </c>
      <c r="Y178" s="64">
        <f t="shared" si="47"/>
        <v>0.10340000000000001</v>
      </c>
      <c r="Z178" s="64">
        <f t="shared" si="48"/>
        <v>5.8935000000000004</v>
      </c>
      <c r="AA178" s="64">
        <f t="shared" si="49"/>
        <v>5.7901000000000007</v>
      </c>
      <c r="AB178" s="61" t="e">
        <f>VLOOKUP(A178,Enforcements!$C$7:$K$19,8,0)</f>
        <v>#N/A</v>
      </c>
      <c r="AC178" s="57" t="e">
        <f>VLOOKUP(A178,Enforcements!$C$7:$E$19,3,0)</f>
        <v>#N/A</v>
      </c>
      <c r="AD178" s="58" t="str">
        <f t="shared" si="50"/>
        <v>1819-01</v>
      </c>
      <c r="AE178" s="87" t="str">
        <f t="shared" si="51"/>
        <v>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 &amp; aws s3 cp s3://rtdc.mdm.uploadarchive.raw/RTDC4044/ "%USERPROFILE%\AppData\Local\Temp\OnboardLogs"\RTDC4044\2017-01-02 --exclude "*" --recursive --include "*20170102*" &amp; "%USERPROFILE%\Documents\GitHub\mrs-test-scripts\Headless Mode &amp; Sideloading\WalkAndUnGZ.bat" "%USERPROFILE%\AppData\Local\Temp\OnboardLogs"\RTDC4044\2017-01-02</v>
      </c>
      <c r="AF178" s="84" t="str">
        <f t="shared" si="52"/>
        <v>"C:\Program Files (x86)\AstroGrep\AstroGrep.exe" /spath="%USERPROFILE%\AppData\Local\Temp\OnboardLogs" /stypes="app*4044*20170101*" /stext=" 22:.+((SYSTEM_STATE.+slice.+state.+changed )|(ment ac)|(multiple cpu faults)|(system.+state.+changed )|(\[timeout)|(PRM\|1\|D)|(kpr)|(kdp)|(\|lc)|(penalty))" /e /r /s</v>
      </c>
      <c r="AG178" s="1" t="str">
        <f t="shared" si="53"/>
        <v>NW</v>
      </c>
      <c r="AH178" s="88" t="str">
        <f t="shared" si="54"/>
        <v>"%USERPROFILE%\Documents\GitHub\eaglep3\Utilities\RefineRTDCRunTimes.py" --tripid 1819-01 --locoid 4044 --swversion DE.1.0.8.0 --startMP 204:1034 --initTime 2017-01-01T15:18:42 --startdatetime 2017-01-01T15:21:17 --delay 1 --endMP 300:58935 --enddatetime 2017-01-01T15:36:22 --enforcementcount 0 &gt;&gt;C:\Users\stu\Documents\GitHub\eaglep3-reporting\EC\2017-01-01-refined-times.txt</v>
      </c>
      <c r="AI178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{"issue":{"subject":"","project_id":79,"tracker_id":40,"status_id":1,"priority_id":2,"assigned_to_id":23,"start_date":"2017-01-01","description":"","custom_fields":[{"id":1,"name":"Subdivision","value":"NW"},{"id":4,"name":"Milepost","value":"5.8935"},{"id":17,"name":"Train ID","value":"1819-01"},{"id":16,"name":"Locomotive ID","value":"4044"},{"id":130,"name":"Impact","value":""},{"id":150,"name":"Time of Event (Mountain Time)","value":"15:36:22"},{"id":151,"name":"Denver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56"/>
        <v>start /low /b %USERPROFILE%\Documents\GitHub\eaglep3\Utilities\DownloadLogsFromS3.py --loco 4044 --day 2017-01-01</v>
      </c>
    </row>
    <row r="179" spans="1:91" x14ac:dyDescent="0.25">
      <c r="A179" s="34" t="s">
        <v>603</v>
      </c>
      <c r="B179" s="7">
        <v>4043</v>
      </c>
      <c r="C179" s="22" t="s">
        <v>205</v>
      </c>
      <c r="D179" s="22" t="s">
        <v>732</v>
      </c>
      <c r="E179" s="13">
        <v>42736.651296296295</v>
      </c>
      <c r="F179" s="13">
        <v>42736.652777777781</v>
      </c>
      <c r="G179" s="7">
        <v>1</v>
      </c>
      <c r="H179" s="22" t="s">
        <v>737</v>
      </c>
      <c r="I179" s="13">
        <v>42736.662997685184</v>
      </c>
      <c r="J179" s="7">
        <v>0</v>
      </c>
      <c r="K179" s="105" t="str">
        <f t="shared" si="39"/>
        <v>4043/4044</v>
      </c>
      <c r="L179" s="22" t="str">
        <f>VLOOKUP(A179,'Trips&amp;Operators'!$C$1:$G$99999,5,FALSE)</f>
        <v>HELVIE ADAM</v>
      </c>
      <c r="M179" s="6">
        <f t="shared" si="40"/>
        <v>1.0219907402643003E-2</v>
      </c>
      <c r="N179" s="7">
        <f t="shared" si="41"/>
        <v>14.716666659805924</v>
      </c>
      <c r="O179" s="7"/>
      <c r="P179" s="7"/>
      <c r="Q179" s="23"/>
      <c r="R179" s="23"/>
      <c r="S179" s="32">
        <f t="shared" si="42"/>
        <v>1</v>
      </c>
      <c r="T179" s="47" t="str">
        <f t="shared" si="43"/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14:37:52-700',mode:absolute,to:'2017-01-01 16:54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9" s="49" t="str">
        <f t="shared" si="45"/>
        <v>N</v>
      </c>
      <c r="X179" s="173">
        <f t="shared" si="46"/>
        <v>1</v>
      </c>
      <c r="Y179" s="64">
        <f t="shared" si="47"/>
        <v>5.8628</v>
      </c>
      <c r="Z179" s="64">
        <f t="shared" si="48"/>
        <v>7.8899999999999998E-2</v>
      </c>
      <c r="AA179" s="64">
        <f t="shared" si="49"/>
        <v>5.7839</v>
      </c>
      <c r="AB179" s="61" t="e">
        <f>VLOOKUP(A179,Enforcements!$C$7:$K$19,8,0)</f>
        <v>#N/A</v>
      </c>
      <c r="AC179" s="57" t="e">
        <f>VLOOKUP(A179,Enforcements!$C$7:$E$19,3,0)</f>
        <v>#N/A</v>
      </c>
      <c r="AD179" s="58" t="str">
        <f t="shared" si="50"/>
        <v>1820-01</v>
      </c>
      <c r="AE179" s="87" t="str">
        <f t="shared" si="51"/>
        <v>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 &amp; 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</v>
      </c>
      <c r="AF179" s="84" t="str">
        <f t="shared" si="52"/>
        <v>"C:\Program Files (x86)\AstroGrep\AstroGrep.exe" /spath="%USERPROFILE%\AppData\Local\Temp\OnboardLogs" /stypes="app*4043*20170101*" /stext=" 22:.+((SYSTEM_STATE.+slice.+state.+changed )|(ment ac)|(multiple cpu faults)|(system.+state.+changed )|(\[timeout)|(PRM\|1\|D)|(kpr)|(kdp)|(\|lc)|(penalty))" /e /r /s</v>
      </c>
      <c r="AG179" s="1" t="str">
        <f t="shared" si="53"/>
        <v>NW</v>
      </c>
      <c r="AH179" s="88" t="str">
        <f t="shared" si="54"/>
        <v>"%USERPROFILE%\Documents\GitHub\eaglep3\Utilities\RefineRTDCRunTimes.py" --tripid 1820-01 --locoid 4043 --swversion DE.1.0.8.0 --startMP 300:58628 --initTime 2017-01-01T15:37:52 --startdatetime 2017-01-01T15:40:00 --delay 1 --endMP 204:789 --enddatetime 2017-01-01T15:54:43 --enforcementcount 0 &gt;&gt;C:\Users\stu\Documents\GitHub\eaglep3-reporting\EC\2017-01-01-refined-times.txt</v>
      </c>
      <c r="AI179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{"issue":{"subject":"","project_id":79,"tracker_id":40,"status_id":1,"priority_id":2,"assigned_to_id":23,"start_date":"2017-01-01","description":"","custom_fields":[{"id":1,"name":"Subdivision","value":"NW"},{"id":4,"name":"Milepost","value":"0.0789"},{"id":17,"name":"Train ID","value":"1820-01"},{"id":16,"name":"Locomotive ID","value":"4043"},{"id":130,"name":"Impact","value":""},{"id":150,"name":"Time of Event (Mountain Time)","value":"15:54:43"},{"id":151,"name":"Denver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56"/>
        <v>start /low /b %USERPROFILE%\Documents\GitHub\eaglep3\Utilities\DownloadLogsFromS3.py --loco 4043 --day 2017-01-01</v>
      </c>
    </row>
    <row r="180" spans="1:91" x14ac:dyDescent="0.25">
      <c r="A180" s="34" t="s">
        <v>607</v>
      </c>
      <c r="B180" s="7">
        <v>4044</v>
      </c>
      <c r="C180" s="22" t="s">
        <v>205</v>
      </c>
      <c r="D180" s="22" t="s">
        <v>738</v>
      </c>
      <c r="E180" s="13">
        <v>42736.675763888888</v>
      </c>
      <c r="F180" s="13">
        <v>42736.681481481479</v>
      </c>
      <c r="G180" s="7">
        <v>1</v>
      </c>
      <c r="H180" s="22" t="s">
        <v>343</v>
      </c>
      <c r="I180" s="13">
        <v>42736.692442129628</v>
      </c>
      <c r="J180" s="7">
        <v>0</v>
      </c>
      <c r="K180" s="105" t="str">
        <f t="shared" si="39"/>
        <v>4043/4044</v>
      </c>
      <c r="L180" s="22" t="str">
        <f>VLOOKUP(A180,'Trips&amp;Operators'!$C$1:$G$99999,5,FALSE)</f>
        <v>HOLCOMB KAMDEN</v>
      </c>
      <c r="M180" s="6">
        <f t="shared" si="40"/>
        <v>1.096064814919373E-2</v>
      </c>
      <c r="N180" s="7">
        <f t="shared" si="41"/>
        <v>15.783333334838971</v>
      </c>
      <c r="O180" s="7"/>
      <c r="P180" s="7"/>
      <c r="Q180" s="23"/>
      <c r="R180" s="23"/>
      <c r="S180" s="32">
        <f t="shared" si="42"/>
        <v>1</v>
      </c>
      <c r="T180" s="47" t="str">
        <f t="shared" si="43"/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15:13:06-700',mode:absolute,to:'2017-01-01 17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0" s="49" t="str">
        <f t="shared" si="45"/>
        <v>N</v>
      </c>
      <c r="X180" s="173">
        <f t="shared" si="46"/>
        <v>1</v>
      </c>
      <c r="Y180" s="64">
        <f t="shared" si="47"/>
        <v>0.10929999999999999</v>
      </c>
      <c r="Z180" s="64">
        <f t="shared" si="48"/>
        <v>5.8929</v>
      </c>
      <c r="AA180" s="64">
        <f t="shared" si="49"/>
        <v>5.7835999999999999</v>
      </c>
      <c r="AB180" s="61" t="e">
        <f>VLOOKUP(A180,Enforcements!$C$7:$K$19,8,0)</f>
        <v>#N/A</v>
      </c>
      <c r="AC180" s="57" t="e">
        <f>VLOOKUP(A180,Enforcements!$C$7:$E$19,3,0)</f>
        <v>#N/A</v>
      </c>
      <c r="AD180" s="58" t="str">
        <f t="shared" si="50"/>
        <v>1821-01</v>
      </c>
      <c r="AE180" s="87" t="str">
        <f t="shared" si="51"/>
        <v>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 &amp; aws s3 cp s3://rtdc.mdm.uploadarchive.raw/RTDC4044/ "%USERPROFILE%\AppData\Local\Temp\OnboardLogs"\RTDC4044\2017-01-02 --exclude "*" --recursive --include "*20170102*" &amp; "%USERPROFILE%\Documents\GitHub\mrs-test-scripts\Headless Mode &amp; Sideloading\WalkAndUnGZ.bat" "%USERPROFILE%\AppData\Local\Temp\OnboardLogs"\RTDC4044\2017-01-02</v>
      </c>
      <c r="AF180" s="84" t="str">
        <f t="shared" si="52"/>
        <v>"C:\Program Files (x86)\AstroGrep\AstroGrep.exe" /spath="%USERPROFILE%\AppData\Local\Temp\OnboardLogs" /stypes="app*4044*20170101*" /stext=" 23:.+((SYSTEM_STATE.+slice.+state.+changed )|(ment ac)|(multiple cpu faults)|(system.+state.+changed )|(\[timeout)|(PRM\|1\|D)|(kpr)|(kdp)|(\|lc)|(penalty))" /e /r /s</v>
      </c>
      <c r="AG180" s="1" t="str">
        <f t="shared" si="53"/>
        <v>NW</v>
      </c>
      <c r="AH180" s="88" t="str">
        <f t="shared" si="54"/>
        <v>"%USERPROFILE%\Documents\GitHub\eaglep3\Utilities\RefineRTDCRunTimes.py" --tripid 1821-01 --locoid 4044 --swversion DE.1.0.8.0 --startMP 204:1093 --initTime 2017-01-01T16:13:06 --startdatetime 2017-01-01T16:21:20 --delay 1 --endMP 300:58929 --enddatetime 2017-01-01T16:37:07 --enforcementcount 0 &gt;&gt;C:\Users\stu\Documents\GitHub\eaglep3-reporting\EC\2017-01-01-refined-times.txt</v>
      </c>
      <c r="AI180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{"issue":{"subject":"","project_id":79,"tracker_id":40,"status_id":1,"priority_id":2,"assigned_to_id":23,"start_date":"2017-01-01","description":"","custom_fields":[{"id":1,"name":"Subdivision","value":"NW"},{"id":4,"name":"Milepost","value":"5.8929"},{"id":17,"name":"Train ID","value":"1821-01"},{"id":16,"name":"Locomotive ID","value":"4044"},{"id":130,"name":"Impact","value":""},{"id":150,"name":"Time of Event (Mountain Time)","value":"16:37:07"},{"id":151,"name":"Denver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56"/>
        <v>start /low /b %USERPROFILE%\Documents\GitHub\eaglep3\Utilities\DownloadLogsFromS3.py --loco 4044 --day 2017-01-01</v>
      </c>
    </row>
    <row r="181" spans="1:91" x14ac:dyDescent="0.25">
      <c r="A181" s="34" t="s">
        <v>612</v>
      </c>
      <c r="B181" s="7">
        <v>4043</v>
      </c>
      <c r="C181" s="22" t="s">
        <v>205</v>
      </c>
      <c r="D181" s="22" t="s">
        <v>739</v>
      </c>
      <c r="E181" s="13">
        <v>42736.704131944447</v>
      </c>
      <c r="F181" s="13">
        <v>42736.704930555556</v>
      </c>
      <c r="G181" s="7">
        <v>1</v>
      </c>
      <c r="H181" s="22" t="s">
        <v>739</v>
      </c>
      <c r="I181" s="13">
        <v>42736.704965277779</v>
      </c>
      <c r="J181" s="7">
        <v>0</v>
      </c>
      <c r="K181" s="105" t="str">
        <f t="shared" si="39"/>
        <v>4043/4044</v>
      </c>
      <c r="L181" s="22" t="str">
        <f>VLOOKUP(A181,'Trips&amp;Operators'!$C$1:$G$99999,5,FALSE)</f>
        <v>HOLCOMB KAMDEN</v>
      </c>
      <c r="M181" s="6">
        <f t="shared" si="40"/>
        <v>3.4722223062999547E-5</v>
      </c>
      <c r="N181" s="7"/>
      <c r="O181" s="7"/>
      <c r="P181" s="7">
        <f>24*60*SUM($M181:$M182)</f>
        <v>10.333333339076489</v>
      </c>
      <c r="Q181" s="23"/>
      <c r="R181" s="23" t="s">
        <v>934</v>
      </c>
      <c r="S181" s="32">
        <f>SUM(U181:U182)/IF(AG181="EC",12,1)</f>
        <v>0</v>
      </c>
      <c r="T181" s="47" t="str">
        <f t="shared" si="43"/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0</v>
      </c>
      <c r="V181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15:53:57-700',mode:absolute,to:'2017-01-01 17:55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1" s="49" t="str">
        <f t="shared" si="45"/>
        <v>Y</v>
      </c>
      <c r="X181" s="173">
        <f t="shared" si="46"/>
        <v>1</v>
      </c>
      <c r="Y181" s="64">
        <f t="shared" si="47"/>
        <v>1.3976</v>
      </c>
      <c r="Z181" s="64">
        <f t="shared" si="48"/>
        <v>1.3976</v>
      </c>
      <c r="AA181" s="64">
        <f t="shared" si="49"/>
        <v>0</v>
      </c>
      <c r="AB181" s="61" t="e">
        <f>VLOOKUP(A181,Enforcements!$C$7:$K$19,8,0)</f>
        <v>#N/A</v>
      </c>
      <c r="AC181" s="57" t="e">
        <f>VLOOKUP(A181,Enforcements!$C$7:$E$19,3,0)</f>
        <v>#N/A</v>
      </c>
      <c r="AD181" s="58" t="str">
        <f t="shared" si="50"/>
        <v>1822-01</v>
      </c>
      <c r="AE181" s="87" t="str">
        <f t="shared" si="51"/>
        <v>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 &amp; 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</v>
      </c>
      <c r="AF181" s="84" t="str">
        <f t="shared" si="52"/>
        <v>"C:\Program Files (x86)\AstroGrep\AstroGrep.exe" /spath="%USERPROFILE%\AppData\Local\Temp\OnboardLogs" /stypes="app*4043*20170101*" /stext=" 23:.+((SYSTEM_STATE.+slice.+state.+changed )|(ment ac)|(multiple cpu faults)|(system.+state.+changed )|(\[timeout)|(PRM\|1\|D)|(kpr)|(kdp)|(\|lc)|(penalty))" /e /r /s</v>
      </c>
      <c r="AG181" s="1" t="str">
        <f t="shared" si="53"/>
        <v>NW</v>
      </c>
      <c r="AH181" s="88" t="str">
        <f t="shared" si="54"/>
        <v>"%USERPROFILE%\Documents\GitHub\eaglep3\Utilities\RefineRTDCRunTimes.py" --tripid 1822-01 --locoid 4043 --swversion DE.1.0.8.0 --startMP 300:13976 --initTime 2017-01-01T16:53:57 --startdatetime 2017-01-01T16:55:06 --delay 1 --endMP 300:13976 --enddatetime 2017-01-01T16:55:09 --enforcementcount 0 &gt;&gt;C:\Users\stu\Documents\GitHub\eaglep3-reporting\EC\2017-01-01-refined-times.txt</v>
      </c>
      <c r="AI181" s="115" t="str">
        <f t="shared" si="55"/>
        <v>echo {"issue":{"subject":"Wi-MAX data drop, then Onboard in-route failure","project_id":79,"tracker_id":40,"status_id":1,"priority_id":2,"assigned_to_id":23,"start_date":"2017-01-01","description":"","custom_fields":[{"id":1,"name":"Subdivision","value":"NW"},{"id":4,"name":"Milepost","value":"1.3976"},{"id":17,"name":"Train ID","value":"1822-01"},{"id":16,"name":"Locomotive ID","value":"4043"},{"id":130,"name":"Impact","value":""},{"id":150,"name":"Time of Event (Mountain Time)","value":"16:55:09"},{"id":151,"name":"Denver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56"/>
        <v>start /low /b %USERPROFILE%\Documents\GitHub\eaglep3\Utilities\DownloadLogsFromS3.py --loco 4043 --day 2017-01-01</v>
      </c>
    </row>
    <row r="182" spans="1:91" x14ac:dyDescent="0.25">
      <c r="A182" s="34" t="s">
        <v>612</v>
      </c>
      <c r="B182" s="7">
        <v>4043</v>
      </c>
      <c r="C182" s="22" t="s">
        <v>205</v>
      </c>
      <c r="D182" s="22" t="s">
        <v>422</v>
      </c>
      <c r="E182" s="13">
        <v>42736.694166666668</v>
      </c>
      <c r="F182" s="13">
        <v>42736.695150462961</v>
      </c>
      <c r="G182" s="7">
        <v>1</v>
      </c>
      <c r="H182" s="22" t="s">
        <v>740</v>
      </c>
      <c r="I182" s="13">
        <v>42736.702291666668</v>
      </c>
      <c r="J182" s="7">
        <v>0</v>
      </c>
      <c r="K182" s="105" t="str">
        <f t="shared" si="39"/>
        <v>4043/4044</v>
      </c>
      <c r="L182" s="22" t="str">
        <f>VLOOKUP(A182,'Trips&amp;Operators'!$C$1:$G$99999,5,FALSE)</f>
        <v>HOLCOMB KAMDEN</v>
      </c>
      <c r="M182" s="6">
        <f t="shared" si="40"/>
        <v>7.1412037068512291E-3</v>
      </c>
      <c r="N182" s="7"/>
      <c r="O182" s="7"/>
      <c r="P182" s="7"/>
      <c r="Q182" s="23"/>
      <c r="R182" s="23"/>
      <c r="S182" s="32"/>
      <c r="T182" s="47" t="str">
        <f t="shared" si="43"/>
        <v>Southbound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0</v>
      </c>
      <c r="V182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15:39:36-700',mode:absolute,to:'2017-01-01 17:51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2" s="49" t="str">
        <f t="shared" si="45"/>
        <v>Y</v>
      </c>
      <c r="X182" s="173">
        <f t="shared" si="46"/>
        <v>0</v>
      </c>
      <c r="Y182" s="64">
        <f t="shared" si="47"/>
        <v>5.8620999999999999</v>
      </c>
      <c r="Z182" s="64">
        <f t="shared" si="48"/>
        <v>1.3983000000000001</v>
      </c>
      <c r="AA182" s="64">
        <f t="shared" si="49"/>
        <v>4.4638</v>
      </c>
      <c r="AB182" s="61" t="e">
        <f>VLOOKUP(A182,Enforcements!$C$7:$K$19,8,0)</f>
        <v>#N/A</v>
      </c>
      <c r="AC182" s="57" t="e">
        <f>VLOOKUP(A182,Enforcements!$C$7:$E$19,3,0)</f>
        <v>#N/A</v>
      </c>
      <c r="AD182" s="58" t="str">
        <f t="shared" si="50"/>
        <v>1822-01</v>
      </c>
      <c r="AE182" s="87" t="str">
        <f t="shared" si="51"/>
        <v>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 &amp; 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</v>
      </c>
      <c r="AF182" s="84" t="str">
        <f t="shared" si="52"/>
        <v>"C:\Program Files (x86)\AstroGrep\AstroGrep.exe" /spath="%USERPROFILE%\AppData\Local\Temp\OnboardLogs" /stypes="app*4043*20170101*" /stext=" 23:.+((SYSTEM_STATE.+slice.+state.+changed )|(ment ac)|(multiple cpu faults)|(system.+state.+changed )|(\[timeout)|(PRM\|1\|D)|(kpr)|(kdp)|(\|lc)|(penalty))" /e /r /s</v>
      </c>
      <c r="AG182" s="1" t="str">
        <f t="shared" si="53"/>
        <v>NW</v>
      </c>
      <c r="AH182" s="88" t="str">
        <f t="shared" si="54"/>
        <v>"%USERPROFILE%\Documents\GitHub\eaglep3\Utilities\RefineRTDCRunTimes.py" --tripid 1822-01 --locoid 4043 --swversion DE.1.0.8.0 --startMP 300:58621 --initTime 2017-01-01T16:39:36 --startdatetime 2017-01-01T16:41:01 --delay 1 --endMP 300:13983 --enddatetime 2017-01-01T16:51:18 --enforcementcount 0 &gt;&gt;C:\Users\stu\Documents\GitHub\eaglep3-reporting\EC\2017-01-01-refined-times.txt</v>
      </c>
      <c r="AI182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{"issue":{"subject":"","project_id":79,"tracker_id":40,"status_id":1,"priority_id":2,"assigned_to_id":23,"start_date":"2017-01-01","description":"","custom_fields":[{"id":1,"name":"Subdivision","value":"NW"},{"id":4,"name":"Milepost","value":"1.3983"},{"id":17,"name":"Train ID","value":"1822-01"},{"id":16,"name":"Locomotive ID","value":"4043"},{"id":130,"name":"Impact","value":""},{"id":150,"name":"Time of Event (Mountain Time)","value":"16:51:18"},{"id":151,"name":"Denver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56"/>
        <v>start /low /b %USERPROFILE%\Documents\GitHub\eaglep3\Utilities\DownloadLogsFromS3.py --loco 4043 --day 2017-01-01</v>
      </c>
    </row>
    <row r="183" spans="1:91" x14ac:dyDescent="0.25">
      <c r="A183" s="34" t="s">
        <v>616</v>
      </c>
      <c r="B183" s="7">
        <v>4029</v>
      </c>
      <c r="C183" s="22" t="s">
        <v>205</v>
      </c>
      <c r="D183" s="22" t="s">
        <v>741</v>
      </c>
      <c r="E183" s="13">
        <v>42736.72152777778</v>
      </c>
      <c r="F183" s="13">
        <v>42736.723182870373</v>
      </c>
      <c r="G183" s="7">
        <v>1</v>
      </c>
      <c r="H183" s="22" t="s">
        <v>334</v>
      </c>
      <c r="I183" s="13">
        <v>42736.733148148145</v>
      </c>
      <c r="J183" s="7">
        <v>0</v>
      </c>
      <c r="K183" s="105" t="str">
        <f t="shared" si="39"/>
        <v>4029/4030</v>
      </c>
      <c r="L183" s="22" t="str">
        <f>VLOOKUP(A183,'Trips&amp;Operators'!$C$1:$G$99999,5,FALSE)</f>
        <v>HELVIE ADAM</v>
      </c>
      <c r="M183" s="6">
        <f t="shared" si="40"/>
        <v>9.965277771698311E-3</v>
      </c>
      <c r="N183" s="7">
        <f t="shared" si="41"/>
        <v>14.349999991245568</v>
      </c>
      <c r="O183" s="7"/>
      <c r="P183" s="7"/>
      <c r="Q183" s="23"/>
      <c r="R183" s="23"/>
      <c r="S183" s="32">
        <f t="shared" si="42"/>
        <v>1</v>
      </c>
      <c r="T183" s="47" t="str">
        <f t="shared" si="43"/>
        <v>NorthBound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16:19:00-700',mode:absolute,to:'2017-01-01 18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3" s="49" t="str">
        <f t="shared" si="45"/>
        <v>N</v>
      </c>
      <c r="X183" s="173">
        <f t="shared" si="46"/>
        <v>1</v>
      </c>
      <c r="Y183" s="64">
        <f t="shared" si="47"/>
        <v>9.0399999999999994E-2</v>
      </c>
      <c r="Z183" s="64">
        <f t="shared" si="48"/>
        <v>5.8944000000000001</v>
      </c>
      <c r="AA183" s="64">
        <f t="shared" si="49"/>
        <v>5.8040000000000003</v>
      </c>
      <c r="AB183" s="61" t="e">
        <f>VLOOKUP(A183,Enforcements!$C$7:$K$19,8,0)</f>
        <v>#N/A</v>
      </c>
      <c r="AC183" s="57" t="e">
        <f>VLOOKUP(A183,Enforcements!$C$7:$E$19,3,0)</f>
        <v>#N/A</v>
      </c>
      <c r="AD183" s="58" t="str">
        <f t="shared" si="50"/>
        <v>1823-01</v>
      </c>
      <c r="AE183" s="87" t="str">
        <f t="shared" si="51"/>
        <v>aws s3 cp s3://rtdc.mdm.uploadarchive.raw/RTDC4029/ "%USERPROFILE%\AppData\Local\Temp\OnboardLogs"\RTDC4029\2017-01-01 --exclude "*" --recursive --include "*20170101*" &amp; "%USERPROFILE%\Documents\GitHub\mrs-test-scripts\Headless Mode &amp; Sideloading\WalkAndUnGZ.bat" "%USERPROFILE%\AppData\Local\Temp\OnboardLogs"\RTDC4029\2017-01-01 &amp; aws s3 cp s3://rtdc.mdm.uploadarchive.raw/RTDC4029/ "%USERPROFILE%\AppData\Local\Temp\OnboardLogs"\RTDC4029\2017-01-02 --exclude "*" --recursive --include "*20170102*" &amp; "%USERPROFILE%\Documents\GitHub\mrs-test-scripts\Headless Mode &amp; Sideloading\WalkAndUnGZ.bat" "%USERPROFILE%\AppData\Local\Temp\OnboardLogs"\RTDC4029\2017-01-02</v>
      </c>
      <c r="AF183" s="84" t="str">
        <f t="shared" si="52"/>
        <v>"C:\Program Files (x86)\AstroGrep\AstroGrep.exe" /spath="%USERPROFILE%\AppData\Local\Temp\OnboardLogs" /stypes="app*4029*20170102*" /stext=" 00:.+((SYSTEM_STATE.+slice.+state.+changed )|(ment ac)|(multiple cpu faults)|(system.+state.+changed )|(\[timeout)|(PRM\|1\|D)|(kpr)|(kdp)|(\|lc)|(penalty))" /e /r /s</v>
      </c>
      <c r="AG183" s="1" t="str">
        <f t="shared" si="53"/>
        <v>NW</v>
      </c>
      <c r="AH183" s="88" t="str">
        <f t="shared" si="54"/>
        <v>"%USERPROFILE%\Documents\GitHub\eaglep3\Utilities\RefineRTDCRunTimes.py" --tripid 1823-01 --locoid 4029 --swversion DE.1.0.8.0 --startMP 204:904 --initTime 2017-01-01T17:19:00 --startdatetime 2017-01-01T17:21:23 --delay 1 --endMP 300:58944 --enddatetime 2017-01-01T17:35:44 --enforcementcount 0 &gt;&gt;C:\Users\stu\Documents\GitHub\eaglep3-reporting\EC\2017-01-01-refined-times.txt</v>
      </c>
      <c r="AI183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{"issue":{"subject":"","project_id":79,"tracker_id":40,"status_id":1,"priority_id":2,"assigned_to_id":23,"start_date":"2017-01-01","description":"","custom_fields":[{"id":1,"name":"Subdivision","value":"NW"},{"id":4,"name":"Milepost","value":"5.8944"},{"id":17,"name":"Train ID","value":"1823-01"},{"id":16,"name":"Locomotive ID","value":"4029"},{"id":130,"name":"Impact","value":""},{"id":150,"name":"Time of Event (Mountain Time)","value":"17:35:44"},{"id":151,"name":"Denver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56"/>
        <v>start /low /b %USERPROFILE%\Documents\GitHub\eaglep3\Utilities\DownloadLogsFromS3.py --loco 4029 --day 2017-01-01</v>
      </c>
    </row>
    <row r="184" spans="1:91" s="21" customFormat="1" x14ac:dyDescent="0.25">
      <c r="A184" s="34" t="s">
        <v>620</v>
      </c>
      <c r="B184" s="7">
        <v>4030</v>
      </c>
      <c r="C184" s="22" t="s">
        <v>205</v>
      </c>
      <c r="D184" s="22" t="s">
        <v>420</v>
      </c>
      <c r="E184" s="13">
        <v>42736.734513888892</v>
      </c>
      <c r="F184" s="13">
        <v>42736.736701388887</v>
      </c>
      <c r="G184" s="7">
        <v>2</v>
      </c>
      <c r="H184" s="22" t="s">
        <v>366</v>
      </c>
      <c r="I184" s="13">
        <v>42736.749965277777</v>
      </c>
      <c r="J184" s="7">
        <v>0</v>
      </c>
      <c r="K184" s="105" t="str">
        <f t="shared" si="39"/>
        <v>4029/4030</v>
      </c>
      <c r="L184" s="22" t="str">
        <f>VLOOKUP(A184,'Trips&amp;Operators'!$C$1:$G$99999,5,FALSE)</f>
        <v>HELVIE ADAM</v>
      </c>
      <c r="M184" s="6">
        <f t="shared" si="40"/>
        <v>1.3263888889923692E-2</v>
      </c>
      <c r="N184" s="7">
        <f t="shared" si="41"/>
        <v>19.100000001490116</v>
      </c>
      <c r="O184" s="7"/>
      <c r="P184" s="7"/>
      <c r="Q184" s="23"/>
      <c r="R184" s="23"/>
      <c r="S184" s="32">
        <f t="shared" si="42"/>
        <v>1</v>
      </c>
      <c r="T184" s="47" t="str">
        <f t="shared" si="43"/>
        <v>Southbound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16:37:42-700',mode:absolute,to:'2017-01-01 18:59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4" s="49" t="str">
        <f t="shared" si="45"/>
        <v>N</v>
      </c>
      <c r="X184" s="173">
        <f t="shared" si="46"/>
        <v>1</v>
      </c>
      <c r="Y184" s="64">
        <f t="shared" si="47"/>
        <v>5.8624000000000001</v>
      </c>
      <c r="Z184" s="64">
        <f t="shared" si="48"/>
        <v>7.4999999999999997E-2</v>
      </c>
      <c r="AA184" s="64">
        <f t="shared" si="49"/>
        <v>5.7873999999999999</v>
      </c>
      <c r="AB184" s="61" t="e">
        <f>VLOOKUP(A184,Enforcements!$C$7:$K$19,8,0)</f>
        <v>#N/A</v>
      </c>
      <c r="AC184" s="57" t="e">
        <f>VLOOKUP(A184,Enforcements!$C$7:$E$19,3,0)</f>
        <v>#N/A</v>
      </c>
      <c r="AD184" s="58" t="str">
        <f t="shared" si="50"/>
        <v>1824-01</v>
      </c>
      <c r="AE184" s="87" t="str">
        <f t="shared" si="51"/>
        <v>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 &amp; 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</v>
      </c>
      <c r="AF184" s="84" t="str">
        <f t="shared" si="52"/>
        <v>"C:\Program Files (x86)\AstroGrep\AstroGrep.exe" /spath="%USERPROFILE%\AppData\Local\Temp\OnboardLogs" /stypes="app*4030*20170102*" /stext=" 00:.+((SYSTEM_STATE.+slice.+state.+changed )|(ment ac)|(multiple cpu faults)|(system.+state.+changed )|(\[timeout)|(PRM\|1\|D)|(kpr)|(kdp)|(\|lc)|(penalty))" /e /r /s</v>
      </c>
      <c r="AG184" s="1" t="str">
        <f t="shared" si="53"/>
        <v>NW</v>
      </c>
      <c r="AH184" s="88" t="str">
        <f t="shared" si="54"/>
        <v>"%USERPROFILE%\Documents\GitHub\eaglep3\Utilities\RefineRTDCRunTimes.py" --tripid 1824-01 --locoid 4030 --swversion DE.1.0.8.0 --startMP 300:58624 --initTime 2017-01-01T17:37:42 --startdatetime 2017-01-01T17:40:51 --delay 2 --endMP 204:750 --enddatetime 2017-01-01T17:59:57 --enforcementcount 0 &gt;&gt;C:\Users\stu\Documents\GitHub\eaglep3-reporting\EC\2017-01-01-refined-times.txt</v>
      </c>
      <c r="AI184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{"issue":{"subject":"","project_id":79,"tracker_id":40,"status_id":1,"priority_id":2,"assigned_to_id":23,"start_date":"2017-01-01","description":"","custom_fields":[{"id":1,"name":"Subdivision","value":"NW"},{"id":4,"name":"Milepost","value":"0.075"},{"id":17,"name":"Train ID","value":"1824-01"},{"id":16,"name":"Locomotive ID","value":"4030"},{"id":130,"name":"Impact","value":""},{"id":150,"name":"Time of Event (Mountain Time)","value":"17:59:57"},{"id":151,"name":"Denver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56"/>
        <v>start /low /b %USERPROFILE%\Documents\GitHub\eaglep3\Utilities\DownloadLogsFromS3.py --loco 4030 --day 2017-01-01</v>
      </c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4" t="s">
        <v>630</v>
      </c>
      <c r="B185" s="7">
        <v>4029</v>
      </c>
      <c r="C185" s="22" t="s">
        <v>205</v>
      </c>
      <c r="D185" s="22" t="s">
        <v>736</v>
      </c>
      <c r="E185" s="13">
        <v>42736.762627314813</v>
      </c>
      <c r="F185" s="13">
        <v>42736.765034722222</v>
      </c>
      <c r="G185" s="7">
        <v>0</v>
      </c>
      <c r="H185" s="22" t="s">
        <v>742</v>
      </c>
      <c r="I185" s="13">
        <v>42736.775717592594</v>
      </c>
      <c r="J185" s="7">
        <v>0</v>
      </c>
      <c r="K185" s="105" t="str">
        <f t="shared" si="39"/>
        <v>4029/4030</v>
      </c>
      <c r="L185" s="22" t="str">
        <f>VLOOKUP(A185,'Trips&amp;Operators'!$C$1:$G$99999,5,FALSE)</f>
        <v>HELVIE ADAM</v>
      </c>
      <c r="M185" s="6">
        <f t="shared" si="40"/>
        <v>1.0682870371965691E-2</v>
      </c>
      <c r="N185" s="7">
        <f t="shared" si="41"/>
        <v>15.383333335630596</v>
      </c>
      <c r="O185" s="7"/>
      <c r="P185" s="7"/>
      <c r="Q185" s="23"/>
      <c r="R185" s="23"/>
      <c r="S185" s="32">
        <f t="shared" si="42"/>
        <v>1</v>
      </c>
      <c r="T185" s="47" t="str">
        <f t="shared" si="43"/>
        <v>NorthBound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17:18:11-700',mode:absolute,to:'2017-01-01 19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5" s="49" t="str">
        <f t="shared" si="45"/>
        <v>N</v>
      </c>
      <c r="X185" s="173">
        <f t="shared" si="46"/>
        <v>1</v>
      </c>
      <c r="Y185" s="64">
        <f t="shared" si="47"/>
        <v>0.10340000000000001</v>
      </c>
      <c r="Z185" s="64">
        <f t="shared" si="48"/>
        <v>5.8954000000000004</v>
      </c>
      <c r="AA185" s="64">
        <f t="shared" si="49"/>
        <v>5.7920000000000007</v>
      </c>
      <c r="AB185" s="61" t="e">
        <f>VLOOKUP(A185,Enforcements!$C$7:$K$19,8,0)</f>
        <v>#N/A</v>
      </c>
      <c r="AC185" s="57" t="e">
        <f>VLOOKUP(A185,Enforcements!$C$7:$E$19,3,0)</f>
        <v>#N/A</v>
      </c>
      <c r="AD185" s="58" t="str">
        <f t="shared" si="50"/>
        <v>1825-01</v>
      </c>
      <c r="AE185" s="87" t="str">
        <f t="shared" si="51"/>
        <v>aws s3 cp s3://rtdc.mdm.uploadarchive.raw/RTDC4029/ "%USERPROFILE%\AppData\Local\Temp\OnboardLogs"\RTDC4029\2017-01-01 --exclude "*" --recursive --include "*20170101*" &amp; "%USERPROFILE%\Documents\GitHub\mrs-test-scripts\Headless Mode &amp; Sideloading\WalkAndUnGZ.bat" "%USERPROFILE%\AppData\Local\Temp\OnboardLogs"\RTDC4029\2017-01-01 &amp; aws s3 cp s3://rtdc.mdm.uploadarchive.raw/RTDC4029/ "%USERPROFILE%\AppData\Local\Temp\OnboardLogs"\RTDC4029\2017-01-02 --exclude "*" --recursive --include "*20170102*" &amp; "%USERPROFILE%\Documents\GitHub\mrs-test-scripts\Headless Mode &amp; Sideloading\WalkAndUnGZ.bat" "%USERPROFILE%\AppData\Local\Temp\OnboardLogs"\RTDC4029\2017-01-02</v>
      </c>
      <c r="AF185" s="84" t="str">
        <f t="shared" si="52"/>
        <v>"C:\Program Files (x86)\AstroGrep\AstroGrep.exe" /spath="%USERPROFILE%\AppData\Local\Temp\OnboardLogs" /stypes="app*4029*20170102*" /stext=" 01:.+((SYSTEM_STATE.+slice.+state.+changed )|(ment ac)|(multiple cpu faults)|(system.+state.+changed )|(\[timeout)|(PRM\|1\|D)|(kpr)|(kdp)|(\|lc)|(penalty))" /e /r /s</v>
      </c>
      <c r="AG185" s="1" t="str">
        <f t="shared" si="53"/>
        <v>NW</v>
      </c>
      <c r="AH185" s="88" t="str">
        <f t="shared" si="54"/>
        <v>"%USERPROFILE%\Documents\GitHub\eaglep3\Utilities\RefineRTDCRunTimes.py" --tripid 1825-01 --locoid 4029 --swversion DE.1.0.8.0 --startMP 204:1034 --initTime 2017-01-01T18:18:11 --startdatetime 2017-01-01T18:21:39 --delay 0 --endMP 300:58954 --enddatetime 2017-01-01T18:37:02 --enforcementcount 0 &gt;&gt;C:\Users\stu\Documents\GitHub\eaglep3-reporting\EC\2017-01-01-refined-times.txt</v>
      </c>
      <c r="AI185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{"issue":{"subject":"","project_id":79,"tracker_id":40,"status_id":1,"priority_id":2,"assigned_to_id":23,"start_date":"2017-01-01","description":"","custom_fields":[{"id":1,"name":"Subdivision","value":"NW"},{"id":4,"name":"Milepost","value":"5.8954"},{"id":17,"name":"Train ID","value":"1825-01"},{"id":16,"name":"Locomotive ID","value":"4029"},{"id":130,"name":"Impact","value":""},{"id":150,"name":"Time of Event (Mountain Time)","value":"18:37:02"},{"id":151,"name":"Denver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56"/>
        <v>start /low /b %USERPROFILE%\Documents\GitHub\eaglep3\Utilities\DownloadLogsFromS3.py --loco 4029 --day 2017-01-01</v>
      </c>
    </row>
    <row r="186" spans="1:91" s="21" customFormat="1" x14ac:dyDescent="0.25">
      <c r="A186" s="34" t="s">
        <v>460</v>
      </c>
      <c r="B186" s="7">
        <v>4030</v>
      </c>
      <c r="C186" s="22" t="s">
        <v>205</v>
      </c>
      <c r="D186" s="22" t="s">
        <v>743</v>
      </c>
      <c r="E186" s="13">
        <v>42736.777650462966</v>
      </c>
      <c r="F186" s="13">
        <v>42736.779456018521</v>
      </c>
      <c r="G186" s="7">
        <v>1</v>
      </c>
      <c r="H186" s="22" t="s">
        <v>722</v>
      </c>
      <c r="I186" s="13">
        <v>42736.788958333331</v>
      </c>
      <c r="J186" s="7">
        <v>0</v>
      </c>
      <c r="K186" s="105" t="str">
        <f t="shared" si="39"/>
        <v>4029/4030</v>
      </c>
      <c r="L186" s="22" t="str">
        <f>VLOOKUP(A186,'Trips&amp;Operators'!$C$1:$G$99999,5,FALSE)</f>
        <v>HELVIE ADAM</v>
      </c>
      <c r="M186" s="6">
        <f t="shared" si="40"/>
        <v>9.5023148096515797E-3</v>
      </c>
      <c r="N186" s="7">
        <f t="shared" si="41"/>
        <v>13.683333325898275</v>
      </c>
      <c r="O186" s="7"/>
      <c r="P186" s="7"/>
      <c r="Q186" s="23"/>
      <c r="R186" s="23"/>
      <c r="S186" s="32">
        <f t="shared" si="42"/>
        <v>1</v>
      </c>
      <c r="T186" s="47" t="str">
        <f t="shared" si="43"/>
        <v>Southbound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17:39:49-700',mode:absolute,to:'2017-01-01 19:56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6" s="49" t="str">
        <f t="shared" si="45"/>
        <v>N</v>
      </c>
      <c r="X186" s="173">
        <f t="shared" si="46"/>
        <v>1</v>
      </c>
      <c r="Y186" s="64">
        <f t="shared" si="47"/>
        <v>5.8638000000000003</v>
      </c>
      <c r="Z186" s="64">
        <f t="shared" si="48"/>
        <v>7.6399999999999996E-2</v>
      </c>
      <c r="AA186" s="64">
        <f t="shared" si="49"/>
        <v>5.7874000000000008</v>
      </c>
      <c r="AB186" s="61" t="e">
        <f>VLOOKUP(A186,Enforcements!$C$7:$K$19,8,0)</f>
        <v>#N/A</v>
      </c>
      <c r="AC186" s="57" t="e">
        <f>VLOOKUP(A186,Enforcements!$C$7:$E$19,3,0)</f>
        <v>#N/A</v>
      </c>
      <c r="AD186" s="58" t="str">
        <f t="shared" si="50"/>
        <v>1826-01</v>
      </c>
      <c r="AE186" s="87" t="str">
        <f t="shared" si="51"/>
        <v>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 &amp; 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</v>
      </c>
      <c r="AF186" s="84" t="str">
        <f t="shared" si="52"/>
        <v>"C:\Program Files (x86)\AstroGrep\AstroGrep.exe" /spath="%USERPROFILE%\AppData\Local\Temp\OnboardLogs" /stypes="app*4030*20170102*" /stext=" 01:.+((SYSTEM_STATE.+slice.+state.+changed )|(ment ac)|(multiple cpu faults)|(system.+state.+changed )|(\[timeout)|(PRM\|1\|D)|(kpr)|(kdp)|(\|lc)|(penalty))" /e /r /s</v>
      </c>
      <c r="AG186" s="1" t="str">
        <f t="shared" si="53"/>
        <v>NW</v>
      </c>
      <c r="AH186" s="88" t="str">
        <f t="shared" si="54"/>
        <v>"%USERPROFILE%\Documents\GitHub\eaglep3\Utilities\RefineRTDCRunTimes.py" --tripid 1826-01 --locoid 4030 --swversion DE.1.0.8.0 --startMP 300:58638 --initTime 2017-01-01T18:39:49 --startdatetime 2017-01-01T18:42:25 --delay 1 --endMP 204:764 --enddatetime 2017-01-01T18:56:06 --enforcementcount 0 &gt;&gt;C:\Users\stu\Documents\GitHub\eaglep3-reporting\EC\2017-01-01-refined-times.txt</v>
      </c>
      <c r="AI186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{"issue":{"subject":"","project_id":79,"tracker_id":40,"status_id":1,"priority_id":2,"assigned_to_id":23,"start_date":"2017-01-01","description":"","custom_fields":[{"id":1,"name":"Subdivision","value":"NW"},{"id":4,"name":"Milepost","value":"0.0764"},{"id":17,"name":"Train ID","value":"1826-01"},{"id":16,"name":"Locomotive ID","value":"4030"},{"id":130,"name":"Impact","value":""},{"id":150,"name":"Time of Event (Mountain Time)","value":"18:56:06"},{"id":151,"name":"Denver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56"/>
        <v>start /low /b %USERPROFILE%\Documents\GitHub\eaglep3\Utilities\DownloadLogsFromS3.py --loco 4030 --day 2017-01-01</v>
      </c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4" t="s">
        <v>641</v>
      </c>
      <c r="B187" s="7">
        <v>4029</v>
      </c>
      <c r="C187" s="22" t="s">
        <v>205</v>
      </c>
      <c r="D187" s="22" t="s">
        <v>744</v>
      </c>
      <c r="E187" s="13">
        <v>42736.804386574076</v>
      </c>
      <c r="F187" s="13">
        <v>42736.806516203702</v>
      </c>
      <c r="G187" s="7">
        <v>1</v>
      </c>
      <c r="H187" s="22" t="s">
        <v>326</v>
      </c>
      <c r="I187" s="13">
        <v>42736.816388888888</v>
      </c>
      <c r="J187" s="7">
        <v>0</v>
      </c>
      <c r="K187" s="105" t="str">
        <f t="shared" si="39"/>
        <v>4029/4030</v>
      </c>
      <c r="L187" s="22" t="str">
        <f>VLOOKUP(A187,'Trips&amp;Operators'!$C$1:$G$99999,5,FALSE)</f>
        <v>HELVIE ADAM</v>
      </c>
      <c r="M187" s="6">
        <f t="shared" si="40"/>
        <v>9.8726851865649223E-3</v>
      </c>
      <c r="N187" s="7">
        <f t="shared" si="41"/>
        <v>14.216666668653488</v>
      </c>
      <c r="O187" s="7"/>
      <c r="P187" s="7"/>
      <c r="Q187" s="23"/>
      <c r="R187" s="23"/>
      <c r="S187" s="32">
        <f t="shared" si="42"/>
        <v>1</v>
      </c>
      <c r="T187" s="47" t="str">
        <f t="shared" si="43"/>
        <v>NorthBound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18:18:19-700',mode:absolute,to:'2017-01-01 20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7" s="49" t="str">
        <f t="shared" si="45"/>
        <v>N</v>
      </c>
      <c r="X187" s="173">
        <f t="shared" si="46"/>
        <v>1</v>
      </c>
      <c r="Y187" s="64">
        <f t="shared" si="47"/>
        <v>0.1065</v>
      </c>
      <c r="Z187" s="64">
        <f t="shared" si="48"/>
        <v>5.8930999999999996</v>
      </c>
      <c r="AA187" s="64">
        <f t="shared" si="49"/>
        <v>5.7866</v>
      </c>
      <c r="AB187" s="61" t="e">
        <f>VLOOKUP(A187,Enforcements!$C$7:$K$19,8,0)</f>
        <v>#N/A</v>
      </c>
      <c r="AC187" s="57" t="e">
        <f>VLOOKUP(A187,Enforcements!$C$7:$E$19,3,0)</f>
        <v>#N/A</v>
      </c>
      <c r="AD187" s="58" t="str">
        <f t="shared" si="50"/>
        <v>1827-01</v>
      </c>
      <c r="AE187" s="87" t="str">
        <f t="shared" si="51"/>
        <v>aws s3 cp s3://rtdc.mdm.uploadarchive.raw/RTDC4029/ "%USERPROFILE%\AppData\Local\Temp\OnboardLogs"\RTDC4029\2017-01-01 --exclude "*" --recursive --include "*20170101*" &amp; "%USERPROFILE%\Documents\GitHub\mrs-test-scripts\Headless Mode &amp; Sideloading\WalkAndUnGZ.bat" "%USERPROFILE%\AppData\Local\Temp\OnboardLogs"\RTDC4029\2017-01-01 &amp; aws s3 cp s3://rtdc.mdm.uploadarchive.raw/RTDC4029/ "%USERPROFILE%\AppData\Local\Temp\OnboardLogs"\RTDC4029\2017-01-02 --exclude "*" --recursive --include "*20170102*" &amp; "%USERPROFILE%\Documents\GitHub\mrs-test-scripts\Headless Mode &amp; Sideloading\WalkAndUnGZ.bat" "%USERPROFILE%\AppData\Local\Temp\OnboardLogs"\RTDC4029\2017-01-02</v>
      </c>
      <c r="AF187" s="84" t="str">
        <f t="shared" si="52"/>
        <v>"C:\Program Files (x86)\AstroGrep\AstroGrep.exe" /spath="%USERPROFILE%\AppData\Local\Temp\OnboardLogs" /stypes="app*4029*20170102*" /stext=" 02:.+((SYSTEM_STATE.+slice.+state.+changed )|(ment ac)|(multiple cpu faults)|(system.+state.+changed )|(\[timeout)|(PRM\|1\|D)|(kpr)|(kdp)|(\|lc)|(penalty))" /e /r /s</v>
      </c>
      <c r="AG187" s="1" t="str">
        <f t="shared" si="53"/>
        <v>NW</v>
      </c>
      <c r="AH187" s="88" t="str">
        <f t="shared" si="54"/>
        <v>"%USERPROFILE%\Documents\GitHub\eaglep3\Utilities\RefineRTDCRunTimes.py" --tripid 1827-01 --locoid 4029 --swversion DE.1.0.8.0 --startMP 204:1065 --initTime 2017-01-01T19:18:19 --startdatetime 2017-01-01T19:21:23 --delay 1 --endMP 300:58931 --enddatetime 2017-01-01T19:35:36 --enforcementcount 0 &gt;&gt;C:\Users\stu\Documents\GitHub\eaglep3-reporting\EC\2017-01-01-refined-times.txt</v>
      </c>
      <c r="AI187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{"issue":{"subject":"","project_id":79,"tracker_id":40,"status_id":1,"priority_id":2,"assigned_to_id":23,"start_date":"2017-01-01","description":"","custom_fields":[{"id":1,"name":"Subdivision","value":"NW"},{"id":4,"name":"Milepost","value":"5.8931"},{"id":17,"name":"Train ID","value":"1827-01"},{"id":16,"name":"Locomotive ID","value":"4029"},{"id":130,"name":"Impact","value":""},{"id":150,"name":"Time of Event (Mountain Time)","value":"19:35:36"},{"id":151,"name":"Denver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56"/>
        <v>start /low /b %USERPROFILE%\Documents\GitHub\eaglep3\Utilities\DownloadLogsFromS3.py --loco 4029 --day 2017-01-01</v>
      </c>
    </row>
    <row r="188" spans="1:91" x14ac:dyDescent="0.25">
      <c r="A188" s="34" t="s">
        <v>644</v>
      </c>
      <c r="B188" s="7">
        <v>4030</v>
      </c>
      <c r="C188" s="22" t="s">
        <v>205</v>
      </c>
      <c r="D188" s="22" t="s">
        <v>365</v>
      </c>
      <c r="E188" s="13">
        <v>42736.817604166667</v>
      </c>
      <c r="F188" s="13">
        <v>42736.818831018521</v>
      </c>
      <c r="G188" s="7">
        <v>1</v>
      </c>
      <c r="H188" s="22" t="s">
        <v>745</v>
      </c>
      <c r="I188" s="13">
        <v>42736.829861111109</v>
      </c>
      <c r="J188" s="7">
        <v>0</v>
      </c>
      <c r="K188" s="105" t="str">
        <f t="shared" si="39"/>
        <v>4029/4030</v>
      </c>
      <c r="L188" s="22" t="str">
        <f>VLOOKUP(A188,'Trips&amp;Operators'!$C$1:$G$99999,5,FALSE)</f>
        <v>HELVIE ADAM</v>
      </c>
      <c r="M188" s="6">
        <f t="shared" si="40"/>
        <v>1.1030092588043772E-2</v>
      </c>
      <c r="N188" s="7">
        <f t="shared" si="41"/>
        <v>15.883333326783031</v>
      </c>
      <c r="O188" s="7"/>
      <c r="P188" s="7"/>
      <c r="Q188" s="23"/>
      <c r="R188" s="23"/>
      <c r="S188" s="32">
        <f t="shared" si="42"/>
        <v>1</v>
      </c>
      <c r="T188" s="47" t="str">
        <f t="shared" si="43"/>
        <v>Southbound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18:37:21-700',mode:absolute,to:'2017-01-01 20:55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8" s="49" t="str">
        <f t="shared" si="45"/>
        <v>N</v>
      </c>
      <c r="X188" s="173">
        <f t="shared" si="46"/>
        <v>1</v>
      </c>
      <c r="Y188" s="64">
        <f t="shared" si="47"/>
        <v>5.8630000000000004</v>
      </c>
      <c r="Z188" s="64">
        <f t="shared" si="48"/>
        <v>7.8200000000000006E-2</v>
      </c>
      <c r="AA188" s="64">
        <f t="shared" si="49"/>
        <v>5.7848000000000006</v>
      </c>
      <c r="AB188" s="61" t="e">
        <f>VLOOKUP(A188,Enforcements!$C$7:$K$19,8,0)</f>
        <v>#N/A</v>
      </c>
      <c r="AC188" s="57" t="e">
        <f>VLOOKUP(A188,Enforcements!$C$7:$E$19,3,0)</f>
        <v>#N/A</v>
      </c>
      <c r="AD188" s="58" t="str">
        <f t="shared" si="50"/>
        <v>1828-01</v>
      </c>
      <c r="AE188" s="87" t="str">
        <f t="shared" si="51"/>
        <v>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 &amp; 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</v>
      </c>
      <c r="AF188" s="84" t="str">
        <f t="shared" si="52"/>
        <v>"C:\Program Files (x86)\AstroGrep\AstroGrep.exe" /spath="%USERPROFILE%\AppData\Local\Temp\OnboardLogs" /stypes="app*4030*20170102*" /stext=" 02:.+((SYSTEM_STATE.+slice.+state.+changed )|(ment ac)|(multiple cpu faults)|(system.+state.+changed )|(\[timeout)|(PRM\|1\|D)|(kpr)|(kdp)|(\|lc)|(penalty))" /e /r /s</v>
      </c>
      <c r="AG188" s="1" t="str">
        <f t="shared" si="53"/>
        <v>NW</v>
      </c>
      <c r="AH188" s="88" t="str">
        <f t="shared" si="54"/>
        <v>"%USERPROFILE%\Documents\GitHub\eaglep3\Utilities\RefineRTDCRunTimes.py" --tripid 1828-01 --locoid 4030 --swversion DE.1.0.8.0 --startMP 300:58630 --initTime 2017-01-01T19:37:21 --startdatetime 2017-01-01T19:39:07 --delay 1 --endMP 204:782 --enddatetime 2017-01-01T19:55:00 --enforcementcount 0 &gt;&gt;C:\Users\stu\Documents\GitHub\eaglep3-reporting\EC\2017-01-01-refined-times.txt</v>
      </c>
      <c r="AI188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{"issue":{"subject":"","project_id":79,"tracker_id":40,"status_id":1,"priority_id":2,"assigned_to_id":23,"start_date":"2017-01-01","description":"","custom_fields":[{"id":1,"name":"Subdivision","value":"NW"},{"id":4,"name":"Milepost","value":"0.0782"},{"id":17,"name":"Train ID","value":"1828-01"},{"id":16,"name":"Locomotive ID","value":"4030"},{"id":130,"name":"Impact","value":""},{"id":150,"name":"Time of Event (Mountain Time)","value":"19:55:00"},{"id":151,"name":"Denver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56"/>
        <v>start /low /b %USERPROFILE%\Documents\GitHub\eaglep3\Utilities\DownloadLogsFromS3.py --loco 4030 --day 2017-01-01</v>
      </c>
    </row>
    <row r="189" spans="1:91" x14ac:dyDescent="0.25">
      <c r="A189" s="34" t="s">
        <v>650</v>
      </c>
      <c r="B189" s="7">
        <v>4029</v>
      </c>
      <c r="C189" s="22" t="s">
        <v>205</v>
      </c>
      <c r="D189" s="22" t="s">
        <v>720</v>
      </c>
      <c r="E189" s="13">
        <v>42736.845960648148</v>
      </c>
      <c r="F189" s="13">
        <v>42736.848425925928</v>
      </c>
      <c r="G189" s="7">
        <v>1</v>
      </c>
      <c r="H189" s="22" t="s">
        <v>423</v>
      </c>
      <c r="I189" s="13">
        <v>42736.858310185184</v>
      </c>
      <c r="J189" s="7">
        <v>0</v>
      </c>
      <c r="K189" s="105" t="str">
        <f t="shared" si="39"/>
        <v>4029/4030</v>
      </c>
      <c r="L189" s="22" t="str">
        <f>VLOOKUP(A189,'Trips&amp;Operators'!$C$1:$G$99999,5,FALSE)</f>
        <v>HELVIE ADAM</v>
      </c>
      <c r="M189" s="6">
        <f t="shared" si="40"/>
        <v>9.8842592560686171E-3</v>
      </c>
      <c r="N189" s="7">
        <f t="shared" si="41"/>
        <v>14.233333328738809</v>
      </c>
      <c r="O189" s="7"/>
      <c r="P189" s="7"/>
      <c r="Q189" s="23"/>
      <c r="R189" s="23"/>
      <c r="S189" s="32">
        <f t="shared" si="42"/>
        <v>1</v>
      </c>
      <c r="T189" s="47" t="str">
        <f t="shared" si="43"/>
        <v>NorthBound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19:18:11-700',mode:absolute,to:'2017-01-01 21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9" s="49" t="str">
        <f t="shared" si="45"/>
        <v>N</v>
      </c>
      <c r="X189" s="173">
        <f t="shared" si="46"/>
        <v>1</v>
      </c>
      <c r="Y189" s="64">
        <f t="shared" si="47"/>
        <v>0.1056</v>
      </c>
      <c r="Z189" s="64">
        <f t="shared" si="48"/>
        <v>5.8940999999999999</v>
      </c>
      <c r="AA189" s="64">
        <f t="shared" si="49"/>
        <v>5.7885</v>
      </c>
      <c r="AB189" s="61" t="e">
        <f>VLOOKUP(A189,Enforcements!$C$7:$K$19,8,0)</f>
        <v>#N/A</v>
      </c>
      <c r="AC189" s="57" t="e">
        <f>VLOOKUP(A189,Enforcements!$C$7:$E$19,3,0)</f>
        <v>#N/A</v>
      </c>
      <c r="AD189" s="58" t="str">
        <f t="shared" si="50"/>
        <v>1829-01</v>
      </c>
      <c r="AE189" s="87" t="str">
        <f t="shared" si="51"/>
        <v>aws s3 cp s3://rtdc.mdm.uploadarchive.raw/RTDC4029/ "%USERPROFILE%\AppData\Local\Temp\OnboardLogs"\RTDC4029\2017-01-01 --exclude "*" --recursive --include "*20170101*" &amp; "%USERPROFILE%\Documents\GitHub\mrs-test-scripts\Headless Mode &amp; Sideloading\WalkAndUnGZ.bat" "%USERPROFILE%\AppData\Local\Temp\OnboardLogs"\RTDC4029\2017-01-01 &amp; aws s3 cp s3://rtdc.mdm.uploadarchive.raw/RTDC4029/ "%USERPROFILE%\AppData\Local\Temp\OnboardLogs"\RTDC4029\2017-01-02 --exclude "*" --recursive --include "*20170102*" &amp; "%USERPROFILE%\Documents\GitHub\mrs-test-scripts\Headless Mode &amp; Sideloading\WalkAndUnGZ.bat" "%USERPROFILE%\AppData\Local\Temp\OnboardLogs"\RTDC4029\2017-01-02</v>
      </c>
      <c r="AF189" s="84" t="str">
        <f t="shared" si="52"/>
        <v>"C:\Program Files (x86)\AstroGrep\AstroGrep.exe" /spath="%USERPROFILE%\AppData\Local\Temp\OnboardLogs" /stypes="app*4029*20170102*" /stext=" 03:.+((SYSTEM_STATE.+slice.+state.+changed )|(ment ac)|(multiple cpu faults)|(system.+state.+changed )|(\[timeout)|(PRM\|1\|D)|(kpr)|(kdp)|(\|lc)|(penalty))" /e /r /s</v>
      </c>
      <c r="AG189" s="1" t="str">
        <f t="shared" si="53"/>
        <v>NW</v>
      </c>
      <c r="AH189" s="88" t="str">
        <f t="shared" si="54"/>
        <v>"%USERPROFILE%\Documents\GitHub\eaglep3\Utilities\RefineRTDCRunTimes.py" --tripid 1829-01 --locoid 4029 --swversion DE.1.0.8.0 --startMP 204:1056 --initTime 2017-01-01T20:18:11 --startdatetime 2017-01-01T20:21:44 --delay 1 --endMP 300:58941 --enddatetime 2017-01-01T20:35:58 --enforcementcount 0 &gt;&gt;C:\Users\stu\Documents\GitHub\eaglep3-reporting\EC\2017-01-01-refined-times.txt</v>
      </c>
      <c r="AI189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{"issue":{"subject":"","project_id":79,"tracker_id":40,"status_id":1,"priority_id":2,"assigned_to_id":23,"start_date":"2017-01-01","description":"","custom_fields":[{"id":1,"name":"Subdivision","value":"NW"},{"id":4,"name":"Milepost","value":"5.8941"},{"id":17,"name":"Train ID","value":"1829-01"},{"id":16,"name":"Locomotive ID","value":"4029"},{"id":130,"name":"Impact","value":""},{"id":150,"name":"Time of Event (Mountain Time)","value":"20:35:58"},{"id":151,"name":"Denver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56"/>
        <v>start /low /b %USERPROFILE%\Documents\GitHub\eaglep3\Utilities\DownloadLogsFromS3.py --loco 4029 --day 2017-01-01</v>
      </c>
    </row>
    <row r="190" spans="1:91" s="21" customFormat="1" x14ac:dyDescent="0.25">
      <c r="A190" s="34" t="s">
        <v>462</v>
      </c>
      <c r="B190" s="7">
        <v>4030</v>
      </c>
      <c r="C190" s="22" t="s">
        <v>205</v>
      </c>
      <c r="D190" s="22" t="s">
        <v>747</v>
      </c>
      <c r="E190" s="13">
        <v>42736.86378472222</v>
      </c>
      <c r="F190" s="13">
        <v>42736.864745370367</v>
      </c>
      <c r="G190" s="7">
        <v>0</v>
      </c>
      <c r="H190" s="22" t="s">
        <v>683</v>
      </c>
      <c r="I190" s="13">
        <v>42736.874282407407</v>
      </c>
      <c r="J190" s="7">
        <v>0</v>
      </c>
      <c r="K190" s="105" t="str">
        <f t="shared" si="39"/>
        <v>4029/4030</v>
      </c>
      <c r="L190" s="22" t="str">
        <f>VLOOKUP(A190,'Trips&amp;Operators'!$C$1:$G$99999,5,FALSE)</f>
        <v>HELVIE ADAM</v>
      </c>
      <c r="M190" s="6">
        <f t="shared" si="40"/>
        <v>9.5370370399905369E-3</v>
      </c>
      <c r="N190" s="7">
        <f t="shared" si="41"/>
        <v>13.733333337586373</v>
      </c>
      <c r="O190" s="7"/>
      <c r="P190" s="7"/>
      <c r="Q190" s="23"/>
      <c r="R190" s="23" t="s">
        <v>825</v>
      </c>
      <c r="S190" s="32">
        <f t="shared" si="42"/>
        <v>1</v>
      </c>
      <c r="T190" s="47" t="str">
        <f t="shared" si="43"/>
        <v>Southbound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19:43:51-700',mode:absolute,to:'2017-01-01 21:58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0" s="49" t="str">
        <f t="shared" si="45"/>
        <v>N</v>
      </c>
      <c r="X190" s="173">
        <f t="shared" si="46"/>
        <v>1</v>
      </c>
      <c r="Y190" s="64">
        <f t="shared" si="47"/>
        <v>5.7346000000000004</v>
      </c>
      <c r="Z190" s="64">
        <f t="shared" si="48"/>
        <v>7.85E-2</v>
      </c>
      <c r="AA190" s="64">
        <f t="shared" si="49"/>
        <v>5.6561000000000003</v>
      </c>
      <c r="AB190" s="61" t="e">
        <f>VLOOKUP(A190,Enforcements!$C$7:$K$19,8,0)</f>
        <v>#N/A</v>
      </c>
      <c r="AC190" s="57" t="e">
        <f>VLOOKUP(A190,Enforcements!$C$7:$E$19,3,0)</f>
        <v>#N/A</v>
      </c>
      <c r="AD190" s="58" t="str">
        <f t="shared" si="50"/>
        <v>1830-01</v>
      </c>
      <c r="AE190" s="87" t="str">
        <f t="shared" si="51"/>
        <v>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 &amp; 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</v>
      </c>
      <c r="AF190" s="84" t="str">
        <f t="shared" si="52"/>
        <v>"C:\Program Files (x86)\AstroGrep\AstroGrep.exe" /spath="%USERPROFILE%\AppData\Local\Temp\OnboardLogs" /stypes="app*4030*20170102*" /stext=" 03:.+((SYSTEM_STATE.+slice.+state.+changed )|(ment ac)|(multiple cpu faults)|(system.+state.+changed )|(\[timeout)|(PRM\|1\|D)|(kpr)|(kdp)|(\|lc)|(penalty))" /e /r /s</v>
      </c>
      <c r="AG190" s="1" t="str">
        <f t="shared" si="53"/>
        <v>NW</v>
      </c>
      <c r="AH190" s="88" t="str">
        <f t="shared" si="54"/>
        <v>"%USERPROFILE%\Documents\GitHub\eaglep3\Utilities\RefineRTDCRunTimes.py" --tripid 1830-01 --locoid 4030 --swversion DE.1.0.8.0 --startMP 300:57346 --initTime 2017-01-01T20:43:51 --startdatetime 2017-01-01T20:45:14 --delay 0 --endMP 204:785 --enddatetime 2017-01-01T20:58:58 --enforcementcount 0 &gt;&gt;C:\Users\stu\Documents\GitHub\eaglep3-reporting\EC\2017-01-01-refined-times.txt</v>
      </c>
      <c r="AI190" s="115" t="str">
        <f t="shared" si="55"/>
        <v>echo {"issue":{"subject":"Went active too close to signal","project_id":79,"tracker_id":40,"status_id":1,"priority_id":2,"assigned_to_id":23,"start_date":"2017-01-01","description":"","custom_fields":[{"id":1,"name":"Subdivision","value":"NW"},{"id":4,"name":"Milepost","value":"0.0785"},{"id":17,"name":"Train ID","value":"1830-01"},{"id":16,"name":"Locomotive ID","value":"4030"},{"id":130,"name":"Impact","value":""},{"id":150,"name":"Time of Event (Mountain Time)","value":"20:58:58"},{"id":151,"name":"Denver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56"/>
        <v>start /low /b %USERPROFILE%\Documents\GitHub\eaglep3\Utilities\DownloadLogsFromS3.py --loco 4030 --day 2017-01-01</v>
      </c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4" t="s">
        <v>657</v>
      </c>
      <c r="B191" s="7">
        <v>4029</v>
      </c>
      <c r="C191" s="22" t="s">
        <v>205</v>
      </c>
      <c r="D191" s="22" t="s">
        <v>727</v>
      </c>
      <c r="E191" s="13">
        <v>42736.886979166666</v>
      </c>
      <c r="F191" s="13">
        <v>42736.890011574076</v>
      </c>
      <c r="G191" s="7">
        <v>0</v>
      </c>
      <c r="H191" s="22" t="s">
        <v>419</v>
      </c>
      <c r="I191" s="13">
        <v>42736.899317129632</v>
      </c>
      <c r="J191" s="7">
        <v>0</v>
      </c>
      <c r="K191" s="105" t="str">
        <f t="shared" si="39"/>
        <v>4029/4030</v>
      </c>
      <c r="L191" s="22" t="str">
        <f>VLOOKUP(A191,'Trips&amp;Operators'!$C$1:$G$99999,5,FALSE)</f>
        <v>HELVIE ADAM</v>
      </c>
      <c r="M191" s="6">
        <f t="shared" si="40"/>
        <v>9.3055555553291924E-3</v>
      </c>
      <c r="N191" s="7">
        <f t="shared" si="41"/>
        <v>13.399999999674037</v>
      </c>
      <c r="O191" s="7"/>
      <c r="P191" s="7"/>
      <c r="Q191" s="23"/>
      <c r="R191" s="23"/>
      <c r="S191" s="32">
        <f t="shared" si="42"/>
        <v>1</v>
      </c>
      <c r="T191" s="47" t="str">
        <f t="shared" si="43"/>
        <v>NorthBound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20:17:15-700',mode:absolute,to:'2017-01-01 22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1" s="49" t="str">
        <f t="shared" si="45"/>
        <v>N</v>
      </c>
      <c r="X191" s="173">
        <f t="shared" si="46"/>
        <v>1</v>
      </c>
      <c r="Y191" s="64">
        <f t="shared" si="47"/>
        <v>0.1048</v>
      </c>
      <c r="Z191" s="64">
        <f t="shared" si="48"/>
        <v>5.8935000000000004</v>
      </c>
      <c r="AA191" s="64">
        <f t="shared" si="49"/>
        <v>5.7887000000000004</v>
      </c>
      <c r="AB191" s="61" t="e">
        <f>VLOOKUP(A191,Enforcements!$C$7:$K$19,8,0)</f>
        <v>#N/A</v>
      </c>
      <c r="AC191" s="57" t="e">
        <f>VLOOKUP(A191,Enforcements!$C$7:$E$19,3,0)</f>
        <v>#N/A</v>
      </c>
      <c r="AD191" s="58" t="str">
        <f t="shared" si="50"/>
        <v>1831-01</v>
      </c>
      <c r="AE191" s="87" t="str">
        <f t="shared" si="51"/>
        <v>aws s3 cp s3://rtdc.mdm.uploadarchive.raw/RTDC4029/ "%USERPROFILE%\AppData\Local\Temp\OnboardLogs"\RTDC4029\2017-01-01 --exclude "*" --recursive --include "*20170101*" &amp; "%USERPROFILE%\Documents\GitHub\mrs-test-scripts\Headless Mode &amp; Sideloading\WalkAndUnGZ.bat" "%USERPROFILE%\AppData\Local\Temp\OnboardLogs"\RTDC4029\2017-01-01 &amp; aws s3 cp s3://rtdc.mdm.uploadarchive.raw/RTDC4029/ "%USERPROFILE%\AppData\Local\Temp\OnboardLogs"\RTDC4029\2017-01-02 --exclude "*" --recursive --include "*20170102*" &amp; "%USERPROFILE%\Documents\GitHub\mrs-test-scripts\Headless Mode &amp; Sideloading\WalkAndUnGZ.bat" "%USERPROFILE%\AppData\Local\Temp\OnboardLogs"\RTDC4029\2017-01-02</v>
      </c>
      <c r="AF191" s="84" t="str">
        <f t="shared" si="52"/>
        <v>"C:\Program Files (x86)\AstroGrep\AstroGrep.exe" /spath="%USERPROFILE%\AppData\Local\Temp\OnboardLogs" /stypes="app*4029*20170102*" /stext=" 04:.+((SYSTEM_STATE.+slice.+state.+changed )|(ment ac)|(multiple cpu faults)|(system.+state.+changed )|(\[timeout)|(PRM\|1\|D)|(kpr)|(kdp)|(\|lc)|(penalty))" /e /r /s</v>
      </c>
      <c r="AG191" s="1" t="str">
        <f t="shared" si="53"/>
        <v>NW</v>
      </c>
      <c r="AH191" s="88" t="str">
        <f t="shared" si="54"/>
        <v>"%USERPROFILE%\Documents\GitHub\eaglep3\Utilities\RefineRTDCRunTimes.py" --tripid 1831-01 --locoid 4029 --swversion DE.1.0.8.0 --startMP 204:1048 --initTime 2017-01-01T21:17:15 --startdatetime 2017-01-01T21:21:37 --delay 0 --endMP 300:58935 --enddatetime 2017-01-01T21:35:01 --enforcementcount 0 &gt;&gt;C:\Users\stu\Documents\GitHub\eaglep3-reporting\EC\2017-01-01-refined-times.txt</v>
      </c>
      <c r="AI191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{"issue":{"subject":"","project_id":79,"tracker_id":40,"status_id":1,"priority_id":2,"assigned_to_id":23,"start_date":"2017-01-01","description":"","custom_fields":[{"id":1,"name":"Subdivision","value":"NW"},{"id":4,"name":"Milepost","value":"5.8935"},{"id":17,"name":"Train ID","value":"1831-01"},{"id":16,"name":"Locomotive ID","value":"4029"},{"id":130,"name":"Impact","value":""},{"id":150,"name":"Time of Event (Mountain Time)","value":"21:35:01"},{"id":151,"name":"Denver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56"/>
        <v>start /low /b %USERPROFILE%\Documents\GitHub\eaglep3\Utilities\DownloadLogsFromS3.py --loco 4029 --day 2017-01-01</v>
      </c>
    </row>
    <row r="192" spans="1:91" x14ac:dyDescent="0.25">
      <c r="A192" s="34" t="s">
        <v>659</v>
      </c>
      <c r="B192" s="7">
        <v>4030</v>
      </c>
      <c r="C192" s="22" t="s">
        <v>205</v>
      </c>
      <c r="D192" s="22" t="s">
        <v>732</v>
      </c>
      <c r="E192" s="13">
        <v>42736.900578703702</v>
      </c>
      <c r="F192" s="13">
        <v>42736.902268518519</v>
      </c>
      <c r="G192" s="7">
        <v>1</v>
      </c>
      <c r="H192" s="22" t="s">
        <v>353</v>
      </c>
      <c r="I192" s="13">
        <v>42736.913668981484</v>
      </c>
      <c r="J192" s="7">
        <v>0</v>
      </c>
      <c r="K192" s="105" t="str">
        <f t="shared" si="39"/>
        <v>4029/4030</v>
      </c>
      <c r="L192" s="22" t="str">
        <f>VLOOKUP(A192,'Trips&amp;Operators'!$C$1:$G$99999,5,FALSE)</f>
        <v>HELVIE ADAM</v>
      </c>
      <c r="M192" s="6">
        <f t="shared" si="40"/>
        <v>1.1400462964957114E-2</v>
      </c>
      <c r="N192" s="7">
        <f t="shared" si="41"/>
        <v>16.416666669538245</v>
      </c>
      <c r="O192" s="7"/>
      <c r="P192" s="7"/>
      <c r="Q192" s="23"/>
      <c r="R192" s="23"/>
      <c r="S192" s="32">
        <f t="shared" si="42"/>
        <v>1</v>
      </c>
      <c r="T192" s="47" t="str">
        <f t="shared" si="43"/>
        <v>Southbound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20:36:50-700',mode:absolute,to:'2017-01-01 22:55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2" s="49" t="str">
        <f t="shared" si="45"/>
        <v>N</v>
      </c>
      <c r="X192" s="173">
        <f t="shared" si="46"/>
        <v>1</v>
      </c>
      <c r="Y192" s="64">
        <f t="shared" si="47"/>
        <v>5.8628</v>
      </c>
      <c r="Z192" s="64">
        <f t="shared" si="48"/>
        <v>7.5899999999999995E-2</v>
      </c>
      <c r="AA192" s="64">
        <f t="shared" si="49"/>
        <v>5.7869000000000002</v>
      </c>
      <c r="AB192" s="61" t="e">
        <f>VLOOKUP(A192,Enforcements!$C$7:$K$19,8,0)</f>
        <v>#N/A</v>
      </c>
      <c r="AC192" s="57" t="e">
        <f>VLOOKUP(A192,Enforcements!$C$7:$E$19,3,0)</f>
        <v>#N/A</v>
      </c>
      <c r="AD192" s="58" t="str">
        <f t="shared" si="50"/>
        <v>1832-01</v>
      </c>
      <c r="AE192" s="87" t="str">
        <f t="shared" si="51"/>
        <v>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 &amp; 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</v>
      </c>
      <c r="AF192" s="84" t="str">
        <f t="shared" si="52"/>
        <v>"C:\Program Files (x86)\AstroGrep\AstroGrep.exe" /spath="%USERPROFILE%\AppData\Local\Temp\OnboardLogs" /stypes="app*4030*20170102*" /stext=" 04:.+((SYSTEM_STATE.+slice.+state.+changed )|(ment ac)|(multiple cpu faults)|(system.+state.+changed )|(\[timeout)|(PRM\|1\|D)|(kpr)|(kdp)|(\|lc)|(penalty))" /e /r /s</v>
      </c>
      <c r="AG192" s="1" t="str">
        <f t="shared" si="53"/>
        <v>NW</v>
      </c>
      <c r="AH192" s="88" t="str">
        <f t="shared" si="54"/>
        <v>"%USERPROFILE%\Documents\GitHub\eaglep3\Utilities\RefineRTDCRunTimes.py" --tripid 1832-01 --locoid 4030 --swversion DE.1.0.8.0 --startMP 300:58628 --initTime 2017-01-01T21:36:50 --startdatetime 2017-01-01T21:39:16 --delay 1 --endMP 204:759 --enddatetime 2017-01-01T21:55:41 --enforcementcount 0 &gt;&gt;C:\Users\stu\Documents\GitHub\eaglep3-reporting\EC\2017-01-01-refined-times.txt</v>
      </c>
      <c r="AI192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{"issue":{"subject":"","project_id":79,"tracker_id":40,"status_id":1,"priority_id":2,"assigned_to_id":23,"start_date":"2017-01-01","description":"","custom_fields":[{"id":1,"name":"Subdivision","value":"NW"},{"id":4,"name":"Milepost","value":"0.0759"},{"id":17,"name":"Train ID","value":"1832-01"},{"id":16,"name":"Locomotive ID","value":"4030"},{"id":130,"name":"Impact","value":""},{"id":150,"name":"Time of Event (Mountain Time)","value":"21:55:41"},{"id":151,"name":"Denver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56"/>
        <v>start /low /b %USERPROFILE%\Documents\GitHub\eaglep3\Utilities\DownloadLogsFromS3.py --loco 4030 --day 2017-01-01</v>
      </c>
    </row>
    <row r="193" spans="1:91" x14ac:dyDescent="0.25">
      <c r="A193" s="34" t="s">
        <v>662</v>
      </c>
      <c r="B193" s="7">
        <v>4029</v>
      </c>
      <c r="C193" s="22" t="s">
        <v>205</v>
      </c>
      <c r="D193" s="22" t="s">
        <v>723</v>
      </c>
      <c r="E193" s="13">
        <v>42736.929363425923</v>
      </c>
      <c r="F193" s="13">
        <v>42736.931481481479</v>
      </c>
      <c r="G193" s="7">
        <v>1</v>
      </c>
      <c r="H193" s="22" t="s">
        <v>748</v>
      </c>
      <c r="I193" s="13">
        <v>42736.941168981481</v>
      </c>
      <c r="J193" s="7">
        <v>0</v>
      </c>
      <c r="K193" s="105" t="str">
        <f t="shared" si="39"/>
        <v>4029/4030</v>
      </c>
      <c r="L193" s="22" t="str">
        <f>VLOOKUP(A193,'Trips&amp;Operators'!$C$1:$G$99999,5,FALSE)</f>
        <v>HELVIE ADAM</v>
      </c>
      <c r="M193" s="6">
        <f t="shared" si="40"/>
        <v>9.6875000017462298E-3</v>
      </c>
      <c r="N193" s="7">
        <f t="shared" si="41"/>
        <v>13.950000002514571</v>
      </c>
      <c r="O193" s="7"/>
      <c r="P193" s="7"/>
      <c r="Q193" s="23"/>
      <c r="R193" s="23"/>
      <c r="S193" s="32">
        <f t="shared" si="42"/>
        <v>1</v>
      </c>
      <c r="T193" s="47" t="str">
        <f t="shared" si="43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21:18:17-700',mode:absolute,to:'2017-01-01 23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3" s="49" t="str">
        <f t="shared" si="45"/>
        <v>N</v>
      </c>
      <c r="X193" s="173">
        <f t="shared" si="46"/>
        <v>1</v>
      </c>
      <c r="Y193" s="64">
        <f t="shared" si="47"/>
        <v>0.1046</v>
      </c>
      <c r="Z193" s="64">
        <f t="shared" si="48"/>
        <v>5.8943000000000003</v>
      </c>
      <c r="AA193" s="64">
        <f t="shared" si="49"/>
        <v>5.7897000000000007</v>
      </c>
      <c r="AB193" s="61" t="e">
        <f>VLOOKUP(A193,Enforcements!$C$7:$K$19,8,0)</f>
        <v>#N/A</v>
      </c>
      <c r="AC193" s="57" t="e">
        <f>VLOOKUP(A193,Enforcements!$C$7:$E$19,3,0)</f>
        <v>#N/A</v>
      </c>
      <c r="AD193" s="58" t="str">
        <f t="shared" si="50"/>
        <v>1833-01</v>
      </c>
      <c r="AE193" s="87" t="str">
        <f t="shared" si="51"/>
        <v>aws s3 cp s3://rtdc.mdm.uploadarchive.raw/RTDC4029/ "%USERPROFILE%\AppData\Local\Temp\OnboardLogs"\RTDC4029\2017-01-01 --exclude "*" --recursive --include "*20170101*" &amp; "%USERPROFILE%\Documents\GitHub\mrs-test-scripts\Headless Mode &amp; Sideloading\WalkAndUnGZ.bat" "%USERPROFILE%\AppData\Local\Temp\OnboardLogs"\RTDC4029\2017-01-01 &amp; aws s3 cp s3://rtdc.mdm.uploadarchive.raw/RTDC4029/ "%USERPROFILE%\AppData\Local\Temp\OnboardLogs"\RTDC4029\2017-01-02 --exclude "*" --recursive --include "*20170102*" &amp; "%USERPROFILE%\Documents\GitHub\mrs-test-scripts\Headless Mode &amp; Sideloading\WalkAndUnGZ.bat" "%USERPROFILE%\AppData\Local\Temp\OnboardLogs"\RTDC4029\2017-01-02</v>
      </c>
      <c r="AF193" s="84" t="str">
        <f t="shared" si="52"/>
        <v>"C:\Program Files (x86)\AstroGrep\AstroGrep.exe" /spath="%USERPROFILE%\AppData\Local\Temp\OnboardLogs" /stypes="app*4029*20170102*" /stext=" 05:.+((SYSTEM_STATE.+slice.+state.+changed )|(ment ac)|(multiple cpu faults)|(system.+state.+changed )|(\[timeout)|(PRM\|1\|D)|(kpr)|(kdp)|(\|lc)|(penalty))" /e /r /s</v>
      </c>
      <c r="AG193" s="1" t="str">
        <f t="shared" si="53"/>
        <v>NW</v>
      </c>
      <c r="AH193" s="88" t="str">
        <f t="shared" si="54"/>
        <v>"%USERPROFILE%\Documents\GitHub\eaglep3\Utilities\RefineRTDCRunTimes.py" --tripid 1833-01 --locoid 4029 --swversion DE.1.0.8.0 --startMP 204:1046 --initTime 2017-01-01T22:18:17 --startdatetime 2017-01-01T22:21:20 --delay 1 --endMP 300:58943 --enddatetime 2017-01-01T22:35:17 --enforcementcount 0 &gt;&gt;C:\Users\stu\Documents\GitHub\eaglep3-reporting\EC\2017-01-01-refined-times.txt</v>
      </c>
      <c r="AI193" s="115" t="str">
        <f t="shared" si="55"/>
        <v>echo {"issue":{"subject":"","project_id":79,"tracker_id":40,"status_id":1,"priority_id":2,"assigned_to_id":23,"start_date":"2017-01-01","description":"","custom_fields":[{"id":1,"name":"Subdivision","value":"NW"},{"id":4,"name":"Milepost","value":"5.8943"},{"id":17,"name":"Train ID","value":"1833-01"},{"id":16,"name":"Locomotive ID","value":"4029"},{"id":130,"name":"Impact","value":""},{"id":150,"name":"Time of Event (Mountain Time)","value":"22:35:17"},{"id":151,"name":"Denver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56"/>
        <v>start /low /b %USERPROFILE%\Documents\GitHub\eaglep3\Utilities\DownloadLogsFromS3.py --loco 4029 --day 2017-01-01</v>
      </c>
    </row>
    <row r="194" spans="1:91" s="21" customFormat="1" x14ac:dyDescent="0.25">
      <c r="A194" s="34" t="s">
        <v>478</v>
      </c>
      <c r="B194" s="7">
        <v>4013</v>
      </c>
      <c r="C194" s="22" t="s">
        <v>205</v>
      </c>
      <c r="D194" s="22" t="s">
        <v>773</v>
      </c>
      <c r="E194" s="13">
        <v>42736.116608796299</v>
      </c>
      <c r="F194" s="13">
        <v>42736.1247337963</v>
      </c>
      <c r="G194" s="7">
        <v>11</v>
      </c>
      <c r="H194" s="22" t="s">
        <v>233</v>
      </c>
      <c r="I194" s="13">
        <v>42736.131041666667</v>
      </c>
      <c r="J194" s="7">
        <v>0</v>
      </c>
      <c r="K194" s="105" t="str">
        <f t="shared" si="39"/>
        <v>4013/4014</v>
      </c>
      <c r="L194" s="22" t="str">
        <f>VLOOKUP(A194,'Trips&amp;Operators'!$C$1:$G$99999,5,FALSE)</f>
        <v>OUN ZACK</v>
      </c>
      <c r="M194" s="6">
        <f t="shared" si="40"/>
        <v>6.3078703678911552E-3</v>
      </c>
      <c r="N194" s="7">
        <f t="shared" si="41"/>
        <v>9.0833333297632635</v>
      </c>
      <c r="O194" s="7"/>
      <c r="P194" s="7"/>
      <c r="Q194" s="23"/>
      <c r="R194" s="23"/>
      <c r="S194" s="32">
        <f t="shared" si="42"/>
        <v>1</v>
      </c>
      <c r="T194" s="47" t="str">
        <f t="shared" si="43"/>
        <v>Southbound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01:47:55-700',mode:absolute,to:'2017-01-01 04:08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4" s="49" t="str">
        <f t="shared" si="45"/>
        <v>Y</v>
      </c>
      <c r="X194" s="173">
        <f t="shared" si="46"/>
        <v>-1531</v>
      </c>
      <c r="Y194" s="64">
        <f t="shared" si="47"/>
        <v>2.3096999999999999</v>
      </c>
      <c r="Z194" s="64">
        <f t="shared" si="48"/>
        <v>1.4500000000000001E-2</v>
      </c>
      <c r="AA194" s="64">
        <f t="shared" si="49"/>
        <v>2.2951999999999999</v>
      </c>
      <c r="AB194" s="61" t="e">
        <f>VLOOKUP(A194,Enforcements!$C$7:$K$19,8,0)</f>
        <v>#N/A</v>
      </c>
      <c r="AC194" s="57" t="e">
        <f>VLOOKUP(A194,Enforcements!$C$7:$E$19,3,0)</f>
        <v>#N/A</v>
      </c>
      <c r="AD194" s="58" t="str">
        <f t="shared" si="50"/>
        <v>0302-01</v>
      </c>
      <c r="AE194" s="87" t="str">
        <f t="shared" si="51"/>
        <v>aws s3 cp s3://rtdc.mdm.uploadarchive.raw/RTDC4013/ "%USERPROFILE%\AppData\Local\Temp\OnboardLogs"\RTDC4013\2017-01-01 --exclude "*" --recursive --include "*20170101*" &amp; "%USERPROFILE%\Documents\GitHub\mrs-test-scripts\Headless Mode &amp; Sideloading\WalkAndUnGZ.bat" "%USERPROFILE%\AppData\Local\Temp\OnboardLogs"\RTDC4013\2017-01-01 &amp; 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</v>
      </c>
      <c r="AF194" s="84" t="str">
        <f t="shared" si="52"/>
        <v>"C:\Program Files (x86)\AstroGrep\AstroGrep.exe" /spath="%USERPROFILE%\AppData\Local\Temp\OnboardLogs" /stypes="app*4013*20170101*" /stext=" 10:.+((SYSTEM_STATE.+slice.+state.+changed )|(ment ac)|(multiple cpu faults)|(system.+state.+changed )|(\[timeout)|(PRM\|1\|D)|(kpr)|(kdp)|(\|lc)|(penalty))" /e /r /s</v>
      </c>
      <c r="AG194" s="1" t="str">
        <f t="shared" si="53"/>
        <v>Other</v>
      </c>
      <c r="AH194" s="88" t="str">
        <f t="shared" si="54"/>
        <v>"%USERPROFILE%\Documents\GitHub\eaglep3\Utilities\RefineRTDCRunTimes.py" --tripid 302-01 --locoid 4013 --swversion DE.1.0.8.0 --startMP 300:23097 --initTime 2017-01-01T02:47:55 --startdatetime 2017-01-01T02:59:37 --delay 11 --endMP 204:145 --enddatetime 2017-01-01T03:08:42 --enforcementcount 0 &gt;&gt;C:\Users\stu\Documents\GitHub\eaglep3-reporting\EC\2017-01-01-refined-times.txt</v>
      </c>
      <c r="AI194" s="115" t="str">
        <f t="shared" si="55"/>
        <v>echo {"issue":{"subject":"","project_id":79,"tracker_id":40,"status_id":1,"priority_id":2,"assigned_to_id":23,"start_date":"2017-01-01","description":"","custom_fields":[{"id":1,"name":"Subdivision","value":"Other"},{"id":4,"name":"Milepost","value":"0.0145"},{"id":17,"name":"Train ID","value":"302-01"},{"id":16,"name":"Locomotive ID","value":"4013"},{"id":130,"name":"Impact","value":""},{"id":150,"name":"Time of Event (Mountain Time)","value":"03:08:42"},{"id":151,"name":"Denver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56"/>
        <v>start /low /b %USERPROFILE%\Documents\GitHub\eaglep3\Utilities\DownloadLogsFromS3.py --loco 4013 --day 2017-01-01</v>
      </c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4" t="s">
        <v>480</v>
      </c>
      <c r="B195" s="7">
        <v>4041</v>
      </c>
      <c r="C195" s="22" t="s">
        <v>205</v>
      </c>
      <c r="D195" s="22" t="s">
        <v>774</v>
      </c>
      <c r="E195" s="13">
        <v>42736.140821759262</v>
      </c>
      <c r="F195" s="13">
        <v>42736.145173611112</v>
      </c>
      <c r="G195" s="7">
        <v>5</v>
      </c>
      <c r="H195" s="22" t="s">
        <v>252</v>
      </c>
      <c r="I195" s="13">
        <v>42736.151180555556</v>
      </c>
      <c r="J195" s="7">
        <v>0</v>
      </c>
      <c r="K195" s="105" t="str">
        <f t="shared" si="39"/>
        <v>4041/4042</v>
      </c>
      <c r="L195" s="22" t="str">
        <f>VLOOKUP(A195,'Trips&amp;Operators'!$C$1:$G$99999,5,FALSE)</f>
        <v>MAELZER KURT</v>
      </c>
      <c r="M195" s="6">
        <f t="shared" si="40"/>
        <v>6.0069444443797693E-3</v>
      </c>
      <c r="N195" s="7">
        <f t="shared" si="41"/>
        <v>8.6499999999068677</v>
      </c>
      <c r="O195" s="7"/>
      <c r="P195" s="7"/>
      <c r="Q195" s="23"/>
      <c r="R195" s="23"/>
      <c r="S195" s="32">
        <f t="shared" si="42"/>
        <v>1</v>
      </c>
      <c r="T195" s="47" t="str">
        <f t="shared" si="43"/>
        <v>Southbound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02:22:47-700',mode:absolute,to:'2017-01-01 04:37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5" s="49" t="str">
        <f t="shared" si="45"/>
        <v>Y</v>
      </c>
      <c r="X195" s="173">
        <f t="shared" si="46"/>
        <v>2</v>
      </c>
      <c r="Y195" s="64">
        <f t="shared" si="47"/>
        <v>1.9006000000000001</v>
      </c>
      <c r="Z195" s="64">
        <f t="shared" si="48"/>
        <v>1.47E-2</v>
      </c>
      <c r="AA195" s="64">
        <f t="shared" si="49"/>
        <v>1.8859000000000001</v>
      </c>
      <c r="AB195" s="61" t="e">
        <f>VLOOKUP(A195,Enforcements!$C$7:$K$19,8,0)</f>
        <v>#N/A</v>
      </c>
      <c r="AC195" s="57" t="e">
        <f>VLOOKUP(A195,Enforcements!$C$7:$E$19,3,0)</f>
        <v>#N/A</v>
      </c>
      <c r="AD195" s="58" t="str">
        <f t="shared" si="50"/>
        <v>0304-01</v>
      </c>
      <c r="AE195" s="87" t="str">
        <f t="shared" si="51"/>
        <v>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 &amp; 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</v>
      </c>
      <c r="AF195" s="84" t="str">
        <f t="shared" si="52"/>
        <v>"C:\Program Files (x86)\AstroGrep\AstroGrep.exe" /spath="%USERPROFILE%\AppData\Local\Temp\OnboardLogs" /stypes="app*4041*20170101*" /stext=" 10:.+((SYSTEM_STATE.+slice.+state.+changed )|(ment ac)|(multiple cpu faults)|(system.+state.+changed )|(\[timeout)|(PRM\|1\|D)|(kpr)|(kdp)|(\|lc)|(penalty))" /e /r /s</v>
      </c>
      <c r="AG195" s="1" t="str">
        <f t="shared" si="53"/>
        <v>Other</v>
      </c>
      <c r="AH195" s="88" t="str">
        <f t="shared" si="54"/>
        <v>"%USERPROFILE%\Documents\GitHub\eaglep3\Utilities\RefineRTDCRunTimes.py" --tripid 304-01 --locoid 4041 --swversion DE.1.0.8.0 --startMP 300:19006 --initTime 2017-01-01T03:22:47 --startdatetime 2017-01-01T03:29:03 --delay 5 --endMP 204:147 --enddatetime 2017-01-01T03:37:42 --enforcementcount 0 &gt;&gt;C:\Users\stu\Documents\GitHub\eaglep3-reporting\EC\2017-01-01-refined-times.txt</v>
      </c>
      <c r="AI195" s="115" t="str">
        <f t="shared" si="55"/>
        <v>echo {"issue":{"subject":"","project_id":79,"tracker_id":40,"status_id":1,"priority_id":2,"assigned_to_id":23,"start_date":"2017-01-01","description":"","custom_fields":[{"id":1,"name":"Subdivision","value":"Other"},{"id":4,"name":"Milepost","value":"0.0147"},{"id":17,"name":"Train ID","value":"304-01"},{"id":16,"name":"Locomotive ID","value":"4041"},{"id":130,"name":"Impact","value":""},{"id":150,"name":"Time of Event (Mountain Time)","value":"03:37:42"},{"id":151,"name":"Denver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56"/>
        <v>start /low /b %USERPROFILE%\Documents\GitHub\eaglep3\Utilities\DownloadLogsFromS3.py --loco 4041 --day 2017-01-01</v>
      </c>
    </row>
    <row r="196" spans="1:91" s="21" customFormat="1" x14ac:dyDescent="0.25">
      <c r="A196" s="34" t="s">
        <v>430</v>
      </c>
      <c r="B196" s="7">
        <v>4012</v>
      </c>
      <c r="C196" s="22" t="s">
        <v>205</v>
      </c>
      <c r="D196" s="22" t="s">
        <v>775</v>
      </c>
      <c r="E196" s="13">
        <v>42736.163831018515</v>
      </c>
      <c r="F196" s="13">
        <v>42736.16505787037</v>
      </c>
      <c r="G196" s="7">
        <v>1</v>
      </c>
      <c r="H196" s="22" t="s">
        <v>297</v>
      </c>
      <c r="I196" s="13">
        <v>42736.171736111108</v>
      </c>
      <c r="J196" s="7">
        <v>0</v>
      </c>
      <c r="K196" s="105" t="str">
        <f t="shared" si="39"/>
        <v>4011/4012</v>
      </c>
      <c r="L196" s="22" t="str">
        <f>VLOOKUP(A196,'Trips&amp;Operators'!$C$1:$G$99999,5,FALSE)</f>
        <v>BERLING GARY</v>
      </c>
      <c r="M196" s="6">
        <f t="shared" si="40"/>
        <v>6.6782407375285402E-3</v>
      </c>
      <c r="N196" s="7">
        <f t="shared" si="41"/>
        <v>9.6166666620410979</v>
      </c>
      <c r="O196" s="7"/>
      <c r="P196" s="7"/>
      <c r="Q196" s="23"/>
      <c r="R196" s="23"/>
      <c r="S196" s="32">
        <f t="shared" si="42"/>
        <v>1</v>
      </c>
      <c r="T196" s="47" t="str">
        <f t="shared" si="43"/>
        <v>Southbound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02:55:55-700',mode:absolute,to:'2017-01-01 05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6" s="49" t="str">
        <f t="shared" si="45"/>
        <v>Y</v>
      </c>
      <c r="X196" s="173">
        <f t="shared" si="46"/>
        <v>2</v>
      </c>
      <c r="Y196" s="64">
        <f t="shared" si="47"/>
        <v>2.3105000000000002</v>
      </c>
      <c r="Z196" s="64">
        <f t="shared" si="48"/>
        <v>1.52E-2</v>
      </c>
      <c r="AA196" s="64">
        <f t="shared" si="49"/>
        <v>2.2953000000000001</v>
      </c>
      <c r="AB196" s="61" t="e">
        <f>VLOOKUP(A196,Enforcements!$C$7:$K$19,8,0)</f>
        <v>#N/A</v>
      </c>
      <c r="AC196" s="57" t="e">
        <f>VLOOKUP(A196,Enforcements!$C$7:$E$19,3,0)</f>
        <v>#N/A</v>
      </c>
      <c r="AD196" s="58" t="str">
        <f t="shared" si="50"/>
        <v>0306-01</v>
      </c>
      <c r="AE196" s="87" t="str">
        <f t="shared" si="51"/>
        <v>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 &amp; 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</v>
      </c>
      <c r="AF196" s="84" t="str">
        <f t="shared" si="52"/>
        <v>"C:\Program Files (x86)\AstroGrep\AstroGrep.exe" /spath="%USERPROFILE%\AppData\Local\Temp\OnboardLogs" /stypes="app*4012*20170101*" /stext=" 11:.+((SYSTEM_STATE.+slice.+state.+changed )|(ment ac)|(multiple cpu faults)|(system.+state.+changed )|(\[timeout)|(PRM\|1\|D)|(kpr)|(kdp)|(\|lc)|(penalty))" /e /r /s</v>
      </c>
      <c r="AG196" s="1" t="str">
        <f t="shared" si="53"/>
        <v>Other</v>
      </c>
      <c r="AH196" s="88" t="str">
        <f t="shared" si="54"/>
        <v>"%USERPROFILE%\Documents\GitHub\eaglep3\Utilities\RefineRTDCRunTimes.py" --tripid 306-01 --locoid 4012 --swversion DE.1.0.8.0 --startMP 300:23105 --initTime 2017-01-01T03:55:55 --startdatetime 2017-01-01T03:57:41 --delay 1 --endMP 204:152 --enddatetime 2017-01-01T04:07:18 --enforcementcount 0 &gt;&gt;C:\Users\stu\Documents\GitHub\eaglep3-reporting\EC\2017-01-01-refined-times.txt</v>
      </c>
      <c r="AI196" s="115" t="str">
        <f t="shared" si="55"/>
        <v>echo {"issue":{"subject":"","project_id":79,"tracker_id":40,"status_id":1,"priority_id":2,"assigned_to_id":23,"start_date":"2017-01-01","description":"","custom_fields":[{"id":1,"name":"Subdivision","value":"Other"},{"id":4,"name":"Milepost","value":"0.0152"},{"id":17,"name":"Train ID","value":"306-01"},{"id":16,"name":"Locomotive ID","value":"4012"},{"id":130,"name":"Impact","value":""},{"id":150,"name":"Time of Event (Mountain Time)","value":"04:07:18"},{"id":151,"name":"Denver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56"/>
        <v>start /low /b %USERPROFILE%\Documents\GitHub\eaglep3\Utilities\DownloadLogsFromS3.py --loco 4012 --day 2017-01-01</v>
      </c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4" t="s">
        <v>486</v>
      </c>
      <c r="B197" s="7">
        <v>4021</v>
      </c>
      <c r="C197" s="22" t="s">
        <v>205</v>
      </c>
      <c r="D197" s="22" t="s">
        <v>776</v>
      </c>
      <c r="E197" s="13">
        <v>42736.176574074074</v>
      </c>
      <c r="F197" s="13">
        <v>42736.177905092591</v>
      </c>
      <c r="G197" s="7">
        <v>1</v>
      </c>
      <c r="H197" s="22" t="s">
        <v>777</v>
      </c>
      <c r="I197" s="13">
        <v>42736.184652777774</v>
      </c>
      <c r="J197" s="7">
        <v>0</v>
      </c>
      <c r="K197" s="105" t="str">
        <f t="shared" si="39"/>
        <v>4021/4022</v>
      </c>
      <c r="L197" s="22" t="str">
        <f>VLOOKUP(A197,'Trips&amp;Operators'!$C$1:$G$99999,5,FALSE)</f>
        <v>DAVIS WENDY</v>
      </c>
      <c r="M197" s="6">
        <f t="shared" si="40"/>
        <v>6.7476851836545393E-3</v>
      </c>
      <c r="N197" s="7">
        <f t="shared" si="41"/>
        <v>9.7166666644625366</v>
      </c>
      <c r="O197" s="7"/>
      <c r="P197" s="7"/>
      <c r="Q197" s="23"/>
      <c r="R197" s="23"/>
      <c r="S197" s="32">
        <f t="shared" si="42"/>
        <v>1</v>
      </c>
      <c r="T197" s="47" t="str">
        <f t="shared" si="43"/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03:14:16-700',mode:absolute,to:'2017-01-01 05:25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7" s="49" t="str">
        <f t="shared" si="45"/>
        <v>Y</v>
      </c>
      <c r="X197" s="173">
        <f t="shared" si="46"/>
        <v>2</v>
      </c>
      <c r="Y197" s="64">
        <f t="shared" si="47"/>
        <v>2.3376999999999999</v>
      </c>
      <c r="Z197" s="64">
        <f t="shared" si="48"/>
        <v>1.32E-2</v>
      </c>
      <c r="AA197" s="64">
        <f t="shared" si="49"/>
        <v>2.3245</v>
      </c>
      <c r="AB197" s="61" t="e">
        <f>VLOOKUP(A197,Enforcements!$C$7:$K$19,8,0)</f>
        <v>#N/A</v>
      </c>
      <c r="AC197" s="57" t="e">
        <f>VLOOKUP(A197,Enforcements!$C$7:$E$19,3,0)</f>
        <v>#N/A</v>
      </c>
      <c r="AD197" s="58" t="str">
        <f t="shared" si="50"/>
        <v>0308-01</v>
      </c>
      <c r="AE197" s="87" t="str">
        <f t="shared" si="51"/>
        <v>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 &amp; 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</v>
      </c>
      <c r="AF197" s="84" t="str">
        <f t="shared" si="52"/>
        <v>"C:\Program Files (x86)\AstroGrep\AstroGrep.exe" /spath="%USERPROFILE%\AppData\Local\Temp\OnboardLogs" /stypes="app*4021*20170101*" /stext=" 11:.+((SYSTEM_STATE.+slice.+state.+changed )|(ment ac)|(multiple cpu faults)|(system.+state.+changed )|(\[timeout)|(PRM\|1\|D)|(kpr)|(kdp)|(\|lc)|(penalty))" /e /r /s</v>
      </c>
      <c r="AG197" s="1" t="str">
        <f t="shared" si="53"/>
        <v>Other</v>
      </c>
      <c r="AH197" s="88" t="str">
        <f t="shared" si="54"/>
        <v>"%USERPROFILE%\Documents\GitHub\eaglep3\Utilities\RefineRTDCRunTimes.py" --tripid 308-01 --locoid 4021 --swversion DE.1.0.8.0 --startMP 300:23377 --initTime 2017-01-01T04:14:16 --startdatetime 2017-01-01T04:16:11 --delay 1 --endMP 204:132 --enddatetime 2017-01-01T04:25:54 --enforcementcount 0 &gt;&gt;C:\Users\stu\Documents\GitHub\eaglep3-reporting\EC\2017-01-01-refined-times.txt</v>
      </c>
      <c r="AI197" s="115" t="str">
        <f t="shared" si="55"/>
        <v>echo {"issue":{"subject":"","project_id":79,"tracker_id":40,"status_id":1,"priority_id":2,"assigned_to_id":23,"start_date":"2017-01-01","description":"","custom_fields":[{"id":1,"name":"Subdivision","value":"Other"},{"id":4,"name":"Milepost","value":"0.0132"},{"id":17,"name":"Train ID","value":"308-01"},{"id":16,"name":"Locomotive ID","value":"4021"},{"id":130,"name":"Impact","value":""},{"id":150,"name":"Time of Event (Mountain Time)","value":"04:25:54"},{"id":151,"name":"Denver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56"/>
        <v>start /low /b %USERPROFILE%\Documents\GitHub\eaglep3\Utilities\DownloadLogsFromS3.py --loco 4021 --day 2017-01-01</v>
      </c>
    </row>
    <row r="198" spans="1:91" x14ac:dyDescent="0.25">
      <c r="A198" s="34" t="s">
        <v>672</v>
      </c>
      <c r="B198" s="7">
        <v>4003</v>
      </c>
      <c r="C198" s="22" t="s">
        <v>205</v>
      </c>
      <c r="D198" s="22" t="s">
        <v>406</v>
      </c>
      <c r="E198" s="13">
        <v>42737.02789351852</v>
      </c>
      <c r="F198" s="13">
        <v>42737.029317129629</v>
      </c>
      <c r="G198" s="7">
        <v>1</v>
      </c>
      <c r="H198" s="22" t="s">
        <v>778</v>
      </c>
      <c r="I198" s="13">
        <v>42737.035567129627</v>
      </c>
      <c r="J198" s="7">
        <v>0</v>
      </c>
      <c r="K198" s="105" t="str">
        <f t="shared" si="39"/>
        <v>4003/4004</v>
      </c>
      <c r="L198" s="22" t="str">
        <f>VLOOKUP(A198,'Trips&amp;Operators'!$C$1:$G$99999,5,FALSE)</f>
        <v>CHANDLER KELVIN</v>
      </c>
      <c r="M198" s="6">
        <f t="shared" si="40"/>
        <v>6.2499999985448085E-3</v>
      </c>
      <c r="N198" s="7">
        <f t="shared" si="41"/>
        <v>8.9999999979045242</v>
      </c>
      <c r="O198" s="7"/>
      <c r="P198" s="7"/>
      <c r="Q198" s="23"/>
      <c r="R198" s="23"/>
      <c r="S198" s="32">
        <f t="shared" si="42"/>
        <v>1</v>
      </c>
      <c r="T198" s="47" t="str">
        <f t="shared" si="43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23:40:10-700',mode:absolute,to:'2017-01-02 01:51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8" s="49" t="str">
        <f t="shared" si="45"/>
        <v>Y</v>
      </c>
      <c r="X198" s="173">
        <f t="shared" si="46"/>
        <v>1</v>
      </c>
      <c r="Y198" s="64">
        <f t="shared" si="47"/>
        <v>4.8599999999999997E-2</v>
      </c>
      <c r="Z198" s="64">
        <f t="shared" si="48"/>
        <v>2.2850000000000001</v>
      </c>
      <c r="AA198" s="64">
        <f t="shared" si="49"/>
        <v>2.2364000000000002</v>
      </c>
      <c r="AB198" s="61" t="e">
        <f>VLOOKUP(A198,Enforcements!$C$7:$K$19,8,0)</f>
        <v>#N/A</v>
      </c>
      <c r="AC198" s="57" t="e">
        <f>VLOOKUP(A198,Enforcements!$C$7:$E$19,3,0)</f>
        <v>#N/A</v>
      </c>
      <c r="AD198" s="58" t="str">
        <f t="shared" si="50"/>
        <v>0309-01</v>
      </c>
      <c r="AE198" s="87" t="str">
        <f t="shared" si="51"/>
        <v>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 &amp; aws s3 cp s3://rtdc.mdm.uploadarchive.raw/RTDC4003/ "%USERPROFILE%\AppData\Local\Temp\OnboardLogs"\RTDC4003\2017-01-03 --exclude "*" --recursive --include "*20170103*" &amp; "%USERPROFILE%\Documents\GitHub\mrs-test-scripts\Headless Mode &amp; Sideloading\WalkAndUnGZ.bat" "%USERPROFILE%\AppData\Local\Temp\OnboardLogs"\RTDC4003\2017-01-03</v>
      </c>
      <c r="AF198" s="84" t="str">
        <f t="shared" si="52"/>
        <v>"C:\Program Files (x86)\AstroGrep\AstroGrep.exe" /spath="%USERPROFILE%\AppData\Local\Temp\OnboardLogs" /stypes="app*4003*20170102*" /stext=" 07:.+((SYSTEM_STATE.+slice.+state.+changed )|(ment ac)|(multiple cpu faults)|(system.+state.+changed )|(\[timeout)|(PRM\|1\|D)|(kpr)|(kdp)|(\|lc)|(penalty))" /e /r /s</v>
      </c>
      <c r="AG198" s="1" t="str">
        <f t="shared" si="53"/>
        <v>Other</v>
      </c>
      <c r="AH198" s="88" t="str">
        <f t="shared" si="54"/>
        <v>"%USERPROFILE%\Documents\GitHub\eaglep3\Utilities\RefineRTDCRunTimes.py" --tripid 309-01 --locoid 4003 --swversion DE.1.0.8.0 --startMP 204:486 --initTime 2017-01-02T00:40:10 --startdatetime 2017-01-02T00:42:13 --delay 1 --endMP 300:22850 --enddatetime 2017-01-02T00:51:13 --enforcementcount 0 &gt;&gt;C:\Users\stu\Documents\GitHub\eaglep3-reporting\EC\2017-01-01-refined-times.txt</v>
      </c>
      <c r="AI198" s="115" t="str">
        <f t="shared" si="55"/>
        <v>echo {"issue":{"subject":"","project_id":79,"tracker_id":40,"status_id":1,"priority_id":2,"assigned_to_id":23,"start_date":"2017-01-02","description":"","custom_fields":[{"id":1,"name":"Subdivision","value":"Other"},{"id":4,"name":"Milepost","value":"2.285"},{"id":17,"name":"Train ID","value":"309-01"},{"id":16,"name":"Locomotive ID","value":"4003"},{"id":130,"name":"Impact","value":""},{"id":150,"name":"Time of Event (Mountain Time)","value":"00:51:13"},{"id":151,"name":"Denver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56"/>
        <v>start /low /b %USERPROFILE%\Documents\GitHub\eaglep3\Utilities\DownloadLogsFromS3.py --loco 4003 --day 2017-01-02</v>
      </c>
    </row>
    <row r="199" spans="1:91" x14ac:dyDescent="0.25">
      <c r="A199" s="34" t="s">
        <v>488</v>
      </c>
      <c r="B199" s="7">
        <v>4008</v>
      </c>
      <c r="C199" s="22" t="s">
        <v>205</v>
      </c>
      <c r="D199" s="22" t="s">
        <v>779</v>
      </c>
      <c r="E199" s="13">
        <v>42736.180347222224</v>
      </c>
      <c r="F199" s="13">
        <v>42736.18172453704</v>
      </c>
      <c r="G199" s="7">
        <v>1</v>
      </c>
      <c r="H199" s="22" t="s">
        <v>253</v>
      </c>
      <c r="I199" s="13">
        <v>42736.192395833335</v>
      </c>
      <c r="J199" s="7">
        <v>0</v>
      </c>
      <c r="K199" s="105" t="str">
        <f t="shared" si="39"/>
        <v>4007/4008</v>
      </c>
      <c r="L199" s="22" t="str">
        <f>VLOOKUP(A199,'Trips&amp;Operators'!$C$1:$G$99999,5,FALSE)</f>
        <v>ROBINSON KADDIBA</v>
      </c>
      <c r="M199" s="6">
        <f t="shared" si="40"/>
        <v>1.0671296295186039E-2</v>
      </c>
      <c r="N199" s="7">
        <f t="shared" si="41"/>
        <v>15.366666665067896</v>
      </c>
      <c r="O199" s="7"/>
      <c r="P199" s="7"/>
      <c r="Q199" s="23"/>
      <c r="R199" s="23"/>
      <c r="S199" s="32">
        <f t="shared" si="42"/>
        <v>1</v>
      </c>
      <c r="T199" s="47" t="str">
        <f t="shared" si="43"/>
        <v>Southbound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https://search-rtdc-monitor-bjffxe2xuh6vdkpspy63sjmuny.us-east-1.es.amazonaws.com/_plugin/kibana/#/discover/Steve-Slow-Train-Analysis-(2080s-and-2083s)?_g=(refreshInterval:(display:Off,section:0,value:0),time:(from:'2017-01-01 03:19:42-700',mode:absolute,to:'2017-01-01 05:37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9" s="49" t="str">
        <f t="shared" si="45"/>
        <v>Y</v>
      </c>
      <c r="X199" s="173">
        <f t="shared" si="46"/>
        <v>1</v>
      </c>
      <c r="Y199" s="64">
        <f t="shared" si="47"/>
        <v>2.3214000000000001</v>
      </c>
      <c r="Z199" s="64">
        <f t="shared" si="48"/>
        <v>1.3899999999999999E-2</v>
      </c>
      <c r="AA199" s="64">
        <f t="shared" si="49"/>
        <v>2.3075000000000001</v>
      </c>
      <c r="AB199" s="61" t="e">
        <f>VLOOKUP(A199,Enforcements!$C$7:$K$19,8,0)</f>
        <v>#N/A</v>
      </c>
      <c r="AC199" s="57" t="e">
        <f>VLOOKUP(A199,Enforcements!$C$7:$E$19,3,0)</f>
        <v>#N/A</v>
      </c>
      <c r="AD199" s="58" t="str">
        <f t="shared" si="50"/>
        <v>0310-01</v>
      </c>
      <c r="AE199" s="87" t="str">
        <f t="shared" si="51"/>
        <v>aws s3 cp s3://rtdc.mdm.uploadarchive.raw/RTDC4008/ "%USERPROFILE%\AppData\Local\Temp\OnboardLogs"\RTDC4008\2017-01-01 --exclude "*" --recursive --include "*20170101*" &amp; "%USERPROFILE%\Documents\GitHub\mrs-test-scripts\Headless Mode &amp; Sideloading\WalkAndUnGZ.bat" "%USERPROFILE%\AppData\Local\Temp\OnboardLogs"\RTDC4008\2017-01-01 &amp; 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</v>
      </c>
      <c r="AF199" s="84" t="str">
        <f t="shared" si="52"/>
        <v>"C:\Program Files (x86)\AstroGrep\AstroGrep.exe" /spath="%USERPROFILE%\AppData\Local\Temp\OnboardLogs" /stypes="app*4008*20170101*" /stext=" 11:.+((SYSTEM_STATE.+slice.+state.+changed )|(ment ac)|(multiple cpu faults)|(system.+state.+changed )|(\[timeout)|(PRM\|1\|D)|(kpr)|(kdp)|(\|lc)|(penalty))" /e /r /s</v>
      </c>
      <c r="AG199" s="1" t="str">
        <f t="shared" si="53"/>
        <v>Other</v>
      </c>
      <c r="AH199" s="88" t="str">
        <f t="shared" si="54"/>
        <v>"%USERPROFILE%\Documents\GitHub\eaglep3\Utilities\RefineRTDCRunTimes.py" --tripid 310-01 --locoid 4008 --swversion DE.1.0.8.0 --startMP 300:23214 --initTime 2017-01-01T04:19:42 --startdatetime 2017-01-01T04:21:41 --delay 1 --endMP 204:139 --enddatetime 2017-01-01T04:37:03 --enforcementcount 0 &gt;&gt;C:\Users\stu\Documents\GitHub\eaglep3-reporting\EC\2017-01-01-refined-times.txt</v>
      </c>
      <c r="AI199" s="115" t="str">
        <f t="shared" si="55"/>
        <v>echo {"issue":{"subject":"","project_id":79,"tracker_id":40,"status_id":1,"priority_id":2,"assigned_to_id":23,"start_date":"2017-01-01","description":"","custom_fields":[{"id":1,"name":"Subdivision","value":"Other"},{"id":4,"name":"Milepost","value":"0.0139"},{"id":17,"name":"Train ID","value":"310-01"},{"id":16,"name":"Locomotive ID","value":"4008"},{"id":130,"name":"Impact","value":""},{"id":150,"name":"Time of Event (Mountain Time)","value":"04:37:03"},{"id":151,"name":"Denver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56"/>
        <v>start /low /b %USERPROFILE%\Documents\GitHub\eaglep3\Utilities\DownloadLogsFromS3.py --loco 4008 --day 2017-01-01</v>
      </c>
    </row>
    <row r="200" spans="1:91" x14ac:dyDescent="0.25">
      <c r="A200" s="34" t="s">
        <v>674</v>
      </c>
      <c r="B200" s="7">
        <v>4002</v>
      </c>
      <c r="C200" s="22" t="s">
        <v>205</v>
      </c>
      <c r="D200" s="22" t="s">
        <v>338</v>
      </c>
      <c r="E200" s="13">
        <v>42737.046400462961</v>
      </c>
      <c r="F200" s="13">
        <v>25568.708333333332</v>
      </c>
      <c r="G200" s="7">
        <v>2</v>
      </c>
      <c r="H200" s="22" t="s">
        <v>780</v>
      </c>
      <c r="I200" s="13">
        <v>25568.708333333332</v>
      </c>
      <c r="J200" s="7">
        <v>0</v>
      </c>
      <c r="K200" s="105" t="str">
        <f t="shared" si="39"/>
        <v>4001/4002</v>
      </c>
      <c r="L200" s="22" t="str">
        <f>VLOOKUP(A200,'Trips&amp;Operators'!$C$1:$G$99999,5,FALSE)</f>
        <v>NEWELL JAMES</v>
      </c>
      <c r="M200" s="6">
        <f t="shared" si="40"/>
        <v>0</v>
      </c>
      <c r="N200" s="7">
        <f t="shared" si="41"/>
        <v>0</v>
      </c>
      <c r="O200" s="7"/>
      <c r="P200" s="7"/>
      <c r="Q200" s="23"/>
      <c r="R200" s="23"/>
      <c r="S200" s="32">
        <f t="shared" si="42"/>
        <v>1</v>
      </c>
      <c r="T200" s="47" t="str">
        <f t="shared" si="43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https://search-rtdc-monitor-bjffxe2xuh6vdkpspy63sjmuny.us-east-1.es.amazonaws.com/_plugin/kibana/#/discover/Steve-Slow-Train-Analysis-(2080s-and-2083s)?_g=(refreshInterval:(display:Off,section:0,value:0),time:(from:'2017-01-02 00:06:49-700',mode:absolute,to:'1969-12-31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0" s="49" t="str">
        <f t="shared" si="45"/>
        <v>Y</v>
      </c>
      <c r="X200" s="173">
        <f t="shared" si="46"/>
        <v>1</v>
      </c>
      <c r="Y200" s="64">
        <f t="shared" si="47"/>
        <v>4.6600000000000003E-2</v>
      </c>
      <c r="Z200" s="64">
        <f t="shared" si="48"/>
        <v>2.3300999999999998</v>
      </c>
      <c r="AA200" s="64">
        <f t="shared" si="49"/>
        <v>2.2834999999999996</v>
      </c>
      <c r="AB200" s="61" t="e">
        <f>VLOOKUP(A200,Enforcements!$C$7:$K$19,8,0)</f>
        <v>#N/A</v>
      </c>
      <c r="AC200" s="57" t="e">
        <f>VLOOKUP(A200,Enforcements!$C$7:$E$19,3,0)</f>
        <v>#N/A</v>
      </c>
      <c r="AD200" s="58" t="str">
        <f t="shared" si="50"/>
        <v>0311-01</v>
      </c>
      <c r="AE200" s="87" t="str">
        <f t="shared" si="51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0" s="84" t="str">
        <f t="shared" si="52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0" s="1" t="str">
        <f t="shared" si="53"/>
        <v>Other</v>
      </c>
      <c r="AH200" s="88" t="str">
        <f t="shared" si="54"/>
        <v>"%USERPROFILE%\Documents\GitHub\eaglep3\Utilities\RefineRTDCRunTimes.py" --tripid 311-01 --locoid 4002 --swversion DE.1.0.8.0 --startMP 204:466 --initTime 2017-01-02T01:06:49 --startdatetime 1969-12-31T17:00:00 --delay 2 --endMP 300:23301 --enddatetime 1969-12-31T17:00:00 --enforcementcount 0 &gt;&gt;C:\Users\stu\Documents\GitHub\eaglep3-reporting\EC\2017-01-01-refined-times.txt</v>
      </c>
      <c r="AI200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ID","value":"311-01"},{"id":16,"name":"Locomotive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56"/>
        <v>start /low /b %USERPROFILE%\Documents\GitHub\eaglep3\Utilities\DownloadLogsFromS3.py --loco 4002 --day 1969-12-31</v>
      </c>
    </row>
    <row r="201" spans="1:91" x14ac:dyDescent="0.25">
      <c r="A201" s="34" t="s">
        <v>675</v>
      </c>
      <c r="B201" s="7">
        <v>4009</v>
      </c>
      <c r="C201" s="22" t="s">
        <v>205</v>
      </c>
      <c r="D201" s="22" t="s">
        <v>712</v>
      </c>
      <c r="E201" s="13">
        <v>42737.068009259259</v>
      </c>
      <c r="F201" s="13">
        <v>25568.708333333332</v>
      </c>
      <c r="G201" s="7">
        <v>1</v>
      </c>
      <c r="H201" s="22" t="s">
        <v>413</v>
      </c>
      <c r="I201" s="13">
        <v>25568.708333333332</v>
      </c>
      <c r="J201" s="7">
        <v>0</v>
      </c>
      <c r="K201" s="105" t="str">
        <f t="shared" si="39"/>
        <v>4009/4010</v>
      </c>
      <c r="L201" s="22" t="str">
        <f>VLOOKUP(A201,'Trips&amp;Operators'!$C$1:$G$99999,5,FALSE)</f>
        <v>SMITH MICHAEL</v>
      </c>
      <c r="M201" s="6">
        <f t="shared" si="40"/>
        <v>0</v>
      </c>
      <c r="N201" s="7">
        <f t="shared" si="41"/>
        <v>0</v>
      </c>
      <c r="O201" s="7"/>
      <c r="P201" s="7"/>
      <c r="Q201" s="23"/>
      <c r="R201" s="23"/>
      <c r="S201" s="32">
        <f t="shared" si="42"/>
        <v>1</v>
      </c>
      <c r="T201" s="47" t="str">
        <f t="shared" si="43"/>
        <v>NorthBound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https://search-rtdc-monitor-bjffxe2xuh6vdkpspy63sjmuny.us-east-1.es.amazonaws.com/_plugin/kibana/#/discover/Steve-Slow-Train-Analysis-(2080s-and-2083s)?_g=(refreshInterval:(display:Off,section:0,value:0),time:(from:'2017-01-02 00:37:56-700',mode:absolute,to:'1969-12-31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1" s="49" t="str">
        <f t="shared" si="45"/>
        <v>Y</v>
      </c>
      <c r="X201" s="173">
        <f t="shared" si="46"/>
        <v>2</v>
      </c>
      <c r="Y201" s="64">
        <f t="shared" si="47"/>
        <v>4.7500000000000001E-2</v>
      </c>
      <c r="Z201" s="64">
        <f t="shared" si="48"/>
        <v>2.3306</v>
      </c>
      <c r="AA201" s="64">
        <f t="shared" si="49"/>
        <v>2.2831000000000001</v>
      </c>
      <c r="AB201" s="61" t="e">
        <f>VLOOKUP(A201,Enforcements!$C$7:$K$19,8,0)</f>
        <v>#N/A</v>
      </c>
      <c r="AC201" s="57" t="e">
        <f>VLOOKUP(A201,Enforcements!$C$7:$E$19,3,0)</f>
        <v>#N/A</v>
      </c>
      <c r="AD201" s="58" t="str">
        <f t="shared" si="50"/>
        <v>0313-01</v>
      </c>
      <c r="AE201" s="87" t="str">
        <f t="shared" si="5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1" s="84" t="str">
        <f t="shared" si="52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01" s="1" t="str">
        <f t="shared" si="53"/>
        <v>Other</v>
      </c>
      <c r="AH201" s="88" t="str">
        <f t="shared" si="54"/>
        <v>"%USERPROFILE%\Documents\GitHub\eaglep3\Utilities\RefineRTDCRunTimes.py" --tripid 313-01 --locoid 4009 --swversion DE.1.0.8.0 --startMP 204:475 --initTime 2017-01-02T01:37:56 --startdatetime 1969-12-31T17:00:00 --delay 1 --endMP 300:23306 --enddatetime 1969-12-31T17:00:00 --enforcementcount 0 &gt;&gt;C:\Users\stu\Documents\GitHub\eaglep3-reporting\EC\2017-01-01-refined-times.txt</v>
      </c>
      <c r="AI201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ID","value":"313-01"},{"id":16,"name":"Locomotive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56"/>
        <v>start /low /b %USERPROFILE%\Documents\GitHub\eaglep3\Utilities\DownloadLogsFromS3.py --loco 4009 --day 1969-12-31</v>
      </c>
    </row>
    <row r="202" spans="1:91" x14ac:dyDescent="0.25">
      <c r="A202" s="34" t="s">
        <v>476</v>
      </c>
      <c r="B202" s="7">
        <v>4031</v>
      </c>
      <c r="C202" s="22" t="s">
        <v>205</v>
      </c>
      <c r="D202" s="22" t="s">
        <v>370</v>
      </c>
      <c r="E202" s="13">
        <v>42736.093217592592</v>
      </c>
      <c r="F202" s="13">
        <v>25568.708333333332</v>
      </c>
      <c r="G202" s="7">
        <v>1</v>
      </c>
      <c r="H202" s="22" t="s">
        <v>325</v>
      </c>
      <c r="I202" s="13">
        <v>25568.708333333332</v>
      </c>
      <c r="J202" s="7">
        <v>0</v>
      </c>
      <c r="K202" s="105" t="str">
        <f t="shared" ref="K202:K218" si="57">IF(ISEVEN(B202),(B202-1)&amp;"/"&amp;B202,B202&amp;"/"&amp;(B202+1))</f>
        <v>4031/4032</v>
      </c>
      <c r="L202" s="22" t="str">
        <f>VLOOKUP(A202,'Trips&amp;Operators'!$C$1:$G$99999,5,FALSE)</f>
        <v>HILLS DUSTIN</v>
      </c>
      <c r="M202" s="6">
        <f t="shared" ref="M202:M218" si="58">I202-F202</f>
        <v>0</v>
      </c>
      <c r="N202" s="7">
        <f t="shared" ref="N202:N218" si="59">24*60*SUM($M202:$M202)</f>
        <v>0</v>
      </c>
      <c r="O202" s="7"/>
      <c r="P202" s="7"/>
      <c r="Q202" s="23"/>
      <c r="R202" s="23"/>
      <c r="S202" s="32">
        <f t="shared" ref="S202:S218" si="60">SUM(U202:U202)/IF(AG202="EC",12,1)</f>
        <v>1</v>
      </c>
      <c r="T202" s="47" t="str">
        <f t="shared" ref="T202:T218" si="61">IF(ISEVEN(LEFT(AD202,4)),"Southbound","NorthBound")</f>
        <v>NorthBound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ref="V202:V218" si="62">"https://search-rtdc-monitor-bjffxe2xuh6vdkpspy63sjmuny.us-east-1.es.amazonaws.com/_plugin/kibana/#/discover/Steve-Slow-Train-Analysis-(2080s-and-2083s)?_g=(refreshInterval:(display:Off,section:0,value:0),time:(from:'"&amp;TEXT(E202-1/24,"yyyy-MM-DD hh:mm:ss")&amp;utc_offset&amp;"00',mode:absolute,to:'"&amp;TEXT(I202+1/24,"yyyy-MM-DD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https://search-rtdc-monitor-bjffxe2xuh6vdkpspy63sjmuny.us-east-1.es.amazonaws.com/_plugin/kibana/#/discover/Steve-Slow-Train-Analysis-(2080s-and-2083s)?_g=(refreshInterval:(display:Off,section:0,value:0),time:(from:'2017-01-01 01:14:14-700',mode:absolute,to:'1969-12-31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2" s="49" t="str">
        <f t="shared" ref="W202:W218" si="63">IF(AA202&lt;IF(AG202="EC",23,5.65),"Y","N")</f>
        <v>Y</v>
      </c>
      <c r="X202" s="173">
        <f t="shared" ref="X202:X218" si="64">VALUE(LEFT(AD202,4))-VALUE(LEFT(AD201,4))</f>
        <v>0</v>
      </c>
      <c r="Y202" s="64">
        <f t="shared" ref="Y202:Y218" si="65">RIGHT(D202,LEN(D202)-4)/10000</f>
        <v>7.5399999999999995E-2</v>
      </c>
      <c r="Z202" s="64">
        <f t="shared" ref="Z202:Z218" si="66">RIGHT(H202,LEN(H202)-4)/10000</f>
        <v>2.3304</v>
      </c>
      <c r="AA202" s="64">
        <f t="shared" ref="AA202:AA218" si="67">ABS(Z202-Y202)</f>
        <v>2.2549999999999999</v>
      </c>
      <c r="AB202" s="61" t="e">
        <f>VLOOKUP(A202,Enforcements!$C$7:$K$19,8,0)</f>
        <v>#N/A</v>
      </c>
      <c r="AC202" s="57" t="e">
        <f>VLOOKUP(A202,Enforcements!$C$7:$E$19,3,0)</f>
        <v>#N/A</v>
      </c>
      <c r="AD202" s="58" t="str">
        <f t="shared" ref="AD202:AD218" si="68">IF(LEN(A202)=6,"0"&amp;A202,A202)</f>
        <v>0313-31</v>
      </c>
      <c r="AE202" s="87" t="str">
        <f t="shared" ref="AE202:AE218" si="69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2" s="84" t="str">
        <f t="shared" ref="AF202:AF218" si="70"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02" s="1" t="str">
        <f t="shared" ref="AG202:AG218" si="71">IFERROR(IF(VALUE(LEFT(AD202,2))&lt;=2,"EC",IF(OR(VALUE(LEFT(AD202,2))=8,VALUE(LEFT(AD202,2))=18),"NW","Other")),"Other")</f>
        <v>Other</v>
      </c>
      <c r="AH202" s="88" t="str">
        <f t="shared" si="54"/>
        <v>"%USERPROFILE%\Documents\GitHub\eaglep3\Utilities\RefineRTDCRunTimes.py" --tripid 313-31 --locoid 4031 --swversion DE.1.0.8.0 --startMP 204:754 --initTime 2017-01-01T02:14:14 --startdatetime 1969-12-31T17:00:00 --delay 1 --endMP 300:23304 --enddatetime 1969-12-31T17:00:00 --enforcementcount 0 &gt;&gt;C:\Users\stu\Documents\GitHub\eaglep3-reporting\EC\2017-01-01-refined-times.txt</v>
      </c>
      <c r="AI202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ID","value":"313-31"},{"id":16,"name":"Locomotive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56"/>
        <v>start /low /b %USERPROFILE%\Documents\GitHub\eaglep3\Utilities\DownloadLogsFromS3.py --loco 4031 --day 1969-12-31</v>
      </c>
    </row>
    <row r="203" spans="1:91" x14ac:dyDescent="0.25">
      <c r="A203" s="34" t="s">
        <v>676</v>
      </c>
      <c r="B203" s="7">
        <v>4022</v>
      </c>
      <c r="C203" s="22" t="s">
        <v>205</v>
      </c>
      <c r="D203" s="22" t="s">
        <v>406</v>
      </c>
      <c r="E203" s="13">
        <v>42737.088726851849</v>
      </c>
      <c r="F203" s="13">
        <v>25568.708333333332</v>
      </c>
      <c r="G203" s="7">
        <v>1</v>
      </c>
      <c r="H203" s="22" t="s">
        <v>781</v>
      </c>
      <c r="I203" s="13">
        <v>25568.708333333332</v>
      </c>
      <c r="J203" s="7">
        <v>0</v>
      </c>
      <c r="K203" s="105" t="str">
        <f t="shared" si="57"/>
        <v>4021/4022</v>
      </c>
      <c r="L203" s="22" t="str">
        <f>VLOOKUP(A203,'Trips&amp;Operators'!$C$1:$G$99999,5,FALSE)</f>
        <v>STAMBAUGH JAMES</v>
      </c>
      <c r="M203" s="6">
        <f t="shared" si="58"/>
        <v>0</v>
      </c>
      <c r="N203" s="7">
        <f t="shared" si="59"/>
        <v>0</v>
      </c>
      <c r="O203" s="7"/>
      <c r="P203" s="7"/>
      <c r="Q203" s="23"/>
      <c r="R203" s="23"/>
      <c r="S203" s="32">
        <f t="shared" si="60"/>
        <v>1</v>
      </c>
      <c r="T203" s="47" t="str">
        <f t="shared" si="61"/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https://search-rtdc-monitor-bjffxe2xuh6vdkpspy63sjmuny.us-east-1.es.amazonaws.com/_plugin/kibana/#/discover/Steve-Slow-Train-Analysis-(2080s-and-2083s)?_g=(refreshInterval:(display:Off,section:0,value:0),time:(from:'2017-01-02 01:07:46-700',mode:absolute,to:'1969-12-31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3" s="49" t="str">
        <f t="shared" si="63"/>
        <v>Y</v>
      </c>
      <c r="X203" s="173">
        <f t="shared" si="64"/>
        <v>2</v>
      </c>
      <c r="Y203" s="64">
        <f t="shared" si="65"/>
        <v>4.8599999999999997E-2</v>
      </c>
      <c r="Z203" s="64">
        <f t="shared" si="66"/>
        <v>2.3298999999999999</v>
      </c>
      <c r="AA203" s="64">
        <f t="shared" si="67"/>
        <v>2.2812999999999999</v>
      </c>
      <c r="AB203" s="61" t="e">
        <f>VLOOKUP(A203,Enforcements!$C$7:$K$19,8,0)</f>
        <v>#N/A</v>
      </c>
      <c r="AC203" s="57" t="e">
        <f>VLOOKUP(A203,Enforcements!$C$7:$E$19,3,0)</f>
        <v>#N/A</v>
      </c>
      <c r="AD203" s="58" t="str">
        <f t="shared" si="68"/>
        <v>0315-01</v>
      </c>
      <c r="AE203" s="87" t="str">
        <f t="shared" si="69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3" s="84" t="str">
        <f t="shared" si="70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03" s="1" t="str">
        <f t="shared" si="71"/>
        <v>Other</v>
      </c>
      <c r="AH203" s="88" t="str">
        <f t="shared" ref="AH203:AH218" si="72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315-01 --locoid 4022 --swversion DE.1.0.8.0 --startMP 204:486 --initTime 2017-01-02T02:07:46 --startdatetime 1969-12-31T17:00:00 --delay 1 --endMP 300:23299 --enddatetime 1969-12-31T17:00:00 --enforcementcount 0 &gt;&gt;C:\Users\stu\Documents\GitHub\eaglep3-reporting\EC\2017-01-01-refined-times.txt</v>
      </c>
      <c r="AI203" s="115" t="str">
        <f t="shared" ref="AI203:AI218" si="73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ID","value":"315-01"},{"id":16,"name":"Locomotive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ref="AM203:AM218" si="74">"start /low /b "&amp;dls3logs&amp;" --loco "&amp;B203&amp;" --day "&amp;TEXT(F203,"YYYY-MM-DD")</f>
        <v>start /low /b %USERPROFILE%\Documents\GitHub\eaglep3\Utilities\DownloadLogsFromS3.py --loco 4022 --day 1969-12-31</v>
      </c>
    </row>
    <row r="204" spans="1:91" x14ac:dyDescent="0.25">
      <c r="A204" s="34" t="s">
        <v>477</v>
      </c>
      <c r="B204" s="7">
        <v>4018</v>
      </c>
      <c r="C204" s="22" t="s">
        <v>205</v>
      </c>
      <c r="D204" s="22" t="s">
        <v>730</v>
      </c>
      <c r="E204" s="13">
        <v>42736.114502314813</v>
      </c>
      <c r="F204" s="13">
        <v>25568.708333333332</v>
      </c>
      <c r="G204" s="7">
        <v>1</v>
      </c>
      <c r="H204" s="22" t="s">
        <v>782</v>
      </c>
      <c r="I204" s="13">
        <v>25568.708333333332</v>
      </c>
      <c r="J204" s="7">
        <v>0</v>
      </c>
      <c r="K204" s="105" t="str">
        <f t="shared" si="57"/>
        <v>4017/4018</v>
      </c>
      <c r="L204" s="22" t="str">
        <f>VLOOKUP(A204,'Trips&amp;Operators'!$C$1:$G$99999,5,FALSE)</f>
        <v>BROWN JACOB</v>
      </c>
      <c r="M204" s="6">
        <f t="shared" si="58"/>
        <v>0</v>
      </c>
      <c r="N204" s="7">
        <f t="shared" si="59"/>
        <v>0</v>
      </c>
      <c r="O204" s="7"/>
      <c r="P204" s="7"/>
      <c r="Q204" s="23"/>
      <c r="R204" s="23"/>
      <c r="S204" s="32">
        <f t="shared" si="60"/>
        <v>1</v>
      </c>
      <c r="T204" s="47" t="str">
        <f t="shared" si="61"/>
        <v>NorthBound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https://search-rtdc-monitor-bjffxe2xuh6vdkpspy63sjmuny.us-east-1.es.amazonaws.com/_plugin/kibana/#/discover/Steve-Slow-Train-Analysis-(2080s-and-2083s)?_g=(refreshInterval:(display:Off,section:0,value:0),time:(from:'2017-01-01 01:44:53-700',mode:absolute,to:'1969-12-31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4" s="49" t="str">
        <f t="shared" si="63"/>
        <v>Y</v>
      </c>
      <c r="X204" s="173">
        <f t="shared" si="64"/>
        <v>0</v>
      </c>
      <c r="Y204" s="64">
        <f t="shared" si="65"/>
        <v>7.4800000000000005E-2</v>
      </c>
      <c r="Z204" s="64">
        <f t="shared" si="66"/>
        <v>2.3104</v>
      </c>
      <c r="AA204" s="64">
        <f t="shared" si="67"/>
        <v>2.2355999999999998</v>
      </c>
      <c r="AB204" s="61" t="e">
        <f>VLOOKUP(A204,Enforcements!$C$7:$K$19,8,0)</f>
        <v>#N/A</v>
      </c>
      <c r="AC204" s="57" t="e">
        <f>VLOOKUP(A204,Enforcements!$C$7:$E$19,3,0)</f>
        <v>#N/A</v>
      </c>
      <c r="AD204" s="58" t="str">
        <f t="shared" si="68"/>
        <v>0315-31</v>
      </c>
      <c r="AE204" s="87" t="str">
        <f t="shared" si="69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4" s="84" t="str">
        <f t="shared" si="70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4" s="1" t="str">
        <f t="shared" si="71"/>
        <v>Other</v>
      </c>
      <c r="AH204" s="88" t="str">
        <f t="shared" si="72"/>
        <v>"%USERPROFILE%\Documents\GitHub\eaglep3\Utilities\RefineRTDCRunTimes.py" --tripid 315-31 --locoid 4018 --swversion DE.1.0.8.0 --startMP 204:748 --initTime 2017-01-01T02:44:53 --startdatetime 1969-12-31T17:00:00 --delay 1 --endMP 300:23104 --enddatetime 1969-12-31T17:00:00 --enforcementcount 0 &gt;&gt;C:\Users\stu\Documents\GitHub\eaglep3-reporting\EC\2017-01-01-refined-times.txt</v>
      </c>
      <c r="AI204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{"issue":{"subject":"","project_id":79,"tracker_id":40,"status_id":1,"priority_id":2,"assigned_to_id":23,"start_date":"1969-12-31","description":"","custom_fields":[{"id":1,"name":"Subdivision","value":"Other"},{"id":4,"name":"Milepost","value":"2.3104"},{"id":17,"name":"Train ID","value":"315-31"},{"id":16,"name":"Locomotive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74"/>
        <v>start /low /b %USERPROFILE%\Documents\GitHub\eaglep3\Utilities\DownloadLogsFromS3.py --loco 4018 --day 1969-12-31</v>
      </c>
    </row>
    <row r="205" spans="1:91" x14ac:dyDescent="0.25">
      <c r="A205" s="34" t="s">
        <v>499</v>
      </c>
      <c r="B205" s="7">
        <v>4044</v>
      </c>
      <c r="C205" s="22" t="s">
        <v>205</v>
      </c>
      <c r="D205" s="22" t="s">
        <v>753</v>
      </c>
      <c r="E205" s="13">
        <v>42736.225231481483</v>
      </c>
      <c r="F205" s="13">
        <v>42736.226400462961</v>
      </c>
      <c r="G205" s="7">
        <v>1</v>
      </c>
      <c r="H205" s="22" t="s">
        <v>343</v>
      </c>
      <c r="I205" s="13">
        <v>42736.231585648151</v>
      </c>
      <c r="J205" s="7">
        <v>0</v>
      </c>
      <c r="K205" s="105" t="str">
        <f t="shared" si="57"/>
        <v>4043/4044</v>
      </c>
      <c r="L205" s="22" t="str">
        <f>VLOOKUP(A205,'Trips&amp;Operators'!$C$1:$G$99999,5,FALSE)</f>
        <v>YORK EDGAR</v>
      </c>
      <c r="M205" s="6">
        <f t="shared" si="58"/>
        <v>5.1851851894753054E-3</v>
      </c>
      <c r="N205" s="7">
        <f t="shared" si="59"/>
        <v>7.4666666728444397</v>
      </c>
      <c r="O205" s="7"/>
      <c r="P205" s="7"/>
      <c r="Q205" s="23"/>
      <c r="R205" s="23"/>
      <c r="S205" s="32">
        <f t="shared" si="60"/>
        <v>0</v>
      </c>
      <c r="T205" s="47" t="str">
        <f t="shared" si="61"/>
        <v>NorthBound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https://search-rtdc-monitor-bjffxe2xuh6vdkpspy63sjmuny.us-east-1.es.amazonaws.com/_plugin/kibana/#/discover/Steve-Slow-Train-Analysis-(2080s-and-2083s)?_g=(refreshInterval:(display:Off,section:0,value:0),time:(from:'2017-01-01 04:24:20-700',mode:absolute,to:'2017-01-01 06:33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5" s="49" t="str">
        <f t="shared" si="63"/>
        <v>Y</v>
      </c>
      <c r="X205" s="173">
        <f t="shared" si="64"/>
        <v>1586</v>
      </c>
      <c r="Y205" s="64">
        <f t="shared" si="65"/>
        <v>3.0156999999999998</v>
      </c>
      <c r="Z205" s="64">
        <f t="shared" si="66"/>
        <v>5.8929</v>
      </c>
      <c r="AA205" s="64">
        <f t="shared" si="67"/>
        <v>2.8772000000000002</v>
      </c>
      <c r="AB205" s="61" t="e">
        <f>VLOOKUP(A205,Enforcements!$C$7:$K$19,8,0)</f>
        <v>#N/A</v>
      </c>
      <c r="AC205" s="57" t="e">
        <f>VLOOKUP(A205,Enforcements!$C$7:$E$19,3,0)</f>
        <v>#N/A</v>
      </c>
      <c r="AD205" s="58" t="str">
        <f t="shared" si="68"/>
        <v>1901-01</v>
      </c>
      <c r="AE205" s="87" t="str">
        <f t="shared" si="69"/>
        <v>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 &amp; aws s3 cp s3://rtdc.mdm.uploadarchive.raw/RTDC4044/ "%USERPROFILE%\AppData\Local\Temp\OnboardLogs"\RTDC4044\2017-01-02 --exclude "*" --recursive --include "*20170102*" &amp; "%USERPROFILE%\Documents\GitHub\mrs-test-scripts\Headless Mode &amp; Sideloading\WalkAndUnGZ.bat" "%USERPROFILE%\AppData\Local\Temp\OnboardLogs"\RTDC4044\2017-01-02</v>
      </c>
      <c r="AF205" s="84" t="str">
        <f t="shared" si="70"/>
        <v>"C:\Program Files (x86)\AstroGrep\AstroGrep.exe" /spath="%USERPROFILE%\AppData\Local\Temp\OnboardLogs" /stypes="app*4044*20170101*" /stext=" 12:.+((SYSTEM_STATE.+slice.+state.+changed )|(ment ac)|(multiple cpu faults)|(system.+state.+changed )|(\[timeout)|(PRM\|1\|D)|(kpr)|(kdp)|(\|lc)|(penalty))" /e /r /s</v>
      </c>
      <c r="AG205" s="1" t="str">
        <f t="shared" si="71"/>
        <v>Other</v>
      </c>
      <c r="AH205" s="88" t="str">
        <f t="shared" si="72"/>
        <v>"%USERPROFILE%\Documents\GitHub\eaglep3\Utilities\RefineRTDCRunTimes.py" --tripid 1901-01 --locoid 4044 --swversion DE.1.0.8.0 --startMP 300:30157 --initTime 2017-01-01T05:24:20 --startdatetime 2017-01-01T05:26:01 --delay 1 --endMP 300:58929 --enddatetime 2017-01-01T05:33:29 --enforcementcount 0 &gt;&gt;C:\Users\stu\Documents\GitHub\eaglep3-reporting\EC\2017-01-01-refined-times.txt</v>
      </c>
      <c r="AI205" s="115" t="str">
        <f t="shared" si="73"/>
        <v>echo {"issue":{"subject":"","project_id":79,"tracker_id":40,"status_id":1,"priority_id":2,"assigned_to_id":23,"start_date":"2017-01-01","description":"","custom_fields":[{"id":1,"name":"Subdivision","value":"Other"},{"id":4,"name":"Milepost","value":"5.8929"},{"id":17,"name":"Train ID","value":"1901-01"},{"id":16,"name":"Locomotive ID","value":"4044"},{"id":130,"name":"Impact","value":""},{"id":150,"name":"Time of Event (Mountain Time)","value":"05:33:29"},{"id":151,"name":"Denver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74"/>
        <v>start /low /b %USERPROFILE%\Documents\GitHub\eaglep3\Utilities\DownloadLogsFromS3.py --loco 4044 --day 2017-01-01</v>
      </c>
    </row>
    <row r="206" spans="1:91" x14ac:dyDescent="0.25">
      <c r="A206" s="34" t="s">
        <v>664</v>
      </c>
      <c r="B206" s="7">
        <v>4030</v>
      </c>
      <c r="C206" s="22" t="s">
        <v>205</v>
      </c>
      <c r="D206" s="22" t="s">
        <v>369</v>
      </c>
      <c r="E206" s="13">
        <v>42736.942314814813</v>
      </c>
      <c r="F206" s="13">
        <v>42736.943958333337</v>
      </c>
      <c r="G206" s="7">
        <v>1</v>
      </c>
      <c r="H206" s="22" t="s">
        <v>754</v>
      </c>
      <c r="I206" s="13">
        <v>42736.948981481481</v>
      </c>
      <c r="J206" s="7">
        <v>0</v>
      </c>
      <c r="K206" s="105" t="str">
        <f t="shared" si="57"/>
        <v>4029/4030</v>
      </c>
      <c r="L206" s="22" t="str">
        <f>VLOOKUP(A206,'Trips&amp;Operators'!$C$1:$G$99999,5,FALSE)</f>
        <v>HELVIE ADAM</v>
      </c>
      <c r="M206" s="6">
        <f t="shared" si="58"/>
        <v>5.0231481436640024E-3</v>
      </c>
      <c r="N206" s="7">
        <f t="shared" si="59"/>
        <v>7.2333333268761635</v>
      </c>
      <c r="O206" s="7"/>
      <c r="P206" s="7"/>
      <c r="Q206" s="23"/>
      <c r="R206" s="23"/>
      <c r="S206" s="32">
        <f t="shared" si="60"/>
        <v>0</v>
      </c>
      <c r="T206" s="47" t="str">
        <f t="shared" si="61"/>
        <v>Southbound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https://search-rtdc-monitor-bjffxe2xuh6vdkpspy63sjmuny.us-east-1.es.amazonaws.com/_plugin/kibana/#/discover/Steve-Slow-Train-Analysis-(2080s-and-2083s)?_g=(refreshInterval:(display:Off,section:0,value:0),time:(from:'2017-01-01 21:36:56-700',mode:absolute,to:'2017-01-01 23:46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6" s="49" t="str">
        <f t="shared" si="63"/>
        <v>Y</v>
      </c>
      <c r="X206" s="173">
        <f t="shared" si="64"/>
        <v>1</v>
      </c>
      <c r="Y206" s="64">
        <f t="shared" si="65"/>
        <v>5.8625999999999996</v>
      </c>
      <c r="Z206" s="64">
        <f t="shared" si="66"/>
        <v>2.1371000000000002</v>
      </c>
      <c r="AA206" s="64">
        <f t="shared" si="67"/>
        <v>3.7254999999999994</v>
      </c>
      <c r="AB206" s="61" t="e">
        <f>VLOOKUP(A206,Enforcements!$C$7:$K$19,8,0)</f>
        <v>#N/A</v>
      </c>
      <c r="AC206" s="57" t="e">
        <f>VLOOKUP(A206,Enforcements!$C$7:$E$19,3,0)</f>
        <v>#N/A</v>
      </c>
      <c r="AD206" s="58" t="str">
        <f t="shared" si="68"/>
        <v>1902-01</v>
      </c>
      <c r="AE206" s="87" t="str">
        <f t="shared" si="69"/>
        <v>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 &amp; 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</v>
      </c>
      <c r="AF206" s="84" t="str">
        <f t="shared" si="70"/>
        <v>"C:\Program Files (x86)\AstroGrep\AstroGrep.exe" /spath="%USERPROFILE%\AppData\Local\Temp\OnboardLogs" /stypes="app*4030*20170102*" /stext=" 05:.+((SYSTEM_STATE.+slice.+state.+changed )|(ment ac)|(multiple cpu faults)|(system.+state.+changed )|(\[timeout)|(PRM\|1\|D)|(kpr)|(kdp)|(\|lc)|(penalty))" /e /r /s</v>
      </c>
      <c r="AG206" s="1" t="str">
        <f t="shared" si="71"/>
        <v>Other</v>
      </c>
      <c r="AH206" s="88" t="str">
        <f t="shared" si="72"/>
        <v>"%USERPROFILE%\Documents\GitHub\eaglep3\Utilities\RefineRTDCRunTimes.py" --tripid 1902-01 --locoid 4030 --swversion DE.1.0.8.0 --startMP 300:58626 --initTime 2017-01-01T22:36:56 --startdatetime 2017-01-01T22:39:18 --delay 1 --endMP 300:21371 --enddatetime 2017-01-01T22:46:32 --enforcementcount 0 &gt;&gt;C:\Users\stu\Documents\GitHub\eaglep3-reporting\EC\2017-01-01-refined-times.txt</v>
      </c>
      <c r="AI206" s="115" t="str">
        <f t="shared" si="73"/>
        <v>echo {"issue":{"subject":"","project_id":79,"tracker_id":40,"status_id":1,"priority_id":2,"assigned_to_id":23,"start_date":"2017-01-01","description":"","custom_fields":[{"id":1,"name":"Subdivision","value":"Other"},{"id":4,"name":"Milepost","value":"2.1371"},{"id":17,"name":"Train ID","value":"1902-01"},{"id":16,"name":"Locomotive ID","value":"4030"},{"id":130,"name":"Impact","value":""},{"id":150,"name":"Time of Event (Mountain Time)","value":"22:46:32"},{"id":151,"name":"Denver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74"/>
        <v>start /low /b %USERPROFILE%\Documents\GitHub\eaglep3\Utilities\DownloadLogsFromS3.py --loco 4030 --day 2017-01-01</v>
      </c>
    </row>
    <row r="207" spans="1:91" x14ac:dyDescent="0.25">
      <c r="A207" s="34" t="s">
        <v>544</v>
      </c>
      <c r="B207" s="7">
        <v>4054</v>
      </c>
      <c r="C207" s="22" t="s">
        <v>205</v>
      </c>
      <c r="D207" s="22" t="s">
        <v>783</v>
      </c>
      <c r="E207" s="13">
        <v>42736.418402777781</v>
      </c>
      <c r="F207" s="13">
        <v>42736.419687499998</v>
      </c>
      <c r="G207" s="7">
        <v>1</v>
      </c>
      <c r="H207" s="22" t="s">
        <v>784</v>
      </c>
      <c r="I207" s="13">
        <v>42736.425613425927</v>
      </c>
      <c r="J207" s="7">
        <v>0</v>
      </c>
      <c r="K207" s="105" t="str">
        <f t="shared" si="57"/>
        <v>4053/4054</v>
      </c>
      <c r="L207" s="22" t="str">
        <f>VLOOKUP(A207,'Trips&amp;Operators'!$C$1:$G$99999,5,FALSE)</f>
        <v>ADANE ELSHADAY</v>
      </c>
      <c r="M207" s="6">
        <f t="shared" si="58"/>
        <v>5.9259259287500754E-3</v>
      </c>
      <c r="N207" s="7">
        <f t="shared" si="59"/>
        <v>8.5333333374001086</v>
      </c>
      <c r="O207" s="7"/>
      <c r="P207" s="7"/>
      <c r="Q207" s="23"/>
      <c r="R207" s="23"/>
      <c r="S207" s="32">
        <f t="shared" si="60"/>
        <v>0</v>
      </c>
      <c r="T207" s="47" t="e">
        <f t="shared" si="61"/>
        <v>#VALUE!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https://search-rtdc-monitor-bjffxe2xuh6vdkpspy63sjmuny.us-east-1.es.amazonaws.com/_plugin/kibana/#/discover/Steve-Slow-Train-Analysis-(2080s-and-2083s)?_g=(refreshInterval:(display:Off,section:0,value:0),time:(from:'2017-01-01 09:02:30-700',mode:absolute,to:'2017-01-01 11:12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7" s="49" t="str">
        <f t="shared" si="63"/>
        <v>Y</v>
      </c>
      <c r="X207" s="173" t="e">
        <f t="shared" si="64"/>
        <v>#VALUE!</v>
      </c>
      <c r="Y207" s="64">
        <f t="shared" si="65"/>
        <v>2.2898000000000001</v>
      </c>
      <c r="Z207" s="64">
        <f t="shared" si="66"/>
        <v>9.4999999999999998E-3</v>
      </c>
      <c r="AA207" s="64">
        <f t="shared" si="67"/>
        <v>2.2803</v>
      </c>
      <c r="AB207" s="61" t="e">
        <f>VLOOKUP(A207,Enforcements!$C$7:$K$19,8,0)</f>
        <v>#N/A</v>
      </c>
      <c r="AC207" s="57" t="e">
        <f>VLOOKUP(A207,Enforcements!$C$7:$E$19,3,0)</f>
        <v>#N/A</v>
      </c>
      <c r="AD207" s="58" t="str">
        <f t="shared" si="68"/>
        <v>50-01</v>
      </c>
      <c r="AE207" s="87" t="str">
        <f t="shared" si="69"/>
        <v>aws s3 cp s3://rtdc.mdm.uploadarchive.raw/RTDC4054/ "%USERPROFILE%\AppData\Local\Temp\OnboardLogs"\RTDC4054\2017-01-01 --exclude "*" --recursive --include "*20170101*" &amp; "%USERPROFILE%\Documents\GitHub\mrs-test-scripts\Headless Mode &amp; Sideloading\WalkAndUnGZ.bat" "%USERPROFILE%\AppData\Local\Temp\OnboardLogs"\RTDC4054\2017-01-01 &amp; aws s3 cp s3://rtdc.mdm.uploadarchive.raw/RTDC4054/ "%USERPROFILE%\AppData\Local\Temp\OnboardLogs"\RTDC4054\2017-01-02 --exclude "*" --recursive --include "*20170102*" &amp; "%USERPROFILE%\Documents\GitHub\mrs-test-scripts\Headless Mode &amp; Sideloading\WalkAndUnGZ.bat" "%USERPROFILE%\AppData\Local\Temp\OnboardLogs"\RTDC4054\2017-01-02</v>
      </c>
      <c r="AF207" s="84" t="str">
        <f t="shared" si="70"/>
        <v>"C:\Program Files (x86)\AstroGrep\AstroGrep.exe" /spath="%USERPROFILE%\AppData\Local\Temp\OnboardLogs" /stypes="app*4054*20170101*" /stext=" 17:.+((SYSTEM_STATE.+slice.+state.+changed )|(ment ac)|(multiple cpu faults)|(system.+state.+changed )|(\[timeout)|(PRM\|1\|D)|(kpr)|(kdp)|(\|lc)|(penalty))" /e /r /s</v>
      </c>
      <c r="AG207" s="1" t="str">
        <f t="shared" si="71"/>
        <v>Other</v>
      </c>
      <c r="AH207" s="88" t="str">
        <f t="shared" si="72"/>
        <v>"%USERPROFILE%\Documents\GitHub\eaglep3\Utilities\RefineRTDCRunTimes.py" --tripid 50-01 --locoid 4054 --swversion DE.1.0.8.0 --startMP 300:22898 --initTime 2017-01-01T10:02:30 --startdatetime 2017-01-01T10:04:21 --delay 1 --endMP 204:95 --enddatetime 2017-01-01T10:12:53 --enforcementcount 0 &gt;&gt;C:\Users\stu\Documents\GitHub\eaglep3-reporting\EC\2017-01-01-refined-times.txt</v>
      </c>
      <c r="AI207" s="115" t="str">
        <f t="shared" si="73"/>
        <v>echo {"issue":{"subject":"","project_id":79,"tracker_id":40,"status_id":1,"priority_id":2,"assigned_to_id":23,"start_date":"2017-01-01","description":"","custom_fields":[{"id":1,"name":"Subdivision","value":"Other"},{"id":4,"name":"Milepost","value":"0.0095"},{"id":17,"name":"Train ID","value":"50-01"},{"id":16,"name":"Locomotive ID","value":"4054"},{"id":130,"name":"Impact","value":""},{"id":150,"name":"Time of Event (Mountain Time)","value":"10:12:53"},{"id":151,"name":"Denver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74"/>
        <v>start /low /b %USERPROFILE%\Documents\GitHub\eaglep3\Utilities\DownloadLogsFromS3.py --loco 4054 --day 2017-01-01</v>
      </c>
    </row>
    <row r="208" spans="1:91" x14ac:dyDescent="0.25">
      <c r="A208" s="34" t="s">
        <v>550</v>
      </c>
      <c r="B208" s="7">
        <v>4053</v>
      </c>
      <c r="C208" s="22" t="s">
        <v>205</v>
      </c>
      <c r="D208" s="22" t="s">
        <v>785</v>
      </c>
      <c r="E208" s="13">
        <v>42736.435925925929</v>
      </c>
      <c r="F208" s="13">
        <v>42736.437824074077</v>
      </c>
      <c r="G208" s="7">
        <v>2</v>
      </c>
      <c r="H208" s="22" t="s">
        <v>786</v>
      </c>
      <c r="I208" s="13">
        <v>42736.444432870368</v>
      </c>
      <c r="J208" s="7">
        <v>0</v>
      </c>
      <c r="K208" s="105" t="str">
        <f t="shared" si="57"/>
        <v>4053/4054</v>
      </c>
      <c r="L208" s="22" t="str">
        <f>VLOOKUP(A208,'Trips&amp;Operators'!$C$1:$G$99999,5,FALSE)</f>
        <v>OUN ZACK</v>
      </c>
      <c r="M208" s="6">
        <f t="shared" si="58"/>
        <v>6.6087962914025411E-3</v>
      </c>
      <c r="N208" s="7">
        <f t="shared" si="59"/>
        <v>9.5166666596196592</v>
      </c>
      <c r="O208" s="7"/>
      <c r="P208" s="7"/>
      <c r="Q208" s="23"/>
      <c r="R208" s="23"/>
      <c r="S208" s="32">
        <f t="shared" si="60"/>
        <v>0</v>
      </c>
      <c r="T208" s="47" t="e">
        <f t="shared" si="61"/>
        <v>#VALUE!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https://search-rtdc-monitor-bjffxe2xuh6vdkpspy63sjmuny.us-east-1.es.amazonaws.com/_plugin/kibana/#/discover/Steve-Slow-Train-Analysis-(2080s-and-2083s)?_g=(refreshInterval:(display:Off,section:0,value:0),time:(from:'2017-01-01 09:27:44-700',mode:absolute,to:'2017-01-01 11:39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8" s="49" t="str">
        <f t="shared" si="63"/>
        <v>Y</v>
      </c>
      <c r="X208" s="173" t="e">
        <f t="shared" si="64"/>
        <v>#VALUE!</v>
      </c>
      <c r="Y208" s="64">
        <f t="shared" si="65"/>
        <v>3.9399999999999998E-2</v>
      </c>
      <c r="Z208" s="64">
        <f t="shared" si="66"/>
        <v>2.4586000000000001</v>
      </c>
      <c r="AA208" s="64">
        <f t="shared" si="67"/>
        <v>2.4192</v>
      </c>
      <c r="AB208" s="61" t="e">
        <f>VLOOKUP(A208,Enforcements!$C$7:$K$19,8,0)</f>
        <v>#N/A</v>
      </c>
      <c r="AC208" s="57" t="e">
        <f>VLOOKUP(A208,Enforcements!$C$7:$E$19,3,0)</f>
        <v>#N/A</v>
      </c>
      <c r="AD208" s="58" t="str">
        <f t="shared" si="68"/>
        <v>51-01</v>
      </c>
      <c r="AE208" s="87" t="str">
        <f t="shared" si="69"/>
        <v>aws s3 cp s3://rtdc.mdm.uploadarchive.raw/RTDC4053/ "%USERPROFILE%\AppData\Local\Temp\OnboardLogs"\RTDC4053\2017-01-01 --exclude "*" --recursive --include "*20170101*" &amp; "%USERPROFILE%\Documents\GitHub\mrs-test-scripts\Headless Mode &amp; Sideloading\WalkAndUnGZ.bat" "%USERPROFILE%\AppData\Local\Temp\OnboardLogs"\RTDC4053\2017-01-01 &amp; aws s3 cp s3://rtdc.mdm.uploadarchive.raw/RTDC4053/ "%USERPROFILE%\AppData\Local\Temp\OnboardLogs"\RTDC4053\2017-01-02 --exclude "*" --recursive --include "*20170102*" &amp; "%USERPROFILE%\Documents\GitHub\mrs-test-scripts\Headless Mode &amp; Sideloading\WalkAndUnGZ.bat" "%USERPROFILE%\AppData\Local\Temp\OnboardLogs"\RTDC4053\2017-01-02</v>
      </c>
      <c r="AF208" s="84" t="str">
        <f t="shared" si="70"/>
        <v>"C:\Program Files (x86)\AstroGrep\AstroGrep.exe" /spath="%USERPROFILE%\AppData\Local\Temp\OnboardLogs" /stypes="app*4053*20170101*" /stext=" 17:.+((SYSTEM_STATE.+slice.+state.+changed )|(ment ac)|(multiple cpu faults)|(system.+state.+changed )|(\[timeout)|(PRM\|1\|D)|(kpr)|(kdp)|(\|lc)|(penalty))" /e /r /s</v>
      </c>
      <c r="AG208" s="1" t="str">
        <f t="shared" si="71"/>
        <v>Other</v>
      </c>
      <c r="AH208" s="88" t="str">
        <f t="shared" si="72"/>
        <v>"%USERPROFILE%\Documents\GitHub\eaglep3\Utilities\RefineRTDCRunTimes.py" --tripid 51-01 --locoid 4053 --swversion DE.1.0.8.0 --startMP 204:394 --initTime 2017-01-01T10:27:44 --startdatetime 2017-01-01T10:30:28 --delay 2 --endMP 300:24586 --enddatetime 2017-01-01T10:39:59 --enforcementcount 0 &gt;&gt;C:\Users\stu\Documents\GitHub\eaglep3-reporting\EC\2017-01-01-refined-times.txt</v>
      </c>
      <c r="AI208" s="115" t="str">
        <f t="shared" si="73"/>
        <v>echo {"issue":{"subject":"","project_id":79,"tracker_id":40,"status_id":1,"priority_id":2,"assigned_to_id":23,"start_date":"2017-01-01","description":"","custom_fields":[{"id":1,"name":"Subdivision","value":"Other"},{"id":4,"name":"Milepost","value":"2.4586"},{"id":17,"name":"Train ID","value":"51-01"},{"id":16,"name":"Locomotive ID","value":"4053"},{"id":130,"name":"Impact","value":""},{"id":150,"name":"Time of Event (Mountain Time)","value":"10:39:59"},{"id":151,"name":"Denver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74"/>
        <v>start /low /b %USERPROFILE%\Documents\GitHub\eaglep3\Utilities\DownloadLogsFromS3.py --loco 4053 --day 2017-01-01</v>
      </c>
    </row>
    <row r="209" spans="1:39" x14ac:dyDescent="0.25">
      <c r="A209" s="34" t="s">
        <v>634</v>
      </c>
      <c r="B209" s="7">
        <v>4011</v>
      </c>
      <c r="C209" s="22" t="s">
        <v>205</v>
      </c>
      <c r="D209" s="22" t="s">
        <v>787</v>
      </c>
      <c r="E209" s="13">
        <v>42736.776400462964</v>
      </c>
      <c r="F209" s="13">
        <v>42736.781481481485</v>
      </c>
      <c r="G209" s="7">
        <v>2</v>
      </c>
      <c r="H209" s="22" t="s">
        <v>295</v>
      </c>
      <c r="I209" s="13">
        <v>42736.806793981479</v>
      </c>
      <c r="J209" s="7">
        <v>0</v>
      </c>
      <c r="K209" s="105" t="str">
        <f t="shared" si="57"/>
        <v>4011/4012</v>
      </c>
      <c r="L209" s="22" t="str">
        <f>VLOOKUP(A209,'Trips&amp;Operators'!$C$1:$G$99999,5,FALSE)</f>
        <v>MACDONALD THOMAS</v>
      </c>
      <c r="M209" s="6">
        <f t="shared" si="58"/>
        <v>2.5312499994470272E-2</v>
      </c>
      <c r="N209" s="7">
        <f t="shared" si="59"/>
        <v>36.449999992037192</v>
      </c>
      <c r="O209" s="7"/>
      <c r="P209" s="7"/>
      <c r="Q209" s="23"/>
      <c r="R209" s="23"/>
      <c r="S209" s="32">
        <f t="shared" si="60"/>
        <v>0</v>
      </c>
      <c r="T209" s="47" t="e">
        <f t="shared" si="61"/>
        <v>#VALUE!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https://search-rtdc-monitor-bjffxe2xuh6vdkpspy63sjmuny.us-east-1.es.amazonaws.com/_plugin/kibana/#/discover/Steve-Slow-Train-Analysis-(2080s-and-2083s)?_g=(refreshInterval:(display:Off,section:0,value:0),time:(from:'2017-01-01 17:38:01-700',mode:absolute,to:'2017-01-01 20:21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9" s="49" t="str">
        <f t="shared" si="63"/>
        <v>N</v>
      </c>
      <c r="X209" s="173" t="e">
        <f t="shared" si="64"/>
        <v>#VALUE!</v>
      </c>
      <c r="Y209" s="64">
        <f t="shared" si="65"/>
        <v>4.82E-2</v>
      </c>
      <c r="Z209" s="64">
        <f t="shared" si="66"/>
        <v>23.3293</v>
      </c>
      <c r="AA209" s="64">
        <f t="shared" si="67"/>
        <v>23.281099999999999</v>
      </c>
      <c r="AB209" s="61" t="e">
        <f>VLOOKUP(A209,Enforcements!$C$7:$K$19,8,0)</f>
        <v>#N/A</v>
      </c>
      <c r="AC209" s="57" t="e">
        <f>VLOOKUP(A209,Enforcements!$C$7:$E$19,3,0)</f>
        <v>#N/A</v>
      </c>
      <c r="AD209" s="58" t="str">
        <f t="shared" si="68"/>
        <v>61-01</v>
      </c>
      <c r="AE209" s="87" t="str">
        <f t="shared" si="69"/>
        <v>aws s3 cp s3://rtdc.mdm.uploadarchive.raw/RTDC4011/ "%USERPROFILE%\AppData\Local\Temp\OnboardLogs"\RTDC4011\2017-01-01 --exclude "*" --recursive --include "*20170101*" &amp; "%USERPROFILE%\Documents\GitHub\mrs-test-scripts\Headless Mode &amp; Sideloading\WalkAndUnGZ.bat" "%USERPROFILE%\AppData\Local\Temp\OnboardLogs"\RTDC4011\2017-01-01 &amp; aws s3 cp s3://rtdc.mdm.uploadarchive.raw/RTDC4011/ "%USERPROFILE%\AppData\Local\Temp\OnboardLogs"\RTDC4011\2017-01-02 --exclude "*" --recursive --include "*20170102*" &amp; "%USERPROFILE%\Documents\GitHub\mrs-test-scripts\Headless Mode &amp; Sideloading\WalkAndUnGZ.bat" "%USERPROFILE%\AppData\Local\Temp\OnboardLogs"\RTDC4011\2017-01-02</v>
      </c>
      <c r="AF209" s="84" t="str">
        <f t="shared" si="70"/>
        <v>"C:\Program Files (x86)\AstroGrep\AstroGrep.exe" /spath="%USERPROFILE%\AppData\Local\Temp\OnboardLogs" /stypes="app*4011*20170102*" /stext=" 02:.+((SYSTEM_STATE.+slice.+state.+changed )|(ment ac)|(multiple cpu faults)|(system.+state.+changed )|(\[timeout)|(PRM\|1\|D)|(kpr)|(kdp)|(\|lc)|(penalty))" /e /r /s</v>
      </c>
      <c r="AG209" s="1" t="str">
        <f t="shared" si="71"/>
        <v>Other</v>
      </c>
      <c r="AH209" s="88" t="str">
        <f t="shared" si="72"/>
        <v>"%USERPROFILE%\Documents\GitHub\eaglep3\Utilities\RefineRTDCRunTimes.py" --tripid 61-01 --locoid 4011 --swversion DE.1.0.8.0 --startMP 204:482 --initTime 2017-01-01T18:38:01 --startdatetime 2017-01-01T18:45:20 --delay 2 --endMP 204:233293 --enddatetime 2017-01-01T19:21:47 --enforcementcount 0 &gt;&gt;C:\Users\stu\Documents\GitHub\eaglep3-reporting\EC\2017-01-01-refined-times.txt</v>
      </c>
      <c r="AI209" s="115" t="str">
        <f t="shared" si="73"/>
        <v>echo {"issue":{"subject":"","project_id":79,"tracker_id":40,"status_id":1,"priority_id":2,"assigned_to_id":23,"start_date":"2017-01-01","description":"","custom_fields":[{"id":1,"name":"Subdivision","value":"Other"},{"id":4,"name":"Milepost","value":"23.3293"},{"id":17,"name":"Train ID","value":"61-01"},{"id":16,"name":"Locomotive ID","value":"4011"},{"id":130,"name":"Impact","value":""},{"id":150,"name":"Time of Event (Mountain Time)","value":"19:21:47"},{"id":151,"name":"Denver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74"/>
        <v>start /low /b %USERPROFILE%\Documents\GitHub\eaglep3\Utilities\DownloadLogsFromS3.py --loco 4011 --day 2017-01-01</v>
      </c>
    </row>
    <row r="210" spans="1:39" x14ac:dyDescent="0.25">
      <c r="A210" s="34" t="s">
        <v>643</v>
      </c>
      <c r="B210" s="7">
        <v>4012</v>
      </c>
      <c r="C210" s="22" t="s">
        <v>205</v>
      </c>
      <c r="D210" s="22" t="s">
        <v>298</v>
      </c>
      <c r="E210" s="13">
        <v>42736.814756944441</v>
      </c>
      <c r="F210" s="13">
        <v>42736.820474537039</v>
      </c>
      <c r="G210" s="7">
        <v>2</v>
      </c>
      <c r="H210" s="22" t="s">
        <v>788</v>
      </c>
      <c r="I210" s="13">
        <v>42736.847071759257</v>
      </c>
      <c r="J210" s="7">
        <v>0</v>
      </c>
      <c r="K210" s="105" t="str">
        <f t="shared" si="57"/>
        <v>4011/4012</v>
      </c>
      <c r="L210" s="22" t="str">
        <f>VLOOKUP(A210,'Trips&amp;Operators'!$C$1:$G$99999,5,FALSE)</f>
        <v>MACDONALD THOMAS</v>
      </c>
      <c r="M210" s="6">
        <f t="shared" si="58"/>
        <v>2.6597222218697425E-2</v>
      </c>
      <c r="N210" s="7">
        <f t="shared" si="59"/>
        <v>38.299999994924292</v>
      </c>
      <c r="O210" s="7"/>
      <c r="P210" s="7"/>
      <c r="Q210" s="23"/>
      <c r="R210" s="23"/>
      <c r="S210" s="32">
        <f t="shared" si="60"/>
        <v>0</v>
      </c>
      <c r="T210" s="47" t="e">
        <f t="shared" si="61"/>
        <v>#VALUE!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https://search-rtdc-monitor-bjffxe2xuh6vdkpspy63sjmuny.us-east-1.es.amazonaws.com/_plugin/kibana/#/discover/Steve-Slow-Train-Analysis-(2080s-and-2083s)?_g=(refreshInterval:(display:Off,section:0,value:0),time:(from:'2017-01-01 18:33:15-700',mode:absolute,to:'2017-01-01 21:19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0" s="49" t="str">
        <f t="shared" si="63"/>
        <v>N</v>
      </c>
      <c r="X210" s="173" t="e">
        <f t="shared" si="64"/>
        <v>#VALUE!</v>
      </c>
      <c r="Y210" s="64">
        <f t="shared" si="65"/>
        <v>23.297999999999998</v>
      </c>
      <c r="Z210" s="64">
        <f t="shared" si="66"/>
        <v>0.1017</v>
      </c>
      <c r="AA210" s="64">
        <f t="shared" si="67"/>
        <v>23.196299999999997</v>
      </c>
      <c r="AB210" s="61" t="e">
        <f>VLOOKUP(A210,Enforcements!$C$7:$K$19,8,0)</f>
        <v>#N/A</v>
      </c>
      <c r="AC210" s="57" t="e">
        <f>VLOOKUP(A210,Enforcements!$C$7:$E$19,3,0)</f>
        <v>#N/A</v>
      </c>
      <c r="AD210" s="58" t="str">
        <f t="shared" si="68"/>
        <v>62-01</v>
      </c>
      <c r="AE210" s="87" t="str">
        <f t="shared" si="69"/>
        <v>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 &amp; 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</v>
      </c>
      <c r="AF210" s="84" t="str">
        <f t="shared" si="70"/>
        <v>"C:\Program Files (x86)\AstroGrep\AstroGrep.exe" /spath="%USERPROFILE%\AppData\Local\Temp\OnboardLogs" /stypes="app*4012*20170102*" /stext=" 03:.+((SYSTEM_STATE.+slice.+state.+changed )|(ment ac)|(multiple cpu faults)|(system.+state.+changed )|(\[timeout)|(PRM\|1\|D)|(kpr)|(kdp)|(\|lc)|(penalty))" /e /r /s</v>
      </c>
      <c r="AG210" s="1" t="str">
        <f t="shared" si="71"/>
        <v>Other</v>
      </c>
      <c r="AH210" s="88" t="str">
        <f t="shared" si="72"/>
        <v>"%USERPROFILE%\Documents\GitHub\eaglep3\Utilities\RefineRTDCRunTimes.py" --tripid 62-01 --locoid 4012 --swversion DE.1.0.8.0 --startMP 204:232980 --initTime 2017-01-01T19:33:15 --startdatetime 2017-01-01T19:41:29 --delay 2 --endMP 204:1017 --enddatetime 2017-01-01T20:19:47 --enforcementcount 0 &gt;&gt;C:\Users\stu\Documents\GitHub\eaglep3-reporting\EC\2017-01-01-refined-times.txt</v>
      </c>
      <c r="AI210" s="115" t="str">
        <f t="shared" si="73"/>
        <v>echo {"issue":{"subject":"","project_id":79,"tracker_id":40,"status_id":1,"priority_id":2,"assigned_to_id":23,"start_date":"2017-01-01","description":"","custom_fields":[{"id":1,"name":"Subdivision","value":"Other"},{"id":4,"name":"Milepost","value":"0.1017"},{"id":17,"name":"Train ID","value":"62-01"},{"id":16,"name":"Locomotive ID","value":"4012"},{"id":130,"name":"Impact","value":""},{"id":150,"name":"Time of Event (Mountain Time)","value":"20:19:47"},{"id":151,"name":"Denver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74"/>
        <v>start /low /b %USERPROFILE%\Documents\GitHub\eaglep3\Utilities\DownloadLogsFromS3.py --loco 4012 --day 2017-01-01</v>
      </c>
    </row>
    <row r="211" spans="1:39" x14ac:dyDescent="0.25">
      <c r="A211" s="34" t="s">
        <v>639</v>
      </c>
      <c r="B211" s="7">
        <v>4014</v>
      </c>
      <c r="C211" s="22" t="s">
        <v>205</v>
      </c>
      <c r="D211" s="22" t="s">
        <v>250</v>
      </c>
      <c r="E211" s="13">
        <v>42736.79892361111</v>
      </c>
      <c r="F211" s="13">
        <v>42736.802314814813</v>
      </c>
      <c r="G211" s="7">
        <v>1</v>
      </c>
      <c r="H211" s="22" t="s">
        <v>789</v>
      </c>
      <c r="I211" s="13">
        <v>42736.826608796298</v>
      </c>
      <c r="J211" s="7">
        <v>0</v>
      </c>
      <c r="K211" s="105" t="str">
        <f t="shared" si="57"/>
        <v>4013/4014</v>
      </c>
      <c r="L211" s="22" t="str">
        <f>VLOOKUP(A211,'Trips&amp;Operators'!$C$1:$G$99999,5,FALSE)</f>
        <v>LALONDE GREGORY</v>
      </c>
      <c r="M211" s="6">
        <f t="shared" si="58"/>
        <v>2.4293981485243421E-2</v>
      </c>
      <c r="N211" s="7">
        <f t="shared" si="59"/>
        <v>34.983333338750526</v>
      </c>
      <c r="O211" s="7"/>
      <c r="P211" s="7"/>
      <c r="Q211" s="23"/>
      <c r="R211" s="23"/>
      <c r="S211" s="32">
        <f t="shared" si="60"/>
        <v>0</v>
      </c>
      <c r="T211" s="47" t="e">
        <f t="shared" si="61"/>
        <v>#VALUE!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https://search-rtdc-monitor-bjffxe2xuh6vdkpspy63sjmuny.us-east-1.es.amazonaws.com/_plugin/kibana/#/discover/Steve-Slow-Train-Analysis-(2080s-and-2083s)?_g=(refreshInterval:(display:Off,section:0,value:0),time:(from:'2017-01-01 18:10:27-700',mode:absolute,to:'2017-01-01 20:50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1" s="49" t="str">
        <f t="shared" si="63"/>
        <v>N</v>
      </c>
      <c r="X211" s="173" t="e">
        <f t="shared" si="64"/>
        <v>#VALUE!</v>
      </c>
      <c r="Y211" s="64">
        <f t="shared" si="65"/>
        <v>4.6399999999999997E-2</v>
      </c>
      <c r="Z211" s="64">
        <f t="shared" si="66"/>
        <v>23.327999999999999</v>
      </c>
      <c r="AA211" s="64">
        <f t="shared" si="67"/>
        <v>23.281600000000001</v>
      </c>
      <c r="AB211" s="61" t="e">
        <f>VLOOKUP(A211,Enforcements!$C$7:$K$19,8,0)</f>
        <v>#N/A</v>
      </c>
      <c r="AC211" s="57" t="e">
        <f>VLOOKUP(A211,Enforcements!$C$7:$E$19,3,0)</f>
        <v>#N/A</v>
      </c>
      <c r="AD211" s="58" t="str">
        <f t="shared" si="68"/>
        <v>63-01</v>
      </c>
      <c r="AE211" s="87" t="str">
        <f t="shared" si="69"/>
        <v>aws s3 cp s3://rtdc.mdm.uploadarchive.raw/RTDC4014/ "%USERPROFILE%\AppData\Local\Temp\OnboardLogs"\RTDC4014\2017-01-01 --exclude "*" --recursive --include "*20170101*" &amp; "%USERPROFILE%\Documents\GitHub\mrs-test-scripts\Headless Mode &amp; Sideloading\WalkAndUnGZ.bat" "%USERPROFILE%\AppData\Local\Temp\OnboardLogs"\RTDC4014\2017-01-01 &amp; 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</v>
      </c>
      <c r="AF211" s="84" t="str">
        <f t="shared" si="70"/>
        <v>"C:\Program Files (x86)\AstroGrep\AstroGrep.exe" /spath="%USERPROFILE%\AppData\Local\Temp\OnboardLogs" /stypes="app*4014*20170102*" /stext=" 02:.+((SYSTEM_STATE.+slice.+state.+changed )|(ment ac)|(multiple cpu faults)|(system.+state.+changed )|(\[timeout)|(PRM\|1\|D)|(kpr)|(kdp)|(\|lc)|(penalty))" /e /r /s</v>
      </c>
      <c r="AG211" s="1" t="str">
        <f t="shared" si="71"/>
        <v>Other</v>
      </c>
      <c r="AH211" s="88" t="str">
        <f t="shared" si="72"/>
        <v>"%USERPROFILE%\Documents\GitHub\eaglep3\Utilities\RefineRTDCRunTimes.py" --tripid 63-01 --locoid 4014 --swversion DE.1.0.8.0 --startMP 204:464 --initTime 2017-01-01T19:10:27 --startdatetime 2017-01-01T19:15:20 --delay 1 --endMP 204:233280 --enddatetime 2017-01-01T19:50:19 --enforcementcount 0 &gt;&gt;C:\Users\stu\Documents\GitHub\eaglep3-reporting\EC\2017-01-01-refined-times.txt</v>
      </c>
      <c r="AI211" s="115" t="str">
        <f t="shared" si="73"/>
        <v>echo {"issue":{"subject":"","project_id":79,"tracker_id":40,"status_id":1,"priority_id":2,"assigned_to_id":23,"start_date":"2017-01-01","description":"","custom_fields":[{"id":1,"name":"Subdivision","value":"Other"},{"id":4,"name":"Milepost","value":"23.328"},{"id":17,"name":"Train ID","value":"63-01"},{"id":16,"name":"Locomotive ID","value":"4014"},{"id":130,"name":"Impact","value":""},{"id":150,"name":"Time of Event (Mountain Time)","value":"19:50:19"},{"id":151,"name":"Denver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74"/>
        <v>start /low /b %USERPROFILE%\Documents\GitHub\eaglep3\Utilities\DownloadLogsFromS3.py --loco 4014 --day 2017-01-01</v>
      </c>
    </row>
    <row r="212" spans="1:39" x14ac:dyDescent="0.25">
      <c r="A212" s="34" t="s">
        <v>463</v>
      </c>
      <c r="B212" s="7">
        <v>4013</v>
      </c>
      <c r="C212" s="22" t="s">
        <v>205</v>
      </c>
      <c r="D212" s="22" t="s">
        <v>394</v>
      </c>
      <c r="E212" s="13">
        <v>42736.832106481481</v>
      </c>
      <c r="F212" s="13">
        <v>42736.841157407405</v>
      </c>
      <c r="G212" s="7">
        <v>1</v>
      </c>
      <c r="H212" s="22" t="s">
        <v>790</v>
      </c>
      <c r="I212" s="13">
        <v>42736.869166666664</v>
      </c>
      <c r="J212" s="7">
        <v>0</v>
      </c>
      <c r="K212" s="105" t="str">
        <f t="shared" si="57"/>
        <v>4013/4014</v>
      </c>
      <c r="L212" s="22" t="str">
        <f>VLOOKUP(A212,'Trips&amp;Operators'!$C$1:$G$99999,5,FALSE)</f>
        <v>LALONDE GREGORY</v>
      </c>
      <c r="M212" s="6">
        <f t="shared" si="58"/>
        <v>2.8009259258396924E-2</v>
      </c>
      <c r="N212" s="7">
        <f t="shared" si="59"/>
        <v>40.33333333209157</v>
      </c>
      <c r="O212" s="7"/>
      <c r="P212" s="7"/>
      <c r="Q212" s="23"/>
      <c r="R212" s="23"/>
      <c r="S212" s="32">
        <f t="shared" si="60"/>
        <v>0</v>
      </c>
      <c r="T212" s="47" t="e">
        <f t="shared" si="61"/>
        <v>#VALUE!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https://search-rtdc-monitor-bjffxe2xuh6vdkpspy63sjmuny.us-east-1.es.amazonaws.com/_plugin/kibana/#/discover/Steve-Slow-Train-Analysis-(2080s-and-2083s)?_g=(refreshInterval:(display:Off,section:0,value:0),time:(from:'2017-01-01 18:58:14-700',mode:absolute,to:'2017-01-01 21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2" s="49" t="str">
        <f t="shared" si="63"/>
        <v>N</v>
      </c>
      <c r="X212" s="173" t="e">
        <f t="shared" si="64"/>
        <v>#VALUE!</v>
      </c>
      <c r="Y212" s="64">
        <f t="shared" si="65"/>
        <v>23.296900000000001</v>
      </c>
      <c r="Z212" s="64">
        <f t="shared" si="66"/>
        <v>9.3700000000000006E-2</v>
      </c>
      <c r="AA212" s="64">
        <f t="shared" si="67"/>
        <v>23.203200000000002</v>
      </c>
      <c r="AB212" s="61" t="e">
        <f>VLOOKUP(A212,Enforcements!$C$7:$K$19,8,0)</f>
        <v>#N/A</v>
      </c>
      <c r="AC212" s="57" t="e">
        <f>VLOOKUP(A212,Enforcements!$C$7:$E$19,3,0)</f>
        <v>#N/A</v>
      </c>
      <c r="AD212" s="58" t="str">
        <f t="shared" si="68"/>
        <v>64-01</v>
      </c>
      <c r="AE212" s="87" t="str">
        <f t="shared" si="69"/>
        <v>aws s3 cp s3://rtdc.mdm.uploadarchive.raw/RTDC4013/ "%USERPROFILE%\AppData\Local\Temp\OnboardLogs"\RTDC4013\2017-01-01 --exclude "*" --recursive --include "*20170101*" &amp; "%USERPROFILE%\Documents\GitHub\mrs-test-scripts\Headless Mode &amp; Sideloading\WalkAndUnGZ.bat" "%USERPROFILE%\AppData\Local\Temp\OnboardLogs"\RTDC4013\2017-01-01 &amp; 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</v>
      </c>
      <c r="AF212" s="84" t="str">
        <f t="shared" si="70"/>
        <v>"C:\Program Files (x86)\AstroGrep\AstroGrep.exe" /spath="%USERPROFILE%\AppData\Local\Temp\OnboardLogs" /stypes="app*4013*20170102*" /stext=" 03:.+((SYSTEM_STATE.+slice.+state.+changed )|(ment ac)|(multiple cpu faults)|(system.+state.+changed )|(\[timeout)|(PRM\|1\|D)|(kpr)|(kdp)|(\|lc)|(penalty))" /e /r /s</v>
      </c>
      <c r="AG212" s="1" t="str">
        <f t="shared" si="71"/>
        <v>Other</v>
      </c>
      <c r="AH212" s="88" t="str">
        <f t="shared" si="72"/>
        <v>"%USERPROFILE%\Documents\GitHub\eaglep3\Utilities\RefineRTDCRunTimes.py" --tripid 64-01 --locoid 4013 --swversion DE.1.0.8.0 --startMP 204:232969 --initTime 2017-01-01T19:58:14 --startdatetime 2017-01-01T20:11:16 --delay 1 --endMP 204:937 --enddatetime 2017-01-01T20:51:36 --enforcementcount 0 &gt;&gt;C:\Users\stu\Documents\GitHub\eaglep3-reporting\EC\2017-01-01-refined-times.txt</v>
      </c>
      <c r="AI212" s="115" t="str">
        <f t="shared" si="73"/>
        <v>echo {"issue":{"subject":"","project_id":79,"tracker_id":40,"status_id":1,"priority_id":2,"assigned_to_id":23,"start_date":"2017-01-01","description":"","custom_fields":[{"id":1,"name":"Subdivision","value":"Other"},{"id":4,"name":"Milepost","value":"0.0937"},{"id":17,"name":"Train ID","value":"64-01"},{"id":16,"name":"Locomotive ID","value":"4013"},{"id":130,"name":"Impact","value":""},{"id":150,"name":"Time of Event (Mountain Time)","value":"20:51:36"},{"id":151,"name":"Denver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74"/>
        <v>start /low /b %USERPROFILE%\Documents\GitHub\eaglep3\Utilities\DownloadLogsFromS3.py --loco 4013 --day 2017-01-01</v>
      </c>
    </row>
    <row r="213" spans="1:39" x14ac:dyDescent="0.25">
      <c r="A213" s="34" t="s">
        <v>645</v>
      </c>
      <c r="B213" s="7">
        <v>4042</v>
      </c>
      <c r="C213" s="22" t="s">
        <v>205</v>
      </c>
      <c r="D213" s="22" t="s">
        <v>230</v>
      </c>
      <c r="E213" s="13">
        <v>42736.817986111113</v>
      </c>
      <c r="F213" s="13">
        <v>42736.823240740741</v>
      </c>
      <c r="G213" s="7">
        <v>2</v>
      </c>
      <c r="H213" s="22" t="s">
        <v>295</v>
      </c>
      <c r="I213" s="13">
        <v>42736.851377314815</v>
      </c>
      <c r="J213" s="7">
        <v>0</v>
      </c>
      <c r="K213" s="105" t="str">
        <f t="shared" si="57"/>
        <v>4041/4042</v>
      </c>
      <c r="L213" s="22" t="str">
        <f>VLOOKUP(A213,'Trips&amp;Operators'!$C$1:$G$99999,5,FALSE)</f>
        <v>DAVIDSON DAVID</v>
      </c>
      <c r="M213" s="6">
        <f t="shared" si="58"/>
        <v>2.8136574073869269E-2</v>
      </c>
      <c r="N213" s="7">
        <f t="shared" si="59"/>
        <v>40.516666666371748</v>
      </c>
      <c r="O213" s="7"/>
      <c r="P213" s="7"/>
      <c r="Q213" s="23"/>
      <c r="R213" s="23"/>
      <c r="S213" s="32">
        <f t="shared" si="60"/>
        <v>0</v>
      </c>
      <c r="T213" s="47" t="e">
        <f t="shared" si="61"/>
        <v>#VALUE!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https://search-rtdc-monitor-bjffxe2xuh6vdkpspy63sjmuny.us-east-1.es.amazonaws.com/_plugin/kibana/#/discover/Steve-Slow-Train-Analysis-(2080s-and-2083s)?_g=(refreshInterval:(display:Off,section:0,value:0),time:(from:'2017-01-01 18:37:54-700',mode:absolute,to:'2017-01-01 21:25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3" s="49" t="str">
        <f t="shared" si="63"/>
        <v>N</v>
      </c>
      <c r="X213" s="173" t="e">
        <f t="shared" si="64"/>
        <v>#VALUE!</v>
      </c>
      <c r="Y213" s="64">
        <f t="shared" si="65"/>
        <v>4.5999999999999999E-2</v>
      </c>
      <c r="Z213" s="64">
        <f t="shared" si="66"/>
        <v>23.3293</v>
      </c>
      <c r="AA213" s="64">
        <f t="shared" si="67"/>
        <v>23.283300000000001</v>
      </c>
      <c r="AB213" s="61" t="e">
        <f>VLOOKUP(A213,Enforcements!$C$7:$K$19,8,0)</f>
        <v>#N/A</v>
      </c>
      <c r="AC213" s="57" t="e">
        <f>VLOOKUP(A213,Enforcements!$C$7:$E$19,3,0)</f>
        <v>#N/A</v>
      </c>
      <c r="AD213" s="58" t="str">
        <f t="shared" si="68"/>
        <v>65-01</v>
      </c>
      <c r="AE213" s="87" t="str">
        <f t="shared" si="69"/>
        <v>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 &amp; 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</v>
      </c>
      <c r="AF213" s="84" t="str">
        <f t="shared" si="70"/>
        <v>"C:\Program Files (x86)\AstroGrep\AstroGrep.exe" /spath="%USERPROFILE%\AppData\Local\Temp\OnboardLogs" /stypes="app*4042*20170102*" /stext=" 03:.+((SYSTEM_STATE.+slice.+state.+changed )|(ment ac)|(multiple cpu faults)|(system.+state.+changed )|(\[timeout)|(PRM\|1\|D)|(kpr)|(kdp)|(\|lc)|(penalty))" /e /r /s</v>
      </c>
      <c r="AG213" s="1" t="str">
        <f t="shared" si="71"/>
        <v>Other</v>
      </c>
      <c r="AH213" s="88" t="str">
        <f t="shared" si="72"/>
        <v>"%USERPROFILE%\Documents\GitHub\eaglep3\Utilities\RefineRTDCRunTimes.py" --tripid 65-01 --locoid 4042 --swversion DE.1.0.8.0 --startMP 204:460 --initTime 2017-01-01T19:37:54 --startdatetime 2017-01-01T19:45:28 --delay 2 --endMP 204:233293 --enddatetime 2017-01-01T20:25:59 --enforcementcount 0 &gt;&gt;C:\Users\stu\Documents\GitHub\eaglep3-reporting\EC\2017-01-01-refined-times.txt</v>
      </c>
      <c r="AI213" s="115" t="str">
        <f t="shared" si="73"/>
        <v>echo {"issue":{"subject":"","project_id":79,"tracker_id":40,"status_id":1,"priority_id":2,"assigned_to_id":23,"start_date":"2017-01-01","description":"","custom_fields":[{"id":1,"name":"Subdivision","value":"Other"},{"id":4,"name":"Milepost","value":"23.3293"},{"id":17,"name":"Train ID","value":"65-01"},{"id":16,"name":"Locomotive ID","value":"4042"},{"id":130,"name":"Impact","value":""},{"id":150,"name":"Time of Event (Mountain Time)","value":"20:25:59"},{"id":151,"name":"Denver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74"/>
        <v>start /low /b %USERPROFILE%\Documents\GitHub\eaglep3\Utilities\DownloadLogsFromS3.py --loco 4042 --day 2017-01-01</v>
      </c>
    </row>
    <row r="214" spans="1:39" x14ac:dyDescent="0.25">
      <c r="A214" s="34" t="s">
        <v>464</v>
      </c>
      <c r="B214" s="7">
        <v>4041</v>
      </c>
      <c r="C214" s="22" t="s">
        <v>205</v>
      </c>
      <c r="D214" s="22" t="s">
        <v>319</v>
      </c>
      <c r="E214" s="13">
        <v>42736.853333333333</v>
      </c>
      <c r="F214" s="13">
        <v>42736.862002314818</v>
      </c>
      <c r="G214" s="7">
        <v>1</v>
      </c>
      <c r="H214" s="22" t="s">
        <v>791</v>
      </c>
      <c r="I214" s="13">
        <v>42736.891041666669</v>
      </c>
      <c r="J214" s="7">
        <v>0</v>
      </c>
      <c r="K214" s="105" t="str">
        <f t="shared" si="57"/>
        <v>4041/4042</v>
      </c>
      <c r="L214" s="22" t="str">
        <f>VLOOKUP(A214,'Trips&amp;Operators'!$C$1:$G$99999,5,FALSE)</f>
        <v>DAVIDSON DAVID</v>
      </c>
      <c r="M214" s="6">
        <f t="shared" si="58"/>
        <v>2.9039351851679385E-2</v>
      </c>
      <c r="N214" s="7">
        <f t="shared" si="59"/>
        <v>41.816666666418314</v>
      </c>
      <c r="O214" s="7"/>
      <c r="P214" s="7"/>
      <c r="Q214" s="23"/>
      <c r="R214" s="23"/>
      <c r="S214" s="32">
        <f t="shared" si="60"/>
        <v>0</v>
      </c>
      <c r="T214" s="47" t="e">
        <f t="shared" si="61"/>
        <v>#VALUE!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https://search-rtdc-monitor-bjffxe2xuh6vdkpspy63sjmuny.us-east-1.es.amazonaws.com/_plugin/kibana/#/discover/Steve-Slow-Train-Analysis-(2080s-and-2083s)?_g=(refreshInterval:(display:Off,section:0,value:0),time:(from:'2017-01-01 19:28:48-700',mode:absolute,to:'2017-01-01 22:23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4" s="49" t="str">
        <f t="shared" si="63"/>
        <v>N</v>
      </c>
      <c r="X214" s="173" t="e">
        <f t="shared" si="64"/>
        <v>#VALUE!</v>
      </c>
      <c r="Y214" s="64">
        <f t="shared" si="65"/>
        <v>23.2971</v>
      </c>
      <c r="Z214" s="64">
        <f t="shared" si="66"/>
        <v>9.1300000000000006E-2</v>
      </c>
      <c r="AA214" s="64">
        <f t="shared" si="67"/>
        <v>23.2058</v>
      </c>
      <c r="AB214" s="61" t="e">
        <f>VLOOKUP(A214,Enforcements!$C$7:$K$19,8,0)</f>
        <v>#N/A</v>
      </c>
      <c r="AC214" s="57" t="e">
        <f>VLOOKUP(A214,Enforcements!$C$7:$E$19,3,0)</f>
        <v>#N/A</v>
      </c>
      <c r="AD214" s="58" t="str">
        <f t="shared" si="68"/>
        <v>66-01</v>
      </c>
      <c r="AE214" s="87" t="str">
        <f t="shared" si="69"/>
        <v>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 &amp; 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</v>
      </c>
      <c r="AF214" s="84" t="str">
        <f t="shared" si="70"/>
        <v>"C:\Program Files (x86)\AstroGrep\AstroGrep.exe" /spath="%USERPROFILE%\AppData\Local\Temp\OnboardLogs" /stypes="app*4041*20170102*" /stext=" 04:.+((SYSTEM_STATE.+slice.+state.+changed )|(ment ac)|(multiple cpu faults)|(system.+state.+changed )|(\[timeout)|(PRM\|1\|D)|(kpr)|(kdp)|(\|lc)|(penalty))" /e /r /s</v>
      </c>
      <c r="AG214" s="1" t="str">
        <f t="shared" si="71"/>
        <v>Other</v>
      </c>
      <c r="AH214" s="88" t="str">
        <f t="shared" si="72"/>
        <v>"%USERPROFILE%\Documents\GitHub\eaglep3\Utilities\RefineRTDCRunTimes.py" --tripid 66-01 --locoid 4041 --swversion DE.1.0.8.0 --startMP 204:232971 --initTime 2017-01-01T20:28:48 --startdatetime 2017-01-01T20:41:17 --delay 1 --endMP 204:913 --enddatetime 2017-01-01T21:23:06 --enforcementcount 0 &gt;&gt;C:\Users\stu\Documents\GitHub\eaglep3-reporting\EC\2017-01-01-refined-times.txt</v>
      </c>
      <c r="AI214" s="115" t="str">
        <f t="shared" si="73"/>
        <v>echo {"issue":{"subject":"","project_id":79,"tracker_id":40,"status_id":1,"priority_id":2,"assigned_to_id":23,"start_date":"2017-01-01","description":"","custom_fields":[{"id":1,"name":"Subdivision","value":"Other"},{"id":4,"name":"Milepost","value":"0.0913"},{"id":17,"name":"Train ID","value":"66-01"},{"id":16,"name":"Locomotive ID","value":"4041"},{"id":130,"name":"Impact","value":""},{"id":150,"name":"Time of Event (Mountain Time)","value":"21:23:06"},{"id":151,"name":"Denver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74"/>
        <v>start /low /b %USERPROFILE%\Documents\GitHub\eaglep3\Utilities\DownloadLogsFromS3.py --loco 4041 --day 2017-01-01</v>
      </c>
    </row>
    <row r="215" spans="1:39" x14ac:dyDescent="0.25">
      <c r="A215" s="34" t="s">
        <v>615</v>
      </c>
      <c r="B215" s="7">
        <v>4007</v>
      </c>
      <c r="C215" s="22" t="s">
        <v>205</v>
      </c>
      <c r="D215" s="22" t="s">
        <v>792</v>
      </c>
      <c r="E215" s="13">
        <v>42736.720972222225</v>
      </c>
      <c r="F215" s="13">
        <v>25568.708333333332</v>
      </c>
      <c r="G215" s="7">
        <v>1</v>
      </c>
      <c r="H215" s="22" t="s">
        <v>342</v>
      </c>
      <c r="I215" s="13">
        <v>25568.708333333332</v>
      </c>
      <c r="J215" s="7">
        <v>0</v>
      </c>
      <c r="K215" s="105" t="str">
        <f t="shared" si="57"/>
        <v>4007/4008</v>
      </c>
      <c r="L215" s="22" t="str">
        <f>VLOOKUP(A215,'Trips&amp;Operators'!$C$1:$G$99999,5,FALSE)</f>
        <v>HOLCOMB KAMDEN</v>
      </c>
      <c r="M215" s="6">
        <f t="shared" si="58"/>
        <v>0</v>
      </c>
      <c r="N215" s="7">
        <f t="shared" si="59"/>
        <v>0</v>
      </c>
      <c r="O215" s="7"/>
      <c r="P215" s="7"/>
      <c r="Q215" s="23"/>
      <c r="R215" s="23"/>
      <c r="S215" s="32">
        <f t="shared" si="60"/>
        <v>0</v>
      </c>
      <c r="T215" s="47" t="e">
        <f t="shared" si="61"/>
        <v>#VALUE!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https://search-rtdc-monitor-bjffxe2xuh6vdkpspy63sjmuny.us-east-1.es.amazonaws.com/_plugin/kibana/#/discover/Steve-Slow-Train-Analysis-(2080s-and-2083s)?_g=(refreshInterval:(display:Off,section:0,value:0),time:(from:'2017-01-01 16:18:12-700',mode:absolute,to:'1969-12-31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5" s="49" t="str">
        <f t="shared" si="63"/>
        <v>Y</v>
      </c>
      <c r="X215" s="173" t="e">
        <f t="shared" si="64"/>
        <v>#VALUE!</v>
      </c>
      <c r="Y215" s="64">
        <f t="shared" si="65"/>
        <v>0.15229999999999999</v>
      </c>
      <c r="Z215" s="64">
        <f t="shared" si="66"/>
        <v>2.331</v>
      </c>
      <c r="AA215" s="64">
        <f t="shared" si="67"/>
        <v>2.1787000000000001</v>
      </c>
      <c r="AB215" s="61" t="e">
        <f>VLOOKUP(A215,Enforcements!$C$7:$K$19,8,0)</f>
        <v>#N/A</v>
      </c>
      <c r="AC215" s="57" t="e">
        <f>VLOOKUP(A215,Enforcements!$C$7:$E$19,3,0)</f>
        <v>#N/A</v>
      </c>
      <c r="AD215" s="58" t="str">
        <f t="shared" si="68"/>
        <v>71-01</v>
      </c>
      <c r="AE215" s="87" t="str">
        <f t="shared" si="69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5" s="84" t="str">
        <f t="shared" si="70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5" s="1" t="str">
        <f t="shared" si="71"/>
        <v>Other</v>
      </c>
      <c r="AH215" s="88" t="str">
        <f t="shared" si="72"/>
        <v>"%USERPROFILE%\Documents\GitHub\eaglep3\Utilities\RefineRTDCRunTimes.py" --tripid 71-01 --locoid 4007 --swversion DE.1.0.8.0 --startMP 204:1523 --initTime 2017-01-01T17:18:12 --startdatetime 1969-12-31T17:00:00 --delay 1 --endMP 300:23310 --enddatetime 1969-12-31T17:00:00 --enforcementcount 0 &gt;&gt;C:\Users\stu\Documents\GitHub\eaglep3-reporting\EC\2017-01-01-refined-times.txt</v>
      </c>
      <c r="AI215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ID","value":"71-01"},{"id":16,"name":"Locomotive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74"/>
        <v>start /low /b %USERPROFILE%\Documents\GitHub\eaglep3\Utilities\DownloadLogsFromS3.py --loco 4007 --day 1969-12-31</v>
      </c>
    </row>
    <row r="216" spans="1:39" x14ac:dyDescent="0.25">
      <c r="A216" s="34" t="s">
        <v>622</v>
      </c>
      <c r="B216" s="7">
        <v>4054</v>
      </c>
      <c r="C216" s="22" t="s">
        <v>205</v>
      </c>
      <c r="D216" s="22" t="s">
        <v>793</v>
      </c>
      <c r="E216" s="13">
        <v>42736.737743055557</v>
      </c>
      <c r="F216" s="13">
        <v>42736.739155092589</v>
      </c>
      <c r="G216" s="7">
        <v>1</v>
      </c>
      <c r="H216" s="22" t="s">
        <v>794</v>
      </c>
      <c r="I216" s="13">
        <v>42736.747800925928</v>
      </c>
      <c r="J216" s="7">
        <v>0</v>
      </c>
      <c r="K216" s="105" t="str">
        <f t="shared" si="57"/>
        <v>4053/4054</v>
      </c>
      <c r="L216" s="22" t="str">
        <f>VLOOKUP(A216,'Trips&amp;Operators'!$C$1:$G$99999,5,FALSE)</f>
        <v>SMITH MICHAEL</v>
      </c>
      <c r="M216" s="6">
        <f t="shared" si="58"/>
        <v>8.6458333389600739E-3</v>
      </c>
      <c r="N216" s="7">
        <f t="shared" si="59"/>
        <v>12.450000008102506</v>
      </c>
      <c r="O216" s="7"/>
      <c r="P216" s="7"/>
      <c r="Q216" s="23"/>
      <c r="R216" s="23"/>
      <c r="S216" s="32">
        <f t="shared" si="60"/>
        <v>0</v>
      </c>
      <c r="T216" s="47" t="e">
        <f t="shared" si="61"/>
        <v>#VALUE!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https://search-rtdc-monitor-bjffxe2xuh6vdkpspy63sjmuny.us-east-1.es.amazonaws.com/_plugin/kibana/#/discover/Steve-Slow-Train-Analysis-(2080s-and-2083s)?_g=(refreshInterval:(display:Off,section:0,value:0),time:(from:'2017-01-01 16:42:21-700',mode:absolute,to:'2017-01-01 18:56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6" s="49" t="str">
        <f t="shared" si="63"/>
        <v>Y</v>
      </c>
      <c r="X216" s="173" t="e">
        <f t="shared" si="64"/>
        <v>#VALUE!</v>
      </c>
      <c r="Y216" s="64">
        <f t="shared" si="65"/>
        <v>2.3384999999999998</v>
      </c>
      <c r="Z216" s="64">
        <f t="shared" si="66"/>
        <v>8.8900000000000007E-2</v>
      </c>
      <c r="AA216" s="64">
        <f t="shared" si="67"/>
        <v>2.2495999999999996</v>
      </c>
      <c r="AB216" s="61" t="e">
        <f>VLOOKUP(A216,Enforcements!$C$7:$K$19,8,0)</f>
        <v>#N/A</v>
      </c>
      <c r="AC216" s="57" t="e">
        <f>VLOOKUP(A216,Enforcements!$C$7:$E$19,3,0)</f>
        <v>#N/A</v>
      </c>
      <c r="AD216" s="58" t="str">
        <f t="shared" si="68"/>
        <v>72-01</v>
      </c>
      <c r="AE216" s="87" t="str">
        <f t="shared" si="69"/>
        <v>aws s3 cp s3://rtdc.mdm.uploadarchive.raw/RTDC4054/ "%USERPROFILE%\AppData\Local\Temp\OnboardLogs"\RTDC4054\2017-01-01 --exclude "*" --recursive --include "*20170101*" &amp; "%USERPROFILE%\Documents\GitHub\mrs-test-scripts\Headless Mode &amp; Sideloading\WalkAndUnGZ.bat" "%USERPROFILE%\AppData\Local\Temp\OnboardLogs"\RTDC4054\2017-01-01 &amp; aws s3 cp s3://rtdc.mdm.uploadarchive.raw/RTDC4054/ "%USERPROFILE%\AppData\Local\Temp\OnboardLogs"\RTDC4054\2017-01-02 --exclude "*" --recursive --include "*20170102*" &amp; "%USERPROFILE%\Documents\GitHub\mrs-test-scripts\Headless Mode &amp; Sideloading\WalkAndUnGZ.bat" "%USERPROFILE%\AppData\Local\Temp\OnboardLogs"\RTDC4054\2017-01-02</v>
      </c>
      <c r="AF216" s="84" t="str">
        <f t="shared" si="70"/>
        <v>"C:\Program Files (x86)\AstroGrep\AstroGrep.exe" /spath="%USERPROFILE%\AppData\Local\Temp\OnboardLogs" /stypes="app*4054*20170102*" /stext=" 00:.+((SYSTEM_STATE.+slice.+state.+changed )|(ment ac)|(multiple cpu faults)|(system.+state.+changed )|(\[timeout)|(PRM\|1\|D)|(kpr)|(kdp)|(\|lc)|(penalty))" /e /r /s</v>
      </c>
      <c r="AG216" s="1" t="str">
        <f t="shared" si="71"/>
        <v>Other</v>
      </c>
      <c r="AH216" s="88" t="str">
        <f t="shared" si="72"/>
        <v>"%USERPROFILE%\Documents\GitHub\eaglep3\Utilities\RefineRTDCRunTimes.py" --tripid 72-01 --locoid 4054 --swversion DE.1.0.8.0 --startMP 300:23385 --initTime 2017-01-01T17:42:21 --startdatetime 2017-01-01T17:44:23 --delay 1 --endMP 204:889 --enddatetime 2017-01-01T17:56:50 --enforcementcount 0 &gt;&gt;C:\Users\stu\Documents\GitHub\eaglep3-reporting\EC\2017-01-01-refined-times.txt</v>
      </c>
      <c r="AI216" s="115" t="str">
        <f t="shared" si="73"/>
        <v>echo {"issue":{"subject":"","project_id":79,"tracker_id":40,"status_id":1,"priority_id":2,"assigned_to_id":23,"start_date":"2017-01-01","description":"","custom_fields":[{"id":1,"name":"Subdivision","value":"Other"},{"id":4,"name":"Milepost","value":"0.0889"},{"id":17,"name":"Train ID","value":"72-01"},{"id":16,"name":"Locomotive ID","value":"4054"},{"id":130,"name":"Impact","value":""},{"id":150,"name":"Time of Event (Mountain Time)","value":"17:56:50"},{"id":151,"name":"Denver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74"/>
        <v>start /low /b %USERPROFILE%\Documents\GitHub\eaglep3\Utilities\DownloadLogsFromS3.py --loco 4054 --day 2017-01-01</v>
      </c>
    </row>
    <row r="217" spans="1:39" x14ac:dyDescent="0.25">
      <c r="A217" s="34" t="s">
        <v>631</v>
      </c>
      <c r="B217" s="7">
        <v>4053</v>
      </c>
      <c r="C217" s="22" t="s">
        <v>205</v>
      </c>
      <c r="D217" s="22" t="s">
        <v>795</v>
      </c>
      <c r="E217" s="13">
        <v>42736.76185185185</v>
      </c>
      <c r="F217" s="13">
        <v>25568.708333333332</v>
      </c>
      <c r="G217" s="7">
        <v>2</v>
      </c>
      <c r="H217" s="22" t="s">
        <v>796</v>
      </c>
      <c r="I217" s="13">
        <v>25568.708333333332</v>
      </c>
      <c r="J217" s="7">
        <v>0</v>
      </c>
      <c r="K217" s="105" t="str">
        <f t="shared" si="57"/>
        <v>4053/4054</v>
      </c>
      <c r="L217" s="22" t="str">
        <f>VLOOKUP(A217,'Trips&amp;Operators'!$C$1:$G$99999,5,FALSE)</f>
        <v>DAVIS MICHAEL</v>
      </c>
      <c r="M217" s="6">
        <f t="shared" si="58"/>
        <v>0</v>
      </c>
      <c r="N217" s="7">
        <f t="shared" si="59"/>
        <v>0</v>
      </c>
      <c r="O217" s="7"/>
      <c r="P217" s="7"/>
      <c r="Q217" s="23"/>
      <c r="R217" s="23"/>
      <c r="S217" s="32">
        <f t="shared" si="60"/>
        <v>0</v>
      </c>
      <c r="T217" s="47" t="e">
        <f t="shared" si="61"/>
        <v>#VALUE!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https://search-rtdc-monitor-bjffxe2xuh6vdkpspy63sjmuny.us-east-1.es.amazonaws.com/_plugin/kibana/#/discover/Steve-Slow-Train-Analysis-(2080s-and-2083s)?_g=(refreshInterval:(display:Off,section:0,value:0),time:(from:'2017-01-01 17:17:04-700',mode:absolute,to:'1969-12-31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7" s="49" t="str">
        <f t="shared" si="63"/>
        <v>Y</v>
      </c>
      <c r="X217" s="173" t="e">
        <f t="shared" si="64"/>
        <v>#VALUE!</v>
      </c>
      <c r="Y217" s="64">
        <f t="shared" si="65"/>
        <v>0.1203</v>
      </c>
      <c r="Z217" s="64">
        <f t="shared" si="66"/>
        <v>2.3308</v>
      </c>
      <c r="AA217" s="64">
        <f t="shared" si="67"/>
        <v>2.2105000000000001</v>
      </c>
      <c r="AB217" s="61" t="e">
        <f>VLOOKUP(A217,Enforcements!$C$7:$K$19,8,0)</f>
        <v>#N/A</v>
      </c>
      <c r="AC217" s="57" t="e">
        <f>VLOOKUP(A217,Enforcements!$C$7:$E$19,3,0)</f>
        <v>#N/A</v>
      </c>
      <c r="AD217" s="58" t="str">
        <f t="shared" si="68"/>
        <v>75-01</v>
      </c>
      <c r="AE217" s="87" t="str">
        <f t="shared" si="69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17" s="84" t="str">
        <f t="shared" si="70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217" s="1" t="str">
        <f t="shared" si="71"/>
        <v>Other</v>
      </c>
      <c r="AH217" s="88" t="str">
        <f t="shared" si="72"/>
        <v>"%USERPROFILE%\Documents\GitHub\eaglep3\Utilities\RefineRTDCRunTimes.py" --tripid 75-01 --locoid 4053 --swversion DE.1.0.8.0 --startMP 204:1203 --initTime 2017-01-01T18:17:04 --startdatetime 1969-12-31T17:00:00 --delay 2 --endMP 300:23308 --enddatetime 1969-12-31T17:00:00 --enforcementcount 0 &gt;&gt;C:\Users\stu\Documents\GitHub\eaglep3-reporting\EC\2017-01-01-refined-times.txt</v>
      </c>
      <c r="AI217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ID","value":"75-01"},{"id":16,"name":"Locomotive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74"/>
        <v>start /low /b %USERPROFILE%\Documents\GitHub\eaglep3\Utilities\DownloadLogsFromS3.py --loco 4053 --day 1969-12-31</v>
      </c>
    </row>
    <row r="218" spans="1:39" x14ac:dyDescent="0.25">
      <c r="A218" s="34" t="s">
        <v>658</v>
      </c>
      <c r="B218" s="7">
        <v>4042</v>
      </c>
      <c r="C218" s="22" t="s">
        <v>205</v>
      </c>
      <c r="D218" s="22" t="s">
        <v>797</v>
      </c>
      <c r="E218" s="13">
        <v>42736.893136574072</v>
      </c>
      <c r="F218" s="13">
        <v>25568.708333333332</v>
      </c>
      <c r="G218" s="7">
        <v>1</v>
      </c>
      <c r="H218" s="22" t="s">
        <v>780</v>
      </c>
      <c r="I218" s="13">
        <v>25568.708333333332</v>
      </c>
      <c r="J218" s="7">
        <v>0</v>
      </c>
      <c r="K218" s="105" t="str">
        <f t="shared" si="57"/>
        <v>4041/4042</v>
      </c>
      <c r="L218" s="22" t="str">
        <f>VLOOKUP(A218,'Trips&amp;Operators'!$C$1:$G$99999,5,FALSE)</f>
        <v>DAVIDSON DAVID</v>
      </c>
      <c r="M218" s="6">
        <f t="shared" si="58"/>
        <v>0</v>
      </c>
      <c r="N218" s="7">
        <f t="shared" si="59"/>
        <v>0</v>
      </c>
      <c r="O218" s="7"/>
      <c r="P218" s="7"/>
      <c r="Q218" s="23"/>
      <c r="R218" s="23"/>
      <c r="S218" s="32">
        <f t="shared" si="60"/>
        <v>0</v>
      </c>
      <c r="T218" s="47" t="e">
        <f t="shared" si="61"/>
        <v>#VALUE!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62"/>
        <v>https://search-rtdc-monitor-bjffxe2xuh6vdkpspy63sjmuny.us-east-1.es.amazonaws.com/_plugin/kibana/#/discover/Steve-Slow-Train-Analysis-(2080s-and-2083s)?_g=(refreshInterval:(display:Off,section:0,value:0),time:(from:'2017-01-01 20:26:07-700',mode:absolute,to:'1969-12-31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8" s="49" t="str">
        <f t="shared" si="63"/>
        <v>Y</v>
      </c>
      <c r="X218" s="173" t="e">
        <f t="shared" si="64"/>
        <v>#VALUE!</v>
      </c>
      <c r="Y218" s="64">
        <f t="shared" si="65"/>
        <v>0.12379999999999999</v>
      </c>
      <c r="Z218" s="64">
        <f t="shared" si="66"/>
        <v>2.3300999999999998</v>
      </c>
      <c r="AA218" s="64">
        <f t="shared" si="67"/>
        <v>2.2062999999999997</v>
      </c>
      <c r="AB218" s="61" t="e">
        <f>VLOOKUP(A218,Enforcements!$C$7:$K$19,8,0)</f>
        <v>#N/A</v>
      </c>
      <c r="AC218" s="57" t="e">
        <f>VLOOKUP(A218,Enforcements!$C$7:$E$19,3,0)</f>
        <v>#N/A</v>
      </c>
      <c r="AD218" s="58" t="str">
        <f t="shared" si="68"/>
        <v>91-01</v>
      </c>
      <c r="AE218" s="87" t="str">
        <f t="shared" si="69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8" s="84" t="str">
        <f t="shared" si="70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18" s="1" t="str">
        <f t="shared" si="71"/>
        <v>Other</v>
      </c>
      <c r="AH218" s="88" t="str">
        <f t="shared" si="72"/>
        <v>"%USERPROFILE%\Documents\GitHub\eaglep3\Utilities\RefineRTDCRunTimes.py" --tripid 91-01 --locoid 4042 --swversion DE.1.0.8.0 --startMP 204:1238 --initTime 2017-01-01T21:26:07 --startdatetime 1969-12-31T17:00:00 --delay 1 --endMP 300:23301 --enddatetime 1969-12-31T17:00:00 --enforcementcount 0 &gt;&gt;C:\Users\stu\Documents\GitHub\eaglep3-reporting\EC\2017-01-01-refined-times.txt</v>
      </c>
      <c r="AI218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ID","value":"91-01"},{"id":16,"name":"Locomotive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74"/>
        <v>start /low /b %USERPROFILE%\Documents\GitHub\eaglep3\Utilities\DownloadLogsFromS3.py --loco 4042 --day 1969-12-31</v>
      </c>
    </row>
    <row r="219" spans="1:39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39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39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39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39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39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</sheetData>
  <autoFilter ref="A12:AG219">
    <sortState ref="A13:AG222">
      <sortCondition ref="AG13:AG221"/>
      <sortCondition ref="AD13:AD221"/>
    </sortState>
  </autoFilter>
  <sortState ref="A13:AH200">
    <sortCondition ref="AG13:AG200"/>
    <sortCondition ref="AD13:AD200"/>
  </sortState>
  <mergeCells count="1">
    <mergeCell ref="A11:P11"/>
  </mergeCells>
  <conditionalFormatting sqref="W11:W12 W233:X1048576 W13:X218">
    <cfRule type="cellIs" dxfId="10" priority="352" operator="equal">
      <formula>"Y"</formula>
    </cfRule>
  </conditionalFormatting>
  <conditionalFormatting sqref="X233:X1048576 X13:X218">
    <cfRule type="cellIs" dxfId="9" priority="335" operator="greaterThan">
      <formula>1</formula>
    </cfRule>
  </conditionalFormatting>
  <conditionalFormatting sqref="X233:X1048576 X12:X218">
    <cfRule type="cellIs" dxfId="8" priority="332" operator="equal">
      <formula>0</formula>
    </cfRule>
  </conditionalFormatting>
  <conditionalFormatting sqref="A13:S218">
    <cfRule type="expression" dxfId="7" priority="326" stopIfTrue="1">
      <formula>$P13&gt;0</formula>
    </cfRule>
    <cfRule type="expression" dxfId="6" priority="327" stopIfTrue="1">
      <formula>$O13&gt;0</formula>
    </cfRule>
  </conditionalFormatting>
  <hyperlinks>
    <hyperlink ref="AJ134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Values'!$C$2:$C$15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3"/>
  <sheetViews>
    <sheetView topLeftCell="A2" zoomScaleNormal="100" workbookViewId="0">
      <selection activeCell="A19" sqref="A1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8.8554687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COUNTIF($O$7:$O$332,"=Y")</f>
        <v>9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COUNTA($O$7:$O$332)-O2</f>
        <v>25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90" t="str">
        <f>"Eagle P3 Braking Events - "&amp;TEXT(Variables!$A$2,"YYYY-mm-dd")</f>
        <v>Eagle P3 Braking Events - 2017-01-01</v>
      </c>
      <c r="B5" s="190"/>
      <c r="C5" s="190"/>
      <c r="D5" s="190"/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226</v>
      </c>
      <c r="AE6" s="181" t="s">
        <v>426</v>
      </c>
    </row>
    <row r="7" spans="1:31" s="1" customFormat="1" x14ac:dyDescent="0.25">
      <c r="A7" s="33">
        <v>42736.557372685187</v>
      </c>
      <c r="B7" s="31" t="s">
        <v>214</v>
      </c>
      <c r="C7" s="31" t="s">
        <v>449</v>
      </c>
      <c r="D7" s="31" t="s">
        <v>49</v>
      </c>
      <c r="E7" s="31" t="s">
        <v>243</v>
      </c>
      <c r="F7" s="44">
        <v>0</v>
      </c>
      <c r="G7" s="44">
        <v>232</v>
      </c>
      <c r="H7" s="44">
        <v>27002</v>
      </c>
      <c r="I7" s="44">
        <v>27328</v>
      </c>
      <c r="J7" s="31" t="s">
        <v>244</v>
      </c>
      <c r="K7" s="44">
        <v>27053</v>
      </c>
      <c r="L7" s="150" t="s">
        <v>50</v>
      </c>
      <c r="M7" s="151">
        <f t="shared" ref="M7:M40" si="0">CONVERT((I7-K7)/10000,"mi","ft")*IF(L7="Increasing Mileposts (1)",-1,1)</f>
        <v>-145.19999999999999</v>
      </c>
      <c r="N7" s="152" t="str">
        <f>VLOOKUP(C7,'Trips&amp;Operators'!$C$1:$G$99999,5,FALSE)</f>
        <v>LEVIN SCOTT</v>
      </c>
      <c r="O7" s="179" t="s">
        <v>195</v>
      </c>
      <c r="P7" s="153" t="s">
        <v>826</v>
      </c>
      <c r="Q7" s="31"/>
      <c r="R7" s="96" t="str">
        <f>VLOOKUP(C7,'Train Runs'!$A$13:$AE$9963,31,0)</f>
        <v>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 &amp; aws s3 cp s3://rtdc.mdm.uploadarchive.raw/RTDC4022/ "%USERPROFILE%\AppData\Local\Temp\OnboardLogs"\RTDC4022\2017-01-02 --exclude "*" --recursive --include "*20170102*" &amp; "%USERPROFILE%\Documents\GitHub\mrs-test-scripts\Headless Mode &amp; Sideloading\WalkAndUnGZ.bat" "%USERPROFILE%\AppData\Local\Temp\OnboardLogs"\RTDC4022\2017-01-02</v>
      </c>
      <c r="S7" s="99" t="str">
        <f>VLOOKUP(C7,'Train Runs'!$A$13:$AE$9963,22,0)</f>
        <v>https://search-rtdc-monitor-bjffxe2xuh6vdkpspy63sjmuny.us-east-1.es.amazonaws.com/_plugin/kibana/#/discover/Steve-Slow-Train-Analysis-(2080s-and-2083s)?_g=(refreshInterval:(display:Off,section:0,value:0),time:(from:'2017-01-01 12:08:19-700',mode:absolute,to:'2017-01-01 14:52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7" s="101" t="str">
        <f t="shared" ref="T7:T4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/stypes="*4022*201701012*" /stext=" 20:.+((SYSTEM_STATE.+slice.+state.+changed )|(ment ac)|(multiple cpu faults)|(system.+state.+changed )|(\[timeout)|(PRM\|1\|D)|(kpr)|(kdp)|(\|lc)|(penalty))" /e /r /s</v>
      </c>
      <c r="U7" s="9" t="str">
        <f t="shared" ref="U7:U40" si="2">MID(B7,13,4)</f>
        <v>4022</v>
      </c>
      <c r="V7" s="33">
        <f t="shared" ref="V7:V40" si="3">A7-utc_offset/24</f>
        <v>42736.849039351851</v>
      </c>
      <c r="W7" s="47" t="str">
        <f t="shared" ref="W7:W40" si="4">IF(VALUE(LEFT(IF(LEN(C7)=6,"0"&amp;C7,C7),2))&lt;=2,"EC",IF(OR(VALUE(LEFT(IF(LEN(C7)=6,"0"&amp;C7,C7),2))=8,VALUE(LEFT(IF(LEN(C7)=6,"0"&amp;C7,C7),2))=18),"NW","Other"))</f>
        <v>EC</v>
      </c>
      <c r="X7" s="47" t="str">
        <f t="shared" ref="X7:X40" si="5">IF(AND(E7="TRACK WARRANT AUTHORITY",G7&lt;10),"OMIT","KEEP")</f>
        <v>KEEP</v>
      </c>
      <c r="Y7" s="115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arrival","project_id":79,"tracker_id":40,"status_id":1,"priority_id":2,"assigned_to_id":23,"start_date":"2017-01-01","description":"","custom_fields":[{"id":1,"name":"Subdivision","value":"EC"},{"id":4,"name":"Milepost","value":"2.7053"},{"id":17,"name":"Train ID","value":"177-01"},{"id":16,"name":"Locomotive ID","value":"4022"},{"id":130,"name":"Impact","value":""},{"id":150,"name":"Time of Event (Mountain Time)","value":"13:22:37"},{"id":151,"name":"Denver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40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"%USERPROFILE%\AppData\Local\Temp\OnboardLogs"\RTDC4022\*4022*201701012*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"%USERPROFILE%\AppData\Local\Temp\OnboardLogs"\RTDC4022\*4022*201701012* &gt;&gt; 42736-slicedisagreementcheck.txt</v>
      </c>
      <c r="AE7" s="183" t="str">
        <f t="shared" ref="AE7:AE40" si="8">"start /low /b "&amp;dls3logs&amp;" --loco "&amp;U7&amp;" --day "&amp;TEXT(V7,"YYYY-MM-DD")</f>
        <v>start /low /b %USERPROFILE%\Documents\GitHub\eaglep3\Utilities\DownloadLogsFromS3.py --loco 4022 --day 2017-01-01</v>
      </c>
    </row>
    <row r="8" spans="1:31" s="1" customFormat="1" x14ac:dyDescent="0.25">
      <c r="A8" s="33">
        <v>42736.717314814814</v>
      </c>
      <c r="B8" s="31" t="s">
        <v>260</v>
      </c>
      <c r="C8" s="31" t="s">
        <v>456</v>
      </c>
      <c r="D8" s="31" t="s">
        <v>98</v>
      </c>
      <c r="E8" s="31" t="s">
        <v>243</v>
      </c>
      <c r="F8" s="44">
        <v>190</v>
      </c>
      <c r="G8" s="44">
        <v>248</v>
      </c>
      <c r="H8" s="44">
        <v>26992</v>
      </c>
      <c r="I8" s="44">
        <v>26424</v>
      </c>
      <c r="J8" s="31" t="s">
        <v>244</v>
      </c>
      <c r="K8" s="44">
        <v>27350</v>
      </c>
      <c r="L8" s="150" t="s">
        <v>51</v>
      </c>
      <c r="M8" s="151">
        <f t="shared" si="0"/>
        <v>-488.928</v>
      </c>
      <c r="N8" s="152" t="str">
        <f>VLOOKUP(C8,'Trips&amp;Operators'!$C$1:$G$99999,5,FALSE)</f>
        <v>ADANE ELSHADAY</v>
      </c>
      <c r="O8" s="179" t="s">
        <v>195</v>
      </c>
      <c r="P8" s="153" t="s">
        <v>826</v>
      </c>
      <c r="Q8" s="31"/>
      <c r="R8" s="96" t="str">
        <f>VLOOKUP(C8,'Train Runs'!$A$13:$AE$9963,31,0)</f>
        <v>aws s3 cp s3://rtdc.mdm.uploadarchive.raw/RTDC4013/ "%USERPROFILE%\AppData\Local\Temp\OnboardLogs"\RTDC4013\2017-01-01 --exclude "*" --recursive --include "*20170101*" &amp; "%USERPROFILE%\Documents\GitHub\mrs-test-scripts\Headless Mode &amp; Sideloading\WalkAndUnGZ.bat" "%USERPROFILE%\AppData\Local\Temp\OnboardLogs"\RTDC4013\2017-01-01 &amp; 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</v>
      </c>
      <c r="S8" s="99" t="str">
        <f>VLOOKUP(C8,'Train Runs'!$A$13:$AE$9963,22,0)</f>
        <v>https://search-rtdc-monitor-bjffxe2xuh6vdkpspy63sjmuny.us-east-1.es.amazonaws.com/_plugin/kibana/#/discover/Steve-Slow-Train-Analysis-(2080s-and-2083s)?_g=(refreshInterval:(display:Off,section:0,value:0),time:(from:'2017-01-01 15:25:29-700',mode:absolute,to:'2017-01-01 18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8" s="101" t="str">
        <f t="shared" si="1"/>
        <v>"C:\Program Files (x86)\AstroGrep\AstroGrep.exe" /spath="%USERPROFILE%\AppData\Local\Temp\OnboardLogs" /stypes="*4013*201701020*" /stext=" 00:.+((SYSTEM_STATE.+slice.+state.+changed )|(ment ac)|(multiple cpu faults)|(system.+state.+changed )|(\[timeout)|(PRM\|1\|D)|(kpr)|(kdp)|(\|lc)|(penalty))" /e /r /s</v>
      </c>
      <c r="U8" s="9" t="str">
        <f t="shared" si="2"/>
        <v>4013</v>
      </c>
      <c r="V8" s="33">
        <f t="shared" si="3"/>
        <v>42737.008981481478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arrival","project_id":79,"tracker_id":40,"status_id":1,"priority_id":2,"assigned_to_id":23,"start_date":"2017-01-01","description":"","custom_fields":[{"id":1,"name":"Subdivision","value":"EC"},{"id":4,"name":"Milepost","value":"2.735"},{"id":17,"name":"Train ID","value":"198-01"},{"id":16,"name":"Locomotive ID","value":"4013"},{"id":130,"name":"Impact","value":""},{"id":150,"name":"Time of Event (Mountain Time)","value":"17:12:56"},{"id":151,"name":"Denver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"%USERPROFILE%\AppData\Local\Temp\OnboardLogs"\RTDC4013\*4013*201701020*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"%USERPROFILE%\AppData\Local\Temp\OnboardLogs"\RTDC4013\*4013*201701020* &gt;&gt; 42736-slicedisagreementcheck.txt</v>
      </c>
      <c r="AE8" s="183" t="str">
        <f t="shared" si="8"/>
        <v>start /low /b %USERPROFILE%\Documents\GitHub\eaglep3\Utilities\DownloadLogsFromS3.py --loco 4013 --day 2017-01-02</v>
      </c>
    </row>
    <row r="9" spans="1:31" s="1" customFormat="1" x14ac:dyDescent="0.25">
      <c r="A9" s="33">
        <v>42736.42863425926</v>
      </c>
      <c r="B9" s="31" t="s">
        <v>262</v>
      </c>
      <c r="C9" s="31" t="s">
        <v>442</v>
      </c>
      <c r="D9" s="31" t="s">
        <v>98</v>
      </c>
      <c r="E9" s="31" t="s">
        <v>196</v>
      </c>
      <c r="F9" s="44">
        <v>200</v>
      </c>
      <c r="G9" s="44">
        <v>255</v>
      </c>
      <c r="H9" s="44">
        <v>5457</v>
      </c>
      <c r="I9" s="44">
        <v>5941</v>
      </c>
      <c r="J9" s="31" t="s">
        <v>197</v>
      </c>
      <c r="K9" s="44">
        <v>4677</v>
      </c>
      <c r="L9" s="150" t="s">
        <v>50</v>
      </c>
      <c r="M9" s="151">
        <f t="shared" si="0"/>
        <v>-667.39200000000005</v>
      </c>
      <c r="N9" s="152" t="str">
        <f>VLOOKUP(C9,'Trips&amp;Operators'!$C$1:$G$99999,5,FALSE)</f>
        <v>GEBRETEKLE DAGNEW</v>
      </c>
      <c r="O9" s="179" t="s">
        <v>195</v>
      </c>
      <c r="P9" s="153"/>
      <c r="Q9" s="31"/>
      <c r="R9" s="96" t="str">
        <f>VLOOKUP(C9,'Train Runs'!$A$13:$AE$9963,31,0)</f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S9" s="99" t="str">
        <f>VLOOKUP(C9,'Train Runs'!$A$13:$AE$9963,22,0)</f>
        <v>https://search-rtdc-monitor-bjffxe2xuh6vdkpspy63sjmuny.us-east-1.es.amazonaws.com/_plugin/kibana/#/discover/Steve-Slow-Train-Analysis-(2080s-and-2083s)?_g=(refreshInterval:(display:Off,section:0,value:0),time:(from:'2017-01-01 09:08:13-700',mode:absolute,to:'2017-01-01 11:53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9" s="101" t="str">
        <f t="shared" si="1"/>
        <v>"C:\Program Files (x86)\AstroGrep\AstroGrep.exe" /spath="%USERPROFILE%\AppData\Local\Temp\OnboardLogs" /stypes="*4003*201701011*" /stext=" 17:.+((SYSTEM_STATE.+slice.+state.+changed )|(ment ac)|(multiple cpu faults)|(system.+state.+changed )|(\[timeout)|(PRM\|1\|D)|(kpr)|(kdp)|(\|lc)|(penalty))" /e /r /s</v>
      </c>
      <c r="U9" s="9" t="str">
        <f t="shared" si="2"/>
        <v>4003</v>
      </c>
      <c r="V9" s="33">
        <f t="shared" si="3"/>
        <v>42736.720300925925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{"issue":{"subject":"","project_id":79,"tracker_id":40,"status_id":1,"priority_id":2,"assigned_to_id":23,"start_date":"2017-01-01","description":"","custom_fields":[{"id":1,"name":"Subdivision","value":"EC"},{"id":4,"name":"Milepost","value":"0.4677"},{"id":17,"name":"Train ID","value":"153-01"},{"id":16,"name":"Locomotive ID","value":"4003"},{"id":130,"name":"Impact","value":""},{"id":150,"name":"Time of Event (Mountain Time)","value":"10:17:14"},{"id":151,"name":"Denver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"%USERPROFILE%\AppData\Local\Temp\OnboardLogs"\RTDC4003\*4003*201701011*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"%USERPROFILE%\AppData\Local\Temp\OnboardLogs"\RTDC4003\*4003*201701011* &gt;&gt; 42736-slicedisagreementcheck.txt</v>
      </c>
      <c r="AE9" s="183" t="str">
        <f t="shared" si="8"/>
        <v>start /low /b %USERPROFILE%\Documents\GitHub\eaglep3\Utilities\DownloadLogsFromS3.py --loco 4003 --day 2017-01-01</v>
      </c>
    </row>
    <row r="10" spans="1:31" s="1" customFormat="1" x14ac:dyDescent="0.25">
      <c r="A10" s="33">
        <v>42736.811064814814</v>
      </c>
      <c r="B10" s="31" t="s">
        <v>344</v>
      </c>
      <c r="C10" s="31" t="s">
        <v>461</v>
      </c>
      <c r="D10" s="31" t="s">
        <v>49</v>
      </c>
      <c r="E10" s="31" t="s">
        <v>196</v>
      </c>
      <c r="F10" s="44">
        <v>300</v>
      </c>
      <c r="G10" s="44">
        <v>422</v>
      </c>
      <c r="H10" s="44">
        <v>23367</v>
      </c>
      <c r="I10" s="44">
        <v>22032</v>
      </c>
      <c r="J10" s="31" t="s">
        <v>197</v>
      </c>
      <c r="K10" s="44">
        <v>21848</v>
      </c>
      <c r="L10" s="150" t="s">
        <v>51</v>
      </c>
      <c r="M10" s="151">
        <f t="shared" si="0"/>
        <v>97.152000000000001</v>
      </c>
      <c r="N10" s="152" t="str">
        <f>VLOOKUP(C10,'Trips&amp;Operators'!$C$1:$G$99999,5,FALSE)</f>
        <v>KILLION DAVID</v>
      </c>
      <c r="O10" s="179" t="s">
        <v>195</v>
      </c>
      <c r="P10" s="153"/>
      <c r="Q10" s="31"/>
      <c r="R10" s="96" t="str">
        <f>VLOOKUP(C10,'Train Runs'!$A$13:$AE$9963,31,0)</f>
        <v>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 &amp; 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</v>
      </c>
      <c r="S10" s="99" t="str">
        <f>VLOOKUP(C10,'Train Runs'!$A$13:$AE$9963,22,0)</f>
        <v>https://search-rtdc-monitor-bjffxe2xuh6vdkpspy63sjmuny.us-east-1.es.amazonaws.com/_plugin/kibana/#/discover/Steve-Slow-Train-Analysis-(2080s-and-2083s)?_g=(refreshInterval:(display:Off,section:0,value:0),time:(from:'2017-01-01 17:49:16-700',mode:absolute,to:'2017-01-01 20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0" s="101" t="str">
        <f t="shared" si="1"/>
        <v>"C:\Program Files (x86)\AstroGrep\AstroGrep.exe" /spath="%USERPROFILE%\AppData\Local\Temp\OnboardLogs" /stypes="*4041*201701020*" /stext=" 02:.+((SYSTEM_STATE.+slice.+state.+changed )|(ment ac)|(multiple cpu faults)|(system.+state.+changed )|(\[timeout)|(PRM\|1\|D)|(kpr)|(kdp)|(\|lc)|(penalty))" /e /r /s</v>
      </c>
      <c r="U10" s="9" t="str">
        <f t="shared" si="2"/>
        <v>4041</v>
      </c>
      <c r="V10" s="33">
        <f t="shared" si="3"/>
        <v>42737.102731481478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{"issue":{"subject":"","project_id":79,"tracker_id":40,"status_id":1,"priority_id":2,"assigned_to_id":23,"start_date":"2017-01-01","description":"","custom_fields":[{"id":1,"name":"Subdivision","value":"EC"},{"id":4,"name":"Milepost","value":"2.1848"},{"id":17,"name":"Train ID","value":"216-01"},{"id":16,"name":"Locomotive ID","value":"4041"},{"id":130,"name":"Impact","value":""},{"id":150,"name":"Time of Event (Mountain Time)","value":"19:27:56"},{"id":151,"name":"Denver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"%USERPROFILE%\AppData\Local\Temp\OnboardLogs"\RTDC4041\*4041*201701020*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"%USERPROFILE%\AppData\Local\Temp\OnboardLogs"\RTDC4041\*4041*201701020* &gt;&gt; 42736-slicedisagreementcheck.txt</v>
      </c>
      <c r="AE10" s="183" t="str">
        <f t="shared" si="8"/>
        <v>start /low /b %USERPROFILE%\Documents\GitHub\eaglep3\Utilities\DownloadLogsFromS3.py --loco 4041 --day 2017-01-02</v>
      </c>
    </row>
    <row r="11" spans="1:31" s="1" customFormat="1" x14ac:dyDescent="0.25">
      <c r="A11" s="33">
        <v>42736.671006944445</v>
      </c>
      <c r="B11" s="31" t="s">
        <v>225</v>
      </c>
      <c r="C11" s="31" t="s">
        <v>452</v>
      </c>
      <c r="D11" s="31" t="s">
        <v>98</v>
      </c>
      <c r="E11" s="31" t="s">
        <v>196</v>
      </c>
      <c r="F11" s="44">
        <v>400</v>
      </c>
      <c r="G11" s="44">
        <v>450</v>
      </c>
      <c r="H11" s="44">
        <v>119514</v>
      </c>
      <c r="I11" s="44">
        <v>120714</v>
      </c>
      <c r="J11" s="31" t="s">
        <v>197</v>
      </c>
      <c r="K11" s="44">
        <v>116838</v>
      </c>
      <c r="L11" s="150" t="s">
        <v>50</v>
      </c>
      <c r="M11" s="151">
        <f t="shared" si="0"/>
        <v>-2046.528</v>
      </c>
      <c r="N11" s="152" t="str">
        <f>VLOOKUP(C11,'Trips&amp;Operators'!$C$1:$G$99999,5,FALSE)</f>
        <v>ADANE ELSHADAY</v>
      </c>
      <c r="O11" s="179" t="s">
        <v>195</v>
      </c>
      <c r="P11" s="153"/>
      <c r="Q11" s="31"/>
      <c r="R11" s="96" t="str">
        <f>VLOOKUP(C11,'Train Runs'!$A$13:$AE$9963,31,0)</f>
        <v>aws s3 cp s3://rtdc.mdm.uploadarchive.raw/RTDC4014/ "%USERPROFILE%\AppData\Local\Temp\OnboardLogs"\RTDC4014\2017-01-01 --exclude "*" --recursive --include "*20170101*" &amp; "%USERPROFILE%\Documents\GitHub\mrs-test-scripts\Headless Mode &amp; Sideloading\WalkAndUnGZ.bat" "%USERPROFILE%\AppData\Local\Temp\OnboardLogs"\RTDC4014\2017-01-01 &amp; 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</v>
      </c>
      <c r="S11" s="99" t="str">
        <f>VLOOKUP(C11,'Train Runs'!$A$13:$AE$9963,22,0)</f>
        <v>https://search-rtdc-monitor-bjffxe2xuh6vdkpspy63sjmuny.us-east-1.es.amazonaws.com/_plugin/kibana/#/discover/Steve-Slow-Train-Analysis-(2080s-and-2083s)?_g=(refreshInterval:(display:Off,section:0,value:0),time:(from:'2017-01-01 14:38:07-700',mode:absolute,to:'2017-01-01 17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1" s="101" t="str">
        <f t="shared" si="1"/>
        <v>"C:\Program Files (x86)\AstroGrep\AstroGrep.exe" /spath="%USERPROFILE%\AppData\Local\Temp\OnboardLogs" /stypes="*4014*201701012*" /stext=" 23:.+((SYSTEM_STATE.+slice.+state.+changed )|(ment ac)|(multiple cpu faults)|(system.+state.+changed )|(\[timeout)|(PRM\|1\|D)|(kpr)|(kdp)|(\|lc)|(penalty))" /e /r /s</v>
      </c>
      <c r="U11" s="9" t="str">
        <f t="shared" si="2"/>
        <v>4014</v>
      </c>
      <c r="V11" s="33">
        <f t="shared" si="3"/>
        <v>42736.962673611109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{"issue":{"subject":"","project_id":79,"tracker_id":40,"status_id":1,"priority_id":2,"assigned_to_id":23,"start_date":"2017-01-01","description":"","custom_fields":[{"id":1,"name":"Subdivision","value":"EC"},{"id":4,"name":"Milepost","value":"11.6838"},{"id":17,"name":"Train ID","value":"197-01"},{"id":16,"name":"Locomotive ID","value":"4014"},{"id":130,"name":"Impact","value":""},{"id":150,"name":"Time of Event (Mountain Time)","value":"16:06:15"},{"id":151,"name":"Denver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"%USERPROFILE%\AppData\Local\Temp\OnboardLogs"\RTDC4014\*4014*201701012*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"%USERPROFILE%\AppData\Local\Temp\OnboardLogs"\RTDC4014\*4014*201701012* &gt;&gt; 42736-slicedisagreementcheck.txt</v>
      </c>
      <c r="AE11" s="183" t="str">
        <f t="shared" si="8"/>
        <v>start /low /b %USERPROFILE%\Documents\GitHub\eaglep3\Utilities\DownloadLogsFromS3.py --loco 4014 --day 2017-01-01</v>
      </c>
    </row>
    <row r="12" spans="1:31" s="1" customFormat="1" x14ac:dyDescent="0.25">
      <c r="A12" s="33">
        <v>42736.295393518521</v>
      </c>
      <c r="B12" s="31" t="s">
        <v>435</v>
      </c>
      <c r="C12" s="31" t="s">
        <v>436</v>
      </c>
      <c r="D12" s="31" t="s">
        <v>98</v>
      </c>
      <c r="E12" s="31" t="s">
        <v>196</v>
      </c>
      <c r="F12" s="44">
        <v>450</v>
      </c>
      <c r="G12" s="44">
        <v>505</v>
      </c>
      <c r="H12" s="44">
        <v>191050</v>
      </c>
      <c r="I12" s="44">
        <v>189722</v>
      </c>
      <c r="J12" s="31" t="s">
        <v>197</v>
      </c>
      <c r="K12" s="44">
        <v>191108</v>
      </c>
      <c r="L12" s="150" t="s">
        <v>51</v>
      </c>
      <c r="M12" s="151">
        <f t="shared" si="0"/>
        <v>-731.80799999999999</v>
      </c>
      <c r="N12" s="152" t="str">
        <f>VLOOKUP(C12,'Trips&amp;Operators'!$C$1:$G$99999,5,FALSE)</f>
        <v>BERLING GARY</v>
      </c>
      <c r="O12" s="179" t="s">
        <v>195</v>
      </c>
      <c r="P12" s="153"/>
      <c r="Q12" s="31"/>
      <c r="R12" s="96" t="str">
        <f>VLOOKUP(C12,'Train Runs'!$A$13:$AE$9963,31,0)</f>
        <v>aws s3 cp s3://rtdc.mdm.uploadarchive.raw/RTDC4010/ "%USERPROFILE%\AppData\Local\Temp\OnboardLogs"\RTDC4010\2017-01-01 --exclude "*" --recursive --include "*20170101*" &amp; "%USERPROFILE%\Documents\GitHub\mrs-test-scripts\Headless Mode &amp; Sideloading\WalkAndUnGZ.bat" "%USERPROFILE%\AppData\Local\Temp\OnboardLogs"\RTDC4010\2017-01-01 &amp; aws s3 cp s3://rtdc.mdm.uploadarchive.raw/RTDC4010/ "%USERPROFILE%\AppData\Local\Temp\OnboardLogs"\RTDC4010\2017-01-02 --exclude "*" --recursive --include "*20170102*" &amp; "%USERPROFILE%\Documents\GitHub\mrs-test-scripts\Headless Mode &amp; Sideloading\WalkAndUnGZ.bat" "%USERPROFILE%\AppData\Local\Temp\OnboardLogs"\RTDC4010\2017-01-02</v>
      </c>
      <c r="S12" s="99" t="str">
        <f>VLOOKUP(C12,'Train Runs'!$A$13:$AE$9963,22,0)</f>
        <v>https://search-rtdc-monitor-bjffxe2xuh6vdkpspy63sjmuny.us-east-1.es.amazonaws.com/_plugin/kibana/#/discover/Steve-Slow-Train-Analysis-(2080s-and-2083s)?_g=(refreshInterval:(display:Off,section:0,value:0),time:(from:'2017-01-01 05:55:43-700',mode:absolute,to:'2017-01-01 08:41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2" s="101" t="str">
        <f t="shared" si="1"/>
        <v>"C:\Program Files (x86)\AstroGrep\AstroGrep.exe" /spath="%USERPROFILE%\AppData\Local\Temp\OnboardLogs" /stypes="*4010*201701011*" /stext=" 14:.+((SYSTEM_STATE.+slice.+state.+changed )|(ment ac)|(multiple cpu faults)|(system.+state.+changed )|(\[timeout)|(PRM\|1\|D)|(kpr)|(kdp)|(\|lc)|(penalty))" /e /r /s</v>
      </c>
      <c r="U12" s="9" t="str">
        <f t="shared" si="2"/>
        <v>4010</v>
      </c>
      <c r="V12" s="33">
        <f t="shared" si="3"/>
        <v>42736.587060185186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{"issue":{"subject":"","project_id":79,"tracker_id":40,"status_id":1,"priority_id":2,"assigned_to_id":23,"start_date":"2017-01-01","description":"","custom_fields":[{"id":1,"name":"Subdivision","value":"EC"},{"id":4,"name":"Milepost","value":"19.1108"},{"id":17,"name":"Train ID","value":"120-01"},{"id":16,"name":"Locomotive ID","value":"4010"},{"id":130,"name":"Impact","value":""},{"id":150,"name":"Time of Event (Mountain Time)","value":"07:05:22"},{"id":151,"name":"Denver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"%USERPROFILE%\AppData\Local\Temp\OnboardLogs"\RTDC4010\*4010*201701011*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"%USERPROFILE%\AppData\Local\Temp\OnboardLogs"\RTDC4010\*4010*201701011* &gt;&gt; 42736-slicedisagreementcheck.txt</v>
      </c>
      <c r="AE12" s="183" t="str">
        <f t="shared" si="8"/>
        <v>start /low /b %USERPROFILE%\Documents\GitHub\eaglep3\Utilities\DownloadLogsFromS3.py --loco 4010 --day 2017-01-01</v>
      </c>
    </row>
    <row r="13" spans="1:31" s="1" customFormat="1" x14ac:dyDescent="0.25">
      <c r="A13" s="33">
        <v>42737.06212962963</v>
      </c>
      <c r="B13" s="31" t="s">
        <v>440</v>
      </c>
      <c r="C13" s="31" t="s">
        <v>467</v>
      </c>
      <c r="D13" s="31" t="s">
        <v>98</v>
      </c>
      <c r="E13" s="31" t="s">
        <v>196</v>
      </c>
      <c r="F13" s="44">
        <v>350</v>
      </c>
      <c r="G13" s="44">
        <v>400</v>
      </c>
      <c r="H13" s="44">
        <v>225904</v>
      </c>
      <c r="I13" s="44">
        <v>224952</v>
      </c>
      <c r="J13" s="31" t="s">
        <v>197</v>
      </c>
      <c r="K13" s="44">
        <v>230436</v>
      </c>
      <c r="L13" s="150" t="s">
        <v>51</v>
      </c>
      <c r="M13" s="151">
        <f t="shared" si="0"/>
        <v>-2895.5520000000001</v>
      </c>
      <c r="N13" s="152" t="str">
        <f>VLOOKUP(C13,'Trips&amp;Operators'!$C$1:$G$99999,5,FALSE)</f>
        <v>STAMBAUGH JAMES</v>
      </c>
      <c r="O13" s="179" t="s">
        <v>195</v>
      </c>
      <c r="P13" s="153"/>
      <c r="Q13" s="31"/>
      <c r="R13" s="96" t="str">
        <f>VLOOKUP(C13,'Train Runs'!$A$13:$AE$9963,31,0)</f>
        <v>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 &amp; aws s3 cp s3://rtdc.mdm.uploadarchive.raw/RTDC4021/ "%USERPROFILE%\AppData\Local\Temp\OnboardLogs"\RTDC4021\2017-01-03 --exclude "*" --recursive --include "*20170103*" &amp; "%USERPROFILE%\Documents\GitHub\mrs-test-scripts\Headless Mode &amp; Sideloading\WalkAndUnGZ.bat" "%USERPROFILE%\AppData\Local\Temp\OnboardLogs"\RTDC4021\2017-01-03</v>
      </c>
      <c r="S13" s="99" t="str">
        <f>VLOOKUP(C13,'Train Runs'!$A$13:$AE$9963,22,0)</f>
        <v>https://search-rtdc-monitor-bjffxe2xuh6vdkpspy63sjmuny.us-east-1.es.amazonaws.com/_plugin/kibana/#/discover/Steve-Slow-Train-Analysis-(2080s-and-2083s)?_g=(refreshInterval:(display:Off,section:0,value:0),time:(from:'2017-01-02 00:18:39-700',mode:absolute,to:'2017-01-02 03:04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3" s="101" t="str">
        <f t="shared" si="1"/>
        <v>"C:\Program Files (x86)\AstroGrep\AstroGrep.exe" /spath="%USERPROFILE%\AppData\Local\Temp\OnboardLogs" /stypes="*4021*201701020*" /stext=" 08:.+((SYSTEM_STATE.+slice.+state.+changed )|(ment ac)|(multiple cpu faults)|(system.+state.+changed )|(\[timeout)|(PRM\|1\|D)|(kpr)|(kdp)|(\|lc)|(penalty))" /e /r /s</v>
      </c>
      <c r="U13" s="9" t="str">
        <f t="shared" si="2"/>
        <v>4021</v>
      </c>
      <c r="V13" s="33">
        <f t="shared" si="3"/>
        <v>42737.353796296295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{"issue":{"subject":"","project_id":79,"tracker_id":40,"status_id":1,"priority_id":2,"assigned_to_id":23,"start_date":"2017-01-02","description":"","custom_fields":[{"id":1,"name":"Subdivision","value":"EC"},{"id":4,"name":"Milepost","value":"23.0436"},{"id":17,"name":"Train ID","value":"244-01"},{"id":16,"name":"Locomotive ID","value":"4021"},{"id":130,"name":"Impact","value":""},{"id":150,"name":"Time of Event (Mountain Time)","value":"01:29:28"},{"id":151,"name":"Denver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"%USERPROFILE%\AppData\Local\Temp\OnboardLogs"\RTDC4021\*4021*201701020*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"%USERPROFILE%\AppData\Local\Temp\OnboardLogs"\RTDC4021\*4021*201701020* &gt;&gt; 42736-slicedisagreementcheck.txt</v>
      </c>
      <c r="AE13" s="183" t="str">
        <f t="shared" si="8"/>
        <v>start /low /b %USERPROFILE%\Documents\GitHub\eaglep3\Utilities\DownloadLogsFromS3.py --loco 4021 --day 2017-01-02</v>
      </c>
    </row>
    <row r="14" spans="1:31" s="1" customFormat="1" x14ac:dyDescent="0.25">
      <c r="A14" s="33">
        <v>42736.237835648149</v>
      </c>
      <c r="B14" s="31" t="s">
        <v>431</v>
      </c>
      <c r="C14" s="31" t="s">
        <v>432</v>
      </c>
      <c r="D14" s="31" t="s">
        <v>98</v>
      </c>
      <c r="E14" s="31" t="s">
        <v>196</v>
      </c>
      <c r="F14" s="44">
        <v>350</v>
      </c>
      <c r="G14" s="44">
        <v>400</v>
      </c>
      <c r="H14" s="44">
        <v>229202</v>
      </c>
      <c r="I14" s="44">
        <v>228465</v>
      </c>
      <c r="J14" s="31" t="s">
        <v>197</v>
      </c>
      <c r="K14" s="44">
        <v>232080</v>
      </c>
      <c r="L14" s="150" t="s">
        <v>51</v>
      </c>
      <c r="M14" s="151">
        <f t="shared" si="0"/>
        <v>-1908.72</v>
      </c>
      <c r="N14" s="152" t="str">
        <f>VLOOKUP(C14,'Trips&amp;Operators'!$C$1:$G$99999,5,FALSE)</f>
        <v>ROBINSON KADDIBA</v>
      </c>
      <c r="O14" s="179" t="s">
        <v>195</v>
      </c>
      <c r="P14" s="153"/>
      <c r="Q14" s="31"/>
      <c r="R14" s="96" t="str">
        <f>VLOOKUP(C14,'Train Runs'!$A$13:$AE$9963,31,0)</f>
        <v>aws s3 cp s3://rtdc.mdm.uploadarchive.raw/RTDC4008/ "%USERPROFILE%\AppData\Local\Temp\OnboardLogs"\RTDC4008\2017-01-01 --exclude "*" --recursive --include "*20170101*" &amp; "%USERPROFILE%\Documents\GitHub\mrs-test-scripts\Headless Mode &amp; Sideloading\WalkAndUnGZ.bat" "%USERPROFILE%\AppData\Local\Temp\OnboardLogs"\RTDC4008\2017-01-01 &amp; 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</v>
      </c>
      <c r="S14" s="99" t="str">
        <f>VLOOKUP(C14,'Train Runs'!$A$13:$AE$9963,22,0)</f>
        <v>https://search-rtdc-monitor-bjffxe2xuh6vdkpspy63sjmuny.us-east-1.es.amazonaws.com/_plugin/kibana/#/discover/Steve-Slow-Train-Analysis-(2080s-and-2083s)?_g=(refreshInterval:(display:Off,section:0,value:0),time:(from:'2017-01-01 04:36:02-700',mode:absolute,to:'2017-01-01 07:28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4" s="101" t="str">
        <f t="shared" si="1"/>
        <v>"C:\Program Files (x86)\AstroGrep\AstroGrep.exe" /spath="%USERPROFILE%\AppData\Local\Temp\OnboardLogs" /stypes="*4008*201701011*" /stext=" 12:.+((SYSTEM_STATE.+slice.+state.+changed )|(ment ac)|(multiple cpu faults)|(system.+state.+changed )|(\[timeout)|(PRM\|1\|D)|(kpr)|(kdp)|(\|lc)|(penalty))" /e /r /s</v>
      </c>
      <c r="U14" s="9" t="str">
        <f t="shared" si="2"/>
        <v>4008</v>
      </c>
      <c r="V14" s="33">
        <f t="shared" si="3"/>
        <v>42736.529502314814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{"issue":{"subject":"","project_id":79,"tracker_id":40,"status_id":1,"priority_id":2,"assigned_to_id":23,"start_date":"2017-01-01","description":"","custom_fields":[{"id":1,"name":"Subdivision","value":"EC"},{"id":4,"name":"Milepost","value":"23.208"},{"id":17,"name":"Train ID","value":"110-01"},{"id":16,"name":"Locomotive ID","value":"4008"},{"id":130,"name":"Impact","value":""},{"id":150,"name":"Time of Event (Mountain Time)","value":"05:42:29"},{"id":151,"name":"Denver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"%USERPROFILE%\AppData\Local\Temp\OnboardLogs"\RTDC4008\*4008*201701011*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"%USERPROFILE%\AppData\Local\Temp\OnboardLogs"\RTDC4008\*4008*201701011* &gt;&gt; 42736-slicedisagreementcheck.txt</v>
      </c>
      <c r="AE14" s="183" t="str">
        <f t="shared" si="8"/>
        <v>start /low /b %USERPROFILE%\Documents\GitHub\eaglep3\Utilities\DownloadLogsFromS3.py --loco 4008 --day 2017-01-01</v>
      </c>
    </row>
    <row r="15" spans="1:31" s="1" customFormat="1" x14ac:dyDescent="0.25">
      <c r="A15" s="33">
        <v>42736.773101851853</v>
      </c>
      <c r="B15" s="31" t="s">
        <v>183</v>
      </c>
      <c r="C15" s="31" t="s">
        <v>459</v>
      </c>
      <c r="D15" s="31" t="s">
        <v>49</v>
      </c>
      <c r="E15" s="31" t="s">
        <v>198</v>
      </c>
      <c r="F15" s="44">
        <v>0</v>
      </c>
      <c r="G15" s="44">
        <v>187</v>
      </c>
      <c r="H15" s="44">
        <v>86562</v>
      </c>
      <c r="I15" s="44">
        <v>87584</v>
      </c>
      <c r="J15" s="31" t="s">
        <v>199</v>
      </c>
      <c r="K15" s="44">
        <v>87889</v>
      </c>
      <c r="L15" s="150" t="s">
        <v>50</v>
      </c>
      <c r="M15" s="151">
        <f t="shared" si="0"/>
        <v>161.04</v>
      </c>
      <c r="N15" s="152" t="str">
        <f>VLOOKUP(C15,'Trips&amp;Operators'!$C$1:$G$99999,5,FALSE)</f>
        <v>SMITH MICHAEL</v>
      </c>
      <c r="O15" s="179" t="s">
        <v>227</v>
      </c>
      <c r="P15" s="153" t="s">
        <v>822</v>
      </c>
      <c r="Q15" s="31"/>
      <c r="R15" s="96" t="str">
        <f>VLOOKUP(C15,'Train Runs'!$A$13:$AE$9963,31,0)</f>
        <v>aws s3 cp s3://rtdc.mdm.uploadarchive.raw/RTDC4009/ "%USERPROFILE%\AppData\Local\Temp\OnboardLogs"\RTDC4009\2017-01-01 --exclude "*" --recursive --include "*20170101*" &amp; "%USERPROFILE%\Documents\GitHub\mrs-test-scripts\Headless Mode &amp; Sideloading\WalkAndUnGZ.bat" "%USERPROFILE%\AppData\Local\Temp\OnboardLogs"\RTDC4009\2017-01-01 &amp; aws s3 cp s3://rtdc.mdm.uploadarchive.raw/RTDC4009/ "%USERPROFILE%\AppData\Local\Temp\OnboardLogs"\RTDC4009\2017-01-02 --exclude "*" --recursive --include "*20170102*" &amp; "%USERPROFILE%\Documents\GitHub\mrs-test-scripts\Headless Mode &amp; Sideloading\WalkAndUnGZ.bat" "%USERPROFILE%\AppData\Local\Temp\OnboardLogs"\RTDC4009\2017-01-02</v>
      </c>
      <c r="S15" s="99" t="str">
        <f>VLOOKUP(C15,'Train Runs'!$A$13:$AE$9963,22,0)</f>
        <v>https://search-rtdc-monitor-bjffxe2xuh6vdkpspy63sjmuny.us-east-1.es.amazonaws.com/_plugin/kibana/#/discover/Steve-Slow-Train-Analysis-(2080s-and-2083s)?_g=(refreshInterval:(display:Off,section:0,value:0),time:(from:'2017-01-01 17:11:26-700',mode:absolute,to:'2017-01-01 19:55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5" s="101" t="str">
        <f t="shared" si="1"/>
        <v>"C:\Program Files (x86)\AstroGrep\AstroGrep.exe" /spath="%USERPROFILE%\AppData\Local\Temp\OnboardLogs" /stypes="*4009*201701020*" /stext=" 01:.+((SYSTEM_STATE.+slice.+state.+changed )|(ment ac)|(multiple cpu faults)|(system.+state.+changed )|(\[timeout)|(PRM\|1\|D)|(kpr)|(kdp)|(\|lc)|(penalty))" /e /r /s</v>
      </c>
      <c r="U15" s="9" t="str">
        <f t="shared" si="2"/>
        <v>4009</v>
      </c>
      <c r="V15" s="33">
        <f t="shared" si="3"/>
        <v>42737.064768518518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{"issue":{"subject":"Wi-MAX data drop","project_id":79,"tracker_id":40,"status_id":1,"priority_id":2,"assigned_to_id":23,"start_date":"2017-01-01","description":"http://stevetu21.github.io/eaglep3/load_kml.html?kml=http://rtdc.gmaps-snips.s3.amazonaws.com/fb9a48cd-4100-4c3c-8495-324453dfde4a.kml","custom_fields":[{"id":1,"name":"Subdivision","value":"EC"},{"id":4,"name":"Milepost","value":"8.7889"},{"id":17,"name":"Train ID","value":"217-01"},{"id":16,"name":"Locomotive ID","value":"4009"},{"id":130,"name":"Impact","value":"Enforcement"},{"id":150,"name":"Time of Event (Mountain Time)","value":"18:33:16"},{"id":151,"name":"Denver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5" s="21" t="s">
        <v>828</v>
      </c>
      <c r="AA15" s="50" t="s">
        <v>125</v>
      </c>
      <c r="AB15" s="50" t="s">
        <v>138</v>
      </c>
      <c r="AC15" s="134" t="str">
        <f t="shared" si="7"/>
        <v>grep -hSE -A400 "Enforcement Action" "%USERPROFILE%\AppData\Local\Temp\OnboardLogs"\RTDC4009\*4009*201701020*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"%USERPROFILE%\AppData\Local\Temp\OnboardLogs"\RTDC4009\*4009*201701020* &gt;&gt; 42736-slicedisagreementcheck.txt</v>
      </c>
      <c r="AE15" s="183" t="str">
        <f t="shared" si="8"/>
        <v>start /low /b %USERPROFILE%\Documents\GitHub\eaglep3\Utilities\DownloadLogsFromS3.py --loco 4009 --day 2017-01-02</v>
      </c>
    </row>
    <row r="16" spans="1:31" s="1" customFormat="1" x14ac:dyDescent="0.25">
      <c r="A16" s="33">
        <v>42736.253136574072</v>
      </c>
      <c r="B16" s="31" t="s">
        <v>212</v>
      </c>
      <c r="C16" s="31" t="s">
        <v>434</v>
      </c>
      <c r="D16" s="31" t="s">
        <v>49</v>
      </c>
      <c r="E16" s="31" t="s">
        <v>198</v>
      </c>
      <c r="F16" s="44">
        <v>0</v>
      </c>
      <c r="G16" s="44">
        <v>612</v>
      </c>
      <c r="H16" s="44">
        <v>138386</v>
      </c>
      <c r="I16" s="44">
        <v>141922</v>
      </c>
      <c r="J16" s="31" t="s">
        <v>199</v>
      </c>
      <c r="K16" s="44">
        <v>138837</v>
      </c>
      <c r="L16" s="150" t="s">
        <v>50</v>
      </c>
      <c r="M16" s="151">
        <f t="shared" si="0"/>
        <v>-1628.88</v>
      </c>
      <c r="N16" s="152" t="str">
        <f>VLOOKUP(C16,'Trips&amp;Operators'!$C$1:$G$99999,5,FALSE)</f>
        <v>SHOOK JOHN</v>
      </c>
      <c r="O16" s="179" t="s">
        <v>227</v>
      </c>
      <c r="P16" s="153" t="s">
        <v>822</v>
      </c>
      <c r="Q16" s="31"/>
      <c r="R16" s="96" t="str">
        <f>VLOOKUP(C16,'Train Runs'!$A$13:$AE$9963,31,0)</f>
        <v>aws s3 cp s3://rtdc.mdm.uploadarchive.raw/RTDC4002/ "%USERPROFILE%\AppData\Local\Temp\OnboardLogs"\RTDC4002\2017-01-01 --exclude "*" --recursive --include "*20170101*" &amp; "%USERPROFILE%\Documents\GitHub\mrs-test-scripts\Headless Mode &amp; Sideloading\WalkAndUnGZ.bat" "%USERPROFILE%\AppData\Local\Temp\OnboardLogs"\RTDC4002\2017-01-01 &amp; aws s3 cp s3://rtdc.mdm.uploadarchive.raw/RTDC4002/ "%USERPROFILE%\AppData\Local\Temp\OnboardLogs"\RTDC4002\2017-01-02 --exclude "*" --recursive --include "*20170102*" &amp; "%USERPROFILE%\Documents\GitHub\mrs-test-scripts\Headless Mode &amp; Sideloading\WalkAndUnGZ.bat" "%USERPROFILE%\AppData\Local\Temp\OnboardLogs"\RTDC4002\2017-01-02</v>
      </c>
      <c r="S16" s="99" t="str">
        <f>VLOOKUP(C16,'Train Runs'!$A$13:$AE$9963,22,0)</f>
        <v>https://search-rtdc-monitor-bjffxe2xuh6vdkpspy63sjmuny.us-east-1.es.amazonaws.com/_plugin/kibana/#/discover/Steve-Slow-Train-Analysis-(2080s-and-2083s)?_g=(refreshInterval:(display:Off,section:0,value:0),time:(from:'2017-01-01 04:29:06-700',mode:absolute,to:'2017-01-01 07:04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6" s="101" t="str">
        <f t="shared" si="1"/>
        <v>"C:\Program Files (x86)\AstroGrep\AstroGrep.exe" /spath="%USERPROFILE%\AppData\Local\Temp\OnboardLogs" /stypes="*4002*201701011*" /stext=" 13:.+((SYSTEM_STATE.+slice.+state.+changed )|(ment ac)|(multiple cpu faults)|(system.+state.+changed )|(\[timeout)|(PRM\|1\|D)|(kpr)|(kdp)|(\|lc)|(penalty))" /e /r /s</v>
      </c>
      <c r="U16" s="9" t="str">
        <f t="shared" si="2"/>
        <v>4002</v>
      </c>
      <c r="V16" s="33">
        <f t="shared" si="3"/>
        <v>42736.544803240737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{"issue":{"subject":"Wi-MAX data drop","project_id":79,"tracker_id":40,"status_id":1,"priority_id":2,"assigned_to_id":23,"start_date":"2017-01-01","description":"http://stevetu21.github.io/eaglep3/load_kml.html?kml=http://rtdc.gmaps-snips.s3.amazonaws.com/dc453369-7dab-49c8-ab63-d0e91041c480.kml","custom_fields":[{"id":1,"name":"Subdivision","value":"EC"},{"id":4,"name":"Milepost","value":"13.8837"},{"id":17,"name":"Train ID","value":"115-01"},{"id":16,"name":"Locomotive ID","value":"4002"},{"id":130,"name":"Impact","value":"Enforcement"},{"id":150,"name":"Time of Event (Mountain Time)","value":"06:04:31"},{"id":151,"name":"Denver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s="21" t="s">
        <v>829</v>
      </c>
      <c r="AA16" s="50" t="s">
        <v>125</v>
      </c>
      <c r="AB16" s="50" t="s">
        <v>138</v>
      </c>
      <c r="AC16" s="134" t="str">
        <f t="shared" si="7"/>
        <v>grep -hSE -A400 "Enforcement Action" "%USERPROFILE%\AppData\Local\Temp\OnboardLogs"\RTDC4002\*4002*201701011*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"%USERPROFILE%\AppData\Local\Temp\OnboardLogs"\RTDC4002\*4002*201701011* &gt;&gt; 42736-slicedisagreementcheck.txt</v>
      </c>
      <c r="AE16" s="183" t="str">
        <f t="shared" si="8"/>
        <v>start /low /b %USERPROFILE%\Documents\GitHub\eaglep3\Utilities\DownloadLogsFromS3.py --loco 4002 --day 2017-01-01</v>
      </c>
    </row>
    <row r="17" spans="1:32" s="1" customFormat="1" x14ac:dyDescent="0.25">
      <c r="A17" s="33">
        <v>42736.445393518516</v>
      </c>
      <c r="B17" s="31" t="s">
        <v>262</v>
      </c>
      <c r="C17" s="31" t="s">
        <v>442</v>
      </c>
      <c r="D17" s="31" t="s">
        <v>49</v>
      </c>
      <c r="E17" s="31" t="s">
        <v>198</v>
      </c>
      <c r="F17" s="44">
        <v>0</v>
      </c>
      <c r="G17" s="44">
        <v>802</v>
      </c>
      <c r="H17" s="44">
        <v>146057</v>
      </c>
      <c r="I17" s="44">
        <v>149941</v>
      </c>
      <c r="J17" s="31" t="s">
        <v>199</v>
      </c>
      <c r="K17" s="44">
        <v>149694</v>
      </c>
      <c r="L17" s="150" t="s">
        <v>50</v>
      </c>
      <c r="M17" s="151">
        <f t="shared" si="0"/>
        <v>-130.416</v>
      </c>
      <c r="N17" s="152" t="str">
        <f>VLOOKUP(C17,'Trips&amp;Operators'!$C$1:$G$99999,5,FALSE)</f>
        <v>GEBRETEKLE DAGNEW</v>
      </c>
      <c r="O17" s="179" t="s">
        <v>227</v>
      </c>
      <c r="P17" s="153" t="s">
        <v>822</v>
      </c>
      <c r="Q17" s="31"/>
      <c r="R17" s="96" t="str">
        <f>VLOOKUP(C17,'Train Runs'!$A$13:$AE$9963,31,0)</f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S17" s="99" t="str">
        <f>VLOOKUP(C17,'Train Runs'!$A$13:$AE$9963,22,0)</f>
        <v>https://search-rtdc-monitor-bjffxe2xuh6vdkpspy63sjmuny.us-east-1.es.amazonaws.com/_plugin/kibana/#/discover/Steve-Slow-Train-Analysis-(2080s-and-2083s)?_g=(refreshInterval:(display:Off,section:0,value:0),time:(from:'2017-01-01 09:08:13-700',mode:absolute,to:'2017-01-01 11:53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7" s="101" t="str">
        <f t="shared" si="1"/>
        <v>"C:\Program Files (x86)\AstroGrep\AstroGrep.exe" /spath="%USERPROFILE%\AppData\Local\Temp\OnboardLogs" /stypes="*4003*201701011*" /stext=" 17:.+((SYSTEM_STATE.+slice.+state.+changed )|(ment ac)|(multiple cpu faults)|(system.+state.+changed )|(\[timeout)|(PRM\|1\|D)|(kpr)|(kdp)|(\|lc)|(penalty))" /e /r /s</v>
      </c>
      <c r="U17" s="9" t="str">
        <f t="shared" si="2"/>
        <v>4003</v>
      </c>
      <c r="V17" s="33">
        <f t="shared" si="3"/>
        <v>42736.73706018518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{"issue":{"subject":"Wi-MAX data drop","project_id":79,"tracker_id":40,"status_id":1,"priority_id":2,"assigned_to_id":23,"start_date":"2017-01-01","description":"http://stevetu21.github.io/eaglep3/load_kml.html?kml=http://rtdc.gmaps-snips.s3.amazonaws.com/cb36a8e9-faad-45cc-9150-2cc627444ab0.kml","custom_fields":[{"id":1,"name":"Subdivision","value":"EC"},{"id":4,"name":"Milepost","value":"14.9694"},{"id":17,"name":"Train ID","value":"153-01"},{"id":16,"name":"Locomotive ID","value":"4003"},{"id":130,"name":"Impact","value":"Enforcement"},{"id":150,"name":"Time of Event (Mountain Time)","value":"10:41:22"},{"id":151,"name":"Denver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7" s="50" t="s">
        <v>830</v>
      </c>
      <c r="AA17" s="50" t="s">
        <v>125</v>
      </c>
      <c r="AB17" s="50" t="s">
        <v>138</v>
      </c>
      <c r="AC17" s="134" t="str">
        <f t="shared" si="7"/>
        <v>grep -hSE -A400 "Enforcement Action" "%USERPROFILE%\AppData\Local\Temp\OnboardLogs"\RTDC4003\*4003*201701011*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"%USERPROFILE%\AppData\Local\Temp\OnboardLogs"\RTDC4003\*4003*201701011* &gt;&gt; 42736-slicedisagreementcheck.txt</v>
      </c>
      <c r="AE17" s="183" t="str">
        <f t="shared" si="8"/>
        <v>start /low /b %USERPROFILE%\Documents\GitHub\eaglep3\Utilities\DownloadLogsFromS3.py --loco 4003 --day 2017-01-01</v>
      </c>
    </row>
    <row r="18" spans="1:32" s="1" customFormat="1" x14ac:dyDescent="0.25">
      <c r="A18" s="33">
        <v>42736.66306712963</v>
      </c>
      <c r="B18" s="31" t="s">
        <v>262</v>
      </c>
      <c r="C18" s="31" t="s">
        <v>451</v>
      </c>
      <c r="D18" s="31" t="s">
        <v>49</v>
      </c>
      <c r="E18" s="31" t="s">
        <v>198</v>
      </c>
      <c r="F18" s="44">
        <v>0</v>
      </c>
      <c r="G18" s="44">
        <v>798</v>
      </c>
      <c r="H18" s="44">
        <v>146615</v>
      </c>
      <c r="I18" s="44">
        <v>150178</v>
      </c>
      <c r="J18" s="31" t="s">
        <v>199</v>
      </c>
      <c r="K18" s="44">
        <v>149694</v>
      </c>
      <c r="L18" s="150" t="s">
        <v>50</v>
      </c>
      <c r="M18" s="151">
        <f t="shared" si="0"/>
        <v>-255.55199999999999</v>
      </c>
      <c r="N18" s="152" t="str">
        <f>VLOOKUP(C18,'Trips&amp;Operators'!$C$1:$G$99999,5,FALSE)</f>
        <v>LOPES KIMBERLY</v>
      </c>
      <c r="O18" s="179" t="s">
        <v>227</v>
      </c>
      <c r="P18" s="153" t="s">
        <v>822</v>
      </c>
      <c r="Q18" s="31"/>
      <c r="R18" s="96" t="str">
        <f>VLOOKUP(C18,'Train Runs'!$A$13:$AE$9963,31,0)</f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S18" s="99" t="str">
        <f>VLOOKUP(C18,'Train Runs'!$A$13:$AE$9963,22,0)</f>
        <v>https://search-rtdc-monitor-bjffxe2xuh6vdkpspy63sjmuny.us-east-1.es.amazonaws.com/_plugin/kibana/#/discover/Steve-Slow-Train-Analysis-(2080s-and-2083s)?_g=(refreshInterval:(display:Off,section:0,value:0),time:(from:'2017-01-01 14:23:55-700',mode:absolute,to:'2017-01-01 17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8" s="101" t="str">
        <f t="shared" si="1"/>
        <v>"C:\Program Files (x86)\AstroGrep\AstroGrep.exe" /spath="%USERPROFILE%\AppData\Local\Temp\OnboardLogs" /stypes="*4003*201701012*" /stext=" 22:.+((SYSTEM_STATE.+slice.+state.+changed )|(ment ac)|(multiple cpu faults)|(system.+state.+changed )|(\[timeout)|(PRM\|1\|D)|(kpr)|(kdp)|(\|lc)|(penalty))" /e /r /s</v>
      </c>
      <c r="U18" s="9" t="str">
        <f t="shared" si="2"/>
        <v>4003</v>
      </c>
      <c r="V18" s="33">
        <f t="shared" si="3"/>
        <v>42736.954733796294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{"issue":{"subject":"Wi-MAX data drop","project_id":79,"tracker_id":40,"status_id":1,"priority_id":2,"assigned_to_id":23,"start_date":"2017-01-01","description":"http://stevetu21.github.io/eaglep3/load_kml.html?kml=http://rtdc.gmaps-snips.s3.amazonaws.com/765e3041-fb6e-4c81-aab1-b1664c192bfe.kml","custom_fields":[{"id":1,"name":"Subdivision","value":"EC"},{"id":4,"name":"Milepost","value":"14.9694"},{"id":17,"name":"Train ID","value":"195-01"},{"id":16,"name":"Locomotive ID","value":"4003"},{"id":130,"name":"Impact","value":"Enforcement"},{"id":150,"name":"Time of Event (Mountain Time)","value":"15:54:49"},{"id":151,"name":"Denver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8" s="21" t="s">
        <v>831</v>
      </c>
      <c r="AA18" s="50" t="s">
        <v>125</v>
      </c>
      <c r="AB18" s="50" t="s">
        <v>138</v>
      </c>
      <c r="AC18" s="134" t="str">
        <f t="shared" si="7"/>
        <v>grep -hSE -A400 "Enforcement Action" "%USERPROFILE%\AppData\Local\Temp\OnboardLogs"\RTDC4003\*4003*201701012*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"%USERPROFILE%\AppData\Local\Temp\OnboardLogs"\RTDC4003\*4003*201701012* &gt;&gt; 42736-slicedisagreementcheck.txt</v>
      </c>
      <c r="AE18" s="183" t="str">
        <f t="shared" si="8"/>
        <v>start /low /b %USERPROFILE%\Documents\GitHub\eaglep3\Utilities\DownloadLogsFromS3.py --loco 4003 --day 2017-01-01</v>
      </c>
    </row>
    <row r="19" spans="1:32" s="1" customFormat="1" x14ac:dyDescent="0.25">
      <c r="A19" s="33">
        <v>42736.736446759256</v>
      </c>
      <c r="B19" s="31" t="s">
        <v>262</v>
      </c>
      <c r="C19" s="31" t="s">
        <v>458</v>
      </c>
      <c r="D19" s="31" t="s">
        <v>49</v>
      </c>
      <c r="E19" s="31" t="s">
        <v>198</v>
      </c>
      <c r="F19" s="44">
        <v>0</v>
      </c>
      <c r="G19" s="44">
        <v>793</v>
      </c>
      <c r="H19" s="44">
        <v>147313</v>
      </c>
      <c r="I19" s="44">
        <v>151085</v>
      </c>
      <c r="J19" s="31" t="s">
        <v>199</v>
      </c>
      <c r="K19" s="44">
        <v>149694</v>
      </c>
      <c r="L19" s="150" t="s">
        <v>50</v>
      </c>
      <c r="M19" s="151">
        <f t="shared" si="0"/>
        <v>-734.44799999999998</v>
      </c>
      <c r="N19" s="152" t="str">
        <f>VLOOKUP(C19,'Trips&amp;Operators'!$C$1:$G$99999,5,FALSE)</f>
        <v>CHANDLER KELVIN</v>
      </c>
      <c r="O19" s="179" t="s">
        <v>227</v>
      </c>
      <c r="P19" s="153" t="s">
        <v>822</v>
      </c>
      <c r="Q19" s="31"/>
      <c r="R19" s="96" t="str">
        <f>VLOOKUP(C19,'Train Runs'!$A$13:$AE$9963,31,0)</f>
        <v>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 &amp; aws s3 cp s3://rtdc.mdm.uploadarchive.raw/RTDC4003/ "%USERPROFILE%\AppData\Local\Temp\OnboardLogs"\RTDC4003\2017-01-02 --exclude "*" --recursive --include "*20170102*" &amp; "%USERPROFILE%\Documents\GitHub\mrs-test-scripts\Headless Mode &amp; Sideloading\WalkAndUnGZ.bat" "%USERPROFILE%\AppData\Local\Temp\OnboardLogs"\RTDC4003\2017-01-02</v>
      </c>
      <c r="S19" s="99" t="str">
        <f>VLOOKUP(C19,'Train Runs'!$A$13:$AE$9963,22,0)</f>
        <v>https://search-rtdc-monitor-bjffxe2xuh6vdkpspy63sjmuny.us-east-1.es.amazonaws.com/_plugin/kibana/#/discover/Steve-Slow-Train-Analysis-(2080s-and-2083s)?_g=(refreshInterval:(display:Off,section:0,value:0),time:(from:'2017-01-01 16:11:42-700',mode:absolute,to:'2017-01-01 18:53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9" s="101" t="str">
        <f t="shared" si="1"/>
        <v>"C:\Program Files (x86)\AstroGrep\AstroGrep.exe" /spath="%USERPROFILE%\AppData\Local\Temp\OnboardLogs" /stypes="*4003*201701020*" /stext=" 00:.+((SYSTEM_STATE.+slice.+state.+changed )|(ment ac)|(multiple cpu faults)|(system.+state.+changed )|(\[timeout)|(PRM\|1\|D)|(kpr)|(kdp)|(\|lc)|(penalty))" /e /r /s</v>
      </c>
      <c r="U19" s="9" t="str">
        <f t="shared" si="2"/>
        <v>4003</v>
      </c>
      <c r="V19" s="33">
        <f t="shared" si="3"/>
        <v>42737.02811342592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{"issue":{"subject":"Wi-MAX data drop","project_id":79,"tracker_id":40,"status_id":1,"priority_id":2,"assigned_to_id":23,"start_date":"2017-01-01","description":"http://stevetu21.github.io/eaglep3/load_kml.html?kml=http://rtdc.gmaps-snips.s3.amazonaws.com/765e3041-fb6e-4c81-aab1-b1664c192bfe.kml","custom_fields":[{"id":1,"name":"Subdivision","value":"EC"},{"id":4,"name":"Milepost","value":"14.9694"},{"id":17,"name":"Train ID","value":"209-01"},{"id":16,"name":"Locomotive ID","value":"4003"},{"id":130,"name":"Impact","value":"Enforcement"},{"id":150,"name":"Time of Event (Mountain Time)","value":"17:40:29"},{"id":151,"name":"Denver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9" s="21" t="s">
        <v>831</v>
      </c>
      <c r="AA19" s="50" t="s">
        <v>125</v>
      </c>
      <c r="AB19" s="50" t="s">
        <v>138</v>
      </c>
      <c r="AC19" s="134" t="str">
        <f t="shared" si="7"/>
        <v>grep -hSE -A400 "Enforcement Action" "%USERPROFILE%\AppData\Local\Temp\OnboardLogs"\RTDC4003\*4003*201701020*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"%USERPROFILE%\AppData\Local\Temp\OnboardLogs"\RTDC4003\*4003*201701020* &gt;&gt; 42736-slicedisagreementcheck.txt</v>
      </c>
      <c r="AE19" s="183" t="str">
        <f t="shared" si="8"/>
        <v>start /low /b %USERPROFILE%\Documents\GitHub\eaglep3\Utilities\DownloadLogsFromS3.py --loco 4003 --day 2017-01-02</v>
      </c>
    </row>
    <row r="20" spans="1:32" x14ac:dyDescent="0.25">
      <c r="A20" s="33">
        <v>42736.687152777777</v>
      </c>
      <c r="B20" s="31" t="s">
        <v>431</v>
      </c>
      <c r="C20" s="31" t="s">
        <v>453</v>
      </c>
      <c r="D20" s="31" t="s">
        <v>98</v>
      </c>
      <c r="E20" s="31" t="s">
        <v>454</v>
      </c>
      <c r="F20" s="44">
        <v>0</v>
      </c>
      <c r="G20" s="44">
        <v>678</v>
      </c>
      <c r="H20" s="44">
        <v>104745</v>
      </c>
      <c r="I20" s="44">
        <v>101638</v>
      </c>
      <c r="J20" s="31" t="s">
        <v>455</v>
      </c>
      <c r="K20" s="44">
        <v>104776</v>
      </c>
      <c r="L20" s="150" t="s">
        <v>51</v>
      </c>
      <c r="M20" s="151">
        <f t="shared" si="0"/>
        <v>-1656.864</v>
      </c>
      <c r="N20" s="152" t="str">
        <f>VLOOKUP(C20,'Trips&amp;Operators'!$C$1:$G$99999,5,FALSE)</f>
        <v>BRUDER RICHARD</v>
      </c>
      <c r="O20" s="179" t="s">
        <v>227</v>
      </c>
      <c r="P20" s="153" t="s">
        <v>822</v>
      </c>
      <c r="Q20" s="31"/>
      <c r="R20" s="96" t="str">
        <f>VLOOKUP(C20,'Train Runs'!$A$13:$AE$9963,31,0)</f>
        <v>aws s3 cp s3://rtdc.mdm.uploadarchive.raw/RTDC4008/ "%USERPROFILE%\AppData\Local\Temp\OnboardLogs"\RTDC4008\2017-01-01 --exclude "*" --recursive --include "*20170101*" &amp; "%USERPROFILE%\Documents\GitHub\mrs-test-scripts\Headless Mode &amp; Sideloading\WalkAndUnGZ.bat" "%USERPROFILE%\AppData\Local\Temp\OnboardLogs"\RTDC4008\2017-01-01 &amp; 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</v>
      </c>
      <c r="S20" s="99" t="str">
        <f>VLOOKUP(C20,'Train Runs'!$A$13:$AE$9963,22,0)</f>
        <v>https://search-rtdc-monitor-bjffxe2xuh6vdkpspy63sjmuny.us-east-1.es.amazonaws.com/_plugin/kibana/#/discover/Steve-Slow-Train-Analysis-(2080s-and-2083s)?_g=(refreshInterval:(display:Off,section:0,value:0),time:(from:'2017-01-01 15:06:10-700',mode:absolute,to:'2017-01-01 17:51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0" s="101" t="str">
        <f t="shared" si="1"/>
        <v>"C:\Program Files (x86)\AstroGrep\AstroGrep.exe" /spath="%USERPROFILE%\AppData\Local\Temp\OnboardLogs" /stypes="*4008*201701012*" /stext=" 23:.+((SYSTEM_STATE.+slice.+state.+changed )|(ment ac)|(multiple cpu faults)|(system.+state.+changed )|(\[timeout)|(PRM\|1\|D)|(kpr)|(kdp)|(\|lc)|(penalty))" /e /r /s</v>
      </c>
      <c r="U20" s="9" t="str">
        <f t="shared" si="2"/>
        <v>4008</v>
      </c>
      <c r="V20" s="33">
        <f t="shared" si="3"/>
        <v>42736.978819444441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{"issue":{"subject":"Wi-MAX data drop","project_id":79,"tracker_id":40,"status_id":1,"priority_id":2,"assigned_to_id":23,"start_date":"2017-01-01","description":"","custom_fields":[{"id":1,"name":"Subdivision","value":"EC"},{"id":4,"name":"Milepost","value":"10.4776"},{"id":17,"name":"Train ID","value":"194-01"},{"id":16,"name":"Locomotive ID","value":"4008"},{"id":130,"name":"Impact","value":""},{"id":150,"name":"Time of Event (Mountain Time)","value":"16:29:30"},{"id":151,"name":"Denver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"%USERPROFILE%\AppData\Local\Temp\OnboardLogs"\RTDC4008\*4008*201701012*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"%USERPROFILE%\AppData\Local\Temp\OnboardLogs"\RTDC4008\*4008*201701012* &gt;&gt; 42736-slicedisagreementcheck.txt</v>
      </c>
      <c r="AE20" s="183" t="str">
        <f t="shared" si="8"/>
        <v>start /low /b %USERPROFILE%\Documents\GitHub\eaglep3\Utilities\DownloadLogsFromS3.py --loco 4008 --day 2017-01-01</v>
      </c>
      <c r="AF20" s="1"/>
    </row>
    <row r="21" spans="1:32" x14ac:dyDescent="0.25">
      <c r="A21" s="33">
        <v>42736.930590277778</v>
      </c>
      <c r="B21" s="31" t="s">
        <v>183</v>
      </c>
      <c r="C21" s="31" t="s">
        <v>465</v>
      </c>
      <c r="D21" s="31" t="s">
        <v>49</v>
      </c>
      <c r="E21" s="31" t="s">
        <v>454</v>
      </c>
      <c r="F21" s="44">
        <v>0</v>
      </c>
      <c r="G21" s="44">
        <v>783</v>
      </c>
      <c r="H21" s="44">
        <v>106512</v>
      </c>
      <c r="I21" s="44">
        <v>110321</v>
      </c>
      <c r="J21" s="31" t="s">
        <v>455</v>
      </c>
      <c r="K21" s="44">
        <v>107939</v>
      </c>
      <c r="L21" s="150" t="s">
        <v>50</v>
      </c>
      <c r="M21" s="151">
        <f t="shared" si="0"/>
        <v>-1257.6959999999999</v>
      </c>
      <c r="N21" s="152" t="str">
        <f>VLOOKUP(C21,'Trips&amp;Operators'!$C$1:$G$99999,5,FALSE)</f>
        <v>SMITH MICHAEL</v>
      </c>
      <c r="O21" s="179" t="s">
        <v>227</v>
      </c>
      <c r="P21" s="153" t="s">
        <v>822</v>
      </c>
      <c r="Q21" s="31"/>
      <c r="R21" s="96" t="str">
        <f>VLOOKUP(C21,'Train Runs'!$A$13:$AE$9963,31,0)</f>
        <v>aws s3 cp s3://rtdc.mdm.uploadarchive.raw/RTDC4009/ "%USERPROFILE%\AppData\Local\Temp\OnboardLogs"\RTDC4009\2017-01-01 --exclude "*" --recursive --include "*20170101*" &amp; "%USERPROFILE%\Documents\GitHub\mrs-test-scripts\Headless Mode &amp; Sideloading\WalkAndUnGZ.bat" "%USERPROFILE%\AppData\Local\Temp\OnboardLogs"\RTDC4009\2017-01-01 &amp; aws s3 cp s3://rtdc.mdm.uploadarchive.raw/RTDC4009/ "%USERPROFILE%\AppData\Local\Temp\OnboardLogs"\RTDC4009\2017-01-02 --exclude "*" --recursive --include "*20170102*" &amp; "%USERPROFILE%\Documents\GitHub\mrs-test-scripts\Headless Mode &amp; Sideloading\WalkAndUnGZ.bat" "%USERPROFILE%\AppData\Local\Temp\OnboardLogs"\RTDC4009\2017-01-02</v>
      </c>
      <c r="S21" s="99" t="str">
        <f>VLOOKUP(C21,'Train Runs'!$A$13:$AE$9963,22,0)</f>
        <v>https://search-rtdc-monitor-bjffxe2xuh6vdkpspy63sjmuny.us-east-1.es.amazonaws.com/_plugin/kibana/#/discover/Steve-Slow-Train-Analysis-(2080s-and-2083s)?_g=(refreshInterval:(display:Off,section:0,value:0),time:(from:'2017-01-01 21:28:12-700',mode:absolute,to:'2017-01-01 23:43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1" s="101" t="str">
        <f t="shared" si="1"/>
        <v>"C:\Program Files (x86)\AstroGrep\AstroGrep.exe" /spath="%USERPROFILE%\AppData\Local\Temp\OnboardLogs" /stypes="*4009*201701020*" /stext=" 05:.+((SYSTEM_STATE.+slice.+state.+changed )|(ment ac)|(multiple cpu faults)|(system.+state.+changed )|(\[timeout)|(PRM\|1\|D)|(kpr)|(kdp)|(\|lc)|(penalty))" /e /r /s</v>
      </c>
      <c r="U21" s="9" t="str">
        <f t="shared" si="2"/>
        <v>4009</v>
      </c>
      <c r="V21" s="33">
        <f t="shared" si="3"/>
        <v>42737.222256944442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{"issue":{"subject":"Wi-MAX data drop","project_id":79,"tracker_id":40,"status_id":1,"priority_id":2,"assigned_to_id":23,"start_date":"2017-01-01","description":"http://stevetu21.github.io/eaglep3/load_kml.html?kml=http://rtdc.gmaps-snips.s3.amazonaws.com/1065b4d9-8cfa-4750-8b45-b01c1d41f1ba.kml","custom_fields":[{"id":1,"name":"Subdivision","value":"EC"},{"id":4,"name":"Milepost","value":"10.7939"},{"id":17,"name":"Train ID","value":"233-01"},{"id":16,"name":"Locomotive ID","value":"4009"},{"id":130,"name":"Impact","value":"Enforcement"},{"id":150,"name":"Time of Event (Mountain Time)","value":"22:20:03"},{"id":151,"name":"Denver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s="189" t="s">
        <v>824</v>
      </c>
      <c r="AA21" s="50" t="s">
        <v>125</v>
      </c>
      <c r="AB21" s="50" t="s">
        <v>138</v>
      </c>
      <c r="AC21" s="134" t="str">
        <f t="shared" si="7"/>
        <v>grep -hSE -A400 "Enforcement Action" "%USERPROFILE%\AppData\Local\Temp\OnboardLogs"\RTDC4009\*4009*201701020*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"%USERPROFILE%\AppData\Local\Temp\OnboardLogs"\RTDC4009\*4009*201701020* &gt;&gt; 42736-slicedisagreementcheck.txt</v>
      </c>
      <c r="AE21" s="183" t="str">
        <f t="shared" si="8"/>
        <v>start /low /b %USERPROFILE%\Documents\GitHub\eaglep3\Utilities\DownloadLogsFromS3.py --loco 4009 --day 2017-01-02</v>
      </c>
      <c r="AF21" s="1"/>
    </row>
    <row r="22" spans="1:32" ht="15" customHeight="1" x14ac:dyDescent="0.25">
      <c r="A22" s="33">
        <v>42736.447337962964</v>
      </c>
      <c r="B22" s="31" t="s">
        <v>225</v>
      </c>
      <c r="C22" s="31" t="s">
        <v>444</v>
      </c>
      <c r="D22" s="31" t="s">
        <v>98</v>
      </c>
      <c r="E22" s="31" t="s">
        <v>372</v>
      </c>
      <c r="F22" s="44">
        <v>150</v>
      </c>
      <c r="G22" s="44">
        <v>205</v>
      </c>
      <c r="H22" s="44">
        <v>63634</v>
      </c>
      <c r="I22" s="44">
        <v>64102</v>
      </c>
      <c r="J22" s="31" t="s">
        <v>244</v>
      </c>
      <c r="K22" s="44">
        <v>62999</v>
      </c>
      <c r="L22" s="150" t="s">
        <v>50</v>
      </c>
      <c r="M22" s="151">
        <f t="shared" si="0"/>
        <v>-582.38400000000001</v>
      </c>
      <c r="N22" s="152" t="str">
        <f>VLOOKUP(C22,'Trips&amp;Operators'!$C$1:$G$99999,5,FALSE)</f>
        <v>ADANE ELSHADAY</v>
      </c>
      <c r="O22" s="179" t="s">
        <v>195</v>
      </c>
      <c r="P22" s="153"/>
      <c r="Q22" s="31"/>
      <c r="R22" s="96" t="str">
        <f>VLOOKUP(C22,'Train Runs'!$A$13:$AE$9963,31,0)</f>
        <v>aws s3 cp s3://rtdc.mdm.uploadarchive.raw/RTDC4014/ "%USERPROFILE%\AppData\Local\Temp\OnboardLogs"\RTDC4014\2017-01-01 --exclude "*" --recursive --include "*20170101*" &amp; "%USERPROFILE%\Documents\GitHub\mrs-test-scripts\Headless Mode &amp; Sideloading\WalkAndUnGZ.bat" "%USERPROFILE%\AppData\Local\Temp\OnboardLogs"\RTDC4014\2017-01-01 &amp; 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</v>
      </c>
      <c r="S22" s="99" t="str">
        <f>VLOOKUP(C22,'Train Runs'!$A$13:$AE$9963,22,0)</f>
        <v>https://search-rtdc-monitor-bjffxe2xuh6vdkpspy63sjmuny.us-east-1.es.amazonaws.com/_plugin/kibana/#/discover/Steve-Slow-Train-Analysis-(2080s-and-2083s)?_g=(refreshInterval:(display:Off,section:0,value:0),time:(from:'2017-01-01 09:25:42-700',mode:absolute,to:'2017-01-01 12:07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2" s="101" t="str">
        <f t="shared" si="1"/>
        <v>"C:\Program Files (x86)\AstroGrep\AstroGrep.exe" /spath="%USERPROFILE%\AppData\Local\Temp\OnboardLogs" /stypes="*4014*201701011*" /stext=" 17:.+((SYSTEM_STATE.+slice.+state.+changed )|(ment ac)|(multiple cpu faults)|(system.+state.+changed )|(\[timeout)|(PRM\|1\|D)|(kpr)|(kdp)|(\|lc)|(penalty))" /e /r /s</v>
      </c>
      <c r="U22" s="9" t="str">
        <f t="shared" si="2"/>
        <v>4014</v>
      </c>
      <c r="V22" s="33">
        <f t="shared" si="3"/>
        <v>42736.739004629628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{"issue":{"subject":"","project_id":79,"tracker_id":40,"status_id":1,"priority_id":2,"assigned_to_id":23,"start_date":"2017-01-01","description":"","custom_fields":[{"id":1,"name":"Subdivision","value":"EC"},{"id":4,"name":"Milepost","value":"6.2999"},{"id":17,"name":"Train ID","value":"155-01"},{"id":16,"name":"Locomotive ID","value":"4014"},{"id":130,"name":"Impact","value":""},{"id":150,"name":"Time of Event (Mountain Time)","value":"10:44:10"},{"id":151,"name":"Denver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"%USERPROFILE%\AppData\Local\Temp\OnboardLogs"\RTDC4014\*4014*201701011*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"%USERPROFILE%\AppData\Local\Temp\OnboardLogs"\RTDC4014\*4014*201701011* &gt;&gt; 42736-slicedisagreementcheck.txt</v>
      </c>
      <c r="AE22" s="183" t="str">
        <f t="shared" si="8"/>
        <v>start /low /b %USERPROFILE%\Documents\GitHub\eaglep3\Utilities\DownloadLogsFromS3.py --loco 4014 --day 2017-01-01</v>
      </c>
      <c r="AF22" s="1"/>
    </row>
    <row r="23" spans="1:32" x14ac:dyDescent="0.25">
      <c r="A23" s="33">
        <v>42736.32739583333</v>
      </c>
      <c r="B23" s="31" t="s">
        <v>431</v>
      </c>
      <c r="C23" s="31" t="s">
        <v>437</v>
      </c>
      <c r="D23" s="31" t="s">
        <v>49</v>
      </c>
      <c r="E23" s="31" t="s">
        <v>372</v>
      </c>
      <c r="F23" s="44">
        <v>150</v>
      </c>
      <c r="G23" s="44">
        <v>202</v>
      </c>
      <c r="H23" s="44">
        <v>63882</v>
      </c>
      <c r="I23" s="44">
        <v>63452</v>
      </c>
      <c r="J23" s="31" t="s">
        <v>244</v>
      </c>
      <c r="K23" s="44">
        <v>63300</v>
      </c>
      <c r="L23" s="150" t="s">
        <v>51</v>
      </c>
      <c r="M23" s="151">
        <f t="shared" si="0"/>
        <v>80.256</v>
      </c>
      <c r="N23" s="152" t="str">
        <f>VLOOKUP(C23,'Trips&amp;Operators'!$C$1:$G$99999,5,FALSE)</f>
        <v>ROBINSON KADDIBA</v>
      </c>
      <c r="O23" s="179" t="s">
        <v>195</v>
      </c>
      <c r="P23" s="153"/>
      <c r="Q23" s="31"/>
      <c r="R23" s="96" t="str">
        <f>VLOOKUP(C23,'Train Runs'!$A$13:$AE$9963,31,0)</f>
        <v>aws s3 cp s3://rtdc.mdm.uploadarchive.raw/RTDC4008/ "%USERPROFILE%\AppData\Local\Temp\OnboardLogs"\RTDC4008\2017-01-01 --exclude "*" --recursive --include "*20170101*" &amp; "%USERPROFILE%\Documents\GitHub\mrs-test-scripts\Headless Mode &amp; Sideloading\WalkAndUnGZ.bat" "%USERPROFILE%\AppData\Local\Temp\OnboardLogs"\RTDC4008\2017-01-01 &amp; 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</v>
      </c>
      <c r="S23" s="99" t="str">
        <f>VLOOKUP(C23,'Train Runs'!$A$13:$AE$9963,22,0)</f>
        <v>https://search-rtdc-monitor-bjffxe2xuh6vdkpspy63sjmuny.us-east-1.es.amazonaws.com/_plugin/kibana/#/discover/Steve-Slow-Train-Analysis-(2080s-and-2083s)?_g=(refreshInterval:(display:Off,section:0,value:0),time:(from:'2017-01-01 06:14:48-700',mode:absolute,to:'2017-01-01 09:09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3" s="101" t="str">
        <f t="shared" si="1"/>
        <v>"C:\Program Files (x86)\AstroGrep\AstroGrep.exe" /spath="%USERPROFILE%\AppData\Local\Temp\OnboardLogs" /stypes="*4008*201701011*" /stext=" 14:.+((SYSTEM_STATE.+slice.+state.+changed )|(ment ac)|(multiple cpu faults)|(system.+state.+changed )|(\[timeout)|(PRM\|1\|D)|(kpr)|(kdp)|(\|lc)|(penalty))" /e /r /s</v>
      </c>
      <c r="U23" s="9" t="str">
        <f t="shared" si="2"/>
        <v>4008</v>
      </c>
      <c r="V23" s="33">
        <f t="shared" si="3"/>
        <v>42736.619062499994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{"issue":{"subject":"","project_id":79,"tracker_id":40,"status_id":1,"priority_id":2,"assigned_to_id":23,"start_date":"2017-01-01","description":"","custom_fields":[{"id":1,"name":"Subdivision","value":"EC"},{"id":4,"name":"Milepost","value":"6.33"},{"id":17,"name":"Train ID","value":"124-01"},{"id":16,"name":"Locomotive ID","value":"4008"},{"id":130,"name":"Impact","value":""},{"id":150,"name":"Time of Event (Mountain Time)","value":"07:51:27"},{"id":151,"name":"Denver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"%USERPROFILE%\AppData\Local\Temp\OnboardLogs"\RTDC4008\*4008*201701011*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"%USERPROFILE%\AppData\Local\Temp\OnboardLogs"\RTDC4008\*4008*201701011* &gt;&gt; 42736-slicedisagreementcheck.txt</v>
      </c>
      <c r="AE23" s="183" t="str">
        <f t="shared" si="8"/>
        <v>start /low /b %USERPROFILE%\Documents\GitHub\eaglep3\Utilities\DownloadLogsFromS3.py --loco 4008 --day 2017-01-01</v>
      </c>
      <c r="AF23" s="1"/>
    </row>
    <row r="24" spans="1:32" x14ac:dyDescent="0.25">
      <c r="A24" s="33">
        <v>42736.389363425929</v>
      </c>
      <c r="B24" s="31" t="s">
        <v>440</v>
      </c>
      <c r="C24" s="31" t="s">
        <v>441</v>
      </c>
      <c r="D24" s="31" t="s">
        <v>49</v>
      </c>
      <c r="E24" s="31" t="s">
        <v>372</v>
      </c>
      <c r="F24" s="44">
        <v>150</v>
      </c>
      <c r="G24" s="44">
        <v>207</v>
      </c>
      <c r="H24" s="44">
        <v>63659</v>
      </c>
      <c r="I24" s="44">
        <v>63357</v>
      </c>
      <c r="J24" s="31" t="s">
        <v>244</v>
      </c>
      <c r="K24" s="44">
        <v>63300</v>
      </c>
      <c r="L24" s="150" t="s">
        <v>51</v>
      </c>
      <c r="M24" s="151">
        <f t="shared" si="0"/>
        <v>30.096</v>
      </c>
      <c r="N24" s="152" t="str">
        <f>VLOOKUP(C24,'Trips&amp;Operators'!$C$1:$G$99999,5,FALSE)</f>
        <v>DAVIS WENDY</v>
      </c>
      <c r="O24" s="179" t="s">
        <v>195</v>
      </c>
      <c r="P24" s="153"/>
      <c r="Q24" s="31"/>
      <c r="R24" s="96" t="str">
        <f>VLOOKUP(C24,'Train Runs'!$A$13:$AE$9963,31,0)</f>
        <v>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 &amp; 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</v>
      </c>
      <c r="S24" s="99" t="str">
        <f>VLOOKUP(C24,'Train Runs'!$A$13:$AE$9963,22,0)</f>
        <v>https://search-rtdc-monitor-bjffxe2xuh6vdkpspy63sjmuny.us-east-1.es.amazonaws.com/_plugin/kibana/#/discover/Steve-Slow-Train-Analysis-(2080s-and-2083s)?_g=(refreshInterval:(display:Off,section:0,value:0),time:(from:'2017-01-01 07:50:59-700',mode:absolute,to:'2017-01-01 10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4" s="101" t="str">
        <f t="shared" si="1"/>
        <v>"C:\Program Files (x86)\AstroGrep\AstroGrep.exe" /spath="%USERPROFILE%\AppData\Local\Temp\OnboardLogs" /stypes="*4021*201701011*" /stext=" 16:.+((SYSTEM_STATE.+slice.+state.+changed )|(ment ac)|(multiple cpu faults)|(system.+state.+changed )|(\[timeout)|(PRM\|1\|D)|(kpr)|(kdp)|(\|lc)|(penalty))" /e /r /s</v>
      </c>
      <c r="U24" s="9" t="str">
        <f t="shared" si="2"/>
        <v>4021</v>
      </c>
      <c r="V24" s="33">
        <f t="shared" si="3"/>
        <v>42736.681030092594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{"issue":{"subject":"","project_id":79,"tracker_id":40,"status_id":1,"priority_id":2,"assigned_to_id":23,"start_date":"2017-01-01","description":"","custom_fields":[{"id":1,"name":"Subdivision","value":"EC"},{"id":4,"name":"Milepost","value":"6.33"},{"id":17,"name":"Train ID","value":"136-01"},{"id":16,"name":"Locomotive ID","value":"4021"},{"id":130,"name":"Impact","value":""},{"id":150,"name":"Time of Event (Mountain Time)","value":"09:20:41"},{"id":151,"name":"Denver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"%USERPROFILE%\AppData\Local\Temp\OnboardLogs"\RTDC4021\*4021*201701011*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"%USERPROFILE%\AppData\Local\Temp\OnboardLogs"\RTDC4021\*4021*201701011* &gt;&gt; 42736-slicedisagreementcheck.txt</v>
      </c>
      <c r="AE24" s="183" t="str">
        <f t="shared" si="8"/>
        <v>start /low /b %USERPROFILE%\Documents\GitHub\eaglep3\Utilities\DownloadLogsFromS3.py --loco 4021 --day 2017-01-01</v>
      </c>
      <c r="AF24" s="1"/>
    </row>
    <row r="25" spans="1:32" x14ac:dyDescent="0.25">
      <c r="A25" s="33">
        <v>42736.441863425927</v>
      </c>
      <c r="B25" s="31" t="s">
        <v>344</v>
      </c>
      <c r="C25" s="31" t="s">
        <v>443</v>
      </c>
      <c r="D25" s="31" t="s">
        <v>49</v>
      </c>
      <c r="E25" s="31" t="s">
        <v>372</v>
      </c>
      <c r="F25" s="44">
        <v>150</v>
      </c>
      <c r="G25" s="44">
        <v>200</v>
      </c>
      <c r="H25" s="44">
        <v>63677</v>
      </c>
      <c r="I25" s="44">
        <v>63335</v>
      </c>
      <c r="J25" s="31" t="s">
        <v>244</v>
      </c>
      <c r="K25" s="44">
        <v>63300</v>
      </c>
      <c r="L25" s="150" t="s">
        <v>51</v>
      </c>
      <c r="M25" s="151">
        <f t="shared" si="0"/>
        <v>18.48</v>
      </c>
      <c r="N25" s="152" t="str">
        <f>VLOOKUP(C25,'Trips&amp;Operators'!$C$1:$G$99999,5,FALSE)</f>
        <v>MAELZER KURT</v>
      </c>
      <c r="O25" s="179" t="s">
        <v>195</v>
      </c>
      <c r="P25" s="153"/>
      <c r="Q25" s="31"/>
      <c r="R25" s="96" t="str">
        <f>VLOOKUP(C25,'Train Runs'!$A$13:$AE$9963,31,0)</f>
        <v>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 &amp; 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</v>
      </c>
      <c r="S25" s="99" t="str">
        <f>VLOOKUP(C25,'Train Runs'!$A$13:$AE$9963,22,0)</f>
        <v>https://search-rtdc-monitor-bjffxe2xuh6vdkpspy63sjmuny.us-east-1.es.amazonaws.com/_plugin/kibana/#/discover/Steve-Slow-Train-Analysis-(2080s-and-2083s)?_g=(refreshInterval:(display:Off,section:0,value:0),time:(from:'2017-01-01 09:05:30-700',mode:absolute,to:'2017-01-01 11:51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5" s="101" t="str">
        <f t="shared" si="1"/>
        <v>"C:\Program Files (x86)\AstroGrep\AstroGrep.exe" /spath="%USERPROFILE%\AppData\Local\Temp\OnboardLogs" /stypes="*4041*201701011*" /stext=" 17:.+((SYSTEM_STATE.+slice.+state.+changed )|(ment ac)|(multiple cpu faults)|(system.+state.+changed )|(\[timeout)|(PRM\|1\|D)|(kpr)|(kdp)|(\|lc)|(penalty))" /e /r /s</v>
      </c>
      <c r="U25" s="9" t="str">
        <f t="shared" si="2"/>
        <v>4041</v>
      </c>
      <c r="V25" s="33">
        <f t="shared" si="3"/>
        <v>42736.733530092592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{"issue":{"subject":"","project_id":79,"tracker_id":40,"status_id":1,"priority_id":2,"assigned_to_id":23,"start_date":"2017-01-01","description":"","custom_fields":[{"id":1,"name":"Subdivision","value":"EC"},{"id":4,"name":"Milepost","value":"6.33"},{"id":17,"name":"Train ID","value":"146-01"},{"id":16,"name":"Locomotive ID","value":"4041"},{"id":130,"name":"Impact","value":""},{"id":150,"name":"Time of Event (Mountain Time)","value":"10:36:17"},{"id":151,"name":"Denver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"%USERPROFILE%\AppData\Local\Temp\OnboardLogs"\RTDC4041\*4041*201701011*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"%USERPROFILE%\AppData\Local\Temp\OnboardLogs"\RTDC4041\*4041*201701011* &gt;&gt; 42736-slicedisagreementcheck.txt</v>
      </c>
      <c r="AE25" s="183" t="str">
        <f t="shared" si="8"/>
        <v>start /low /b %USERPROFILE%\Documents\GitHub\eaglep3\Utilities\DownloadLogsFromS3.py --loco 4041 --day 2017-01-01</v>
      </c>
      <c r="AF25" s="1"/>
    </row>
    <row r="26" spans="1:32" x14ac:dyDescent="0.25">
      <c r="A26" s="33">
        <v>42736.472905092596</v>
      </c>
      <c r="B26" s="31" t="s">
        <v>431</v>
      </c>
      <c r="C26" s="31" t="s">
        <v>445</v>
      </c>
      <c r="D26" s="31" t="s">
        <v>98</v>
      </c>
      <c r="E26" s="31" t="s">
        <v>372</v>
      </c>
      <c r="F26" s="44">
        <v>150</v>
      </c>
      <c r="G26" s="44">
        <v>200</v>
      </c>
      <c r="H26" s="44">
        <v>63044</v>
      </c>
      <c r="I26" s="44">
        <v>62649</v>
      </c>
      <c r="J26" s="31" t="s">
        <v>244</v>
      </c>
      <c r="K26" s="44">
        <v>63300</v>
      </c>
      <c r="L26" s="150" t="s">
        <v>51</v>
      </c>
      <c r="M26" s="151">
        <f t="shared" si="0"/>
        <v>-343.72800000000007</v>
      </c>
      <c r="N26" s="152" t="str">
        <f>VLOOKUP(C26,'Trips&amp;Operators'!$C$1:$G$99999,5,FALSE)</f>
        <v>ROBINSON KADDIBA</v>
      </c>
      <c r="O26" s="179" t="s">
        <v>195</v>
      </c>
      <c r="P26" s="153"/>
      <c r="Q26" s="31"/>
      <c r="R26" s="96" t="str">
        <f>VLOOKUP(C26,'Train Runs'!$A$13:$AE$9963,31,0)</f>
        <v>aws s3 cp s3://rtdc.mdm.uploadarchive.raw/RTDC4008/ "%USERPROFILE%\AppData\Local\Temp\OnboardLogs"\RTDC4008\2017-01-01 --exclude "*" --recursive --include "*20170101*" &amp; "%USERPROFILE%\Documents\GitHub\mrs-test-scripts\Headless Mode &amp; Sideloading\WalkAndUnGZ.bat" "%USERPROFILE%\AppData\Local\Temp\OnboardLogs"\RTDC4008\2017-01-01 &amp; 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</v>
      </c>
      <c r="S26" s="99" t="str">
        <f>VLOOKUP(C26,'Train Runs'!$A$13:$AE$9963,22,0)</f>
        <v>https://search-rtdc-monitor-bjffxe2xuh6vdkpspy63sjmuny.us-east-1.es.amazonaws.com/_plugin/kibana/#/discover/Steve-Slow-Train-Analysis-(2080s-and-2083s)?_g=(refreshInterval:(display:Off,section:0,value:0),time:(from:'2017-01-01 09:50:31-700',mode:absolute,to:'2017-01-01 12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6" s="101" t="str">
        <f t="shared" si="1"/>
        <v>"C:\Program Files (x86)\AstroGrep\AstroGrep.exe" /spath="%USERPROFILE%\AppData\Local\Temp\OnboardLogs" /stypes="*4008*201701011*" /stext=" 18:.+((SYSTEM_STATE.+slice.+state.+changed )|(ment ac)|(multiple cpu faults)|(system.+state.+changed )|(\[timeout)|(PRM\|1\|D)|(kpr)|(kdp)|(\|lc)|(penalty))" /e /r /s</v>
      </c>
      <c r="U26" s="9" t="str">
        <f t="shared" si="2"/>
        <v>4008</v>
      </c>
      <c r="V26" s="33">
        <f t="shared" si="3"/>
        <v>42736.76457175926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{"issue":{"subject":"","project_id":79,"tracker_id":40,"status_id":1,"priority_id":2,"assigned_to_id":23,"start_date":"2017-01-01","description":"","custom_fields":[{"id":1,"name":"Subdivision","value":"EC"},{"id":4,"name":"Milepost","value":"6.33"},{"id":17,"name":"Train ID","value":"152-01"},{"id":16,"name":"Locomotive ID","value":"4008"},{"id":130,"name":"Impact","value":""},{"id":150,"name":"Time of Event (Mountain Time)","value":"11:20:59"},{"id":151,"name":"Denver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"%USERPROFILE%\AppData\Local\Temp\OnboardLogs"\RTDC4008\*4008*201701011*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"%USERPROFILE%\AppData\Local\Temp\OnboardLogs"\RTDC4008\*4008*201701011* &gt;&gt; 42736-slicedisagreementcheck.txt</v>
      </c>
      <c r="AE26" s="183" t="str">
        <f t="shared" si="8"/>
        <v>start /low /b %USERPROFILE%\Documents\GitHub\eaglep3\Utilities\DownloadLogsFromS3.py --loco 4008 --day 2017-01-01</v>
      </c>
      <c r="AF26" s="1"/>
    </row>
    <row r="27" spans="1:32" x14ac:dyDescent="0.25">
      <c r="A27" s="33">
        <v>42736.505347222221</v>
      </c>
      <c r="B27" s="31" t="s">
        <v>335</v>
      </c>
      <c r="C27" s="31" t="s">
        <v>447</v>
      </c>
      <c r="D27" s="31" t="s">
        <v>98</v>
      </c>
      <c r="E27" s="31" t="s">
        <v>372</v>
      </c>
      <c r="F27" s="44">
        <v>150</v>
      </c>
      <c r="G27" s="44">
        <v>204</v>
      </c>
      <c r="H27" s="44">
        <v>62836</v>
      </c>
      <c r="I27" s="44">
        <v>62395</v>
      </c>
      <c r="J27" s="31" t="s">
        <v>244</v>
      </c>
      <c r="K27" s="44">
        <v>63300</v>
      </c>
      <c r="L27" s="150" t="s">
        <v>51</v>
      </c>
      <c r="M27" s="151">
        <f t="shared" si="0"/>
        <v>-477.84</v>
      </c>
      <c r="N27" s="152" t="str">
        <f>VLOOKUP(C27,'Trips&amp;Operators'!$C$1:$G$99999,5,FALSE)</f>
        <v>SHOOK JOHN</v>
      </c>
      <c r="O27" s="179" t="s">
        <v>195</v>
      </c>
      <c r="P27" s="153"/>
      <c r="Q27" s="31"/>
      <c r="R27" s="96" t="str">
        <f>VLOOKUP(C27,'Train Runs'!$A$13:$AE$9963,31,0)</f>
        <v>aws s3 cp s3://rtdc.mdm.uploadarchive.raw/RTDC4001/ "%USERPROFILE%\AppData\Local\Temp\OnboardLogs"\RTDC4001\2017-01-01 --exclude "*" --recursive --include "*20170101*" &amp; "%USERPROFILE%\Documents\GitHub\mrs-test-scripts\Headless Mode &amp; Sideloading\WalkAndUnGZ.bat" "%USERPROFILE%\AppData\Local\Temp\OnboardLogs"\RTDC4001\2017-01-01 &amp; aws s3 cp s3://rtdc.mdm.uploadarchive.raw/RTDC4001/ "%USERPROFILE%\AppData\Local\Temp\OnboardLogs"\RTDC4001\2017-01-02 --exclude "*" --recursive --include "*20170102*" &amp; "%USERPROFILE%\Documents\GitHub\mrs-test-scripts\Headless Mode &amp; Sideloading\WalkAndUnGZ.bat" "%USERPROFILE%\AppData\Local\Temp\OnboardLogs"\RTDC4001\2017-01-02</v>
      </c>
      <c r="S27" s="99" t="str">
        <f>VLOOKUP(C27,'Train Runs'!$A$13:$AE$9963,22,0)</f>
        <v>https://search-rtdc-monitor-bjffxe2xuh6vdkpspy63sjmuny.us-east-1.es.amazonaws.com/_plugin/kibana/#/discover/Steve-Slow-Train-Analysis-(2080s-and-2083s)?_g=(refreshInterval:(display:Off,section:0,value:0),time:(from:'2017-01-01 10:26:14-700',mode:absolute,to:'2017-01-01 13:23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7" s="101" t="str">
        <f t="shared" si="1"/>
        <v>"C:\Program Files (x86)\AstroGrep\AstroGrep.exe" /spath="%USERPROFILE%\AppData\Local\Temp\OnboardLogs" /stypes="*4001*201701011*" /stext=" 19:.+((SYSTEM_STATE.+slice.+state.+changed )|(ment ac)|(multiple cpu faults)|(system.+state.+changed )|(\[timeout)|(PRM\|1\|D)|(kpr)|(kdp)|(\|lc)|(penalty))" /e /r /s</v>
      </c>
      <c r="U27" s="9" t="str">
        <f t="shared" si="2"/>
        <v>4001</v>
      </c>
      <c r="V27" s="33">
        <f t="shared" si="3"/>
        <v>42736.797013888885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{"issue":{"subject":"","project_id":79,"tracker_id":40,"status_id":1,"priority_id":2,"assigned_to_id":23,"start_date":"2017-01-01","description":"","custom_fields":[{"id":1,"name":"Subdivision","value":"EC"},{"id":4,"name":"Milepost","value":"6.33"},{"id":17,"name":"Train ID","value":"158-01"},{"id":16,"name":"Locomotive ID","value":"4001"},{"id":130,"name":"Impact","value":""},{"id":150,"name":"Time of Event (Mountain Time)","value":"12:07:42"},{"id":151,"name":"Denver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"%USERPROFILE%\AppData\Local\Temp\OnboardLogs"\RTDC4001\*4001*201701011*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"%USERPROFILE%\AppData\Local\Temp\OnboardLogs"\RTDC4001\*4001*201701011* &gt;&gt; 42736-slicedisagreementcheck.txt</v>
      </c>
      <c r="AE27" s="183" t="str">
        <f t="shared" si="8"/>
        <v>start /low /b %USERPROFILE%\Documents\GitHub\eaglep3\Utilities\DownloadLogsFromS3.py --loco 4001 --day 2017-01-01</v>
      </c>
      <c r="AF27" s="1"/>
    </row>
    <row r="28" spans="1:32" ht="15" customHeight="1" x14ac:dyDescent="0.25">
      <c r="A28" s="33">
        <v>42736.526701388888</v>
      </c>
      <c r="B28" s="31" t="s">
        <v>435</v>
      </c>
      <c r="C28" s="31" t="s">
        <v>448</v>
      </c>
      <c r="D28" s="31" t="s">
        <v>98</v>
      </c>
      <c r="E28" s="31" t="s">
        <v>372</v>
      </c>
      <c r="F28" s="44">
        <v>150</v>
      </c>
      <c r="G28" s="44">
        <v>208</v>
      </c>
      <c r="H28" s="44">
        <v>62656</v>
      </c>
      <c r="I28" s="44">
        <v>62054</v>
      </c>
      <c r="J28" s="31" t="s">
        <v>244</v>
      </c>
      <c r="K28" s="44">
        <v>63300</v>
      </c>
      <c r="L28" s="150" t="s">
        <v>51</v>
      </c>
      <c r="M28" s="151">
        <f t="shared" si="0"/>
        <v>-657.88800000000003</v>
      </c>
      <c r="N28" s="152" t="str">
        <f>VLOOKUP(C28,'Trips&amp;Operators'!$C$1:$G$99999,5,FALSE)</f>
        <v>DAVIS MICHAEL</v>
      </c>
      <c r="O28" s="179" t="s">
        <v>195</v>
      </c>
      <c r="P28" s="153"/>
      <c r="Q28" s="31"/>
      <c r="R28" s="96" t="str">
        <f>VLOOKUP(C28,'Train Runs'!$A$13:$AE$9963,31,0)</f>
        <v>aws s3 cp s3://rtdc.mdm.uploadarchive.raw/RTDC4010/ "%USERPROFILE%\AppData\Local\Temp\OnboardLogs"\RTDC4010\2017-01-01 --exclude "*" --recursive --include "*20170101*" &amp; "%USERPROFILE%\Documents\GitHub\mrs-test-scripts\Headless Mode &amp; Sideloading\WalkAndUnGZ.bat" "%USERPROFILE%\AppData\Local\Temp\OnboardLogs"\RTDC4010\2017-01-01 &amp; aws s3 cp s3://rtdc.mdm.uploadarchive.raw/RTDC4010/ "%USERPROFILE%\AppData\Local\Temp\OnboardLogs"\RTDC4010\2017-01-02 --exclude "*" --recursive --include "*20170102*" &amp; "%USERPROFILE%\Documents\GitHub\mrs-test-scripts\Headless Mode &amp; Sideloading\WalkAndUnGZ.bat" "%USERPROFILE%\AppData\Local\Temp\OnboardLogs"\RTDC4010\2017-01-02</v>
      </c>
      <c r="S28" s="99" t="str">
        <f>VLOOKUP(C28,'Train Runs'!$A$13:$AE$9963,22,0)</f>
        <v>https://search-rtdc-monitor-bjffxe2xuh6vdkpspy63sjmuny.us-east-1.es.amazonaws.com/_plugin/kibana/#/discover/Steve-Slow-Train-Analysis-(2080s-and-2083s)?_g=(refreshInterval:(display:Off,section:0,value:0),time:(from:'2017-01-01 11:07:09-700',mode:absolute,to:'2017-01-01 13:54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8" s="101" t="str">
        <f t="shared" si="1"/>
        <v>"C:\Program Files (x86)\AstroGrep\AstroGrep.exe" /spath="%USERPROFILE%\AppData\Local\Temp\OnboardLogs" /stypes="*4010*201701011*" /stext=" 19:.+((SYSTEM_STATE.+slice.+state.+changed )|(ment ac)|(multiple cpu faults)|(system.+state.+changed )|(\[timeout)|(PRM\|1\|D)|(kpr)|(kdp)|(\|lc)|(penalty))" /e /r /s</v>
      </c>
      <c r="U28" s="9" t="str">
        <f t="shared" si="2"/>
        <v>4010</v>
      </c>
      <c r="V28" s="33">
        <f t="shared" si="3"/>
        <v>42736.818368055552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{"issue":{"subject":"","project_id":79,"tracker_id":40,"status_id":1,"priority_id":2,"assigned_to_id":23,"start_date":"2017-01-01","description":"","custom_fields":[{"id":1,"name":"Subdivision","value":"EC"},{"id":4,"name":"Milepost","value":"6.33"},{"id":17,"name":"Train ID","value":"162-01"},{"id":16,"name":"Locomotive ID","value":"4010"},{"id":130,"name":"Impact","value":""},{"id":150,"name":"Time of Event (Mountain Time)","value":"12:38:27"},{"id":151,"name":"Denver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"%USERPROFILE%\AppData\Local\Temp\OnboardLogs"\RTDC4010\*4010*201701011*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"%USERPROFILE%\AppData\Local\Temp\OnboardLogs"\RTDC4010\*4010*201701011* &gt;&gt; 42736-slicedisagreementcheck.txt</v>
      </c>
      <c r="AE28" s="183" t="str">
        <f t="shared" si="8"/>
        <v>start /low /b %USERPROFILE%\Documents\GitHub\eaglep3\Utilities\DownloadLogsFromS3.py --loco 4010 --day 2017-01-01</v>
      </c>
      <c r="AF28" s="1"/>
    </row>
    <row r="29" spans="1:32" ht="15" customHeight="1" x14ac:dyDescent="0.25">
      <c r="A29" s="33">
        <v>42736.24622685185</v>
      </c>
      <c r="B29" s="31" t="s">
        <v>210</v>
      </c>
      <c r="C29" s="31" t="s">
        <v>433</v>
      </c>
      <c r="D29" s="31" t="s">
        <v>49</v>
      </c>
      <c r="E29" s="31" t="s">
        <v>200</v>
      </c>
      <c r="F29" s="44">
        <v>0</v>
      </c>
      <c r="G29" s="44">
        <v>28</v>
      </c>
      <c r="H29" s="44">
        <v>109</v>
      </c>
      <c r="I29" s="44">
        <v>87</v>
      </c>
      <c r="J29" s="31" t="s">
        <v>201</v>
      </c>
      <c r="K29" s="44">
        <v>1</v>
      </c>
      <c r="L29" s="150" t="s">
        <v>51</v>
      </c>
      <c r="M29" s="151">
        <f t="shared" si="0"/>
        <v>45.408000000000001</v>
      </c>
      <c r="N29" s="152" t="str">
        <f>VLOOKUP(C29,'Trips&amp;Operators'!$C$1:$G$99999,5,FALSE)</f>
        <v>BERLING GARY</v>
      </c>
      <c r="O29" s="179" t="s">
        <v>195</v>
      </c>
      <c r="P29" s="153"/>
      <c r="Q29" s="31"/>
      <c r="R29" s="96" t="str">
        <f>VLOOKUP(C29,'Train Runs'!$A$13:$AE$9963,31,0)</f>
        <v>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 &amp; 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</v>
      </c>
      <c r="S29" s="99" t="str">
        <f>VLOOKUP(C29,'Train Runs'!$A$13:$AE$9963,22,0)</f>
        <v>https://search-rtdc-monitor-bjffxe2xuh6vdkpspy63sjmuny.us-east-1.es.amazonaws.com/_plugin/kibana/#/discover/Steve-Slow-Train-Analysis-(2080s-and-2083s)?_g=(refreshInterval:(display:Off,section:0,value:0),time:(from:'2017-01-01 04:08:23-700',mode:absolute,to:'2017-01-01 06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9" s="101" t="str">
        <f t="shared" si="1"/>
        <v>"C:\Program Files (x86)\AstroGrep\AstroGrep.exe" /spath="%USERPROFILE%\AppData\Local\Temp\OnboardLogs" /stypes="*4012*201701011*" /stext=" 12:.+((SYSTEM_STATE.+slice.+state.+changed )|(ment ac)|(multiple cpu faults)|(system.+state.+changed )|(\[timeout)|(PRM\|1\|D)|(kpr)|(kdp)|(\|lc)|(penalty))" /e /r /s</v>
      </c>
      <c r="U29" s="9" t="str">
        <f t="shared" si="2"/>
        <v>4012</v>
      </c>
      <c r="V29" s="33">
        <f t="shared" si="3"/>
        <v>42736.537893518514</v>
      </c>
      <c r="W29" s="47" t="str">
        <f t="shared" si="4"/>
        <v>EC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{"issue":{"subject":"","project_id":79,"tracker_id":40,"status_id":1,"priority_id":2,"assigned_to_id":23,"start_date":"2017-01-01","description":"","custom_fields":[{"id":1,"name":"Subdivision","value":"EC"},{"id":4,"name":"Milepost","value":"0.0001"},{"id":17,"name":"Train ID","value":"106-01"},{"id":16,"name":"Locomotive ID","value":"4012"},{"id":130,"name":"Impact","value":""},{"id":150,"name":"Time of Event (Mountain Time)","value":"05:54:34"},{"id":151,"name":"Denver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"%USERPROFILE%\AppData\Local\Temp\OnboardLogs"\RTDC4012\*4012*201701011*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"%USERPROFILE%\AppData\Local\Temp\OnboardLogs"\RTDC4012\*4012*201701011* &gt;&gt; 42736-slicedisagreementcheck.txt</v>
      </c>
      <c r="AE29" s="183" t="str">
        <f t="shared" si="8"/>
        <v>start /low /b %USERPROFILE%\Documents\GitHub\eaglep3\Utilities\DownloadLogsFromS3.py --loco 4012 --day 2017-01-01</v>
      </c>
      <c r="AF29" s="1"/>
    </row>
    <row r="30" spans="1:32" x14ac:dyDescent="0.25">
      <c r="A30" s="33">
        <v>42736.378668981481</v>
      </c>
      <c r="B30" s="31" t="s">
        <v>344</v>
      </c>
      <c r="C30" s="31" t="s">
        <v>439</v>
      </c>
      <c r="D30" s="31" t="s">
        <v>49</v>
      </c>
      <c r="E30" s="31" t="s">
        <v>200</v>
      </c>
      <c r="F30" s="44">
        <v>0</v>
      </c>
      <c r="G30" s="44">
        <v>42</v>
      </c>
      <c r="H30" s="44">
        <v>143</v>
      </c>
      <c r="I30" s="44">
        <v>105</v>
      </c>
      <c r="J30" s="31" t="s">
        <v>201</v>
      </c>
      <c r="K30" s="44">
        <v>1</v>
      </c>
      <c r="L30" s="150" t="s">
        <v>51</v>
      </c>
      <c r="M30" s="151">
        <f t="shared" si="0"/>
        <v>54.911999999999999</v>
      </c>
      <c r="N30" s="152" t="str">
        <f>VLOOKUP(C30,'Trips&amp;Operators'!$C$1:$G$99999,5,FALSE)</f>
        <v>MAELZER KURT</v>
      </c>
      <c r="O30" s="179" t="s">
        <v>195</v>
      </c>
      <c r="P30" s="153"/>
      <c r="Q30" s="31"/>
      <c r="R30" s="96" t="str">
        <f>VLOOKUP(C30,'Train Runs'!$A$13:$AE$9963,31,0)</f>
        <v>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 &amp; 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</v>
      </c>
      <c r="S30" s="99" t="str">
        <f>VLOOKUP(C30,'Train Runs'!$A$13:$AE$9963,22,0)</f>
        <v>https://search-rtdc-monitor-bjffxe2xuh6vdkpspy63sjmuny.us-east-1.es.amazonaws.com/_plugin/kibana/#/discover/Steve-Slow-Train-Analysis-(2080s-and-2083s)?_g=(refreshInterval:(display:Off,section:0,value:0),time:(from:'2017-01-01 07:20:59-700',mode:absolute,to:'2017-01-01 10:05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0" s="101" t="str">
        <f t="shared" si="1"/>
        <v>"C:\Program Files (x86)\AstroGrep\AstroGrep.exe" /spath="%USERPROFILE%\AppData\Local\Temp\OnboardLogs" /stypes="*4041*201701011*" /stext=" 16:.+((SYSTEM_STATE.+slice.+state.+changed )|(ment ac)|(multiple cpu faults)|(system.+state.+changed )|(\[timeout)|(PRM\|1\|D)|(kpr)|(kdp)|(\|lc)|(penalty))" /e /r /s</v>
      </c>
      <c r="U30" s="9" t="str">
        <f t="shared" si="2"/>
        <v>4041</v>
      </c>
      <c r="V30" s="33">
        <f t="shared" si="3"/>
        <v>42736.670335648145</v>
      </c>
      <c r="W30" s="47" t="str">
        <f t="shared" si="4"/>
        <v>EC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{"issue":{"subject":"","project_id":79,"tracker_id":40,"status_id":1,"priority_id":2,"assigned_to_id":23,"start_date":"2017-01-01","description":"","custom_fields":[{"id":1,"name":"Subdivision","value":"EC"},{"id":4,"name":"Milepost","value":"0.0001"},{"id":17,"name":"Train ID","value":"132-01"},{"id":16,"name":"Locomotive ID","value":"4041"},{"id":130,"name":"Impact","value":""},{"id":150,"name":"Time of Event (Mountain Time)","value":"09:05:17"},{"id":151,"name":"Denver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"%USERPROFILE%\AppData\Local\Temp\OnboardLogs"\RTDC4041\*4041*201701011*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"%USERPROFILE%\AppData\Local\Temp\OnboardLogs"\RTDC4041\*4041*201701011* &gt;&gt; 42736-slicedisagreementcheck.txt</v>
      </c>
      <c r="AE30" s="183" t="str">
        <f t="shared" si="8"/>
        <v>start /low /b %USERPROFILE%\Documents\GitHub\eaglep3\Utilities\DownloadLogsFromS3.py --loco 4041 --day 2017-01-01</v>
      </c>
      <c r="AF30" s="1"/>
    </row>
    <row r="31" spans="1:32" x14ac:dyDescent="0.25">
      <c r="A31" s="33">
        <v>42736.503819444442</v>
      </c>
      <c r="B31" s="31" t="s">
        <v>260</v>
      </c>
      <c r="C31" s="31" t="s">
        <v>446</v>
      </c>
      <c r="D31" s="31" t="s">
        <v>49</v>
      </c>
      <c r="E31" s="31" t="s">
        <v>200</v>
      </c>
      <c r="F31" s="44">
        <v>0</v>
      </c>
      <c r="G31" s="44">
        <v>51</v>
      </c>
      <c r="H31" s="44">
        <v>169</v>
      </c>
      <c r="I31" s="44">
        <v>112</v>
      </c>
      <c r="J31" s="31" t="s">
        <v>201</v>
      </c>
      <c r="K31" s="44">
        <v>1</v>
      </c>
      <c r="L31" s="150" t="s">
        <v>51</v>
      </c>
      <c r="M31" s="151">
        <f t="shared" si="0"/>
        <v>58.607999999999997</v>
      </c>
      <c r="N31" s="152" t="str">
        <f>VLOOKUP(C31,'Trips&amp;Operators'!$C$1:$G$99999,5,FALSE)</f>
        <v>ADANE ELSHADAY</v>
      </c>
      <c r="O31" s="179" t="s">
        <v>195</v>
      </c>
      <c r="P31" s="153"/>
      <c r="Q31" s="31"/>
      <c r="R31" s="96" t="str">
        <f>VLOOKUP(C31,'Train Runs'!$A$13:$AE$9963,31,0)</f>
        <v>aws s3 cp s3://rtdc.mdm.uploadarchive.raw/RTDC4013/ "%USERPROFILE%\AppData\Local\Temp\OnboardLogs"\RTDC4013\2017-01-01 --exclude "*" --recursive --include "*20170101*" &amp; "%USERPROFILE%\Documents\GitHub\mrs-test-scripts\Headless Mode &amp; Sideloading\WalkAndUnGZ.bat" "%USERPROFILE%\AppData\Local\Temp\OnboardLogs"\RTDC4013\2017-01-01 &amp; 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</v>
      </c>
      <c r="S31" s="99" t="str">
        <f>VLOOKUP(C31,'Train Runs'!$A$13:$AE$9963,22,0)</f>
        <v>https://search-rtdc-monitor-bjffxe2xuh6vdkpspy63sjmuny.us-east-1.es.amazonaws.com/_plugin/kibana/#/discover/Steve-Slow-Train-Analysis-(2080s-and-2083s)?_g=(refreshInterval:(display:Off,section:0,value:0),time:(from:'2017-01-01 10:10:07-700',mode:absolute,to:'2017-01-01 13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1" s="101" t="str">
        <f t="shared" si="1"/>
        <v>"C:\Program Files (x86)\AstroGrep\AstroGrep.exe" /spath="%USERPROFILE%\AppData\Local\Temp\OnboardLogs" /stypes="*4013*201701011*" /stext=" 19:.+((SYSTEM_STATE.+slice.+state.+changed )|(ment ac)|(multiple cpu faults)|(system.+state.+changed )|(\[timeout)|(PRM\|1\|D)|(kpr)|(kdp)|(\|lc)|(penalty))" /e /r /s</v>
      </c>
      <c r="U31" s="9" t="str">
        <f t="shared" si="2"/>
        <v>4013</v>
      </c>
      <c r="V31" s="33">
        <f t="shared" si="3"/>
        <v>42736.795486111107</v>
      </c>
      <c r="W31" s="47" t="str">
        <f t="shared" si="4"/>
        <v>EC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{"issue":{"subject":"","project_id":79,"tracker_id":40,"status_id":1,"priority_id":2,"assigned_to_id":23,"start_date":"2017-01-01","description":"","custom_fields":[{"id":1,"name":"Subdivision","value":"EC"},{"id":4,"name":"Milepost","value":"0.0001"},{"id":17,"name":"Train ID","value":"156-01"},{"id":16,"name":"Locomotive ID","value":"4013"},{"id":130,"name":"Impact","value":""},{"id":150,"name":"Time of Event (Mountain Time)","value":"12:05:30"},{"id":151,"name":"Denver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"%USERPROFILE%\AppData\Local\Temp\OnboardLogs"\RTDC4013\*4013*201701011*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"%USERPROFILE%\AppData\Local\Temp\OnboardLogs"\RTDC4013\*4013*201701011* &gt;&gt; 42736-slicedisagreementcheck.txt</v>
      </c>
      <c r="AE31" s="183" t="str">
        <f t="shared" si="8"/>
        <v>start /low /b %USERPROFILE%\Documents\GitHub\eaglep3\Utilities\DownloadLogsFromS3.py --loco 4013 --day 2017-01-01</v>
      </c>
      <c r="AF31" s="1"/>
    </row>
    <row r="32" spans="1:32" x14ac:dyDescent="0.25">
      <c r="A32" s="33">
        <v>42736.733981481484</v>
      </c>
      <c r="B32" s="31" t="s">
        <v>335</v>
      </c>
      <c r="C32" s="31" t="s">
        <v>457</v>
      </c>
      <c r="D32" s="31" t="s">
        <v>49</v>
      </c>
      <c r="E32" s="31" t="s">
        <v>200</v>
      </c>
      <c r="F32" s="44">
        <v>0</v>
      </c>
      <c r="G32" s="44">
        <v>45</v>
      </c>
      <c r="H32" s="44">
        <v>161</v>
      </c>
      <c r="I32" s="44">
        <v>121</v>
      </c>
      <c r="J32" s="31" t="s">
        <v>201</v>
      </c>
      <c r="K32" s="44">
        <v>1</v>
      </c>
      <c r="L32" s="150" t="s">
        <v>51</v>
      </c>
      <c r="M32" s="151">
        <f t="shared" si="0"/>
        <v>63.36</v>
      </c>
      <c r="N32" s="152" t="str">
        <f>VLOOKUP(C32,'Trips&amp;Operators'!$C$1:$G$99999,5,FALSE)</f>
        <v>KILLION DAVID</v>
      </c>
      <c r="O32" s="179" t="s">
        <v>227</v>
      </c>
      <c r="P32" s="153" t="s">
        <v>933</v>
      </c>
      <c r="Q32" s="31"/>
      <c r="R32" s="96" t="str">
        <f>VLOOKUP(C32,'Train Runs'!$A$13:$AE$9963,31,0)</f>
        <v>aws s3 cp s3://rtdc.mdm.uploadarchive.raw/RTDC4001/ "%USERPROFILE%\AppData\Local\Temp\OnboardLogs"\RTDC4001\2017-01-01 --exclude "*" --recursive --include "*20170101*" &amp; "%USERPROFILE%\Documents\GitHub\mrs-test-scripts\Headless Mode &amp; Sideloading\WalkAndUnGZ.bat" "%USERPROFILE%\AppData\Local\Temp\OnboardLogs"\RTDC4001\2017-01-01 &amp; aws s3 cp s3://rtdc.mdm.uploadarchive.raw/RTDC4001/ "%USERPROFILE%\AppData\Local\Temp\OnboardLogs"\RTDC4001\2017-01-02 --exclude "*" --recursive --include "*20170102*" &amp; "%USERPROFILE%\Documents\GitHub\mrs-test-scripts\Headless Mode &amp; Sideloading\WalkAndUnGZ.bat" "%USERPROFILE%\AppData\Local\Temp\OnboardLogs"\RTDC4001\2017-01-02</v>
      </c>
      <c r="S32" s="99" t="str">
        <f>VLOOKUP(C32,'Train Runs'!$A$13:$AE$9963,22,0)</f>
        <v>https://search-rtdc-monitor-bjffxe2xuh6vdkpspy63sjmuny.us-east-1.es.amazonaws.com/_plugin/kibana/#/discover/Steve-Slow-Train-Analysis-(2080s-and-2083s)?_g=(refreshInterval:(display:Off,section:0,value:0),time:(from:'2017-01-01 15:50:53-700',mode:absolute,to:'2017-01-01 18:36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2" s="101" t="str">
        <f t="shared" si="1"/>
        <v>"C:\Program Files (x86)\AstroGrep\AstroGrep.exe" /spath="%USERPROFILE%\AppData\Local\Temp\OnboardLogs" /stypes="*4001*201701020*" /stext=" 00:.+((SYSTEM_STATE.+slice.+state.+changed )|(ment ac)|(multiple cpu faults)|(system.+state.+changed )|(\[timeout)|(PRM\|1\|D)|(kpr)|(kdp)|(\|lc)|(penalty))" /e /r /s</v>
      </c>
      <c r="U32" s="9" t="str">
        <f t="shared" si="2"/>
        <v>4001</v>
      </c>
      <c r="V32" s="33">
        <f t="shared" si="3"/>
        <v>42737.025648148148</v>
      </c>
      <c r="W32" s="47" t="str">
        <f t="shared" si="4"/>
        <v>EC</v>
      </c>
      <c r="X32" s="47" t="str">
        <f t="shared" si="5"/>
        <v>KEEP</v>
      </c>
      <c r="Y32" s="115" t="str">
        <f t="shared" si="6"/>
        <v>echo {"issue":{"subject":"Banner without braking","project_id":79,"tracker_id":40,"status_id":1,"priority_id":2,"assigned_to_id":23,"start_date":"2017-01-01","description":"","custom_fields":[{"id":1,"name":"Subdivision","value":"EC"},{"id":4,"name":"Milepost","value":"0.0001"},{"id":17,"name":"Train ID","value":"200-01"},{"id":16,"name":"Locomotive ID","value":"4001"},{"id":130,"name":"Impact","value":""},{"id":150,"name":"Time of Event (Mountain Time)","value":"17:36:56"},{"id":151,"name":"Denver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"%USERPROFILE%\AppData\Local\Temp\OnboardLogs"\RTDC4001\*4001*201701020*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"%USERPROFILE%\AppData\Local\Temp\OnboardLogs"\RTDC4001\*4001*201701020* &gt;&gt; 42736-slicedisagreementcheck.txt</v>
      </c>
      <c r="AE32" s="183" t="str">
        <f t="shared" si="8"/>
        <v>start /low /b %USERPROFILE%\Documents\GitHub\eaglep3\Utilities\DownloadLogsFromS3.py --loco 4001 --day 2017-01-02</v>
      </c>
      <c r="AF32" s="1"/>
    </row>
    <row r="33" spans="1:32" x14ac:dyDescent="0.25">
      <c r="A33" s="33">
        <v>42736.611006944448</v>
      </c>
      <c r="B33" s="31" t="s">
        <v>225</v>
      </c>
      <c r="C33" s="31" t="s">
        <v>450</v>
      </c>
      <c r="D33" s="31" t="s">
        <v>49</v>
      </c>
      <c r="E33" s="31" t="s">
        <v>200</v>
      </c>
      <c r="F33" s="44">
        <v>0</v>
      </c>
      <c r="G33" s="44">
        <v>94</v>
      </c>
      <c r="H33" s="44">
        <v>233132</v>
      </c>
      <c r="I33" s="44">
        <v>233270</v>
      </c>
      <c r="J33" s="31" t="s">
        <v>201</v>
      </c>
      <c r="K33" s="44">
        <v>233491</v>
      </c>
      <c r="L33" s="150" t="s">
        <v>50</v>
      </c>
      <c r="M33" s="151">
        <f t="shared" si="0"/>
        <v>116.688</v>
      </c>
      <c r="N33" s="152" t="str">
        <f>VLOOKUP(C33,'Trips&amp;Operators'!$C$1:$G$99999,5,FALSE)</f>
        <v>ADANE ELSHADAY</v>
      </c>
      <c r="O33" s="179" t="s">
        <v>195</v>
      </c>
      <c r="P33" s="153"/>
      <c r="Q33" s="31"/>
      <c r="R33" s="96" t="str">
        <f>VLOOKUP(C33,'Train Runs'!$A$13:$AE$9963,31,0)</f>
        <v>aws s3 cp s3://rtdc.mdm.uploadarchive.raw/RTDC4014/ "%USERPROFILE%\AppData\Local\Temp\OnboardLogs"\RTDC4014\2017-01-01 --exclude "*" --recursive --include "*20170101*" &amp; "%USERPROFILE%\Documents\GitHub\mrs-test-scripts\Headless Mode &amp; Sideloading\WalkAndUnGZ.bat" "%USERPROFILE%\AppData\Local\Temp\OnboardLogs"\RTDC4014\2017-01-01 &amp; 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</v>
      </c>
      <c r="S33" s="99" t="str">
        <f>VLOOKUP(C33,'Train Runs'!$A$13:$AE$9963,22,0)</f>
        <v>https://search-rtdc-monitor-bjffxe2xuh6vdkpspy63sjmuny.us-east-1.es.amazonaws.com/_plugin/kibana/#/discover/Steve-Slow-Train-Analysis-(2080s-and-2083s)?_g=(refreshInterval:(display:Off,section:0,value:0),time:(from:'2017-01-01 12:52:35-700',mode:absolute,to:'2017-01-01 15:39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33" s="101" t="str">
        <f t="shared" si="1"/>
        <v>"C:\Program Files (x86)\AstroGrep\AstroGrep.exe" /spath="%USERPROFILE%\AppData\Local\Temp\OnboardLogs" /stypes="*4014*201701012*" /stext=" 21:.+((SYSTEM_STATE.+slice.+state.+changed )|(ment ac)|(multiple cpu faults)|(system.+state.+changed )|(\[timeout)|(PRM\|1\|D)|(kpr)|(kdp)|(\|lc)|(penalty))" /e /r /s</v>
      </c>
      <c r="U33" s="9" t="str">
        <f t="shared" si="2"/>
        <v>4014</v>
      </c>
      <c r="V33" s="33">
        <f t="shared" si="3"/>
        <v>42736.902673611112</v>
      </c>
      <c r="W33" s="47" t="str">
        <f t="shared" si="4"/>
        <v>EC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{"issue":{"subject":"","project_id":79,"tracker_id":40,"status_id":1,"priority_id":2,"assigned_to_id":23,"start_date":"2017-01-01","description":"","custom_fields":[{"id":1,"name":"Subdivision","value":"EC"},{"id":4,"name":"Milepost","value":"23.3491"},{"id":17,"name":"Train ID","value":"183-01"},{"id":16,"name":"Locomotive ID","value":"4014"},{"id":130,"name":"Impact","value":""},{"id":150,"name":"Time of Event (Mountain Time)","value":"14:39:51"},{"id":151,"name":"Denver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"%USERPROFILE%\AppData\Local\Temp\OnboardLogs"\RTDC4014\*4014*201701012*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"%USERPROFILE%\AppData\Local\Temp\OnboardLogs"\RTDC4014\*4014*201701012* &gt;&gt; 42736-slicedisagreementcheck.txt</v>
      </c>
      <c r="AE33" s="183" t="str">
        <f t="shared" si="8"/>
        <v>start /low /b %USERPROFILE%\Documents\GitHub\eaglep3\Utilities\DownloadLogsFromS3.py --loco 4014 --day 2017-01-01</v>
      </c>
      <c r="AF33" s="1"/>
    </row>
    <row r="34" spans="1:32" x14ac:dyDescent="0.25">
      <c r="A34" s="33">
        <v>42737.045694444445</v>
      </c>
      <c r="B34" s="31" t="s">
        <v>214</v>
      </c>
      <c r="C34" s="31" t="s">
        <v>466</v>
      </c>
      <c r="D34" s="31" t="s">
        <v>49</v>
      </c>
      <c r="E34" s="31" t="s">
        <v>200</v>
      </c>
      <c r="F34" s="44">
        <v>0</v>
      </c>
      <c r="G34" s="44">
        <v>45</v>
      </c>
      <c r="H34" s="44">
        <v>233419</v>
      </c>
      <c r="I34" s="44">
        <v>233440</v>
      </c>
      <c r="J34" s="31" t="s">
        <v>201</v>
      </c>
      <c r="K34" s="44">
        <v>233491</v>
      </c>
      <c r="L34" s="150" t="s">
        <v>50</v>
      </c>
      <c r="M34" s="151">
        <f t="shared" si="0"/>
        <v>26.928000000000001</v>
      </c>
      <c r="N34" s="152" t="str">
        <f>VLOOKUP(C34,'Trips&amp;Operators'!$C$1:$G$99999,5,FALSE)</f>
        <v>STAMBAUGH JAMES</v>
      </c>
      <c r="O34" s="179" t="s">
        <v>195</v>
      </c>
      <c r="P34" s="153"/>
      <c r="Q34" s="31"/>
      <c r="R34" s="96" t="str">
        <f>VLOOKUP(C34,'Train Runs'!$A$13:$AE$9963,31,0)</f>
        <v>aws s3 cp s3://rtdc.mdm.uploadarchive.raw/RTDC4022/ "%USERPROFILE%\AppData\Local\Temp\OnboardLogs"\RTDC4022\2017-01-02 --exclude "*" --recursive --include "*20170102*" &amp; "%USERPROFILE%\Documents\GitHub\mrs-test-scripts\Headless Mode &amp; Sideloading\WalkAndUnGZ.bat" "%USERPROFILE%\AppData\Local\Temp\OnboardLogs"\RTDC4022\2017-01-02 &amp; aws s3 cp s3://rtdc.mdm.uploadarchive.raw/RTDC4022/ "%USERPROFILE%\AppData\Local\Temp\OnboardLogs"\RTDC4022\2017-01-03 --exclude "*" --recursive --include "*20170103*" &amp; "%USERPROFILE%\Documents\GitHub\mrs-test-scripts\Headless Mode &amp; Sideloading\WalkAndUnGZ.bat" "%USERPROFILE%\AppData\Local\Temp\OnboardLogs"\RTDC4022\2017-01-03</v>
      </c>
      <c r="S34" s="99" t="str">
        <f>VLOOKUP(C34,'Train Runs'!$A$13:$AE$9963,22,0)</f>
        <v>https://search-rtdc-monitor-bjffxe2xuh6vdkpspy63sjmuny.us-east-1.es.amazonaws.com/_plugin/kibana/#/discover/Steve-Slow-Train-Analysis-(2080s-and-2083s)?_g=(refreshInterval:(display:Off,section:0,value:0),time:(from:'2017-01-01 23:07:21-700',mode:absolute,to:'2017-01-02 02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4" s="101" t="str">
        <f t="shared" si="1"/>
        <v>"C:\Program Files (x86)\AstroGrep\AstroGrep.exe" /spath="%USERPROFILE%\AppData\Local\Temp\OnboardLogs" /stypes="*4022*201701020*" /stext=" 08:.+((SYSTEM_STATE.+slice.+state.+changed )|(ment ac)|(multiple cpu faults)|(system.+state.+changed )|(\[timeout)|(PRM\|1\|D)|(kpr)|(kdp)|(\|lc)|(penalty))" /e /r /s</v>
      </c>
      <c r="U34" s="9" t="str">
        <f t="shared" si="2"/>
        <v>4022</v>
      </c>
      <c r="V34" s="33">
        <f t="shared" si="3"/>
        <v>42737.337361111109</v>
      </c>
      <c r="W34" s="47" t="str">
        <f t="shared" si="4"/>
        <v>EC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{"issue":{"subject":"","project_id":79,"tracker_id":40,"status_id":1,"priority_id":2,"assigned_to_id":23,"start_date":"2017-01-02","description":"","custom_fields":[{"id":1,"name":"Subdivision","value":"EC"},{"id":4,"name":"Milepost","value":"23.3491"},{"id":17,"name":"Train ID","value":"243-01"},{"id":16,"name":"Locomotive ID","value":"4022"},{"id":130,"name":"Impact","value":""},{"id":150,"name":"Time of Event (Mountain Time)","value":"01:05:48"},{"id":151,"name":"Denver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"%USERPROFILE%\AppData\Local\Temp\OnboardLogs"\RTDC4022\*4022*201701020*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"%USERPROFILE%\AppData\Local\Temp\OnboardLogs"\RTDC4022\*4022*201701020* &gt;&gt; 42736-slicedisagreementcheck.txt</v>
      </c>
      <c r="AE34" s="183" t="str">
        <f t="shared" si="8"/>
        <v>start /low /b %USERPROFILE%\Documents\GitHub\eaglep3\Utilities\DownloadLogsFromS3.py --loco 4022 --day 2017-01-02</v>
      </c>
      <c r="AF34" s="1"/>
    </row>
    <row r="35" spans="1:32" x14ac:dyDescent="0.25">
      <c r="A35" s="33">
        <v>42736.363530092596</v>
      </c>
      <c r="B35" s="31" t="s">
        <v>276</v>
      </c>
      <c r="C35" s="31" t="s">
        <v>438</v>
      </c>
      <c r="D35" s="31" t="s">
        <v>98</v>
      </c>
      <c r="E35" s="31" t="s">
        <v>196</v>
      </c>
      <c r="F35" s="44">
        <v>150</v>
      </c>
      <c r="G35" s="44">
        <v>207</v>
      </c>
      <c r="H35" s="44">
        <v>57008</v>
      </c>
      <c r="I35" s="44">
        <v>56412</v>
      </c>
      <c r="J35" s="31" t="s">
        <v>197</v>
      </c>
      <c r="K35" s="44">
        <v>59050</v>
      </c>
      <c r="L35" s="150" t="s">
        <v>51</v>
      </c>
      <c r="M35" s="151">
        <f t="shared" si="0"/>
        <v>-1392.8639999999998</v>
      </c>
      <c r="N35" s="152" t="str">
        <f>VLOOKUP(C35,'Trips&amp;Operators'!$C$1:$G$99999,5,FALSE)</f>
        <v>YORK EDGAR</v>
      </c>
      <c r="O35" s="179" t="s">
        <v>195</v>
      </c>
      <c r="P35" s="153"/>
      <c r="Q35" s="31"/>
      <c r="R35" s="96" t="str">
        <f>VLOOKUP(C35,'Train Runs'!$A$13:$AE$9963,31,0)</f>
        <v>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 &amp; 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</v>
      </c>
      <c r="S35" s="99" t="str">
        <f>VLOOKUP(C35,'Train Runs'!$A$13:$AE$9963,22,0)</f>
        <v>https://search-rtdc-monitor-bjffxe2xuh6vdkpspy63sjmuny.us-east-1.es.amazonaws.com/_plugin/kibana/#/discover/Steve-Slow-Train-Analysis-(2080s-and-2083s)?_g=(refreshInterval:(display:Off,section:0,value:0),time:(from:'2017-01-01 07:37:42-700',mode:absolute,to:'2017-01-01 09:55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5" s="101" t="str">
        <f t="shared" si="1"/>
        <v>"C:\Program Files (x86)\AstroGrep\AstroGrep.exe" /spath="%USERPROFILE%\AppData\Local\Temp\OnboardLogs" /stypes="*4043*201701011*" /stext=" 15:.+((SYSTEM_STATE.+slice.+state.+changed )|(ment ac)|(multiple cpu faults)|(system.+state.+changed )|(\[timeout)|(PRM\|1\|D)|(kpr)|(kdp)|(\|lc)|(penalty))" /e /r /s</v>
      </c>
      <c r="U35" s="9" t="str">
        <f t="shared" si="2"/>
        <v>4043</v>
      </c>
      <c r="V35" s="33">
        <f t="shared" si="3"/>
        <v>42736.65519675926</v>
      </c>
      <c r="W35" s="47" t="str">
        <f t="shared" si="4"/>
        <v>NW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{"issue":{"subject":"","project_id":79,"tracker_id":40,"status_id":1,"priority_id":2,"assigned_to_id":23,"start_date":"2017-01-01","description":"","custom_fields":[{"id":1,"name":"Subdivision","value":"NW"},{"id":4,"name":"Milepost","value":"5.905"},{"id":17,"name":"Train ID","value":"1806-01"},{"id":16,"name":"Locomotive ID","value":"4043"},{"id":130,"name":"Impact","value":""},{"id":150,"name":"Time of Event (Mountain Time)","value":"08:43:29"},{"id":151,"name":"Denver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"%USERPROFILE%\AppData\Local\Temp\OnboardLogs"\RTDC4043\*4043*201701011*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"%USERPROFILE%\AppData\Local\Temp\OnboardLogs"\RTDC4043\*4043*201701011* &gt;&gt; 42736-slicedisagreementcheck.txt</v>
      </c>
      <c r="AE35" s="183" t="str">
        <f t="shared" si="8"/>
        <v>start /low /b %USERPROFILE%\Documents\GitHub\eaglep3\Utilities\DownloadLogsFromS3.py --loco 4043 --day 2017-01-01</v>
      </c>
      <c r="AF35" s="1"/>
    </row>
    <row r="36" spans="1:32" x14ac:dyDescent="0.25">
      <c r="A36" s="33">
        <v>42736.785543981481</v>
      </c>
      <c r="B36" s="31" t="s">
        <v>371</v>
      </c>
      <c r="C36" s="31" t="s">
        <v>460</v>
      </c>
      <c r="D36" s="31" t="s">
        <v>49</v>
      </c>
      <c r="E36" s="31" t="s">
        <v>198</v>
      </c>
      <c r="F36" s="44">
        <v>0</v>
      </c>
      <c r="G36" s="44">
        <v>142</v>
      </c>
      <c r="H36" s="44">
        <v>11488</v>
      </c>
      <c r="I36" s="44">
        <v>11249</v>
      </c>
      <c r="J36" s="31" t="s">
        <v>199</v>
      </c>
      <c r="K36" s="44">
        <v>11016</v>
      </c>
      <c r="L36" s="150" t="s">
        <v>51</v>
      </c>
      <c r="M36" s="151">
        <f t="shared" si="0"/>
        <v>123.024</v>
      </c>
      <c r="N36" s="152" t="str">
        <f>VLOOKUP(C36,'Trips&amp;Operators'!$C$1:$G$99999,5,FALSE)</f>
        <v>HELVIE ADAM</v>
      </c>
      <c r="O36" s="179" t="s">
        <v>227</v>
      </c>
      <c r="P36" s="153" t="s">
        <v>822</v>
      </c>
      <c r="Q36" s="31"/>
      <c r="R36" s="96" t="str">
        <f>VLOOKUP(C36,'Train Runs'!$A$13:$AE$9963,31,0)</f>
        <v>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 &amp; 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</v>
      </c>
      <c r="S36" s="99" t="str">
        <f>VLOOKUP(C36,'Train Runs'!$A$13:$AE$9963,22,0)</f>
        <v>https://search-rtdc-monitor-bjffxe2xuh6vdkpspy63sjmuny.us-east-1.es.amazonaws.com/_plugin/kibana/#/discover/Steve-Slow-Train-Analysis-(2080s-and-2083s)?_g=(refreshInterval:(display:Off,section:0,value:0),time:(from:'2017-01-01 17:39:49-700',mode:absolute,to:'2017-01-01 19:56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6" s="101" t="str">
        <f t="shared" si="1"/>
        <v>"C:\Program Files (x86)\AstroGrep\AstroGrep.exe" /spath="%USERPROFILE%\AppData\Local\Temp\OnboardLogs" /stypes="*4030*201701020*" /stext=" 01:.+((SYSTEM_STATE.+slice.+state.+changed )|(ment ac)|(multiple cpu faults)|(system.+state.+changed )|(\[timeout)|(PRM\|1\|D)|(kpr)|(kdp)|(\|lc)|(penalty))" /e /r /s</v>
      </c>
      <c r="U36" s="9" t="str">
        <f t="shared" si="2"/>
        <v>4030</v>
      </c>
      <c r="V36" s="33">
        <f t="shared" si="3"/>
        <v>42737.077210648145</v>
      </c>
      <c r="W36" s="47" t="str">
        <f t="shared" si="4"/>
        <v>NW</v>
      </c>
      <c r="X36" s="47" t="str">
        <f t="shared" si="5"/>
        <v>KEEP</v>
      </c>
      <c r="Y36" s="115" t="str">
        <f t="shared" si="6"/>
        <v>echo {"issue":{"subject":"Wi-MAX data drop","project_id":79,"tracker_id":40,"status_id":1,"priority_id":2,"assigned_to_id":23,"start_date":"2017-01-01","description":"http://stevetu21.github.io/eaglep3/load_kml.html?kml=http://rtdc.gmaps-snips.s3.amazonaws.com/b05fec4b-1707-4472-9ffa-7334b919ab5d.kml","custom_fields":[{"id":1,"name":"Subdivision","value":"NW"},{"id":4,"name":"Milepost","value":"1.1016"},{"id":17,"name":"Train ID","value":"1826-01"},{"id":16,"name":"Locomotive ID","value":"4030"},{"id":130,"name":"Impact","value":"Enforcement"},{"id":150,"name":"Time of Event (Mountain Time)","value":"18:51:11"},{"id":151,"name":"Denver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6" s="21" t="s">
        <v>827</v>
      </c>
      <c r="AA36" s="50" t="s">
        <v>125</v>
      </c>
      <c r="AB36" s="50" t="s">
        <v>138</v>
      </c>
      <c r="AC36" s="134" t="str">
        <f t="shared" si="7"/>
        <v>grep -hSE -A400 "Enforcement Action" "%USERPROFILE%\AppData\Local\Temp\OnboardLogs"\RTDC4030\*4030*201701020*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"%USERPROFILE%\AppData\Local\Temp\OnboardLogs"\RTDC4030\*4030*201701020* &gt;&gt; 42736-slicedisagreementcheck.txt</v>
      </c>
      <c r="AE36" s="183" t="str">
        <f t="shared" si="8"/>
        <v>start /low /b %USERPROFILE%\Documents\GitHub\eaglep3\Utilities\DownloadLogsFromS3.py --loco 4030 --day 2017-01-02</v>
      </c>
      <c r="AF36" s="1"/>
    </row>
    <row r="37" spans="1:32" x14ac:dyDescent="0.25">
      <c r="A37" s="33">
        <v>42736.861759259256</v>
      </c>
      <c r="B37" s="31" t="s">
        <v>371</v>
      </c>
      <c r="C37" s="31" t="s">
        <v>462</v>
      </c>
      <c r="D37" s="31" t="s">
        <v>98</v>
      </c>
      <c r="E37" s="31" t="s">
        <v>198</v>
      </c>
      <c r="F37" s="44">
        <v>0</v>
      </c>
      <c r="G37" s="44">
        <v>83</v>
      </c>
      <c r="H37" s="44">
        <v>58302</v>
      </c>
      <c r="I37" s="44">
        <v>58170</v>
      </c>
      <c r="J37" s="31" t="s">
        <v>199</v>
      </c>
      <c r="K37" s="44">
        <v>58472</v>
      </c>
      <c r="L37" s="150" t="s">
        <v>51</v>
      </c>
      <c r="M37" s="151">
        <f t="shared" si="0"/>
        <v>-159.45599999999999</v>
      </c>
      <c r="N37" s="152" t="str">
        <f>VLOOKUP(C37,'Trips&amp;Operators'!$C$1:$G$99999,5,FALSE)</f>
        <v>HELVIE ADAM</v>
      </c>
      <c r="O37" s="179" t="s">
        <v>195</v>
      </c>
      <c r="P37" s="153" t="s">
        <v>825</v>
      </c>
      <c r="Q37" s="31"/>
      <c r="R37" s="96" t="str">
        <f>VLOOKUP(C37,'Train Runs'!$A$13:$AE$9963,31,0)</f>
        <v>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 &amp; 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</v>
      </c>
      <c r="S37" s="99" t="str">
        <f>VLOOKUP(C37,'Train Runs'!$A$13:$AE$9963,22,0)</f>
        <v>https://search-rtdc-monitor-bjffxe2xuh6vdkpspy63sjmuny.us-east-1.es.amazonaws.com/_plugin/kibana/#/discover/Steve-Slow-Train-Analysis-(2080s-and-2083s)?_g=(refreshInterval:(display:Off,section:0,value:0),time:(from:'2017-01-01 19:43:51-700',mode:absolute,to:'2017-01-01 21:58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7" s="101" t="str">
        <f t="shared" si="1"/>
        <v>"C:\Program Files (x86)\AstroGrep\AstroGrep.exe" /spath="%USERPROFILE%\AppData\Local\Temp\OnboardLogs" /stypes="*4030*201701020*" /stext=" 03:.+((SYSTEM_STATE.+slice.+state.+changed )|(ment ac)|(multiple cpu faults)|(system.+state.+changed )|(\[timeout)|(PRM\|1\|D)|(kpr)|(kdp)|(\|lc)|(penalty))" /e /r /s</v>
      </c>
      <c r="U37" s="9" t="str">
        <f t="shared" si="2"/>
        <v>4030</v>
      </c>
      <c r="V37" s="33">
        <f t="shared" si="3"/>
        <v>42737.153425925921</v>
      </c>
      <c r="W37" s="47" t="str">
        <f t="shared" si="4"/>
        <v>NW</v>
      </c>
      <c r="X37" s="47" t="str">
        <f t="shared" si="5"/>
        <v>KEEP</v>
      </c>
      <c r="Y37" s="115" t="str">
        <f t="shared" si="6"/>
        <v>echo {"issue":{"subject":"Went active too close to signal","project_id":79,"tracker_id":40,"status_id":1,"priority_id":2,"assigned_to_id":23,"start_date":"2017-01-01","description":"","custom_fields":[{"id":1,"name":"Subdivision","value":"NW"},{"id":4,"name":"Milepost","value":"5.8472"},{"id":17,"name":"Train ID","value":"1830-01"},{"id":16,"name":"Locomotive ID","value":"4030"},{"id":130,"name":"Impact","value":""},{"id":150,"name":"Time of Event (Mountain Time)","value":"20:40:56"},{"id":151,"name":"Denver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"%USERPROFILE%\AppData\Local\Temp\OnboardLogs"\RTDC4030\*4030*201701020*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"%USERPROFILE%\AppData\Local\Temp\OnboardLogs"\RTDC4030\*4030*201701020* &gt;&gt; 42736-slicedisagreementcheck.txt</v>
      </c>
      <c r="AE37" s="183" t="str">
        <f t="shared" si="8"/>
        <v>start /low /b %USERPROFILE%\Documents\GitHub\eaglep3\Utilities\DownloadLogsFromS3.py --loco 4030 --day 2017-01-02</v>
      </c>
      <c r="AF37" s="1"/>
    </row>
    <row r="38" spans="1:32" x14ac:dyDescent="0.25">
      <c r="A38" s="33">
        <v>42736.172164351854</v>
      </c>
      <c r="B38" s="31" t="s">
        <v>210</v>
      </c>
      <c r="C38" s="31" t="s">
        <v>430</v>
      </c>
      <c r="D38" s="31" t="s">
        <v>49</v>
      </c>
      <c r="E38" s="31" t="s">
        <v>200</v>
      </c>
      <c r="F38" s="44">
        <v>0</v>
      </c>
      <c r="G38" s="44">
        <v>21</v>
      </c>
      <c r="H38" s="44">
        <v>134</v>
      </c>
      <c r="I38" s="44">
        <v>121</v>
      </c>
      <c r="J38" s="31" t="s">
        <v>201</v>
      </c>
      <c r="K38" s="44">
        <v>1</v>
      </c>
      <c r="L38" s="150" t="s">
        <v>51</v>
      </c>
      <c r="M38" s="151">
        <f t="shared" si="0"/>
        <v>63.36</v>
      </c>
      <c r="N38" s="152" t="str">
        <f>VLOOKUP(C38,'Trips&amp;Operators'!$C$1:$G$99999,5,FALSE)</f>
        <v>BERLING GARY</v>
      </c>
      <c r="O38" s="179" t="s">
        <v>195</v>
      </c>
      <c r="P38" s="153"/>
      <c r="Q38" s="31"/>
      <c r="R38" s="96" t="str">
        <f>VLOOKUP(C38,'Train Runs'!$A$13:$AE$9963,31,0)</f>
        <v>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 &amp; 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</v>
      </c>
      <c r="S38" s="99" t="str">
        <f>VLOOKUP(C38,'Train Runs'!$A$13:$AE$9963,22,0)</f>
        <v>https://search-rtdc-monitor-bjffxe2xuh6vdkpspy63sjmuny.us-east-1.es.amazonaws.com/_plugin/kibana/#/discover/Steve-Slow-Train-Analysis-(2080s-and-2083s)?_g=(refreshInterval:(display:Off,section:0,value:0),time:(from:'2017-01-01 02:55:55-700',mode:absolute,to:'2017-01-01 05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8" s="101" t="str">
        <f t="shared" si="1"/>
        <v>"C:\Program Files (x86)\AstroGrep\AstroGrep.exe" /spath="%USERPROFILE%\AppData\Local\Temp\OnboardLogs" /stypes="*4012*201701011*" /stext=" 11:.+((SYSTEM_STATE.+slice.+state.+changed )|(ment ac)|(multiple cpu faults)|(system.+state.+changed )|(\[timeout)|(PRM\|1\|D)|(kpr)|(kdp)|(\|lc)|(penalty))" /e /r /s</v>
      </c>
      <c r="U38" s="9" t="str">
        <f t="shared" si="2"/>
        <v>4012</v>
      </c>
      <c r="V38" s="33">
        <f t="shared" si="3"/>
        <v>42736.463831018518</v>
      </c>
      <c r="W38" s="47" t="str">
        <f t="shared" si="4"/>
        <v>Other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{"issue":{"subject":"","project_id":79,"tracker_id":40,"status_id":1,"priority_id":2,"assigned_to_id":23,"start_date":"2017-01-01","description":"","custom_fields":[{"id":1,"name":"Subdivision","value":"Other"},{"id":4,"name":"Milepost","value":"0.0001"},{"id":17,"name":"Train ID","value":"306-01"},{"id":16,"name":"Locomotive ID","value":"4012"},{"id":130,"name":"Impact","value":""},{"id":150,"name":"Time of Event (Mountain Time)","value":"04:07:55"},{"id":151,"name":"Denver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"%USERPROFILE%\AppData\Local\Temp\OnboardLogs"\RTDC4012\*4012*201701011*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"%USERPROFILE%\AppData\Local\Temp\OnboardLogs"\RTDC4012\*4012*201701011* &gt;&gt; 42736-slicedisagreementcheck.txt</v>
      </c>
      <c r="AE38" s="183" t="str">
        <f t="shared" si="8"/>
        <v>start /low /b %USERPROFILE%\Documents\GitHub\eaglep3\Utilities\DownloadLogsFromS3.py --loco 4012 --day 2017-01-01</v>
      </c>
      <c r="AF38" s="1"/>
    </row>
    <row r="39" spans="1:32" x14ac:dyDescent="0.25">
      <c r="A39" s="33">
        <v>42736.869328703702</v>
      </c>
      <c r="B39" s="31" t="s">
        <v>260</v>
      </c>
      <c r="C39" s="31" t="s">
        <v>463</v>
      </c>
      <c r="D39" s="31" t="s">
        <v>49</v>
      </c>
      <c r="E39" s="31" t="s">
        <v>200</v>
      </c>
      <c r="F39" s="44">
        <v>0</v>
      </c>
      <c r="G39" s="44">
        <v>86</v>
      </c>
      <c r="H39" s="44">
        <v>1506</v>
      </c>
      <c r="I39" s="44">
        <v>1450</v>
      </c>
      <c r="J39" s="31" t="s">
        <v>201</v>
      </c>
      <c r="K39" s="44">
        <v>826</v>
      </c>
      <c r="L39" s="150" t="s">
        <v>51</v>
      </c>
      <c r="M39" s="151">
        <f t="shared" si="0"/>
        <v>329.47199999999998</v>
      </c>
      <c r="N39" s="152" t="str">
        <f>VLOOKUP(C39,'Trips&amp;Operators'!$C$1:$G$99999,5,FALSE)</f>
        <v>LALONDE GREGORY</v>
      </c>
      <c r="O39" s="179" t="s">
        <v>195</v>
      </c>
      <c r="P39" s="153"/>
      <c r="Q39" s="31"/>
      <c r="R39" s="96" t="str">
        <f>VLOOKUP(C39,'Train Runs'!$A$13:$AE$9963,31,0)</f>
        <v>aws s3 cp s3://rtdc.mdm.uploadarchive.raw/RTDC4013/ "%USERPROFILE%\AppData\Local\Temp\OnboardLogs"\RTDC4013\2017-01-01 --exclude "*" --recursive --include "*20170101*" &amp; "%USERPROFILE%\Documents\GitHub\mrs-test-scripts\Headless Mode &amp; Sideloading\WalkAndUnGZ.bat" "%USERPROFILE%\AppData\Local\Temp\OnboardLogs"\RTDC4013\2017-01-01 &amp; 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</v>
      </c>
      <c r="S39" s="99" t="str">
        <f>VLOOKUP(C39,'Train Runs'!$A$13:$AE$9963,22,0)</f>
        <v>https://search-rtdc-monitor-bjffxe2xuh6vdkpspy63sjmuny.us-east-1.es.amazonaws.com/_plugin/kibana/#/discover/Steve-Slow-Train-Analysis-(2080s-and-2083s)?_g=(refreshInterval:(display:Off,section:0,value:0),time:(from:'2017-01-01 18:58:14-700',mode:absolute,to:'2017-01-01 21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9" s="101" t="str">
        <f t="shared" si="1"/>
        <v>"C:\Program Files (x86)\AstroGrep\AstroGrep.exe" /spath="%USERPROFILE%\AppData\Local\Temp\OnboardLogs" /stypes="*4013*201701020*" /stext=" 03:.+((SYSTEM_STATE.+slice.+state.+changed )|(ment ac)|(multiple cpu faults)|(system.+state.+changed )|(\[timeout)|(PRM\|1\|D)|(kpr)|(kdp)|(\|lc)|(penalty))" /e /r /s</v>
      </c>
      <c r="U39" s="9" t="str">
        <f t="shared" si="2"/>
        <v>4013</v>
      </c>
      <c r="V39" s="33">
        <f t="shared" si="3"/>
        <v>42737.160995370366</v>
      </c>
      <c r="W39" s="47" t="str">
        <f t="shared" si="4"/>
        <v>Other</v>
      </c>
      <c r="X39" s="47" t="str">
        <f t="shared" si="5"/>
        <v>KEEP</v>
      </c>
      <c r="Y39" s="115" t="str">
        <f t="shared" si="6"/>
        <v>echo {"issue":{"subject":"","project_id":79,"tracker_id":40,"status_id":1,"priority_id":2,"assigned_to_id":23,"start_date":"2017-01-01","description":"","custom_fields":[{"id":1,"name":"Subdivision","value":"Other"},{"id":4,"name":"Milepost","value":"0.0826"},{"id":17,"name":"Train ID","value":"64-01"},{"id":16,"name":"Locomotive ID","value":"4013"},{"id":130,"name":"Impact","value":""},{"id":150,"name":"Time of Event (Mountain Time)","value":"20:51:50"},{"id":151,"name":"Denver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si="7"/>
        <v>grep -hSE -A400 "Enforcement Action" "%USERPROFILE%\AppData\Local\Temp\OnboardLogs"\RTDC4013\*4013*201701020*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"%USERPROFILE%\AppData\Local\Temp\OnboardLogs"\RTDC4013\*4013*201701020* &gt;&gt; 42736-slicedisagreementcheck.txt</v>
      </c>
      <c r="AE39" s="183" t="str">
        <f t="shared" si="8"/>
        <v>start /low /b %USERPROFILE%\Documents\GitHub\eaglep3\Utilities\DownloadLogsFromS3.py --loco 4013 --day 2017-01-02</v>
      </c>
      <c r="AF39" s="1"/>
    </row>
    <row r="40" spans="1:32" x14ac:dyDescent="0.25">
      <c r="A40" s="33">
        <v>42736.891030092593</v>
      </c>
      <c r="B40" s="31" t="s">
        <v>344</v>
      </c>
      <c r="C40" s="31" t="s">
        <v>464</v>
      </c>
      <c r="D40" s="31" t="s">
        <v>49</v>
      </c>
      <c r="E40" s="31" t="s">
        <v>200</v>
      </c>
      <c r="F40" s="44">
        <v>0</v>
      </c>
      <c r="G40" s="44">
        <v>23</v>
      </c>
      <c r="H40" s="44">
        <v>897</v>
      </c>
      <c r="I40" s="44">
        <v>885</v>
      </c>
      <c r="J40" s="31" t="s">
        <v>201</v>
      </c>
      <c r="K40" s="44">
        <v>826</v>
      </c>
      <c r="L40" s="150" t="s">
        <v>51</v>
      </c>
      <c r="M40" s="151">
        <f t="shared" si="0"/>
        <v>31.152000000000001</v>
      </c>
      <c r="N40" s="152" t="str">
        <f>VLOOKUP(C40,'Trips&amp;Operators'!$C$1:$G$99999,5,FALSE)</f>
        <v>DAVIDSON DAVID</v>
      </c>
      <c r="O40" s="179" t="s">
        <v>195</v>
      </c>
      <c r="P40" s="153"/>
      <c r="Q40" s="31"/>
      <c r="R40" s="96" t="str">
        <f>VLOOKUP(C40,'Train Runs'!$A$13:$AE$9963,31,0)</f>
        <v>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 &amp; 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</v>
      </c>
      <c r="S40" s="99" t="str">
        <f>VLOOKUP(C40,'Train Runs'!$A$13:$AE$9963,22,0)</f>
        <v>https://search-rtdc-monitor-bjffxe2xuh6vdkpspy63sjmuny.us-east-1.es.amazonaws.com/_plugin/kibana/#/discover/Steve-Slow-Train-Analysis-(2080s-and-2083s)?_g=(refreshInterval:(display:Off,section:0,value:0),time:(from:'2017-01-01 19:28:48-700',mode:absolute,to:'2017-01-01 22:23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0" s="101" t="str">
        <f t="shared" si="1"/>
        <v>"C:\Program Files (x86)\AstroGrep\AstroGrep.exe" /spath="%USERPROFILE%\AppData\Local\Temp\OnboardLogs" /stypes="*4041*201701020*" /stext=" 04:.+((SYSTEM_STATE.+slice.+state.+changed )|(ment ac)|(multiple cpu faults)|(system.+state.+changed )|(\[timeout)|(PRM\|1\|D)|(kpr)|(kdp)|(\|lc)|(penalty))" /e /r /s</v>
      </c>
      <c r="U40" s="9" t="str">
        <f t="shared" si="2"/>
        <v>4041</v>
      </c>
      <c r="V40" s="33">
        <f t="shared" si="3"/>
        <v>42737.182696759257</v>
      </c>
      <c r="W40" s="47" t="str">
        <f t="shared" si="4"/>
        <v>Other</v>
      </c>
      <c r="X40" s="47" t="str">
        <f t="shared" si="5"/>
        <v>KEEP</v>
      </c>
      <c r="Y40" s="115" t="str">
        <f t="shared" si="6"/>
        <v>echo {"issue":{"subject":"","project_id":79,"tracker_id":40,"status_id":1,"priority_id":2,"assigned_to_id":23,"start_date":"2017-01-01","description":"","custom_fields":[{"id":1,"name":"Subdivision","value":"Other"},{"id":4,"name":"Milepost","value":"0.0826"},{"id":17,"name":"Train ID","value":"66-01"},{"id":16,"name":"Locomotive ID","value":"4041"},{"id":130,"name":"Impact","value":""},{"id":150,"name":"Time of Event (Mountain Time)","value":"21:23:05"},{"id":151,"name":"Denver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7"/>
        <v>grep -hSE -A400 "Enforcement Action" "%USERPROFILE%\AppData\Local\Temp\OnboardLogs"\RTDC4041\*4041*201701020*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"%USERPROFILE%\AppData\Local\Temp\OnboardLogs"\RTDC4041\*4041*201701020* &gt;&gt; 42736-slicedisagreementcheck.txt</v>
      </c>
      <c r="AE40" s="183" t="str">
        <f t="shared" si="8"/>
        <v>start /low /b %USERPROFILE%\Documents\GitHub\eaglep3\Utilities\DownloadLogsFromS3.py --loco 4041 --day 2017-01-02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  <c r="AE73"/>
    </row>
  </sheetData>
  <autoFilter ref="A6:AC44">
    <sortState ref="A7:AC44">
      <sortCondition ref="V6:V44"/>
    </sortState>
  </autoFilter>
  <sortState ref="A7:AE40">
    <sortCondition ref="W7:W40"/>
    <sortCondition ref="E7:E40"/>
    <sortCondition ref="K7:K40"/>
    <sortCondition ref="C7:C40"/>
    <sortCondition ref="F7:F40"/>
  </sortState>
  <mergeCells count="1">
    <mergeCell ref="A5:O5"/>
  </mergeCells>
  <conditionalFormatting sqref="O6:P6 R6 O74:O1048576 O7:O4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0">
    <cfRule type="expression" dxfId="1" priority="20">
      <formula>$O7="Y"</formula>
    </cfRule>
  </conditionalFormatting>
  <hyperlinks>
    <hyperlink ref="Z2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A3" sqref="A3:A10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1" t="str">
        <f>"Trips that did not appear in PTC Data "&amp;TEXT(Variables!$A$2,"YYYY-mm-dd")</f>
        <v>Trips that did not appear in PTC Data 2017-01-01</v>
      </c>
      <c r="C1" s="191"/>
      <c r="D1" s="191"/>
      <c r="E1" s="191"/>
      <c r="F1" s="191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/>
      <c r="B3" s="44" t="str">
        <f>A3&amp;"-"&amp;IF(DAY(Variables!$A$2)&lt;10,0,"")&amp;DAY(Variables!$A$2)</f>
        <v>-01</v>
      </c>
      <c r="C3" s="154"/>
      <c r="D3" s="159"/>
      <c r="E3" s="31" t="s">
        <v>425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3" s="31" t="e">
        <f>VLOOKUP(B3,'Train Runs'!$A$13:$A$99960,1,FALSE)</f>
        <v>#N/A</v>
      </c>
      <c r="K3" s="31" t="e">
        <f>IF(VLOOKUP(A3,$K$26:$K$49,1,FALSE),"Cancelled")</f>
        <v>#N/A</v>
      </c>
    </row>
    <row r="4" spans="1:11" x14ac:dyDescent="0.25">
      <c r="A4" s="167"/>
      <c r="B4" s="44" t="str">
        <f>A4&amp;"-"&amp;IF(DAY(Variables!$A$2)&lt;10,0,"")&amp;DAY(Variables!$A$2)</f>
        <v>-01</v>
      </c>
      <c r="C4" s="154"/>
      <c r="D4" s="159"/>
      <c r="E4" s="31" t="s">
        <v>425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4" s="31" t="e">
        <f>VLOOKUP(B4,'Train Runs'!$A$13:$A$99960,1,FALSE)</f>
        <v>#N/A</v>
      </c>
      <c r="K4" s="31" t="e">
        <f>IF(VLOOKUP(A4,$K$26:$K$49,1,FALSE),"Cancelled")</f>
        <v>#N/A</v>
      </c>
    </row>
    <row r="5" spans="1:11" x14ac:dyDescent="0.25">
      <c r="A5" s="167"/>
      <c r="B5" s="44" t="str">
        <f>A5&amp;"-"&amp;IF(DAY(Variables!$A$2)&lt;10,0,"")&amp;DAY(Variables!$A$2)</f>
        <v>-01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5" s="31" t="e">
        <f>VLOOKUP(B5,'Train Runs'!$A$13:$A$99960,1,FALSE)</f>
        <v>#N/A</v>
      </c>
      <c r="K5" s="31" t="e">
        <f>IF(VLOOKUP(A5,$K$26:$K$49,1,FALSE),"Cancelled")</f>
        <v>#N/A</v>
      </c>
    </row>
    <row r="6" spans="1:11" x14ac:dyDescent="0.25">
      <c r="A6" s="167"/>
      <c r="B6" s="44" t="str">
        <f>A6&amp;"-"&amp;IF(DAY(Variables!$A$2)&lt;10,0,"")&amp;DAY(Variables!$A$2)</f>
        <v>-01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6" s="31" t="e">
        <f>VLOOKUP(B6,'Train Runs'!$A$13:$A$99960,1,FALSE)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67"/>
      <c r="B7" s="44" t="str">
        <f>A7&amp;"-"&amp;IF(DAY(Variables!$A$2)&lt;10,0,"")&amp;DAY(Variables!$A$2)</f>
        <v>-01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7" s="31" t="e">
        <f>VLOOKUP(B7,'Train Runs'!$A$13:$A$99960,1,FALSE)</f>
        <v>#N/A</v>
      </c>
      <c r="K7" s="31" t="e">
        <f t="shared" si="2"/>
        <v>#N/A</v>
      </c>
    </row>
    <row r="8" spans="1:11" x14ac:dyDescent="0.25">
      <c r="A8" s="167"/>
      <c r="B8" s="44" t="str">
        <f>A8&amp;"-"&amp;IF(DAY(Variables!$A$2)&lt;10,0,"")&amp;DAY(Variables!$A$2)</f>
        <v>-01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8" s="31" t="e">
        <f>VLOOKUP(B8,'Train Runs'!$A$13:$A$99960,1,FALSE)</f>
        <v>#N/A</v>
      </c>
      <c r="K8" s="31" t="e">
        <f t="shared" si="2"/>
        <v>#N/A</v>
      </c>
    </row>
    <row r="9" spans="1:11" x14ac:dyDescent="0.25">
      <c r="A9" s="167"/>
      <c r="B9" s="44" t="str">
        <f>A9&amp;"-"&amp;IF(DAY(Variables!$A$2)&lt;10,0,"")&amp;DAY(Variables!$A$2)</f>
        <v>-01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9" s="31" t="e">
        <f>VLOOKUP(B9,'Train Runs'!$A$13:$A$99960,1,FALSE)</f>
        <v>#N/A</v>
      </c>
      <c r="K9" s="31" t="e">
        <f t="shared" si="2"/>
        <v>#N/A</v>
      </c>
    </row>
    <row r="10" spans="1:11" x14ac:dyDescent="0.25">
      <c r="A10" s="167"/>
      <c r="B10" s="44" t="str">
        <f>A10&amp;"-"&amp;IF(DAY(Variables!$A$2)&lt;10,0,"")&amp;DAY(Variables!$A$2)</f>
        <v>-01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0" s="31" t="e">
        <f>VLOOKUP(B10,'Train Runs'!$A$13:$A$99960,1,FALSE)</f>
        <v>#N/A</v>
      </c>
      <c r="K10" s="31" t="e">
        <f t="shared" si="2"/>
        <v>#N/A</v>
      </c>
    </row>
    <row r="11" spans="1:11" x14ac:dyDescent="0.25">
      <c r="A11" s="167"/>
      <c r="B11" s="44" t="str">
        <f>A11&amp;"-"&amp;IF(DAY(Variables!$A$2)&lt;10,0,"")&amp;DAY(Variables!$A$2)</f>
        <v>-01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1" s="31" t="e">
        <f>VLOOKUP(B11,'Train Runs'!$A$13:$A$99960,1,FALSE)</f>
        <v>#N/A</v>
      </c>
      <c r="K11" s="31" t="e">
        <f t="shared" si="2"/>
        <v>#N/A</v>
      </c>
    </row>
    <row r="12" spans="1:11" x14ac:dyDescent="0.25">
      <c r="A12" s="167"/>
      <c r="B12" s="44" t="str">
        <f>A12&amp;"-"&amp;IF(DAY(Variables!$A$2)&lt;10,0,"")&amp;DAY(Variables!$A$2)</f>
        <v>-01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2" s="31" t="e">
        <f>VLOOKUP(B12,'Train Runs'!$A$13:$A$99960,1,FALSE)</f>
        <v>#N/A</v>
      </c>
      <c r="K12" s="31" t="e">
        <f t="shared" si="2"/>
        <v>#N/A</v>
      </c>
    </row>
    <row r="13" spans="1:11" x14ac:dyDescent="0.25">
      <c r="A13" s="167"/>
      <c r="B13" s="44" t="str">
        <f>A13&amp;"-"&amp;IF(DAY(Variables!$A$2)&lt;10,0,"")&amp;DAY(Variables!$A$2)</f>
        <v>-01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3" s="31" t="e">
        <f>VLOOKUP(B13,'Train Runs'!$A$13:$A$99960,1,FALSE)</f>
        <v>#N/A</v>
      </c>
      <c r="K13" s="31" t="e">
        <f t="shared" si="2"/>
        <v>#N/A</v>
      </c>
    </row>
    <row r="14" spans="1:11" x14ac:dyDescent="0.25">
      <c r="A14" s="167"/>
      <c r="B14" s="44" t="str">
        <f>A14&amp;"-"&amp;IF(DAY(Variables!$A$2)&lt;10,0,"")&amp;DAY(Variables!$A$2)</f>
        <v>-01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4" s="31" t="e">
        <f>VLOOKUP(B14,'Train Runs'!$A$13:$A$99960,1,FALSE)</f>
        <v>#N/A</v>
      </c>
      <c r="K14" s="31" t="e">
        <f t="shared" si="2"/>
        <v>#N/A</v>
      </c>
    </row>
    <row r="15" spans="1:11" x14ac:dyDescent="0.25">
      <c r="A15" s="167"/>
      <c r="B15" s="44" t="str">
        <f>A15&amp;"-"&amp;IF(DAY(Variables!$A$2)&lt;10,0,"")&amp;DAY(Variables!$A$2)</f>
        <v>-01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5" s="31" t="e">
        <f>VLOOKUP(B15,'Train Runs'!$A$13:$A$99960,1,FALSE)</f>
        <v>#N/A</v>
      </c>
      <c r="K15" s="31" t="e">
        <f t="shared" si="2"/>
        <v>#N/A</v>
      </c>
    </row>
    <row r="16" spans="1:11" x14ac:dyDescent="0.25">
      <c r="A16" s="167"/>
      <c r="B16" s="44" t="str">
        <f>A16&amp;"-"&amp;IF(DAY(Variables!$A$2)&lt;10,0,"")&amp;DAY(Variables!$A$2)</f>
        <v>-01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6" s="31" t="e">
        <f>VLOOKUP(B16,'Train Runs'!$A$13:$A$99960,1,FALSE)</f>
        <v>#N/A</v>
      </c>
      <c r="K16" s="31" t="e">
        <f t="shared" si="2"/>
        <v>#N/A</v>
      </c>
    </row>
    <row r="17" spans="1:11" x14ac:dyDescent="0.25">
      <c r="A17" s="167"/>
      <c r="B17" s="44" t="str">
        <f>A17&amp;"-"&amp;IF(DAY(Variables!$A$2)&lt;10,0,"")&amp;DAY(Variables!$A$2)</f>
        <v>-01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7" s="31" t="e">
        <f>VLOOKUP(B17,'Train Runs'!$A$13:$A$99960,1,FALSE)</f>
        <v>#N/A</v>
      </c>
      <c r="K17" s="31" t="e">
        <f t="shared" si="2"/>
        <v>#N/A</v>
      </c>
    </row>
    <row r="18" spans="1:11" x14ac:dyDescent="0.25">
      <c r="A18" s="167"/>
      <c r="B18" s="44" t="str">
        <f>A18&amp;"-"&amp;IF(DAY(Variables!$A$2)&lt;10,0,"")&amp;DAY(Variables!$A$2)</f>
        <v>-01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8" s="31" t="e">
        <f>VLOOKUP(B18,'Train Runs'!$A$13:$A$99960,1,FALSE)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247</v>
      </c>
      <c r="G1" s="8" t="s">
        <v>246</v>
      </c>
    </row>
    <row r="2" spans="1:7" x14ac:dyDescent="0.25">
      <c r="A2" s="8">
        <v>42736.033460648148</v>
      </c>
      <c r="B2" s="21" t="s">
        <v>327</v>
      </c>
      <c r="C2" s="21" t="s">
        <v>468</v>
      </c>
      <c r="D2" s="160">
        <v>2270000</v>
      </c>
      <c r="E2" s="21" t="s">
        <v>302</v>
      </c>
      <c r="F2" s="21" t="s">
        <v>303</v>
      </c>
      <c r="G2" s="8" t="str">
        <f>E2&amp;" "&amp;F2</f>
        <v>BROWN JACOB</v>
      </c>
    </row>
    <row r="3" spans="1:7" x14ac:dyDescent="0.25">
      <c r="A3" s="8">
        <v>42736.037372685183</v>
      </c>
      <c r="B3" s="21" t="s">
        <v>274</v>
      </c>
      <c r="C3" s="21" t="s">
        <v>469</v>
      </c>
      <c r="D3" s="160">
        <v>2000000</v>
      </c>
      <c r="E3" s="21" t="s">
        <v>209</v>
      </c>
      <c r="F3" s="21" t="s">
        <v>245</v>
      </c>
      <c r="G3" s="8" t="str">
        <f t="shared" ref="G3:G66" si="0">E3&amp;" "&amp;F3</f>
        <v>STAMBAUGH JAMES</v>
      </c>
    </row>
    <row r="4" spans="1:7" x14ac:dyDescent="0.25">
      <c r="A4" s="8">
        <v>42736.05059027778</v>
      </c>
      <c r="B4" s="21" t="s">
        <v>470</v>
      </c>
      <c r="C4" s="21" t="s">
        <v>471</v>
      </c>
      <c r="D4" s="160">
        <v>2230000</v>
      </c>
      <c r="E4" s="21" t="s">
        <v>268</v>
      </c>
      <c r="F4" s="21" t="s">
        <v>254</v>
      </c>
      <c r="G4" s="8" t="str">
        <f t="shared" si="0"/>
        <v>SMITH MICHAEL</v>
      </c>
    </row>
    <row r="5" spans="1:7" x14ac:dyDescent="0.25">
      <c r="A5" s="8">
        <v>42736.056041666663</v>
      </c>
      <c r="B5" s="21" t="s">
        <v>251</v>
      </c>
      <c r="C5" s="21" t="s">
        <v>472</v>
      </c>
      <c r="D5" s="160">
        <v>2220000</v>
      </c>
      <c r="E5" s="21" t="s">
        <v>300</v>
      </c>
      <c r="F5" s="21" t="s">
        <v>301</v>
      </c>
      <c r="G5" s="8" t="str">
        <f t="shared" si="0"/>
        <v>HILLS DUSTIN</v>
      </c>
    </row>
    <row r="6" spans="1:7" x14ac:dyDescent="0.25">
      <c r="A6" s="8">
        <v>42736.071226851855</v>
      </c>
      <c r="B6" s="21" t="s">
        <v>240</v>
      </c>
      <c r="C6" s="21" t="s">
        <v>473</v>
      </c>
      <c r="D6" s="160">
        <v>2000000</v>
      </c>
      <c r="E6" s="21" t="s">
        <v>209</v>
      </c>
      <c r="F6" s="21" t="s">
        <v>245</v>
      </c>
      <c r="G6" s="8" t="str">
        <f t="shared" si="0"/>
        <v>STAMBAUGH JAMES</v>
      </c>
    </row>
    <row r="7" spans="1:7" x14ac:dyDescent="0.25">
      <c r="A7" s="8">
        <v>42736.076099537036</v>
      </c>
      <c r="B7" s="21" t="s">
        <v>345</v>
      </c>
      <c r="C7" s="21" t="s">
        <v>474</v>
      </c>
      <c r="D7" s="160">
        <v>2270000</v>
      </c>
      <c r="E7" s="21" t="s">
        <v>302</v>
      </c>
      <c r="F7" s="21" t="s">
        <v>303</v>
      </c>
      <c r="G7" s="8" t="str">
        <f t="shared" si="0"/>
        <v>BROWN JACOB</v>
      </c>
    </row>
    <row r="8" spans="1:7" x14ac:dyDescent="0.25">
      <c r="A8" s="8">
        <v>42736.093530092592</v>
      </c>
      <c r="B8" s="21" t="s">
        <v>475</v>
      </c>
      <c r="C8" s="21" t="s">
        <v>476</v>
      </c>
      <c r="D8" s="160">
        <v>2220000</v>
      </c>
      <c r="E8" s="21" t="s">
        <v>300</v>
      </c>
      <c r="F8" s="21" t="s">
        <v>301</v>
      </c>
      <c r="G8" s="8" t="str">
        <f t="shared" si="0"/>
        <v>HILLS DUSTIN</v>
      </c>
    </row>
    <row r="9" spans="1:7" ht="15.75" thickBot="1" x14ac:dyDescent="0.3">
      <c r="A9" s="25">
        <v>42736.114942129629</v>
      </c>
      <c r="B9" s="21" t="s">
        <v>327</v>
      </c>
      <c r="C9" s="21" t="s">
        <v>477</v>
      </c>
      <c r="D9" s="160">
        <v>2270000</v>
      </c>
      <c r="E9" s="21" t="s">
        <v>302</v>
      </c>
      <c r="F9" s="21" t="s">
        <v>303</v>
      </c>
      <c r="G9" s="8" t="str">
        <f t="shared" si="0"/>
        <v>BROWN JACOB</v>
      </c>
    </row>
    <row r="10" spans="1:7" x14ac:dyDescent="0.25">
      <c r="A10" s="8">
        <v>42736.123900462961</v>
      </c>
      <c r="B10" s="21" t="s">
        <v>260</v>
      </c>
      <c r="C10" s="21" t="s">
        <v>478</v>
      </c>
      <c r="D10" s="160">
        <v>2110000</v>
      </c>
      <c r="E10" s="21" t="s">
        <v>277</v>
      </c>
      <c r="F10" s="21" t="s">
        <v>278</v>
      </c>
      <c r="G10" s="8" t="str">
        <f t="shared" si="0"/>
        <v>OUN ZACK</v>
      </c>
    </row>
    <row r="11" spans="1:7" x14ac:dyDescent="0.25">
      <c r="A11" s="8">
        <v>42736.133136574077</v>
      </c>
      <c r="B11" s="21" t="s">
        <v>262</v>
      </c>
      <c r="C11" s="21" t="s">
        <v>479</v>
      </c>
      <c r="D11" s="160">
        <v>2110000</v>
      </c>
      <c r="E11" s="21" t="s">
        <v>277</v>
      </c>
      <c r="F11" s="21" t="s">
        <v>278</v>
      </c>
      <c r="G11" s="8" t="str">
        <f t="shared" si="0"/>
        <v>OUN ZACK</v>
      </c>
    </row>
    <row r="12" spans="1:7" x14ac:dyDescent="0.25">
      <c r="A12" s="8">
        <v>42736.141643518517</v>
      </c>
      <c r="B12" s="21" t="s">
        <v>344</v>
      </c>
      <c r="C12" s="21" t="s">
        <v>480</v>
      </c>
      <c r="D12" s="160">
        <v>2010000</v>
      </c>
      <c r="E12" s="21" t="s">
        <v>346</v>
      </c>
      <c r="F12" s="21" t="s">
        <v>347</v>
      </c>
      <c r="G12" s="8" t="str">
        <f t="shared" si="0"/>
        <v>MAELZER KURT</v>
      </c>
    </row>
    <row r="13" spans="1:7" x14ac:dyDescent="0.25">
      <c r="A13" s="8">
        <v>42736.154606481483</v>
      </c>
      <c r="B13" s="21" t="s">
        <v>212</v>
      </c>
      <c r="C13" s="21" t="s">
        <v>481</v>
      </c>
      <c r="D13" s="160">
        <v>2010000</v>
      </c>
      <c r="E13" s="21" t="s">
        <v>346</v>
      </c>
      <c r="F13" s="21" t="s">
        <v>347</v>
      </c>
      <c r="G13" s="8" t="str">
        <f t="shared" si="0"/>
        <v>MAELZER KURT</v>
      </c>
    </row>
    <row r="14" spans="1:7" x14ac:dyDescent="0.25">
      <c r="A14" s="8">
        <v>42736.162766203706</v>
      </c>
      <c r="B14" s="21" t="s">
        <v>210</v>
      </c>
      <c r="C14" s="21" t="s">
        <v>430</v>
      </c>
      <c r="D14" s="160">
        <v>2350000</v>
      </c>
      <c r="E14" s="21" t="s">
        <v>482</v>
      </c>
      <c r="F14" s="21" t="s">
        <v>483</v>
      </c>
      <c r="G14" s="8" t="str">
        <f t="shared" si="0"/>
        <v>BERLING GARY</v>
      </c>
    </row>
    <row r="15" spans="1:7" x14ac:dyDescent="0.25">
      <c r="A15" s="8">
        <v>42736.164224537039</v>
      </c>
      <c r="B15" s="21" t="s">
        <v>210</v>
      </c>
      <c r="C15" s="21" t="s">
        <v>430</v>
      </c>
      <c r="D15" s="160">
        <v>2350000</v>
      </c>
      <c r="E15" s="21" t="s">
        <v>482</v>
      </c>
      <c r="F15" s="21" t="s">
        <v>483</v>
      </c>
      <c r="G15" s="8" t="str">
        <f t="shared" si="0"/>
        <v>BERLING GARY</v>
      </c>
    </row>
    <row r="16" spans="1:7" x14ac:dyDescent="0.25">
      <c r="A16" s="8">
        <v>42736.168969907405</v>
      </c>
      <c r="B16" s="21" t="s">
        <v>260</v>
      </c>
      <c r="C16" s="21" t="s">
        <v>484</v>
      </c>
      <c r="D16" s="160">
        <v>2110000</v>
      </c>
      <c r="E16" s="21" t="s">
        <v>277</v>
      </c>
      <c r="F16" s="21" t="s">
        <v>278</v>
      </c>
      <c r="G16" s="8" t="str">
        <f t="shared" si="0"/>
        <v>OUN ZACK</v>
      </c>
    </row>
    <row r="17" spans="1:7" x14ac:dyDescent="0.25">
      <c r="A17" s="8">
        <v>42736.175185185188</v>
      </c>
      <c r="B17" s="21" t="s">
        <v>183</v>
      </c>
      <c r="C17" s="21" t="s">
        <v>485</v>
      </c>
      <c r="D17" s="160">
        <v>2350000</v>
      </c>
      <c r="E17" s="21" t="s">
        <v>482</v>
      </c>
      <c r="F17" s="21" t="s">
        <v>483</v>
      </c>
      <c r="G17" s="8" t="str">
        <f t="shared" si="0"/>
        <v>BERLING GARY</v>
      </c>
    </row>
    <row r="18" spans="1:7" x14ac:dyDescent="0.25">
      <c r="A18" s="8">
        <v>42736.177106481482</v>
      </c>
      <c r="B18" s="21" t="s">
        <v>440</v>
      </c>
      <c r="C18" s="21" t="s">
        <v>486</v>
      </c>
      <c r="D18" s="160">
        <v>1990000</v>
      </c>
      <c r="E18" s="21" t="s">
        <v>255</v>
      </c>
      <c r="F18" s="21" t="s">
        <v>487</v>
      </c>
      <c r="G18" s="8" t="str">
        <f t="shared" si="0"/>
        <v>DAVIS WENDY</v>
      </c>
    </row>
    <row r="19" spans="1:7" x14ac:dyDescent="0.25">
      <c r="A19" s="8">
        <v>42736.180868055555</v>
      </c>
      <c r="B19" s="21" t="s">
        <v>431</v>
      </c>
      <c r="C19" s="21" t="s">
        <v>488</v>
      </c>
      <c r="D19" s="160">
        <v>2140000</v>
      </c>
      <c r="E19" s="21" t="s">
        <v>489</v>
      </c>
      <c r="F19" s="21" t="s">
        <v>490</v>
      </c>
      <c r="G19" s="8" t="str">
        <f t="shared" si="0"/>
        <v>ROBINSON KADDIBA</v>
      </c>
    </row>
    <row r="20" spans="1:7" x14ac:dyDescent="0.25">
      <c r="A20" s="8">
        <v>42736.186666666668</v>
      </c>
      <c r="B20" s="21" t="s">
        <v>214</v>
      </c>
      <c r="C20" s="21" t="s">
        <v>491</v>
      </c>
      <c r="D20" s="160">
        <v>1990000</v>
      </c>
      <c r="E20" s="21" t="s">
        <v>255</v>
      </c>
      <c r="F20" s="21" t="s">
        <v>487</v>
      </c>
      <c r="G20" s="8" t="str">
        <f t="shared" si="0"/>
        <v>DAVIS WENDY</v>
      </c>
    </row>
    <row r="21" spans="1:7" x14ac:dyDescent="0.25">
      <c r="A21" s="8">
        <v>42736.189143518517</v>
      </c>
      <c r="B21" s="21" t="s">
        <v>344</v>
      </c>
      <c r="C21" s="21" t="s">
        <v>492</v>
      </c>
      <c r="D21" s="160">
        <v>2010000</v>
      </c>
      <c r="E21" s="21" t="s">
        <v>346</v>
      </c>
      <c r="F21" s="21" t="s">
        <v>347</v>
      </c>
      <c r="G21" s="8" t="str">
        <f t="shared" si="0"/>
        <v>MAELZER KURT</v>
      </c>
    </row>
    <row r="22" spans="1:7" x14ac:dyDescent="0.25">
      <c r="A22" s="27">
        <v>42736.195925925924</v>
      </c>
      <c r="B22" s="21" t="s">
        <v>470</v>
      </c>
      <c r="C22" s="21" t="s">
        <v>493</v>
      </c>
      <c r="D22" s="160">
        <v>2140000</v>
      </c>
      <c r="E22" s="21" t="s">
        <v>489</v>
      </c>
      <c r="F22" s="21" t="s">
        <v>490</v>
      </c>
      <c r="G22" s="8" t="str">
        <f t="shared" si="0"/>
        <v>ROBINSON KADDIBA</v>
      </c>
    </row>
    <row r="23" spans="1:7" x14ac:dyDescent="0.25">
      <c r="A23" s="8">
        <v>42736.206805555557</v>
      </c>
      <c r="B23" s="21" t="s">
        <v>262</v>
      </c>
      <c r="C23" s="21" t="s">
        <v>494</v>
      </c>
      <c r="D23" s="160">
        <v>1100000</v>
      </c>
      <c r="E23" s="21" t="s">
        <v>495</v>
      </c>
      <c r="F23" s="21" t="s">
        <v>496</v>
      </c>
      <c r="G23" s="8" t="str">
        <f t="shared" si="0"/>
        <v>GEBRETEKLE DAGNEW</v>
      </c>
    </row>
    <row r="24" spans="1:7" x14ac:dyDescent="0.25">
      <c r="A24" s="8">
        <v>42736.213692129626</v>
      </c>
      <c r="B24" s="21" t="s">
        <v>225</v>
      </c>
      <c r="C24" s="21" t="s">
        <v>497</v>
      </c>
      <c r="D24" s="160">
        <v>2110000</v>
      </c>
      <c r="E24" s="21" t="s">
        <v>277</v>
      </c>
      <c r="F24" s="21" t="s">
        <v>278</v>
      </c>
      <c r="G24" s="8" t="str">
        <f t="shared" si="0"/>
        <v>OUN ZACK</v>
      </c>
    </row>
    <row r="25" spans="1:7" x14ac:dyDescent="0.25">
      <c r="A25" s="8">
        <v>42736.214618055557</v>
      </c>
      <c r="B25" s="21" t="s">
        <v>210</v>
      </c>
      <c r="C25" s="21" t="s">
        <v>433</v>
      </c>
      <c r="D25" s="160">
        <v>2350000</v>
      </c>
      <c r="E25" s="21" t="s">
        <v>482</v>
      </c>
      <c r="F25" s="21" t="s">
        <v>483</v>
      </c>
      <c r="G25" s="8" t="str">
        <f t="shared" si="0"/>
        <v>BERLING GARY</v>
      </c>
    </row>
    <row r="26" spans="1:7" x14ac:dyDescent="0.25">
      <c r="A26" s="8">
        <v>42736.219780092593</v>
      </c>
      <c r="B26" s="21" t="s">
        <v>440</v>
      </c>
      <c r="C26" s="21" t="s">
        <v>498</v>
      </c>
      <c r="D26" s="160">
        <v>1990000</v>
      </c>
      <c r="E26" s="21" t="s">
        <v>255</v>
      </c>
      <c r="F26" s="21" t="s">
        <v>487</v>
      </c>
      <c r="G26" s="8" t="str">
        <f t="shared" si="0"/>
        <v>DAVIS WENDY</v>
      </c>
    </row>
    <row r="27" spans="1:7" x14ac:dyDescent="0.25">
      <c r="A27" s="8">
        <v>42736.225624999999</v>
      </c>
      <c r="B27" s="21" t="s">
        <v>275</v>
      </c>
      <c r="C27" s="21" t="s">
        <v>499</v>
      </c>
      <c r="D27" s="160">
        <v>1830000</v>
      </c>
      <c r="E27" s="21" t="s">
        <v>376</v>
      </c>
      <c r="F27" s="21" t="s">
        <v>377</v>
      </c>
      <c r="G27" s="8" t="str">
        <f t="shared" si="0"/>
        <v>YORK EDGAR</v>
      </c>
    </row>
    <row r="28" spans="1:7" x14ac:dyDescent="0.25">
      <c r="A28" s="8">
        <v>42736.229479166665</v>
      </c>
      <c r="B28" s="21" t="s">
        <v>212</v>
      </c>
      <c r="C28" s="21" t="s">
        <v>434</v>
      </c>
      <c r="D28" s="160">
        <v>2020000</v>
      </c>
      <c r="E28" s="21" t="s">
        <v>500</v>
      </c>
      <c r="F28" s="21" t="s">
        <v>378</v>
      </c>
      <c r="G28" s="8" t="str">
        <f t="shared" si="0"/>
        <v>SHOOK JOHN</v>
      </c>
    </row>
    <row r="29" spans="1:7" x14ac:dyDescent="0.25">
      <c r="A29" s="8">
        <v>42736.230682870373</v>
      </c>
      <c r="B29" s="21" t="s">
        <v>231</v>
      </c>
      <c r="C29" s="21" t="s">
        <v>501</v>
      </c>
      <c r="D29" s="160">
        <v>2010000</v>
      </c>
      <c r="E29" s="21" t="s">
        <v>346</v>
      </c>
      <c r="F29" s="21" t="s">
        <v>347</v>
      </c>
      <c r="G29" s="8" t="str">
        <f t="shared" si="0"/>
        <v>MAELZER KURT</v>
      </c>
    </row>
    <row r="30" spans="1:7" x14ac:dyDescent="0.25">
      <c r="A30" s="8">
        <v>42736.23369212963</v>
      </c>
      <c r="B30" s="21" t="s">
        <v>431</v>
      </c>
      <c r="C30" s="21" t="s">
        <v>432</v>
      </c>
      <c r="D30" s="160">
        <v>2140000</v>
      </c>
      <c r="E30" s="21" t="s">
        <v>489</v>
      </c>
      <c r="F30" s="21" t="s">
        <v>490</v>
      </c>
      <c r="G30" s="8" t="str">
        <f t="shared" si="0"/>
        <v>ROBINSON KADDIBA</v>
      </c>
    </row>
    <row r="31" spans="1:7" x14ac:dyDescent="0.25">
      <c r="A31" s="8">
        <v>42736.235509259262</v>
      </c>
      <c r="B31" s="21" t="s">
        <v>276</v>
      </c>
      <c r="C31" s="21" t="s">
        <v>502</v>
      </c>
      <c r="D31" s="160">
        <v>1830000</v>
      </c>
      <c r="E31" s="21" t="s">
        <v>376</v>
      </c>
      <c r="F31" s="21" t="s">
        <v>377</v>
      </c>
      <c r="G31" s="8" t="str">
        <f t="shared" si="0"/>
        <v>YORK EDGAR</v>
      </c>
    </row>
    <row r="32" spans="1:7" x14ac:dyDescent="0.25">
      <c r="A32" s="8">
        <v>42736.235914351855</v>
      </c>
      <c r="B32" s="21" t="s">
        <v>231</v>
      </c>
      <c r="C32" s="21" t="s">
        <v>501</v>
      </c>
      <c r="D32" s="160">
        <v>2010000</v>
      </c>
      <c r="E32" s="21" t="s">
        <v>346</v>
      </c>
      <c r="F32" s="21" t="s">
        <v>347</v>
      </c>
      <c r="G32" s="8" t="str">
        <f t="shared" si="0"/>
        <v>MAELZER KURT</v>
      </c>
    </row>
    <row r="33" spans="1:7" x14ac:dyDescent="0.25">
      <c r="A33" s="8">
        <v>42736.24491898148</v>
      </c>
      <c r="B33" s="21" t="s">
        <v>261</v>
      </c>
      <c r="C33" s="21" t="s">
        <v>503</v>
      </c>
      <c r="D33" s="160">
        <v>1100000</v>
      </c>
      <c r="E33" s="21" t="s">
        <v>495</v>
      </c>
      <c r="F33" s="21" t="s">
        <v>496</v>
      </c>
      <c r="G33" s="8" t="str">
        <f t="shared" si="0"/>
        <v>GEBRETEKLE DAGNEW</v>
      </c>
    </row>
    <row r="34" spans="1:7" x14ac:dyDescent="0.25">
      <c r="A34" s="8">
        <v>42736.248425925929</v>
      </c>
      <c r="B34" s="21" t="s">
        <v>275</v>
      </c>
      <c r="C34" s="21" t="s">
        <v>504</v>
      </c>
      <c r="D34" s="160">
        <v>1830000</v>
      </c>
      <c r="E34" s="21" t="s">
        <v>376</v>
      </c>
      <c r="F34" s="21" t="s">
        <v>377</v>
      </c>
      <c r="G34" s="8" t="str">
        <f t="shared" si="0"/>
        <v>YORK EDGAR</v>
      </c>
    </row>
    <row r="35" spans="1:7" x14ac:dyDescent="0.25">
      <c r="A35" s="8">
        <v>42736.251030092593</v>
      </c>
      <c r="B35" s="21" t="s">
        <v>183</v>
      </c>
      <c r="C35" s="21" t="s">
        <v>505</v>
      </c>
      <c r="D35" s="160">
        <v>2350000</v>
      </c>
      <c r="E35" s="21" t="s">
        <v>482</v>
      </c>
      <c r="F35" s="21" t="s">
        <v>483</v>
      </c>
      <c r="G35" s="8" t="str">
        <f t="shared" si="0"/>
        <v>BERLING GARY</v>
      </c>
    </row>
    <row r="36" spans="1:7" x14ac:dyDescent="0.25">
      <c r="A36" s="8">
        <v>42736.253020833334</v>
      </c>
      <c r="B36" s="21" t="s">
        <v>260</v>
      </c>
      <c r="C36" s="21" t="s">
        <v>506</v>
      </c>
      <c r="D36" s="160">
        <v>2110000</v>
      </c>
      <c r="E36" s="21" t="s">
        <v>277</v>
      </c>
      <c r="F36" s="21" t="s">
        <v>278</v>
      </c>
      <c r="G36" s="8" t="str">
        <f t="shared" si="0"/>
        <v>OUN ZACK</v>
      </c>
    </row>
    <row r="37" spans="1:7" x14ac:dyDescent="0.25">
      <c r="A37" s="8">
        <v>42736.262060185189</v>
      </c>
      <c r="B37" s="21" t="s">
        <v>214</v>
      </c>
      <c r="C37" s="21" t="s">
        <v>507</v>
      </c>
      <c r="D37" s="160">
        <v>1990000</v>
      </c>
      <c r="E37" s="21" t="s">
        <v>255</v>
      </c>
      <c r="F37" s="21" t="s">
        <v>487</v>
      </c>
      <c r="G37" s="8" t="str">
        <f t="shared" si="0"/>
        <v>DAVIS WENDY</v>
      </c>
    </row>
    <row r="38" spans="1:7" x14ac:dyDescent="0.25">
      <c r="A38" s="8">
        <v>42736.268472222226</v>
      </c>
      <c r="B38" s="21" t="s">
        <v>335</v>
      </c>
      <c r="C38" s="21" t="s">
        <v>508</v>
      </c>
      <c r="D38" s="160">
        <v>2020000</v>
      </c>
      <c r="E38" s="21" t="s">
        <v>500</v>
      </c>
      <c r="F38" s="21" t="s">
        <v>378</v>
      </c>
      <c r="G38" s="8" t="str">
        <f t="shared" si="0"/>
        <v>SHOOK JOHN</v>
      </c>
    </row>
    <row r="39" spans="1:7" x14ac:dyDescent="0.25">
      <c r="A39" s="8">
        <v>42736.270960648151</v>
      </c>
      <c r="B39" s="21" t="s">
        <v>470</v>
      </c>
      <c r="C39" s="21" t="s">
        <v>509</v>
      </c>
      <c r="D39" s="160">
        <v>2140000</v>
      </c>
      <c r="E39" s="21" t="s">
        <v>489</v>
      </c>
      <c r="F39" s="21" t="s">
        <v>490</v>
      </c>
      <c r="G39" s="8" t="str">
        <f t="shared" si="0"/>
        <v>ROBINSON KADDIBA</v>
      </c>
    </row>
    <row r="40" spans="1:7" x14ac:dyDescent="0.25">
      <c r="A40" s="8">
        <v>42736.276087962964</v>
      </c>
      <c r="B40" s="26" t="s">
        <v>276</v>
      </c>
      <c r="C40" s="21" t="s">
        <v>510</v>
      </c>
      <c r="D40" s="160">
        <v>1830000</v>
      </c>
      <c r="E40" s="21" t="s">
        <v>376</v>
      </c>
      <c r="F40" s="21" t="s">
        <v>377</v>
      </c>
      <c r="G40" s="8" t="str">
        <f t="shared" si="0"/>
        <v>YORK EDGAR</v>
      </c>
    </row>
    <row r="41" spans="1:7" x14ac:dyDescent="0.25">
      <c r="A41" s="8">
        <v>42736.277962962966</v>
      </c>
      <c r="B41" s="21" t="s">
        <v>344</v>
      </c>
      <c r="C41" s="21" t="s">
        <v>511</v>
      </c>
      <c r="D41" s="160">
        <v>2010000</v>
      </c>
      <c r="E41" s="21" t="s">
        <v>346</v>
      </c>
      <c r="F41" s="21" t="s">
        <v>347</v>
      </c>
      <c r="G41" s="8" t="str">
        <f t="shared" si="0"/>
        <v>MAELZER KURT</v>
      </c>
    </row>
    <row r="42" spans="1:7" x14ac:dyDescent="0.25">
      <c r="A42" s="8">
        <v>42736.278148148151</v>
      </c>
      <c r="B42" s="21" t="s">
        <v>262</v>
      </c>
      <c r="C42" s="21" t="s">
        <v>512</v>
      </c>
      <c r="D42" s="160">
        <v>1100000</v>
      </c>
      <c r="E42" s="21" t="s">
        <v>495</v>
      </c>
      <c r="F42" s="21" t="s">
        <v>496</v>
      </c>
      <c r="G42" s="8" t="str">
        <f t="shared" si="0"/>
        <v>GEBRETEKLE DAGNEW</v>
      </c>
    </row>
    <row r="43" spans="1:7" x14ac:dyDescent="0.25">
      <c r="A43" s="8">
        <v>42736.2893287037</v>
      </c>
      <c r="B43" s="21" t="s">
        <v>275</v>
      </c>
      <c r="C43" s="21" t="s">
        <v>513</v>
      </c>
      <c r="D43" s="160">
        <v>1830000</v>
      </c>
      <c r="E43" s="21" t="s">
        <v>376</v>
      </c>
      <c r="F43" s="21" t="s">
        <v>377</v>
      </c>
      <c r="G43" s="8" t="str">
        <f t="shared" si="0"/>
        <v>YORK EDGAR</v>
      </c>
    </row>
    <row r="44" spans="1:7" x14ac:dyDescent="0.25">
      <c r="A44" s="8">
        <v>42736.28943287037</v>
      </c>
      <c r="B44" s="21" t="s">
        <v>435</v>
      </c>
      <c r="C44" s="21" t="s">
        <v>436</v>
      </c>
      <c r="D44" s="160">
        <v>2350000</v>
      </c>
      <c r="E44" s="21" t="s">
        <v>482</v>
      </c>
      <c r="F44" s="21" t="s">
        <v>483</v>
      </c>
      <c r="G44" s="8" t="str">
        <f t="shared" si="0"/>
        <v>BERLING GARY</v>
      </c>
    </row>
    <row r="45" spans="1:7" x14ac:dyDescent="0.25">
      <c r="A45" s="8">
        <v>42736.290613425925</v>
      </c>
      <c r="B45" s="21" t="s">
        <v>225</v>
      </c>
      <c r="C45" s="21" t="s">
        <v>514</v>
      </c>
      <c r="D45" s="160">
        <v>2370000</v>
      </c>
      <c r="E45" s="21" t="s">
        <v>383</v>
      </c>
      <c r="F45" s="21" t="s">
        <v>384</v>
      </c>
      <c r="G45" s="8" t="str">
        <f t="shared" si="0"/>
        <v>DELGADO DIANAH</v>
      </c>
    </row>
    <row r="46" spans="1:7" x14ac:dyDescent="0.25">
      <c r="A46" s="8">
        <v>42736.298206018517</v>
      </c>
      <c r="B46" s="21" t="s">
        <v>440</v>
      </c>
      <c r="C46" s="21" t="s">
        <v>515</v>
      </c>
      <c r="D46" s="160">
        <v>1990000</v>
      </c>
      <c r="E46" s="21" t="s">
        <v>255</v>
      </c>
      <c r="F46" s="21" t="s">
        <v>487</v>
      </c>
      <c r="G46" s="8" t="str">
        <f t="shared" si="0"/>
        <v>DAVIS WENDY</v>
      </c>
    </row>
    <row r="47" spans="1:7" x14ac:dyDescent="0.25">
      <c r="A47" s="8">
        <v>42736.30064814815</v>
      </c>
      <c r="B47" s="21" t="s">
        <v>212</v>
      </c>
      <c r="C47" s="21" t="s">
        <v>516</v>
      </c>
      <c r="D47" s="160">
        <v>2020000</v>
      </c>
      <c r="E47" s="21" t="s">
        <v>500</v>
      </c>
      <c r="F47" s="21" t="s">
        <v>378</v>
      </c>
      <c r="G47" s="8" t="str">
        <f t="shared" si="0"/>
        <v>SHOOK JOHN</v>
      </c>
    </row>
    <row r="48" spans="1:7" x14ac:dyDescent="0.25">
      <c r="A48" s="8">
        <v>42736.302407407406</v>
      </c>
      <c r="B48" s="21" t="s">
        <v>431</v>
      </c>
      <c r="C48" s="21" t="s">
        <v>437</v>
      </c>
      <c r="D48" s="160">
        <v>2140000</v>
      </c>
      <c r="E48" s="21" t="s">
        <v>489</v>
      </c>
      <c r="F48" s="21" t="s">
        <v>490</v>
      </c>
      <c r="G48" s="8" t="str">
        <f t="shared" si="0"/>
        <v>ROBINSON KADDIBA</v>
      </c>
    </row>
    <row r="49" spans="1:7" x14ac:dyDescent="0.25">
      <c r="A49" s="8">
        <v>42736.309270833335</v>
      </c>
      <c r="B49" s="21" t="s">
        <v>231</v>
      </c>
      <c r="C49" s="21" t="s">
        <v>517</v>
      </c>
      <c r="D49" s="160">
        <v>2010000</v>
      </c>
      <c r="E49" s="21" t="s">
        <v>346</v>
      </c>
      <c r="F49" s="21" t="s">
        <v>347</v>
      </c>
      <c r="G49" s="8" t="str">
        <f t="shared" si="0"/>
        <v>MAELZER KURT</v>
      </c>
    </row>
    <row r="50" spans="1:7" x14ac:dyDescent="0.25">
      <c r="A50" s="8">
        <v>42736.316793981481</v>
      </c>
      <c r="B50" s="21" t="s">
        <v>261</v>
      </c>
      <c r="C50" s="21" t="s">
        <v>518</v>
      </c>
      <c r="D50" s="160">
        <v>1100000</v>
      </c>
      <c r="E50" s="21" t="s">
        <v>495</v>
      </c>
      <c r="F50" s="21" t="s">
        <v>496</v>
      </c>
      <c r="G50" s="8" t="str">
        <f t="shared" si="0"/>
        <v>GEBRETEKLE DAGNEW</v>
      </c>
    </row>
    <row r="51" spans="1:7" x14ac:dyDescent="0.25">
      <c r="A51" s="8">
        <v>42736.318842592591</v>
      </c>
      <c r="B51" s="21" t="s">
        <v>276</v>
      </c>
      <c r="C51" s="21" t="s">
        <v>519</v>
      </c>
      <c r="D51" s="160">
        <v>1830000</v>
      </c>
      <c r="E51" s="21" t="s">
        <v>376</v>
      </c>
      <c r="F51" s="21" t="s">
        <v>377</v>
      </c>
      <c r="G51" s="8" t="str">
        <f t="shared" si="0"/>
        <v>YORK EDGAR</v>
      </c>
    </row>
    <row r="52" spans="1:7" x14ac:dyDescent="0.25">
      <c r="A52" s="8">
        <v>42736.32135416667</v>
      </c>
      <c r="B52" s="21" t="s">
        <v>260</v>
      </c>
      <c r="C52" s="21" t="s">
        <v>520</v>
      </c>
      <c r="D52" s="160">
        <v>2370000</v>
      </c>
      <c r="E52" s="21" t="s">
        <v>383</v>
      </c>
      <c r="F52" s="21" t="s">
        <v>384</v>
      </c>
      <c r="G52" s="8" t="str">
        <f t="shared" si="0"/>
        <v>DELGADO DIANAH</v>
      </c>
    </row>
    <row r="53" spans="1:7" x14ac:dyDescent="0.25">
      <c r="A53" s="8">
        <v>42736.322280092594</v>
      </c>
      <c r="B53" s="21" t="s">
        <v>183</v>
      </c>
      <c r="C53" s="21" t="s">
        <v>521</v>
      </c>
      <c r="D53" s="160">
        <v>2350000</v>
      </c>
      <c r="E53" s="21" t="s">
        <v>482</v>
      </c>
      <c r="F53" s="21" t="s">
        <v>483</v>
      </c>
      <c r="G53" s="8" t="str">
        <f t="shared" si="0"/>
        <v>BERLING GARY</v>
      </c>
    </row>
    <row r="54" spans="1:7" x14ac:dyDescent="0.25">
      <c r="A54" s="8">
        <v>42736.329594907409</v>
      </c>
      <c r="B54" s="21" t="s">
        <v>214</v>
      </c>
      <c r="C54" s="21" t="s">
        <v>522</v>
      </c>
      <c r="D54" s="160">
        <v>1990000</v>
      </c>
      <c r="E54" s="21" t="s">
        <v>255</v>
      </c>
      <c r="F54" s="21" t="s">
        <v>487</v>
      </c>
      <c r="G54" s="8" t="str">
        <f t="shared" si="0"/>
        <v>DAVIS WENDY</v>
      </c>
    </row>
    <row r="55" spans="1:7" x14ac:dyDescent="0.25">
      <c r="A55" s="8">
        <v>42736.331412037034</v>
      </c>
      <c r="B55" s="21" t="s">
        <v>335</v>
      </c>
      <c r="C55" s="21" t="s">
        <v>523</v>
      </c>
      <c r="D55" s="160">
        <v>2020000</v>
      </c>
      <c r="E55" s="21" t="s">
        <v>500</v>
      </c>
      <c r="F55" s="21" t="s">
        <v>378</v>
      </c>
      <c r="G55" s="8" t="str">
        <f t="shared" si="0"/>
        <v>SHOOK JOHN</v>
      </c>
    </row>
    <row r="56" spans="1:7" x14ac:dyDescent="0.25">
      <c r="A56" s="8">
        <v>42736.332303240742</v>
      </c>
      <c r="B56" s="21" t="s">
        <v>275</v>
      </c>
      <c r="C56" s="21" t="s">
        <v>524</v>
      </c>
      <c r="D56" s="160">
        <v>1830000</v>
      </c>
      <c r="E56" s="21" t="s">
        <v>376</v>
      </c>
      <c r="F56" s="21" t="s">
        <v>377</v>
      </c>
      <c r="G56" s="8" t="str">
        <f t="shared" si="0"/>
        <v>YORK EDGAR</v>
      </c>
    </row>
    <row r="57" spans="1:7" x14ac:dyDescent="0.25">
      <c r="A57" s="8">
        <v>42736.341469907406</v>
      </c>
      <c r="B57" s="21" t="s">
        <v>470</v>
      </c>
      <c r="C57" s="21" t="s">
        <v>525</v>
      </c>
      <c r="D57" s="160">
        <v>2140000</v>
      </c>
      <c r="E57" s="21" t="s">
        <v>489</v>
      </c>
      <c r="F57" s="21" t="s">
        <v>490</v>
      </c>
      <c r="G57" s="8" t="str">
        <f t="shared" si="0"/>
        <v>ROBINSON KADDIBA</v>
      </c>
    </row>
    <row r="58" spans="1:7" x14ac:dyDescent="0.25">
      <c r="A58" s="8">
        <v>42736.348252314812</v>
      </c>
      <c r="B58" s="21" t="s">
        <v>344</v>
      </c>
      <c r="C58" s="21" t="s">
        <v>439</v>
      </c>
      <c r="D58" s="160">
        <v>2010000</v>
      </c>
      <c r="E58" s="21" t="s">
        <v>346</v>
      </c>
      <c r="F58" s="21" t="s">
        <v>347</v>
      </c>
      <c r="G58" s="8" t="str">
        <f t="shared" si="0"/>
        <v>MAELZER KURT</v>
      </c>
    </row>
    <row r="59" spans="1:7" x14ac:dyDescent="0.25">
      <c r="A59" s="8">
        <v>42736.350497685184</v>
      </c>
      <c r="B59" s="21" t="s">
        <v>262</v>
      </c>
      <c r="C59" s="21" t="s">
        <v>526</v>
      </c>
      <c r="D59" s="160">
        <v>1100000</v>
      </c>
      <c r="E59" s="21" t="s">
        <v>495</v>
      </c>
      <c r="F59" s="21" t="s">
        <v>496</v>
      </c>
      <c r="G59" s="8" t="str">
        <f t="shared" si="0"/>
        <v>GEBRETEKLE DAGNEW</v>
      </c>
    </row>
    <row r="60" spans="1:7" x14ac:dyDescent="0.25">
      <c r="A60" s="8">
        <v>42736.358460648145</v>
      </c>
      <c r="B60" s="21" t="s">
        <v>435</v>
      </c>
      <c r="C60" s="21" t="s">
        <v>527</v>
      </c>
      <c r="D60" s="160">
        <v>2350000</v>
      </c>
      <c r="E60" s="21" t="s">
        <v>482</v>
      </c>
      <c r="F60" s="21" t="s">
        <v>483</v>
      </c>
      <c r="G60" s="8" t="str">
        <f t="shared" si="0"/>
        <v>BERLING GARY</v>
      </c>
    </row>
    <row r="61" spans="1:7" x14ac:dyDescent="0.25">
      <c r="A61" s="8">
        <v>42736.359930555554</v>
      </c>
      <c r="B61" s="21" t="s">
        <v>276</v>
      </c>
      <c r="C61" s="21" t="s">
        <v>438</v>
      </c>
      <c r="D61" s="160">
        <v>1830000</v>
      </c>
      <c r="E61" s="21" t="s">
        <v>376</v>
      </c>
      <c r="F61" s="21" t="s">
        <v>377</v>
      </c>
      <c r="G61" s="8" t="str">
        <f t="shared" si="0"/>
        <v>YORK EDGAR</v>
      </c>
    </row>
    <row r="62" spans="1:7" x14ac:dyDescent="0.25">
      <c r="A62" s="8">
        <v>42736.360520833332</v>
      </c>
      <c r="B62" s="21" t="s">
        <v>225</v>
      </c>
      <c r="C62" s="21" t="s">
        <v>528</v>
      </c>
      <c r="D62" s="160">
        <v>2110000</v>
      </c>
      <c r="E62" s="21" t="s">
        <v>277</v>
      </c>
      <c r="F62" s="21" t="s">
        <v>278</v>
      </c>
      <c r="G62" s="8" t="str">
        <f t="shared" si="0"/>
        <v>OUN ZACK</v>
      </c>
    </row>
    <row r="63" spans="1:7" x14ac:dyDescent="0.25">
      <c r="A63" s="8">
        <v>42736.369062500002</v>
      </c>
      <c r="B63" s="21" t="s">
        <v>440</v>
      </c>
      <c r="C63" s="21" t="s">
        <v>441</v>
      </c>
      <c r="D63" s="160">
        <v>1990000</v>
      </c>
      <c r="E63" s="21" t="s">
        <v>255</v>
      </c>
      <c r="F63" s="21" t="s">
        <v>487</v>
      </c>
      <c r="G63" s="8" t="str">
        <f t="shared" si="0"/>
        <v>DAVIS WENDY</v>
      </c>
    </row>
    <row r="64" spans="1:7" x14ac:dyDescent="0.25">
      <c r="A64" s="27">
        <v>42736.372453703705</v>
      </c>
      <c r="B64" s="21" t="s">
        <v>212</v>
      </c>
      <c r="C64" s="21" t="s">
        <v>529</v>
      </c>
      <c r="D64" s="160">
        <v>2020000</v>
      </c>
      <c r="E64" s="21" t="s">
        <v>500</v>
      </c>
      <c r="F64" s="21" t="s">
        <v>378</v>
      </c>
      <c r="G64" s="8" t="str">
        <f t="shared" si="0"/>
        <v>SHOOK JOHN</v>
      </c>
    </row>
    <row r="65" spans="1:7" x14ac:dyDescent="0.25">
      <c r="A65" s="8">
        <v>42736.373055555552</v>
      </c>
      <c r="B65" s="21" t="s">
        <v>275</v>
      </c>
      <c r="C65" s="21" t="s">
        <v>530</v>
      </c>
      <c r="D65" s="160">
        <v>1830000</v>
      </c>
      <c r="E65" s="21" t="s">
        <v>376</v>
      </c>
      <c r="F65" s="21" t="s">
        <v>377</v>
      </c>
      <c r="G65" s="8" t="str">
        <f t="shared" si="0"/>
        <v>YORK EDGAR</v>
      </c>
    </row>
    <row r="66" spans="1:7" x14ac:dyDescent="0.25">
      <c r="A66" s="8">
        <v>42736.376817129632</v>
      </c>
      <c r="B66" s="21" t="s">
        <v>431</v>
      </c>
      <c r="C66" s="21" t="s">
        <v>531</v>
      </c>
      <c r="D66" s="160">
        <v>2140000</v>
      </c>
      <c r="E66" s="21" t="s">
        <v>489</v>
      </c>
      <c r="F66" s="21" t="s">
        <v>490</v>
      </c>
      <c r="G66" s="8" t="str">
        <f t="shared" si="0"/>
        <v>ROBINSON KADDIBA</v>
      </c>
    </row>
    <row r="67" spans="1:7" x14ac:dyDescent="0.25">
      <c r="A67" s="8">
        <v>42736.382199074076</v>
      </c>
      <c r="B67" s="21" t="s">
        <v>231</v>
      </c>
      <c r="C67" s="21" t="s">
        <v>532</v>
      </c>
      <c r="D67" s="160">
        <v>2010000</v>
      </c>
      <c r="E67" s="21" t="s">
        <v>346</v>
      </c>
      <c r="F67" s="21" t="s">
        <v>347</v>
      </c>
      <c r="G67" s="8" t="str">
        <f t="shared" ref="G67:G130" si="1">E67&amp;" "&amp;F67</f>
        <v>MAELZER KURT</v>
      </c>
    </row>
    <row r="68" spans="1:7" x14ac:dyDescent="0.25">
      <c r="A68" s="8">
        <v>42736.387824074074</v>
      </c>
      <c r="B68" s="21" t="s">
        <v>261</v>
      </c>
      <c r="C68" s="21" t="s">
        <v>533</v>
      </c>
      <c r="D68" s="160">
        <v>1100000</v>
      </c>
      <c r="E68" s="21" t="s">
        <v>495</v>
      </c>
      <c r="F68" s="21" t="s">
        <v>496</v>
      </c>
      <c r="G68" s="8" t="str">
        <f t="shared" si="1"/>
        <v>GEBRETEKLE DAGNEW</v>
      </c>
    </row>
    <row r="69" spans="1:7" x14ac:dyDescent="0.25">
      <c r="A69" s="8">
        <v>42736.392997685187</v>
      </c>
      <c r="B69" s="21" t="s">
        <v>183</v>
      </c>
      <c r="C69" s="21" t="s">
        <v>534</v>
      </c>
      <c r="D69" s="160">
        <v>2350000</v>
      </c>
      <c r="E69" s="21" t="s">
        <v>482</v>
      </c>
      <c r="F69" s="21" t="s">
        <v>483</v>
      </c>
      <c r="G69" s="8" t="str">
        <f t="shared" si="1"/>
        <v>BERLING GARY</v>
      </c>
    </row>
    <row r="70" spans="1:7" x14ac:dyDescent="0.25">
      <c r="A70" s="8">
        <v>42736.398645833331</v>
      </c>
      <c r="B70" s="21" t="s">
        <v>260</v>
      </c>
      <c r="C70" s="21" t="s">
        <v>535</v>
      </c>
      <c r="D70" s="160">
        <v>2110000</v>
      </c>
      <c r="E70" s="21" t="s">
        <v>277</v>
      </c>
      <c r="F70" s="21" t="s">
        <v>278</v>
      </c>
      <c r="G70" s="8" t="str">
        <f t="shared" si="1"/>
        <v>OUN ZACK</v>
      </c>
    </row>
    <row r="71" spans="1:7" x14ac:dyDescent="0.25">
      <c r="A71" s="8">
        <v>42736.401342592595</v>
      </c>
      <c r="B71" s="21" t="s">
        <v>276</v>
      </c>
      <c r="C71" s="21" t="s">
        <v>536</v>
      </c>
      <c r="D71" s="160">
        <v>1830000</v>
      </c>
      <c r="E71" s="21" t="s">
        <v>376</v>
      </c>
      <c r="F71" s="21" t="s">
        <v>377</v>
      </c>
      <c r="G71" s="8" t="str">
        <f t="shared" si="1"/>
        <v>YORK EDGAR</v>
      </c>
    </row>
    <row r="72" spans="1:7" x14ac:dyDescent="0.25">
      <c r="A72" s="8">
        <v>42736.40420138889</v>
      </c>
      <c r="B72" s="21" t="s">
        <v>214</v>
      </c>
      <c r="C72" s="21" t="s">
        <v>537</v>
      </c>
      <c r="D72" s="160">
        <v>2150000</v>
      </c>
      <c r="E72" s="21" t="s">
        <v>538</v>
      </c>
      <c r="F72" s="21" t="s">
        <v>539</v>
      </c>
      <c r="G72" s="8" t="str">
        <f t="shared" si="1"/>
        <v>SWANSON BRYCE</v>
      </c>
    </row>
    <row r="73" spans="1:7" x14ac:dyDescent="0.25">
      <c r="A73" s="8">
        <v>42736.404282407406</v>
      </c>
      <c r="B73" s="21" t="s">
        <v>335</v>
      </c>
      <c r="C73" s="21" t="s">
        <v>540</v>
      </c>
      <c r="D73" s="160">
        <v>2020000</v>
      </c>
      <c r="E73" s="21" t="s">
        <v>500</v>
      </c>
      <c r="F73" s="21" t="s">
        <v>378</v>
      </c>
      <c r="G73" s="8" t="str">
        <f t="shared" si="1"/>
        <v>SHOOK JOHN</v>
      </c>
    </row>
    <row r="74" spans="1:7" x14ac:dyDescent="0.25">
      <c r="A74" s="8">
        <v>42736.413449074076</v>
      </c>
      <c r="B74" s="21" t="s">
        <v>470</v>
      </c>
      <c r="C74" s="21" t="s">
        <v>541</v>
      </c>
      <c r="D74" s="160">
        <v>2140000</v>
      </c>
      <c r="E74" s="21" t="s">
        <v>489</v>
      </c>
      <c r="F74" s="21" t="s">
        <v>490</v>
      </c>
      <c r="G74" s="8" t="str">
        <f t="shared" si="1"/>
        <v>ROBINSON KADDIBA</v>
      </c>
    </row>
    <row r="75" spans="1:7" x14ac:dyDescent="0.25">
      <c r="A75" s="8">
        <v>42736.414652777778</v>
      </c>
      <c r="B75" s="21" t="s">
        <v>275</v>
      </c>
      <c r="C75" s="21" t="s">
        <v>542</v>
      </c>
      <c r="D75" s="160">
        <v>1830000</v>
      </c>
      <c r="E75" s="21" t="s">
        <v>376</v>
      </c>
      <c r="F75" s="21" t="s">
        <v>377</v>
      </c>
      <c r="G75" s="8" t="str">
        <f t="shared" si="1"/>
        <v>YORK EDGAR</v>
      </c>
    </row>
    <row r="76" spans="1:7" x14ac:dyDescent="0.25">
      <c r="A76" s="8">
        <v>42736.418912037036</v>
      </c>
      <c r="B76" s="21" t="s">
        <v>543</v>
      </c>
      <c r="C76" s="21" t="s">
        <v>544</v>
      </c>
      <c r="D76" s="160">
        <v>1820000</v>
      </c>
      <c r="E76" s="21" t="s">
        <v>545</v>
      </c>
      <c r="F76" s="21" t="s">
        <v>546</v>
      </c>
      <c r="G76" s="8" t="str">
        <f t="shared" si="1"/>
        <v>ADANE ELSHADAY</v>
      </c>
    </row>
    <row r="77" spans="1:7" x14ac:dyDescent="0.25">
      <c r="A77" s="8">
        <v>42736.420763888891</v>
      </c>
      <c r="B77" s="21" t="s">
        <v>344</v>
      </c>
      <c r="C77" s="21" t="s">
        <v>443</v>
      </c>
      <c r="D77" s="160">
        <v>2010000</v>
      </c>
      <c r="E77" s="21" t="s">
        <v>346</v>
      </c>
      <c r="F77" s="21" t="s">
        <v>347</v>
      </c>
      <c r="G77" s="8" t="str">
        <f t="shared" si="1"/>
        <v>MAELZER KURT</v>
      </c>
    </row>
    <row r="78" spans="1:7" x14ac:dyDescent="0.25">
      <c r="A78" s="8">
        <v>42736.422708333332</v>
      </c>
      <c r="B78" s="21" t="s">
        <v>262</v>
      </c>
      <c r="C78" s="21" t="s">
        <v>442</v>
      </c>
      <c r="D78" s="160">
        <v>1100000</v>
      </c>
      <c r="E78" s="21" t="s">
        <v>495</v>
      </c>
      <c r="F78" s="21" t="s">
        <v>496</v>
      </c>
      <c r="G78" s="8" t="str">
        <f t="shared" si="1"/>
        <v>GEBRETEKLE DAGNEW</v>
      </c>
    </row>
    <row r="79" spans="1:7" x14ac:dyDescent="0.25">
      <c r="A79" s="8">
        <v>42736.428506944445</v>
      </c>
      <c r="B79" s="21" t="s">
        <v>435</v>
      </c>
      <c r="C79" s="21" t="s">
        <v>547</v>
      </c>
      <c r="D79" s="160">
        <v>2350000</v>
      </c>
      <c r="E79" s="21" t="s">
        <v>482</v>
      </c>
      <c r="F79" s="21" t="s">
        <v>483</v>
      </c>
      <c r="G79" s="8" t="str">
        <f t="shared" si="1"/>
        <v>BERLING GARY</v>
      </c>
    </row>
    <row r="80" spans="1:7" x14ac:dyDescent="0.25">
      <c r="A80" s="8">
        <v>42736.435254629629</v>
      </c>
      <c r="B80" s="21" t="s">
        <v>225</v>
      </c>
      <c r="C80" s="21" t="s">
        <v>444</v>
      </c>
      <c r="D80" s="160">
        <v>1820000</v>
      </c>
      <c r="E80" s="21" t="s">
        <v>545</v>
      </c>
      <c r="F80" s="21" t="s">
        <v>546</v>
      </c>
      <c r="G80" s="8" t="str">
        <f t="shared" si="1"/>
        <v>ADANE ELSHADAY</v>
      </c>
    </row>
    <row r="81" spans="1:7" x14ac:dyDescent="0.25">
      <c r="A81" s="8">
        <v>42736.436307870368</v>
      </c>
      <c r="B81" s="21" t="s">
        <v>440</v>
      </c>
      <c r="C81" s="21" t="s">
        <v>548</v>
      </c>
      <c r="D81" s="160">
        <v>2150000</v>
      </c>
      <c r="E81" s="21" t="s">
        <v>538</v>
      </c>
      <c r="F81" s="21" t="s">
        <v>539</v>
      </c>
      <c r="G81" s="8" t="str">
        <f t="shared" si="1"/>
        <v>SWANSON BRYCE</v>
      </c>
    </row>
    <row r="82" spans="1:7" x14ac:dyDescent="0.25">
      <c r="A82" s="8">
        <v>42736.437083333331</v>
      </c>
      <c r="B82" s="21" t="s">
        <v>549</v>
      </c>
      <c r="C82" s="21" t="s">
        <v>550</v>
      </c>
      <c r="D82" s="160">
        <v>2110000</v>
      </c>
      <c r="E82" s="21" t="s">
        <v>277</v>
      </c>
      <c r="F82" s="21" t="s">
        <v>278</v>
      </c>
      <c r="G82" s="8" t="str">
        <f t="shared" si="1"/>
        <v>OUN ZACK</v>
      </c>
    </row>
    <row r="83" spans="1:7" x14ac:dyDescent="0.25">
      <c r="A83" s="8">
        <v>42736.443611111114</v>
      </c>
      <c r="B83" s="21" t="s">
        <v>276</v>
      </c>
      <c r="C83" s="21" t="s">
        <v>551</v>
      </c>
      <c r="D83" s="160">
        <v>1830000</v>
      </c>
      <c r="E83" s="21" t="s">
        <v>376</v>
      </c>
      <c r="F83" s="21" t="s">
        <v>377</v>
      </c>
      <c r="G83" s="8" t="str">
        <f t="shared" si="1"/>
        <v>YORK EDGAR</v>
      </c>
    </row>
    <row r="84" spans="1:7" x14ac:dyDescent="0.25">
      <c r="A84" s="8">
        <v>42736.444074074076</v>
      </c>
      <c r="B84" s="21" t="s">
        <v>212</v>
      </c>
      <c r="C84" s="21" t="s">
        <v>552</v>
      </c>
      <c r="D84" s="160">
        <v>2020000</v>
      </c>
      <c r="E84" s="21" t="s">
        <v>500</v>
      </c>
      <c r="F84" s="21" t="s">
        <v>378</v>
      </c>
      <c r="G84" s="8" t="str">
        <f t="shared" si="1"/>
        <v>SHOOK JOHN</v>
      </c>
    </row>
    <row r="85" spans="1:7" x14ac:dyDescent="0.25">
      <c r="A85" s="8">
        <v>42736.445173611108</v>
      </c>
      <c r="B85" s="21" t="s">
        <v>212</v>
      </c>
      <c r="C85" s="21" t="s">
        <v>552</v>
      </c>
      <c r="D85" s="160">
        <v>2020000</v>
      </c>
      <c r="E85" s="21" t="s">
        <v>500</v>
      </c>
      <c r="F85" s="21" t="s">
        <v>378</v>
      </c>
      <c r="G85" s="8" t="str">
        <f t="shared" si="1"/>
        <v>SHOOK JOHN</v>
      </c>
    </row>
    <row r="86" spans="1:7" x14ac:dyDescent="0.25">
      <c r="A86" s="8">
        <v>42736.452106481483</v>
      </c>
      <c r="B86" s="21" t="s">
        <v>431</v>
      </c>
      <c r="C86" s="21" t="s">
        <v>445</v>
      </c>
      <c r="D86" s="160">
        <v>2140000</v>
      </c>
      <c r="E86" s="21" t="s">
        <v>489</v>
      </c>
      <c r="F86" s="21" t="s">
        <v>490</v>
      </c>
      <c r="G86" s="8" t="str">
        <f t="shared" si="1"/>
        <v>ROBINSON KADDIBA</v>
      </c>
    </row>
    <row r="87" spans="1:7" x14ac:dyDescent="0.25">
      <c r="A87" s="8">
        <v>42736.455300925925</v>
      </c>
      <c r="B87" s="21" t="s">
        <v>231</v>
      </c>
      <c r="C87" s="21" t="s">
        <v>553</v>
      </c>
      <c r="D87" s="160">
        <v>880000</v>
      </c>
      <c r="E87" s="21" t="s">
        <v>554</v>
      </c>
      <c r="F87" s="21" t="s">
        <v>254</v>
      </c>
      <c r="G87" s="8" t="str">
        <f t="shared" si="1"/>
        <v>STEWART MICHAEL</v>
      </c>
    </row>
    <row r="88" spans="1:7" x14ac:dyDescent="0.25">
      <c r="A88" s="8">
        <v>42736.457719907405</v>
      </c>
      <c r="B88" s="21" t="s">
        <v>275</v>
      </c>
      <c r="C88" s="21" t="s">
        <v>555</v>
      </c>
      <c r="D88" s="160">
        <v>1830000</v>
      </c>
      <c r="E88" s="21" t="s">
        <v>376</v>
      </c>
      <c r="F88" s="21" t="s">
        <v>377</v>
      </c>
      <c r="G88" s="8" t="str">
        <f t="shared" si="1"/>
        <v>YORK EDGAR</v>
      </c>
    </row>
    <row r="89" spans="1:7" x14ac:dyDescent="0.25">
      <c r="A89" s="8">
        <v>42736.461921296293</v>
      </c>
      <c r="B89" s="21" t="s">
        <v>261</v>
      </c>
      <c r="C89" s="21" t="s">
        <v>556</v>
      </c>
      <c r="D89" s="160">
        <v>1100000</v>
      </c>
      <c r="E89" s="21" t="s">
        <v>495</v>
      </c>
      <c r="F89" s="21" t="s">
        <v>496</v>
      </c>
      <c r="G89" s="8" t="str">
        <f t="shared" si="1"/>
        <v>GEBRETEKLE DAGNEW</v>
      </c>
    </row>
    <row r="90" spans="1:7" x14ac:dyDescent="0.25">
      <c r="A90" s="8">
        <v>42736.467685185184</v>
      </c>
      <c r="B90" s="21" t="s">
        <v>183</v>
      </c>
      <c r="C90" s="21" t="s">
        <v>557</v>
      </c>
      <c r="D90" s="160">
        <v>920000</v>
      </c>
      <c r="E90" s="21" t="s">
        <v>255</v>
      </c>
      <c r="F90" s="21" t="s">
        <v>254</v>
      </c>
      <c r="G90" s="8" t="str">
        <f t="shared" si="1"/>
        <v>DAVIS MICHAEL</v>
      </c>
    </row>
    <row r="91" spans="1:7" x14ac:dyDescent="0.25">
      <c r="A91" s="8">
        <v>42736.469166666669</v>
      </c>
      <c r="B91" s="21" t="s">
        <v>260</v>
      </c>
      <c r="C91" s="21" t="s">
        <v>446</v>
      </c>
      <c r="D91" s="160">
        <v>1820000</v>
      </c>
      <c r="E91" s="21" t="s">
        <v>545</v>
      </c>
      <c r="F91" s="21" t="s">
        <v>546</v>
      </c>
      <c r="G91" s="8" t="str">
        <f t="shared" si="1"/>
        <v>ADANE ELSHADAY</v>
      </c>
    </row>
    <row r="92" spans="1:7" x14ac:dyDescent="0.25">
      <c r="A92" s="8">
        <v>42736.476840277777</v>
      </c>
      <c r="B92" s="21" t="s">
        <v>335</v>
      </c>
      <c r="C92" s="21" t="s">
        <v>447</v>
      </c>
      <c r="D92" s="160">
        <v>2020000</v>
      </c>
      <c r="E92" s="21" t="s">
        <v>500</v>
      </c>
      <c r="F92" s="21" t="s">
        <v>378</v>
      </c>
      <c r="G92" s="8" t="str">
        <f t="shared" si="1"/>
        <v>SHOOK JOHN</v>
      </c>
    </row>
    <row r="93" spans="1:7" x14ac:dyDescent="0.25">
      <c r="A93" s="8">
        <v>42736.477777777778</v>
      </c>
      <c r="B93" s="21" t="s">
        <v>214</v>
      </c>
      <c r="C93" s="21" t="s">
        <v>558</v>
      </c>
      <c r="D93" s="160">
        <v>1300000</v>
      </c>
      <c r="E93" s="21" t="s">
        <v>113</v>
      </c>
      <c r="F93" s="21" t="s">
        <v>559</v>
      </c>
      <c r="G93" s="8" t="str">
        <f t="shared" si="1"/>
        <v>LEVIN SCOTT</v>
      </c>
    </row>
    <row r="94" spans="1:7" x14ac:dyDescent="0.25">
      <c r="A94" s="8">
        <v>42736.485324074078</v>
      </c>
      <c r="B94" s="21" t="s">
        <v>276</v>
      </c>
      <c r="C94" s="21" t="s">
        <v>560</v>
      </c>
      <c r="D94" s="160">
        <v>1830000</v>
      </c>
      <c r="E94" s="21" t="s">
        <v>376</v>
      </c>
      <c r="F94" s="21" t="s">
        <v>377</v>
      </c>
      <c r="G94" s="8" t="str">
        <f t="shared" si="1"/>
        <v>YORK EDGAR</v>
      </c>
    </row>
    <row r="95" spans="1:7" x14ac:dyDescent="0.25">
      <c r="A95" s="8">
        <v>42736.488043981481</v>
      </c>
      <c r="B95" s="21" t="s">
        <v>470</v>
      </c>
      <c r="C95" s="21" t="s">
        <v>561</v>
      </c>
      <c r="D95" s="160">
        <v>1770000</v>
      </c>
      <c r="E95" s="21" t="s">
        <v>381</v>
      </c>
      <c r="F95" s="21" t="s">
        <v>382</v>
      </c>
      <c r="G95" s="8" t="str">
        <f t="shared" si="1"/>
        <v>BRUDER RICHARD</v>
      </c>
    </row>
    <row r="96" spans="1:7" x14ac:dyDescent="0.25">
      <c r="A96" s="8">
        <v>42736.496087962965</v>
      </c>
      <c r="B96" s="21" t="s">
        <v>344</v>
      </c>
      <c r="C96" s="21" t="s">
        <v>562</v>
      </c>
      <c r="D96" s="160">
        <v>880000</v>
      </c>
      <c r="E96" s="21" t="s">
        <v>554</v>
      </c>
      <c r="F96" s="21" t="s">
        <v>254</v>
      </c>
      <c r="G96" s="8" t="str">
        <f t="shared" si="1"/>
        <v>STEWART MICHAEL</v>
      </c>
    </row>
    <row r="97" spans="1:7" x14ac:dyDescent="0.25">
      <c r="A97" s="8">
        <v>42736.497418981482</v>
      </c>
      <c r="B97" s="21" t="s">
        <v>262</v>
      </c>
      <c r="C97" s="21" t="s">
        <v>563</v>
      </c>
      <c r="D97" s="160">
        <v>2530000</v>
      </c>
      <c r="E97" s="21" t="s">
        <v>235</v>
      </c>
      <c r="F97" s="21" t="s">
        <v>564</v>
      </c>
      <c r="G97" s="8" t="str">
        <f t="shared" si="1"/>
        <v>LALONDE GREGORY</v>
      </c>
    </row>
    <row r="98" spans="1:7" x14ac:dyDescent="0.25">
      <c r="A98" s="8">
        <v>42736.498564814814</v>
      </c>
      <c r="B98" s="21" t="s">
        <v>275</v>
      </c>
      <c r="C98" s="21" t="s">
        <v>565</v>
      </c>
      <c r="D98" s="160">
        <v>1830000</v>
      </c>
      <c r="E98" s="21" t="s">
        <v>376</v>
      </c>
      <c r="F98" s="21" t="s">
        <v>377</v>
      </c>
      <c r="G98" s="8" t="str">
        <f t="shared" si="1"/>
        <v>YORK EDGAR</v>
      </c>
    </row>
    <row r="99" spans="1:7" x14ac:dyDescent="0.25">
      <c r="A99" s="8">
        <v>42736.505787037036</v>
      </c>
      <c r="B99" s="21" t="s">
        <v>435</v>
      </c>
      <c r="C99" s="21" t="s">
        <v>448</v>
      </c>
      <c r="D99" s="160">
        <v>920000</v>
      </c>
      <c r="E99" s="21" t="s">
        <v>255</v>
      </c>
      <c r="F99" s="21" t="s">
        <v>254</v>
      </c>
      <c r="G99" s="8" t="str">
        <f t="shared" si="1"/>
        <v>DAVIS MICHAEL</v>
      </c>
    </row>
    <row r="100" spans="1:7" x14ac:dyDescent="0.25">
      <c r="A100" s="8">
        <v>42736.506053240744</v>
      </c>
      <c r="B100" s="21" t="s">
        <v>225</v>
      </c>
      <c r="C100" s="21" t="s">
        <v>566</v>
      </c>
      <c r="D100" s="160">
        <v>1820000</v>
      </c>
      <c r="E100" s="21" t="s">
        <v>545</v>
      </c>
      <c r="F100" s="21" t="s">
        <v>546</v>
      </c>
      <c r="G100" s="8" t="str">
        <f t="shared" si="1"/>
        <v>ADANE ELSHADAY</v>
      </c>
    </row>
    <row r="101" spans="1:7" x14ac:dyDescent="0.25">
      <c r="A101" s="8">
        <v>42736.51290509259</v>
      </c>
      <c r="B101" s="21" t="s">
        <v>440</v>
      </c>
      <c r="C101" s="21" t="s">
        <v>567</v>
      </c>
      <c r="D101" s="160">
        <v>1300000</v>
      </c>
      <c r="E101" s="21" t="s">
        <v>113</v>
      </c>
      <c r="F101" s="21" t="s">
        <v>559</v>
      </c>
      <c r="G101" s="8" t="str">
        <f t="shared" si="1"/>
        <v>LEVIN SCOTT</v>
      </c>
    </row>
    <row r="102" spans="1:7" x14ac:dyDescent="0.25">
      <c r="A102" s="8">
        <v>42736.518125000002</v>
      </c>
      <c r="B102" s="21" t="s">
        <v>212</v>
      </c>
      <c r="C102" s="21" t="s">
        <v>568</v>
      </c>
      <c r="D102" s="160">
        <v>2030000</v>
      </c>
      <c r="E102" s="21" t="s">
        <v>569</v>
      </c>
      <c r="F102" s="21" t="s">
        <v>570</v>
      </c>
      <c r="G102" s="8" t="str">
        <f t="shared" si="1"/>
        <v>KILLION DAVID</v>
      </c>
    </row>
    <row r="103" spans="1:7" x14ac:dyDescent="0.25">
      <c r="A103" s="8">
        <v>42736.524872685186</v>
      </c>
      <c r="B103" s="21" t="s">
        <v>431</v>
      </c>
      <c r="C103" s="21" t="s">
        <v>571</v>
      </c>
      <c r="D103" s="160">
        <v>1770000</v>
      </c>
      <c r="E103" s="21" t="s">
        <v>381</v>
      </c>
      <c r="F103" s="21" t="s">
        <v>382</v>
      </c>
      <c r="G103" s="8" t="str">
        <f t="shared" si="1"/>
        <v>BRUDER RICHARD</v>
      </c>
    </row>
    <row r="104" spans="1:7" x14ac:dyDescent="0.25">
      <c r="A104" s="8">
        <v>42736.525763888887</v>
      </c>
      <c r="B104" s="21" t="s">
        <v>276</v>
      </c>
      <c r="C104" s="21" t="s">
        <v>572</v>
      </c>
      <c r="D104" s="160">
        <v>1830000</v>
      </c>
      <c r="E104" s="21" t="s">
        <v>376</v>
      </c>
      <c r="F104" s="21" t="s">
        <v>377</v>
      </c>
      <c r="G104" s="8" t="str">
        <f t="shared" si="1"/>
        <v>YORK EDGAR</v>
      </c>
    </row>
    <row r="105" spans="1:7" x14ac:dyDescent="0.25">
      <c r="A105" s="8">
        <v>42736.527222222219</v>
      </c>
      <c r="B105" s="21" t="s">
        <v>231</v>
      </c>
      <c r="C105" s="21" t="s">
        <v>573</v>
      </c>
      <c r="D105" s="160">
        <v>880000</v>
      </c>
      <c r="E105" s="21" t="s">
        <v>554</v>
      </c>
      <c r="F105" s="21" t="s">
        <v>254</v>
      </c>
      <c r="G105" s="8" t="str">
        <f t="shared" si="1"/>
        <v>STEWART MICHAEL</v>
      </c>
    </row>
    <row r="106" spans="1:7" x14ac:dyDescent="0.25">
      <c r="A106" s="8">
        <v>42736.530636574076</v>
      </c>
      <c r="B106" s="21" t="s">
        <v>261</v>
      </c>
      <c r="C106" s="21" t="s">
        <v>574</v>
      </c>
      <c r="D106" s="160">
        <v>2530000</v>
      </c>
      <c r="E106" s="21" t="s">
        <v>235</v>
      </c>
      <c r="F106" s="21" t="s">
        <v>564</v>
      </c>
      <c r="G106" s="8" t="str">
        <f t="shared" si="1"/>
        <v>LALONDE GREGORY</v>
      </c>
    </row>
    <row r="107" spans="1:7" x14ac:dyDescent="0.25">
      <c r="A107" s="8">
        <v>42736.537499999999</v>
      </c>
      <c r="B107" s="21" t="s">
        <v>260</v>
      </c>
      <c r="C107" s="21" t="s">
        <v>575</v>
      </c>
      <c r="D107" s="160">
        <v>1820000</v>
      </c>
      <c r="E107" s="21" t="s">
        <v>545</v>
      </c>
      <c r="F107" s="21" t="s">
        <v>546</v>
      </c>
      <c r="G107" s="8" t="str">
        <f t="shared" si="1"/>
        <v>ADANE ELSHADAY</v>
      </c>
    </row>
    <row r="108" spans="1:7" x14ac:dyDescent="0.25">
      <c r="A108" s="8">
        <v>42736.540023148147</v>
      </c>
      <c r="B108" s="21" t="s">
        <v>183</v>
      </c>
      <c r="C108" s="21" t="s">
        <v>576</v>
      </c>
      <c r="D108" s="160">
        <v>920000</v>
      </c>
      <c r="E108" s="21" t="s">
        <v>255</v>
      </c>
      <c r="F108" s="21" t="s">
        <v>254</v>
      </c>
      <c r="G108" s="8" t="str">
        <f t="shared" si="1"/>
        <v>DAVIS MICHAEL</v>
      </c>
    </row>
    <row r="109" spans="1:7" x14ac:dyDescent="0.25">
      <c r="A109" s="8">
        <v>42736.54791666667</v>
      </c>
      <c r="B109" s="21" t="s">
        <v>214</v>
      </c>
      <c r="C109" s="21" t="s">
        <v>449</v>
      </c>
      <c r="D109" s="160">
        <v>1300000</v>
      </c>
      <c r="E109" s="21" t="s">
        <v>113</v>
      </c>
      <c r="F109" s="21" t="s">
        <v>559</v>
      </c>
      <c r="G109" s="8" t="str">
        <f t="shared" si="1"/>
        <v>LEVIN SCOTT</v>
      </c>
    </row>
    <row r="110" spans="1:7" x14ac:dyDescent="0.25">
      <c r="A110" s="8">
        <v>42736.551423611112</v>
      </c>
      <c r="B110" s="21" t="s">
        <v>275</v>
      </c>
      <c r="C110" s="21" t="s">
        <v>577</v>
      </c>
      <c r="D110" s="160">
        <v>1830000</v>
      </c>
      <c r="E110" s="21" t="s">
        <v>376</v>
      </c>
      <c r="F110" s="21" t="s">
        <v>377</v>
      </c>
      <c r="G110" s="8" t="str">
        <f t="shared" si="1"/>
        <v>YORK EDGAR</v>
      </c>
    </row>
    <row r="111" spans="1:7" x14ac:dyDescent="0.25">
      <c r="A111" s="8">
        <v>42736.554907407408</v>
      </c>
      <c r="B111" s="21" t="s">
        <v>335</v>
      </c>
      <c r="C111" s="21" t="s">
        <v>578</v>
      </c>
      <c r="D111" s="160">
        <v>2030000</v>
      </c>
      <c r="E111" s="21" t="s">
        <v>569</v>
      </c>
      <c r="F111" s="21" t="s">
        <v>570</v>
      </c>
      <c r="G111" s="8" t="str">
        <f t="shared" si="1"/>
        <v>KILLION DAVID</v>
      </c>
    </row>
    <row r="112" spans="1:7" x14ac:dyDescent="0.25">
      <c r="A112" s="8">
        <v>42736.559513888889</v>
      </c>
      <c r="B112" s="21" t="s">
        <v>470</v>
      </c>
      <c r="C112" s="21" t="s">
        <v>579</v>
      </c>
      <c r="D112" s="160">
        <v>1770000</v>
      </c>
      <c r="E112" s="21" t="s">
        <v>381</v>
      </c>
      <c r="F112" s="21" t="s">
        <v>382</v>
      </c>
      <c r="G112" s="8" t="str">
        <f t="shared" si="1"/>
        <v>BRUDER RICHARD</v>
      </c>
    </row>
    <row r="113" spans="1:7" x14ac:dyDescent="0.25">
      <c r="A113" s="8">
        <v>42736.566192129627</v>
      </c>
      <c r="B113" s="21" t="s">
        <v>344</v>
      </c>
      <c r="C113" s="21" t="s">
        <v>580</v>
      </c>
      <c r="D113" s="160">
        <v>880000</v>
      </c>
      <c r="E113" s="21" t="s">
        <v>554</v>
      </c>
      <c r="F113" s="21" t="s">
        <v>254</v>
      </c>
      <c r="G113" s="8" t="str">
        <f t="shared" si="1"/>
        <v>STEWART MICHAEL</v>
      </c>
    </row>
    <row r="114" spans="1:7" x14ac:dyDescent="0.25">
      <c r="A114" s="8">
        <v>42736.568368055552</v>
      </c>
      <c r="B114" s="21" t="s">
        <v>276</v>
      </c>
      <c r="C114" s="21" t="s">
        <v>581</v>
      </c>
      <c r="D114" s="160">
        <v>1830000</v>
      </c>
      <c r="E114" s="21" t="s">
        <v>376</v>
      </c>
      <c r="F114" s="21" t="s">
        <v>377</v>
      </c>
      <c r="G114" s="8" t="str">
        <f t="shared" si="1"/>
        <v>YORK EDGAR</v>
      </c>
    </row>
    <row r="115" spans="1:7" x14ac:dyDescent="0.25">
      <c r="A115" s="8">
        <v>42736.570138888892</v>
      </c>
      <c r="B115" s="21" t="s">
        <v>262</v>
      </c>
      <c r="C115" s="21" t="s">
        <v>582</v>
      </c>
      <c r="D115" s="160">
        <v>2530000</v>
      </c>
      <c r="E115" s="21" t="s">
        <v>235</v>
      </c>
      <c r="F115" s="21" t="s">
        <v>564</v>
      </c>
      <c r="G115" s="8" t="str">
        <f t="shared" si="1"/>
        <v>LALONDE GREGORY</v>
      </c>
    </row>
    <row r="116" spans="1:7" x14ac:dyDescent="0.25">
      <c r="A116" s="8">
        <v>42736.577511574076</v>
      </c>
      <c r="B116" s="21" t="s">
        <v>435</v>
      </c>
      <c r="C116" s="21" t="s">
        <v>583</v>
      </c>
      <c r="D116" s="160">
        <v>920000</v>
      </c>
      <c r="E116" s="21" t="s">
        <v>255</v>
      </c>
      <c r="F116" s="21" t="s">
        <v>254</v>
      </c>
      <c r="G116" s="8" t="str">
        <f t="shared" si="1"/>
        <v>DAVIS MICHAEL</v>
      </c>
    </row>
    <row r="117" spans="1:7" x14ac:dyDescent="0.25">
      <c r="A117" s="8">
        <v>42736.578888888886</v>
      </c>
      <c r="B117" s="21" t="s">
        <v>225</v>
      </c>
      <c r="C117" s="21" t="s">
        <v>450</v>
      </c>
      <c r="D117" s="160">
        <v>1820000</v>
      </c>
      <c r="E117" s="21" t="s">
        <v>545</v>
      </c>
      <c r="F117" s="21" t="s">
        <v>546</v>
      </c>
      <c r="G117" s="8" t="str">
        <f t="shared" si="1"/>
        <v>ADANE ELSHADAY</v>
      </c>
    </row>
    <row r="118" spans="1:7" x14ac:dyDescent="0.25">
      <c r="A118" s="8">
        <v>42736.585509259261</v>
      </c>
      <c r="B118" s="21" t="s">
        <v>440</v>
      </c>
      <c r="C118" s="21" t="s">
        <v>584</v>
      </c>
      <c r="D118" s="160">
        <v>1300000</v>
      </c>
      <c r="E118" s="21" t="s">
        <v>113</v>
      </c>
      <c r="F118" s="21" t="s">
        <v>559</v>
      </c>
      <c r="G118" s="8" t="str">
        <f t="shared" si="1"/>
        <v>LEVIN SCOTT</v>
      </c>
    </row>
    <row r="119" spans="1:7" x14ac:dyDescent="0.25">
      <c r="A119" s="8">
        <v>42736.58997685185</v>
      </c>
      <c r="B119" s="21" t="s">
        <v>212</v>
      </c>
      <c r="C119" s="21" t="s">
        <v>585</v>
      </c>
      <c r="D119" s="160">
        <v>2030000</v>
      </c>
      <c r="E119" s="21" t="s">
        <v>569</v>
      </c>
      <c r="F119" s="21" t="s">
        <v>570</v>
      </c>
      <c r="G119" s="8" t="str">
        <f t="shared" si="1"/>
        <v>KILLION DAVID</v>
      </c>
    </row>
    <row r="120" spans="1:7" x14ac:dyDescent="0.25">
      <c r="A120" s="8">
        <v>42736.591585648152</v>
      </c>
      <c r="B120" s="21" t="s">
        <v>212</v>
      </c>
      <c r="C120" s="21" t="s">
        <v>585</v>
      </c>
      <c r="D120" s="160">
        <v>2030000</v>
      </c>
      <c r="E120" s="21" t="s">
        <v>569</v>
      </c>
      <c r="F120" s="21" t="s">
        <v>570</v>
      </c>
      <c r="G120" s="8" t="str">
        <f t="shared" si="1"/>
        <v>KILLION DAVID</v>
      </c>
    </row>
    <row r="121" spans="1:7" x14ac:dyDescent="0.25">
      <c r="A121" s="8">
        <v>42736.594293981485</v>
      </c>
      <c r="B121" s="21" t="s">
        <v>275</v>
      </c>
      <c r="C121" s="21" t="s">
        <v>586</v>
      </c>
      <c r="D121" s="160">
        <v>1540000</v>
      </c>
      <c r="E121" s="21" t="s">
        <v>379</v>
      </c>
      <c r="F121" s="21" t="s">
        <v>380</v>
      </c>
      <c r="G121" s="8" t="str">
        <f t="shared" si="1"/>
        <v>HELVIE ADAM</v>
      </c>
    </row>
    <row r="122" spans="1:7" x14ac:dyDescent="0.25">
      <c r="A122" s="8">
        <v>42736.597025462965</v>
      </c>
      <c r="B122" s="26" t="s">
        <v>431</v>
      </c>
      <c r="C122" s="21" t="s">
        <v>587</v>
      </c>
      <c r="D122" s="160">
        <v>1770000</v>
      </c>
      <c r="E122" s="21" t="s">
        <v>381</v>
      </c>
      <c r="F122" s="21" t="s">
        <v>382</v>
      </c>
      <c r="G122" s="8" t="str">
        <f t="shared" si="1"/>
        <v>BRUDER RICHARD</v>
      </c>
    </row>
    <row r="123" spans="1:7" x14ac:dyDescent="0.25">
      <c r="A123" s="8">
        <v>42736.599953703706</v>
      </c>
      <c r="B123" s="21" t="s">
        <v>261</v>
      </c>
      <c r="C123" s="21" t="s">
        <v>588</v>
      </c>
      <c r="D123" s="160">
        <v>2530000</v>
      </c>
      <c r="E123" s="21" t="s">
        <v>235</v>
      </c>
      <c r="F123" s="21" t="s">
        <v>564</v>
      </c>
      <c r="G123" s="8" t="str">
        <f t="shared" si="1"/>
        <v>LALONDE GREGORY</v>
      </c>
    </row>
    <row r="124" spans="1:7" x14ac:dyDescent="0.25">
      <c r="A124" s="8">
        <v>42736.601712962962</v>
      </c>
      <c r="B124" s="21" t="s">
        <v>231</v>
      </c>
      <c r="C124" s="21" t="s">
        <v>589</v>
      </c>
      <c r="D124" s="160">
        <v>880000</v>
      </c>
      <c r="E124" s="21" t="s">
        <v>554</v>
      </c>
      <c r="F124" s="21" t="s">
        <v>254</v>
      </c>
      <c r="G124" s="8" t="str">
        <f t="shared" si="1"/>
        <v>STEWART MICHAEL</v>
      </c>
    </row>
    <row r="125" spans="1:7" x14ac:dyDescent="0.25">
      <c r="A125" s="8">
        <v>42736.609953703701</v>
      </c>
      <c r="B125" s="21" t="s">
        <v>276</v>
      </c>
      <c r="C125" s="21" t="s">
        <v>590</v>
      </c>
      <c r="D125" s="160">
        <v>0</v>
      </c>
      <c r="E125" s="21" t="s">
        <v>591</v>
      </c>
      <c r="F125" s="21" t="s">
        <v>592</v>
      </c>
      <c r="G125" s="8" t="str">
        <f t="shared" si="1"/>
        <v>HAUSER FRANK</v>
      </c>
    </row>
    <row r="126" spans="1:7" x14ac:dyDescent="0.25">
      <c r="A126" s="8">
        <v>42736.611932870372</v>
      </c>
      <c r="B126" s="21" t="s">
        <v>183</v>
      </c>
      <c r="C126" s="21" t="s">
        <v>593</v>
      </c>
      <c r="D126" s="160">
        <v>920000</v>
      </c>
      <c r="E126" s="21" t="s">
        <v>255</v>
      </c>
      <c r="F126" s="21" t="s">
        <v>254</v>
      </c>
      <c r="G126" s="8" t="str">
        <f t="shared" si="1"/>
        <v>DAVIS MICHAEL</v>
      </c>
    </row>
    <row r="127" spans="1:7" x14ac:dyDescent="0.25">
      <c r="A127" s="8">
        <v>42736.613020833334</v>
      </c>
      <c r="B127" s="21" t="s">
        <v>260</v>
      </c>
      <c r="C127" s="21" t="s">
        <v>594</v>
      </c>
      <c r="D127" s="160">
        <v>1820000</v>
      </c>
      <c r="E127" s="21" t="s">
        <v>545</v>
      </c>
      <c r="F127" s="21" t="s">
        <v>546</v>
      </c>
      <c r="G127" s="8" t="str">
        <f t="shared" si="1"/>
        <v>ADANE ELSHADAY</v>
      </c>
    </row>
    <row r="128" spans="1:7" x14ac:dyDescent="0.25">
      <c r="A128" s="8">
        <v>42736.62190972222</v>
      </c>
      <c r="B128" s="21" t="s">
        <v>214</v>
      </c>
      <c r="C128" s="21" t="s">
        <v>595</v>
      </c>
      <c r="D128" s="160">
        <v>1300000</v>
      </c>
      <c r="E128" s="21" t="s">
        <v>113</v>
      </c>
      <c r="F128" s="21" t="s">
        <v>559</v>
      </c>
      <c r="G128" s="8" t="str">
        <f t="shared" si="1"/>
        <v>LEVIN SCOTT</v>
      </c>
    </row>
    <row r="129" spans="1:7" x14ac:dyDescent="0.25">
      <c r="A129" s="8">
        <v>42736.625208333331</v>
      </c>
      <c r="B129" s="21" t="s">
        <v>335</v>
      </c>
      <c r="C129" s="21" t="s">
        <v>596</v>
      </c>
      <c r="D129" s="160">
        <v>2030000</v>
      </c>
      <c r="E129" s="21" t="s">
        <v>569</v>
      </c>
      <c r="F129" s="21" t="s">
        <v>570</v>
      </c>
      <c r="G129" s="8" t="str">
        <f t="shared" si="1"/>
        <v>KILLION DAVID</v>
      </c>
    </row>
    <row r="130" spans="1:7" x14ac:dyDescent="0.25">
      <c r="A130" s="8">
        <v>42736.631944444445</v>
      </c>
      <c r="B130" s="21" t="s">
        <v>470</v>
      </c>
      <c r="C130" s="21" t="s">
        <v>597</v>
      </c>
      <c r="D130" s="160">
        <v>1770000</v>
      </c>
      <c r="E130" s="21" t="s">
        <v>381</v>
      </c>
      <c r="F130" s="21" t="s">
        <v>382</v>
      </c>
      <c r="G130" s="8" t="str">
        <f t="shared" si="1"/>
        <v>BRUDER RICHARD</v>
      </c>
    </row>
    <row r="131" spans="1:7" x14ac:dyDescent="0.25">
      <c r="A131" s="8">
        <v>42736.638425925928</v>
      </c>
      <c r="B131" s="21" t="s">
        <v>275</v>
      </c>
      <c r="C131" s="21" t="s">
        <v>598</v>
      </c>
      <c r="D131" s="160">
        <v>1540000</v>
      </c>
      <c r="E131" s="21" t="s">
        <v>379</v>
      </c>
      <c r="F131" s="21" t="s">
        <v>380</v>
      </c>
      <c r="G131" s="8" t="str">
        <f t="shared" ref="G131:G194" si="2">E131&amp;" "&amp;F131</f>
        <v>HELVIE ADAM</v>
      </c>
    </row>
    <row r="132" spans="1:7" x14ac:dyDescent="0.25">
      <c r="A132" s="8">
        <v>42736.639803240738</v>
      </c>
      <c r="B132" s="21" t="s">
        <v>344</v>
      </c>
      <c r="C132" s="21" t="s">
        <v>599</v>
      </c>
      <c r="D132" s="160">
        <v>880000</v>
      </c>
      <c r="E132" s="21" t="s">
        <v>554</v>
      </c>
      <c r="F132" s="21" t="s">
        <v>254</v>
      </c>
      <c r="G132" s="8" t="str">
        <f t="shared" si="2"/>
        <v>STEWART MICHAEL</v>
      </c>
    </row>
    <row r="133" spans="1:7" x14ac:dyDescent="0.25">
      <c r="A133" s="8">
        <v>42736.642187500001</v>
      </c>
      <c r="B133" s="21" t="s">
        <v>262</v>
      </c>
      <c r="C133" s="21" t="s">
        <v>451</v>
      </c>
      <c r="D133" s="160">
        <v>2440000</v>
      </c>
      <c r="E133" s="21" t="s">
        <v>600</v>
      </c>
      <c r="F133" s="21" t="s">
        <v>601</v>
      </c>
      <c r="G133" s="8" t="str">
        <f t="shared" si="2"/>
        <v>LOPES KIMBERLY</v>
      </c>
    </row>
    <row r="134" spans="1:7" x14ac:dyDescent="0.25">
      <c r="A134" s="8">
        <v>42736.650416666664</v>
      </c>
      <c r="B134" s="21" t="s">
        <v>435</v>
      </c>
      <c r="C134" s="21" t="s">
        <v>602</v>
      </c>
      <c r="D134" s="160">
        <v>920000</v>
      </c>
      <c r="E134" s="21" t="s">
        <v>255</v>
      </c>
      <c r="F134" s="21" t="s">
        <v>254</v>
      </c>
      <c r="G134" s="8" t="str">
        <f t="shared" si="2"/>
        <v>DAVIS MICHAEL</v>
      </c>
    </row>
    <row r="135" spans="1:7" x14ac:dyDescent="0.25">
      <c r="A135" s="8">
        <v>42736.651770833334</v>
      </c>
      <c r="B135" s="21" t="s">
        <v>276</v>
      </c>
      <c r="C135" s="21" t="s">
        <v>603</v>
      </c>
      <c r="D135" s="160">
        <v>1540000</v>
      </c>
      <c r="E135" s="21" t="s">
        <v>379</v>
      </c>
      <c r="F135" s="21" t="s">
        <v>380</v>
      </c>
      <c r="G135" s="8" t="str">
        <f t="shared" si="2"/>
        <v>HELVIE ADAM</v>
      </c>
    </row>
    <row r="136" spans="1:7" x14ac:dyDescent="0.25">
      <c r="A136" s="8">
        <v>42736.652199074073</v>
      </c>
      <c r="B136" s="21" t="s">
        <v>225</v>
      </c>
      <c r="C136" s="21" t="s">
        <v>452</v>
      </c>
      <c r="D136" s="160">
        <v>1820000</v>
      </c>
      <c r="E136" s="21" t="s">
        <v>545</v>
      </c>
      <c r="F136" s="21" t="s">
        <v>546</v>
      </c>
      <c r="G136" s="8" t="str">
        <f t="shared" si="2"/>
        <v>ADANE ELSHADAY</v>
      </c>
    </row>
    <row r="137" spans="1:7" x14ac:dyDescent="0.25">
      <c r="A137" s="8">
        <v>42736.660682870373</v>
      </c>
      <c r="B137" s="21" t="s">
        <v>440</v>
      </c>
      <c r="C137" s="21" t="s">
        <v>604</v>
      </c>
      <c r="D137" s="160">
        <v>1300000</v>
      </c>
      <c r="E137" s="21" t="s">
        <v>113</v>
      </c>
      <c r="F137" s="21" t="s">
        <v>559</v>
      </c>
      <c r="G137" s="8" t="str">
        <f t="shared" si="2"/>
        <v>LEVIN SCOTT</v>
      </c>
    </row>
    <row r="138" spans="1:7" x14ac:dyDescent="0.25">
      <c r="A138" s="8">
        <v>42736.66233796296</v>
      </c>
      <c r="B138" s="21" t="s">
        <v>212</v>
      </c>
      <c r="C138" s="21" t="s">
        <v>605</v>
      </c>
      <c r="D138" s="160">
        <v>2030000</v>
      </c>
      <c r="E138" s="21" t="s">
        <v>569</v>
      </c>
      <c r="F138" s="21" t="s">
        <v>570</v>
      </c>
      <c r="G138" s="8" t="str">
        <f t="shared" si="2"/>
        <v>KILLION DAVID</v>
      </c>
    </row>
    <row r="139" spans="1:7" x14ac:dyDescent="0.25">
      <c r="A139" s="8">
        <v>42736.67150462963</v>
      </c>
      <c r="B139" s="21" t="s">
        <v>431</v>
      </c>
      <c r="C139" s="21" t="s">
        <v>453</v>
      </c>
      <c r="D139" s="160">
        <v>1770000</v>
      </c>
      <c r="E139" s="21" t="s">
        <v>381</v>
      </c>
      <c r="F139" s="21" t="s">
        <v>382</v>
      </c>
      <c r="G139" s="8" t="str">
        <f t="shared" si="2"/>
        <v>BRUDER RICHARD</v>
      </c>
    </row>
    <row r="140" spans="1:7" x14ac:dyDescent="0.25">
      <c r="A140" s="8">
        <v>42736.67392361111</v>
      </c>
      <c r="B140" s="21" t="s">
        <v>231</v>
      </c>
      <c r="C140" s="21" t="s">
        <v>606</v>
      </c>
      <c r="D140" s="160">
        <v>880000</v>
      </c>
      <c r="E140" s="21" t="s">
        <v>554</v>
      </c>
      <c r="F140" s="21" t="s">
        <v>254</v>
      </c>
      <c r="G140" s="8" t="str">
        <f t="shared" si="2"/>
        <v>STEWART MICHAEL</v>
      </c>
    </row>
    <row r="141" spans="1:7" x14ac:dyDescent="0.25">
      <c r="A141" s="8">
        <v>42736.676620370374</v>
      </c>
      <c r="B141" s="21" t="s">
        <v>275</v>
      </c>
      <c r="C141" s="21" t="s">
        <v>607</v>
      </c>
      <c r="D141" s="160">
        <v>2420000</v>
      </c>
      <c r="E141" s="21" t="s">
        <v>215</v>
      </c>
      <c r="F141" s="21" t="s">
        <v>608</v>
      </c>
      <c r="G141" s="8" t="str">
        <f t="shared" si="2"/>
        <v>HOLCOMB KAMDEN</v>
      </c>
    </row>
    <row r="142" spans="1:7" x14ac:dyDescent="0.25">
      <c r="A142" s="8">
        <v>42736.676898148151</v>
      </c>
      <c r="B142" s="21" t="s">
        <v>261</v>
      </c>
      <c r="C142" s="21" t="s">
        <v>609</v>
      </c>
      <c r="D142" s="160">
        <v>2440000</v>
      </c>
      <c r="E142" s="21" t="s">
        <v>600</v>
      </c>
      <c r="F142" s="21" t="s">
        <v>601</v>
      </c>
      <c r="G142" s="8" t="str">
        <f t="shared" si="2"/>
        <v>LOPES KIMBERLY</v>
      </c>
    </row>
    <row r="143" spans="1:7" x14ac:dyDescent="0.25">
      <c r="A143" s="8">
        <v>42736.684803240743</v>
      </c>
      <c r="B143" s="21" t="s">
        <v>260</v>
      </c>
      <c r="C143" s="21" t="s">
        <v>456</v>
      </c>
      <c r="D143" s="160">
        <v>1820000</v>
      </c>
      <c r="E143" s="21" t="s">
        <v>545</v>
      </c>
      <c r="F143" s="21" t="s">
        <v>546</v>
      </c>
      <c r="G143" s="8" t="str">
        <f t="shared" si="2"/>
        <v>ADANE ELSHADAY</v>
      </c>
    </row>
    <row r="144" spans="1:7" x14ac:dyDescent="0.25">
      <c r="A144" s="8">
        <v>42736.686041666668</v>
      </c>
      <c r="B144" s="21" t="s">
        <v>183</v>
      </c>
      <c r="C144" s="21" t="s">
        <v>610</v>
      </c>
      <c r="D144" s="160">
        <v>920000</v>
      </c>
      <c r="E144" s="21" t="s">
        <v>255</v>
      </c>
      <c r="F144" s="21" t="s">
        <v>254</v>
      </c>
      <c r="G144" s="8" t="str">
        <f t="shared" si="2"/>
        <v>DAVIS MICHAEL</v>
      </c>
    </row>
    <row r="145" spans="1:7" x14ac:dyDescent="0.25">
      <c r="A145" s="8">
        <v>42736.692812499998</v>
      </c>
      <c r="B145" s="21" t="s">
        <v>214</v>
      </c>
      <c r="C145" s="21" t="s">
        <v>611</v>
      </c>
      <c r="D145" s="160">
        <v>1300000</v>
      </c>
      <c r="E145" s="21" t="s">
        <v>113</v>
      </c>
      <c r="F145" s="21" t="s">
        <v>559</v>
      </c>
      <c r="G145" s="8" t="str">
        <f t="shared" si="2"/>
        <v>LEVIN SCOTT</v>
      </c>
    </row>
    <row r="146" spans="1:7" x14ac:dyDescent="0.25">
      <c r="A146" s="8">
        <v>42736.694618055553</v>
      </c>
      <c r="B146" s="21" t="s">
        <v>276</v>
      </c>
      <c r="C146" s="21" t="s">
        <v>612</v>
      </c>
      <c r="D146" s="160">
        <v>2420000</v>
      </c>
      <c r="E146" s="21" t="s">
        <v>215</v>
      </c>
      <c r="F146" s="21" t="s">
        <v>608</v>
      </c>
      <c r="G146" s="8" t="str">
        <f t="shared" si="2"/>
        <v>HOLCOMB KAMDEN</v>
      </c>
    </row>
    <row r="147" spans="1:7" x14ac:dyDescent="0.25">
      <c r="A147" s="8">
        <v>42736.700231481482</v>
      </c>
      <c r="B147" s="21" t="s">
        <v>335</v>
      </c>
      <c r="C147" s="21" t="s">
        <v>457</v>
      </c>
      <c r="D147" s="160">
        <v>2030000</v>
      </c>
      <c r="E147" s="21" t="s">
        <v>569</v>
      </c>
      <c r="F147" s="21" t="s">
        <v>570</v>
      </c>
      <c r="G147" s="8" t="str">
        <f t="shared" si="2"/>
        <v>KILLION DAVID</v>
      </c>
    </row>
    <row r="148" spans="1:7" x14ac:dyDescent="0.25">
      <c r="A148" s="8">
        <v>42736.702314814815</v>
      </c>
      <c r="B148" s="21" t="s">
        <v>335</v>
      </c>
      <c r="C148" s="21" t="s">
        <v>457</v>
      </c>
      <c r="D148" s="160">
        <v>2030000</v>
      </c>
      <c r="E148" s="21" t="s">
        <v>569</v>
      </c>
      <c r="F148" s="21" t="s">
        <v>570</v>
      </c>
      <c r="G148" s="8" t="str">
        <f t="shared" si="2"/>
        <v>KILLION DAVID</v>
      </c>
    </row>
    <row r="149" spans="1:7" x14ac:dyDescent="0.25">
      <c r="A149" s="8">
        <v>42736.704305555555</v>
      </c>
      <c r="B149" s="21" t="s">
        <v>276</v>
      </c>
      <c r="C149" s="21" t="s">
        <v>612</v>
      </c>
      <c r="D149" s="160">
        <v>2420000</v>
      </c>
      <c r="E149" s="21" t="s">
        <v>215</v>
      </c>
      <c r="F149" s="21" t="s">
        <v>608</v>
      </c>
      <c r="G149" s="8" t="str">
        <f t="shared" si="2"/>
        <v>HOLCOMB KAMDEN</v>
      </c>
    </row>
    <row r="150" spans="1:7" x14ac:dyDescent="0.25">
      <c r="A150" s="8">
        <v>42736.706620370373</v>
      </c>
      <c r="B150" s="21" t="s">
        <v>204</v>
      </c>
      <c r="C150" s="21" t="s">
        <v>613</v>
      </c>
      <c r="D150" s="160">
        <v>1770000</v>
      </c>
      <c r="E150" s="21" t="s">
        <v>381</v>
      </c>
      <c r="F150" s="21" t="s">
        <v>382</v>
      </c>
      <c r="G150" s="8" t="str">
        <f t="shared" si="2"/>
        <v>BRUDER RICHARD</v>
      </c>
    </row>
    <row r="151" spans="1:7" x14ac:dyDescent="0.25">
      <c r="A151" s="8">
        <v>42736.712152777778</v>
      </c>
      <c r="B151" s="21" t="s">
        <v>344</v>
      </c>
      <c r="C151" s="21" t="s">
        <v>614</v>
      </c>
      <c r="D151" s="160">
        <v>880000</v>
      </c>
      <c r="E151" s="21" t="s">
        <v>554</v>
      </c>
      <c r="F151" s="21" t="s">
        <v>254</v>
      </c>
      <c r="G151" s="8" t="str">
        <f t="shared" si="2"/>
        <v>STEWART MICHAEL</v>
      </c>
    </row>
    <row r="152" spans="1:7" x14ac:dyDescent="0.25">
      <c r="A152" s="8">
        <v>42736.716944444444</v>
      </c>
      <c r="B152" s="21" t="s">
        <v>262</v>
      </c>
      <c r="C152" s="21" t="s">
        <v>458</v>
      </c>
      <c r="D152" s="160">
        <v>1800000</v>
      </c>
      <c r="E152" s="21" t="s">
        <v>234</v>
      </c>
      <c r="F152" s="21" t="s">
        <v>248</v>
      </c>
      <c r="G152" s="8" t="str">
        <f t="shared" si="2"/>
        <v>CHANDLER KELVIN</v>
      </c>
    </row>
    <row r="153" spans="1:7" x14ac:dyDescent="0.25">
      <c r="A153" s="8">
        <v>42736.721747685187</v>
      </c>
      <c r="B153" s="21" t="s">
        <v>470</v>
      </c>
      <c r="C153" s="21" t="s">
        <v>615</v>
      </c>
      <c r="D153" s="160">
        <v>2420000</v>
      </c>
      <c r="E153" s="21" t="s">
        <v>215</v>
      </c>
      <c r="F153" s="21" t="s">
        <v>608</v>
      </c>
      <c r="G153" s="8" t="str">
        <f t="shared" si="2"/>
        <v>HOLCOMB KAMDEN</v>
      </c>
    </row>
    <row r="154" spans="1:7" x14ac:dyDescent="0.25">
      <c r="A154" s="8">
        <v>42736.72216435185</v>
      </c>
      <c r="B154" s="21" t="s">
        <v>373</v>
      </c>
      <c r="C154" s="21" t="s">
        <v>616</v>
      </c>
      <c r="D154" s="160">
        <v>1540000</v>
      </c>
      <c r="E154" s="21" t="s">
        <v>379</v>
      </c>
      <c r="F154" s="21" t="s">
        <v>380</v>
      </c>
      <c r="G154" s="8" t="str">
        <f t="shared" si="2"/>
        <v>HELVIE ADAM</v>
      </c>
    </row>
    <row r="155" spans="1:7" x14ac:dyDescent="0.25">
      <c r="A155" s="8">
        <v>42736.722962962966</v>
      </c>
      <c r="B155" s="21" t="s">
        <v>435</v>
      </c>
      <c r="C155" s="21" t="s">
        <v>617</v>
      </c>
      <c r="D155" s="160">
        <v>920000</v>
      </c>
      <c r="E155" s="21" t="s">
        <v>255</v>
      </c>
      <c r="F155" s="21" t="s">
        <v>254</v>
      </c>
      <c r="G155" s="8" t="str">
        <f t="shared" si="2"/>
        <v>DAVIS MICHAEL</v>
      </c>
    </row>
    <row r="156" spans="1:7" x14ac:dyDescent="0.25">
      <c r="A156" s="8">
        <v>42736.725659722222</v>
      </c>
      <c r="B156" s="21" t="s">
        <v>225</v>
      </c>
      <c r="C156" s="21" t="s">
        <v>618</v>
      </c>
      <c r="D156" s="160">
        <v>2530000</v>
      </c>
      <c r="E156" s="21" t="s">
        <v>235</v>
      </c>
      <c r="F156" s="21" t="s">
        <v>564</v>
      </c>
      <c r="G156" s="8" t="str">
        <f t="shared" si="2"/>
        <v>LALONDE GREGORY</v>
      </c>
    </row>
    <row r="157" spans="1:7" x14ac:dyDescent="0.25">
      <c r="A157" s="8">
        <v>42736.732511574075</v>
      </c>
      <c r="B157" s="21" t="s">
        <v>440</v>
      </c>
      <c r="C157" s="21" t="s">
        <v>619</v>
      </c>
      <c r="D157" s="160">
        <v>1300000</v>
      </c>
      <c r="E157" s="21" t="s">
        <v>113</v>
      </c>
      <c r="F157" s="21" t="s">
        <v>559</v>
      </c>
      <c r="G157" s="8" t="str">
        <f t="shared" si="2"/>
        <v>LEVIN SCOTT</v>
      </c>
    </row>
    <row r="158" spans="1:7" x14ac:dyDescent="0.25">
      <c r="A158" s="8">
        <v>42736.735717592594</v>
      </c>
      <c r="B158" s="21" t="s">
        <v>371</v>
      </c>
      <c r="C158" s="21" t="s">
        <v>620</v>
      </c>
      <c r="D158" s="160">
        <v>1540000</v>
      </c>
      <c r="E158" s="21" t="s">
        <v>379</v>
      </c>
      <c r="F158" s="21" t="s">
        <v>380</v>
      </c>
      <c r="G158" s="8" t="str">
        <f t="shared" si="2"/>
        <v>HELVIE ADAM</v>
      </c>
    </row>
    <row r="159" spans="1:7" x14ac:dyDescent="0.25">
      <c r="A159" s="8">
        <v>42736.736608796295</v>
      </c>
      <c r="B159" s="21" t="s">
        <v>212</v>
      </c>
      <c r="C159" s="21" t="s">
        <v>621</v>
      </c>
      <c r="D159" s="160">
        <v>1810000</v>
      </c>
      <c r="E159" s="21" t="s">
        <v>269</v>
      </c>
      <c r="F159" s="21" t="s">
        <v>245</v>
      </c>
      <c r="G159" s="8" t="str">
        <f t="shared" si="2"/>
        <v>NEWELL JAMES</v>
      </c>
    </row>
    <row r="160" spans="1:7" x14ac:dyDescent="0.25">
      <c r="A160" s="8">
        <v>42736.738310185188</v>
      </c>
      <c r="B160" s="21" t="s">
        <v>543</v>
      </c>
      <c r="C160" s="21" t="s">
        <v>622</v>
      </c>
      <c r="D160" s="160">
        <v>2230000</v>
      </c>
      <c r="E160" s="21" t="s">
        <v>268</v>
      </c>
      <c r="F160" s="21" t="s">
        <v>254</v>
      </c>
      <c r="G160" s="8" t="str">
        <f t="shared" si="2"/>
        <v>SMITH MICHAEL</v>
      </c>
    </row>
    <row r="161" spans="1:7" x14ac:dyDescent="0.25">
      <c r="A161" s="8">
        <v>42736.742106481484</v>
      </c>
      <c r="B161" s="21" t="s">
        <v>210</v>
      </c>
      <c r="C161" s="21" t="s">
        <v>623</v>
      </c>
      <c r="D161" s="160">
        <v>1770000</v>
      </c>
      <c r="E161" s="21" t="s">
        <v>381</v>
      </c>
      <c r="F161" s="21" t="s">
        <v>382</v>
      </c>
      <c r="G161" s="8" t="str">
        <f t="shared" si="2"/>
        <v>BRUDER RICHARD</v>
      </c>
    </row>
    <row r="162" spans="1:7" x14ac:dyDescent="0.25">
      <c r="A162" s="8">
        <v>42736.745439814818</v>
      </c>
      <c r="B162" s="21" t="s">
        <v>231</v>
      </c>
      <c r="C162" s="21" t="s">
        <v>624</v>
      </c>
      <c r="D162" s="160">
        <v>2030000</v>
      </c>
      <c r="E162" s="21" t="s">
        <v>569</v>
      </c>
      <c r="F162" s="21" t="s">
        <v>570</v>
      </c>
      <c r="G162" s="8" t="str">
        <f t="shared" si="2"/>
        <v>KILLION DAVID</v>
      </c>
    </row>
    <row r="163" spans="1:7" x14ac:dyDescent="0.25">
      <c r="A163" s="8">
        <v>42736.749085648145</v>
      </c>
      <c r="B163" s="21" t="s">
        <v>274</v>
      </c>
      <c r="C163" s="21" t="s">
        <v>625</v>
      </c>
      <c r="D163" s="160">
        <v>2620000</v>
      </c>
      <c r="E163" s="21" t="s">
        <v>626</v>
      </c>
      <c r="F163" s="21" t="s">
        <v>627</v>
      </c>
      <c r="G163" s="8" t="str">
        <f t="shared" si="2"/>
        <v>PERKINS DARREN</v>
      </c>
    </row>
    <row r="164" spans="1:7" x14ac:dyDescent="0.25">
      <c r="A164" s="8">
        <v>42736.749907407408</v>
      </c>
      <c r="B164" s="21" t="s">
        <v>274</v>
      </c>
      <c r="C164" s="21" t="s">
        <v>625</v>
      </c>
      <c r="D164" s="160">
        <v>2620000</v>
      </c>
      <c r="E164" s="21" t="s">
        <v>626</v>
      </c>
      <c r="F164" s="21" t="s">
        <v>627</v>
      </c>
      <c r="G164" s="8" t="str">
        <f t="shared" si="2"/>
        <v>PERKINS DARREN</v>
      </c>
    </row>
    <row r="165" spans="1:7" x14ac:dyDescent="0.25">
      <c r="A165" s="8">
        <v>42736.751006944447</v>
      </c>
      <c r="B165" s="21" t="s">
        <v>274</v>
      </c>
      <c r="C165" s="21" t="s">
        <v>625</v>
      </c>
      <c r="D165" s="160">
        <v>2620000</v>
      </c>
      <c r="E165" s="21" t="s">
        <v>626</v>
      </c>
      <c r="F165" s="21" t="s">
        <v>627</v>
      </c>
      <c r="G165" s="8" t="str">
        <f t="shared" si="2"/>
        <v>PERKINS DARREN</v>
      </c>
    </row>
    <row r="166" spans="1:7" x14ac:dyDescent="0.25">
      <c r="A166" s="8">
        <v>42736.755381944444</v>
      </c>
      <c r="B166" s="21" t="s">
        <v>261</v>
      </c>
      <c r="C166" s="21" t="s">
        <v>628</v>
      </c>
      <c r="D166" s="160">
        <v>1800000</v>
      </c>
      <c r="E166" s="21" t="s">
        <v>234</v>
      </c>
      <c r="F166" s="21" t="s">
        <v>248</v>
      </c>
      <c r="G166" s="8" t="str">
        <f t="shared" si="2"/>
        <v>CHANDLER KELVIN</v>
      </c>
    </row>
    <row r="167" spans="1:7" x14ac:dyDescent="0.25">
      <c r="A167" s="8">
        <v>42736.7577662037</v>
      </c>
      <c r="B167" s="21" t="s">
        <v>260</v>
      </c>
      <c r="C167" s="21" t="s">
        <v>629</v>
      </c>
      <c r="D167" s="160">
        <v>2530000</v>
      </c>
      <c r="E167" s="21" t="s">
        <v>235</v>
      </c>
      <c r="F167" s="21" t="s">
        <v>564</v>
      </c>
      <c r="G167" s="8" t="str">
        <f t="shared" si="2"/>
        <v>LALONDE GREGORY</v>
      </c>
    </row>
    <row r="168" spans="1:7" x14ac:dyDescent="0.25">
      <c r="A168" s="8">
        <v>42736.758738425924</v>
      </c>
      <c r="B168" s="21" t="s">
        <v>183</v>
      </c>
      <c r="C168" s="21" t="s">
        <v>459</v>
      </c>
      <c r="D168" s="160">
        <v>2230000</v>
      </c>
      <c r="E168" s="21" t="s">
        <v>268</v>
      </c>
      <c r="F168" s="21" t="s">
        <v>254</v>
      </c>
      <c r="G168" s="8" t="str">
        <f t="shared" si="2"/>
        <v>SMITH MICHAEL</v>
      </c>
    </row>
    <row r="169" spans="1:7" x14ac:dyDescent="0.25">
      <c r="A169" s="8">
        <v>42736.76295138889</v>
      </c>
      <c r="B169" s="21" t="s">
        <v>373</v>
      </c>
      <c r="C169" s="21" t="s">
        <v>630</v>
      </c>
      <c r="D169" s="160">
        <v>1540000</v>
      </c>
      <c r="E169" s="21" t="s">
        <v>379</v>
      </c>
      <c r="F169" s="21" t="s">
        <v>380</v>
      </c>
      <c r="G169" s="8" t="str">
        <f t="shared" si="2"/>
        <v>HELVIE ADAM</v>
      </c>
    </row>
    <row r="170" spans="1:7" x14ac:dyDescent="0.25">
      <c r="A170" s="8">
        <v>42736.763194444444</v>
      </c>
      <c r="B170" s="21" t="s">
        <v>549</v>
      </c>
      <c r="C170" s="21" t="s">
        <v>631</v>
      </c>
      <c r="D170" s="160">
        <v>920000</v>
      </c>
      <c r="E170" s="21" t="s">
        <v>255</v>
      </c>
      <c r="F170" s="21" t="s">
        <v>254</v>
      </c>
      <c r="G170" s="8" t="str">
        <f t="shared" si="2"/>
        <v>DAVIS MICHAEL</v>
      </c>
    </row>
    <row r="171" spans="1:7" x14ac:dyDescent="0.25">
      <c r="A171" s="8">
        <v>42736.767604166664</v>
      </c>
      <c r="B171" s="21" t="s">
        <v>214</v>
      </c>
      <c r="C171" s="21" t="s">
        <v>632</v>
      </c>
      <c r="D171" s="160">
        <v>2000000</v>
      </c>
      <c r="E171" s="21" t="s">
        <v>209</v>
      </c>
      <c r="F171" s="21" t="s">
        <v>245</v>
      </c>
      <c r="G171" s="8" t="str">
        <f t="shared" si="2"/>
        <v>STAMBAUGH JAMES</v>
      </c>
    </row>
    <row r="172" spans="1:7" x14ac:dyDescent="0.25">
      <c r="A172" s="8">
        <v>42736.769236111111</v>
      </c>
      <c r="B172" s="21" t="s">
        <v>335</v>
      </c>
      <c r="C172" s="21" t="s">
        <v>633</v>
      </c>
      <c r="D172" s="160">
        <v>1810000</v>
      </c>
      <c r="E172" s="21" t="s">
        <v>269</v>
      </c>
      <c r="F172" s="21" t="s">
        <v>245</v>
      </c>
      <c r="G172" s="8" t="str">
        <f t="shared" si="2"/>
        <v>NEWELL JAMES</v>
      </c>
    </row>
    <row r="173" spans="1:7" x14ac:dyDescent="0.25">
      <c r="A173" s="8">
        <v>42736.777175925927</v>
      </c>
      <c r="B173" s="21" t="s">
        <v>204</v>
      </c>
      <c r="C173" s="21" t="s">
        <v>634</v>
      </c>
      <c r="D173" s="160">
        <v>2560000</v>
      </c>
      <c r="E173" s="21" t="s">
        <v>635</v>
      </c>
      <c r="F173" s="21" t="s">
        <v>636</v>
      </c>
      <c r="G173" s="8" t="str">
        <f t="shared" si="2"/>
        <v>MACDONALD THOMAS</v>
      </c>
    </row>
    <row r="174" spans="1:7" x14ac:dyDescent="0.25">
      <c r="A174" s="8">
        <v>42736.778460648151</v>
      </c>
      <c r="B174" s="21" t="s">
        <v>371</v>
      </c>
      <c r="C174" s="21" t="s">
        <v>460</v>
      </c>
      <c r="D174" s="160">
        <v>1540000</v>
      </c>
      <c r="E174" s="21" t="s">
        <v>379</v>
      </c>
      <c r="F174" s="21" t="s">
        <v>380</v>
      </c>
      <c r="G174" s="8" t="str">
        <f t="shared" si="2"/>
        <v>HELVIE ADAM</v>
      </c>
    </row>
    <row r="175" spans="1:7" x14ac:dyDescent="0.25">
      <c r="A175" s="8">
        <v>42736.784872685188</v>
      </c>
      <c r="B175" s="21" t="s">
        <v>344</v>
      </c>
      <c r="C175" s="21" t="s">
        <v>461</v>
      </c>
      <c r="D175" s="160">
        <v>2030000</v>
      </c>
      <c r="E175" s="21" t="s">
        <v>569</v>
      </c>
      <c r="F175" s="21" t="s">
        <v>570</v>
      </c>
      <c r="G175" s="8" t="str">
        <f t="shared" si="2"/>
        <v>KILLION DAVID</v>
      </c>
    </row>
    <row r="176" spans="1:7" x14ac:dyDescent="0.25">
      <c r="A176" s="8">
        <v>42736.791134259256</v>
      </c>
      <c r="B176" s="21" t="s">
        <v>262</v>
      </c>
      <c r="C176" s="21" t="s">
        <v>637</v>
      </c>
      <c r="D176" s="160">
        <v>1800000</v>
      </c>
      <c r="E176" s="21" t="s">
        <v>234</v>
      </c>
      <c r="F176" s="21" t="s">
        <v>248</v>
      </c>
      <c r="G176" s="8" t="str">
        <f t="shared" si="2"/>
        <v>CHANDLER KELVIN</v>
      </c>
    </row>
    <row r="177" spans="1:7" x14ac:dyDescent="0.25">
      <c r="A177" s="8">
        <v>42736.793194444443</v>
      </c>
      <c r="B177" s="21" t="s">
        <v>435</v>
      </c>
      <c r="C177" s="21" t="s">
        <v>638</v>
      </c>
      <c r="D177" s="160">
        <v>2230000</v>
      </c>
      <c r="E177" s="21" t="s">
        <v>268</v>
      </c>
      <c r="F177" s="21" t="s">
        <v>254</v>
      </c>
      <c r="G177" s="8" t="str">
        <f t="shared" si="2"/>
        <v>SMITH MICHAEL</v>
      </c>
    </row>
    <row r="178" spans="1:7" x14ac:dyDescent="0.25">
      <c r="A178" s="8">
        <v>42736.799444444441</v>
      </c>
      <c r="B178" s="21" t="s">
        <v>225</v>
      </c>
      <c r="C178" s="21" t="s">
        <v>639</v>
      </c>
      <c r="D178" s="160">
        <v>2530000</v>
      </c>
      <c r="E178" s="21" t="s">
        <v>235</v>
      </c>
      <c r="F178" s="21" t="s">
        <v>564</v>
      </c>
      <c r="G178" s="8" t="str">
        <f t="shared" si="2"/>
        <v>LALONDE GREGORY</v>
      </c>
    </row>
    <row r="179" spans="1:7" x14ac:dyDescent="0.25">
      <c r="A179" s="8">
        <v>42736.800115740742</v>
      </c>
      <c r="B179" s="21" t="s">
        <v>440</v>
      </c>
      <c r="C179" s="21" t="s">
        <v>640</v>
      </c>
      <c r="D179" s="160">
        <v>2000000</v>
      </c>
      <c r="E179" s="21" t="s">
        <v>209</v>
      </c>
      <c r="F179" s="21" t="s">
        <v>245</v>
      </c>
      <c r="G179" s="8" t="str">
        <f t="shared" si="2"/>
        <v>STAMBAUGH JAMES</v>
      </c>
    </row>
    <row r="180" spans="1:7" x14ac:dyDescent="0.25">
      <c r="A180" s="8">
        <v>42736.8047337963</v>
      </c>
      <c r="B180" s="21" t="s">
        <v>373</v>
      </c>
      <c r="C180" s="21" t="s">
        <v>641</v>
      </c>
      <c r="D180" s="160">
        <v>1540000</v>
      </c>
      <c r="E180" s="21" t="s">
        <v>379</v>
      </c>
      <c r="F180" s="21" t="s">
        <v>380</v>
      </c>
      <c r="G180" s="8" t="str">
        <f t="shared" si="2"/>
        <v>HELVIE ADAM</v>
      </c>
    </row>
    <row r="181" spans="1:7" x14ac:dyDescent="0.25">
      <c r="A181" s="8">
        <v>42736.808472222219</v>
      </c>
      <c r="B181" s="21" t="s">
        <v>212</v>
      </c>
      <c r="C181" s="21" t="s">
        <v>642</v>
      </c>
      <c r="D181" s="160">
        <v>1810000</v>
      </c>
      <c r="E181" s="21" t="s">
        <v>269</v>
      </c>
      <c r="F181" s="21" t="s">
        <v>245</v>
      </c>
      <c r="G181" s="8" t="str">
        <f t="shared" si="2"/>
        <v>NEWELL JAMES</v>
      </c>
    </row>
    <row r="182" spans="1:7" x14ac:dyDescent="0.25">
      <c r="A182" s="8">
        <v>42736.815208333333</v>
      </c>
      <c r="B182" s="21" t="s">
        <v>210</v>
      </c>
      <c r="C182" s="21" t="s">
        <v>643</v>
      </c>
      <c r="D182" s="160">
        <v>2560000</v>
      </c>
      <c r="E182" s="21" t="s">
        <v>635</v>
      </c>
      <c r="F182" s="21" t="s">
        <v>636</v>
      </c>
      <c r="G182" s="8" t="str">
        <f t="shared" si="2"/>
        <v>MACDONALD THOMAS</v>
      </c>
    </row>
    <row r="183" spans="1:7" x14ac:dyDescent="0.25">
      <c r="A183" s="8">
        <v>42736.817974537036</v>
      </c>
      <c r="B183" s="21" t="s">
        <v>371</v>
      </c>
      <c r="C183" s="21" t="s">
        <v>644</v>
      </c>
      <c r="D183" s="160">
        <v>1540000</v>
      </c>
      <c r="E183" s="21" t="s">
        <v>379</v>
      </c>
      <c r="F183" s="21" t="s">
        <v>380</v>
      </c>
      <c r="G183" s="8" t="str">
        <f t="shared" si="2"/>
        <v>HELVIE ADAM</v>
      </c>
    </row>
    <row r="184" spans="1:7" x14ac:dyDescent="0.25">
      <c r="A184" s="8">
        <v>42736.818958333337</v>
      </c>
      <c r="B184" s="21" t="s">
        <v>231</v>
      </c>
      <c r="C184" s="21" t="s">
        <v>645</v>
      </c>
      <c r="D184" s="160">
        <v>2600000</v>
      </c>
      <c r="E184" s="21" t="s">
        <v>232</v>
      </c>
      <c r="F184" s="21" t="s">
        <v>570</v>
      </c>
      <c r="G184" s="8" t="str">
        <f t="shared" si="2"/>
        <v>DAVIDSON DAVID</v>
      </c>
    </row>
    <row r="185" spans="1:7" x14ac:dyDescent="0.25">
      <c r="A185" s="8">
        <v>42736.829502314817</v>
      </c>
      <c r="B185" s="21" t="s">
        <v>183</v>
      </c>
      <c r="C185" s="21" t="s">
        <v>646</v>
      </c>
      <c r="D185" s="160">
        <v>2230000</v>
      </c>
      <c r="E185" s="21" t="s">
        <v>268</v>
      </c>
      <c r="F185" s="21" t="s">
        <v>254</v>
      </c>
      <c r="G185" s="8" t="str">
        <f t="shared" si="2"/>
        <v>SMITH MICHAEL</v>
      </c>
    </row>
    <row r="186" spans="1:7" x14ac:dyDescent="0.25">
      <c r="A186" s="8">
        <v>42736.829652777778</v>
      </c>
      <c r="B186" s="21" t="s">
        <v>260</v>
      </c>
      <c r="C186" s="21" t="s">
        <v>463</v>
      </c>
      <c r="D186" s="160">
        <v>2530000</v>
      </c>
      <c r="E186" s="21" t="s">
        <v>235</v>
      </c>
      <c r="F186" s="21" t="s">
        <v>564</v>
      </c>
      <c r="G186" s="8" t="str">
        <f t="shared" si="2"/>
        <v>LALONDE GREGORY</v>
      </c>
    </row>
    <row r="187" spans="1:7" x14ac:dyDescent="0.25">
      <c r="A187" s="8">
        <v>42736.829953703702</v>
      </c>
      <c r="B187" s="21" t="s">
        <v>261</v>
      </c>
      <c r="C187" s="21" t="s">
        <v>647</v>
      </c>
      <c r="D187" s="160">
        <v>1800000</v>
      </c>
      <c r="E187" s="21" t="s">
        <v>234</v>
      </c>
      <c r="F187" s="21" t="s">
        <v>248</v>
      </c>
      <c r="G187" s="8" t="str">
        <f t="shared" si="2"/>
        <v>CHANDLER KELVIN</v>
      </c>
    </row>
    <row r="188" spans="1:7" x14ac:dyDescent="0.25">
      <c r="A188" s="8">
        <v>42736.830613425926</v>
      </c>
      <c r="B188" s="21" t="s">
        <v>260</v>
      </c>
      <c r="C188" s="21" t="s">
        <v>463</v>
      </c>
      <c r="D188" s="160">
        <v>2530000</v>
      </c>
      <c r="E188" s="21" t="s">
        <v>235</v>
      </c>
      <c r="F188" s="21" t="s">
        <v>564</v>
      </c>
      <c r="G188" s="8" t="str">
        <f t="shared" si="2"/>
        <v>LALONDE GREGORY</v>
      </c>
    </row>
    <row r="189" spans="1:7" x14ac:dyDescent="0.25">
      <c r="A189" s="8">
        <v>42736.832476851851</v>
      </c>
      <c r="B189" s="21" t="s">
        <v>260</v>
      </c>
      <c r="C189" s="21" t="s">
        <v>463</v>
      </c>
      <c r="D189" s="160">
        <v>2530000</v>
      </c>
      <c r="E189" s="21" t="s">
        <v>235</v>
      </c>
      <c r="F189" s="21" t="s">
        <v>564</v>
      </c>
      <c r="G189" s="8" t="str">
        <f t="shared" si="2"/>
        <v>LALONDE GREGORY</v>
      </c>
    </row>
    <row r="190" spans="1:7" x14ac:dyDescent="0.25">
      <c r="A190" s="8">
        <v>42736.841898148145</v>
      </c>
      <c r="B190" s="21" t="s">
        <v>335</v>
      </c>
      <c r="C190" s="21" t="s">
        <v>648</v>
      </c>
      <c r="D190" s="160">
        <v>1810000</v>
      </c>
      <c r="E190" s="21" t="s">
        <v>269</v>
      </c>
      <c r="F190" s="21" t="s">
        <v>245</v>
      </c>
      <c r="G190" s="8" t="str">
        <f t="shared" si="2"/>
        <v>NEWELL JAMES</v>
      </c>
    </row>
    <row r="191" spans="1:7" x14ac:dyDescent="0.25">
      <c r="A191" s="8">
        <v>42736.841967592591</v>
      </c>
      <c r="B191" s="21" t="s">
        <v>214</v>
      </c>
      <c r="C191" s="21" t="s">
        <v>649</v>
      </c>
      <c r="D191" s="160">
        <v>2000000</v>
      </c>
      <c r="E191" s="21" t="s">
        <v>209</v>
      </c>
      <c r="F191" s="21" t="s">
        <v>245</v>
      </c>
      <c r="G191" s="8" t="str">
        <f t="shared" si="2"/>
        <v>STAMBAUGH JAMES</v>
      </c>
    </row>
    <row r="192" spans="1:7" x14ac:dyDescent="0.25">
      <c r="A192" s="8">
        <v>42736.846342592595</v>
      </c>
      <c r="B192" s="21" t="s">
        <v>373</v>
      </c>
      <c r="C192" s="21" t="s">
        <v>650</v>
      </c>
      <c r="D192" s="160">
        <v>1540000</v>
      </c>
      <c r="E192" s="21" t="s">
        <v>379</v>
      </c>
      <c r="F192" s="21" t="s">
        <v>380</v>
      </c>
      <c r="G192" s="8" t="str">
        <f t="shared" si="2"/>
        <v>HELVIE ADAM</v>
      </c>
    </row>
    <row r="193" spans="1:7" x14ac:dyDescent="0.25">
      <c r="A193" s="8">
        <v>42736.846759259257</v>
      </c>
      <c r="B193" s="21" t="s">
        <v>261</v>
      </c>
      <c r="C193" s="21" t="s">
        <v>647</v>
      </c>
      <c r="D193" s="160">
        <v>1800000</v>
      </c>
      <c r="E193" s="21" t="s">
        <v>234</v>
      </c>
      <c r="F193" s="21" t="s">
        <v>248</v>
      </c>
      <c r="G193" s="8" t="str">
        <f t="shared" si="2"/>
        <v>CHANDLER KELVIN</v>
      </c>
    </row>
    <row r="194" spans="1:7" x14ac:dyDescent="0.25">
      <c r="A194" s="8">
        <v>42736.850416666668</v>
      </c>
      <c r="B194" s="21" t="s">
        <v>204</v>
      </c>
      <c r="C194" s="21" t="s">
        <v>651</v>
      </c>
      <c r="D194" s="160">
        <v>2560000</v>
      </c>
      <c r="E194" s="21" t="s">
        <v>635</v>
      </c>
      <c r="F194" s="21" t="s">
        <v>636</v>
      </c>
      <c r="G194" s="8" t="str">
        <f t="shared" si="2"/>
        <v>MACDONALD THOMAS</v>
      </c>
    </row>
    <row r="195" spans="1:7" x14ac:dyDescent="0.25">
      <c r="A195" s="8">
        <v>42736.854143518518</v>
      </c>
      <c r="B195" s="21" t="s">
        <v>344</v>
      </c>
      <c r="C195" s="21" t="s">
        <v>464</v>
      </c>
      <c r="D195" s="160">
        <v>2600000</v>
      </c>
      <c r="E195" s="21" t="s">
        <v>232</v>
      </c>
      <c r="F195" s="21" t="s">
        <v>570</v>
      </c>
      <c r="G195" s="8" t="str">
        <f t="shared" ref="G195:G258" si="3">E195&amp;" "&amp;F195</f>
        <v>DAVIDSON DAVID</v>
      </c>
    </row>
    <row r="196" spans="1:7" x14ac:dyDescent="0.25">
      <c r="A196" s="8">
        <v>42736.860185185185</v>
      </c>
      <c r="B196" s="21" t="s">
        <v>371</v>
      </c>
      <c r="C196" s="21" t="s">
        <v>462</v>
      </c>
      <c r="D196" s="160">
        <v>1540000</v>
      </c>
      <c r="E196" s="21" t="s">
        <v>379</v>
      </c>
      <c r="F196" s="21" t="s">
        <v>380</v>
      </c>
      <c r="G196" s="8" t="str">
        <f t="shared" si="3"/>
        <v>HELVIE ADAM</v>
      </c>
    </row>
    <row r="197" spans="1:7" x14ac:dyDescent="0.25">
      <c r="A197" s="8">
        <v>42736.863958333335</v>
      </c>
      <c r="B197" s="21" t="s">
        <v>371</v>
      </c>
      <c r="C197" s="21" t="s">
        <v>462</v>
      </c>
      <c r="D197" s="160">
        <v>1540000</v>
      </c>
      <c r="E197" s="21" t="s">
        <v>379</v>
      </c>
      <c r="F197" s="21" t="s">
        <v>380</v>
      </c>
      <c r="G197" s="8" t="str">
        <f t="shared" si="3"/>
        <v>HELVIE ADAM</v>
      </c>
    </row>
    <row r="198" spans="1:7" x14ac:dyDescent="0.25">
      <c r="A198" s="8">
        <v>42736.864525462966</v>
      </c>
      <c r="B198" s="21" t="s">
        <v>435</v>
      </c>
      <c r="C198" s="21" t="s">
        <v>652</v>
      </c>
      <c r="D198" s="160">
        <v>2230000</v>
      </c>
      <c r="E198" s="21" t="s">
        <v>268</v>
      </c>
      <c r="F198" s="21" t="s">
        <v>254</v>
      </c>
      <c r="G198" s="8" t="str">
        <f t="shared" si="3"/>
        <v>SMITH MICHAEL</v>
      </c>
    </row>
    <row r="199" spans="1:7" x14ac:dyDescent="0.25">
      <c r="A199" s="8">
        <v>42736.873344907406</v>
      </c>
      <c r="B199" s="21" t="s">
        <v>225</v>
      </c>
      <c r="C199" s="21" t="s">
        <v>653</v>
      </c>
      <c r="D199" s="160">
        <v>2530000</v>
      </c>
      <c r="E199" s="21" t="s">
        <v>235</v>
      </c>
      <c r="F199" s="21" t="s">
        <v>564</v>
      </c>
      <c r="G199" s="8" t="str">
        <f t="shared" si="3"/>
        <v>LALONDE GREGORY</v>
      </c>
    </row>
    <row r="200" spans="1:7" x14ac:dyDescent="0.25">
      <c r="A200" s="8">
        <v>42736.873807870368</v>
      </c>
      <c r="B200" s="21" t="s">
        <v>262</v>
      </c>
      <c r="C200" s="21" t="s">
        <v>654</v>
      </c>
      <c r="D200" s="160">
        <v>1800000</v>
      </c>
      <c r="E200" s="21" t="s">
        <v>234</v>
      </c>
      <c r="F200" s="21" t="s">
        <v>248</v>
      </c>
      <c r="G200" s="8" t="str">
        <f t="shared" si="3"/>
        <v>CHANDLER KELVIN</v>
      </c>
    </row>
    <row r="201" spans="1:7" x14ac:dyDescent="0.25">
      <c r="A201" s="8">
        <v>42736.879062499997</v>
      </c>
      <c r="B201" s="21" t="s">
        <v>212</v>
      </c>
      <c r="C201" s="21" t="s">
        <v>655</v>
      </c>
      <c r="D201" s="160">
        <v>1810000</v>
      </c>
      <c r="E201" s="21" t="s">
        <v>269</v>
      </c>
      <c r="F201" s="21" t="s">
        <v>245</v>
      </c>
      <c r="G201" s="8" t="str">
        <f t="shared" si="3"/>
        <v>NEWELL JAMES</v>
      </c>
    </row>
    <row r="202" spans="1:7" x14ac:dyDescent="0.25">
      <c r="A202" s="27">
        <v>42736.884895833333</v>
      </c>
      <c r="B202" s="21" t="s">
        <v>440</v>
      </c>
      <c r="C202" s="21" t="s">
        <v>656</v>
      </c>
      <c r="D202" s="160">
        <v>2000000</v>
      </c>
      <c r="E202" s="21" t="s">
        <v>209</v>
      </c>
      <c r="F202" s="21" t="s">
        <v>245</v>
      </c>
      <c r="G202" s="8" t="str">
        <f t="shared" si="3"/>
        <v>STAMBAUGH JAMES</v>
      </c>
    </row>
    <row r="203" spans="1:7" x14ac:dyDescent="0.25">
      <c r="A203" s="8">
        <v>42736.887291666666</v>
      </c>
      <c r="B203" s="21" t="s">
        <v>373</v>
      </c>
      <c r="C203" s="21" t="s">
        <v>657</v>
      </c>
      <c r="D203" s="160">
        <v>1540000</v>
      </c>
      <c r="E203" s="21" t="s">
        <v>379</v>
      </c>
      <c r="F203" s="21" t="s">
        <v>380</v>
      </c>
      <c r="G203" s="8" t="str">
        <f t="shared" si="3"/>
        <v>HELVIE ADAM</v>
      </c>
    </row>
    <row r="204" spans="1:7" x14ac:dyDescent="0.25">
      <c r="A204" s="8">
        <v>42736.893564814818</v>
      </c>
      <c r="B204" s="21" t="s">
        <v>231</v>
      </c>
      <c r="C204" s="21" t="s">
        <v>658</v>
      </c>
      <c r="D204" s="160">
        <v>2600000</v>
      </c>
      <c r="E204" s="21" t="s">
        <v>232</v>
      </c>
      <c r="F204" s="21" t="s">
        <v>570</v>
      </c>
      <c r="G204" s="8" t="str">
        <f t="shared" si="3"/>
        <v>DAVIDSON DAVID</v>
      </c>
    </row>
    <row r="205" spans="1:7" x14ac:dyDescent="0.25">
      <c r="A205" s="8">
        <v>42736.90121527778</v>
      </c>
      <c r="B205" s="21" t="s">
        <v>371</v>
      </c>
      <c r="C205" s="21" t="s">
        <v>659</v>
      </c>
      <c r="D205" s="160">
        <v>1540000</v>
      </c>
      <c r="E205" s="21" t="s">
        <v>379</v>
      </c>
      <c r="F205" s="21" t="s">
        <v>380</v>
      </c>
      <c r="G205" s="8" t="str">
        <f t="shared" si="3"/>
        <v>HELVIE ADAM</v>
      </c>
    </row>
    <row r="206" spans="1:7" x14ac:dyDescent="0.25">
      <c r="A206" s="8">
        <v>42736.907152777778</v>
      </c>
      <c r="B206" s="21" t="s">
        <v>183</v>
      </c>
      <c r="C206" s="21" t="s">
        <v>465</v>
      </c>
      <c r="D206" s="160">
        <v>2230000</v>
      </c>
      <c r="E206" s="21" t="s">
        <v>268</v>
      </c>
      <c r="F206" s="21" t="s">
        <v>254</v>
      </c>
      <c r="G206" s="8" t="str">
        <f t="shared" si="3"/>
        <v>SMITH MICHAEL</v>
      </c>
    </row>
    <row r="207" spans="1:7" x14ac:dyDescent="0.25">
      <c r="A207" s="8">
        <v>42736.910509259258</v>
      </c>
      <c r="B207" s="21" t="s">
        <v>261</v>
      </c>
      <c r="C207" s="21" t="s">
        <v>660</v>
      </c>
      <c r="D207" s="160">
        <v>1800000</v>
      </c>
      <c r="E207" s="21" t="s">
        <v>234</v>
      </c>
      <c r="F207" s="21" t="s">
        <v>248</v>
      </c>
      <c r="G207" s="8" t="str">
        <f t="shared" si="3"/>
        <v>CHANDLER KELVIN</v>
      </c>
    </row>
    <row r="208" spans="1:7" x14ac:dyDescent="0.25">
      <c r="A208" s="8">
        <v>42736.922118055554</v>
      </c>
      <c r="B208" s="21" t="s">
        <v>214</v>
      </c>
      <c r="C208" s="21" t="s">
        <v>661</v>
      </c>
      <c r="D208" s="160">
        <v>2000000</v>
      </c>
      <c r="E208" s="21" t="s">
        <v>209</v>
      </c>
      <c r="F208" s="21" t="s">
        <v>245</v>
      </c>
      <c r="G208" s="8" t="str">
        <f t="shared" si="3"/>
        <v>STAMBAUGH JAMES</v>
      </c>
    </row>
    <row r="209" spans="1:7" x14ac:dyDescent="0.25">
      <c r="A209" s="8">
        <v>42736.929699074077</v>
      </c>
      <c r="B209" s="21" t="s">
        <v>373</v>
      </c>
      <c r="C209" s="21" t="s">
        <v>662</v>
      </c>
      <c r="D209" s="160">
        <v>1540000</v>
      </c>
      <c r="E209" s="21" t="s">
        <v>379</v>
      </c>
      <c r="F209" s="21" t="s">
        <v>380</v>
      </c>
      <c r="G209" s="8" t="str">
        <f t="shared" si="3"/>
        <v>HELVIE ADAM</v>
      </c>
    </row>
    <row r="210" spans="1:7" x14ac:dyDescent="0.25">
      <c r="A210" s="8">
        <v>42736.931655092594</v>
      </c>
      <c r="B210" s="21" t="s">
        <v>335</v>
      </c>
      <c r="C210" s="21" t="s">
        <v>663</v>
      </c>
      <c r="D210" s="160">
        <v>1810000</v>
      </c>
      <c r="E210" s="21" t="s">
        <v>269</v>
      </c>
      <c r="F210" s="21" t="s">
        <v>245</v>
      </c>
      <c r="G210" s="8" t="str">
        <f t="shared" si="3"/>
        <v>NEWELL JAMES</v>
      </c>
    </row>
    <row r="211" spans="1:7" x14ac:dyDescent="0.25">
      <c r="A211" s="8">
        <v>42736.936597222222</v>
      </c>
      <c r="B211" s="21" t="s">
        <v>183</v>
      </c>
      <c r="C211" s="21" t="s">
        <v>465</v>
      </c>
      <c r="D211" s="160">
        <v>2230000</v>
      </c>
      <c r="E211" s="21" t="s">
        <v>268</v>
      </c>
      <c r="F211" s="21" t="s">
        <v>254</v>
      </c>
      <c r="G211" s="8" t="str">
        <f t="shared" si="3"/>
        <v>SMITH MICHAEL</v>
      </c>
    </row>
    <row r="212" spans="1:7" x14ac:dyDescent="0.25">
      <c r="A212" s="8">
        <v>42736.942824074074</v>
      </c>
      <c r="B212" s="21" t="s">
        <v>371</v>
      </c>
      <c r="C212" s="21" t="s">
        <v>664</v>
      </c>
      <c r="D212" s="160">
        <v>1540000</v>
      </c>
      <c r="E212" s="21" t="s">
        <v>379</v>
      </c>
      <c r="F212" s="21" t="s">
        <v>380</v>
      </c>
      <c r="G212" s="8" t="str">
        <f t="shared" si="3"/>
        <v>HELVIE ADAM</v>
      </c>
    </row>
    <row r="213" spans="1:7" x14ac:dyDescent="0.25">
      <c r="A213" s="8">
        <v>42736.949699074074</v>
      </c>
      <c r="B213" s="21" t="s">
        <v>435</v>
      </c>
      <c r="C213" s="21" t="s">
        <v>665</v>
      </c>
      <c r="D213" s="160">
        <v>2230000</v>
      </c>
      <c r="E213" s="21" t="s">
        <v>268</v>
      </c>
      <c r="F213" s="21" t="s">
        <v>254</v>
      </c>
      <c r="G213" s="8" t="str">
        <f t="shared" si="3"/>
        <v>SMITH MICHAEL</v>
      </c>
    </row>
    <row r="214" spans="1:7" x14ac:dyDescent="0.25">
      <c r="A214" s="8">
        <v>42736.957245370373</v>
      </c>
      <c r="B214" s="21" t="s">
        <v>262</v>
      </c>
      <c r="C214" s="21" t="s">
        <v>666</v>
      </c>
      <c r="D214" s="160">
        <v>1800000</v>
      </c>
      <c r="E214" s="21" t="s">
        <v>234</v>
      </c>
      <c r="F214" s="21" t="s">
        <v>248</v>
      </c>
      <c r="G214" s="8" t="str">
        <f t="shared" si="3"/>
        <v>CHANDLER KELVIN</v>
      </c>
    </row>
    <row r="215" spans="1:7" x14ac:dyDescent="0.25">
      <c r="A215" s="8">
        <v>42736.973055555558</v>
      </c>
      <c r="B215" s="21" t="s">
        <v>440</v>
      </c>
      <c r="C215" s="21" t="s">
        <v>667</v>
      </c>
      <c r="D215" s="160">
        <v>2000000</v>
      </c>
      <c r="E215" s="21" t="s">
        <v>209</v>
      </c>
      <c r="F215" s="21" t="s">
        <v>245</v>
      </c>
      <c r="G215" s="8" t="str">
        <f t="shared" si="3"/>
        <v>STAMBAUGH JAMES</v>
      </c>
    </row>
    <row r="216" spans="1:7" x14ac:dyDescent="0.25">
      <c r="A216" s="8">
        <v>42736.976747685185</v>
      </c>
      <c r="B216" s="21" t="s">
        <v>212</v>
      </c>
      <c r="C216" s="21" t="s">
        <v>668</v>
      </c>
      <c r="D216" s="160">
        <v>1810000</v>
      </c>
      <c r="E216" s="21" t="s">
        <v>269</v>
      </c>
      <c r="F216" s="21" t="s">
        <v>245</v>
      </c>
      <c r="G216" s="8" t="str">
        <f t="shared" si="3"/>
        <v>NEWELL JAMES</v>
      </c>
    </row>
    <row r="217" spans="1:7" x14ac:dyDescent="0.25">
      <c r="A217" s="8">
        <v>42736.985486111109</v>
      </c>
      <c r="B217" s="21" t="s">
        <v>183</v>
      </c>
      <c r="C217" s="21" t="s">
        <v>669</v>
      </c>
      <c r="D217" s="160">
        <v>2230000</v>
      </c>
      <c r="E217" s="21" t="s">
        <v>268</v>
      </c>
      <c r="F217" s="21" t="s">
        <v>254</v>
      </c>
      <c r="G217" s="8" t="str">
        <f t="shared" si="3"/>
        <v>SMITH MICHAEL</v>
      </c>
    </row>
    <row r="218" spans="1:7" x14ac:dyDescent="0.25">
      <c r="A218" s="8">
        <v>42736.994270833333</v>
      </c>
      <c r="B218" s="21" t="s">
        <v>261</v>
      </c>
      <c r="C218" s="21" t="s">
        <v>670</v>
      </c>
      <c r="D218" s="160">
        <v>1800000</v>
      </c>
      <c r="E218" s="21" t="s">
        <v>234</v>
      </c>
      <c r="F218" s="21" t="s">
        <v>248</v>
      </c>
      <c r="G218" s="8" t="str">
        <f t="shared" si="3"/>
        <v>CHANDLER KELVIN</v>
      </c>
    </row>
    <row r="219" spans="1:7" x14ac:dyDescent="0.25">
      <c r="A219" s="8">
        <v>42737.00540509259</v>
      </c>
      <c r="B219" s="21" t="s">
        <v>214</v>
      </c>
      <c r="C219" s="21" t="s">
        <v>466</v>
      </c>
      <c r="D219" s="160">
        <v>2000000</v>
      </c>
      <c r="E219" s="21" t="s">
        <v>209</v>
      </c>
      <c r="F219" s="21" t="s">
        <v>245</v>
      </c>
      <c r="G219" s="8" t="str">
        <f t="shared" si="3"/>
        <v>STAMBAUGH JAMES</v>
      </c>
    </row>
    <row r="220" spans="1:7" x14ac:dyDescent="0.25">
      <c r="A220" s="8">
        <v>42737.013298611113</v>
      </c>
      <c r="B220" s="21" t="s">
        <v>335</v>
      </c>
      <c r="C220" s="21" t="s">
        <v>671</v>
      </c>
      <c r="D220" s="160">
        <v>1810000</v>
      </c>
      <c r="E220" s="21" t="s">
        <v>269</v>
      </c>
      <c r="F220" s="21" t="s">
        <v>245</v>
      </c>
      <c r="G220" s="8" t="str">
        <f t="shared" si="3"/>
        <v>NEWELL JAMES</v>
      </c>
    </row>
    <row r="221" spans="1:7" x14ac:dyDescent="0.25">
      <c r="A221" s="8">
        <v>42737.02820601852</v>
      </c>
      <c r="B221" s="21" t="s">
        <v>262</v>
      </c>
      <c r="C221" s="21" t="s">
        <v>672</v>
      </c>
      <c r="D221" s="160">
        <v>1800000</v>
      </c>
      <c r="E221" s="21" t="s">
        <v>234</v>
      </c>
      <c r="F221" s="21" t="s">
        <v>248</v>
      </c>
      <c r="G221" s="8" t="str">
        <f t="shared" si="3"/>
        <v>CHANDLER KELVIN</v>
      </c>
    </row>
    <row r="222" spans="1:7" x14ac:dyDescent="0.25">
      <c r="A222" s="8">
        <v>42737.030960648146</v>
      </c>
      <c r="B222" s="21" t="s">
        <v>435</v>
      </c>
      <c r="C222" s="21" t="s">
        <v>673</v>
      </c>
      <c r="D222" s="160">
        <v>2230000</v>
      </c>
      <c r="E222" s="21" t="s">
        <v>268</v>
      </c>
      <c r="F222" s="21" t="s">
        <v>254</v>
      </c>
      <c r="G222" s="8" t="str">
        <f t="shared" si="3"/>
        <v>SMITH MICHAEL</v>
      </c>
    </row>
    <row r="223" spans="1:7" x14ac:dyDescent="0.25">
      <c r="A223" s="8">
        <v>42737.046932870369</v>
      </c>
      <c r="B223" s="21" t="s">
        <v>212</v>
      </c>
      <c r="C223" s="21" t="s">
        <v>674</v>
      </c>
      <c r="D223" s="160">
        <v>1810000</v>
      </c>
      <c r="E223" s="21" t="s">
        <v>269</v>
      </c>
      <c r="F223" s="21" t="s">
        <v>245</v>
      </c>
      <c r="G223" s="8" t="str">
        <f t="shared" si="3"/>
        <v>NEWELL JAMES</v>
      </c>
    </row>
    <row r="224" spans="1:7" x14ac:dyDescent="0.25">
      <c r="A224" s="8">
        <v>42737.055034722223</v>
      </c>
      <c r="B224" t="s">
        <v>440</v>
      </c>
      <c r="C224" t="s">
        <v>467</v>
      </c>
      <c r="D224" s="160">
        <v>2000000</v>
      </c>
      <c r="E224" t="s">
        <v>209</v>
      </c>
      <c r="F224" s="21" t="s">
        <v>245</v>
      </c>
      <c r="G224" s="8" t="str">
        <f t="shared" si="3"/>
        <v>STAMBAUGH JAMES</v>
      </c>
    </row>
    <row r="225" spans="1:7" x14ac:dyDescent="0.25">
      <c r="A225" s="8">
        <v>42737.068738425929</v>
      </c>
      <c r="B225" t="s">
        <v>183</v>
      </c>
      <c r="C225" t="s">
        <v>675</v>
      </c>
      <c r="D225" s="160">
        <v>2230000</v>
      </c>
      <c r="E225" t="s">
        <v>268</v>
      </c>
      <c r="F225" s="21" t="s">
        <v>254</v>
      </c>
      <c r="G225" s="8" t="str">
        <f t="shared" si="3"/>
        <v>SMITH MICHAEL</v>
      </c>
    </row>
    <row r="226" spans="1:7" x14ac:dyDescent="0.25">
      <c r="A226" s="8">
        <v>42737.089282407411</v>
      </c>
      <c r="B226" t="s">
        <v>214</v>
      </c>
      <c r="C226" t="s">
        <v>676</v>
      </c>
      <c r="D226" s="160">
        <v>2000000</v>
      </c>
      <c r="E226" t="s">
        <v>209</v>
      </c>
      <c r="F226" s="21" t="s">
        <v>245</v>
      </c>
      <c r="G226" s="8" t="str">
        <f t="shared" si="3"/>
        <v>STAMBAUGH JAMES</v>
      </c>
    </row>
    <row r="227" spans="1:7" x14ac:dyDescent="0.25">
      <c r="A227" s="8">
        <v>42733.049861111111</v>
      </c>
      <c r="B227" t="s">
        <v>204</v>
      </c>
      <c r="C227" t="s">
        <v>385</v>
      </c>
      <c r="D227" s="160">
        <v>2220000</v>
      </c>
      <c r="E227" t="s">
        <v>300</v>
      </c>
      <c r="F227" s="21" t="s">
        <v>301</v>
      </c>
      <c r="G227" s="8" t="str">
        <f t="shared" si="3"/>
        <v>HILLS DUSTIN</v>
      </c>
    </row>
    <row r="228" spans="1:7" x14ac:dyDescent="0.25">
      <c r="A228" s="8">
        <v>42733.055717592593</v>
      </c>
      <c r="B228" t="s">
        <v>229</v>
      </c>
      <c r="C228" t="s">
        <v>386</v>
      </c>
      <c r="D228" s="160">
        <v>2720000</v>
      </c>
      <c r="E228" t="s">
        <v>336</v>
      </c>
      <c r="F228" s="21" t="s">
        <v>337</v>
      </c>
      <c r="G228" s="8" t="str">
        <f t="shared" si="3"/>
        <v>SIMONEAUX TERA</v>
      </c>
    </row>
    <row r="229" spans="1:7" x14ac:dyDescent="0.25">
      <c r="A229" s="8">
        <v>42733.056759259256</v>
      </c>
      <c r="B229" t="s">
        <v>229</v>
      </c>
      <c r="C229" t="s">
        <v>386</v>
      </c>
      <c r="D229" s="160">
        <v>2720000</v>
      </c>
      <c r="E229" t="s">
        <v>336</v>
      </c>
      <c r="F229" s="21" t="s">
        <v>337</v>
      </c>
      <c r="G229" s="8" t="str">
        <f t="shared" si="3"/>
        <v>SIMONEAUX TERA</v>
      </c>
    </row>
    <row r="230" spans="1:7" x14ac:dyDescent="0.25">
      <c r="A230" s="8">
        <v>42733.058379629627</v>
      </c>
      <c r="B230" t="s">
        <v>229</v>
      </c>
      <c r="C230" t="s">
        <v>386</v>
      </c>
      <c r="D230" s="160">
        <v>2720000</v>
      </c>
      <c r="E230" t="s">
        <v>336</v>
      </c>
      <c r="F230" s="21" t="s">
        <v>337</v>
      </c>
      <c r="G230" s="8" t="str">
        <f t="shared" si="3"/>
        <v>SIMONEAUX TERA</v>
      </c>
    </row>
    <row r="231" spans="1:7" x14ac:dyDescent="0.25">
      <c r="A231" s="8">
        <v>42733.072997685187</v>
      </c>
      <c r="B231" t="s">
        <v>310</v>
      </c>
      <c r="C231" t="s">
        <v>387</v>
      </c>
      <c r="D231" s="160">
        <v>2270000</v>
      </c>
      <c r="E231" t="s">
        <v>302</v>
      </c>
      <c r="F231" s="21" t="s">
        <v>303</v>
      </c>
      <c r="G231" s="8" t="str">
        <f t="shared" si="3"/>
        <v>BROWN JACOB</v>
      </c>
    </row>
    <row r="232" spans="1:7" x14ac:dyDescent="0.25">
      <c r="A232" s="8">
        <v>42733.108020833337</v>
      </c>
      <c r="B232" t="s">
        <v>240</v>
      </c>
      <c r="C232" t="s">
        <v>388</v>
      </c>
      <c r="D232" s="160">
        <v>1090000</v>
      </c>
      <c r="E232" t="s">
        <v>389</v>
      </c>
      <c r="F232" s="21" t="s">
        <v>254</v>
      </c>
      <c r="G232" s="8" t="str">
        <f t="shared" si="3"/>
        <v>SPECTOR MICHAEL</v>
      </c>
    </row>
    <row r="233" spans="1:7" x14ac:dyDescent="0.25">
      <c r="A233" s="8">
        <v>42733.110335648147</v>
      </c>
      <c r="B233" t="s">
        <v>344</v>
      </c>
      <c r="C233" t="s">
        <v>390</v>
      </c>
      <c r="D233" s="160">
        <v>2100000</v>
      </c>
      <c r="E233" t="s">
        <v>374</v>
      </c>
      <c r="F233" s="21" t="s">
        <v>375</v>
      </c>
      <c r="G233" s="8" t="str">
        <f t="shared" si="3"/>
        <v>ISHMAEL JOSEPH</v>
      </c>
    </row>
    <row r="234" spans="1:7" x14ac:dyDescent="0.25">
      <c r="A234" s="8">
        <v>42732.057754629626</v>
      </c>
      <c r="B234" t="s">
        <v>335</v>
      </c>
      <c r="C234" t="s">
        <v>348</v>
      </c>
      <c r="D234" s="160">
        <v>2000000</v>
      </c>
      <c r="E234" t="s">
        <v>209</v>
      </c>
      <c r="F234" s="21" t="s">
        <v>245</v>
      </c>
      <c r="G234" s="8" t="str">
        <f t="shared" si="3"/>
        <v>STAMBAUGH JAMES</v>
      </c>
    </row>
    <row r="235" spans="1:7" x14ac:dyDescent="0.25">
      <c r="A235" s="8">
        <v>42732.070798611108</v>
      </c>
      <c r="B235" t="s">
        <v>231</v>
      </c>
      <c r="C235" t="s">
        <v>349</v>
      </c>
      <c r="D235" s="160">
        <v>2720000</v>
      </c>
      <c r="E235" t="s">
        <v>336</v>
      </c>
      <c r="F235" s="21" t="s">
        <v>337</v>
      </c>
      <c r="G235" s="8" t="str">
        <f t="shared" si="3"/>
        <v>SIMONEAUX TERA</v>
      </c>
    </row>
    <row r="236" spans="1:7" x14ac:dyDescent="0.25">
      <c r="A236" s="8">
        <v>42732.088171296295</v>
      </c>
      <c r="B236" t="s">
        <v>212</v>
      </c>
      <c r="C236" t="s">
        <v>350</v>
      </c>
      <c r="D236" s="160">
        <v>2000000</v>
      </c>
      <c r="E236" t="s">
        <v>209</v>
      </c>
      <c r="F236" s="21" t="s">
        <v>245</v>
      </c>
      <c r="G236" s="8" t="str">
        <f t="shared" si="3"/>
        <v>STAMBAUGH JAMES</v>
      </c>
    </row>
    <row r="237" spans="1:7" x14ac:dyDescent="0.25">
      <c r="A237" s="8">
        <v>42728.056018518517</v>
      </c>
      <c r="B237" t="s">
        <v>155</v>
      </c>
      <c r="C237" t="s">
        <v>312</v>
      </c>
      <c r="D237" s="160">
        <v>2220000</v>
      </c>
      <c r="E237" t="s">
        <v>300</v>
      </c>
      <c r="F237" s="21" t="s">
        <v>301</v>
      </c>
      <c r="G237" s="8" t="str">
        <f t="shared" si="3"/>
        <v>HILLS DUSTIN</v>
      </c>
    </row>
    <row r="238" spans="1:7" x14ac:dyDescent="0.25">
      <c r="A238" s="8">
        <v>42728.056562500002</v>
      </c>
      <c r="B238" t="s">
        <v>155</v>
      </c>
      <c r="C238" t="s">
        <v>312</v>
      </c>
      <c r="D238" s="160">
        <v>2220000</v>
      </c>
      <c r="E238" t="s">
        <v>300</v>
      </c>
      <c r="F238" s="21" t="s">
        <v>301</v>
      </c>
      <c r="G238" s="8" t="str">
        <f t="shared" si="3"/>
        <v>HILLS DUSTIN</v>
      </c>
    </row>
    <row r="239" spans="1:7" x14ac:dyDescent="0.25">
      <c r="A239" s="8">
        <v>42728.057442129626</v>
      </c>
      <c r="B239" t="s">
        <v>155</v>
      </c>
      <c r="C239" t="s">
        <v>312</v>
      </c>
      <c r="D239" s="160">
        <v>2220000</v>
      </c>
      <c r="E239" t="s">
        <v>300</v>
      </c>
      <c r="F239" s="21" t="s">
        <v>301</v>
      </c>
      <c r="G239" s="8" t="str">
        <f t="shared" si="3"/>
        <v>HILLS DUSTIN</v>
      </c>
    </row>
    <row r="240" spans="1:7" x14ac:dyDescent="0.25">
      <c r="A240" s="8">
        <v>42728.058125000003</v>
      </c>
      <c r="B240" t="s">
        <v>155</v>
      </c>
      <c r="C240" t="s">
        <v>312</v>
      </c>
      <c r="D240" s="160">
        <v>2220000</v>
      </c>
      <c r="E240" t="s">
        <v>300</v>
      </c>
      <c r="F240" s="21" t="s">
        <v>301</v>
      </c>
      <c r="G240" s="8" t="str">
        <f t="shared" si="3"/>
        <v>HILLS DUSTIN</v>
      </c>
    </row>
    <row r="241" spans="1:7" x14ac:dyDescent="0.25">
      <c r="A241" s="8">
        <v>42728.068344907406</v>
      </c>
      <c r="B241" t="s">
        <v>240</v>
      </c>
      <c r="C241" t="s">
        <v>313</v>
      </c>
      <c r="D241" s="160">
        <v>2000000</v>
      </c>
      <c r="E241" t="s">
        <v>209</v>
      </c>
      <c r="F241" s="21" t="s">
        <v>245</v>
      </c>
      <c r="G241" s="8" t="str">
        <f t="shared" si="3"/>
        <v>STAMBAUGH JAMES</v>
      </c>
    </row>
    <row r="242" spans="1:7" x14ac:dyDescent="0.25">
      <c r="A242" s="8">
        <v>42728.072638888887</v>
      </c>
      <c r="B242" t="s">
        <v>311</v>
      </c>
      <c r="C242" t="s">
        <v>314</v>
      </c>
      <c r="D242" s="160">
        <v>2270000</v>
      </c>
      <c r="E242" t="s">
        <v>302</v>
      </c>
      <c r="F242" s="21" t="s">
        <v>303</v>
      </c>
      <c r="G242" s="8" t="str">
        <f t="shared" si="3"/>
        <v>BROWN JACOB</v>
      </c>
    </row>
    <row r="243" spans="1:7" x14ac:dyDescent="0.25">
      <c r="A243" s="8">
        <v>42728.089687500003</v>
      </c>
      <c r="B243" t="s">
        <v>154</v>
      </c>
      <c r="C243" t="s">
        <v>315</v>
      </c>
      <c r="D243" s="160">
        <v>2220000</v>
      </c>
      <c r="E243" t="s">
        <v>300</v>
      </c>
      <c r="F243" s="21" t="s">
        <v>301</v>
      </c>
      <c r="G243" s="8" t="str">
        <f t="shared" si="3"/>
        <v>HILLS DUSTIN</v>
      </c>
    </row>
    <row r="244" spans="1:7" x14ac:dyDescent="0.25">
      <c r="A244" s="8">
        <v>42728.090300925927</v>
      </c>
      <c r="B244" t="s">
        <v>154</v>
      </c>
      <c r="C244" t="s">
        <v>315</v>
      </c>
      <c r="D244" s="160">
        <v>2220000</v>
      </c>
      <c r="E244" t="s">
        <v>300</v>
      </c>
      <c r="F244" s="21" t="s">
        <v>301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310</v>
      </c>
      <c r="C245" t="s">
        <v>316</v>
      </c>
      <c r="D245" s="160">
        <v>2270000</v>
      </c>
      <c r="E245" t="s">
        <v>302</v>
      </c>
      <c r="F245" s="21" t="s">
        <v>303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276</v>
      </c>
      <c r="C246" t="s">
        <v>279</v>
      </c>
      <c r="D246" s="160">
        <v>2000000</v>
      </c>
      <c r="E246" t="s">
        <v>209</v>
      </c>
      <c r="F246" s="21" t="s">
        <v>245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262</v>
      </c>
      <c r="C247" t="s">
        <v>280</v>
      </c>
      <c r="D247" s="160">
        <v>1810000</v>
      </c>
      <c r="E247" t="s">
        <v>269</v>
      </c>
      <c r="F247" s="21" t="s">
        <v>245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281</v>
      </c>
      <c r="D248" s="160">
        <v>2230000</v>
      </c>
      <c r="E248" t="s">
        <v>268</v>
      </c>
      <c r="F248" s="21" t="s">
        <v>254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282</v>
      </c>
      <c r="D249" s="160">
        <v>1800000</v>
      </c>
      <c r="E249" t="s">
        <v>234</v>
      </c>
      <c r="F249" s="21" t="s">
        <v>248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261</v>
      </c>
      <c r="C250" t="s">
        <v>283</v>
      </c>
      <c r="D250" s="160">
        <v>1810000</v>
      </c>
      <c r="E250" t="s">
        <v>269</v>
      </c>
      <c r="F250" s="21" t="s">
        <v>245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275</v>
      </c>
      <c r="C251" t="s">
        <v>284</v>
      </c>
      <c r="D251" s="160">
        <v>2000000</v>
      </c>
      <c r="E251" t="s">
        <v>209</v>
      </c>
      <c r="F251" s="21" t="s">
        <v>245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285</v>
      </c>
      <c r="D252" s="160">
        <v>1800000</v>
      </c>
      <c r="E252" t="s">
        <v>234</v>
      </c>
      <c r="F252" s="21" t="s">
        <v>248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260</v>
      </c>
      <c r="C253" t="s">
        <v>286</v>
      </c>
      <c r="D253" s="160">
        <v>2230000</v>
      </c>
      <c r="E253" t="s">
        <v>268</v>
      </c>
      <c r="F253" s="21" t="s">
        <v>254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262</v>
      </c>
      <c r="C254" t="s">
        <v>287</v>
      </c>
      <c r="D254" s="160">
        <v>1810000</v>
      </c>
      <c r="E254" t="s">
        <v>269</v>
      </c>
      <c r="F254" s="21" t="s">
        <v>245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276</v>
      </c>
      <c r="C255" t="s">
        <v>288</v>
      </c>
      <c r="D255" s="160">
        <v>2000000</v>
      </c>
      <c r="E255" t="s">
        <v>209</v>
      </c>
      <c r="F255" s="21" t="s">
        <v>245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289</v>
      </c>
      <c r="D256" s="160">
        <v>2230000</v>
      </c>
      <c r="E256" t="s">
        <v>268</v>
      </c>
      <c r="F256" s="21" t="s">
        <v>254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275</v>
      </c>
      <c r="C257" t="s">
        <v>290</v>
      </c>
      <c r="D257" s="160">
        <v>2000000</v>
      </c>
      <c r="E257" t="s">
        <v>209</v>
      </c>
      <c r="F257" s="21" t="s">
        <v>245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291</v>
      </c>
      <c r="D258" s="160">
        <v>2110000</v>
      </c>
      <c r="E258" t="s">
        <v>277</v>
      </c>
      <c r="F258" s="21" t="s">
        <v>278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291</v>
      </c>
      <c r="D259" s="160">
        <v>2110000</v>
      </c>
      <c r="E259" t="s">
        <v>277</v>
      </c>
      <c r="F259" s="21" t="s">
        <v>278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231</v>
      </c>
      <c r="C260" t="s">
        <v>237</v>
      </c>
      <c r="D260" s="160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236</v>
      </c>
      <c r="D261" s="160">
        <v>2530000</v>
      </c>
      <c r="E261" t="s">
        <v>235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238</v>
      </c>
      <c r="D262" s="160">
        <v>2600000</v>
      </c>
      <c r="E262" t="s">
        <v>232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0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0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0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0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171</v>
      </c>
      <c r="I1" s="175" t="s">
        <v>172</v>
      </c>
      <c r="J1" s="175" t="s">
        <v>166</v>
      </c>
      <c r="K1" s="175" t="s">
        <v>164</v>
      </c>
      <c r="L1" s="175" t="s">
        <v>159</v>
      </c>
      <c r="M1" s="175" t="s">
        <v>169</v>
      </c>
      <c r="N1" s="175" t="s">
        <v>163</v>
      </c>
      <c r="O1" s="175" t="s">
        <v>170</v>
      </c>
      <c r="P1" s="175" t="s">
        <v>167</v>
      </c>
      <c r="Q1"/>
      <c r="R1"/>
    </row>
    <row r="2" spans="1:18" x14ac:dyDescent="0.25">
      <c r="A2" s="165">
        <v>25.39</v>
      </c>
      <c r="B2" s="165">
        <v>0.3</v>
      </c>
      <c r="C2" s="165">
        <v>17.579999999999998</v>
      </c>
      <c r="D2" s="8">
        <v>42736</v>
      </c>
      <c r="E2" s="165">
        <v>0.72</v>
      </c>
      <c r="F2" s="165" t="s">
        <v>239</v>
      </c>
      <c r="G2" s="165">
        <v>274.68</v>
      </c>
      <c r="H2" s="165">
        <v>0</v>
      </c>
      <c r="I2" s="165">
        <v>0</v>
      </c>
      <c r="J2" s="165">
        <v>1010.98</v>
      </c>
      <c r="K2" s="165" t="s">
        <v>242</v>
      </c>
      <c r="L2" s="165">
        <v>25.39</v>
      </c>
      <c r="M2" s="165">
        <v>1483254000</v>
      </c>
      <c r="N2" s="165">
        <v>7.3</v>
      </c>
      <c r="O2" s="165">
        <v>228</v>
      </c>
      <c r="P2" s="165">
        <v>2.67</v>
      </c>
      <c r="Q2"/>
      <c r="R2"/>
    </row>
    <row r="3" spans="1:18" x14ac:dyDescent="0.25">
      <c r="A3" s="165">
        <v>19.579999999999998</v>
      </c>
      <c r="B3" s="165">
        <v>0.22</v>
      </c>
      <c r="C3" s="165">
        <v>16</v>
      </c>
      <c r="D3" s="8">
        <v>42736.041666666664</v>
      </c>
      <c r="E3" s="165">
        <v>0.72</v>
      </c>
      <c r="F3" s="165" t="s">
        <v>318</v>
      </c>
      <c r="G3" s="165">
        <v>275.41000000000003</v>
      </c>
      <c r="H3" s="165">
        <v>0</v>
      </c>
      <c r="I3" s="165">
        <v>0</v>
      </c>
      <c r="J3" s="165">
        <v>1010.57</v>
      </c>
      <c r="K3" s="165" t="s">
        <v>317</v>
      </c>
      <c r="L3" s="165">
        <v>23.67</v>
      </c>
      <c r="M3" s="165">
        <v>1483257600</v>
      </c>
      <c r="N3" s="165">
        <v>7.17</v>
      </c>
      <c r="O3" s="165">
        <v>214</v>
      </c>
      <c r="P3" s="165">
        <v>3.2</v>
      </c>
      <c r="Q3"/>
      <c r="R3"/>
    </row>
    <row r="4" spans="1:18" x14ac:dyDescent="0.25">
      <c r="A4" s="165">
        <v>22.55</v>
      </c>
      <c r="B4" s="165">
        <v>0.17</v>
      </c>
      <c r="C4" s="165">
        <v>14.97</v>
      </c>
      <c r="D4" s="8">
        <v>42736.083333333336</v>
      </c>
      <c r="E4" s="165">
        <v>0.72</v>
      </c>
      <c r="F4" s="165" t="s">
        <v>318</v>
      </c>
      <c r="G4" s="165">
        <v>276.14</v>
      </c>
      <c r="H4" s="165">
        <v>0</v>
      </c>
      <c r="I4" s="165">
        <v>0</v>
      </c>
      <c r="J4" s="165">
        <v>1010.19</v>
      </c>
      <c r="K4" s="165" t="s">
        <v>317</v>
      </c>
      <c r="L4" s="165">
        <v>22.55</v>
      </c>
      <c r="M4" s="165">
        <v>1483261200</v>
      </c>
      <c r="N4" s="165">
        <v>6.41</v>
      </c>
      <c r="O4" s="165">
        <v>211</v>
      </c>
      <c r="P4" s="165">
        <v>2.78</v>
      </c>
      <c r="Q4"/>
      <c r="R4"/>
    </row>
    <row r="5" spans="1:18" x14ac:dyDescent="0.25">
      <c r="A5" s="165">
        <v>22.29</v>
      </c>
      <c r="B5" s="165">
        <v>0.17</v>
      </c>
      <c r="C5" s="165">
        <v>14.53</v>
      </c>
      <c r="D5" s="8">
        <v>42736.125</v>
      </c>
      <c r="E5" s="165">
        <v>0.72</v>
      </c>
      <c r="F5" s="165" t="s">
        <v>318</v>
      </c>
      <c r="G5" s="165">
        <v>277.01</v>
      </c>
      <c r="H5" s="165">
        <v>0</v>
      </c>
      <c r="I5" s="165">
        <v>0</v>
      </c>
      <c r="J5" s="165">
        <v>1009.86</v>
      </c>
      <c r="K5" s="165" t="s">
        <v>317</v>
      </c>
      <c r="L5" s="165">
        <v>22.29</v>
      </c>
      <c r="M5" s="165">
        <v>1483264800</v>
      </c>
      <c r="N5" s="165">
        <v>5.82</v>
      </c>
      <c r="O5" s="165">
        <v>229</v>
      </c>
      <c r="P5" s="165">
        <v>2.33</v>
      </c>
      <c r="Q5"/>
      <c r="R5"/>
    </row>
    <row r="6" spans="1:18" x14ac:dyDescent="0.25">
      <c r="A6" s="165">
        <v>22.36</v>
      </c>
      <c r="B6" s="165">
        <v>0.19</v>
      </c>
      <c r="C6" s="165">
        <v>14.64</v>
      </c>
      <c r="D6" s="8">
        <v>42736.166666666664</v>
      </c>
      <c r="E6" s="165">
        <v>0.72</v>
      </c>
      <c r="F6" s="165" t="s">
        <v>318</v>
      </c>
      <c r="G6" s="165">
        <v>277.94</v>
      </c>
      <c r="H6" s="165">
        <v>0</v>
      </c>
      <c r="I6" s="165">
        <v>0</v>
      </c>
      <c r="J6" s="165">
        <v>1009.42</v>
      </c>
      <c r="K6" s="165" t="s">
        <v>317</v>
      </c>
      <c r="L6" s="165">
        <v>22.36</v>
      </c>
      <c r="M6" s="165">
        <v>1483268400</v>
      </c>
      <c r="N6" s="165">
        <v>5.91</v>
      </c>
      <c r="O6" s="165">
        <v>244</v>
      </c>
      <c r="P6" s="165">
        <v>2.34</v>
      </c>
      <c r="Q6"/>
      <c r="R6"/>
    </row>
    <row r="7" spans="1:18" x14ac:dyDescent="0.25">
      <c r="A7" s="165">
        <v>20.89</v>
      </c>
      <c r="B7" s="165">
        <v>0.22</v>
      </c>
      <c r="C7" s="165">
        <v>13.36</v>
      </c>
      <c r="D7" s="8">
        <v>42736.208333333336</v>
      </c>
      <c r="E7" s="165">
        <v>0.72</v>
      </c>
      <c r="F7" s="165" t="s">
        <v>318</v>
      </c>
      <c r="G7" s="165">
        <v>278.83</v>
      </c>
      <c r="H7" s="165">
        <v>0</v>
      </c>
      <c r="I7" s="165">
        <v>0</v>
      </c>
      <c r="J7" s="165">
        <v>1009.01</v>
      </c>
      <c r="K7" s="165" t="s">
        <v>317</v>
      </c>
      <c r="L7" s="165">
        <v>20.89</v>
      </c>
      <c r="M7" s="165">
        <v>1483272000</v>
      </c>
      <c r="N7" s="165">
        <v>7.15</v>
      </c>
      <c r="O7" s="165">
        <v>250</v>
      </c>
      <c r="P7" s="165">
        <v>2.29</v>
      </c>
      <c r="Q7"/>
      <c r="R7"/>
    </row>
    <row r="8" spans="1:18" x14ac:dyDescent="0.25">
      <c r="A8" s="165">
        <v>20.78</v>
      </c>
      <c r="B8" s="165">
        <v>0.28000000000000003</v>
      </c>
      <c r="C8" s="165">
        <v>13.2</v>
      </c>
      <c r="D8" s="8">
        <v>42736.25</v>
      </c>
      <c r="E8" s="165">
        <v>0.72</v>
      </c>
      <c r="F8" s="165" t="s">
        <v>239</v>
      </c>
      <c r="G8" s="165">
        <v>279.39999999999998</v>
      </c>
      <c r="H8" s="165">
        <v>0</v>
      </c>
      <c r="I8" s="165">
        <v>0</v>
      </c>
      <c r="J8" s="165">
        <v>1008.92</v>
      </c>
      <c r="K8" s="165" t="s">
        <v>242</v>
      </c>
      <c r="L8" s="165">
        <v>20.78</v>
      </c>
      <c r="M8" s="165">
        <v>1483275600</v>
      </c>
      <c r="N8" s="165">
        <v>6.32</v>
      </c>
      <c r="O8" s="165">
        <v>228</v>
      </c>
      <c r="P8" s="165">
        <v>2.13</v>
      </c>
      <c r="Q8"/>
      <c r="R8"/>
    </row>
    <row r="9" spans="1:18" x14ac:dyDescent="0.25">
      <c r="A9" s="165">
        <v>22.55</v>
      </c>
      <c r="B9" s="165">
        <v>0.39</v>
      </c>
      <c r="C9" s="165">
        <v>14.29</v>
      </c>
      <c r="D9" s="8">
        <v>42736.291666666664</v>
      </c>
      <c r="E9" s="165">
        <v>0.7</v>
      </c>
      <c r="F9" s="165" t="s">
        <v>239</v>
      </c>
      <c r="G9" s="165">
        <v>279.93</v>
      </c>
      <c r="H9" s="165">
        <v>0</v>
      </c>
      <c r="I9" s="165">
        <v>0</v>
      </c>
      <c r="J9" s="165">
        <v>1008.99</v>
      </c>
      <c r="K9" s="165" t="s">
        <v>242</v>
      </c>
      <c r="L9" s="165">
        <v>22.55</v>
      </c>
      <c r="M9" s="165">
        <v>1483279200</v>
      </c>
      <c r="N9" s="165">
        <v>9.9499999999999993</v>
      </c>
      <c r="O9" s="165">
        <v>242</v>
      </c>
      <c r="P9" s="165">
        <v>1.95</v>
      </c>
      <c r="Q9"/>
      <c r="R9"/>
    </row>
    <row r="10" spans="1:18" x14ac:dyDescent="0.25">
      <c r="A10" s="165">
        <v>22.75</v>
      </c>
      <c r="B10" s="165">
        <v>0.48</v>
      </c>
      <c r="C10" s="165">
        <v>14.22</v>
      </c>
      <c r="D10" s="8">
        <v>42736.333333333336</v>
      </c>
      <c r="E10" s="165">
        <v>0.69</v>
      </c>
      <c r="F10" s="165" t="s">
        <v>351</v>
      </c>
      <c r="G10" s="165">
        <v>281.17</v>
      </c>
      <c r="H10" s="165">
        <v>0</v>
      </c>
      <c r="I10" s="165">
        <v>0</v>
      </c>
      <c r="J10" s="165">
        <v>1008.45</v>
      </c>
      <c r="K10" s="165" t="s">
        <v>242</v>
      </c>
      <c r="L10" s="165">
        <v>22.75</v>
      </c>
      <c r="M10" s="165">
        <v>1483282800</v>
      </c>
      <c r="N10" s="165">
        <v>5.03</v>
      </c>
      <c r="O10" s="165">
        <v>250</v>
      </c>
      <c r="P10" s="165">
        <v>2.4900000000000002</v>
      </c>
      <c r="Q10"/>
      <c r="R10"/>
    </row>
    <row r="11" spans="1:18" x14ac:dyDescent="0.25">
      <c r="A11" s="165">
        <v>27.57</v>
      </c>
      <c r="B11" s="165">
        <v>0.52</v>
      </c>
      <c r="C11" s="165">
        <v>17.59</v>
      </c>
      <c r="D11" s="8">
        <v>42736.375</v>
      </c>
      <c r="E11" s="165">
        <v>0.66</v>
      </c>
      <c r="F11" s="165" t="s">
        <v>351</v>
      </c>
      <c r="G11" s="165">
        <v>283.83999999999997</v>
      </c>
      <c r="H11" s="165">
        <v>0</v>
      </c>
      <c r="I11" s="165">
        <v>0</v>
      </c>
      <c r="J11" s="165">
        <v>1006.59</v>
      </c>
      <c r="K11" s="165" t="s">
        <v>242</v>
      </c>
      <c r="L11" s="165">
        <v>27.57</v>
      </c>
      <c r="M11" s="165">
        <v>1483286400</v>
      </c>
      <c r="N11" s="165">
        <v>4.93</v>
      </c>
      <c r="O11" s="165">
        <v>259</v>
      </c>
      <c r="P11" s="165">
        <v>2.16</v>
      </c>
      <c r="Q11"/>
      <c r="R11"/>
    </row>
    <row r="12" spans="1:18" x14ac:dyDescent="0.25">
      <c r="A12" s="165">
        <v>35.58</v>
      </c>
      <c r="B12" s="165">
        <v>0.57999999999999996</v>
      </c>
      <c r="C12" s="165">
        <v>17.89</v>
      </c>
      <c r="D12" s="8">
        <v>42736.416666666664</v>
      </c>
      <c r="E12" s="165">
        <v>0.48</v>
      </c>
      <c r="F12" s="165" t="s">
        <v>351</v>
      </c>
      <c r="G12" s="165">
        <v>287.20999999999998</v>
      </c>
      <c r="H12" s="165">
        <v>0</v>
      </c>
      <c r="I12" s="165">
        <v>0</v>
      </c>
      <c r="J12" s="165">
        <v>1004.26</v>
      </c>
      <c r="K12" s="165" t="s">
        <v>242</v>
      </c>
      <c r="L12" s="165">
        <v>35.58</v>
      </c>
      <c r="M12" s="165">
        <v>1483290000</v>
      </c>
      <c r="N12" s="165">
        <v>4.79</v>
      </c>
      <c r="O12" s="165">
        <v>252</v>
      </c>
      <c r="P12" s="165">
        <v>1.21</v>
      </c>
      <c r="Q12"/>
      <c r="R12"/>
    </row>
    <row r="13" spans="1:18" x14ac:dyDescent="0.25">
      <c r="A13" s="165">
        <v>42.87</v>
      </c>
      <c r="B13" s="165">
        <v>0.59</v>
      </c>
      <c r="C13" s="165">
        <v>18.91</v>
      </c>
      <c r="D13" s="8">
        <v>42736.458333333336</v>
      </c>
      <c r="E13" s="165">
        <v>0.38</v>
      </c>
      <c r="F13" s="165" t="s">
        <v>351</v>
      </c>
      <c r="G13" s="165">
        <v>289.94</v>
      </c>
      <c r="H13" s="165">
        <v>0</v>
      </c>
      <c r="I13" s="165">
        <v>0</v>
      </c>
      <c r="J13" s="165">
        <v>1002.55</v>
      </c>
      <c r="K13" s="165" t="s">
        <v>242</v>
      </c>
      <c r="L13" s="165">
        <v>42.87</v>
      </c>
      <c r="M13" s="165">
        <v>1483293600</v>
      </c>
      <c r="N13" s="165">
        <v>4.7699999999999996</v>
      </c>
      <c r="O13" s="165">
        <v>335</v>
      </c>
      <c r="P13" s="165">
        <v>0.32</v>
      </c>
      <c r="Q13"/>
      <c r="R13"/>
    </row>
    <row r="14" spans="1:18" x14ac:dyDescent="0.25">
      <c r="A14" s="165">
        <v>46.86</v>
      </c>
      <c r="B14" s="165">
        <v>0.47</v>
      </c>
      <c r="C14" s="165">
        <v>15.88</v>
      </c>
      <c r="D14" s="8">
        <v>42736.5</v>
      </c>
      <c r="E14" s="165">
        <v>0.28000000000000003</v>
      </c>
      <c r="F14" s="165" t="s">
        <v>351</v>
      </c>
      <c r="G14" s="165">
        <v>291.43</v>
      </c>
      <c r="H14" s="165">
        <v>0</v>
      </c>
      <c r="I14" s="165">
        <v>0</v>
      </c>
      <c r="J14" s="165">
        <v>1001.54</v>
      </c>
      <c r="K14" s="165" t="s">
        <v>242</v>
      </c>
      <c r="L14" s="165">
        <v>46.86</v>
      </c>
      <c r="M14" s="165">
        <v>1483297200</v>
      </c>
      <c r="N14" s="165">
        <v>10</v>
      </c>
      <c r="O14" s="165">
        <v>347</v>
      </c>
      <c r="P14" s="165">
        <v>2.2000000000000002</v>
      </c>
      <c r="Q14"/>
      <c r="R14"/>
    </row>
    <row r="15" spans="1:18" x14ac:dyDescent="0.25">
      <c r="A15" s="165">
        <v>47.53</v>
      </c>
      <c r="B15" s="165">
        <v>0.39</v>
      </c>
      <c r="C15" s="165">
        <v>15.82</v>
      </c>
      <c r="D15" s="8">
        <v>42736.541666666664</v>
      </c>
      <c r="E15" s="165">
        <v>0.28000000000000003</v>
      </c>
      <c r="F15" s="165" t="s">
        <v>351</v>
      </c>
      <c r="G15" s="165">
        <v>292.27999999999997</v>
      </c>
      <c r="H15" s="165">
        <v>0</v>
      </c>
      <c r="I15" s="165">
        <v>0</v>
      </c>
      <c r="J15" s="165">
        <v>1000.77</v>
      </c>
      <c r="K15" s="165" t="s">
        <v>242</v>
      </c>
      <c r="L15" s="165">
        <v>47.53</v>
      </c>
      <c r="M15" s="165">
        <v>1483300800</v>
      </c>
      <c r="N15" s="165">
        <v>4.7699999999999996</v>
      </c>
      <c r="O15" s="165">
        <v>27</v>
      </c>
      <c r="P15" s="165">
        <v>2.91</v>
      </c>
      <c r="Q15"/>
      <c r="R15"/>
    </row>
    <row r="16" spans="1:18" x14ac:dyDescent="0.25">
      <c r="A16" s="165">
        <v>46.47</v>
      </c>
      <c r="B16" s="165">
        <v>0.38</v>
      </c>
      <c r="C16" s="165">
        <v>16.489999999999998</v>
      </c>
      <c r="D16" s="8">
        <v>42736.583333333336</v>
      </c>
      <c r="E16" s="165">
        <v>0.28999999999999998</v>
      </c>
      <c r="F16" s="165" t="s">
        <v>351</v>
      </c>
      <c r="G16" s="165">
        <v>292.94</v>
      </c>
      <c r="H16" s="165">
        <v>0</v>
      </c>
      <c r="I16" s="165">
        <v>0</v>
      </c>
      <c r="J16" s="165">
        <v>1000.27</v>
      </c>
      <c r="K16" s="165" t="s">
        <v>242</v>
      </c>
      <c r="L16" s="165">
        <v>47.47</v>
      </c>
      <c r="M16" s="165">
        <v>1483304400</v>
      </c>
      <c r="N16" s="165">
        <v>4.79</v>
      </c>
      <c r="O16" s="165">
        <v>40</v>
      </c>
      <c r="P16" s="165">
        <v>3.37</v>
      </c>
      <c r="Q16"/>
      <c r="R16"/>
    </row>
    <row r="17" spans="1:18" x14ac:dyDescent="0.25">
      <c r="A17" s="165">
        <v>45.57</v>
      </c>
      <c r="B17" s="165">
        <v>0.49</v>
      </c>
      <c r="C17" s="165">
        <v>17.170000000000002</v>
      </c>
      <c r="D17" s="8">
        <v>42736.625</v>
      </c>
      <c r="E17" s="165">
        <v>0.32</v>
      </c>
      <c r="F17" s="165" t="s">
        <v>351</v>
      </c>
      <c r="G17" s="165">
        <v>293.47000000000003</v>
      </c>
      <c r="H17" s="165">
        <v>0</v>
      </c>
      <c r="I17" s="165">
        <v>0</v>
      </c>
      <c r="J17" s="165">
        <v>1000.18</v>
      </c>
      <c r="K17" s="165" t="s">
        <v>242</v>
      </c>
      <c r="L17" s="165">
        <v>45.57</v>
      </c>
      <c r="M17" s="165">
        <v>1483308000</v>
      </c>
      <c r="N17" s="165">
        <v>4.9800000000000004</v>
      </c>
      <c r="O17" s="165">
        <v>59</v>
      </c>
      <c r="P17" s="165">
        <v>2.63</v>
      </c>
      <c r="Q17"/>
      <c r="R17"/>
    </row>
    <row r="18" spans="1:18" x14ac:dyDescent="0.25">
      <c r="A18" s="165">
        <v>41.88</v>
      </c>
      <c r="B18" s="165">
        <v>0.68</v>
      </c>
      <c r="C18" s="165">
        <v>18.68</v>
      </c>
      <c r="D18" s="8">
        <v>42736.666666666664</v>
      </c>
      <c r="E18" s="165">
        <v>0.37</v>
      </c>
      <c r="F18" s="165" t="s">
        <v>351</v>
      </c>
      <c r="G18" s="165">
        <v>293.82</v>
      </c>
      <c r="H18" s="165">
        <v>0</v>
      </c>
      <c r="I18" s="165">
        <v>0</v>
      </c>
      <c r="J18" s="165">
        <v>1000.57</v>
      </c>
      <c r="K18" s="165" t="s">
        <v>677</v>
      </c>
      <c r="L18" s="165">
        <v>43.16</v>
      </c>
      <c r="M18" s="165">
        <v>1483311600</v>
      </c>
      <c r="N18" s="165">
        <v>5.46</v>
      </c>
      <c r="O18" s="165">
        <v>59</v>
      </c>
      <c r="P18" s="165">
        <v>3.06</v>
      </c>
      <c r="Q18"/>
      <c r="R18"/>
    </row>
    <row r="19" spans="1:18" x14ac:dyDescent="0.25">
      <c r="A19" s="165">
        <v>39.700000000000003</v>
      </c>
      <c r="B19" s="165">
        <v>0.84</v>
      </c>
      <c r="C19" s="165">
        <v>17.57</v>
      </c>
      <c r="D19" s="8">
        <v>42736.708333333336</v>
      </c>
      <c r="E19" s="165">
        <v>0.4</v>
      </c>
      <c r="F19" s="165" t="s">
        <v>239</v>
      </c>
      <c r="G19" s="165">
        <v>294.33999999999997</v>
      </c>
      <c r="H19" s="165">
        <v>0</v>
      </c>
      <c r="I19" s="165">
        <v>0</v>
      </c>
      <c r="J19" s="165">
        <v>1001.26</v>
      </c>
      <c r="K19" s="165" t="s">
        <v>677</v>
      </c>
      <c r="L19" s="165">
        <v>39.700000000000003</v>
      </c>
      <c r="M19" s="165">
        <v>1483315200</v>
      </c>
      <c r="N19" s="165">
        <v>6.16</v>
      </c>
      <c r="O19" s="165">
        <v>91</v>
      </c>
      <c r="P19" s="165">
        <v>1.69</v>
      </c>
      <c r="Q19"/>
      <c r="R19"/>
    </row>
    <row r="20" spans="1:18" x14ac:dyDescent="0.25">
      <c r="A20" s="165">
        <v>37.43</v>
      </c>
      <c r="B20" s="165">
        <v>0.8</v>
      </c>
      <c r="C20" s="165">
        <v>17.34</v>
      </c>
      <c r="D20" s="8">
        <v>42736.75</v>
      </c>
      <c r="E20" s="165">
        <v>0.44</v>
      </c>
      <c r="F20" s="165" t="s">
        <v>239</v>
      </c>
      <c r="G20" s="165">
        <v>295.12</v>
      </c>
      <c r="H20" s="165">
        <v>0</v>
      </c>
      <c r="I20" s="165">
        <v>0</v>
      </c>
      <c r="J20" s="165">
        <v>1002.17</v>
      </c>
      <c r="K20" s="165" t="s">
        <v>677</v>
      </c>
      <c r="L20" s="165">
        <v>37.43</v>
      </c>
      <c r="M20" s="165">
        <v>1483318800</v>
      </c>
      <c r="N20" s="165">
        <v>7.08</v>
      </c>
      <c r="O20" s="165">
        <v>18</v>
      </c>
      <c r="P20" s="165">
        <v>1.39</v>
      </c>
      <c r="Q20"/>
      <c r="R20"/>
    </row>
    <row r="21" spans="1:18" x14ac:dyDescent="0.25">
      <c r="A21" s="165">
        <v>35.93</v>
      </c>
      <c r="B21" s="165">
        <v>0.66</v>
      </c>
      <c r="C21" s="165">
        <v>18.45</v>
      </c>
      <c r="D21" s="8">
        <v>42736.791666666664</v>
      </c>
      <c r="E21" s="165">
        <v>0.49</v>
      </c>
      <c r="F21" s="165" t="s">
        <v>239</v>
      </c>
      <c r="G21" s="165">
        <v>296.06</v>
      </c>
      <c r="H21" s="165">
        <v>0</v>
      </c>
      <c r="I21" s="165">
        <v>0</v>
      </c>
      <c r="J21" s="165">
        <v>1003.32</v>
      </c>
      <c r="K21" s="165" t="s">
        <v>677</v>
      </c>
      <c r="L21" s="165">
        <v>35.93</v>
      </c>
      <c r="M21" s="165">
        <v>1483322400</v>
      </c>
      <c r="N21" s="165">
        <v>8.36</v>
      </c>
      <c r="O21" s="165">
        <v>191</v>
      </c>
      <c r="P21" s="165">
        <v>0.8</v>
      </c>
      <c r="Q21"/>
      <c r="R21"/>
    </row>
    <row r="22" spans="1:18" x14ac:dyDescent="0.25">
      <c r="A22" s="165">
        <v>33.729999999999997</v>
      </c>
      <c r="B22" s="165">
        <v>0.56000000000000005</v>
      </c>
      <c r="C22" s="165">
        <v>17.02</v>
      </c>
      <c r="D22" s="8">
        <v>42736.833333333336</v>
      </c>
      <c r="E22" s="165">
        <v>0.5</v>
      </c>
      <c r="F22" s="165" t="s">
        <v>239</v>
      </c>
      <c r="G22" s="165">
        <v>297.27</v>
      </c>
      <c r="H22" s="165">
        <v>0</v>
      </c>
      <c r="I22" s="165">
        <v>0</v>
      </c>
      <c r="J22" s="165">
        <v>1004.18</v>
      </c>
      <c r="K22" s="165" t="s">
        <v>242</v>
      </c>
      <c r="L22" s="165">
        <v>33.729999999999997</v>
      </c>
      <c r="M22" s="165">
        <v>1483326000</v>
      </c>
      <c r="N22" s="165">
        <v>7.38</v>
      </c>
      <c r="O22" s="165">
        <v>186</v>
      </c>
      <c r="P22" s="165">
        <v>1.26</v>
      </c>
      <c r="Q22"/>
      <c r="R22"/>
    </row>
    <row r="23" spans="1:18" x14ac:dyDescent="0.25">
      <c r="A23" s="165">
        <v>32.159999999999997</v>
      </c>
      <c r="B23" s="165">
        <v>0.56000000000000005</v>
      </c>
      <c r="C23" s="165">
        <v>16.579999999999998</v>
      </c>
      <c r="D23" s="8">
        <v>42736.875</v>
      </c>
      <c r="E23" s="165">
        <v>0.52</v>
      </c>
      <c r="F23" s="165" t="s">
        <v>239</v>
      </c>
      <c r="G23" s="165">
        <v>298.99</v>
      </c>
      <c r="H23" s="165">
        <v>0</v>
      </c>
      <c r="I23" s="165">
        <v>0</v>
      </c>
      <c r="J23" s="165">
        <v>1004.45</v>
      </c>
      <c r="K23" s="165" t="s">
        <v>242</v>
      </c>
      <c r="L23" s="165">
        <v>32.159999999999997</v>
      </c>
      <c r="M23" s="165">
        <v>1483329600</v>
      </c>
      <c r="N23" s="165">
        <v>6.77</v>
      </c>
      <c r="O23" s="165">
        <v>216</v>
      </c>
      <c r="P23" s="165">
        <v>1.59</v>
      </c>
      <c r="Q23"/>
      <c r="R23"/>
    </row>
    <row r="24" spans="1:18" x14ac:dyDescent="0.25">
      <c r="A24" s="165">
        <v>31.38</v>
      </c>
      <c r="B24" s="165">
        <v>0.5</v>
      </c>
      <c r="C24" s="165">
        <v>17.04</v>
      </c>
      <c r="D24" s="8">
        <v>42736.916666666664</v>
      </c>
      <c r="E24" s="165">
        <v>0.55000000000000004</v>
      </c>
      <c r="F24" s="165" t="s">
        <v>239</v>
      </c>
      <c r="G24" s="165">
        <v>300.97000000000003</v>
      </c>
      <c r="H24" s="165">
        <v>0</v>
      </c>
      <c r="I24" s="165">
        <v>0</v>
      </c>
      <c r="J24" s="165">
        <v>1004.42</v>
      </c>
      <c r="K24" s="165" t="s">
        <v>242</v>
      </c>
      <c r="L24" s="165">
        <v>31.38</v>
      </c>
      <c r="M24" s="165">
        <v>1483333200</v>
      </c>
      <c r="N24" s="165">
        <v>7.01</v>
      </c>
      <c r="O24" s="165">
        <v>236</v>
      </c>
      <c r="P24" s="165">
        <v>1.49</v>
      </c>
      <c r="Q24"/>
      <c r="R24"/>
    </row>
    <row r="25" spans="1:18" x14ac:dyDescent="0.25">
      <c r="A25" s="165">
        <v>28.58</v>
      </c>
      <c r="B25" s="165">
        <v>0.52</v>
      </c>
      <c r="C25" s="165">
        <v>14.74</v>
      </c>
      <c r="D25" s="8">
        <v>42736.958333333336</v>
      </c>
      <c r="E25" s="165">
        <v>0.56000000000000005</v>
      </c>
      <c r="F25" s="165" t="s">
        <v>239</v>
      </c>
      <c r="G25" s="165">
        <v>302.58</v>
      </c>
      <c r="H25" s="165">
        <v>0</v>
      </c>
      <c r="I25" s="165">
        <v>0</v>
      </c>
      <c r="J25" s="165">
        <v>1004.55</v>
      </c>
      <c r="K25" s="165" t="s">
        <v>242</v>
      </c>
      <c r="L25" s="165">
        <v>28.58</v>
      </c>
      <c r="M25" s="165">
        <v>1483336800</v>
      </c>
      <c r="N25" s="165">
        <v>7.6</v>
      </c>
      <c r="O25" s="165">
        <v>245</v>
      </c>
      <c r="P25" s="165">
        <v>1.49</v>
      </c>
      <c r="Q25"/>
      <c r="R25"/>
    </row>
    <row r="26" spans="1:18" x14ac:dyDescent="0.25">
      <c r="A26" s="165">
        <v>29.89</v>
      </c>
      <c r="B26" s="165">
        <v>0.57999999999999996</v>
      </c>
      <c r="C26" s="165">
        <v>16.53</v>
      </c>
      <c r="D26" s="8">
        <v>42737</v>
      </c>
      <c r="E26" s="165">
        <v>0.56999999999999995</v>
      </c>
      <c r="F26" s="165" t="s">
        <v>239</v>
      </c>
      <c r="G26" s="165">
        <v>303.23</v>
      </c>
      <c r="H26" s="165">
        <v>0</v>
      </c>
      <c r="I26" s="165">
        <v>0</v>
      </c>
      <c r="J26" s="165">
        <v>1005.27</v>
      </c>
      <c r="K26" s="165" t="s">
        <v>242</v>
      </c>
      <c r="L26" s="165">
        <v>29.89</v>
      </c>
      <c r="M26" s="165">
        <v>1483340400</v>
      </c>
      <c r="N26" s="165">
        <v>8.01</v>
      </c>
      <c r="O26" s="165">
        <v>264</v>
      </c>
      <c r="P26" s="165">
        <v>1.56</v>
      </c>
      <c r="Q26"/>
      <c r="R26"/>
    </row>
    <row r="27" spans="1:18" x14ac:dyDescent="0.25">
      <c r="A27" s="165">
        <v>28.16</v>
      </c>
      <c r="B27" s="165">
        <v>0.48</v>
      </c>
      <c r="C27" s="165">
        <v>14.92</v>
      </c>
      <c r="D27" s="8">
        <v>42737.041666666664</v>
      </c>
      <c r="E27" s="165">
        <v>0.56999999999999995</v>
      </c>
      <c r="F27" s="165" t="s">
        <v>239</v>
      </c>
      <c r="G27" s="165">
        <v>303.89</v>
      </c>
      <c r="H27" s="165">
        <v>0</v>
      </c>
      <c r="I27" s="165">
        <v>0</v>
      </c>
      <c r="J27" s="165">
        <v>1005.94</v>
      </c>
      <c r="K27" s="165" t="s">
        <v>242</v>
      </c>
      <c r="L27" s="165">
        <v>28.16</v>
      </c>
      <c r="M27" s="165">
        <v>1483344000</v>
      </c>
      <c r="N27" s="165">
        <v>7.85</v>
      </c>
      <c r="O27" s="165">
        <v>270</v>
      </c>
      <c r="P27" s="165">
        <v>1.36</v>
      </c>
      <c r="Q27"/>
      <c r="R27"/>
    </row>
    <row r="28" spans="1:18" x14ac:dyDescent="0.25">
      <c r="A28" s="165">
        <v>26.36</v>
      </c>
      <c r="B28" s="165">
        <v>0.26</v>
      </c>
      <c r="C28" s="165">
        <v>15.21</v>
      </c>
      <c r="D28" s="8">
        <v>42737.083333333336</v>
      </c>
      <c r="E28" s="165">
        <v>0.62</v>
      </c>
      <c r="F28" s="165" t="s">
        <v>239</v>
      </c>
      <c r="G28" s="165">
        <v>304.54000000000002</v>
      </c>
      <c r="H28" s="165">
        <v>0</v>
      </c>
      <c r="I28" s="165">
        <v>0</v>
      </c>
      <c r="J28" s="165">
        <v>1006.52</v>
      </c>
      <c r="K28" s="165" t="s">
        <v>242</v>
      </c>
      <c r="L28" s="165">
        <v>26.36</v>
      </c>
      <c r="M28" s="165">
        <v>1483347600</v>
      </c>
      <c r="N28" s="165">
        <v>6</v>
      </c>
      <c r="O28" s="165">
        <v>251</v>
      </c>
      <c r="P28" s="165">
        <v>1.23</v>
      </c>
      <c r="Q28"/>
      <c r="R28"/>
    </row>
    <row r="29" spans="1:18" x14ac:dyDescent="0.25">
      <c r="A29" s="165">
        <v>27.65</v>
      </c>
      <c r="B29" s="165">
        <v>0.24</v>
      </c>
      <c r="C29" s="165">
        <v>16.2</v>
      </c>
      <c r="D29" s="8">
        <v>42737.125</v>
      </c>
      <c r="E29" s="165">
        <v>0.62</v>
      </c>
      <c r="F29" s="165" t="s">
        <v>318</v>
      </c>
      <c r="G29" s="165">
        <v>305.85000000000002</v>
      </c>
      <c r="H29" s="165">
        <v>0</v>
      </c>
      <c r="I29" s="165">
        <v>0</v>
      </c>
      <c r="J29" s="165">
        <v>1006.95</v>
      </c>
      <c r="K29" s="165" t="s">
        <v>317</v>
      </c>
      <c r="L29" s="165">
        <v>27.65</v>
      </c>
      <c r="M29" s="165">
        <v>1483351200</v>
      </c>
      <c r="N29" s="165">
        <v>7.56</v>
      </c>
      <c r="O29" s="165">
        <v>223</v>
      </c>
      <c r="P29" s="165">
        <v>2.88</v>
      </c>
      <c r="Q29"/>
      <c r="R29"/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202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42736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203</v>
      </c>
      <c r="J17" s="186"/>
      <c r="K17" s="187"/>
      <c r="L17" s="187"/>
    </row>
    <row r="18" spans="3:13" x14ac:dyDescent="0.25">
      <c r="C18" t="s">
        <v>798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799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800</v>
      </c>
      <c r="J20" s="165" t="s">
        <v>87</v>
      </c>
      <c r="M20" s="165" t="s">
        <v>429</v>
      </c>
    </row>
    <row r="21" spans="3:13" x14ac:dyDescent="0.25">
      <c r="C21" t="s">
        <v>801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802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803</v>
      </c>
      <c r="J23" s="188" t="s">
        <v>95</v>
      </c>
      <c r="M23" s="165">
        <v>-7</v>
      </c>
    </row>
    <row r="24" spans="3:13" x14ac:dyDescent="0.25">
      <c r="C24" t="s">
        <v>804</v>
      </c>
      <c r="J24" s="165" t="s">
        <v>108</v>
      </c>
      <c r="M24" s="165" t="s">
        <v>110</v>
      </c>
    </row>
    <row r="25" spans="3:13" x14ac:dyDescent="0.25">
      <c r="C25" t="s">
        <v>805</v>
      </c>
      <c r="J25" s="165" t="s">
        <v>151</v>
      </c>
      <c r="M25" s="165" t="b">
        <v>1</v>
      </c>
    </row>
    <row r="26" spans="3:13" x14ac:dyDescent="0.25">
      <c r="C26" t="s">
        <v>806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C:\Users\stu\Documents\GitHub\eaglep3-reporting\EC\2017-01-01-refined-times.txt</v>
      </c>
    </row>
    <row r="27" spans="3:13" x14ac:dyDescent="0.25">
      <c r="C27" t="s">
        <v>807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C:\Users\stu\Documents\GitHub\eaglep3-reporting\EC\2017-01-01-Enforcements.txt</v>
      </c>
    </row>
    <row r="28" spans="3:13" x14ac:dyDescent="0.25">
      <c r="C28" t="s">
        <v>808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C:\Users\stu\Documents\GitHub\eaglep3-reporting\EC\2017-01-01-Runs-refined.txt</v>
      </c>
    </row>
    <row r="29" spans="3:13" x14ac:dyDescent="0.25">
      <c r="C29" t="s">
        <v>809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C:\Users\stu\Documents\GitHub\eaglep3-reporting\EC\2017-01-01-Trips.txt</v>
      </c>
    </row>
    <row r="30" spans="3:13" x14ac:dyDescent="0.25">
      <c r="C30" t="s">
        <v>810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C:\Users\stu\Documents\GitHub\eaglep3-reporting\EC\2017-01-01-Weather.txt</v>
      </c>
    </row>
    <row r="31" spans="3:13" x14ac:dyDescent="0.25">
      <c r="C31" t="s">
        <v>811</v>
      </c>
      <c r="J31" s="165" t="s">
        <v>427</v>
      </c>
      <c r="M31" s="165" t="s">
        <v>428</v>
      </c>
    </row>
    <row r="32" spans="3:13" x14ac:dyDescent="0.25">
      <c r="C32" t="s">
        <v>812</v>
      </c>
    </row>
    <row r="33" spans="3:3" x14ac:dyDescent="0.25">
      <c r="C33" t="s">
        <v>813</v>
      </c>
    </row>
    <row r="34" spans="3:3" x14ac:dyDescent="0.25">
      <c r="C34" t="s">
        <v>814</v>
      </c>
    </row>
    <row r="35" spans="3:3" x14ac:dyDescent="0.25">
      <c r="C35" t="s">
        <v>815</v>
      </c>
    </row>
    <row r="36" spans="3:3" x14ac:dyDescent="0.25">
      <c r="C36" t="s">
        <v>816</v>
      </c>
    </row>
    <row r="37" spans="3:3" x14ac:dyDescent="0.25">
      <c r="C37" t="s">
        <v>817</v>
      </c>
    </row>
    <row r="38" spans="3:3" x14ac:dyDescent="0.25">
      <c r="C38" t="s">
        <v>818</v>
      </c>
    </row>
    <row r="39" spans="3:3" x14ac:dyDescent="0.25">
      <c r="C39" t="s">
        <v>819</v>
      </c>
    </row>
    <row r="40" spans="3:3" x14ac:dyDescent="0.25">
      <c r="C40" t="s">
        <v>820</v>
      </c>
    </row>
    <row r="41" spans="3:3" x14ac:dyDescent="0.25">
      <c r="C41" t="s">
        <v>821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82" workbookViewId="0">
      <selection activeCell="K102" sqref="K102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832</v>
      </c>
      <c r="B1" t="str">
        <f t="shared" ref="B1:B52" si="0">MID(A1,6,23)</f>
        <v>2017/01/01 10:37:37.686</v>
      </c>
      <c r="C1" t="e">
        <f>ABS(B1-#REF!)</f>
        <v>#REF!</v>
      </c>
    </row>
    <row r="2" spans="1:3" x14ac:dyDescent="0.25">
      <c r="A2" t="s">
        <v>833</v>
      </c>
      <c r="B2" s="21" t="str">
        <f t="shared" si="0"/>
        <v>2017/01/01 11:07:12.335</v>
      </c>
      <c r="C2">
        <f>ABS(B2-B1)</f>
        <v>2.0539918979920913E-2</v>
      </c>
    </row>
    <row r="3" spans="1:3" x14ac:dyDescent="0.25">
      <c r="A3" t="s">
        <v>834</v>
      </c>
      <c r="B3" s="21" t="str">
        <f t="shared" si="0"/>
        <v>2017/01/01 11:07:12.908</v>
      </c>
      <c r="C3" s="21">
        <f t="shared" ref="C3:C52" si="1">ABS(B3-B2)</f>
        <v>6.6319480538368225E-6</v>
      </c>
    </row>
    <row r="4" spans="1:3" x14ac:dyDescent="0.25">
      <c r="A4" t="s">
        <v>835</v>
      </c>
      <c r="B4" s="21" t="str">
        <f t="shared" si="0"/>
        <v>2017/01/01 11:07:50.111</v>
      </c>
      <c r="C4" s="21">
        <f t="shared" si="1"/>
        <v>4.305902766645886E-4</v>
      </c>
    </row>
    <row r="5" spans="1:3" x14ac:dyDescent="0.25">
      <c r="A5" t="s">
        <v>836</v>
      </c>
      <c r="B5" s="21" t="str">
        <f t="shared" si="0"/>
        <v>2017/01/01 11:07:50.331</v>
      </c>
      <c r="C5" s="21">
        <f t="shared" si="1"/>
        <v>2.5462941266596317E-6</v>
      </c>
    </row>
    <row r="6" spans="1:3" x14ac:dyDescent="0.25">
      <c r="A6" t="s">
        <v>837</v>
      </c>
      <c r="B6" s="21" t="str">
        <f t="shared" si="0"/>
        <v>2017/01/01 11:07:50.909</v>
      </c>
      <c r="C6" s="21">
        <f t="shared" si="1"/>
        <v>6.6898137447424233E-6</v>
      </c>
    </row>
    <row r="7" spans="1:3" x14ac:dyDescent="0.25">
      <c r="A7" t="s">
        <v>838</v>
      </c>
      <c r="B7" s="21" t="str">
        <f t="shared" si="0"/>
        <v>2017/01/01 12:42:14.986</v>
      </c>
      <c r="C7" s="21">
        <f t="shared" si="1"/>
        <v>6.5556446759728715E-2</v>
      </c>
    </row>
    <row r="8" spans="1:3" x14ac:dyDescent="0.25">
      <c r="A8" t="s">
        <v>839</v>
      </c>
      <c r="B8" s="21" t="str">
        <f t="shared" si="0"/>
        <v>2017/01/01 12:42:15.232</v>
      </c>
      <c r="C8" s="21">
        <f t="shared" si="1"/>
        <v>2.847220457624644E-6</v>
      </c>
    </row>
    <row r="9" spans="1:3" x14ac:dyDescent="0.25">
      <c r="A9" t="s">
        <v>840</v>
      </c>
      <c r="B9" s="21" t="str">
        <f t="shared" si="0"/>
        <v>2017/01/01 12:42:15.377</v>
      </c>
      <c r="C9" s="21">
        <f t="shared" si="1"/>
        <v>1.6782432794570923E-6</v>
      </c>
    </row>
    <row r="10" spans="1:3" x14ac:dyDescent="0.25">
      <c r="A10" t="s">
        <v>841</v>
      </c>
      <c r="B10" s="21" t="str">
        <f t="shared" si="0"/>
        <v>2017/01/01 12:54:29.912</v>
      </c>
      <c r="C10" s="21">
        <f t="shared" si="1"/>
        <v>8.501562500896398E-3</v>
      </c>
    </row>
    <row r="11" spans="1:3" x14ac:dyDescent="0.25">
      <c r="A11" t="s">
        <v>842</v>
      </c>
      <c r="B11" s="21" t="str">
        <f t="shared" si="0"/>
        <v>2017/01/01 12:54:30.106</v>
      </c>
      <c r="C11" s="21">
        <f t="shared" si="1"/>
        <v>2.2453677956946194E-6</v>
      </c>
    </row>
    <row r="12" spans="1:3" x14ac:dyDescent="0.25">
      <c r="A12" t="s">
        <v>843</v>
      </c>
      <c r="B12" s="21" t="str">
        <f t="shared" si="0"/>
        <v>2017/01/01 12:54:30.338</v>
      </c>
      <c r="C12" s="21">
        <f t="shared" si="1"/>
        <v>2.6851848815567791E-6</v>
      </c>
    </row>
    <row r="13" spans="1:3" x14ac:dyDescent="0.25">
      <c r="A13" t="s">
        <v>844</v>
      </c>
      <c r="B13" s="21" t="str">
        <f t="shared" si="0"/>
        <v>2017/01/01 13:03:56.031</v>
      </c>
      <c r="C13" s="21">
        <f t="shared" si="1"/>
        <v>6.5473726863274351E-3</v>
      </c>
    </row>
    <row r="14" spans="1:3" x14ac:dyDescent="0.25">
      <c r="A14" t="s">
        <v>845</v>
      </c>
      <c r="B14" s="21" t="str">
        <f t="shared" si="0"/>
        <v>2017/01/01 13:03:56.494</v>
      </c>
      <c r="C14" s="21">
        <f t="shared" si="1"/>
        <v>5.3588009905070066E-6</v>
      </c>
    </row>
    <row r="15" spans="1:3" x14ac:dyDescent="0.25">
      <c r="A15" t="s">
        <v>846</v>
      </c>
      <c r="B15" s="21" t="str">
        <f t="shared" si="0"/>
        <v>2017/01/01 13:03:57.864</v>
      </c>
      <c r="C15" s="21">
        <f t="shared" si="1"/>
        <v>1.5856479876674712E-5</v>
      </c>
    </row>
    <row r="16" spans="1:3" x14ac:dyDescent="0.25">
      <c r="A16" t="s">
        <v>847</v>
      </c>
      <c r="B16" s="21" t="str">
        <f t="shared" si="0"/>
        <v>2017/01/01 14:05:01.260</v>
      </c>
      <c r="C16" s="21">
        <f t="shared" si="1"/>
        <v>4.240041666344041E-2</v>
      </c>
    </row>
    <row r="17" spans="1:3" x14ac:dyDescent="0.25">
      <c r="A17" t="s">
        <v>848</v>
      </c>
      <c r="B17" s="21" t="str">
        <f t="shared" si="0"/>
        <v>2017/01/01 14:05:01.507</v>
      </c>
      <c r="C17" s="21">
        <f t="shared" si="1"/>
        <v>2.8587965061888099E-6</v>
      </c>
    </row>
    <row r="18" spans="1:3" x14ac:dyDescent="0.25">
      <c r="A18" t="s">
        <v>849</v>
      </c>
      <c r="B18" s="21" t="str">
        <f t="shared" si="0"/>
        <v>2017/01/01 14:05:02.145</v>
      </c>
      <c r="C18" s="21">
        <f t="shared" si="1"/>
        <v>7.3842602432705462E-6</v>
      </c>
    </row>
    <row r="19" spans="1:3" x14ac:dyDescent="0.25">
      <c r="A19" t="s">
        <v>850</v>
      </c>
      <c r="B19" s="21" t="str">
        <f t="shared" si="0"/>
        <v>2017/01/01 14:51:15.987</v>
      </c>
      <c r="C19" s="21">
        <f t="shared" si="1"/>
        <v>3.2104652775160503E-2</v>
      </c>
    </row>
    <row r="20" spans="1:3" x14ac:dyDescent="0.25">
      <c r="A20" t="s">
        <v>851</v>
      </c>
      <c r="B20" s="21" t="str">
        <f t="shared" si="0"/>
        <v>2017/01/01 14:51:16.258</v>
      </c>
      <c r="C20" s="21">
        <f t="shared" si="1"/>
        <v>3.1365780159831047E-6</v>
      </c>
    </row>
    <row r="21" spans="1:3" x14ac:dyDescent="0.25">
      <c r="A21" t="s">
        <v>852</v>
      </c>
      <c r="B21" s="21" t="str">
        <f t="shared" si="0"/>
        <v>2017/01/01 14:51:16.420</v>
      </c>
      <c r="C21" s="21">
        <f t="shared" si="1"/>
        <v>1.8749997252598405E-6</v>
      </c>
    </row>
    <row r="22" spans="1:3" x14ac:dyDescent="0.25">
      <c r="A22" t="s">
        <v>853</v>
      </c>
      <c r="B22" s="21" t="str">
        <f t="shared" si="0"/>
        <v>2017/01/01 15:43:14.151</v>
      </c>
      <c r="C22" s="21">
        <f t="shared" si="1"/>
        <v>3.6084849532926455E-2</v>
      </c>
    </row>
    <row r="23" spans="1:3" x14ac:dyDescent="0.25">
      <c r="A23" t="s">
        <v>854</v>
      </c>
      <c r="B23" s="21" t="str">
        <f t="shared" si="0"/>
        <v>2017/01/01 15:43:14.221</v>
      </c>
      <c r="C23" s="21">
        <f t="shared" si="1"/>
        <v>8.1018515629693866E-7</v>
      </c>
    </row>
    <row r="24" spans="1:3" x14ac:dyDescent="0.25">
      <c r="A24" t="s">
        <v>855</v>
      </c>
      <c r="B24" s="21" t="str">
        <f t="shared" si="0"/>
        <v>2017/01/01 15:43:14.438</v>
      </c>
      <c r="C24" s="21">
        <f t="shared" si="1"/>
        <v>2.5115805328823626E-6</v>
      </c>
    </row>
    <row r="25" spans="1:3" x14ac:dyDescent="0.25">
      <c r="A25" t="s">
        <v>856</v>
      </c>
      <c r="B25" s="21" t="str">
        <f t="shared" si="0"/>
        <v>2017/01/01 16:05:11.314</v>
      </c>
      <c r="C25" s="21">
        <f t="shared" si="1"/>
        <v>1.5241620363667607E-2</v>
      </c>
    </row>
    <row r="26" spans="1:3" x14ac:dyDescent="0.25">
      <c r="A26" t="s">
        <v>857</v>
      </c>
      <c r="B26" s="21" t="str">
        <f t="shared" si="0"/>
        <v>2017/01/01 16:05:11.686</v>
      </c>
      <c r="C26" s="21">
        <f t="shared" si="1"/>
        <v>4.3055624701082706E-6</v>
      </c>
    </row>
    <row r="27" spans="1:3" x14ac:dyDescent="0.25">
      <c r="A27" t="s">
        <v>858</v>
      </c>
      <c r="B27" s="21" t="str">
        <f t="shared" si="0"/>
        <v>2017/01/01 16:05:11.981</v>
      </c>
      <c r="C27" s="21">
        <f t="shared" si="1"/>
        <v>3.4143449738621712E-6</v>
      </c>
    </row>
    <row r="28" spans="1:3" x14ac:dyDescent="0.25">
      <c r="A28" t="s">
        <v>859</v>
      </c>
      <c r="B28" s="21" t="str">
        <f t="shared" si="0"/>
        <v>2017/01/01 16:20:29.798</v>
      </c>
      <c r="C28" s="21">
        <f t="shared" si="1"/>
        <v>1.0622881949529983E-2</v>
      </c>
    </row>
    <row r="29" spans="1:3" x14ac:dyDescent="0.25">
      <c r="A29" t="s">
        <v>860</v>
      </c>
      <c r="B29" s="21" t="str">
        <f t="shared" si="0"/>
        <v>2017/01/01 16:20:30.538</v>
      </c>
      <c r="C29" s="21">
        <f t="shared" si="1"/>
        <v>8.5648134700022638E-6</v>
      </c>
    </row>
    <row r="30" spans="1:3" x14ac:dyDescent="0.25">
      <c r="A30" t="s">
        <v>861</v>
      </c>
      <c r="B30" s="21" t="str">
        <f t="shared" si="0"/>
        <v>2017/01/01 16:20:30.841</v>
      </c>
      <c r="C30" s="21">
        <f t="shared" si="1"/>
        <v>3.5069460864178836E-6</v>
      </c>
    </row>
    <row r="31" spans="1:3" x14ac:dyDescent="0.25">
      <c r="A31" t="s">
        <v>862</v>
      </c>
      <c r="B31" s="21" t="str">
        <f t="shared" si="0"/>
        <v>2017/01/01 16:21:44.500</v>
      </c>
      <c r="C31" s="21">
        <f t="shared" si="1"/>
        <v>8.52534722071141E-4</v>
      </c>
    </row>
    <row r="32" spans="1:3" x14ac:dyDescent="0.25">
      <c r="A32" t="s">
        <v>863</v>
      </c>
      <c r="B32" s="21" t="str">
        <f t="shared" si="0"/>
        <v>2017/01/01 17:17:01.189</v>
      </c>
      <c r="C32" s="21">
        <f t="shared" si="1"/>
        <v>3.8387604166928213E-2</v>
      </c>
    </row>
    <row r="33" spans="1:3" x14ac:dyDescent="0.25">
      <c r="A33" t="s">
        <v>864</v>
      </c>
      <c r="B33" s="21" t="str">
        <f t="shared" si="0"/>
        <v>2017/01/01 17:17:01.690</v>
      </c>
      <c r="C33" s="21">
        <f t="shared" si="1"/>
        <v>5.7986108004115522E-6</v>
      </c>
    </row>
    <row r="34" spans="1:3" x14ac:dyDescent="0.25">
      <c r="A34" t="s">
        <v>865</v>
      </c>
      <c r="B34" s="21" t="str">
        <f t="shared" si="0"/>
        <v>2017/01/01 17:17:02.002</v>
      </c>
      <c r="C34" s="21">
        <f t="shared" si="1"/>
        <v>3.6111086956225336E-6</v>
      </c>
    </row>
    <row r="35" spans="1:3" x14ac:dyDescent="0.25">
      <c r="A35" t="s">
        <v>866</v>
      </c>
      <c r="B35" s="21" t="str">
        <f t="shared" si="0"/>
        <v>2017/01/01 17:36:06.702</v>
      </c>
      <c r="C35" s="21">
        <f t="shared" si="1"/>
        <v>1.3248842595203314E-2</v>
      </c>
    </row>
    <row r="36" spans="1:3" x14ac:dyDescent="0.25">
      <c r="A36" t="s">
        <v>867</v>
      </c>
      <c r="B36" s="21" t="str">
        <f t="shared" si="0"/>
        <v>2017/01/01 17:36:07.325</v>
      </c>
      <c r="C36" s="21">
        <f t="shared" si="1"/>
        <v>7.2106486186385155E-6</v>
      </c>
    </row>
    <row r="37" spans="1:3" x14ac:dyDescent="0.25">
      <c r="A37" t="s">
        <v>868</v>
      </c>
      <c r="B37" s="21" t="str">
        <f t="shared" si="0"/>
        <v>2017/01/01 17:36:08.000</v>
      </c>
      <c r="C37" s="21">
        <f t="shared" si="1"/>
        <v>7.8124940046109259E-6</v>
      </c>
    </row>
    <row r="38" spans="1:3" x14ac:dyDescent="0.25">
      <c r="A38" t="s">
        <v>869</v>
      </c>
      <c r="B38" s="21" t="str">
        <f t="shared" si="0"/>
        <v>2017/01/01 17:40:43.999</v>
      </c>
      <c r="C38" s="21">
        <f t="shared" si="1"/>
        <v>3.194432872987818E-3</v>
      </c>
    </row>
    <row r="39" spans="1:3" x14ac:dyDescent="0.25">
      <c r="A39" t="s">
        <v>870</v>
      </c>
      <c r="B39" s="21" t="str">
        <f t="shared" si="0"/>
        <v>2017/01/01 17:40:45.694</v>
      </c>
      <c r="C39" s="21">
        <f t="shared" si="1"/>
        <v>1.9618055375758559E-5</v>
      </c>
    </row>
    <row r="40" spans="1:3" x14ac:dyDescent="0.25">
      <c r="A40" t="s">
        <v>871</v>
      </c>
      <c r="B40" s="21" t="str">
        <f t="shared" si="0"/>
        <v>2017/01/01 17:40:46.175</v>
      </c>
      <c r="C40" s="21">
        <f t="shared" si="1"/>
        <v>5.5671334848739207E-6</v>
      </c>
    </row>
    <row r="41" spans="1:3" x14ac:dyDescent="0.25">
      <c r="A41" t="s">
        <v>872</v>
      </c>
      <c r="B41" s="21" t="str">
        <f t="shared" si="0"/>
        <v>2017/01/01 17:43:53.921</v>
      </c>
      <c r="C41" s="21">
        <f t="shared" si="1"/>
        <v>2.172986110963393E-3</v>
      </c>
    </row>
    <row r="42" spans="1:3" x14ac:dyDescent="0.25">
      <c r="A42" t="s">
        <v>873</v>
      </c>
      <c r="B42" s="21" t="str">
        <f t="shared" si="0"/>
        <v>2017/01/01 17:43:53.937</v>
      </c>
      <c r="C42" s="21">
        <f t="shared" si="1"/>
        <v>1.8518039723858237E-7</v>
      </c>
    </row>
    <row r="43" spans="1:3" x14ac:dyDescent="0.25">
      <c r="A43" t="s">
        <v>874</v>
      </c>
      <c r="B43" s="21" t="str">
        <f t="shared" si="0"/>
        <v>2017/01/01 17:43:54.379</v>
      </c>
      <c r="C43" s="21">
        <f t="shared" si="1"/>
        <v>5.1157403504475951E-6</v>
      </c>
    </row>
    <row r="44" spans="1:3" x14ac:dyDescent="0.25">
      <c r="A44" t="s">
        <v>875</v>
      </c>
      <c r="B44" s="21" t="str">
        <f t="shared" si="0"/>
        <v>2017/01/01 18:05:37.516</v>
      </c>
      <c r="C44" s="21">
        <f t="shared" si="1"/>
        <v>1.5082604171766434E-2</v>
      </c>
    </row>
    <row r="45" spans="1:3" x14ac:dyDescent="0.25">
      <c r="A45" t="s">
        <v>876</v>
      </c>
      <c r="B45" s="21" t="str">
        <f t="shared" si="0"/>
        <v>2017/01/01 18:20:48.987</v>
      </c>
      <c r="C45" s="21">
        <f t="shared" si="1"/>
        <v>1.0549432867264841E-2</v>
      </c>
    </row>
    <row r="46" spans="1:3" x14ac:dyDescent="0.25">
      <c r="A46" t="s">
        <v>877</v>
      </c>
      <c r="B46" s="21" t="str">
        <f t="shared" si="0"/>
        <v>2017/01/01 18:20:49.253</v>
      </c>
      <c r="C46" s="21">
        <f t="shared" si="1"/>
        <v>3.0787050491198897E-6</v>
      </c>
    </row>
    <row r="47" spans="1:3" x14ac:dyDescent="0.25">
      <c r="A47" t="s">
        <v>878</v>
      </c>
      <c r="B47" s="21" t="str">
        <f t="shared" si="0"/>
        <v>2017/01/01 18:20:49.407</v>
      </c>
      <c r="C47" s="21">
        <f t="shared" si="1"/>
        <v>1.7824058886617422E-6</v>
      </c>
    </row>
    <row r="48" spans="1:3" x14ac:dyDescent="0.25">
      <c r="A48" t="s">
        <v>879</v>
      </c>
      <c r="B48" s="21" t="str">
        <f t="shared" si="0"/>
        <v>2017/01/01 19:05:23.887</v>
      </c>
      <c r="C48" s="21">
        <f t="shared" si="1"/>
        <v>3.0954629633924924E-2</v>
      </c>
    </row>
    <row r="49" spans="1:3" x14ac:dyDescent="0.25">
      <c r="A49" t="s">
        <v>880</v>
      </c>
      <c r="B49" s="21" t="str">
        <f t="shared" si="0"/>
        <v>2017/01/01 19:05:24.610</v>
      </c>
      <c r="C49" s="21">
        <f t="shared" si="1"/>
        <v>8.3680497482419014E-6</v>
      </c>
    </row>
    <row r="50" spans="1:3" x14ac:dyDescent="0.25">
      <c r="A50" t="s">
        <v>881</v>
      </c>
      <c r="B50" s="21" t="str">
        <f t="shared" si="0"/>
        <v>2017/01/01 19:05:24.828</v>
      </c>
      <c r="C50" s="21">
        <f t="shared" si="1"/>
        <v>2.5231493054889143E-6</v>
      </c>
    </row>
    <row r="51" spans="1:3" x14ac:dyDescent="0.25">
      <c r="A51" t="s">
        <v>882</v>
      </c>
      <c r="B51" s="21" t="str">
        <f t="shared" si="0"/>
        <v>2017/01/01 19:07:28.872</v>
      </c>
      <c r="C51" s="21">
        <f t="shared" si="1"/>
        <v>1.4356944448081776E-3</v>
      </c>
    </row>
    <row r="52" spans="1:3" x14ac:dyDescent="0.25">
      <c r="A52" t="s">
        <v>883</v>
      </c>
      <c r="B52" s="21" t="str">
        <f t="shared" si="0"/>
        <v>2017/01/01 19:07:29.071</v>
      </c>
      <c r="C52" s="21">
        <f t="shared" si="1"/>
        <v>2.3032407625578344E-6</v>
      </c>
    </row>
    <row r="53" spans="1:3" x14ac:dyDescent="0.25">
      <c r="A53" t="s">
        <v>884</v>
      </c>
      <c r="B53" s="21" t="str">
        <f t="shared" ref="B53:B69" si="2">MID(A53,6,23)</f>
        <v>2017/01/01 19:07:29.364</v>
      </c>
      <c r="C53" s="21">
        <f t="shared" ref="C53:C69" si="3">ABS(B53-B52)</f>
        <v>3.3912074286490679E-6</v>
      </c>
    </row>
    <row r="54" spans="1:3" x14ac:dyDescent="0.25">
      <c r="A54" t="s">
        <v>885</v>
      </c>
      <c r="B54" s="21" t="str">
        <f t="shared" si="2"/>
        <v>2017/01/01 19:38:11.540</v>
      </c>
      <c r="C54" s="21">
        <f t="shared" si="3"/>
        <v>2.1321481479390059E-2</v>
      </c>
    </row>
    <row r="55" spans="1:3" x14ac:dyDescent="0.25">
      <c r="A55" t="s">
        <v>886</v>
      </c>
      <c r="B55" s="21" t="str">
        <f t="shared" si="2"/>
        <v>2017/01/01 19:38:12.152</v>
      </c>
      <c r="C55" s="21">
        <f t="shared" si="3"/>
        <v>7.0833339123055339E-6</v>
      </c>
    </row>
    <row r="56" spans="1:3" x14ac:dyDescent="0.25">
      <c r="A56" t="s">
        <v>887</v>
      </c>
      <c r="B56" s="21" t="str">
        <f t="shared" si="2"/>
        <v>2017/01/01 19:38:12.256</v>
      </c>
      <c r="C56" s="21">
        <f t="shared" si="3"/>
        <v>1.2037053238600492E-6</v>
      </c>
    </row>
    <row r="57" spans="1:3" x14ac:dyDescent="0.25">
      <c r="A57" t="s">
        <v>888</v>
      </c>
      <c r="B57" s="21" t="str">
        <f t="shared" si="2"/>
        <v>2017/01/01 20:22:24.379</v>
      </c>
      <c r="C57" s="21">
        <f t="shared" si="3"/>
        <v>3.0695868052134756E-2</v>
      </c>
    </row>
    <row r="58" spans="1:3" x14ac:dyDescent="0.25">
      <c r="A58" t="s">
        <v>889</v>
      </c>
      <c r="B58" s="21" t="str">
        <f t="shared" si="2"/>
        <v>2017/01/01 20:22:24.472</v>
      </c>
      <c r="C58" s="21">
        <f t="shared" si="3"/>
        <v>1.0763906175270677E-6</v>
      </c>
    </row>
    <row r="59" spans="1:3" x14ac:dyDescent="0.25">
      <c r="A59" t="s">
        <v>890</v>
      </c>
      <c r="B59" s="21" t="str">
        <f t="shared" si="2"/>
        <v>2017/01/01 20:22:24.719</v>
      </c>
      <c r="C59" s="21">
        <f t="shared" si="3"/>
        <v>2.8587965061888099E-6</v>
      </c>
    </row>
    <row r="60" spans="1:3" x14ac:dyDescent="0.25">
      <c r="A60" t="s">
        <v>891</v>
      </c>
      <c r="B60" s="21" t="str">
        <f t="shared" si="2"/>
        <v>2017/01/01 21:39:42.354</v>
      </c>
      <c r="C60" s="21">
        <f t="shared" si="3"/>
        <v>5.3676331015594769E-2</v>
      </c>
    </row>
    <row r="61" spans="1:3" x14ac:dyDescent="0.25">
      <c r="A61" t="s">
        <v>892</v>
      </c>
      <c r="B61" s="21" t="str">
        <f t="shared" si="2"/>
        <v>2017/01/01 21:39:42.910</v>
      </c>
      <c r="C61" s="21">
        <f t="shared" si="3"/>
        <v>6.4351843320764601E-6</v>
      </c>
    </row>
    <row r="62" spans="1:3" x14ac:dyDescent="0.25">
      <c r="A62" t="s">
        <v>893</v>
      </c>
      <c r="B62" s="21" t="str">
        <f t="shared" si="2"/>
        <v>2017/01/01 21:39:42.922</v>
      </c>
      <c r="C62" s="21">
        <f t="shared" si="3"/>
        <v>1.3889075489714742E-7</v>
      </c>
    </row>
    <row r="63" spans="1:3" x14ac:dyDescent="0.25">
      <c r="A63" t="s">
        <v>894</v>
      </c>
      <c r="B63" s="21" t="str">
        <f t="shared" si="2"/>
        <v>2017/01/01 22:54:13.689</v>
      </c>
      <c r="C63" s="21">
        <f t="shared" si="3"/>
        <v>5.1744988428254146E-2</v>
      </c>
    </row>
    <row r="64" spans="1:3" x14ac:dyDescent="0.25">
      <c r="A64" t="s">
        <v>895</v>
      </c>
      <c r="B64" s="21" t="str">
        <f t="shared" si="2"/>
        <v>2017/01/01 22:54:13.998</v>
      </c>
      <c r="C64" s="21">
        <f t="shared" si="3"/>
        <v>3.5763878258876503E-6</v>
      </c>
    </row>
    <row r="65" spans="1:3" x14ac:dyDescent="0.25">
      <c r="A65" t="s">
        <v>896</v>
      </c>
      <c r="B65" s="21" t="str">
        <f t="shared" si="2"/>
        <v>2017/01/01 22:54:15.181</v>
      </c>
      <c r="C65" s="21">
        <f t="shared" si="3"/>
        <v>1.3692129869014025E-5</v>
      </c>
    </row>
    <row r="66" spans="1:3" x14ac:dyDescent="0.25">
      <c r="A66" t="s">
        <v>897</v>
      </c>
      <c r="B66" s="21" t="str">
        <f t="shared" si="2"/>
        <v>2017/01/01 23:05:53.919</v>
      </c>
      <c r="C66" s="21">
        <f t="shared" si="3"/>
        <v>8.0872453690972179E-3</v>
      </c>
    </row>
    <row r="67" spans="1:3" x14ac:dyDescent="0.25">
      <c r="A67" t="s">
        <v>898</v>
      </c>
      <c r="B67" s="21" t="str">
        <f t="shared" si="2"/>
        <v>2017/01/01 23:05:53.927</v>
      </c>
      <c r="C67" s="21">
        <f t="shared" si="3"/>
        <v>9.2593836598098278E-8</v>
      </c>
    </row>
    <row r="68" spans="1:3" x14ac:dyDescent="0.25">
      <c r="A68" t="s">
        <v>899</v>
      </c>
      <c r="B68" s="21" t="str">
        <f t="shared" si="2"/>
        <v>2017/01/01 23:05:54.364</v>
      </c>
      <c r="C68" s="21">
        <f t="shared" si="3"/>
        <v>5.0578673835843801E-6</v>
      </c>
    </row>
    <row r="69" spans="1:3" x14ac:dyDescent="0.25">
      <c r="A69" t="s">
        <v>900</v>
      </c>
      <c r="B69" s="21" t="str">
        <f t="shared" si="2"/>
        <v>2017/01/01 23:28:59.263</v>
      </c>
      <c r="C69" s="21">
        <f t="shared" si="3"/>
        <v>1.6028923615522217E-2</v>
      </c>
    </row>
    <row r="70" spans="1:3" x14ac:dyDescent="0.25">
      <c r="A70" t="s">
        <v>901</v>
      </c>
      <c r="B70" s="21" t="str">
        <f t="shared" ref="B70:B101" si="4">MID(A70,6,23)</f>
        <v>2017/01/01 23:28:59.981</v>
      </c>
      <c r="C70" s="21">
        <f t="shared" ref="C70:C101" si="5">ABS(B70-B69)</f>
        <v>8.3101840573363006E-6</v>
      </c>
    </row>
    <row r="71" spans="1:3" x14ac:dyDescent="0.25">
      <c r="A71" t="s">
        <v>902</v>
      </c>
      <c r="B71" s="21" t="str">
        <f t="shared" si="4"/>
        <v>2017/01/02 00:12:41.834</v>
      </c>
      <c r="C71" s="21">
        <f t="shared" si="5"/>
        <v>3.0345520834089257E-2</v>
      </c>
    </row>
    <row r="72" spans="1:3" x14ac:dyDescent="0.25">
      <c r="A72" t="s">
        <v>903</v>
      </c>
      <c r="B72" s="21" t="str">
        <f t="shared" si="4"/>
        <v>2017/01/02 00:12:41.894</v>
      </c>
      <c r="C72" s="21">
        <f t="shared" si="5"/>
        <v>6.9443922257050872E-7</v>
      </c>
    </row>
    <row r="73" spans="1:3" x14ac:dyDescent="0.25">
      <c r="A73" t="s">
        <v>904</v>
      </c>
      <c r="B73" s="21" t="str">
        <f t="shared" si="4"/>
        <v>2017/01/02 00:36:49.324</v>
      </c>
      <c r="C73" s="21">
        <f t="shared" si="5"/>
        <v>1.6752662042563315E-2</v>
      </c>
    </row>
    <row r="74" spans="1:3" x14ac:dyDescent="0.25">
      <c r="A74" t="s">
        <v>905</v>
      </c>
      <c r="B74" s="21" t="str">
        <f t="shared" si="4"/>
        <v>2017/01/02 00:39:54.613</v>
      </c>
      <c r="C74" s="21">
        <f t="shared" si="5"/>
        <v>2.1445486054290086E-3</v>
      </c>
    </row>
    <row r="75" spans="1:3" x14ac:dyDescent="0.25">
      <c r="A75" t="s">
        <v>906</v>
      </c>
      <c r="B75" s="21" t="str">
        <f t="shared" si="4"/>
        <v>2017/01/02 00:39:55.235</v>
      </c>
      <c r="C75" s="21">
        <f t="shared" si="5"/>
        <v>7.1990798460319638E-6</v>
      </c>
    </row>
    <row r="76" spans="1:3" x14ac:dyDescent="0.25">
      <c r="A76" t="s">
        <v>907</v>
      </c>
      <c r="B76" s="21" t="str">
        <f t="shared" si="4"/>
        <v>2017/01/02 00:39:55.242</v>
      </c>
      <c r="C76" s="21">
        <f t="shared" si="5"/>
        <v>8.1017788033932447E-8</v>
      </c>
    </row>
    <row r="77" spans="1:3" x14ac:dyDescent="0.25">
      <c r="A77" t="s">
        <v>908</v>
      </c>
      <c r="B77" s="21" t="str">
        <f t="shared" si="4"/>
        <v>2017/01/02 01:33:02.849</v>
      </c>
      <c r="C77" s="21">
        <f t="shared" si="5"/>
        <v>3.6893599535687827E-2</v>
      </c>
    </row>
    <row r="78" spans="1:3" x14ac:dyDescent="0.25">
      <c r="A78" t="s">
        <v>909</v>
      </c>
      <c r="B78" s="21" t="str">
        <f t="shared" si="4"/>
        <v>2017/01/02 01:33:03.160</v>
      </c>
      <c r="C78" s="21">
        <f t="shared" si="5"/>
        <v>3.5995399230159819E-6</v>
      </c>
    </row>
    <row r="79" spans="1:3" x14ac:dyDescent="0.25">
      <c r="A79" t="s">
        <v>910</v>
      </c>
      <c r="B79" s="21" t="str">
        <f t="shared" si="4"/>
        <v>2017/01/02 01:33:03.765</v>
      </c>
      <c r="C79" s="21">
        <f t="shared" si="5"/>
        <v>7.0023088483139873E-6</v>
      </c>
    </row>
    <row r="80" spans="1:3" x14ac:dyDescent="0.25">
      <c r="A80" t="s">
        <v>911</v>
      </c>
      <c r="B80" s="21" t="str">
        <f t="shared" si="4"/>
        <v>2017/01/02 01:51:00.012</v>
      </c>
      <c r="C80" s="21">
        <f t="shared" si="5"/>
        <v>1.2456562501029111E-2</v>
      </c>
    </row>
    <row r="81" spans="1:3" x14ac:dyDescent="0.25">
      <c r="A81" t="s">
        <v>912</v>
      </c>
      <c r="B81" s="21" t="str">
        <f t="shared" si="4"/>
        <v>2017/01/02 01:51:02.097</v>
      </c>
      <c r="C81" s="21">
        <f t="shared" si="5"/>
        <v>2.4131943064276129E-5</v>
      </c>
    </row>
    <row r="82" spans="1:3" x14ac:dyDescent="0.25">
      <c r="A82" t="s">
        <v>913</v>
      </c>
      <c r="B82" s="21" t="str">
        <f t="shared" si="4"/>
        <v>2017/01/02 01:51:02.297</v>
      </c>
      <c r="C82" s="21">
        <f t="shared" si="5"/>
        <v>2.3148168111220002E-6</v>
      </c>
    </row>
    <row r="83" spans="1:3" x14ac:dyDescent="0.25">
      <c r="A83" t="s">
        <v>914</v>
      </c>
      <c r="B83" s="21" t="str">
        <f t="shared" si="4"/>
        <v>2017/01/02 02:27:34.704</v>
      </c>
      <c r="C83" s="21">
        <f t="shared" si="5"/>
        <v>2.5375081022502854E-2</v>
      </c>
    </row>
    <row r="84" spans="1:3" x14ac:dyDescent="0.25">
      <c r="A84" t="s">
        <v>915</v>
      </c>
      <c r="B84" s="21" t="str">
        <f t="shared" si="4"/>
        <v>2017/01/02 02:27:34.994</v>
      </c>
      <c r="C84" s="21">
        <f t="shared" si="5"/>
        <v>3.3564792829565704E-6</v>
      </c>
    </row>
    <row r="85" spans="1:3" x14ac:dyDescent="0.25">
      <c r="A85" t="s">
        <v>916</v>
      </c>
      <c r="B85" s="21" t="str">
        <f t="shared" si="4"/>
        <v>2017/01/02 02:27:35.322</v>
      </c>
      <c r="C85" s="21">
        <f t="shared" si="5"/>
        <v>3.7962963688187301E-6</v>
      </c>
    </row>
    <row r="86" spans="1:3" x14ac:dyDescent="0.25">
      <c r="A86" t="s">
        <v>917</v>
      </c>
      <c r="B86" s="21" t="str">
        <f t="shared" si="4"/>
        <v>2017/01/02 03:40:45.092</v>
      </c>
      <c r="C86" s="21">
        <f t="shared" si="5"/>
        <v>5.0807523148250766E-2</v>
      </c>
    </row>
    <row r="87" spans="1:3" x14ac:dyDescent="0.25">
      <c r="A87" t="s">
        <v>918</v>
      </c>
      <c r="B87" s="21" t="str">
        <f t="shared" si="4"/>
        <v>2017/01/02 03:40:45.119</v>
      </c>
      <c r="C87" s="21">
        <f t="shared" si="5"/>
        <v>3.1250237952917814E-7</v>
      </c>
    </row>
    <row r="88" spans="1:3" x14ac:dyDescent="0.25">
      <c r="A88" t="s">
        <v>919</v>
      </c>
      <c r="B88" s="21" t="str">
        <f t="shared" si="4"/>
        <v>2017/01/02 03:40:45.299</v>
      </c>
      <c r="C88" s="21">
        <f t="shared" si="5"/>
        <v>2.0833322196267545E-6</v>
      </c>
    </row>
    <row r="89" spans="1:3" x14ac:dyDescent="0.25">
      <c r="A89" t="s">
        <v>920</v>
      </c>
      <c r="B89" s="21" t="str">
        <f t="shared" si="4"/>
        <v>2017/01/02 03:40:45.323</v>
      </c>
      <c r="C89" s="21">
        <f t="shared" si="5"/>
        <v>2.7777423383668065E-7</v>
      </c>
    </row>
    <row r="90" spans="1:3" x14ac:dyDescent="0.25">
      <c r="A90" t="s">
        <v>921</v>
      </c>
      <c r="B90" s="21" t="str">
        <f t="shared" si="4"/>
        <v>2017/01/02 03:40:46.001</v>
      </c>
      <c r="C90" s="21">
        <f t="shared" si="5"/>
        <v>7.8472221503034234E-6</v>
      </c>
    </row>
    <row r="91" spans="1:3" x14ac:dyDescent="0.25">
      <c r="A91" t="s">
        <v>922</v>
      </c>
      <c r="B91" s="21" t="str">
        <f t="shared" si="4"/>
        <v>2017/01/02 03:40:46.025</v>
      </c>
      <c r="C91" s="21">
        <f t="shared" si="5"/>
        <v>2.7778150979429483E-7</v>
      </c>
    </row>
    <row r="92" spans="1:3" x14ac:dyDescent="0.25">
      <c r="A92" t="s">
        <v>923</v>
      </c>
      <c r="B92" s="21" t="str">
        <f t="shared" si="4"/>
        <v>2017/01/02 03:51:44.607</v>
      </c>
      <c r="C92" s="21">
        <f t="shared" si="5"/>
        <v>7.6224768490646966E-3</v>
      </c>
    </row>
    <row r="93" spans="1:3" x14ac:dyDescent="0.25">
      <c r="A93" t="s">
        <v>924</v>
      </c>
      <c r="B93" s="21" t="str">
        <f t="shared" si="4"/>
        <v>2017/01/02 03:51:44.820</v>
      </c>
      <c r="C93" s="21">
        <f t="shared" si="5"/>
        <v>2.4652763386256993E-6</v>
      </c>
    </row>
    <row r="94" spans="1:3" x14ac:dyDescent="0.25">
      <c r="A94" t="s">
        <v>925</v>
      </c>
      <c r="B94" s="21" t="str">
        <f t="shared" si="4"/>
        <v>2017/01/02 03:51:44.892</v>
      </c>
      <c r="C94" s="21">
        <f t="shared" si="5"/>
        <v>8.3333725342527032E-7</v>
      </c>
    </row>
    <row r="95" spans="1:3" x14ac:dyDescent="0.25">
      <c r="A95" t="s">
        <v>926</v>
      </c>
      <c r="B95" s="21" t="str">
        <f t="shared" si="4"/>
        <v>2017/01/02 04:23:01.982</v>
      </c>
      <c r="C95" s="21">
        <f t="shared" si="5"/>
        <v>2.172557869926095E-2</v>
      </c>
    </row>
    <row r="96" spans="1:3" x14ac:dyDescent="0.25">
      <c r="A96" t="s">
        <v>927</v>
      </c>
      <c r="B96" s="21" t="str">
        <f t="shared" si="4"/>
        <v>2017/01/02 05:19:29.768</v>
      </c>
      <c r="C96" s="21">
        <f t="shared" si="5"/>
        <v>3.9210486116644461E-2</v>
      </c>
    </row>
    <row r="97" spans="1:3" x14ac:dyDescent="0.25">
      <c r="A97" t="s">
        <v>928</v>
      </c>
      <c r="B97" s="21" t="str">
        <f t="shared" si="4"/>
        <v>2017/01/02 05:19:29.854</v>
      </c>
      <c r="C97" s="21">
        <f t="shared" si="5"/>
        <v>9.9536555353552103E-7</v>
      </c>
    </row>
    <row r="98" spans="1:3" x14ac:dyDescent="0.25">
      <c r="A98" t="s">
        <v>929</v>
      </c>
      <c r="B98" s="21" t="str">
        <f t="shared" si="4"/>
        <v>2017/01/02 05:19:30.167</v>
      </c>
      <c r="C98" s="21">
        <f t="shared" si="5"/>
        <v>3.6226847441866994E-6</v>
      </c>
    </row>
    <row r="99" spans="1:3" x14ac:dyDescent="0.25">
      <c r="A99" t="s">
        <v>930</v>
      </c>
      <c r="B99" s="21" t="str">
        <f t="shared" si="4"/>
        <v>2017/01/02 08:05:41.439</v>
      </c>
      <c r="C99" s="21">
        <f t="shared" si="5"/>
        <v>0.11540824074472766</v>
      </c>
    </row>
    <row r="100" spans="1:3" x14ac:dyDescent="0.25">
      <c r="A100" t="s">
        <v>931</v>
      </c>
      <c r="B100" s="21" t="str">
        <f t="shared" si="4"/>
        <v>2017/01/02 08:05:41.697</v>
      </c>
      <c r="C100" s="21">
        <f t="shared" si="5"/>
        <v>2.9861112125217915E-6</v>
      </c>
    </row>
    <row r="101" spans="1:3" x14ac:dyDescent="0.25">
      <c r="A101" t="s">
        <v>932</v>
      </c>
      <c r="B101" s="21" t="str">
        <f t="shared" si="4"/>
        <v>2017/01/02 08:05:43.351</v>
      </c>
      <c r="C101" s="21">
        <f t="shared" si="5"/>
        <v>1.9143517420161515E-5</v>
      </c>
    </row>
    <row r="102" spans="1:3" x14ac:dyDescent="0.25">
      <c r="B102" s="21"/>
      <c r="C102" s="21"/>
    </row>
    <row r="103" spans="1:3" x14ac:dyDescent="0.25">
      <c r="B103" s="21"/>
      <c r="C103" s="21"/>
    </row>
    <row r="104" spans="1:3" x14ac:dyDescent="0.25">
      <c r="B104" s="21"/>
      <c r="C104" s="21"/>
    </row>
    <row r="105" spans="1:3" x14ac:dyDescent="0.25">
      <c r="B105" s="21"/>
      <c r="C105" s="21"/>
    </row>
    <row r="106" spans="1:3" x14ac:dyDescent="0.25">
      <c r="B106" s="21"/>
      <c r="C106" s="21"/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2017-01-04T17:08:01Z</dcterms:modified>
</cp:coreProperties>
</file>