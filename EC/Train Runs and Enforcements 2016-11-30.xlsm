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 activeTab="3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Enforcements!$A$6:$AC$46</definedName>
    <definedName name="_xlnm._FilterDatabase" localSheetId="2" hidden="1">'Missing Trips'!$B$2:$I$2</definedName>
    <definedName name="_xlnm._FilterDatabase" localSheetId="0" hidden="1">'Train Runs'!$A$12:$AG$239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Runs'!$A$12:$J$75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4" l="1"/>
  <c r="G4" i="4"/>
  <c r="G5" i="4"/>
  <c r="G6" i="4"/>
  <c r="L13" i="1" s="1"/>
  <c r="G7" i="4"/>
  <c r="G8" i="4"/>
  <c r="G9" i="4"/>
  <c r="G10" i="4"/>
  <c r="L17" i="1" s="1"/>
  <c r="G11" i="4"/>
  <c r="G12" i="4"/>
  <c r="G13" i="4"/>
  <c r="G14" i="4"/>
  <c r="L213" i="1" s="1"/>
  <c r="G15" i="4"/>
  <c r="G16" i="4"/>
  <c r="G17" i="4"/>
  <c r="L218" i="1" s="1"/>
  <c r="G18" i="4"/>
  <c r="G19" i="4"/>
  <c r="G20" i="4"/>
  <c r="G21" i="4"/>
  <c r="L18" i="1" s="1"/>
  <c r="G22" i="4"/>
  <c r="N23" i="3" s="1"/>
  <c r="G23" i="4"/>
  <c r="G24" i="4"/>
  <c r="G25" i="4"/>
  <c r="G26" i="4"/>
  <c r="L22" i="1" s="1"/>
  <c r="G27" i="4"/>
  <c r="G28" i="4"/>
  <c r="G29" i="4"/>
  <c r="L24" i="1" s="1"/>
  <c r="G30" i="4"/>
  <c r="L31" i="1" s="1"/>
  <c r="G31" i="4"/>
  <c r="G32" i="4"/>
  <c r="G33" i="4"/>
  <c r="G34" i="4"/>
  <c r="G35" i="4"/>
  <c r="G36" i="4"/>
  <c r="N12" i="3" s="1"/>
  <c r="G37" i="4"/>
  <c r="L36" i="1" s="1"/>
  <c r="G38" i="4"/>
  <c r="G39" i="4"/>
  <c r="G40" i="4"/>
  <c r="L163" i="1" s="1"/>
  <c r="G41" i="4"/>
  <c r="L164" i="1" s="1"/>
  <c r="G42" i="4"/>
  <c r="L33" i="1" s="1"/>
  <c r="G43" i="4"/>
  <c r="G44" i="4"/>
  <c r="G45" i="4"/>
  <c r="G46" i="4"/>
  <c r="L42" i="1" s="1"/>
  <c r="G47" i="4"/>
  <c r="G48" i="4"/>
  <c r="G49" i="4"/>
  <c r="G50" i="4"/>
  <c r="G51" i="4"/>
  <c r="G52" i="4"/>
  <c r="L44" i="1" s="1"/>
  <c r="G53" i="4"/>
  <c r="G54" i="4"/>
  <c r="N32" i="3" s="1"/>
  <c r="G55" i="4"/>
  <c r="G56" i="4"/>
  <c r="G57" i="4"/>
  <c r="L46" i="1" s="1"/>
  <c r="G58" i="4"/>
  <c r="L41" i="1" s="1"/>
  <c r="G59" i="4"/>
  <c r="G60" i="4"/>
  <c r="G61" i="4"/>
  <c r="L43" i="1" s="1"/>
  <c r="G62" i="4"/>
  <c r="L50" i="1" s="1"/>
  <c r="G63" i="4"/>
  <c r="G64" i="4"/>
  <c r="G65" i="4"/>
  <c r="G66" i="4"/>
  <c r="L52" i="1" s="1"/>
  <c r="G67" i="4"/>
  <c r="G68" i="4"/>
  <c r="G69" i="4"/>
  <c r="L171" i="1" s="1"/>
  <c r="G70" i="4"/>
  <c r="L54" i="1" s="1"/>
  <c r="G71" i="4"/>
  <c r="G72" i="4"/>
  <c r="G73" i="4"/>
  <c r="N15" i="3" s="1"/>
  <c r="G74" i="4"/>
  <c r="G75" i="4"/>
  <c r="G76" i="4"/>
  <c r="L53" i="1" s="1"/>
  <c r="G77" i="4"/>
  <c r="L60" i="1" s="1"/>
  <c r="G78" i="4"/>
  <c r="L55" i="1" s="1"/>
  <c r="G79" i="4"/>
  <c r="G80" i="4"/>
  <c r="N19" i="3" s="1"/>
  <c r="G81" i="4"/>
  <c r="L62" i="1" s="1"/>
  <c r="G82" i="4"/>
  <c r="L64" i="1" s="1"/>
  <c r="G83" i="4"/>
  <c r="G84" i="4"/>
  <c r="L59" i="1" s="1"/>
  <c r="G85" i="4"/>
  <c r="L66" i="1" s="1"/>
  <c r="G86" i="4"/>
  <c r="L61" i="1" s="1"/>
  <c r="G87" i="4"/>
  <c r="G88" i="4"/>
  <c r="G89" i="4"/>
  <c r="G90" i="4"/>
  <c r="L63" i="1" s="1"/>
  <c r="G91" i="4"/>
  <c r="G92" i="4"/>
  <c r="G93" i="4"/>
  <c r="G94" i="4"/>
  <c r="L67" i="1" s="1"/>
  <c r="G95" i="4"/>
  <c r="G96" i="4"/>
  <c r="N33" i="3" s="1"/>
  <c r="G97" i="4"/>
  <c r="L74" i="1" s="1"/>
  <c r="G98" i="4"/>
  <c r="G99" i="4"/>
  <c r="G100" i="4"/>
  <c r="G101" i="4"/>
  <c r="L71" i="1" s="1"/>
  <c r="G102" i="4"/>
  <c r="L177" i="1" s="1"/>
  <c r="G103" i="4"/>
  <c r="G104" i="4"/>
  <c r="G105" i="4"/>
  <c r="L226" i="1" s="1"/>
  <c r="G106" i="4"/>
  <c r="L80" i="1" s="1"/>
  <c r="G107" i="4"/>
  <c r="G108" i="4"/>
  <c r="G109" i="4"/>
  <c r="G110" i="4"/>
  <c r="L82" i="1" s="1"/>
  <c r="G111" i="4"/>
  <c r="G112" i="4"/>
  <c r="G113" i="4"/>
  <c r="G114" i="4"/>
  <c r="L86" i="1" s="1"/>
  <c r="G115" i="4"/>
  <c r="G116" i="4"/>
  <c r="G117" i="4"/>
  <c r="G118" i="4"/>
  <c r="G119" i="4"/>
  <c r="G120" i="4"/>
  <c r="G121" i="4"/>
  <c r="G122" i="4"/>
  <c r="L87" i="1" s="1"/>
  <c r="G123" i="4"/>
  <c r="G124" i="4"/>
  <c r="N9" i="3" s="1"/>
  <c r="G125" i="4"/>
  <c r="L94" i="1" s="1"/>
  <c r="G126" i="4"/>
  <c r="L96" i="1" s="1"/>
  <c r="G127" i="4"/>
  <c r="G128" i="4"/>
  <c r="G129" i="4"/>
  <c r="L93" i="1" s="1"/>
  <c r="G130" i="4"/>
  <c r="L182" i="1" s="1"/>
  <c r="G131" i="4"/>
  <c r="G132" i="4"/>
  <c r="G133" i="4"/>
  <c r="G134" i="4"/>
  <c r="L183" i="1" s="1"/>
  <c r="G135" i="4"/>
  <c r="G136" i="4"/>
  <c r="L104" i="1" s="1"/>
  <c r="G137" i="4"/>
  <c r="L99" i="1" s="1"/>
  <c r="G138" i="4"/>
  <c r="L106" i="1" s="1"/>
  <c r="G139" i="4"/>
  <c r="G140" i="4"/>
  <c r="G141" i="4"/>
  <c r="L221" i="1" s="1"/>
  <c r="G142" i="4"/>
  <c r="G143" i="4"/>
  <c r="G144" i="4"/>
  <c r="L103" i="1" s="1"/>
  <c r="G145" i="4"/>
  <c r="L110" i="1" s="1"/>
  <c r="G146" i="4"/>
  <c r="L185" i="1" s="1"/>
  <c r="G147" i="4"/>
  <c r="G148" i="4"/>
  <c r="L105" i="1" s="1"/>
  <c r="G149" i="4"/>
  <c r="G150" i="4"/>
  <c r="L112" i="1" s="1"/>
  <c r="G151" i="4"/>
  <c r="G152" i="4"/>
  <c r="G153" i="4"/>
  <c r="L188" i="1" s="1"/>
  <c r="G154" i="4"/>
  <c r="L109" i="1" s="1"/>
  <c r="G155" i="4"/>
  <c r="G156" i="4"/>
  <c r="G157" i="4"/>
  <c r="G158" i="4"/>
  <c r="L189" i="1" s="1"/>
  <c r="G159" i="4"/>
  <c r="G160" i="4"/>
  <c r="G161" i="4"/>
  <c r="L120" i="1" s="1"/>
  <c r="G162" i="4"/>
  <c r="L115" i="1" s="1"/>
  <c r="G163" i="4"/>
  <c r="G164" i="4"/>
  <c r="L122" i="1" s="1"/>
  <c r="G165" i="4"/>
  <c r="L117" i="1" s="1"/>
  <c r="G166" i="4"/>
  <c r="L192" i="1" s="1"/>
  <c r="G167" i="4"/>
  <c r="G168" i="4"/>
  <c r="G169" i="4"/>
  <c r="G170" i="4"/>
  <c r="L228" i="1" s="1"/>
  <c r="G171" i="4"/>
  <c r="G172" i="4"/>
  <c r="G173" i="4"/>
  <c r="L119" i="1" s="1"/>
  <c r="G174" i="4"/>
  <c r="L121" i="1" s="1"/>
  <c r="G175" i="4"/>
  <c r="G176" i="4"/>
  <c r="G177" i="4"/>
  <c r="G178" i="4"/>
  <c r="G179" i="4"/>
  <c r="G180" i="4"/>
  <c r="G181" i="4"/>
  <c r="L230" i="1" s="1"/>
  <c r="G182" i="4"/>
  <c r="L123" i="1" s="1"/>
  <c r="G183" i="4"/>
  <c r="G184" i="4"/>
  <c r="G185" i="4"/>
  <c r="L232" i="1" s="1"/>
  <c r="G186" i="4"/>
  <c r="L196" i="1" s="1"/>
  <c r="G187" i="4"/>
  <c r="G188" i="4"/>
  <c r="G189" i="4"/>
  <c r="L127" i="1" s="1"/>
  <c r="G190" i="4"/>
  <c r="L206" i="1" s="1"/>
  <c r="G191" i="4"/>
  <c r="G192" i="4"/>
  <c r="G193" i="4"/>
  <c r="L129" i="1" s="1"/>
  <c r="G194" i="4"/>
  <c r="L134" i="1" s="1"/>
  <c r="G195" i="4"/>
  <c r="G196" i="4"/>
  <c r="G197" i="4"/>
  <c r="L208" i="1" s="1"/>
  <c r="G198" i="4"/>
  <c r="L200" i="1" s="1"/>
  <c r="G199" i="4"/>
  <c r="G200" i="4"/>
  <c r="G201" i="4"/>
  <c r="G202" i="4"/>
  <c r="G203" i="4"/>
  <c r="G204" i="4"/>
  <c r="G205" i="4"/>
  <c r="L137" i="1" s="1"/>
  <c r="G206" i="4"/>
  <c r="L202" i="1" s="1"/>
  <c r="G207" i="4"/>
  <c r="G208" i="4"/>
  <c r="G209" i="4"/>
  <c r="G210" i="4"/>
  <c r="L142" i="1" s="1"/>
  <c r="G211" i="4"/>
  <c r="G212" i="4"/>
  <c r="G213" i="4"/>
  <c r="G214" i="4"/>
  <c r="L141" i="1" s="1"/>
  <c r="G215" i="4"/>
  <c r="G216" i="4"/>
  <c r="G217" i="4"/>
  <c r="G218" i="4"/>
  <c r="G219" i="4"/>
  <c r="G220" i="4"/>
  <c r="G221" i="4"/>
  <c r="L149" i="1" s="1"/>
  <c r="G222" i="4"/>
  <c r="L223" i="1" s="1"/>
  <c r="G223" i="4"/>
  <c r="G224" i="4"/>
  <c r="N25" i="3" s="1"/>
  <c r="G225" i="4"/>
  <c r="L153" i="1" s="1"/>
  <c r="G226" i="4"/>
  <c r="L150" i="1" s="1"/>
  <c r="G227" i="4"/>
  <c r="G228" i="4"/>
  <c r="G229" i="4"/>
  <c r="G230" i="4"/>
  <c r="L157" i="1" s="1"/>
  <c r="G231" i="4"/>
  <c r="G232" i="4"/>
  <c r="G233" i="4"/>
  <c r="L156" i="1" s="1"/>
  <c r="G234" i="4"/>
  <c r="G235" i="4"/>
  <c r="G236" i="4"/>
  <c r="G237" i="4"/>
  <c r="L216" i="1" s="1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2" i="4"/>
  <c r="L19" i="1"/>
  <c r="L27" i="1"/>
  <c r="L160" i="1"/>
  <c r="L161" i="1"/>
  <c r="L165" i="1"/>
  <c r="L167" i="1"/>
  <c r="L170" i="1"/>
  <c r="L45" i="1"/>
  <c r="L172" i="1"/>
  <c r="L73" i="1"/>
  <c r="L79" i="1"/>
  <c r="L88" i="1"/>
  <c r="L92" i="1"/>
  <c r="L95" i="1"/>
  <c r="L184" i="1"/>
  <c r="L113" i="1"/>
  <c r="L126" i="1"/>
  <c r="L194" i="1"/>
  <c r="L132" i="1"/>
  <c r="L198" i="1"/>
  <c r="L222" i="1"/>
  <c r="L210" i="1"/>
  <c r="L199" i="1"/>
  <c r="L140" i="1"/>
  <c r="L201" i="1"/>
  <c r="L144" i="1"/>
  <c r="L146" i="1"/>
  <c r="N26" i="3"/>
  <c r="L158" i="1"/>
  <c r="L209" i="1"/>
  <c r="L16" i="1"/>
  <c r="L40" i="1"/>
  <c r="L48" i="1"/>
  <c r="L224" i="1"/>
  <c r="L72" i="1"/>
  <c r="N34" i="3"/>
  <c r="L77" i="1"/>
  <c r="L179" i="1"/>
  <c r="L98" i="1"/>
  <c r="L102" i="1"/>
  <c r="L107" i="1"/>
  <c r="L136" i="1"/>
  <c r="L204" i="1"/>
  <c r="L155" i="1"/>
  <c r="L154" i="1"/>
  <c r="L217" i="1"/>
  <c r="N22" i="3"/>
  <c r="L14" i="1"/>
  <c r="L26" i="1"/>
  <c r="L70" i="1"/>
  <c r="L83" i="1"/>
  <c r="L114" i="1"/>
  <c r="L118" i="1"/>
  <c r="L130" i="1"/>
  <c r="L138" i="1"/>
  <c r="L143" i="1"/>
  <c r="N11" i="3"/>
  <c r="N16" i="3"/>
  <c r="N20" i="3"/>
  <c r="N21" i="3"/>
  <c r="N27" i="3"/>
  <c r="N28" i="3"/>
  <c r="N30" i="3"/>
  <c r="N31" i="3"/>
  <c r="N35" i="3"/>
  <c r="N36" i="3"/>
  <c r="N37" i="3"/>
  <c r="N38" i="3"/>
  <c r="N39" i="3"/>
  <c r="L15" i="1"/>
  <c r="L20" i="1"/>
  <c r="L21" i="1"/>
  <c r="L23" i="1"/>
  <c r="L28" i="1"/>
  <c r="L29" i="1"/>
  <c r="L35" i="1"/>
  <c r="L37" i="1"/>
  <c r="L38" i="1"/>
  <c r="L39" i="1"/>
  <c r="L47" i="1"/>
  <c r="L49" i="1"/>
  <c r="L56" i="1"/>
  <c r="L58" i="1"/>
  <c r="L65" i="1"/>
  <c r="L68" i="1"/>
  <c r="L69" i="1"/>
  <c r="L75" i="1"/>
  <c r="L76" i="1"/>
  <c r="L78" i="1"/>
  <c r="L81" i="1"/>
  <c r="L84" i="1"/>
  <c r="L85" i="1"/>
  <c r="L89" i="1"/>
  <c r="L91" i="1"/>
  <c r="L97" i="1"/>
  <c r="L100" i="1"/>
  <c r="L101" i="1"/>
  <c r="L108" i="1"/>
  <c r="L111" i="1"/>
  <c r="L116" i="1"/>
  <c r="L124" i="1"/>
  <c r="L125" i="1"/>
  <c r="L128" i="1"/>
  <c r="L131" i="1"/>
  <c r="L133" i="1"/>
  <c r="L135" i="1"/>
  <c r="L139" i="1"/>
  <c r="L145" i="1"/>
  <c r="L147" i="1"/>
  <c r="L148" i="1"/>
  <c r="L152" i="1"/>
  <c r="L159" i="1"/>
  <c r="L162" i="1"/>
  <c r="L169" i="1"/>
  <c r="L173" i="1"/>
  <c r="L174" i="1"/>
  <c r="L175" i="1"/>
  <c r="L176" i="1"/>
  <c r="L180" i="1"/>
  <c r="L181" i="1"/>
  <c r="L186" i="1"/>
  <c r="L187" i="1"/>
  <c r="L190" i="1"/>
  <c r="L191" i="1"/>
  <c r="L193" i="1"/>
  <c r="L195" i="1"/>
  <c r="L197" i="1"/>
  <c r="L203" i="1"/>
  <c r="L205" i="1"/>
  <c r="L207" i="1"/>
  <c r="L211" i="1"/>
  <c r="L212" i="1"/>
  <c r="L219" i="1"/>
  <c r="L220" i="1"/>
  <c r="L225" i="1"/>
  <c r="L227" i="1"/>
  <c r="L229" i="1"/>
  <c r="N8" i="3" l="1"/>
  <c r="L151" i="1"/>
  <c r="L166" i="1"/>
  <c r="N29" i="3"/>
  <c r="L57" i="1"/>
  <c r="L214" i="1"/>
  <c r="L215" i="1"/>
  <c r="L231" i="1"/>
  <c r="N40" i="3"/>
  <c r="N10" i="3"/>
  <c r="L90" i="1"/>
  <c r="N14" i="3"/>
  <c r="L32" i="1"/>
  <c r="N18" i="3"/>
  <c r="L30" i="1"/>
  <c r="L34" i="1"/>
  <c r="N24" i="3"/>
  <c r="N13" i="3"/>
  <c r="L168" i="1"/>
  <c r="L25" i="1"/>
  <c r="N7" i="3"/>
  <c r="N17" i="3"/>
  <c r="L51" i="1"/>
  <c r="L178" i="1"/>
  <c r="X168" i="1" l="1"/>
  <c r="X169" i="1"/>
  <c r="X170" i="1"/>
  <c r="N143" i="1"/>
  <c r="X137" i="1"/>
  <c r="K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K15" i="1"/>
  <c r="M15" i="1"/>
  <c r="N15" i="1" s="1"/>
  <c r="T15" i="1"/>
  <c r="V15" i="1"/>
  <c r="S22" i="3" s="1"/>
  <c r="Y15" i="1"/>
  <c r="Z15" i="1"/>
  <c r="AB15" i="1"/>
  <c r="AC15" i="1"/>
  <c r="AD15" i="1"/>
  <c r="AE15" i="1"/>
  <c r="AF15" i="1"/>
  <c r="AH15" i="1"/>
  <c r="K16" i="1"/>
  <c r="M16" i="1"/>
  <c r="N16" i="1" s="1"/>
  <c r="V16" i="1"/>
  <c r="Y16" i="1"/>
  <c r="Z16" i="1"/>
  <c r="AA16" i="1"/>
  <c r="AB16" i="1"/>
  <c r="AC16" i="1"/>
  <c r="AD16" i="1"/>
  <c r="T16" i="1" s="1"/>
  <c r="AE16" i="1"/>
  <c r="AF16" i="1"/>
  <c r="AH16" i="1"/>
  <c r="K17" i="1"/>
  <c r="M17" i="1"/>
  <c r="N17" i="1" s="1"/>
  <c r="V17" i="1"/>
  <c r="Y17" i="1"/>
  <c r="Z17" i="1"/>
  <c r="AB17" i="1"/>
  <c r="AC17" i="1"/>
  <c r="AD17" i="1"/>
  <c r="AE17" i="1"/>
  <c r="AF17" i="1"/>
  <c r="AH17" i="1"/>
  <c r="K18" i="1"/>
  <c r="M18" i="1"/>
  <c r="N18" i="1" s="1"/>
  <c r="V18" i="1"/>
  <c r="Y18" i="1"/>
  <c r="Z18" i="1"/>
  <c r="AA18" i="1" s="1"/>
  <c r="AB18" i="1"/>
  <c r="AC18" i="1"/>
  <c r="AD18" i="1"/>
  <c r="T18" i="1" s="1"/>
  <c r="AE18" i="1"/>
  <c r="AF18" i="1"/>
  <c r="AG18" i="1"/>
  <c r="AH18" i="1"/>
  <c r="K19" i="1"/>
  <c r="M19" i="1"/>
  <c r="N19" i="1" s="1"/>
  <c r="V19" i="1"/>
  <c r="Y19" i="1"/>
  <c r="Z19" i="1"/>
  <c r="AB19" i="1"/>
  <c r="AC19" i="1"/>
  <c r="AD19" i="1"/>
  <c r="X19" i="1" s="1"/>
  <c r="AE19" i="1"/>
  <c r="AF19" i="1"/>
  <c r="AH19" i="1"/>
  <c r="K20" i="1"/>
  <c r="M20" i="1"/>
  <c r="N20" i="1" s="1"/>
  <c r="V20" i="1"/>
  <c r="Y20" i="1"/>
  <c r="Z20" i="1"/>
  <c r="AB20" i="1"/>
  <c r="AC20" i="1"/>
  <c r="AD20" i="1"/>
  <c r="X20" i="1" s="1"/>
  <c r="AE20" i="1"/>
  <c r="AF20" i="1"/>
  <c r="AH20" i="1"/>
  <c r="K21" i="1"/>
  <c r="M21" i="1"/>
  <c r="N21" i="1" s="1"/>
  <c r="V21" i="1"/>
  <c r="Y21" i="1"/>
  <c r="Z21" i="1"/>
  <c r="AB21" i="1"/>
  <c r="AC21" i="1"/>
  <c r="AD21" i="1"/>
  <c r="AE21" i="1"/>
  <c r="AF21" i="1"/>
  <c r="AH21" i="1"/>
  <c r="K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K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K24" i="1"/>
  <c r="M24" i="1"/>
  <c r="N24" i="1" s="1"/>
  <c r="V24" i="1"/>
  <c r="X24" i="1"/>
  <c r="Y24" i="1"/>
  <c r="AA24" i="1" s="1"/>
  <c r="Z24" i="1"/>
  <c r="AB24" i="1"/>
  <c r="AC24" i="1"/>
  <c r="AD24" i="1"/>
  <c r="AG24" i="1" s="1"/>
  <c r="AE24" i="1"/>
  <c r="AF24" i="1"/>
  <c r="AH24" i="1"/>
  <c r="K25" i="1"/>
  <c r="M25" i="1"/>
  <c r="N25" i="1" s="1"/>
  <c r="V25" i="1"/>
  <c r="S23" i="3" s="1"/>
  <c r="Y25" i="1"/>
  <c r="Z25" i="1"/>
  <c r="AB25" i="1"/>
  <c r="AC25" i="1"/>
  <c r="AD25" i="1"/>
  <c r="AE25" i="1"/>
  <c r="AF25" i="1"/>
  <c r="AH25" i="1"/>
  <c r="K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K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K28" i="1"/>
  <c r="M28" i="1"/>
  <c r="P28" i="1" s="1"/>
  <c r="V28" i="1"/>
  <c r="S12" i="3" s="1"/>
  <c r="Y28" i="1"/>
  <c r="Z28" i="1"/>
  <c r="AB28" i="1"/>
  <c r="AC28" i="1"/>
  <c r="AD28" i="1"/>
  <c r="X28" i="1" s="1"/>
  <c r="AE28" i="1"/>
  <c r="AF28" i="1"/>
  <c r="AH28" i="1"/>
  <c r="K29" i="1"/>
  <c r="M29" i="1"/>
  <c r="N29" i="1" s="1"/>
  <c r="V29" i="1"/>
  <c r="Y29" i="1"/>
  <c r="Z29" i="1"/>
  <c r="AB29" i="1"/>
  <c r="AC29" i="1"/>
  <c r="AD29" i="1"/>
  <c r="AE29" i="1"/>
  <c r="AF29" i="1"/>
  <c r="AH29" i="1"/>
  <c r="K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K31" i="1"/>
  <c r="M31" i="1"/>
  <c r="N31" i="1" s="1"/>
  <c r="V31" i="1"/>
  <c r="Y31" i="1"/>
  <c r="Z31" i="1"/>
  <c r="AB31" i="1"/>
  <c r="AC31" i="1"/>
  <c r="AD31" i="1"/>
  <c r="AE31" i="1"/>
  <c r="AF31" i="1"/>
  <c r="AH31" i="1"/>
  <c r="K32" i="1"/>
  <c r="M32" i="1"/>
  <c r="V32" i="1"/>
  <c r="S14" i="3" s="1"/>
  <c r="Y32" i="1"/>
  <c r="Z32" i="1"/>
  <c r="AB32" i="1"/>
  <c r="AC32" i="1"/>
  <c r="AD32" i="1"/>
  <c r="AG32" i="1" s="1"/>
  <c r="AE32" i="1"/>
  <c r="R13" i="3" s="1"/>
  <c r="AF32" i="1"/>
  <c r="AH32" i="1"/>
  <c r="K33" i="1"/>
  <c r="M33" i="1"/>
  <c r="V33" i="1"/>
  <c r="Y33" i="1"/>
  <c r="Z33" i="1"/>
  <c r="AB33" i="1"/>
  <c r="AC33" i="1"/>
  <c r="AD33" i="1"/>
  <c r="AE33" i="1"/>
  <c r="AF33" i="1"/>
  <c r="AH33" i="1"/>
  <c r="K34" i="1"/>
  <c r="M34" i="1"/>
  <c r="N34" i="1" s="1"/>
  <c r="V34" i="1"/>
  <c r="S24" i="3" s="1"/>
  <c r="Y34" i="1"/>
  <c r="Z34" i="1"/>
  <c r="AB34" i="1"/>
  <c r="AC34" i="1"/>
  <c r="AD34" i="1"/>
  <c r="T34" i="1" s="1"/>
  <c r="AE34" i="1"/>
  <c r="AF34" i="1"/>
  <c r="AG34" i="1"/>
  <c r="AH34" i="1"/>
  <c r="K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K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K37" i="1"/>
  <c r="M37" i="1"/>
  <c r="N37" i="1" s="1"/>
  <c r="V37" i="1"/>
  <c r="Y37" i="1"/>
  <c r="Z37" i="1"/>
  <c r="AB37" i="1"/>
  <c r="AC37" i="1"/>
  <c r="AD37" i="1"/>
  <c r="AE37" i="1"/>
  <c r="AF37" i="1"/>
  <c r="AH37" i="1"/>
  <c r="K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K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K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K41" i="1"/>
  <c r="M41" i="1"/>
  <c r="N41" i="1" s="1"/>
  <c r="V41" i="1"/>
  <c r="Y41" i="1"/>
  <c r="Z41" i="1"/>
  <c r="AB41" i="1"/>
  <c r="AC41" i="1"/>
  <c r="AD41" i="1"/>
  <c r="AE41" i="1"/>
  <c r="AF41" i="1"/>
  <c r="AH41" i="1"/>
  <c r="K42" i="1"/>
  <c r="M42" i="1"/>
  <c r="N42" i="1" s="1"/>
  <c r="V42" i="1"/>
  <c r="Y42" i="1"/>
  <c r="Z42" i="1"/>
  <c r="AB42" i="1"/>
  <c r="AC42" i="1"/>
  <c r="AD42" i="1"/>
  <c r="AG42" i="1" s="1"/>
  <c r="AE42" i="1"/>
  <c r="AF42" i="1"/>
  <c r="AH42" i="1"/>
  <c r="K43" i="1"/>
  <c r="M43" i="1"/>
  <c r="N43" i="1" s="1"/>
  <c r="V43" i="1"/>
  <c r="Y43" i="1"/>
  <c r="Z43" i="1"/>
  <c r="AB43" i="1"/>
  <c r="AC43" i="1"/>
  <c r="AD43" i="1"/>
  <c r="AE43" i="1"/>
  <c r="AF43" i="1"/>
  <c r="AH43" i="1"/>
  <c r="K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K45" i="1"/>
  <c r="M45" i="1"/>
  <c r="N45" i="1" s="1"/>
  <c r="V45" i="1"/>
  <c r="Y45" i="1"/>
  <c r="Z45" i="1"/>
  <c r="AB45" i="1"/>
  <c r="AC45" i="1"/>
  <c r="AD45" i="1"/>
  <c r="AG45" i="1" s="1"/>
  <c r="AE45" i="1"/>
  <c r="AF45" i="1"/>
  <c r="AH45" i="1"/>
  <c r="K46" i="1"/>
  <c r="M46" i="1"/>
  <c r="N46" i="1" s="1"/>
  <c r="V46" i="1"/>
  <c r="Y46" i="1"/>
  <c r="Z46" i="1"/>
  <c r="AB46" i="1"/>
  <c r="AC46" i="1"/>
  <c r="AD46" i="1"/>
  <c r="AE46" i="1"/>
  <c r="AF46" i="1"/>
  <c r="AH46" i="1"/>
  <c r="K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K48" i="1"/>
  <c r="M48" i="1"/>
  <c r="N48" i="1" s="1"/>
  <c r="V48" i="1"/>
  <c r="Y48" i="1"/>
  <c r="Z48" i="1"/>
  <c r="AB48" i="1"/>
  <c r="AC48" i="1"/>
  <c r="AD48" i="1"/>
  <c r="X48" i="1" s="1"/>
  <c r="AE48" i="1"/>
  <c r="AF48" i="1"/>
  <c r="AH48" i="1"/>
  <c r="K49" i="1"/>
  <c r="M49" i="1"/>
  <c r="N49" i="1" s="1"/>
  <c r="V49" i="1"/>
  <c r="Y49" i="1"/>
  <c r="Z49" i="1"/>
  <c r="AB49" i="1"/>
  <c r="AC49" i="1"/>
  <c r="AD49" i="1"/>
  <c r="AG49" i="1" s="1"/>
  <c r="AE49" i="1"/>
  <c r="AF49" i="1"/>
  <c r="AH49" i="1"/>
  <c r="K50" i="1"/>
  <c r="M50" i="1"/>
  <c r="N50" i="1" s="1"/>
  <c r="V50" i="1"/>
  <c r="S17" i="3" s="1"/>
  <c r="Y50" i="1"/>
  <c r="Z50" i="1"/>
  <c r="AB50" i="1"/>
  <c r="AC50" i="1"/>
  <c r="AD50" i="1"/>
  <c r="AE50" i="1"/>
  <c r="AF50" i="1"/>
  <c r="AH50" i="1"/>
  <c r="K51" i="1"/>
  <c r="M51" i="1"/>
  <c r="N51" i="1" s="1"/>
  <c r="V51" i="1"/>
  <c r="S15" i="3" s="1"/>
  <c r="Y51" i="1"/>
  <c r="Z51" i="1"/>
  <c r="AB51" i="1"/>
  <c r="AC51" i="1"/>
  <c r="AD51" i="1"/>
  <c r="AG51" i="1" s="1"/>
  <c r="AE51" i="1"/>
  <c r="AF51" i="1"/>
  <c r="AH51" i="1"/>
  <c r="K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K53" i="1"/>
  <c r="M53" i="1"/>
  <c r="N53" i="1" s="1"/>
  <c r="V53" i="1"/>
  <c r="Y53" i="1"/>
  <c r="Z53" i="1"/>
  <c r="AB53" i="1"/>
  <c r="AC53" i="1"/>
  <c r="AD53" i="1"/>
  <c r="AE53" i="1"/>
  <c r="AF53" i="1"/>
  <c r="AH53" i="1"/>
  <c r="K54" i="1"/>
  <c r="M54" i="1"/>
  <c r="N54" i="1" s="1"/>
  <c r="V54" i="1"/>
  <c r="Y54" i="1"/>
  <c r="Z54" i="1"/>
  <c r="AB54" i="1"/>
  <c r="AC54" i="1"/>
  <c r="AD54" i="1"/>
  <c r="AG54" i="1" s="1"/>
  <c r="AE54" i="1"/>
  <c r="AF54" i="1"/>
  <c r="AH54" i="1"/>
  <c r="K55" i="1"/>
  <c r="M55" i="1"/>
  <c r="N55" i="1" s="1"/>
  <c r="V55" i="1"/>
  <c r="Y55" i="1"/>
  <c r="Z55" i="1"/>
  <c r="AB55" i="1"/>
  <c r="AC55" i="1"/>
  <c r="AD55" i="1"/>
  <c r="AG55" i="1" s="1"/>
  <c r="AE55" i="1"/>
  <c r="AF55" i="1"/>
  <c r="AH55" i="1"/>
  <c r="K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K57" i="1"/>
  <c r="M57" i="1"/>
  <c r="N57" i="1" s="1"/>
  <c r="V57" i="1"/>
  <c r="Y57" i="1"/>
  <c r="Z57" i="1"/>
  <c r="AB57" i="1"/>
  <c r="AC57" i="1"/>
  <c r="AD57" i="1"/>
  <c r="AE57" i="1"/>
  <c r="AF57" i="1"/>
  <c r="AH57" i="1"/>
  <c r="K58" i="1"/>
  <c r="M58" i="1"/>
  <c r="N58" i="1" s="1"/>
  <c r="V58" i="1"/>
  <c r="Y58" i="1"/>
  <c r="Z58" i="1"/>
  <c r="AB58" i="1"/>
  <c r="AC58" i="1"/>
  <c r="AD58" i="1"/>
  <c r="AG58" i="1" s="1"/>
  <c r="AE58" i="1"/>
  <c r="AF58" i="1"/>
  <c r="AH58" i="1"/>
  <c r="K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K60" i="1"/>
  <c r="M60" i="1"/>
  <c r="N60" i="1"/>
  <c r="V60" i="1"/>
  <c r="Y60" i="1"/>
  <c r="AA60" i="1" s="1"/>
  <c r="Z60" i="1"/>
  <c r="AB60" i="1"/>
  <c r="AC60" i="1"/>
  <c r="AD60" i="1"/>
  <c r="T60" i="1" s="1"/>
  <c r="AE60" i="1"/>
  <c r="AF60" i="1"/>
  <c r="AH60" i="1"/>
  <c r="K61" i="1"/>
  <c r="M61" i="1"/>
  <c r="N61" i="1" s="1"/>
  <c r="V61" i="1"/>
  <c r="Y61" i="1"/>
  <c r="Z61" i="1"/>
  <c r="AB61" i="1"/>
  <c r="AC61" i="1"/>
  <c r="AD61" i="1"/>
  <c r="AE61" i="1"/>
  <c r="AF61" i="1"/>
  <c r="AH61" i="1"/>
  <c r="K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K63" i="1"/>
  <c r="M63" i="1"/>
  <c r="N63" i="1" s="1"/>
  <c r="V63" i="1"/>
  <c r="S7" i="3" s="1"/>
  <c r="Y63" i="1"/>
  <c r="Z63" i="1"/>
  <c r="AB63" i="1"/>
  <c r="AC63" i="1"/>
  <c r="AD63" i="1"/>
  <c r="AG63" i="1" s="1"/>
  <c r="AE63" i="1"/>
  <c r="R7" i="3" s="1"/>
  <c r="AF63" i="1"/>
  <c r="AH63" i="1"/>
  <c r="K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K65" i="1"/>
  <c r="M65" i="1"/>
  <c r="N65" i="1" s="1"/>
  <c r="V65" i="1"/>
  <c r="Y65" i="1"/>
  <c r="Z65" i="1"/>
  <c r="AB65" i="1"/>
  <c r="AC65" i="1"/>
  <c r="AD65" i="1"/>
  <c r="AE65" i="1"/>
  <c r="AF65" i="1"/>
  <c r="AH65" i="1"/>
  <c r="K66" i="1"/>
  <c r="M66" i="1"/>
  <c r="N66" i="1" s="1"/>
  <c r="V66" i="1"/>
  <c r="Y66" i="1"/>
  <c r="Z66" i="1"/>
  <c r="AB66" i="1"/>
  <c r="AC66" i="1"/>
  <c r="AD66" i="1"/>
  <c r="AG66" i="1" s="1"/>
  <c r="AE66" i="1"/>
  <c r="AF66" i="1"/>
  <c r="AH66" i="1"/>
  <c r="K67" i="1"/>
  <c r="M67" i="1"/>
  <c r="N67" i="1" s="1"/>
  <c r="V67" i="1"/>
  <c r="Y67" i="1"/>
  <c r="Z67" i="1"/>
  <c r="AB67" i="1"/>
  <c r="AC67" i="1"/>
  <c r="AD67" i="1"/>
  <c r="AG67" i="1" s="1"/>
  <c r="AE67" i="1"/>
  <c r="AF67" i="1"/>
  <c r="AH67" i="1"/>
  <c r="K68" i="1"/>
  <c r="M68" i="1"/>
  <c r="N68" i="1" s="1"/>
  <c r="V68" i="1"/>
  <c r="Y68" i="1"/>
  <c r="Z68" i="1"/>
  <c r="AB68" i="1"/>
  <c r="AC68" i="1"/>
  <c r="AD68" i="1"/>
  <c r="AE68" i="1"/>
  <c r="AF68" i="1"/>
  <c r="AH68" i="1"/>
  <c r="K69" i="1"/>
  <c r="M69" i="1"/>
  <c r="N69" i="1" s="1"/>
  <c r="V69" i="1"/>
  <c r="Y69" i="1"/>
  <c r="Z69" i="1"/>
  <c r="AB69" i="1"/>
  <c r="AC69" i="1"/>
  <c r="AD69" i="1"/>
  <c r="AE69" i="1"/>
  <c r="AF69" i="1"/>
  <c r="AH69" i="1"/>
  <c r="K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K71" i="1"/>
  <c r="M71" i="1"/>
  <c r="N71" i="1" s="1"/>
  <c r="V71" i="1"/>
  <c r="Y71" i="1"/>
  <c r="Z71" i="1"/>
  <c r="AA71" i="1" s="1"/>
  <c r="AB71" i="1"/>
  <c r="AC71" i="1"/>
  <c r="AD71" i="1"/>
  <c r="T71" i="1" s="1"/>
  <c r="AE71" i="1"/>
  <c r="AF71" i="1"/>
  <c r="AH71" i="1"/>
  <c r="K72" i="1"/>
  <c r="M72" i="1"/>
  <c r="N72" i="1" s="1"/>
  <c r="V72" i="1"/>
  <c r="Y72" i="1"/>
  <c r="Z72" i="1"/>
  <c r="AB72" i="1"/>
  <c r="AC72" i="1"/>
  <c r="AD72" i="1"/>
  <c r="AE72" i="1"/>
  <c r="AF72" i="1"/>
  <c r="AH72" i="1"/>
  <c r="K73" i="1"/>
  <c r="M73" i="1"/>
  <c r="N73" i="1" s="1"/>
  <c r="V73" i="1"/>
  <c r="Y73" i="1"/>
  <c r="Z73" i="1"/>
  <c r="AB73" i="1"/>
  <c r="AC73" i="1"/>
  <c r="AD73" i="1"/>
  <c r="AG73" i="1" s="1"/>
  <c r="AE73" i="1"/>
  <c r="AF73" i="1"/>
  <c r="AH73" i="1"/>
  <c r="K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K75" i="1"/>
  <c r="M75" i="1"/>
  <c r="N75" i="1" s="1"/>
  <c r="V75" i="1"/>
  <c r="Y75" i="1"/>
  <c r="Z75" i="1"/>
  <c r="AB75" i="1"/>
  <c r="AC75" i="1"/>
  <c r="AD75" i="1"/>
  <c r="AG75" i="1" s="1"/>
  <c r="AE75" i="1"/>
  <c r="AF75" i="1"/>
  <c r="AH75" i="1"/>
  <c r="K76" i="1"/>
  <c r="M76" i="1"/>
  <c r="N76" i="1" s="1"/>
  <c r="V76" i="1"/>
  <c r="Y76" i="1"/>
  <c r="Z76" i="1"/>
  <c r="AB76" i="1"/>
  <c r="AC76" i="1"/>
  <c r="AD76" i="1"/>
  <c r="AE76" i="1"/>
  <c r="AF76" i="1"/>
  <c r="AH76" i="1"/>
  <c r="K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K78" i="1"/>
  <c r="M78" i="1"/>
  <c r="N78" i="1" s="1"/>
  <c r="V78" i="1"/>
  <c r="Y78" i="1"/>
  <c r="Z78" i="1"/>
  <c r="AB78" i="1"/>
  <c r="AC78" i="1"/>
  <c r="AD78" i="1"/>
  <c r="X78" i="1" s="1"/>
  <c r="AE78" i="1"/>
  <c r="AF78" i="1"/>
  <c r="AH78" i="1"/>
  <c r="K79" i="1"/>
  <c r="M79" i="1"/>
  <c r="N79" i="1" s="1"/>
  <c r="V79" i="1"/>
  <c r="S11" i="3" s="1"/>
  <c r="Y79" i="1"/>
  <c r="Z79" i="1"/>
  <c r="AB79" i="1"/>
  <c r="AC79" i="1"/>
  <c r="AD79" i="1"/>
  <c r="AG79" i="1" s="1"/>
  <c r="AE79" i="1"/>
  <c r="AF79" i="1"/>
  <c r="AH79" i="1"/>
  <c r="K80" i="1"/>
  <c r="M80" i="1"/>
  <c r="N80" i="1"/>
  <c r="V80" i="1"/>
  <c r="Y80" i="1"/>
  <c r="Z80" i="1"/>
  <c r="AB80" i="1"/>
  <c r="AC80" i="1"/>
  <c r="AD80" i="1"/>
  <c r="AE80" i="1"/>
  <c r="AF80" i="1"/>
  <c r="AH80" i="1"/>
  <c r="K81" i="1"/>
  <c r="M81" i="1"/>
  <c r="N81" i="1" s="1"/>
  <c r="V81" i="1"/>
  <c r="Y81" i="1"/>
  <c r="Z81" i="1"/>
  <c r="AB81" i="1"/>
  <c r="AC81" i="1"/>
  <c r="AD81" i="1"/>
  <c r="AE81" i="1"/>
  <c r="AF81" i="1"/>
  <c r="AH81" i="1"/>
  <c r="K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K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K84" i="1"/>
  <c r="M84" i="1"/>
  <c r="N84" i="1" s="1"/>
  <c r="V84" i="1"/>
  <c r="Y84" i="1"/>
  <c r="Z84" i="1"/>
  <c r="AB84" i="1"/>
  <c r="AC84" i="1"/>
  <c r="AD84" i="1"/>
  <c r="AE84" i="1"/>
  <c r="AF84" i="1"/>
  <c r="AH84" i="1"/>
  <c r="K85" i="1"/>
  <c r="M85" i="1"/>
  <c r="N85" i="1" s="1"/>
  <c r="V85" i="1"/>
  <c r="Y85" i="1"/>
  <c r="Z85" i="1"/>
  <c r="AB85" i="1"/>
  <c r="AC85" i="1"/>
  <c r="AD85" i="1"/>
  <c r="AE85" i="1"/>
  <c r="AF85" i="1"/>
  <c r="AH85" i="1"/>
  <c r="K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K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K88" i="1"/>
  <c r="M88" i="1"/>
  <c r="N88" i="1" s="1"/>
  <c r="V88" i="1"/>
  <c r="Y88" i="1"/>
  <c r="Z88" i="1"/>
  <c r="AB88" i="1"/>
  <c r="AC88" i="1"/>
  <c r="AD88" i="1"/>
  <c r="AE88" i="1"/>
  <c r="AF88" i="1"/>
  <c r="AH88" i="1"/>
  <c r="K89" i="1"/>
  <c r="M89" i="1"/>
  <c r="N89" i="1" s="1"/>
  <c r="V89" i="1"/>
  <c r="S21" i="3" s="1"/>
  <c r="Y89" i="1"/>
  <c r="Z89" i="1"/>
  <c r="AB89" i="1"/>
  <c r="AC89" i="1"/>
  <c r="AD89" i="1"/>
  <c r="AG89" i="1" s="1"/>
  <c r="AE89" i="1"/>
  <c r="R9" i="3" s="1"/>
  <c r="AF89" i="1"/>
  <c r="AH89" i="1"/>
  <c r="K90" i="1"/>
  <c r="M90" i="1"/>
  <c r="N90" i="1" s="1"/>
  <c r="V90" i="1"/>
  <c r="Y90" i="1"/>
  <c r="Z90" i="1"/>
  <c r="AB90" i="1"/>
  <c r="AC90" i="1"/>
  <c r="AD90" i="1"/>
  <c r="T90" i="1" s="1"/>
  <c r="AE90" i="1"/>
  <c r="R10" i="3" s="1"/>
  <c r="AF90" i="1"/>
  <c r="AH90" i="1"/>
  <c r="K91" i="1"/>
  <c r="M91" i="1"/>
  <c r="N91" i="1" s="1"/>
  <c r="V91" i="1"/>
  <c r="Y91" i="1"/>
  <c r="Z91" i="1"/>
  <c r="AB91" i="1"/>
  <c r="AC91" i="1"/>
  <c r="AD91" i="1"/>
  <c r="AG91" i="1" s="1"/>
  <c r="AE91" i="1"/>
  <c r="R16" i="3" s="1"/>
  <c r="AF91" i="1"/>
  <c r="AH91" i="1"/>
  <c r="K92" i="1"/>
  <c r="M92" i="1"/>
  <c r="N92" i="1" s="1"/>
  <c r="V92" i="1"/>
  <c r="Y92" i="1"/>
  <c r="Z92" i="1"/>
  <c r="AB92" i="1"/>
  <c r="AC92" i="1"/>
  <c r="AD92" i="1"/>
  <c r="AE92" i="1"/>
  <c r="AF92" i="1"/>
  <c r="AH92" i="1"/>
  <c r="K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K94" i="1"/>
  <c r="M94" i="1"/>
  <c r="N94" i="1" s="1"/>
  <c r="V94" i="1"/>
  <c r="Y94" i="1"/>
  <c r="Z94" i="1"/>
  <c r="AB94" i="1"/>
  <c r="AC94" i="1"/>
  <c r="AD94" i="1"/>
  <c r="X94" i="1" s="1"/>
  <c r="AE94" i="1"/>
  <c r="AF94" i="1"/>
  <c r="AH94" i="1"/>
  <c r="K95" i="1"/>
  <c r="M95" i="1"/>
  <c r="N95" i="1" s="1"/>
  <c r="V95" i="1"/>
  <c r="Y95" i="1"/>
  <c r="Z95" i="1"/>
  <c r="AI95" i="1" s="1"/>
  <c r="AB95" i="1"/>
  <c r="AC95" i="1"/>
  <c r="AD95" i="1"/>
  <c r="AG95" i="1" s="1"/>
  <c r="AE95" i="1"/>
  <c r="AF95" i="1"/>
  <c r="AH95" i="1"/>
  <c r="K96" i="1"/>
  <c r="M96" i="1"/>
  <c r="N96" i="1" s="1"/>
  <c r="V96" i="1"/>
  <c r="Y96" i="1"/>
  <c r="Z96" i="1"/>
  <c r="AB96" i="1"/>
  <c r="AC96" i="1"/>
  <c r="AD96" i="1"/>
  <c r="AE96" i="1"/>
  <c r="AF96" i="1"/>
  <c r="AH96" i="1"/>
  <c r="K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K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K99" i="1"/>
  <c r="M99" i="1"/>
  <c r="N99" i="1" s="1"/>
  <c r="V99" i="1"/>
  <c r="Y99" i="1"/>
  <c r="Z99" i="1"/>
  <c r="AB99" i="1"/>
  <c r="AC99" i="1"/>
  <c r="AD99" i="1"/>
  <c r="X99" i="1" s="1"/>
  <c r="AE99" i="1"/>
  <c r="AF99" i="1"/>
  <c r="AH99" i="1"/>
  <c r="K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K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K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02" i="1"/>
  <c r="K103" i="1"/>
  <c r="M103" i="1"/>
  <c r="N103" i="1" s="1"/>
  <c r="V103" i="1"/>
  <c r="Y103" i="1"/>
  <c r="Z103" i="1"/>
  <c r="AB103" i="1"/>
  <c r="AC103" i="1"/>
  <c r="AD103" i="1"/>
  <c r="AE103" i="1"/>
  <c r="AF103" i="1"/>
  <c r="AH103" i="1"/>
  <c r="K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K105" i="1"/>
  <c r="M105" i="1"/>
  <c r="N105" i="1" s="1"/>
  <c r="V105" i="1"/>
  <c r="Y105" i="1"/>
  <c r="Z105" i="1"/>
  <c r="AB105" i="1"/>
  <c r="AC105" i="1"/>
  <c r="AD105" i="1"/>
  <c r="X106" i="1" s="1"/>
  <c r="AE105" i="1"/>
  <c r="AF105" i="1"/>
  <c r="AH105" i="1"/>
  <c r="K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K107" i="1"/>
  <c r="M107" i="1"/>
  <c r="N107" i="1" s="1"/>
  <c r="V107" i="1"/>
  <c r="Y107" i="1"/>
  <c r="Z107" i="1"/>
  <c r="AB107" i="1"/>
  <c r="AC107" i="1"/>
  <c r="AD107" i="1"/>
  <c r="AE107" i="1"/>
  <c r="AF107" i="1"/>
  <c r="AH107" i="1"/>
  <c r="K108" i="1"/>
  <c r="M108" i="1"/>
  <c r="N108" i="1" s="1"/>
  <c r="V108" i="1"/>
  <c r="Y108" i="1"/>
  <c r="Z108" i="1"/>
  <c r="AB108" i="1"/>
  <c r="AC108" i="1"/>
  <c r="AD108" i="1"/>
  <c r="AE108" i="1"/>
  <c r="AF108" i="1"/>
  <c r="AH108" i="1"/>
  <c r="K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AH109" i="1"/>
  <c r="K110" i="1"/>
  <c r="M110" i="1"/>
  <c r="N110" i="1" s="1"/>
  <c r="V110" i="1"/>
  <c r="Y110" i="1"/>
  <c r="Z110" i="1"/>
  <c r="AB110" i="1"/>
  <c r="AC110" i="1"/>
  <c r="AD110" i="1"/>
  <c r="X110" i="1" s="1"/>
  <c r="AE110" i="1"/>
  <c r="AF110" i="1"/>
  <c r="AH110" i="1"/>
  <c r="K111" i="1"/>
  <c r="M111" i="1"/>
  <c r="N111" i="1" s="1"/>
  <c r="V111" i="1"/>
  <c r="Y111" i="1"/>
  <c r="Z111" i="1"/>
  <c r="AA111" i="1" s="1"/>
  <c r="AB111" i="1"/>
  <c r="AC111" i="1"/>
  <c r="AD111" i="1"/>
  <c r="AE111" i="1"/>
  <c r="AF111" i="1"/>
  <c r="AH111" i="1"/>
  <c r="K112" i="1"/>
  <c r="M112" i="1"/>
  <c r="N112" i="1" s="1"/>
  <c r="V112" i="1"/>
  <c r="Y112" i="1"/>
  <c r="Z112" i="1"/>
  <c r="AB112" i="1"/>
  <c r="AC112" i="1"/>
  <c r="AD112" i="1"/>
  <c r="AE112" i="1"/>
  <c r="AF112" i="1"/>
  <c r="AH112" i="1"/>
  <c r="K113" i="1"/>
  <c r="M113" i="1"/>
  <c r="P113" i="1" s="1"/>
  <c r="T113" i="1"/>
  <c r="V113" i="1"/>
  <c r="Y113" i="1"/>
  <c r="Z113" i="1"/>
  <c r="AB113" i="1"/>
  <c r="AC113" i="1"/>
  <c r="AD113" i="1"/>
  <c r="AE113" i="1"/>
  <c r="AF113" i="1"/>
  <c r="AH113" i="1"/>
  <c r="K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AH114" i="1"/>
  <c r="K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AH115" i="1"/>
  <c r="K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AH116" i="1"/>
  <c r="K117" i="1"/>
  <c r="M117" i="1"/>
  <c r="N117" i="1" s="1"/>
  <c r="V117" i="1"/>
  <c r="Y117" i="1"/>
  <c r="Z117" i="1"/>
  <c r="AB117" i="1"/>
  <c r="AC117" i="1"/>
  <c r="AD117" i="1"/>
  <c r="AE117" i="1"/>
  <c r="AF117" i="1"/>
  <c r="AH117" i="1"/>
  <c r="K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K119" i="1"/>
  <c r="M119" i="1"/>
  <c r="N119" i="1" s="1"/>
  <c r="V119" i="1"/>
  <c r="Y119" i="1"/>
  <c r="Z119" i="1"/>
  <c r="AB119" i="1"/>
  <c r="AC119" i="1"/>
  <c r="AD119" i="1"/>
  <c r="AE119" i="1"/>
  <c r="AF119" i="1"/>
  <c r="AH119" i="1"/>
  <c r="K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K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AH121" i="1"/>
  <c r="K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K123" i="1"/>
  <c r="M123" i="1"/>
  <c r="N123" i="1" s="1"/>
  <c r="V123" i="1"/>
  <c r="Y123" i="1"/>
  <c r="Z123" i="1"/>
  <c r="AB123" i="1"/>
  <c r="AC123" i="1"/>
  <c r="AD123" i="1"/>
  <c r="AE123" i="1"/>
  <c r="AF123" i="1"/>
  <c r="AH123" i="1"/>
  <c r="K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K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AH125" i="1"/>
  <c r="K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26" i="1"/>
  <c r="K127" i="1"/>
  <c r="M127" i="1"/>
  <c r="N127" i="1" s="1"/>
  <c r="V127" i="1"/>
  <c r="Y127" i="1"/>
  <c r="Z127" i="1"/>
  <c r="AB127" i="1"/>
  <c r="AC127" i="1"/>
  <c r="AD127" i="1"/>
  <c r="AE127" i="1"/>
  <c r="AF127" i="1"/>
  <c r="AH127" i="1"/>
  <c r="K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K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AH129" i="1"/>
  <c r="K130" i="1"/>
  <c r="M130" i="1"/>
  <c r="N130" i="1" s="1"/>
  <c r="V130" i="1"/>
  <c r="Y130" i="1"/>
  <c r="Z130" i="1"/>
  <c r="AA130" i="1" s="1"/>
  <c r="AB130" i="1"/>
  <c r="AC130" i="1"/>
  <c r="AD130" i="1"/>
  <c r="AG130" i="1" s="1"/>
  <c r="AE130" i="1"/>
  <c r="AF130" i="1"/>
  <c r="AH130" i="1"/>
  <c r="K131" i="1"/>
  <c r="M131" i="1"/>
  <c r="N131" i="1" s="1"/>
  <c r="V131" i="1"/>
  <c r="Y131" i="1"/>
  <c r="Z131" i="1"/>
  <c r="AA131" i="1" s="1"/>
  <c r="AB131" i="1"/>
  <c r="AC131" i="1"/>
  <c r="AD131" i="1"/>
  <c r="AE131" i="1"/>
  <c r="AF131" i="1"/>
  <c r="AH131" i="1"/>
  <c r="K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K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AH133" i="1"/>
  <c r="K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K135" i="1"/>
  <c r="M135" i="1"/>
  <c r="N135" i="1" s="1"/>
  <c r="V135" i="1"/>
  <c r="Y135" i="1"/>
  <c r="Z135" i="1"/>
  <c r="AB135" i="1"/>
  <c r="AC135" i="1"/>
  <c r="AD135" i="1"/>
  <c r="AE135" i="1"/>
  <c r="AF135" i="1"/>
  <c r="AH135" i="1"/>
  <c r="K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K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37" i="1"/>
  <c r="K138" i="1"/>
  <c r="M138" i="1"/>
  <c r="N138" i="1" s="1"/>
  <c r="V138" i="1"/>
  <c r="Y138" i="1"/>
  <c r="Z138" i="1"/>
  <c r="AB138" i="1"/>
  <c r="AC138" i="1"/>
  <c r="AD138" i="1"/>
  <c r="X138" i="1" s="1"/>
  <c r="AE138" i="1"/>
  <c r="AF138" i="1"/>
  <c r="AH138" i="1"/>
  <c r="K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K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AH140" i="1"/>
  <c r="K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K142" i="1"/>
  <c r="M142" i="1"/>
  <c r="N142" i="1" s="1"/>
  <c r="V142" i="1"/>
  <c r="Y142" i="1"/>
  <c r="Z142" i="1"/>
  <c r="AB142" i="1"/>
  <c r="AC142" i="1"/>
  <c r="AD142" i="1"/>
  <c r="AE142" i="1"/>
  <c r="AF142" i="1"/>
  <c r="AH142" i="1"/>
  <c r="K143" i="1"/>
  <c r="M143" i="1"/>
  <c r="V143" i="1"/>
  <c r="Y143" i="1"/>
  <c r="Z143" i="1"/>
  <c r="AB143" i="1"/>
  <c r="AC143" i="1"/>
  <c r="AD143" i="1"/>
  <c r="T143" i="1" s="1"/>
  <c r="AE143" i="1"/>
  <c r="AF143" i="1"/>
  <c r="AH143" i="1"/>
  <c r="K144" i="1"/>
  <c r="M144" i="1"/>
  <c r="V144" i="1"/>
  <c r="Y144" i="1"/>
  <c r="Z144" i="1"/>
  <c r="AB144" i="1"/>
  <c r="AC144" i="1"/>
  <c r="AD144" i="1"/>
  <c r="AG144" i="1" s="1"/>
  <c r="AE144" i="1"/>
  <c r="AF144" i="1"/>
  <c r="AH144" i="1"/>
  <c r="K145" i="1"/>
  <c r="M145" i="1"/>
  <c r="P145" i="1" s="1"/>
  <c r="V145" i="1"/>
  <c r="Y145" i="1"/>
  <c r="Z145" i="1"/>
  <c r="AB145" i="1"/>
  <c r="AC145" i="1"/>
  <c r="AD145" i="1"/>
  <c r="T145" i="1" s="1"/>
  <c r="AE145" i="1"/>
  <c r="AF145" i="1"/>
  <c r="AH145" i="1"/>
  <c r="K146" i="1"/>
  <c r="M146" i="1"/>
  <c r="N146" i="1" s="1"/>
  <c r="V146" i="1"/>
  <c r="Y146" i="1"/>
  <c r="Z146" i="1"/>
  <c r="AB146" i="1"/>
  <c r="AC146" i="1"/>
  <c r="AD146" i="1"/>
  <c r="AE146" i="1"/>
  <c r="AF146" i="1"/>
  <c r="AH146" i="1"/>
  <c r="K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K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48" i="1"/>
  <c r="K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AH149" i="1"/>
  <c r="K150" i="1"/>
  <c r="M150" i="1"/>
  <c r="N150" i="1" s="1"/>
  <c r="V150" i="1"/>
  <c r="Y150" i="1"/>
  <c r="Z150" i="1"/>
  <c r="AB150" i="1"/>
  <c r="AC150" i="1"/>
  <c r="AD150" i="1"/>
  <c r="AE150" i="1"/>
  <c r="AF150" i="1"/>
  <c r="AH150" i="1"/>
  <c r="K151" i="1"/>
  <c r="M151" i="1"/>
  <c r="N151" i="1" s="1"/>
  <c r="V151" i="1"/>
  <c r="S26" i="3" s="1"/>
  <c r="Y151" i="1"/>
  <c r="Z151" i="1"/>
  <c r="AB151" i="1"/>
  <c r="AC151" i="1"/>
  <c r="AD151" i="1"/>
  <c r="T151" i="1" s="1"/>
  <c r="AE151" i="1"/>
  <c r="R25" i="3" s="1"/>
  <c r="AF151" i="1"/>
  <c r="AH151" i="1"/>
  <c r="K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AH152" i="1"/>
  <c r="K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AH153" i="1"/>
  <c r="K154" i="1"/>
  <c r="M154" i="1"/>
  <c r="N154" i="1" s="1"/>
  <c r="V154" i="1"/>
  <c r="Y154" i="1"/>
  <c r="Z154" i="1"/>
  <c r="AB154" i="1"/>
  <c r="AC154" i="1"/>
  <c r="AD154" i="1"/>
  <c r="AE154" i="1"/>
  <c r="AF154" i="1"/>
  <c r="AH154" i="1"/>
  <c r="K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K156" i="1"/>
  <c r="M156" i="1"/>
  <c r="N156" i="1" s="1"/>
  <c r="V156" i="1"/>
  <c r="X156" i="1"/>
  <c r="Y156" i="1"/>
  <c r="Z156" i="1"/>
  <c r="AB156" i="1"/>
  <c r="AC156" i="1"/>
  <c r="AD156" i="1"/>
  <c r="AG156" i="1" s="1"/>
  <c r="AE156" i="1"/>
  <c r="AF156" i="1"/>
  <c r="AH156" i="1"/>
  <c r="K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157" i="1"/>
  <c r="K158" i="1"/>
  <c r="M158" i="1"/>
  <c r="N158" i="1" s="1"/>
  <c r="V158" i="1"/>
  <c r="Y158" i="1"/>
  <c r="Z158" i="1"/>
  <c r="AB158" i="1"/>
  <c r="AC158" i="1"/>
  <c r="AD158" i="1"/>
  <c r="AE158" i="1"/>
  <c r="AF158" i="1"/>
  <c r="AH158" i="1"/>
  <c r="K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G206" i="1"/>
  <c r="AH159" i="1"/>
  <c r="K207" i="1"/>
  <c r="M207" i="1"/>
  <c r="N207" i="1" s="1"/>
  <c r="V207" i="1"/>
  <c r="Y207" i="1"/>
  <c r="Z207" i="1"/>
  <c r="AB207" i="1"/>
  <c r="AC207" i="1"/>
  <c r="AD207" i="1"/>
  <c r="AE207" i="1"/>
  <c r="R37" i="3" s="1"/>
  <c r="AF207" i="1"/>
  <c r="AH160" i="1"/>
  <c r="K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AH161" i="1"/>
  <c r="K209" i="1"/>
  <c r="M209" i="1"/>
  <c r="N209" i="1" s="1"/>
  <c r="V209" i="1"/>
  <c r="Y209" i="1"/>
  <c r="Z209" i="1"/>
  <c r="AB209" i="1"/>
  <c r="AC209" i="1"/>
  <c r="AD209" i="1"/>
  <c r="AE209" i="1"/>
  <c r="AF209" i="1"/>
  <c r="AH162" i="1"/>
  <c r="K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K211" i="1"/>
  <c r="M211" i="1"/>
  <c r="N211" i="1" s="1"/>
  <c r="V211" i="1"/>
  <c r="Y211" i="1"/>
  <c r="Z211" i="1"/>
  <c r="AB211" i="1"/>
  <c r="AC211" i="1"/>
  <c r="AD211" i="1"/>
  <c r="T211" i="1" s="1"/>
  <c r="AE211" i="1"/>
  <c r="R38" i="3" s="1"/>
  <c r="AF211" i="1"/>
  <c r="AH164" i="1"/>
  <c r="K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K213" i="1"/>
  <c r="M213" i="1"/>
  <c r="N213" i="1" s="1"/>
  <c r="V213" i="1"/>
  <c r="Y213" i="1"/>
  <c r="Z213" i="1"/>
  <c r="AB213" i="1"/>
  <c r="AC213" i="1"/>
  <c r="AD213" i="1"/>
  <c r="AE213" i="1"/>
  <c r="AF213" i="1"/>
  <c r="AH166" i="1"/>
  <c r="K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K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8" i="1"/>
  <c r="K216" i="1"/>
  <c r="M216" i="1"/>
  <c r="N216" i="1" s="1"/>
  <c r="V216" i="1"/>
  <c r="Y216" i="1"/>
  <c r="Z216" i="1"/>
  <c r="AB216" i="1"/>
  <c r="AC216" i="1"/>
  <c r="AD216" i="1"/>
  <c r="X216" i="1" s="1"/>
  <c r="AE216" i="1"/>
  <c r="AF216" i="1"/>
  <c r="K217" i="1"/>
  <c r="M217" i="1"/>
  <c r="N217" i="1" s="1"/>
  <c r="V217" i="1"/>
  <c r="Y217" i="1"/>
  <c r="Z217" i="1"/>
  <c r="AB217" i="1"/>
  <c r="AC217" i="1"/>
  <c r="AD217" i="1"/>
  <c r="AE217" i="1"/>
  <c r="AF217" i="1"/>
  <c r="AH169" i="1"/>
  <c r="K224" i="1"/>
  <c r="M224" i="1"/>
  <c r="N224" i="1" s="1"/>
  <c r="V224" i="1"/>
  <c r="S39" i="3" s="1"/>
  <c r="Y224" i="1"/>
  <c r="Z224" i="1"/>
  <c r="AB224" i="1"/>
  <c r="AC224" i="1"/>
  <c r="AD224" i="1"/>
  <c r="T224" i="1" s="1"/>
  <c r="AE224" i="1"/>
  <c r="AF224" i="1"/>
  <c r="AG224" i="1"/>
  <c r="AH170" i="1"/>
  <c r="K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171" i="1"/>
  <c r="K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172" i="1"/>
  <c r="K227" i="1"/>
  <c r="M227" i="1"/>
  <c r="N227" i="1" s="1"/>
  <c r="V227" i="1"/>
  <c r="Y227" i="1"/>
  <c r="Z227" i="1"/>
  <c r="AB227" i="1"/>
  <c r="AC227" i="1"/>
  <c r="AD227" i="1"/>
  <c r="AG227" i="1" s="1"/>
  <c r="AE227" i="1"/>
  <c r="AF227" i="1"/>
  <c r="AH173" i="1"/>
  <c r="K228" i="1"/>
  <c r="M228" i="1"/>
  <c r="N228" i="1" s="1"/>
  <c r="V228" i="1"/>
  <c r="Y228" i="1"/>
  <c r="Z228" i="1"/>
  <c r="AB228" i="1"/>
  <c r="AC228" i="1"/>
  <c r="AD228" i="1"/>
  <c r="AE228" i="1"/>
  <c r="AF228" i="1"/>
  <c r="AH174" i="1"/>
  <c r="K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5" i="1"/>
  <c r="K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76" i="1"/>
  <c r="K160" i="1"/>
  <c r="M160" i="1"/>
  <c r="N160" i="1" s="1"/>
  <c r="V160" i="1"/>
  <c r="Y160" i="1"/>
  <c r="Z160" i="1"/>
  <c r="AA160" i="1" s="1"/>
  <c r="W160" i="1" s="1"/>
  <c r="AB160" i="1"/>
  <c r="AC160" i="1"/>
  <c r="AD160" i="1"/>
  <c r="AG160" i="1" s="1"/>
  <c r="AE160" i="1"/>
  <c r="AF160" i="1"/>
  <c r="AH177" i="1"/>
  <c r="K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AH178" i="1"/>
  <c r="K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79" i="1"/>
  <c r="K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80" i="1"/>
  <c r="K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AH181" i="1"/>
  <c r="K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82" i="1"/>
  <c r="K166" i="1"/>
  <c r="M166" i="1"/>
  <c r="N166" i="1" s="1"/>
  <c r="V166" i="1"/>
  <c r="S29" i="3" s="1"/>
  <c r="Y166" i="1"/>
  <c r="Z166" i="1"/>
  <c r="AB166" i="1"/>
  <c r="AC166" i="1"/>
  <c r="AD166" i="1"/>
  <c r="T166" i="1" s="1"/>
  <c r="AE166" i="1"/>
  <c r="R29" i="3" s="1"/>
  <c r="AF166" i="1"/>
  <c r="AH183" i="1"/>
  <c r="K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84" i="1"/>
  <c r="K168" i="1"/>
  <c r="M168" i="1"/>
  <c r="N168" i="1" s="1"/>
  <c r="V168" i="1"/>
  <c r="S32" i="3" s="1"/>
  <c r="Y168" i="1"/>
  <c r="Z168" i="1"/>
  <c r="AB168" i="1"/>
  <c r="AC168" i="1"/>
  <c r="AD168" i="1"/>
  <c r="AG168" i="1" s="1"/>
  <c r="AE168" i="1"/>
  <c r="R32" i="3" s="1"/>
  <c r="AF168" i="1"/>
  <c r="AH185" i="1"/>
  <c r="AH186" i="1"/>
  <c r="K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87" i="1"/>
  <c r="K169" i="1"/>
  <c r="M169" i="1"/>
  <c r="N169" i="1" s="1"/>
  <c r="V169" i="1"/>
  <c r="S28" i="3" s="1"/>
  <c r="Y169" i="1"/>
  <c r="Z169" i="1"/>
  <c r="AB169" i="1"/>
  <c r="AC169" i="1"/>
  <c r="AD169" i="1"/>
  <c r="T169" i="1" s="1"/>
  <c r="AE169" i="1"/>
  <c r="R28" i="3" s="1"/>
  <c r="AF169" i="1"/>
  <c r="AH188" i="1"/>
  <c r="K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AH189" i="1"/>
  <c r="K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190" i="1"/>
  <c r="K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91" i="1"/>
  <c r="K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92" i="1"/>
  <c r="K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AH193" i="1"/>
  <c r="K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94" i="1"/>
  <c r="K176" i="1"/>
  <c r="M176" i="1"/>
  <c r="N176" i="1" s="1"/>
  <c r="V176" i="1"/>
  <c r="S33" i="3" s="1"/>
  <c r="Y176" i="1"/>
  <c r="Z176" i="1"/>
  <c r="AB176" i="1"/>
  <c r="AC176" i="1"/>
  <c r="AD176" i="1"/>
  <c r="T176" i="1" s="1"/>
  <c r="AE176" i="1"/>
  <c r="R33" i="3" s="1"/>
  <c r="AF176" i="1"/>
  <c r="AH195" i="1"/>
  <c r="K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96" i="1"/>
  <c r="K178" i="1"/>
  <c r="M178" i="1"/>
  <c r="N178" i="1" s="1"/>
  <c r="V178" i="1"/>
  <c r="Y178" i="1"/>
  <c r="Z178" i="1"/>
  <c r="AB178" i="1"/>
  <c r="AC178" i="1"/>
  <c r="AD178" i="1"/>
  <c r="AG178" i="1" s="1"/>
  <c r="AE178" i="1"/>
  <c r="R34" i="3" s="1"/>
  <c r="AF178" i="1"/>
  <c r="AH197" i="1"/>
  <c r="K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98" i="1"/>
  <c r="K180" i="1"/>
  <c r="M180" i="1"/>
  <c r="N180" i="1" s="1"/>
  <c r="V180" i="1"/>
  <c r="S35" i="3" s="1"/>
  <c r="Y180" i="1"/>
  <c r="Z180" i="1"/>
  <c r="AB180" i="1"/>
  <c r="AC180" i="1"/>
  <c r="AD180" i="1"/>
  <c r="T180" i="1" s="1"/>
  <c r="AE180" i="1"/>
  <c r="AF180" i="1"/>
  <c r="AH199" i="1"/>
  <c r="K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00" i="1"/>
  <c r="K182" i="1"/>
  <c r="M182" i="1"/>
  <c r="N182" i="1" s="1"/>
  <c r="V182" i="1"/>
  <c r="Y182" i="1"/>
  <c r="Z182" i="1"/>
  <c r="AB182" i="1"/>
  <c r="AC182" i="1"/>
  <c r="AD182" i="1"/>
  <c r="AG182" i="1" s="1"/>
  <c r="AI182" i="1" s="1"/>
  <c r="AE182" i="1"/>
  <c r="AF182" i="1"/>
  <c r="AH201" i="1"/>
  <c r="K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02" i="1"/>
  <c r="K184" i="1"/>
  <c r="M184" i="1"/>
  <c r="N184" i="1"/>
  <c r="V184" i="1"/>
  <c r="Y184" i="1"/>
  <c r="Z184" i="1"/>
  <c r="AB184" i="1"/>
  <c r="AC184" i="1"/>
  <c r="AD184" i="1"/>
  <c r="T184" i="1" s="1"/>
  <c r="AE184" i="1"/>
  <c r="AF184" i="1"/>
  <c r="AH203" i="1"/>
  <c r="K185" i="1"/>
  <c r="M185" i="1"/>
  <c r="N185" i="1" s="1"/>
  <c r="V185" i="1"/>
  <c r="Y185" i="1"/>
  <c r="AA185" i="1" s="1"/>
  <c r="Z185" i="1"/>
  <c r="AB185" i="1"/>
  <c r="AC185" i="1"/>
  <c r="AD185" i="1"/>
  <c r="T185" i="1" s="1"/>
  <c r="AE185" i="1"/>
  <c r="AF185" i="1"/>
  <c r="AH204" i="1"/>
  <c r="K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AH205" i="1"/>
  <c r="K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206" i="1"/>
  <c r="K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07" i="1"/>
  <c r="K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08" i="1"/>
  <c r="K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209" i="1"/>
  <c r="K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10" i="1"/>
  <c r="K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11" i="1"/>
  <c r="K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12" i="1"/>
  <c r="K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213" i="1"/>
  <c r="K195" i="1"/>
  <c r="M195" i="1"/>
  <c r="N195" i="1" s="1"/>
  <c r="V195" i="1"/>
  <c r="S30" i="3" s="1"/>
  <c r="Y195" i="1"/>
  <c r="Z195" i="1"/>
  <c r="AB195" i="1"/>
  <c r="AC195" i="1"/>
  <c r="AD195" i="1"/>
  <c r="T195" i="1" s="1"/>
  <c r="AE195" i="1"/>
  <c r="R30" i="3" s="1"/>
  <c r="AF195" i="1"/>
  <c r="AH214" i="1"/>
  <c r="K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15" i="1"/>
  <c r="K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G197" i="1"/>
  <c r="AH216" i="1"/>
  <c r="K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17" i="1"/>
  <c r="K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18" i="1"/>
  <c r="K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19" i="1"/>
  <c r="K201" i="1"/>
  <c r="M201" i="1"/>
  <c r="N201" i="1" s="1"/>
  <c r="V201" i="1"/>
  <c r="Y201" i="1"/>
  <c r="Z201" i="1"/>
  <c r="AB201" i="1"/>
  <c r="AC201" i="1"/>
  <c r="AD201" i="1"/>
  <c r="AE201" i="1"/>
  <c r="AF201" i="1"/>
  <c r="AH220" i="1"/>
  <c r="K202" i="1"/>
  <c r="M202" i="1"/>
  <c r="N202" i="1" s="1"/>
  <c r="V202" i="1"/>
  <c r="Y202" i="1"/>
  <c r="Z202" i="1"/>
  <c r="AB202" i="1"/>
  <c r="AC202" i="1"/>
  <c r="AD202" i="1"/>
  <c r="AE202" i="1"/>
  <c r="AF202" i="1"/>
  <c r="AH221" i="1"/>
  <c r="K203" i="1"/>
  <c r="M203" i="1"/>
  <c r="N203" i="1" s="1"/>
  <c r="V203" i="1"/>
  <c r="Y203" i="1"/>
  <c r="Z203" i="1"/>
  <c r="AB203" i="1"/>
  <c r="AC203" i="1"/>
  <c r="AD203" i="1"/>
  <c r="AE203" i="1"/>
  <c r="AF203" i="1"/>
  <c r="AH222" i="1"/>
  <c r="K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23" i="1"/>
  <c r="K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24" i="1"/>
  <c r="K231" i="1"/>
  <c r="M231" i="1"/>
  <c r="N231" i="1" s="1"/>
  <c r="V231" i="1"/>
  <c r="S40" i="3" s="1"/>
  <c r="Y231" i="1"/>
  <c r="Z231" i="1"/>
  <c r="AB231" i="1"/>
  <c r="AC231" i="1"/>
  <c r="AD231" i="1"/>
  <c r="T231" i="1" s="1"/>
  <c r="AE231" i="1"/>
  <c r="AF231" i="1"/>
  <c r="AH225" i="1"/>
  <c r="K232" i="1"/>
  <c r="M232" i="1"/>
  <c r="N232" i="1" s="1"/>
  <c r="V232" i="1"/>
  <c r="Y232" i="1"/>
  <c r="Z232" i="1"/>
  <c r="AB232" i="1"/>
  <c r="AC232" i="1"/>
  <c r="AD232" i="1"/>
  <c r="AG232" i="1" s="1"/>
  <c r="AE232" i="1"/>
  <c r="AF232" i="1"/>
  <c r="AH226" i="1"/>
  <c r="K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27" i="1"/>
  <c r="K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28" i="1"/>
  <c r="K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29" i="1"/>
  <c r="K221" i="1"/>
  <c r="M221" i="1"/>
  <c r="N221" i="1" s="1"/>
  <c r="V221" i="1"/>
  <c r="Y221" i="1"/>
  <c r="Z221" i="1"/>
  <c r="AB221" i="1"/>
  <c r="AC221" i="1"/>
  <c r="AD221" i="1"/>
  <c r="X221" i="1" s="1"/>
  <c r="AE221" i="1"/>
  <c r="AF221" i="1"/>
  <c r="AH230" i="1"/>
  <c r="K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31" i="1"/>
  <c r="K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32" i="1"/>
  <c r="M38" i="3"/>
  <c r="S38" i="3"/>
  <c r="U38" i="3"/>
  <c r="T38" i="3" s="1"/>
  <c r="V38" i="3"/>
  <c r="W38" i="3"/>
  <c r="X38" i="3"/>
  <c r="AC38" i="3"/>
  <c r="M22" i="3"/>
  <c r="R22" i="3"/>
  <c r="U22" i="3"/>
  <c r="AD22" i="3" s="1"/>
  <c r="V22" i="3"/>
  <c r="W22" i="3"/>
  <c r="X22" i="3"/>
  <c r="AC22" i="3"/>
  <c r="M27" i="3"/>
  <c r="R27" i="3"/>
  <c r="S27" i="3"/>
  <c r="U27" i="3"/>
  <c r="T27" i="3" s="1"/>
  <c r="V27" i="3"/>
  <c r="W27" i="3"/>
  <c r="X27" i="3"/>
  <c r="AC27" i="3"/>
  <c r="M23" i="3"/>
  <c r="R23" i="3"/>
  <c r="U23" i="3"/>
  <c r="T23" i="3" s="1"/>
  <c r="V23" i="3"/>
  <c r="W23" i="3"/>
  <c r="X23" i="3"/>
  <c r="AC23" i="3"/>
  <c r="M24" i="3"/>
  <c r="R24" i="3"/>
  <c r="U24" i="3"/>
  <c r="T24" i="3" s="1"/>
  <c r="V24" i="3"/>
  <c r="W24" i="3"/>
  <c r="X24" i="3"/>
  <c r="AC24" i="3"/>
  <c r="M12" i="3"/>
  <c r="R12" i="3"/>
  <c r="U12" i="3"/>
  <c r="AC12" i="3" s="1"/>
  <c r="V12" i="3"/>
  <c r="W12" i="3"/>
  <c r="X12" i="3"/>
  <c r="M13" i="3"/>
  <c r="U13" i="3"/>
  <c r="T13" i="3" s="1"/>
  <c r="V13" i="3"/>
  <c r="W13" i="3"/>
  <c r="X13" i="3"/>
  <c r="M14" i="3"/>
  <c r="R14" i="3"/>
  <c r="U14" i="3"/>
  <c r="T14" i="3" s="1"/>
  <c r="V14" i="3"/>
  <c r="W14" i="3"/>
  <c r="X14" i="3"/>
  <c r="AC14" i="3"/>
  <c r="M18" i="3"/>
  <c r="R18" i="3"/>
  <c r="S18" i="3"/>
  <c r="T18" i="3"/>
  <c r="U18" i="3"/>
  <c r="V18" i="3"/>
  <c r="W18" i="3"/>
  <c r="X18" i="3"/>
  <c r="AC18" i="3"/>
  <c r="M29" i="3"/>
  <c r="U29" i="3"/>
  <c r="V29" i="3"/>
  <c r="W29" i="3"/>
  <c r="X29" i="3"/>
  <c r="AC29" i="3"/>
  <c r="M32" i="3"/>
  <c r="U32" i="3"/>
  <c r="T32" i="3" s="1"/>
  <c r="V32" i="3"/>
  <c r="W32" i="3"/>
  <c r="X32" i="3"/>
  <c r="AC32" i="3"/>
  <c r="AD18" i="3"/>
  <c r="M28" i="3"/>
  <c r="U28" i="3"/>
  <c r="T28" i="3" s="1"/>
  <c r="V28" i="3"/>
  <c r="W28" i="3"/>
  <c r="X28" i="3"/>
  <c r="AC28" i="3"/>
  <c r="M17" i="3"/>
  <c r="R17" i="3"/>
  <c r="U17" i="3"/>
  <c r="T17" i="3" s="1"/>
  <c r="V17" i="3"/>
  <c r="W17" i="3"/>
  <c r="X17" i="3"/>
  <c r="AC17" i="3"/>
  <c r="M15" i="3"/>
  <c r="R15" i="3"/>
  <c r="U15" i="3"/>
  <c r="AD15" i="3" s="1"/>
  <c r="V15" i="3"/>
  <c r="W15" i="3"/>
  <c r="X15" i="3"/>
  <c r="AC15" i="3"/>
  <c r="M19" i="3"/>
  <c r="R19" i="3"/>
  <c r="S19" i="3"/>
  <c r="U19" i="3"/>
  <c r="T19" i="3" s="1"/>
  <c r="V19" i="3"/>
  <c r="W19" i="3"/>
  <c r="X19" i="3"/>
  <c r="AC19" i="3"/>
  <c r="M39" i="3"/>
  <c r="R39" i="3"/>
  <c r="U39" i="3"/>
  <c r="T39" i="3" s="1"/>
  <c r="V39" i="3"/>
  <c r="W39" i="3"/>
  <c r="X39" i="3"/>
  <c r="M20" i="3"/>
  <c r="R20" i="3"/>
  <c r="S20" i="3"/>
  <c r="U20" i="3"/>
  <c r="T20" i="3" s="1"/>
  <c r="V20" i="3"/>
  <c r="W20" i="3"/>
  <c r="X20" i="3"/>
  <c r="AC20" i="3"/>
  <c r="M7" i="3"/>
  <c r="U7" i="3"/>
  <c r="V7" i="3"/>
  <c r="W7" i="3"/>
  <c r="X7" i="3"/>
  <c r="AC7" i="3"/>
  <c r="M8" i="3"/>
  <c r="R8" i="3"/>
  <c r="S8" i="3"/>
  <c r="U8" i="3"/>
  <c r="T8" i="3" s="1"/>
  <c r="V8" i="3"/>
  <c r="W8" i="3"/>
  <c r="X8" i="3"/>
  <c r="AC8" i="3"/>
  <c r="M33" i="3"/>
  <c r="U33" i="3"/>
  <c r="T33" i="3" s="1"/>
  <c r="V33" i="3"/>
  <c r="W33" i="3"/>
  <c r="X33" i="3"/>
  <c r="AC33" i="3"/>
  <c r="M36" i="3"/>
  <c r="R36" i="3"/>
  <c r="S36" i="3"/>
  <c r="U36" i="3"/>
  <c r="T36" i="3" s="1"/>
  <c r="V36" i="3"/>
  <c r="W36" i="3"/>
  <c r="X36" i="3"/>
  <c r="AC36" i="3"/>
  <c r="M34" i="3"/>
  <c r="S34" i="3"/>
  <c r="U34" i="3"/>
  <c r="AC34" i="3" s="1"/>
  <c r="V34" i="3"/>
  <c r="W34" i="3"/>
  <c r="X34" i="3"/>
  <c r="M11" i="3"/>
  <c r="R11" i="3"/>
  <c r="U11" i="3"/>
  <c r="T11" i="3" s="1"/>
  <c r="V11" i="3"/>
  <c r="W11" i="3"/>
  <c r="X11" i="3"/>
  <c r="AC11" i="3"/>
  <c r="M35" i="3"/>
  <c r="R35" i="3"/>
  <c r="U35" i="3"/>
  <c r="T35" i="3" s="1"/>
  <c r="V35" i="3"/>
  <c r="W35" i="3"/>
  <c r="X35" i="3"/>
  <c r="AC35" i="3"/>
  <c r="M10" i="3"/>
  <c r="S10" i="3"/>
  <c r="U10" i="3"/>
  <c r="T10" i="3" s="1"/>
  <c r="V10" i="3"/>
  <c r="W10" i="3"/>
  <c r="X10" i="3"/>
  <c r="AC10" i="3"/>
  <c r="M16" i="3"/>
  <c r="S16" i="3"/>
  <c r="U16" i="3"/>
  <c r="AD33" i="3" s="1"/>
  <c r="V16" i="3"/>
  <c r="W16" i="3"/>
  <c r="X16" i="3"/>
  <c r="AC16" i="3"/>
  <c r="M9" i="3"/>
  <c r="S9" i="3"/>
  <c r="U9" i="3"/>
  <c r="T9" i="3" s="1"/>
  <c r="V9" i="3"/>
  <c r="W9" i="3"/>
  <c r="X9" i="3"/>
  <c r="AC9" i="3"/>
  <c r="M21" i="3"/>
  <c r="R21" i="3"/>
  <c r="U21" i="3"/>
  <c r="T21" i="3" s="1"/>
  <c r="V21" i="3"/>
  <c r="W21" i="3"/>
  <c r="X21" i="3"/>
  <c r="AC21" i="3"/>
  <c r="M40" i="3"/>
  <c r="R40" i="3"/>
  <c r="U40" i="3"/>
  <c r="T40" i="3" s="1"/>
  <c r="V40" i="3"/>
  <c r="W40" i="3"/>
  <c r="X40" i="3"/>
  <c r="AC40" i="3"/>
  <c r="M30" i="3"/>
  <c r="U30" i="3"/>
  <c r="V30" i="3"/>
  <c r="W30" i="3"/>
  <c r="X30" i="3"/>
  <c r="AC30" i="3"/>
  <c r="M31" i="3"/>
  <c r="U31" i="3"/>
  <c r="T31" i="3" s="1"/>
  <c r="V31" i="3"/>
  <c r="W31" i="3"/>
  <c r="X31" i="3"/>
  <c r="AC31" i="3"/>
  <c r="AD38" i="3"/>
  <c r="M25" i="3"/>
  <c r="S25" i="3"/>
  <c r="U25" i="3"/>
  <c r="T25" i="3" s="1"/>
  <c r="V25" i="3"/>
  <c r="W25" i="3"/>
  <c r="X25" i="3"/>
  <c r="AC25" i="3"/>
  <c r="M26" i="3"/>
  <c r="R26" i="3"/>
  <c r="U26" i="3"/>
  <c r="T26" i="3" s="1"/>
  <c r="V26" i="3"/>
  <c r="W26" i="3"/>
  <c r="X26" i="3"/>
  <c r="AC26" i="3"/>
  <c r="M28" i="5"/>
  <c r="M37" i="3"/>
  <c r="S37" i="3"/>
  <c r="U37" i="3"/>
  <c r="T37" i="3" s="1"/>
  <c r="V37" i="3"/>
  <c r="W37" i="3"/>
  <c r="X37" i="3"/>
  <c r="AC37" i="3"/>
  <c r="AD35" i="3" l="1"/>
  <c r="AD39" i="3"/>
  <c r="S31" i="3"/>
  <c r="Y10" i="3"/>
  <c r="Y38" i="3"/>
  <c r="T168" i="1"/>
  <c r="T126" i="1"/>
  <c r="AA79" i="1"/>
  <c r="W79" i="1" s="1"/>
  <c r="AA59" i="1"/>
  <c r="AI49" i="1"/>
  <c r="AI45" i="1"/>
  <c r="AG105" i="1"/>
  <c r="X140" i="1"/>
  <c r="Y39" i="3"/>
  <c r="AA226" i="1"/>
  <c r="AA212" i="1"/>
  <c r="AG151" i="1"/>
  <c r="U151" i="1" s="1"/>
  <c r="S151" i="1" s="1"/>
  <c r="AA116" i="1"/>
  <c r="AA106" i="1"/>
  <c r="AA94" i="1"/>
  <c r="X40" i="1"/>
  <c r="X139" i="1"/>
  <c r="Y25" i="3"/>
  <c r="AD36" i="3"/>
  <c r="Y21" i="3"/>
  <c r="Y36" i="3"/>
  <c r="Y14" i="3"/>
  <c r="Y23" i="3"/>
  <c r="AA219" i="1"/>
  <c r="AI194" i="1"/>
  <c r="AA190" i="1"/>
  <c r="T174" i="1"/>
  <c r="U174" i="1" s="1"/>
  <c r="S174" i="1" s="1"/>
  <c r="AA225" i="1"/>
  <c r="W225" i="1" s="1"/>
  <c r="T121" i="1"/>
  <c r="U121" i="1" s="1"/>
  <c r="S121" i="1" s="1"/>
  <c r="T105" i="1"/>
  <c r="AA102" i="1"/>
  <c r="AA96" i="1"/>
  <c r="AA87" i="1"/>
  <c r="AG71" i="1"/>
  <c r="AI71" i="1" s="1"/>
  <c r="AI63" i="1"/>
  <c r="AG36" i="1"/>
  <c r="AI36" i="1" s="1"/>
  <c r="AA15" i="1"/>
  <c r="X100" i="1"/>
  <c r="Y26" i="3"/>
  <c r="AD23" i="3"/>
  <c r="AA180" i="1"/>
  <c r="AA179" i="1"/>
  <c r="AA174" i="1"/>
  <c r="AI206" i="1"/>
  <c r="AA150" i="1"/>
  <c r="AA149" i="1"/>
  <c r="W149" i="1" s="1"/>
  <c r="AA144" i="1"/>
  <c r="AA141" i="1"/>
  <c r="AA126" i="1"/>
  <c r="W126" i="1" s="1"/>
  <c r="T114" i="1"/>
  <c r="AA105" i="1"/>
  <c r="AI102" i="1"/>
  <c r="AA75" i="1"/>
  <c r="W75" i="1" s="1"/>
  <c r="AA73" i="1"/>
  <c r="AA72" i="1"/>
  <c r="AA38" i="1"/>
  <c r="AC13" i="3"/>
  <c r="AD14" i="3"/>
  <c r="AA204" i="1"/>
  <c r="AA203" i="1"/>
  <c r="AA199" i="1"/>
  <c r="W199" i="1" s="1"/>
  <c r="T160" i="1"/>
  <c r="AA210" i="1"/>
  <c r="AA209" i="1"/>
  <c r="AA208" i="1"/>
  <c r="W208" i="1" s="1"/>
  <c r="AI115" i="1"/>
  <c r="AA114" i="1"/>
  <c r="W114" i="1" s="1"/>
  <c r="AA108" i="1"/>
  <c r="AA91" i="1"/>
  <c r="W91" i="1" s="1"/>
  <c r="P32" i="1"/>
  <c r="X98" i="1"/>
  <c r="X101" i="1"/>
  <c r="AD29" i="3"/>
  <c r="AD34" i="3"/>
  <c r="AA201" i="1"/>
  <c r="AA191" i="1"/>
  <c r="AA177" i="1"/>
  <c r="AG147" i="1"/>
  <c r="X125" i="1"/>
  <c r="AG120" i="1"/>
  <c r="U120" i="1" s="1"/>
  <c r="S120" i="1" s="1"/>
  <c r="AA115" i="1"/>
  <c r="W115" i="1" s="1"/>
  <c r="AG101" i="1"/>
  <c r="AG98" i="1"/>
  <c r="U98" i="1" s="1"/>
  <c r="S98" i="1" s="1"/>
  <c r="AA76" i="1"/>
  <c r="AG74" i="1"/>
  <c r="AI74" i="1" s="1"/>
  <c r="X74" i="1"/>
  <c r="AG30" i="1"/>
  <c r="AG14" i="1"/>
  <c r="U14" i="1" s="1"/>
  <c r="S14" i="1" s="1"/>
  <c r="Y40" i="3"/>
  <c r="Y35" i="3"/>
  <c r="AC39" i="3"/>
  <c r="S13" i="3"/>
  <c r="AD40" i="3"/>
  <c r="Y33" i="3"/>
  <c r="AD24" i="3"/>
  <c r="AD17" i="3"/>
  <c r="AA232" i="1"/>
  <c r="W232" i="1" s="1"/>
  <c r="AA231" i="1"/>
  <c r="AG205" i="1"/>
  <c r="AI205" i="1" s="1"/>
  <c r="AI198" i="1"/>
  <c r="AA196" i="1"/>
  <c r="AA187" i="1"/>
  <c r="AG181" i="1"/>
  <c r="U181" i="1" s="1"/>
  <c r="S181" i="1" s="1"/>
  <c r="AA175" i="1"/>
  <c r="AA168" i="1"/>
  <c r="AG225" i="1"/>
  <c r="U225" i="1" s="1"/>
  <c r="S225" i="1" s="1"/>
  <c r="X225" i="1"/>
  <c r="AA224" i="1"/>
  <c r="AA217" i="1"/>
  <c r="AA216" i="1"/>
  <c r="AG210" i="1"/>
  <c r="AI210" i="1" s="1"/>
  <c r="X208" i="1"/>
  <c r="X207" i="1"/>
  <c r="AA158" i="1"/>
  <c r="AA157" i="1"/>
  <c r="W157" i="1" s="1"/>
  <c r="AA156" i="1"/>
  <c r="W156" i="1" s="1"/>
  <c r="T156" i="1"/>
  <c r="AG145" i="1"/>
  <c r="AI145" i="1" s="1"/>
  <c r="AA139" i="1"/>
  <c r="AG132" i="1"/>
  <c r="AI132" i="1" s="1"/>
  <c r="AA128" i="1"/>
  <c r="AG110" i="1"/>
  <c r="AI110" i="1" s="1"/>
  <c r="AG93" i="1"/>
  <c r="U93" i="1" s="1"/>
  <c r="S93" i="1" s="1"/>
  <c r="AI91" i="1"/>
  <c r="AG87" i="1"/>
  <c r="AI87" i="1" s="1"/>
  <c r="W71" i="1"/>
  <c r="AA56" i="1"/>
  <c r="AA55" i="1"/>
  <c r="W55" i="1" s="1"/>
  <c r="AA53" i="1"/>
  <c r="AA50" i="1"/>
  <c r="AA45" i="1"/>
  <c r="W45" i="1" s="1"/>
  <c r="AA44" i="1"/>
  <c r="W44" i="1" s="1"/>
  <c r="X43" i="1"/>
  <c r="AA41" i="1"/>
  <c r="AA40" i="1"/>
  <c r="AG38" i="1"/>
  <c r="U38" i="1" s="1"/>
  <c r="AA36" i="1"/>
  <c r="AA34" i="1"/>
  <c r="W34" i="1" s="1"/>
  <c r="AG27" i="1"/>
  <c r="X27" i="1"/>
  <c r="AG16" i="1"/>
  <c r="X15" i="1"/>
  <c r="AD37" i="3"/>
  <c r="AD27" i="3"/>
  <c r="T190" i="1"/>
  <c r="AA183" i="1"/>
  <c r="X174" i="1"/>
  <c r="X148" i="1"/>
  <c r="AA134" i="1"/>
  <c r="U126" i="1"/>
  <c r="S126" i="1" s="1"/>
  <c r="AA125" i="1"/>
  <c r="T125" i="1"/>
  <c r="U125" i="1" s="1"/>
  <c r="S125" i="1" s="1"/>
  <c r="AA119" i="1"/>
  <c r="AA118" i="1"/>
  <c r="T115" i="1"/>
  <c r="U115" i="1" s="1"/>
  <c r="S115" i="1" s="1"/>
  <c r="T109" i="1"/>
  <c r="U109" i="1" s="1"/>
  <c r="S109" i="1" s="1"/>
  <c r="X105" i="1"/>
  <c r="X102" i="1"/>
  <c r="W102" i="1"/>
  <c r="AA101" i="1"/>
  <c r="W101" i="1" s="1"/>
  <c r="X75" i="1"/>
  <c r="AG59" i="1"/>
  <c r="AI59" i="1" s="1"/>
  <c r="X31" i="1"/>
  <c r="AA29" i="1"/>
  <c r="AA28" i="1"/>
  <c r="X32" i="1"/>
  <c r="AA221" i="1"/>
  <c r="AG219" i="1"/>
  <c r="W219" i="1" s="1"/>
  <c r="T199" i="1"/>
  <c r="U199" i="1" s="1"/>
  <c r="S199" i="1" s="1"/>
  <c r="X198" i="1"/>
  <c r="AA193" i="1"/>
  <c r="AG191" i="1"/>
  <c r="U191" i="1" s="1"/>
  <c r="S191" i="1" s="1"/>
  <c r="AI190" i="1"/>
  <c r="AG189" i="1"/>
  <c r="AI186" i="1"/>
  <c r="AG183" i="1"/>
  <c r="U183" i="1" s="1"/>
  <c r="S183" i="1" s="1"/>
  <c r="AA182" i="1"/>
  <c r="W182" i="1" s="1"/>
  <c r="T182" i="1"/>
  <c r="AI178" i="1"/>
  <c r="AG175" i="1"/>
  <c r="U175" i="1" s="1"/>
  <c r="S175" i="1" s="1"/>
  <c r="AG173" i="1"/>
  <c r="AI173" i="1" s="1"/>
  <c r="AA169" i="1"/>
  <c r="AG167" i="1"/>
  <c r="AI167" i="1" s="1"/>
  <c r="AA163" i="1"/>
  <c r="AA162" i="1"/>
  <c r="AA161" i="1"/>
  <c r="W161" i="1" s="1"/>
  <c r="AG159" i="1"/>
  <c r="U159" i="1" s="1"/>
  <c r="S159" i="1" s="1"/>
  <c r="AA228" i="1"/>
  <c r="AA227" i="1"/>
  <c r="W227" i="1" s="1"/>
  <c r="AG214" i="1"/>
  <c r="AG155" i="1"/>
  <c r="X152" i="1"/>
  <c r="AA147" i="1"/>
  <c r="W147" i="1" s="1"/>
  <c r="T144" i="1"/>
  <c r="AG141" i="1"/>
  <c r="AI141" i="1" s="1"/>
  <c r="AA136" i="1"/>
  <c r="AG134" i="1"/>
  <c r="AI134" i="1" s="1"/>
  <c r="AA133" i="1"/>
  <c r="T133" i="1"/>
  <c r="AG124" i="1"/>
  <c r="AI124" i="1" s="1"/>
  <c r="AG106" i="1"/>
  <c r="AI106" i="1" s="1"/>
  <c r="T58" i="1"/>
  <c r="U58" i="1" s="1"/>
  <c r="S58" i="1" s="1"/>
  <c r="X51" i="1"/>
  <c r="X45" i="1"/>
  <c r="AG44" i="1"/>
  <c r="AI44" i="1" s="1"/>
  <c r="AG26" i="1"/>
  <c r="AG23" i="1"/>
  <c r="U23" i="1" s="1"/>
  <c r="S23" i="1" s="1"/>
  <c r="AG20" i="1"/>
  <c r="AI20" i="1" s="1"/>
  <c r="X190" i="1"/>
  <c r="AI161" i="1"/>
  <c r="W224" i="1"/>
  <c r="AA95" i="1"/>
  <c r="W95" i="1" s="1"/>
  <c r="AA85" i="1"/>
  <c r="AA84" i="1"/>
  <c r="AA83" i="1"/>
  <c r="AA80" i="1"/>
  <c r="X79" i="1"/>
  <c r="T78" i="1"/>
  <c r="X71" i="1"/>
  <c r="AA68" i="1"/>
  <c r="AA67" i="1"/>
  <c r="X63" i="1"/>
  <c r="AA63" i="1"/>
  <c r="W63" i="1" s="1"/>
  <c r="X59" i="1"/>
  <c r="AA58" i="1"/>
  <c r="AA33" i="1"/>
  <c r="AA32" i="1"/>
  <c r="W32" i="1" s="1"/>
  <c r="AA218" i="1"/>
  <c r="AA198" i="1"/>
  <c r="W198" i="1" s="1"/>
  <c r="T198" i="1"/>
  <c r="U198" i="1" s="1"/>
  <c r="S198" i="1" s="1"/>
  <c r="AA195" i="1"/>
  <c r="AA188" i="1"/>
  <c r="X182" i="1"/>
  <c r="AA172" i="1"/>
  <c r="AA171" i="1"/>
  <c r="W171" i="1" s="1"/>
  <c r="AA166" i="1"/>
  <c r="AA165" i="1"/>
  <c r="AG162" i="1"/>
  <c r="U162" i="1" s="1"/>
  <c r="S162" i="1" s="1"/>
  <c r="X162" i="1"/>
  <c r="AG229" i="1"/>
  <c r="X227" i="1"/>
  <c r="AG212" i="1"/>
  <c r="W212" i="1" s="1"/>
  <c r="AA154" i="1"/>
  <c r="AA153" i="1"/>
  <c r="AA152" i="1"/>
  <c r="W152" i="1" s="1"/>
  <c r="T152" i="1"/>
  <c r="U152" i="1" s="1"/>
  <c r="S152" i="1" s="1"/>
  <c r="AA145" i="1"/>
  <c r="W145" i="1" s="1"/>
  <c r="X133" i="1"/>
  <c r="AA123" i="1"/>
  <c r="AA122" i="1"/>
  <c r="AA121" i="1"/>
  <c r="W121" i="1" s="1"/>
  <c r="AA110" i="1"/>
  <c r="AA109" i="1"/>
  <c r="W109" i="1" s="1"/>
  <c r="AA92" i="1"/>
  <c r="AA89" i="1"/>
  <c r="W89" i="1" s="1"/>
  <c r="AA88" i="1"/>
  <c r="AG86" i="1"/>
  <c r="AI86" i="1" s="1"/>
  <c r="X86" i="1"/>
  <c r="AA52" i="1"/>
  <c r="AA51" i="1"/>
  <c r="W51" i="1" s="1"/>
  <c r="AA48" i="1"/>
  <c r="AA26" i="1"/>
  <c r="W26" i="1" s="1"/>
  <c r="AA25" i="1"/>
  <c r="AA23" i="1"/>
  <c r="T221" i="1"/>
  <c r="W87" i="1"/>
  <c r="AG78" i="1"/>
  <c r="AG70" i="1"/>
  <c r="U70" i="1" s="1"/>
  <c r="S70" i="1" s="1"/>
  <c r="AA64" i="1"/>
  <c r="AG62" i="1"/>
  <c r="U62" i="1" s="1"/>
  <c r="S62" i="1" s="1"/>
  <c r="AI55" i="1"/>
  <c r="AA20" i="1"/>
  <c r="T232" i="1"/>
  <c r="U232" i="1" s="1"/>
  <c r="S232" i="1" s="1"/>
  <c r="AI157" i="1"/>
  <c r="AI130" i="1"/>
  <c r="AG220" i="1"/>
  <c r="U220" i="1" s="1"/>
  <c r="S220" i="1" s="1"/>
  <c r="X220" i="1"/>
  <c r="AG203" i="1"/>
  <c r="W203" i="1" s="1"/>
  <c r="T203" i="1"/>
  <c r="AG202" i="1"/>
  <c r="AI202" i="1" s="1"/>
  <c r="T202" i="1"/>
  <c r="X202" i="1"/>
  <c r="AG221" i="1"/>
  <c r="X232" i="1"/>
  <c r="T201" i="1"/>
  <c r="AG201" i="1"/>
  <c r="W201" i="1" s="1"/>
  <c r="W153" i="1"/>
  <c r="AI149" i="1"/>
  <c r="AG223" i="1"/>
  <c r="AA223" i="1"/>
  <c r="AA222" i="1"/>
  <c r="X231" i="1"/>
  <c r="AG231" i="1"/>
  <c r="U231" i="1" s="1"/>
  <c r="W187" i="1"/>
  <c r="AI153" i="1"/>
  <c r="W130" i="1"/>
  <c r="T216" i="1"/>
  <c r="T157" i="1"/>
  <c r="U157" i="1" s="1"/>
  <c r="S157" i="1" s="1"/>
  <c r="T149" i="1"/>
  <c r="U149" i="1" s="1"/>
  <c r="S149" i="1" s="1"/>
  <c r="AA142" i="1"/>
  <c r="AG139" i="1"/>
  <c r="U139" i="1" s="1"/>
  <c r="S139" i="1" s="1"/>
  <c r="AA137" i="1"/>
  <c r="W137" i="1" s="1"/>
  <c r="T137" i="1"/>
  <c r="U137" i="1" s="1"/>
  <c r="S137" i="1" s="1"/>
  <c r="AA135" i="1"/>
  <c r="T130" i="1"/>
  <c r="U130" i="1" s="1"/>
  <c r="S130" i="1" s="1"/>
  <c r="X129" i="1"/>
  <c r="AG128" i="1"/>
  <c r="W128" i="1" s="1"/>
  <c r="AA124" i="1"/>
  <c r="AG122" i="1"/>
  <c r="AI122" i="1" s="1"/>
  <c r="AA120" i="1"/>
  <c r="AI40" i="1"/>
  <c r="AI24" i="1"/>
  <c r="AA220" i="1"/>
  <c r="AA197" i="1"/>
  <c r="W197" i="1" s="1"/>
  <c r="AG195" i="1"/>
  <c r="U195" i="1" s="1"/>
  <c r="S195" i="1" s="1"/>
  <c r="AA194" i="1"/>
  <c r="W194" i="1" s="1"/>
  <c r="T194" i="1"/>
  <c r="AA192" i="1"/>
  <c r="T187" i="1"/>
  <c r="U187" i="1" s="1"/>
  <c r="S187" i="1" s="1"/>
  <c r="X186" i="1"/>
  <c r="AG185" i="1"/>
  <c r="W185" i="1" s="1"/>
  <c r="AA181" i="1"/>
  <c r="AG179" i="1"/>
  <c r="U179" i="1" s="1"/>
  <c r="S179" i="1" s="1"/>
  <c r="AA178" i="1"/>
  <c r="W178" i="1" s="1"/>
  <c r="T178" i="1"/>
  <c r="AA176" i="1"/>
  <c r="T171" i="1"/>
  <c r="U171" i="1" s="1"/>
  <c r="S171" i="1" s="1"/>
  <c r="AG169" i="1"/>
  <c r="W169" i="1" s="1"/>
  <c r="AA167" i="1"/>
  <c r="AG165" i="1"/>
  <c r="AA164" i="1"/>
  <c r="W164" i="1" s="1"/>
  <c r="T164" i="1"/>
  <c r="AA159" i="1"/>
  <c r="AG226" i="1"/>
  <c r="X226" i="1"/>
  <c r="AG216" i="1"/>
  <c r="AG215" i="1"/>
  <c r="U215" i="1" s="1"/>
  <c r="S215" i="1" s="1"/>
  <c r="X215" i="1"/>
  <c r="X212" i="1"/>
  <c r="AG211" i="1"/>
  <c r="X211" i="1"/>
  <c r="AA207" i="1"/>
  <c r="T207" i="1"/>
  <c r="U206" i="1"/>
  <c r="AA151" i="1"/>
  <c r="W151" i="1" s="1"/>
  <c r="AA143" i="1"/>
  <c r="U134" i="1"/>
  <c r="S134" i="1" s="1"/>
  <c r="AI126" i="1"/>
  <c r="X121" i="1"/>
  <c r="W67" i="1"/>
  <c r="T208" i="1"/>
  <c r="U208" i="1" s="1"/>
  <c r="S208" i="1" s="1"/>
  <c r="T153" i="1"/>
  <c r="U153" i="1" s="1"/>
  <c r="S153" i="1" s="1"/>
  <c r="AA148" i="1"/>
  <c r="T148" i="1"/>
  <c r="AA146" i="1"/>
  <c r="X144" i="1"/>
  <c r="AG143" i="1"/>
  <c r="U143" i="1" s="1"/>
  <c r="S143" i="1" s="1"/>
  <c r="AA140" i="1"/>
  <c r="T140" i="1"/>
  <c r="U140" i="1" s="1"/>
  <c r="S140" i="1" s="1"/>
  <c r="AA138" i="1"/>
  <c r="AG136" i="1"/>
  <c r="U136" i="1" s="1"/>
  <c r="S136" i="1" s="1"/>
  <c r="AA132" i="1"/>
  <c r="AA129" i="1"/>
  <c r="W129" i="1" s="1"/>
  <c r="T129" i="1"/>
  <c r="U129" i="1" s="1"/>
  <c r="S129" i="1" s="1"/>
  <c r="AA127" i="1"/>
  <c r="AG118" i="1"/>
  <c r="AG117" i="1"/>
  <c r="AI117" i="1" s="1"/>
  <c r="X117" i="1"/>
  <c r="T117" i="1"/>
  <c r="U114" i="1"/>
  <c r="S114" i="1" s="1"/>
  <c r="AI114" i="1"/>
  <c r="AI67" i="1"/>
  <c r="AI32" i="1"/>
  <c r="AA205" i="1"/>
  <c r="W205" i="1" s="1"/>
  <c r="AA202" i="1"/>
  <c r="AA200" i="1"/>
  <c r="X194" i="1"/>
  <c r="AG193" i="1"/>
  <c r="W193" i="1" s="1"/>
  <c r="AA189" i="1"/>
  <c r="W189" i="1" s="1"/>
  <c r="AA186" i="1"/>
  <c r="W186" i="1" s="1"/>
  <c r="T186" i="1"/>
  <c r="U186" i="1" s="1"/>
  <c r="S186" i="1" s="1"/>
  <c r="AA184" i="1"/>
  <c r="X178" i="1"/>
  <c r="AG177" i="1"/>
  <c r="AI177" i="1" s="1"/>
  <c r="AA173" i="1"/>
  <c r="AA170" i="1"/>
  <c r="W170" i="1" s="1"/>
  <c r="T170" i="1"/>
  <c r="U170" i="1" s="1"/>
  <c r="S170" i="1" s="1"/>
  <c r="AA230" i="1"/>
  <c r="X164" i="1"/>
  <c r="AG163" i="1"/>
  <c r="AA215" i="1"/>
  <c r="AA213" i="1"/>
  <c r="AA211" i="1"/>
  <c r="AG207" i="1"/>
  <c r="U207" i="1" s="1"/>
  <c r="S207" i="1" s="1"/>
  <c r="U155" i="1"/>
  <c r="AA155" i="1"/>
  <c r="U147" i="1"/>
  <c r="W139" i="1"/>
  <c r="AI79" i="1"/>
  <c r="AI75" i="1"/>
  <c r="AI51" i="1"/>
  <c r="W40" i="1"/>
  <c r="U106" i="1"/>
  <c r="S106" i="1" s="1"/>
  <c r="X84" i="1"/>
  <c r="AG83" i="1"/>
  <c r="T79" i="1"/>
  <c r="U79" i="1" s="1"/>
  <c r="S79" i="1" s="1"/>
  <c r="T75" i="1"/>
  <c r="U75" i="1" s="1"/>
  <c r="S75" i="1" s="1"/>
  <c r="X67" i="1"/>
  <c r="U59" i="1"/>
  <c r="S59" i="1" s="1"/>
  <c r="AA57" i="1"/>
  <c r="X55" i="1"/>
  <c r="T54" i="1"/>
  <c r="U54" i="1" s="1"/>
  <c r="S54" i="1" s="1"/>
  <c r="T51" i="1"/>
  <c r="U51" i="1" s="1"/>
  <c r="S51" i="1" s="1"/>
  <c r="T40" i="1"/>
  <c r="U40" i="1" s="1"/>
  <c r="S40" i="1" s="1"/>
  <c r="T28" i="1"/>
  <c r="AA22" i="1"/>
  <c r="AA17" i="1"/>
  <c r="AG15" i="1"/>
  <c r="W15" i="1" s="1"/>
  <c r="AA117" i="1"/>
  <c r="W117" i="1" s="1"/>
  <c r="T110" i="1"/>
  <c r="AA103" i="1"/>
  <c r="T102" i="1"/>
  <c r="U102" i="1" s="1"/>
  <c r="S102" i="1" s="1"/>
  <c r="AG100" i="1"/>
  <c r="U100" i="1" s="1"/>
  <c r="S100" i="1" s="1"/>
  <c r="AA97" i="1"/>
  <c r="T95" i="1"/>
  <c r="U95" i="1" s="1"/>
  <c r="S95" i="1" s="1"/>
  <c r="T94" i="1"/>
  <c r="X83" i="1"/>
  <c r="AG82" i="1"/>
  <c r="U82" i="1" s="1"/>
  <c r="S82" i="1" s="1"/>
  <c r="AA69" i="1"/>
  <c r="AA66" i="1"/>
  <c r="W66" i="1" s="1"/>
  <c r="T66" i="1"/>
  <c r="U66" i="1" s="1"/>
  <c r="S66" i="1" s="1"/>
  <c r="T63" i="1"/>
  <c r="AA61" i="1"/>
  <c r="AA49" i="1"/>
  <c r="W49" i="1" s="1"/>
  <c r="T49" i="1"/>
  <c r="U49" i="1" s="1"/>
  <c r="S49" i="1" s="1"/>
  <c r="AA47" i="1"/>
  <c r="AA46" i="1"/>
  <c r="AG39" i="1"/>
  <c r="X39" i="1"/>
  <c r="X36" i="1"/>
  <c r="AG35" i="1"/>
  <c r="U35" i="1" s="1"/>
  <c r="S35" i="1" s="1"/>
  <c r="X35" i="1"/>
  <c r="AA31" i="1"/>
  <c r="T31" i="1"/>
  <c r="AG28" i="1"/>
  <c r="W24" i="1"/>
  <c r="AA21" i="1"/>
  <c r="T20" i="1"/>
  <c r="AA19" i="1"/>
  <c r="T19" i="1"/>
  <c r="AA14" i="1"/>
  <c r="W105" i="1"/>
  <c r="T67" i="1"/>
  <c r="U67" i="1" s="1"/>
  <c r="S67" i="1" s="1"/>
  <c r="T55" i="1"/>
  <c r="U55" i="1" s="1"/>
  <c r="S55" i="1" s="1"/>
  <c r="T48" i="1"/>
  <c r="U44" i="1"/>
  <c r="S44" i="1" s="1"/>
  <c r="T32" i="1"/>
  <c r="U32" i="1" s="1"/>
  <c r="T24" i="1"/>
  <c r="U24" i="1" s="1"/>
  <c r="S24" i="1" s="1"/>
  <c r="AG22" i="1"/>
  <c r="U22" i="1" s="1"/>
  <c r="S22" i="1" s="1"/>
  <c r="AA112" i="1"/>
  <c r="AA107" i="1"/>
  <c r="AG104" i="1"/>
  <c r="AA100" i="1"/>
  <c r="AA99" i="1"/>
  <c r="AA98" i="1"/>
  <c r="W98" i="1" s="1"/>
  <c r="AG97" i="1"/>
  <c r="U97" i="1" s="1"/>
  <c r="S97" i="1" s="1"/>
  <c r="X95" i="1"/>
  <c r="AG94" i="1"/>
  <c r="U94" i="1" s="1"/>
  <c r="T91" i="1"/>
  <c r="U91" i="1" s="1"/>
  <c r="S91" i="1" s="1"/>
  <c r="U87" i="1"/>
  <c r="S87" i="1" s="1"/>
  <c r="AA74" i="1"/>
  <c r="AA70" i="1"/>
  <c r="W70" i="1" s="1"/>
  <c r="AA65" i="1"/>
  <c r="X49" i="1"/>
  <c r="AG48" i="1"/>
  <c r="AG47" i="1"/>
  <c r="U47" i="1" s="1"/>
  <c r="S47" i="1" s="1"/>
  <c r="T45" i="1"/>
  <c r="U45" i="1" s="1"/>
  <c r="S45" i="1" s="1"/>
  <c r="X44" i="1"/>
  <c r="AA43" i="1"/>
  <c r="AA39" i="1"/>
  <c r="AA37" i="1"/>
  <c r="AA35" i="1"/>
  <c r="W35" i="1" s="1"/>
  <c r="AG31" i="1"/>
  <c r="AA27" i="1"/>
  <c r="W27" i="1" s="1"/>
  <c r="X23" i="1"/>
  <c r="AG19" i="1"/>
  <c r="AI19" i="1" s="1"/>
  <c r="AI193" i="1"/>
  <c r="U223" i="1"/>
  <c r="AI221" i="1"/>
  <c r="AI189" i="1"/>
  <c r="W168" i="1"/>
  <c r="U229" i="1"/>
  <c r="S229" i="1" s="1"/>
  <c r="U182" i="1"/>
  <c r="S182" i="1" s="1"/>
  <c r="AI201" i="1"/>
  <c r="U168" i="1"/>
  <c r="S168" i="1" s="1"/>
  <c r="AI185" i="1"/>
  <c r="U190" i="1"/>
  <c r="S190" i="1" s="1"/>
  <c r="U194" i="1"/>
  <c r="S194" i="1" s="1"/>
  <c r="W190" i="1"/>
  <c r="U178" i="1"/>
  <c r="S178" i="1" s="1"/>
  <c r="AI197" i="1"/>
  <c r="W174" i="1"/>
  <c r="U164" i="1"/>
  <c r="S164" i="1" s="1"/>
  <c r="U197" i="1"/>
  <c r="S197" i="1" s="1"/>
  <c r="U185" i="1"/>
  <c r="S185" i="1" s="1"/>
  <c r="T228" i="1"/>
  <c r="X228" i="1"/>
  <c r="T209" i="1"/>
  <c r="X209" i="1"/>
  <c r="AG209" i="1"/>
  <c r="AI209" i="1" s="1"/>
  <c r="U156" i="1"/>
  <c r="S156" i="1" s="1"/>
  <c r="AI156" i="1"/>
  <c r="AI152" i="1"/>
  <c r="U148" i="1"/>
  <c r="S148" i="1" s="1"/>
  <c r="AI148" i="1"/>
  <c r="U144" i="1"/>
  <c r="AI144" i="1"/>
  <c r="AI140" i="1"/>
  <c r="AI137" i="1"/>
  <c r="U133" i="1"/>
  <c r="S133" i="1" s="1"/>
  <c r="AI133" i="1"/>
  <c r="AI129" i="1"/>
  <c r="AI125" i="1"/>
  <c r="AI120" i="1"/>
  <c r="T119" i="1"/>
  <c r="X119" i="1"/>
  <c r="AG119" i="1"/>
  <c r="W119" i="1" s="1"/>
  <c r="AI93" i="1"/>
  <c r="R31" i="3"/>
  <c r="X223" i="1"/>
  <c r="AG222" i="1"/>
  <c r="AI222" i="1" s="1"/>
  <c r="AI229" i="1"/>
  <c r="X219" i="1"/>
  <c r="AG218" i="1"/>
  <c r="AI218" i="1" s="1"/>
  <c r="S231" i="1"/>
  <c r="X205" i="1"/>
  <c r="AG204" i="1"/>
  <c r="X201" i="1"/>
  <c r="AG200" i="1"/>
  <c r="AI200" i="1" s="1"/>
  <c r="X197" i="1"/>
  <c r="AG196" i="1"/>
  <c r="X193" i="1"/>
  <c r="AG192" i="1"/>
  <c r="AI192" i="1" s="1"/>
  <c r="X189" i="1"/>
  <c r="AG188" i="1"/>
  <c r="X185" i="1"/>
  <c r="AG184" i="1"/>
  <c r="AI184" i="1" s="1"/>
  <c r="X181" i="1"/>
  <c r="AG180" i="1"/>
  <c r="X177" i="1"/>
  <c r="AG176" i="1"/>
  <c r="AI176" i="1" s="1"/>
  <c r="X173" i="1"/>
  <c r="AG172" i="1"/>
  <c r="AG230" i="1"/>
  <c r="AI230" i="1" s="1"/>
  <c r="X167" i="1"/>
  <c r="AG166" i="1"/>
  <c r="W166" i="1" s="1"/>
  <c r="X163" i="1"/>
  <c r="T161" i="1"/>
  <c r="U161" i="1" s="1"/>
  <c r="S161" i="1" s="1"/>
  <c r="X161" i="1"/>
  <c r="X160" i="1"/>
  <c r="X159" i="1"/>
  <c r="AA229" i="1"/>
  <c r="W229" i="1" s="1"/>
  <c r="AG228" i="1"/>
  <c r="AI228" i="1" s="1"/>
  <c r="AI172" i="1"/>
  <c r="AA214" i="1"/>
  <c r="W214" i="1" s="1"/>
  <c r="U211" i="1"/>
  <c r="S211" i="1" s="1"/>
  <c r="S206" i="1"/>
  <c r="AI159" i="1"/>
  <c r="T158" i="1"/>
  <c r="X158" i="1"/>
  <c r="AG158" i="1"/>
  <c r="S155" i="1"/>
  <c r="AI155" i="1"/>
  <c r="T154" i="1"/>
  <c r="X154" i="1"/>
  <c r="AG154" i="1"/>
  <c r="AI151" i="1"/>
  <c r="T150" i="1"/>
  <c r="X150" i="1"/>
  <c r="AG150" i="1"/>
  <c r="S147" i="1"/>
  <c r="AI147" i="1"/>
  <c r="T146" i="1"/>
  <c r="X146" i="1"/>
  <c r="AG146" i="1"/>
  <c r="AI143" i="1"/>
  <c r="T142" i="1"/>
  <c r="X142" i="1"/>
  <c r="AG142" i="1"/>
  <c r="AI139" i="1"/>
  <c r="T138" i="1"/>
  <c r="AG138" i="1"/>
  <c r="W138" i="1" s="1"/>
  <c r="T135" i="1"/>
  <c r="X135" i="1"/>
  <c r="AG135" i="1"/>
  <c r="T131" i="1"/>
  <c r="X131" i="1"/>
  <c r="AG131" i="1"/>
  <c r="T127" i="1"/>
  <c r="X127" i="1"/>
  <c r="AG127" i="1"/>
  <c r="W127" i="1" s="1"/>
  <c r="T123" i="1"/>
  <c r="X123" i="1"/>
  <c r="AG123" i="1"/>
  <c r="U122" i="1"/>
  <c r="S122" i="1" s="1"/>
  <c r="T107" i="1"/>
  <c r="X107" i="1"/>
  <c r="AG107" i="1"/>
  <c r="T81" i="1"/>
  <c r="X81" i="1"/>
  <c r="AG81" i="1"/>
  <c r="X82" i="1"/>
  <c r="T65" i="1"/>
  <c r="X65" i="1"/>
  <c r="AG65" i="1"/>
  <c r="X66" i="1"/>
  <c r="U201" i="1"/>
  <c r="S201" i="1" s="1"/>
  <c r="U189" i="1"/>
  <c r="S189" i="1" s="1"/>
  <c r="U177" i="1"/>
  <c r="S177" i="1" s="1"/>
  <c r="U169" i="1"/>
  <c r="S169" i="1" s="1"/>
  <c r="U167" i="1"/>
  <c r="S167" i="1" s="1"/>
  <c r="AI232" i="1"/>
  <c r="S223" i="1"/>
  <c r="X222" i="1"/>
  <c r="X218" i="1"/>
  <c r="AI224" i="1"/>
  <c r="X204" i="1"/>
  <c r="X200" i="1"/>
  <c r="AI216" i="1"/>
  <c r="X196" i="1"/>
  <c r="AI212" i="1"/>
  <c r="X192" i="1"/>
  <c r="AI208" i="1"/>
  <c r="X188" i="1"/>
  <c r="AI204" i="1"/>
  <c r="X184" i="1"/>
  <c r="X180" i="1"/>
  <c r="AI196" i="1"/>
  <c r="X176" i="1"/>
  <c r="X172" i="1"/>
  <c r="AI188" i="1"/>
  <c r="X230" i="1"/>
  <c r="X166" i="1"/>
  <c r="AI180" i="1"/>
  <c r="AI171" i="1"/>
  <c r="AI170" i="1"/>
  <c r="T217" i="1"/>
  <c r="X217" i="1"/>
  <c r="AG217" i="1"/>
  <c r="AI217" i="1" s="1"/>
  <c r="W210" i="1"/>
  <c r="W116" i="1"/>
  <c r="X114" i="1"/>
  <c r="X113" i="1"/>
  <c r="AG113" i="1"/>
  <c r="AG88" i="1"/>
  <c r="W88" i="1" s="1"/>
  <c r="X88" i="1"/>
  <c r="T88" i="1"/>
  <c r="X203" i="1"/>
  <c r="X199" i="1"/>
  <c r="X195" i="1"/>
  <c r="X191" i="1"/>
  <c r="X187" i="1"/>
  <c r="X183" i="1"/>
  <c r="X179" i="1"/>
  <c r="X175" i="1"/>
  <c r="X171" i="1"/>
  <c r="X165" i="1"/>
  <c r="U160" i="1"/>
  <c r="S160" i="1" s="1"/>
  <c r="X229" i="1"/>
  <c r="T227" i="1"/>
  <c r="U227" i="1" s="1"/>
  <c r="S227" i="1" s="1"/>
  <c r="U224" i="1"/>
  <c r="S224" i="1" s="1"/>
  <c r="T213" i="1"/>
  <c r="X213" i="1"/>
  <c r="AG213" i="1"/>
  <c r="AI213" i="1" s="1"/>
  <c r="AA206" i="1"/>
  <c r="W206" i="1" s="1"/>
  <c r="W148" i="1"/>
  <c r="W144" i="1"/>
  <c r="W140" i="1"/>
  <c r="W133" i="1"/>
  <c r="W125" i="1"/>
  <c r="AI121" i="1"/>
  <c r="AI116" i="1"/>
  <c r="T92" i="1"/>
  <c r="X92" i="1"/>
  <c r="AG92" i="1"/>
  <c r="T57" i="1"/>
  <c r="X57" i="1"/>
  <c r="AG57" i="1"/>
  <c r="X58" i="1"/>
  <c r="X224" i="1"/>
  <c r="AI168" i="1"/>
  <c r="X214" i="1"/>
  <c r="AI164" i="1"/>
  <c r="X210" i="1"/>
  <c r="AI160" i="1"/>
  <c r="X206" i="1"/>
  <c r="X155" i="1"/>
  <c r="X151" i="1"/>
  <c r="X147" i="1"/>
  <c r="X143" i="1"/>
  <c r="X136" i="1"/>
  <c r="X132" i="1"/>
  <c r="X128" i="1"/>
  <c r="X124" i="1"/>
  <c r="X120" i="1"/>
  <c r="T111" i="1"/>
  <c r="X111" i="1"/>
  <c r="AG111" i="1"/>
  <c r="T108" i="1"/>
  <c r="X108" i="1"/>
  <c r="AI104" i="1"/>
  <c r="T103" i="1"/>
  <c r="X103" i="1"/>
  <c r="AG103" i="1"/>
  <c r="AI77" i="1"/>
  <c r="AI42" i="1"/>
  <c r="T112" i="1"/>
  <c r="X112" i="1"/>
  <c r="AI109" i="1"/>
  <c r="X109" i="1"/>
  <c r="AG108" i="1"/>
  <c r="U105" i="1"/>
  <c r="U104" i="1"/>
  <c r="S104" i="1" s="1"/>
  <c r="T99" i="1"/>
  <c r="AG99" i="1"/>
  <c r="W99" i="1" s="1"/>
  <c r="AA93" i="1"/>
  <c r="W93" i="1" s="1"/>
  <c r="X91" i="1"/>
  <c r="X90" i="1"/>
  <c r="AG90" i="1"/>
  <c r="AI78" i="1"/>
  <c r="T68" i="1"/>
  <c r="X68" i="1"/>
  <c r="AG68" i="1"/>
  <c r="X157" i="1"/>
  <c r="X153" i="1"/>
  <c r="X149" i="1"/>
  <c r="X145" i="1"/>
  <c r="X141" i="1"/>
  <c r="X134" i="1"/>
  <c r="X130" i="1"/>
  <c r="X126" i="1"/>
  <c r="X122" i="1"/>
  <c r="X118" i="1"/>
  <c r="T116" i="1"/>
  <c r="U116" i="1" s="1"/>
  <c r="S116" i="1" s="1"/>
  <c r="X116" i="1"/>
  <c r="X115" i="1"/>
  <c r="AA113" i="1"/>
  <c r="AG112" i="1"/>
  <c r="AA104" i="1"/>
  <c r="W104" i="1" s="1"/>
  <c r="U101" i="1"/>
  <c r="S101" i="1" s="1"/>
  <c r="T96" i="1"/>
  <c r="X96" i="1"/>
  <c r="AG96" i="1"/>
  <c r="W96" i="1" s="1"/>
  <c r="U71" i="1"/>
  <c r="S71" i="1" s="1"/>
  <c r="AI105" i="1"/>
  <c r="S105" i="1"/>
  <c r="X104" i="1"/>
  <c r="AI101" i="1"/>
  <c r="AI98" i="1"/>
  <c r="X97" i="1"/>
  <c r="AI94" i="1"/>
  <c r="S94" i="1"/>
  <c r="X93" i="1"/>
  <c r="AI89" i="1"/>
  <c r="T85" i="1"/>
  <c r="X85" i="1"/>
  <c r="AI82" i="1"/>
  <c r="W73" i="1"/>
  <c r="T72" i="1"/>
  <c r="X72" i="1"/>
  <c r="AG72" i="1"/>
  <c r="T69" i="1"/>
  <c r="X69" i="1"/>
  <c r="U63" i="1"/>
  <c r="S63" i="1" s="1"/>
  <c r="W58" i="1"/>
  <c r="AI54" i="1"/>
  <c r="T46" i="1"/>
  <c r="X46" i="1"/>
  <c r="X47" i="1"/>
  <c r="AG46" i="1"/>
  <c r="T17" i="1"/>
  <c r="X17" i="1"/>
  <c r="AG17" i="1"/>
  <c r="T89" i="1"/>
  <c r="U89" i="1" s="1"/>
  <c r="S89" i="1" s="1"/>
  <c r="X89" i="1"/>
  <c r="X87" i="1"/>
  <c r="AA86" i="1"/>
  <c r="W86" i="1" s="1"/>
  <c r="AG85" i="1"/>
  <c r="W85" i="1" s="1"/>
  <c r="AA78" i="1"/>
  <c r="W78" i="1" s="1"/>
  <c r="AA77" i="1"/>
  <c r="W77" i="1" s="1"/>
  <c r="T76" i="1"/>
  <c r="X76" i="1"/>
  <c r="AG76" i="1"/>
  <c r="T73" i="1"/>
  <c r="U73" i="1" s="1"/>
  <c r="S73" i="1" s="1"/>
  <c r="X73" i="1"/>
  <c r="AI70" i="1"/>
  <c r="X70" i="1"/>
  <c r="AG69" i="1"/>
  <c r="T61" i="1"/>
  <c r="X61" i="1"/>
  <c r="AG61" i="1"/>
  <c r="X62" i="1"/>
  <c r="T53" i="1"/>
  <c r="X53" i="1"/>
  <c r="AG53" i="1"/>
  <c r="X54" i="1"/>
  <c r="AI48" i="1"/>
  <c r="T33" i="1"/>
  <c r="X33" i="1"/>
  <c r="AG33" i="1"/>
  <c r="AI18" i="1"/>
  <c r="U18" i="1"/>
  <c r="S18" i="1" s="1"/>
  <c r="AA90" i="1"/>
  <c r="W90" i="1" s="1"/>
  <c r="T84" i="1"/>
  <c r="AG84" i="1"/>
  <c r="AA82" i="1"/>
  <c r="W82" i="1" s="1"/>
  <c r="AA81" i="1"/>
  <c r="T80" i="1"/>
  <c r="X80" i="1"/>
  <c r="AG80" i="1"/>
  <c r="W80" i="1" s="1"/>
  <c r="T77" i="1"/>
  <c r="U77" i="1" s="1"/>
  <c r="S77" i="1" s="1"/>
  <c r="X77" i="1"/>
  <c r="AI73" i="1"/>
  <c r="AI66" i="1"/>
  <c r="AA62" i="1"/>
  <c r="AI58" i="1"/>
  <c r="AA54" i="1"/>
  <c r="W54" i="1" s="1"/>
  <c r="AI34" i="1"/>
  <c r="U34" i="1"/>
  <c r="S34" i="1" s="1"/>
  <c r="T50" i="1"/>
  <c r="X50" i="1"/>
  <c r="T43" i="1"/>
  <c r="AI30" i="1"/>
  <c r="T29" i="1"/>
  <c r="X29" i="1"/>
  <c r="AG29" i="1"/>
  <c r="AG64" i="1"/>
  <c r="AG60" i="1"/>
  <c r="W60" i="1" s="1"/>
  <c r="AG56" i="1"/>
  <c r="AG52" i="1"/>
  <c r="AG50" i="1"/>
  <c r="AG43" i="1"/>
  <c r="AA42" i="1"/>
  <c r="W42" i="1" s="1"/>
  <c r="T41" i="1"/>
  <c r="X41" i="1"/>
  <c r="AG41" i="1"/>
  <c r="U30" i="1"/>
  <c r="S30" i="1" s="1"/>
  <c r="AI26" i="1"/>
  <c r="T25" i="1"/>
  <c r="X25" i="1"/>
  <c r="AG25" i="1"/>
  <c r="W25" i="1" s="1"/>
  <c r="W18" i="1"/>
  <c r="X64" i="1"/>
  <c r="X60" i="1"/>
  <c r="X56" i="1"/>
  <c r="X52" i="1"/>
  <c r="T42" i="1"/>
  <c r="U42" i="1" s="1"/>
  <c r="S42" i="1" s="1"/>
  <c r="X42" i="1"/>
  <c r="S38" i="1"/>
  <c r="T37" i="1"/>
  <c r="X37" i="1"/>
  <c r="AG37" i="1"/>
  <c r="AA30" i="1"/>
  <c r="W30" i="1" s="1"/>
  <c r="U26" i="1"/>
  <c r="S26" i="1" s="1"/>
  <c r="T21" i="1"/>
  <c r="X21" i="1"/>
  <c r="AG21" i="1"/>
  <c r="U39" i="1"/>
  <c r="S39" i="1" s="1"/>
  <c r="U31" i="1"/>
  <c r="S31" i="1" s="1"/>
  <c r="U27" i="1"/>
  <c r="S27" i="1" s="1"/>
  <c r="X16" i="1"/>
  <c r="U15" i="1"/>
  <c r="S15" i="1" s="1"/>
  <c r="AI39" i="1"/>
  <c r="X38" i="1"/>
  <c r="X34" i="1"/>
  <c r="AI31" i="1"/>
  <c r="X30" i="1"/>
  <c r="AI27" i="1"/>
  <c r="X26" i="1"/>
  <c r="AI23" i="1"/>
  <c r="X22" i="1"/>
  <c r="X18" i="1"/>
  <c r="AI15" i="1"/>
  <c r="AD19" i="3"/>
  <c r="AD11" i="3"/>
  <c r="AD31" i="3"/>
  <c r="AD25" i="3"/>
  <c r="AD21" i="3"/>
  <c r="AD13" i="3"/>
  <c r="AD9" i="3"/>
  <c r="AD32" i="3"/>
  <c r="AD28" i="3"/>
  <c r="Y8" i="3"/>
  <c r="Y19" i="3"/>
  <c r="AD20" i="3"/>
  <c r="Y32" i="3"/>
  <c r="AD16" i="3"/>
  <c r="Y13" i="3"/>
  <c r="AD12" i="3"/>
  <c r="Y27" i="3"/>
  <c r="AD8" i="3"/>
  <c r="AD30" i="3"/>
  <c r="AD26" i="3"/>
  <c r="Y28" i="3"/>
  <c r="AD10" i="3"/>
  <c r="T7" i="3"/>
  <c r="Y20" i="3"/>
  <c r="T15" i="3"/>
  <c r="Y17" i="3"/>
  <c r="T29" i="3"/>
  <c r="Y18" i="3"/>
  <c r="T12" i="3"/>
  <c r="Y24" i="3"/>
  <c r="T22" i="3"/>
  <c r="T30" i="3"/>
  <c r="T16" i="3"/>
  <c r="T34" i="3"/>
  <c r="Y30" i="3"/>
  <c r="Y16" i="3"/>
  <c r="Y34" i="3"/>
  <c r="Y7" i="3"/>
  <c r="Y15" i="3"/>
  <c r="Y29" i="3"/>
  <c r="Y12" i="3"/>
  <c r="Y22" i="3"/>
  <c r="Y31" i="3"/>
  <c r="Y9" i="3"/>
  <c r="Y11" i="3"/>
  <c r="Y37" i="3"/>
  <c r="U78" i="1" l="1"/>
  <c r="S78" i="1" s="1"/>
  <c r="AI97" i="1"/>
  <c r="W65" i="1"/>
  <c r="W135" i="1"/>
  <c r="W172" i="1"/>
  <c r="W204" i="1"/>
  <c r="U36" i="1"/>
  <c r="S36" i="1" s="1"/>
  <c r="W132" i="1"/>
  <c r="W159" i="1"/>
  <c r="W167" i="1"/>
  <c r="W181" i="1"/>
  <c r="W120" i="1"/>
  <c r="AI100" i="1"/>
  <c r="W92" i="1"/>
  <c r="U128" i="1"/>
  <c r="S128" i="1" s="1"/>
  <c r="AI179" i="1"/>
  <c r="U210" i="1"/>
  <c r="S210" i="1" s="1"/>
  <c r="W100" i="1"/>
  <c r="W17" i="1"/>
  <c r="W57" i="1"/>
  <c r="W155" i="1"/>
  <c r="U117" i="1"/>
  <c r="S117" i="1" s="1"/>
  <c r="U141" i="1"/>
  <c r="S141" i="1" s="1"/>
  <c r="U212" i="1"/>
  <c r="S212" i="1" s="1"/>
  <c r="W23" i="1"/>
  <c r="W36" i="1"/>
  <c r="W29" i="1"/>
  <c r="W33" i="1"/>
  <c r="U86" i="1"/>
  <c r="S86" i="1" s="1"/>
  <c r="W209" i="1"/>
  <c r="AI175" i="1"/>
  <c r="U132" i="1"/>
  <c r="S132" i="1" s="1"/>
  <c r="AI128" i="1"/>
  <c r="W142" i="1"/>
  <c r="W163" i="1"/>
  <c r="W38" i="1"/>
  <c r="W61" i="1"/>
  <c r="U219" i="1"/>
  <c r="S219" i="1" s="1"/>
  <c r="W150" i="1"/>
  <c r="W39" i="1"/>
  <c r="U216" i="1"/>
  <c r="S216" i="1" s="1"/>
  <c r="W191" i="1"/>
  <c r="W183" i="1"/>
  <c r="AI35" i="1"/>
  <c r="AI38" i="1"/>
  <c r="U124" i="1"/>
  <c r="S124" i="1" s="1"/>
  <c r="AI220" i="1"/>
  <c r="W123" i="1"/>
  <c r="W196" i="1"/>
  <c r="U19" i="1"/>
  <c r="S19" i="1" s="1"/>
  <c r="W162" i="1"/>
  <c r="AI14" i="1"/>
  <c r="AI62" i="1"/>
  <c r="W113" i="1"/>
  <c r="U205" i="1"/>
  <c r="S205" i="1" s="1"/>
  <c r="AI163" i="1"/>
  <c r="U173" i="1"/>
  <c r="S173" i="1" s="1"/>
  <c r="U145" i="1"/>
  <c r="S145" i="1" s="1"/>
  <c r="W215" i="1"/>
  <c r="W173" i="1"/>
  <c r="W220" i="1"/>
  <c r="W223" i="1"/>
  <c r="U16" i="1"/>
  <c r="S16" i="1" s="1"/>
  <c r="AI16" i="1"/>
  <c r="AI47" i="1"/>
  <c r="W62" i="1"/>
  <c r="W81" i="1"/>
  <c r="W74" i="1"/>
  <c r="U163" i="1"/>
  <c r="S163" i="1" s="1"/>
  <c r="W154" i="1"/>
  <c r="AI225" i="1"/>
  <c r="AI181" i="1"/>
  <c r="U202" i="1"/>
  <c r="S202" i="1" s="1"/>
  <c r="U74" i="1"/>
  <c r="S74" i="1" s="1"/>
  <c r="W124" i="1"/>
  <c r="W59" i="1"/>
  <c r="AI22" i="1"/>
  <c r="U110" i="1"/>
  <c r="S110" i="1" s="1"/>
  <c r="U193" i="1"/>
  <c r="S193" i="1" s="1"/>
  <c r="AI136" i="1"/>
  <c r="W158" i="1"/>
  <c r="U20" i="1"/>
  <c r="S20" i="1" s="1"/>
  <c r="W14" i="1"/>
  <c r="W31" i="1"/>
  <c r="W202" i="1"/>
  <c r="W118" i="1"/>
  <c r="W165" i="1"/>
  <c r="W175" i="1"/>
  <c r="W110" i="1"/>
  <c r="W16" i="1"/>
  <c r="U214" i="1"/>
  <c r="S214" i="1" s="1"/>
  <c r="AI214" i="1"/>
  <c r="W143" i="1"/>
  <c r="W231" i="1"/>
  <c r="W106" i="1"/>
  <c r="W141" i="1"/>
  <c r="W211" i="1"/>
  <c r="W122" i="1"/>
  <c r="W134" i="1"/>
  <c r="U221" i="1"/>
  <c r="S221" i="1" s="1"/>
  <c r="W20" i="1"/>
  <c r="W19" i="1"/>
  <c r="U28" i="1"/>
  <c r="S28" i="1" s="1"/>
  <c r="AI28" i="1"/>
  <c r="U83" i="1"/>
  <c r="S83" i="1" s="1"/>
  <c r="AI83" i="1"/>
  <c r="W28" i="1"/>
  <c r="W179" i="1"/>
  <c r="U48" i="1"/>
  <c r="S48" i="1" s="1"/>
  <c r="W48" i="1"/>
  <c r="W47" i="1"/>
  <c r="W83" i="1"/>
  <c r="W136" i="1"/>
  <c r="W216" i="1"/>
  <c r="W94" i="1"/>
  <c r="W177" i="1"/>
  <c r="W207" i="1"/>
  <c r="U226" i="1"/>
  <c r="S226" i="1" s="1"/>
  <c r="AI226" i="1"/>
  <c r="U165" i="1"/>
  <c r="S165" i="1" s="1"/>
  <c r="AI165" i="1"/>
  <c r="W226" i="1"/>
  <c r="W195" i="1"/>
  <c r="U203" i="1"/>
  <c r="S203" i="1" s="1"/>
  <c r="W97" i="1"/>
  <c r="W22" i="1"/>
  <c r="U118" i="1"/>
  <c r="S118" i="1" s="1"/>
  <c r="AI118" i="1"/>
  <c r="W221" i="1"/>
  <c r="U41" i="1"/>
  <c r="S41" i="1" s="1"/>
  <c r="AI41" i="1"/>
  <c r="AI43" i="1"/>
  <c r="U43" i="1"/>
  <c r="S43" i="1" s="1"/>
  <c r="U56" i="1"/>
  <c r="S56" i="1" s="1"/>
  <c r="AI56" i="1"/>
  <c r="W56" i="1"/>
  <c r="AI53" i="1"/>
  <c r="U53" i="1"/>
  <c r="S53" i="1" s="1"/>
  <c r="AI61" i="1"/>
  <c r="U61" i="1"/>
  <c r="S61" i="1" s="1"/>
  <c r="AI69" i="1"/>
  <c r="U69" i="1"/>
  <c r="S69" i="1" s="1"/>
  <c r="AI46" i="1"/>
  <c r="U46" i="1"/>
  <c r="S46" i="1" s="1"/>
  <c r="W53" i="1"/>
  <c r="U72" i="1"/>
  <c r="S72" i="1" s="1"/>
  <c r="AI72" i="1"/>
  <c r="AI96" i="1"/>
  <c r="U96" i="1"/>
  <c r="S96" i="1" s="1"/>
  <c r="AI112" i="1"/>
  <c r="U112" i="1"/>
  <c r="S112" i="1" s="1"/>
  <c r="U111" i="1"/>
  <c r="S111" i="1" s="1"/>
  <c r="AI111" i="1"/>
  <c r="AI131" i="1"/>
  <c r="U131" i="1"/>
  <c r="S131" i="1" s="1"/>
  <c r="AI146" i="1"/>
  <c r="U146" i="1"/>
  <c r="S146" i="1" s="1"/>
  <c r="AI187" i="1"/>
  <c r="U230" i="1"/>
  <c r="S230" i="1" s="1"/>
  <c r="AI195" i="1"/>
  <c r="U176" i="1"/>
  <c r="S176" i="1" s="1"/>
  <c r="AI203" i="1"/>
  <c r="U184" i="1"/>
  <c r="S184" i="1" s="1"/>
  <c r="AI211" i="1"/>
  <c r="U192" i="1"/>
  <c r="S192" i="1" s="1"/>
  <c r="AI219" i="1"/>
  <c r="U200" i="1"/>
  <c r="S200" i="1" s="1"/>
  <c r="W131" i="1"/>
  <c r="W146" i="1"/>
  <c r="U29" i="1"/>
  <c r="S29" i="1" s="1"/>
  <c r="AI29" i="1"/>
  <c r="W43" i="1"/>
  <c r="AI90" i="1"/>
  <c r="U90" i="1"/>
  <c r="S90" i="1" s="1"/>
  <c r="AI108" i="1"/>
  <c r="U108" i="1"/>
  <c r="S108" i="1" s="1"/>
  <c r="AI103" i="1"/>
  <c r="U103" i="1"/>
  <c r="S103" i="1" s="1"/>
  <c r="AI166" i="1"/>
  <c r="U213" i="1"/>
  <c r="S213" i="1" s="1"/>
  <c r="U88" i="1"/>
  <c r="S88" i="1" s="1"/>
  <c r="AI88" i="1"/>
  <c r="AI113" i="1"/>
  <c r="U113" i="1"/>
  <c r="S113" i="1" s="1"/>
  <c r="AI65" i="1"/>
  <c r="U65" i="1"/>
  <c r="S65" i="1" s="1"/>
  <c r="AI81" i="1"/>
  <c r="U81" i="1"/>
  <c r="S81" i="1" s="1"/>
  <c r="U107" i="1"/>
  <c r="S107" i="1" s="1"/>
  <c r="AI107" i="1"/>
  <c r="AI135" i="1"/>
  <c r="U135" i="1"/>
  <c r="S135" i="1" s="1"/>
  <c r="AI150" i="1"/>
  <c r="U150" i="1"/>
  <c r="S150" i="1" s="1"/>
  <c r="AI162" i="1"/>
  <c r="U209" i="1"/>
  <c r="S209" i="1" s="1"/>
  <c r="W230" i="1"/>
  <c r="W176" i="1"/>
  <c r="U21" i="1"/>
  <c r="S21" i="1" s="1"/>
  <c r="AI21" i="1"/>
  <c r="U60" i="1"/>
  <c r="S60" i="1" s="1"/>
  <c r="AI60" i="1"/>
  <c r="U17" i="1"/>
  <c r="S17" i="1" s="1"/>
  <c r="AI17" i="1"/>
  <c r="U37" i="1"/>
  <c r="S37" i="1" s="1"/>
  <c r="AI37" i="1"/>
  <c r="W21" i="1"/>
  <c r="U50" i="1"/>
  <c r="S50" i="1" s="1"/>
  <c r="AI50" i="1"/>
  <c r="U80" i="1"/>
  <c r="S80" i="1" s="1"/>
  <c r="AI80" i="1"/>
  <c r="W50" i="1"/>
  <c r="U76" i="1"/>
  <c r="S76" i="1" s="1"/>
  <c r="AI76" i="1"/>
  <c r="W76" i="1"/>
  <c r="W46" i="1"/>
  <c r="U68" i="1"/>
  <c r="S68" i="1" s="1"/>
  <c r="AI68" i="1"/>
  <c r="AI99" i="1"/>
  <c r="U99" i="1"/>
  <c r="S99" i="1" s="1"/>
  <c r="W68" i="1"/>
  <c r="AI57" i="1"/>
  <c r="U57" i="1"/>
  <c r="S57" i="1" s="1"/>
  <c r="AI92" i="1"/>
  <c r="U92" i="1"/>
  <c r="S92" i="1" s="1"/>
  <c r="W103" i="1"/>
  <c r="W213" i="1"/>
  <c r="AI123" i="1"/>
  <c r="U123" i="1"/>
  <c r="S123" i="1" s="1"/>
  <c r="AI138" i="1"/>
  <c r="U138" i="1"/>
  <c r="S138" i="1" s="1"/>
  <c r="AI154" i="1"/>
  <c r="U154" i="1"/>
  <c r="S154" i="1" s="1"/>
  <c r="AI174" i="1"/>
  <c r="U228" i="1"/>
  <c r="S228" i="1" s="1"/>
  <c r="AI183" i="1"/>
  <c r="U166" i="1"/>
  <c r="S166" i="1" s="1"/>
  <c r="AI191" i="1"/>
  <c r="U172" i="1"/>
  <c r="S172" i="1" s="1"/>
  <c r="AI199" i="1"/>
  <c r="U180" i="1"/>
  <c r="S180" i="1" s="1"/>
  <c r="AI207" i="1"/>
  <c r="U188" i="1"/>
  <c r="S188" i="1" s="1"/>
  <c r="AI215" i="1"/>
  <c r="U196" i="1"/>
  <c r="S196" i="1" s="1"/>
  <c r="AI223" i="1"/>
  <c r="U204" i="1"/>
  <c r="S204" i="1" s="1"/>
  <c r="S218" i="1"/>
  <c r="AI227" i="1"/>
  <c r="U218" i="1"/>
  <c r="AI231" i="1"/>
  <c r="U222" i="1"/>
  <c r="S222" i="1" s="1"/>
  <c r="W111" i="1"/>
  <c r="W228" i="1"/>
  <c r="W188" i="1"/>
  <c r="W222" i="1"/>
  <c r="W192" i="1"/>
  <c r="W180" i="1"/>
  <c r="W218" i="1"/>
  <c r="U33" i="1"/>
  <c r="S32" i="1" s="1"/>
  <c r="AI33" i="1"/>
  <c r="U64" i="1"/>
  <c r="S64" i="1" s="1"/>
  <c r="AI64" i="1"/>
  <c r="W64" i="1"/>
  <c r="U25" i="1"/>
  <c r="S25" i="1" s="1"/>
  <c r="AI25" i="1"/>
  <c r="W37" i="1"/>
  <c r="U52" i="1"/>
  <c r="S52" i="1" s="1"/>
  <c r="W52" i="1"/>
  <c r="AI52" i="1"/>
  <c r="W41" i="1"/>
  <c r="U84" i="1"/>
  <c r="S84" i="1" s="1"/>
  <c r="AI84" i="1"/>
  <c r="U85" i="1"/>
  <c r="S85" i="1" s="1"/>
  <c r="AI85" i="1"/>
  <c r="W69" i="1"/>
  <c r="W107" i="1"/>
  <c r="W72" i="1"/>
  <c r="W84" i="1"/>
  <c r="W112" i="1"/>
  <c r="W108" i="1"/>
  <c r="AI169" i="1"/>
  <c r="U217" i="1"/>
  <c r="S217" i="1" s="1"/>
  <c r="AI127" i="1"/>
  <c r="U127" i="1"/>
  <c r="S127" i="1" s="1"/>
  <c r="AI142" i="1"/>
  <c r="U142" i="1"/>
  <c r="S142" i="1" s="1"/>
  <c r="AI158" i="1"/>
  <c r="U158" i="1"/>
  <c r="S158" i="1" s="1"/>
  <c r="W217" i="1"/>
  <c r="AI119" i="1"/>
  <c r="U119" i="1"/>
  <c r="S119" i="1" s="1"/>
  <c r="W184" i="1"/>
  <c r="W200" i="1"/>
  <c r="B82" i="9"/>
  <c r="C82" i="9"/>
  <c r="B83" i="9"/>
  <c r="C84" i="9" s="1"/>
  <c r="C83" i="9"/>
  <c r="B84" i="9"/>
  <c r="B85" i="9"/>
  <c r="C86" i="9" s="1"/>
  <c r="C85" i="9"/>
  <c r="B86" i="9"/>
  <c r="B87" i="9"/>
  <c r="C88" i="9" s="1"/>
  <c r="C87" i="9"/>
  <c r="B88" i="9"/>
  <c r="B89" i="9"/>
  <c r="C90" i="9" s="1"/>
  <c r="C89" i="9"/>
  <c r="B90" i="9"/>
  <c r="B91" i="9"/>
  <c r="C92" i="9" s="1"/>
  <c r="C91" i="9"/>
  <c r="B92" i="9"/>
  <c r="B93" i="9"/>
  <c r="C94" i="9" s="1"/>
  <c r="C93" i="9"/>
  <c r="B94" i="9"/>
  <c r="B95" i="9"/>
  <c r="C96" i="9" s="1"/>
  <c r="C95" i="9"/>
  <c r="B96" i="9"/>
  <c r="B97" i="9"/>
  <c r="C98" i="9" s="1"/>
  <c r="C97" i="9"/>
  <c r="B98" i="9"/>
  <c r="B99" i="9"/>
  <c r="C100" i="9" s="1"/>
  <c r="C99" i="9"/>
  <c r="B100" i="9"/>
  <c r="B101" i="9"/>
  <c r="C102" i="9" s="1"/>
  <c r="C101" i="9"/>
  <c r="B102" i="9"/>
  <c r="B103" i="9"/>
  <c r="C104" i="9" s="1"/>
  <c r="C103" i="9"/>
  <c r="B104" i="9"/>
  <c r="B105" i="9"/>
  <c r="C106" i="9" s="1"/>
  <c r="C105" i="9"/>
  <c r="B106" i="9"/>
  <c r="B107" i="9"/>
  <c r="C108" i="9" s="1"/>
  <c r="C107" i="9"/>
  <c r="B108" i="9"/>
  <c r="B109" i="9"/>
  <c r="C110" i="9" s="1"/>
  <c r="C109" i="9"/>
  <c r="B110" i="9"/>
  <c r="B111" i="9"/>
  <c r="C112" i="9" s="1"/>
  <c r="C111" i="9"/>
  <c r="B112" i="9"/>
  <c r="B113" i="9"/>
  <c r="C114" i="9" s="1"/>
  <c r="C113" i="9"/>
  <c r="B114" i="9"/>
  <c r="AD7" i="3" l="1"/>
  <c r="B76" i="9"/>
  <c r="B77" i="9"/>
  <c r="B78" i="9"/>
  <c r="B79" i="9"/>
  <c r="C80" i="9" s="1"/>
  <c r="B80" i="9"/>
  <c r="B81" i="9"/>
  <c r="C81" i="9"/>
  <c r="B6" i="6"/>
  <c r="H6" i="6" s="1"/>
  <c r="K6" i="6"/>
  <c r="B7" i="6"/>
  <c r="F7" i="6" s="1"/>
  <c r="K7" i="6"/>
  <c r="B8" i="6"/>
  <c r="G8" i="6" s="1"/>
  <c r="K8" i="6"/>
  <c r="B9" i="6"/>
  <c r="H9" i="6" s="1"/>
  <c r="K9" i="6"/>
  <c r="B10" i="6"/>
  <c r="H10" i="6" s="1"/>
  <c r="K10" i="6"/>
  <c r="F8" i="6" l="1"/>
  <c r="J9" i="6"/>
  <c r="I6" i="6"/>
  <c r="C77" i="9"/>
  <c r="C79" i="9"/>
  <c r="C78" i="9"/>
  <c r="G10" i="6"/>
  <c r="J10" i="6"/>
  <c r="F10" i="6"/>
  <c r="I9" i="6"/>
  <c r="G6" i="6"/>
  <c r="G9" i="6"/>
  <c r="J8" i="6"/>
  <c r="J6" i="6"/>
  <c r="F6" i="6"/>
  <c r="I10" i="6"/>
  <c r="F9" i="6"/>
  <c r="I8" i="6"/>
  <c r="I7" i="6"/>
  <c r="H7" i="6"/>
  <c r="H8" i="6"/>
  <c r="G7" i="6"/>
  <c r="J7" i="6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C76" i="9" s="1"/>
  <c r="K13" i="1" l="1"/>
  <c r="M13" i="1"/>
  <c r="N13" i="1" s="1"/>
  <c r="V13" i="1"/>
  <c r="Y13" i="1"/>
  <c r="Z13" i="1"/>
  <c r="AB13" i="1"/>
  <c r="AC13" i="1"/>
  <c r="AD13" i="1"/>
  <c r="X14" i="1" s="1"/>
  <c r="AE13" i="1"/>
  <c r="AF13" i="1"/>
  <c r="T13" i="1" l="1"/>
  <c r="X13" i="1"/>
  <c r="AA13" i="1"/>
  <c r="AG13" i="1"/>
  <c r="C26" i="9"/>
  <c r="C64" i="9"/>
  <c r="C50" i="9"/>
  <c r="C48" i="9"/>
  <c r="B1" i="9"/>
  <c r="C1" i="9" s="1"/>
  <c r="C4" i="9"/>
  <c r="C7" i="9"/>
  <c r="C24" i="9"/>
  <c r="C33" i="9"/>
  <c r="C74" i="9"/>
  <c r="C45" i="9"/>
  <c r="C70" i="9"/>
  <c r="C68" i="9"/>
  <c r="C44" i="9"/>
  <c r="C61" i="9"/>
  <c r="C71" i="9"/>
  <c r="C73" i="9"/>
  <c r="C42" i="9"/>
  <c r="C57" i="9"/>
  <c r="C51" i="9"/>
  <c r="C10" i="9"/>
  <c r="C46" i="9"/>
  <c r="C62" i="9"/>
  <c r="C15" i="9"/>
  <c r="C30" i="9"/>
  <c r="C16" i="9"/>
  <c r="C29" i="9"/>
  <c r="C12" i="9"/>
  <c r="C37" i="9"/>
  <c r="C36" i="9"/>
  <c r="C39" i="9"/>
  <c r="C13" i="9"/>
  <c r="C25" i="9" l="1"/>
  <c r="C19" i="9"/>
  <c r="C67" i="9"/>
  <c r="C59" i="9"/>
  <c r="C54" i="9"/>
  <c r="C22" i="9"/>
  <c r="C17" i="9"/>
  <c r="C75" i="9"/>
  <c r="C18" i="9"/>
  <c r="C20" i="9"/>
  <c r="C34" i="9"/>
  <c r="C52" i="9"/>
  <c r="C69" i="9"/>
  <c r="C55" i="9"/>
  <c r="C8" i="9"/>
  <c r="C9" i="9"/>
  <c r="C65" i="9"/>
  <c r="C38" i="9"/>
  <c r="C47" i="9"/>
  <c r="C66" i="9"/>
  <c r="C58" i="9"/>
  <c r="C60" i="9"/>
  <c r="C31" i="9"/>
  <c r="C32" i="9"/>
  <c r="C5" i="9"/>
  <c r="C6" i="9"/>
  <c r="C27" i="9"/>
  <c r="C35" i="9"/>
  <c r="C14" i="9"/>
  <c r="C28" i="9"/>
  <c r="C63" i="9"/>
  <c r="C11" i="9"/>
  <c r="C53" i="9"/>
  <c r="C40" i="9"/>
  <c r="C41" i="9"/>
  <c r="C72" i="9"/>
  <c r="C43" i="9"/>
  <c r="C56" i="9"/>
  <c r="C2" i="9"/>
  <c r="C3" i="9"/>
  <c r="C49" i="9"/>
  <c r="C21" i="9"/>
  <c r="C23" i="9"/>
  <c r="W13" i="1"/>
  <c r="AI13" i="1"/>
  <c r="U13" i="1"/>
  <c r="S13" i="1" s="1"/>
  <c r="B3" i="6" l="1"/>
  <c r="F3" i="6" s="1"/>
  <c r="K3" i="6"/>
  <c r="B4" i="6"/>
  <c r="K4" i="6"/>
  <c r="B5" i="6"/>
  <c r="K5" i="6"/>
  <c r="I5" i="6" l="1"/>
  <c r="F4" i="6"/>
  <c r="J4" i="6"/>
  <c r="J5" i="6"/>
  <c r="F5" i="6"/>
  <c r="I4" i="6"/>
  <c r="I3" i="6"/>
  <c r="J3" i="6"/>
  <c r="M30" i="5" l="1"/>
  <c r="M29" i="5"/>
  <c r="M27" i="5"/>
  <c r="G4" i="6" l="1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G5" i="6" l="1"/>
  <c r="G3" i="6"/>
  <c r="H4" i="6"/>
  <c r="H3" i="6"/>
  <c r="H5" i="6"/>
  <c r="M26" i="5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V5" i="1" l="1"/>
  <c r="V8" i="1" s="1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52" i="4" l="1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<sst xmlns="http://schemas.openxmlformats.org/spreadsheetml/2006/main" count="2602" uniqueCount="958">
  <si>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</si>
  <si>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</si>
  <si>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</si>
  <si>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</si>
  <si>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</si>
  <si>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</si>
  <si>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</si>
  <si>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</si>
  <si>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</si>
  <si>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</si>
  <si>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</si>
  <si>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</si>
  <si>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</si>
  <si>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</si>
  <si>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</si>
  <si>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</si>
  <si>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</si>
  <si>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</si>
  <si>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</si>
  <si>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</si>
  <si>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</si>
  <si>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</si>
  <si>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</si>
  <si>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</si>
  <si>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</si>
  <si>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</si>
  <si>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</si>
  <si>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</si>
  <si>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</si>
  <si>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</si>
  <si>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</si>
  <si>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</si>
  <si>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</si>
  <si>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</si>
  <si>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</si>
  <si>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</si>
  <si>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</si>
  <si>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</si>
  <si>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</si>
  <si>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</si>
  <si>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</si>
  <si>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</si>
  <si>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</si>
  <si>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</si>
  <si>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</si>
  <si>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</si>
  <si>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</si>
  <si>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</si>
  <si>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</si>
  <si>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</si>
  <si>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</si>
  <si>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</si>
  <si>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</si>
  <si>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</si>
  <si>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</si>
  <si>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</si>
  <si>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</si>
  <si>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</si>
  <si>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</si>
  <si>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</si>
  <si>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</si>
  <si>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</si>
  <si>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</si>
  <si>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</si>
  <si>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</si>
  <si>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</si>
  <si>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</si>
  <si>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</si>
  <si>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</si>
  <si>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</si>
  <si>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</si>
  <si>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</si>
  <si>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</si>
  <si>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</si>
  <si>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</si>
  <si>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</si>
  <si>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</si>
  <si>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</si>
  <si>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</si>
  <si>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</si>
  <si>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</si>
  <si>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</si>
  <si>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</si>
  <si>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</si>
  <si>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</si>
  <si>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</si>
  <si>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</si>
  <si>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</si>
  <si>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</si>
  <si>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</si>
  <si>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</si>
  <si>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</si>
  <si>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</si>
  <si>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</si>
  <si>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</si>
  <si>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</si>
  <si>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</si>
  <si>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</si>
  <si>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</si>
  <si>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</si>
  <si>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</si>
  <si>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</si>
  <si>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</si>
  <si>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</si>
  <si>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</si>
  <si>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</si>
  <si>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</si>
  <si>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</si>
  <si>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</si>
  <si>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</si>
  <si>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</si>
  <si>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</si>
  <si>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</si>
  <si>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</si>
  <si>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</si>
  <si>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</si>
  <si>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</si>
  <si>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</si>
  <si>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</si>
  <si>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</si>
  <si>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</si>
  <si>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</si>
  <si>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</si>
  <si>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</si>
  <si>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</si>
  <si>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</si>
  <si>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</si>
  <si>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</si>
  <si>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</si>
  <si>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</si>
  <si>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</si>
  <si>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</si>
  <si>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</si>
  <si>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</si>
  <si>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</si>
  <si>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</si>
  <si>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</si>
  <si>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</si>
  <si>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</si>
  <si>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</si>
  <si>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</si>
  <si>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</si>
  <si>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</si>
  <si>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</si>
  <si>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</si>
  <si>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</si>
  <si>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</si>
  <si>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</si>
  <si>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</si>
  <si>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</si>
  <si>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</si>
  <si>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</si>
  <si>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</si>
  <si>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</si>
  <si>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</si>
  <si>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</si>
  <si>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</si>
  <si>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</si>
  <si>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</si>
  <si>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</si>
  <si>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</si>
  <si>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</si>
  <si>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</si>
  <si>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</si>
  <si>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</si>
  <si>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</si>
  <si>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</si>
  <si>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</si>
  <si>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</si>
  <si>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</si>
  <si>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</si>
  <si>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</si>
  <si>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</si>
  <si>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</si>
  <si>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</si>
  <si>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</si>
  <si>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</si>
  <si>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</si>
  <si>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</si>
  <si>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</si>
  <si>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</si>
  <si>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</si>
  <si>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</si>
  <si>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</si>
  <si>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rtdc.l.rtdc.4044:itc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</si>
  <si>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</si>
  <si>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</si>
  <si>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</si>
  <si>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</si>
  <si>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</si>
  <si>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</si>
  <si>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</si>
  <si>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</si>
  <si>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</si>
  <si>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</si>
  <si>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204:453</t>
  </si>
  <si>
    <t>204:233295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</si>
  <si>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</si>
  <si>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</si>
  <si>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</si>
  <si>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</si>
  <si>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</si>
  <si>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</si>
  <si>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</si>
  <si>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</si>
  <si>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</si>
  <si>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204:232977</t>
  </si>
  <si>
    <t>AWS CP Commands</t>
  </si>
  <si>
    <t>204:156</t>
  </si>
  <si>
    <t>204:462</t>
  </si>
  <si>
    <t>rtdc.l.rtdc.4011:itc</t>
  </si>
  <si>
    <t>204:464</t>
  </si>
  <si>
    <t>DE.1.0.8.0</t>
  </si>
  <si>
    <t>rtdc.l.rtdc.4040:itc</t>
  </si>
  <si>
    <t>204:158</t>
  </si>
  <si>
    <t>rtdc.l.rtdc.4039:itc</t>
  </si>
  <si>
    <t>Human Factors</t>
  </si>
  <si>
    <t>STAMBAUGH</t>
  </si>
  <si>
    <t>rtdc.l.rtdc.4012:itc</t>
  </si>
  <si>
    <t>204:150</t>
  </si>
  <si>
    <t>rtdc.l.rtdc.4002:itc</t>
  </si>
  <si>
    <t>BADERTSCHER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</si>
  <si>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</si>
  <si>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</si>
  <si>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</si>
  <si>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</si>
  <si>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</si>
  <si>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</si>
  <si>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</si>
  <si>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</si>
  <si>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</si>
  <si>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</si>
  <si>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204:154</t>
  </si>
  <si>
    <t>204:466</t>
  </si>
  <si>
    <t>204:449</t>
  </si>
  <si>
    <t>204:141</t>
  </si>
  <si>
    <t>rtdc.l.rtdc.4014:itc</t>
  </si>
  <si>
    <t>rtdc.l.rtdc.4013:itc</t>
  </si>
  <si>
    <t>204:232975</t>
  </si>
  <si>
    <t>204:232994</t>
  </si>
  <si>
    <t>CLI Grep2 (for slice disagreement)</t>
  </si>
  <si>
    <t>204:232998</t>
  </si>
  <si>
    <t>Y</t>
  </si>
  <si>
    <t>204:147</t>
  </si>
  <si>
    <t>204:232993</t>
  </si>
  <si>
    <t>204:165</t>
  </si>
  <si>
    <t>204:233314</t>
  </si>
  <si>
    <t>204:455</t>
  </si>
  <si>
    <t>rtdc.l.rtdc.4031:itc</t>
  </si>
  <si>
    <t>204:442</t>
  </si>
  <si>
    <t>rtdc.l.rtdc.4045:itc</t>
  </si>
  <si>
    <t>rtdc.l.rtdc.4046:itc</t>
  </si>
  <si>
    <t>204:161</t>
  </si>
  <si>
    <t>204:460</t>
  </si>
  <si>
    <t>204:233302</t>
  </si>
  <si>
    <t>204:139</t>
  </si>
  <si>
    <t>204:457</t>
  </si>
  <si>
    <t>204:471</t>
  </si>
  <si>
    <t>204:233293</t>
  </si>
  <si>
    <t>rtdc.l.rtdc.4042:itc</t>
  </si>
  <si>
    <t>rtdc.l.rtdc.4041:itc</t>
  </si>
  <si>
    <t>DAVIDSON</t>
  </si>
  <si>
    <t>SAFIEF</t>
  </si>
  <si>
    <t>204:233306</t>
  </si>
  <si>
    <t>204:233307</t>
  </si>
  <si>
    <t>204:233308</t>
  </si>
  <si>
    <t>rtdc.l.rtdc.4003:itc</t>
  </si>
  <si>
    <t>rtdc.l.rtdc.4004:itc</t>
  </si>
  <si>
    <t>204:233303</t>
  </si>
  <si>
    <t>204:232989</t>
  </si>
  <si>
    <t>rtdc.l.rtdc.4010:itc</t>
  </si>
  <si>
    <t>204:232984</t>
  </si>
  <si>
    <t>204:232988</t>
  </si>
  <si>
    <t>204:145</t>
  </si>
  <si>
    <t>204:232996</t>
  </si>
  <si>
    <t>204:232980</t>
  </si>
  <si>
    <t>204:467</t>
  </si>
  <si>
    <t>204:233298</t>
  </si>
  <si>
    <t>300:58611</t>
  </si>
  <si>
    <t>rtdc.l.rtdc.4032:itc</t>
  </si>
  <si>
    <t>242-25</t>
  </si>
  <si>
    <t>CHANDLER</t>
  </si>
  <si>
    <t>LALONDE</t>
  </si>
  <si>
    <t>81-25</t>
  </si>
  <si>
    <t>80-25</t>
  </si>
  <si>
    <t>234-25</t>
  </si>
  <si>
    <t>237-25</t>
  </si>
  <si>
    <t>239-25</t>
  </si>
  <si>
    <t>236-25</t>
  </si>
  <si>
    <t>241-25</t>
  </si>
  <si>
    <t>238-25</t>
  </si>
  <si>
    <t>243-25</t>
  </si>
  <si>
    <t>240-25</t>
  </si>
  <si>
    <t>245-25</t>
  </si>
  <si>
    <t>309-25</t>
  </si>
  <si>
    <t>244-25</t>
  </si>
  <si>
    <t>311-25</t>
  </si>
  <si>
    <t>246-25</t>
  </si>
  <si>
    <t>313-25</t>
  </si>
  <si>
    <t>315-25</t>
  </si>
  <si>
    <t>204:233291</t>
  </si>
  <si>
    <t>204:232985</t>
  </si>
  <si>
    <t>204:233301</t>
  </si>
  <si>
    <t>KILLION</t>
  </si>
  <si>
    <t>BARTLETT</t>
  </si>
  <si>
    <t>rtdc.l.rtdc.4025:itc</t>
  </si>
  <si>
    <t>partly-cloudy-night</t>
  </si>
  <si>
    <t>partly-cloudy-day</t>
  </si>
  <si>
    <t>204:232990</t>
  </si>
  <si>
    <t>204:138</t>
  </si>
  <si>
    <t>204:233004</t>
  </si>
  <si>
    <t>204:160</t>
  </si>
  <si>
    <t>204:232982</t>
  </si>
  <si>
    <t>204:458</t>
  </si>
  <si>
    <t>204:233325</t>
  </si>
  <si>
    <t>204:477</t>
  </si>
  <si>
    <t>rtdc.l.rtdc.4016:itc</t>
  </si>
  <si>
    <t>rtdc.l.rtdc.4001:itc</t>
  </si>
  <si>
    <t>STARKS</t>
  </si>
  <si>
    <t>LEVERE</t>
  </si>
  <si>
    <t>COOLAHAN</t>
  </si>
  <si>
    <t>204:233304</t>
  </si>
  <si>
    <t>204:233319</t>
  </si>
  <si>
    <t>204:486</t>
  </si>
  <si>
    <t>204:163</t>
  </si>
  <si>
    <t>204:233002</t>
  </si>
  <si>
    <t>300:58950</t>
  </si>
  <si>
    <t>204:233289</t>
  </si>
  <si>
    <t>204:233297</t>
  </si>
  <si>
    <t>:.+((SYSTEM_STATE.+slice.+state.+changed )|(ment ac)|(multiple cpu faults)|(system.+state.+changed )|(\[timeout)|(PRM\|1\|D)|(kpr)|(kdp)|(\|lc)|(penalty))</t>
  </si>
  <si>
    <t>rtdc.l.rtdc.4008:itc</t>
  </si>
  <si>
    <t>rtdc.l.rtdc.4007:itc</t>
  </si>
  <si>
    <t>PERKINS</t>
  </si>
  <si>
    <t>SPECTOR</t>
  </si>
  <si>
    <t>HAITHCOX</t>
  </si>
  <si>
    <t>BONDS</t>
  </si>
  <si>
    <t>YANAI</t>
  </si>
  <si>
    <t>Partly Cloudy</t>
  </si>
  <si>
    <t>204:438</t>
  </si>
  <si>
    <t>204:233013</t>
  </si>
  <si>
    <t>204:152</t>
  </si>
  <si>
    <t>204:233011</t>
  </si>
  <si>
    <t>204:482</t>
  </si>
  <si>
    <t>204:233017</t>
  </si>
  <si>
    <t>204:233317</t>
  </si>
  <si>
    <t>204:232972</t>
  </si>
  <si>
    <t>204:232963</t>
  </si>
  <si>
    <t>204:233276</t>
  </si>
  <si>
    <t>204:437</t>
  </si>
  <si>
    <t>204:233280</t>
  </si>
  <si>
    <t>204:136</t>
  </si>
  <si>
    <t>204:233300</t>
  </si>
  <si>
    <t>204:979</t>
  </si>
  <si>
    <t>204:978</t>
  </si>
  <si>
    <t>300:58935</t>
  </si>
  <si>
    <t>300:58636</t>
  </si>
  <si>
    <t>204:691</t>
  </si>
  <si>
    <t>204:971</t>
  </si>
  <si>
    <t>300:58623</t>
  </si>
  <si>
    <t>204:689</t>
  </si>
  <si>
    <t>SYS :2016/11/28 11:15:40.777:ENFORCEMENT:Predictive Enforcement Action:  Target Number: 00006026  Target Speed:   0.0  Current Speed:  50.5</t>
  </si>
  <si>
    <t>SYS :2016/11/28 11:15:40.990:ENFORCEMENT:Predictive Enforcement Action:  Target Number: 00006033  Target Speed:   0.0  Current Speed:  51.6</t>
  </si>
  <si>
    <t>SYS :2016/11/28 11:15:41.493:ENFORCEMENT:Predictive Enforcement Action:  Target Number: 00006027  Target Speed:   0.0  Current Speed:  50.5</t>
  </si>
  <si>
    <t>SYS :2016/11/28 12:10:21.877:ENFORCEMENT:Reactive Enforcement Action:  Target Number: 00001002  Target Speed:   0.0  Current Speed:   0.5</t>
  </si>
  <si>
    <t>SYS :2016/11/28 12:10:22.011:ENFORCEMENT:Reactive Enforcement Action:  Target Number: 00001002  Target Speed:   0.0  Current Speed:   0.7</t>
  </si>
  <si>
    <t>SYS :2016/11/28 12:10:22.745:ENFORCEMENT:Reactive Enforcement Action:  Target Number: 00001002  Target Speed:   0.0  Current Speed:   0.7</t>
  </si>
  <si>
    <t>SYS :2016/11/28 12:16:02.064:ENFORCEMENT:Reactive Enforcement Action:  Target Number: 0001000B  Target Speed:  15.0  Current Speed:  21.1</t>
  </si>
  <si>
    <t>SYS :2016/11/28 12:16:02.466:ENFORCEMENT:Reactive Enforcement Action:  Target Number: 0001000B  Target Speed:  15.0  Current Speed:  21.1</t>
  </si>
  <si>
    <t>SYS :2016/11/28 12:16:02.872:ENFORCEMENT:Reactive Enforcement Action:  Target Number: 0001000B  Target Speed:  15.0  Current Speed:  21.1</t>
  </si>
  <si>
    <t>SYS :2016/11/28 12:28:25.435:ENFORCEMENT:Predictive Enforcement Action:  Target Number: 00001003  Target Speed:   0.0  Current Speed:   4.3</t>
  </si>
  <si>
    <t>SYS :2016/11/28 12:28:25.820:ENFORCEMENT:Predictive Enforcement Action:  Target Number: 00001003  Target Speed:   0.0  Current Speed:   4.3</t>
  </si>
  <si>
    <t>SYS :2016/11/28 12:28:26.025:ENFORCEMENT:Predictive Enforcement Action:  Target Number: 00001003  Target Speed:   0.0  Current Speed:   4.1</t>
  </si>
  <si>
    <t>SYS :2016/11/28 12:32:06.289:ENFORCEMENT:Reactive Enforcement Action:  Target Number: 00010356  Target Speed:  20.0  Current Speed:  25.5</t>
  </si>
  <si>
    <t>SYS :2016/11/28 12:32:06.837:ENFORCEMENT:Reactive Enforcement Action:  Target Number: 00010351  Target Speed:  20.0  Current Speed:  25.5</t>
  </si>
  <si>
    <t>SYS :2016/11/28 12:50:08.096:ENFORCEMENT:Predictive Enforcement Action:  Target Number: 00010029  Target Speed:  15.0  Current Speed:  35.0</t>
  </si>
  <si>
    <t>SYS :2016/11/28 12:50:08.388:ENFORCEMENT:Predictive Enforcement Action:  Target Number: 0001002A  Target Speed:  15.0  Current Speed:  35.0</t>
  </si>
  <si>
    <t>SYS :2016/11/28 13:05:57.742:ENFORCEMENT:Reactive Enforcement Action:  Target Number: 00001004  Target Speed:   0.0  Current Speed:   0.6</t>
  </si>
  <si>
    <t>SYS :2016/11/28 13:05:57.879:ENFORCEMENT:Reactive Enforcement Action:  Target Number: 00001004  Target Speed:   0.0  Current Speed:   0.6</t>
  </si>
  <si>
    <t>SYS :2016/11/28 13:05:58.007:ENFORCEMENT:Reactive Enforcement Action:  Target Number: 00001004  Target Speed:   0.0  Current Speed:   0.6</t>
  </si>
  <si>
    <t>SYS :2016/11/28 13:06:06.605:ENFORCEMENT:Predictive Enforcement Action:  Target Number: 00001004  Target Speed:   0.0  Current Speed:   5.8</t>
  </si>
  <si>
    <t>SYS :2016/11/28 13:26:08.014:ENFORCEMENT:Predictive Enforcement Action:  Target Number: 00001006  Target Speed:   0.0  Current Speed:   2.1</t>
  </si>
  <si>
    <t>SYS :2016/11/28 13:26:08.434:ENFORCEMENT:Predictive Enforcement Action:  Target Number: 00001006  Target Speed:   0.0  Current Speed:   2.1</t>
  </si>
  <si>
    <t>SYS :2016/11/28 13:26:08.819:ENFORCEMENT:Predictive Enforcement Action:  Target Number: 00001006  Target Speed:   0.0  Current Speed:   2.1</t>
  </si>
  <si>
    <t>SYS :2016/11/28 14:05:21.873:ENFORCEMENT:Reactive Enforcement Action:  Target Number: 00001006  Target Speed:   0.0  Current Speed:   0.5</t>
  </si>
  <si>
    <t>SYS :2016/11/28 14:05:22.008:ENFORCEMENT:Reactive Enforcement Action:  Target Number: 00001007  Target Speed:   0.0  Current Speed:   0.3</t>
  </si>
  <si>
    <t>SYS :2016/11/28 14:05:22.744:ENFORCEMENT:Reactive Enforcement Action:  Target Number: 00001006  Target Speed:   0.0  Current Speed:   0.1</t>
  </si>
  <si>
    <t>SYS :2016/11/28 14:50:58.279:ENFORCEMENT:Predictive Enforcement Action:  Target Number: 00001035  Target Speed:   0.0  Current Speed:   5.8</t>
  </si>
  <si>
    <t>SYS :2016/11/28 15:04:22.611:ENFORCEMENT:Predictive Enforcement Action:  Target Number: 00010052  Target Speed:  20.0  Current Speed:  25.9</t>
  </si>
  <si>
    <t>SYS :2016/11/28 15:04:23.103:ENFORCEMENT:Predictive Enforcement Action:  Target Number: 00010051  Target Speed:  20.0  Current Speed:  26.0</t>
  </si>
  <si>
    <t>SYS :2016/11/28 15:06:19.006:ENFORCEMENT:Reactive Enforcement Action:  Target Number: 0000100A  Target Speed:   0.0  Current Speed:   0.7</t>
  </si>
  <si>
    <t>SYS :2016/11/28 15:06:19.749:ENFORCEMENT:Reactive Enforcement Action:  Target Number: 00001009  Target Speed:   0.0  Current Speed:   0.7</t>
  </si>
  <si>
    <t>SYS :2016/11/28 15:06:19.873:ENFORCEMENT:Reactive Enforcement Action:  Target Number: 00001009  Target Speed:   0.0  Current Speed:   0.7</t>
  </si>
  <si>
    <t>SYS :2016/11/28 15:25:57.012:ENFORCEMENT:Predictive Enforcement Action:  Target Number: 0000100D  Target Speed:   0.0  Current Speed:   2.4</t>
  </si>
  <si>
    <t>SYS :2016/11/28 15:31:07.828:ENFORCEMENT:Predictive Enforcement Action:  Target Number: 000060C0  Target Speed:   0.0  Current Speed:  12.9</t>
  </si>
  <si>
    <t>SYS :2016/11/28 15:31:08.012:ENFORCEMENT:Predictive Enforcement Action:  Target Number: 000060BC  Target Speed:   0.0  Current Speed:  12.8</t>
  </si>
  <si>
    <t>SYS :2016/11/28 15:34:41.579:ENFORCEMENT:Predictive Enforcement Action:  Target Number: 00001008  Target Speed:   0.0  Current Speed:   3.3</t>
  </si>
  <si>
    <t>SYS :2016/11/28 15:34:42.194:ENFORCEMENT:Predictive Enforcement Action:  Target Number: 00001008  Target Speed:   0.0  Current Speed:   3.1</t>
  </si>
  <si>
    <t>SYS :2016/11/28 15:34:42.228:ENFORCEMENT:Predictive Enforcement Action:  Target Number: 00001007  Target Speed:   0.0  Current Speed:   3.1</t>
  </si>
  <si>
    <t>SYS :2016/11/28 16:16:56.839:ENFORCEMENT:Predictive Enforcement Action:  Target Number: 000066C6  Target Speed:   0.0  Current Speed:  52.9</t>
  </si>
  <si>
    <t>SYS :2016/11/28 16:16:57.322:ENFORCEMENT:Predictive Enforcement Action:  Target Number: 000066B4  Target Speed:   0.0  Current Speed:  52.9</t>
  </si>
  <si>
    <t>SYS :2016/11/28 16:46:00.781:ENFORCEMENT:Predictive Enforcement Action:  Target Number: 00006102  Target Speed:   0.0  Current Speed:  46.1</t>
  </si>
  <si>
    <t>SYS :2016/11/28 16:46:02.040:ENFORCEMENT:Predictive Enforcement Action:  Target Number: 00006060  Target Speed:   0.0  Current Speed:  45.9</t>
  </si>
  <si>
    <t>SYS :2016/11/28 17:21:19.069:ENFORCEMENT:Predictive Enforcement Action:  Target Number: 00001004  Target Speed:   0.0  Current Speed:  13.3</t>
  </si>
  <si>
    <t>SYS :2016/11/28 17:21:19.321:ENFORCEMENT:Predictive Enforcement Action:  Target Number: 00001004  Target Speed:   0.0  Current Speed:  13.3</t>
  </si>
  <si>
    <t>SYS :2016/11/28 17:22:10.964:ENFORCEMENT:Predictive Enforcement Action:  Target Number: 00001004  Target Speed:   0.0  Current Speed:   4.8</t>
  </si>
  <si>
    <t>SYS :2016/11/28 17:22:11.068:ENFORCEMENT:Predictive Enforcement Action:  Target Number: 00001004  Target Speed:   0.0  Current Speed:   4.8</t>
  </si>
  <si>
    <t>SYS :2016/11/28 17:22:11.321:ENFORCEMENT:Predictive Enforcement Action:  Target Number: 00001004  Target Speed:   0.0  Current Speed:   4.8</t>
  </si>
  <si>
    <t>SYS :2016/11/28 17:23:53.484:ENFORCEMENT:Predictive Enforcement Action:  Target Number: 0000100C  Target Speed:   0.0  Current Speed:   3.7</t>
  </si>
  <si>
    <t>SYS :2016/11/28 17:23:53.770:ENFORCEMENT:Predictive Enforcement Action:  Target Number: 0000100C  Target Speed:   0.0  Current Speed:   3.6</t>
  </si>
  <si>
    <t>SYS :2016/11/28 18:06:53.404:ENFORCEMENT:Predictive Enforcement Action:  Target Number: 00001009  Target Speed:   0.0  Current Speed:  11.0</t>
  </si>
  <si>
    <t>SYS :2016/11/28 18:06:54.101:ENFORCEMENT:Predictive Enforcement Action:  Target Number: 00001009  Target Speed:   0.0  Current Speed:  10.9</t>
  </si>
  <si>
    <t>SYS :2016/11/28 19:48:20.406:ENFORCEMENT:Predictive Enforcement Action:  Target Number: 000100BA  Target Speed:  35.0  Current Speed:  52.8</t>
  </si>
  <si>
    <t>SYS :2016/11/28 19:48:21.101:ENFORCEMENT:Predictive Enforcement Action:  Target Number: 000100B8  Target Speed:  35.0  Current Speed:  52.2</t>
  </si>
  <si>
    <t>SYS :2016/11/28 20:04:33.286:ENFORCEMENT:Predictive Enforcement Action:  Target Number: 0000100C  Target Speed:   0.0  Current Speed:   4.8</t>
  </si>
  <si>
    <t>SYS :2016/11/28 20:49:24.362:ENFORCEMENT:Predictive Enforcement Action:  Target Number: 00001002  Target Speed:   0.0  Current Speed:   8.2</t>
  </si>
  <si>
    <t>SYS :2016/11/28 20:49:24.484:ENFORCEMENT:Predictive Enforcement Action:  Target Number: 00001012  Target Speed:   0.0  Current Speed:   8.2</t>
  </si>
  <si>
    <t>SYS :2016/11/28 20:49:25.034:ENFORCEMENT:Predictive Enforcement Action:  Target Number: 0000100C  Target Speed:   0.0  Current Speed:   8.1</t>
  </si>
  <si>
    <t>SYS :2016/11/28 20:54:43.367:ENFORCEMENT:Predictive Enforcement Action:  Target Number: 0000101B  Target Speed:   0.0  Current Speed:   4.3</t>
  </si>
  <si>
    <t>SYS :2016/11/28 20:54:43.497:ENFORCEMENT:Predictive Enforcement Action:  Target Number: 0000101B  Target Speed:   0.0  Current Speed:   4.3</t>
  </si>
  <si>
    <t>SYS :2016/11/28 20:54:43.892:ENFORCEMENT:Predictive Enforcement Action:  Target Number: 0000101B  Target Speed:   0.0  Current Speed:   4.3</t>
  </si>
  <si>
    <t>SYS :2016/11/28 21:30:21.100:ENFORCEMENT:Predictive Enforcement Action:  Target Number: 0000407D  Target Speed:   0.0  Current Speed:  60.8</t>
  </si>
  <si>
    <t>SYS :2016/11/28 21:30:21.402:ENFORCEMENT:Predictive Enforcement Action:  Target Number: 0000408D  Target Speed:   0.0  Current Speed:  60.8</t>
  </si>
  <si>
    <t>SYS :2016/11/28 21:49:38.607:ENFORCEMENT:Predictive Enforcement Action:  Target Number: 0000100E  Target Speed:   0.0  Current Speed:   4.7</t>
  </si>
  <si>
    <t>SYS :2016/11/28 21:49:38.614:ENFORCEMENT:Predictive Enforcement Action:  Target Number: 0000100A  Target Speed:   0.0  Current Speed:   4.7</t>
  </si>
  <si>
    <t>SYS :2016/11/28 21:49:39.288:ENFORCEMENT:Predictive Enforcement Action:  Target Number: 0000100E  Target Speed:   0.0  Current Speed:   4.7</t>
  </si>
  <si>
    <t>SYS :2016/11/28 22:06:56.576:ENFORCEMENT:Predictive Enforcement Action:  Target Number: 0000100E  Target Speed:   0.0  Current Speed:   7.0</t>
  </si>
  <si>
    <t>SYS :2016/11/28 22:06:56.900:ENFORCEMENT:Predictive Enforcement Action:  Target Number: 00001014  Target Speed:   0.0  Current Speed:   7.0</t>
  </si>
  <si>
    <t>SYS :2016/11/28 22:15:46.156:ENFORCEMENT:Predictive Enforcement Action:  Target Number: 0000623E  Target Speed:   0.0  Current Speed:  38.2</t>
  </si>
  <si>
    <t>SYS :2016/11/28 22:15:46.222:ENFORCEMENT:Predictive Enforcement Action:  Target Number: 00006876  Target Speed:   0.0  Current Speed:  38.2</t>
  </si>
  <si>
    <t>SYS :2016/11/28 22:15:46.334:ENFORCEMENT:Predictive Enforcement Action:  Target Number: 00006873  Target Speed:   0.0  Current Speed:  38.2</t>
  </si>
  <si>
    <t>SYS :2016/11/28 22:28:17.223:ENFORCEMENT:Predictive Enforcement Action:  Target Number: 0001011C  Target Speed:  30.0  Current Speed:  40.2</t>
  </si>
  <si>
    <t>SYS :2016/11/28 22:28:17.268:ENFORCEMENT:Predictive Enforcement Action:  Target Number: 00010119  Target Speed:  30.0  Current Speed:  40.2</t>
  </si>
  <si>
    <t>SYS :2016/11/28 22:28:17.612:ENFORCEMENT:Predictive Enforcement Action:  Target Number: 0001011C  Target Speed:  30.0  Current Speed:  40.2</t>
  </si>
  <si>
    <t>SYS :2016/11/28 22:36:45.159:ENFORCEMENT:Predictive Enforcement Action:  Target Number: 0000627C  Target Speed:   0.0  Current Speed:  28.0</t>
  </si>
  <si>
    <t>SYS :2016/11/28 22:36:45.242:ENFORCEMENT:Predictive Enforcement Action:  Target Number: 000068B4  Target Speed:   0.0  Current Speed:  28.0</t>
  </si>
  <si>
    <t>SYS :2016/11/28 22:36:45.344:ENFORCEMENT:Predictive Enforcement Action:  Target Number: 000068B1  Target Speed:   0.0  Current Speed:  28.0</t>
  </si>
  <si>
    <t>SYS :2016/11/28 22:38:19.157:ENFORCEMENT:Predictive Enforcement Action:  Target Number: 0000627C  Target Speed:   0.0  Current Speed:   4.5</t>
  </si>
  <si>
    <t>SYS :2016/11/28 22:38:19.210:ENFORCEMENT:Predictive Enforcement Action:  Target Number: 000068B4  Target Speed:   0.0  Current Speed:   4.4</t>
  </si>
  <si>
    <t>SYS :2016/11/28 22:38:19.326:ENFORCEMENT:Predictive Enforcement Action:  Target Number: 000068B1  Target Speed:   0.0  Current Speed:   4.5</t>
  </si>
  <si>
    <t>SYS :2016/11/28 22:39:40.194:ENFORCEMENT:Predictive Enforcement Action:  Target Number: 0000101C  Target Speed:   0.0  Current Speed:   4.4</t>
  </si>
  <si>
    <t>SYS :2016/11/28 22:39:40.233:ENFORCEMENT:Predictive Enforcement Action:  Target Number: 0000101B  Target Speed:   0.0  Current Speed:   4.6</t>
  </si>
  <si>
    <t>SYS :2016/11/28 22:39:40.589:ENFORCEMENT:Predictive Enforcement Action:  Target Number: 0000101C  Target Speed:   0.0  Current Speed:   4.6</t>
  </si>
  <si>
    <t>SYS :2016/11/28 22:40:23.201:ENFORCEMENT:Predictive Enforcement Action:  Target Number: 0000101C  Target Speed:   0.0  Current Speed:   3.4</t>
  </si>
  <si>
    <t>SYS :2016/11/29 00:14:00.040:ENFORCEMENT:Predictive Enforcement Action:  Target Number: 000100DA  Target Speed:  30.0  Current Speed:  39.8</t>
  </si>
  <si>
    <t>SYS :2016/11/29 00:14:00.372:ENFORCEMENT:Predictive Enforcement Action:  Target Number: 0001004D  Target Speed:  30.0  Current Speed:  39.4</t>
  </si>
  <si>
    <t>SYS :2016/11/29 00:14:00.489:ENFORCEMENT:Predictive Enforcement Action:  Target Number: 0001011F  Target Speed:  30.0  Current Speed:  39.4</t>
  </si>
  <si>
    <t>SYS :2016/11/29 00:25:52.024:ENFORCEMENT:Predictive Enforcement Action:  Target Number: 00001013  Target Speed:   0.0  Current Speed:   7.9</t>
  </si>
  <si>
    <t>SYS :2016/11/29 00:25:52.824:ENFORCEMENT:Predictive Enforcement Action:  Target Number: 00001013  Target Speed:   0.0  Current Speed:   7.9</t>
  </si>
  <si>
    <t>SYS :2016/11/29 00:25:53.440:ENFORCEMENT:Predictive Enforcement Action:  Target Number: 00001013  Target Speed:   0.0  Current Speed:   7.9</t>
  </si>
  <si>
    <t>SYS :2016/11/29 00:52:10.899:ENFORCEMENT:Reactive Enforcement Action:  Target Number: 00006158  Target Speed:  20.0  Current Speed:  26.2</t>
  </si>
  <si>
    <t>SYS :2016/11/29 00:52:11.504:ENFORCEMENT:Reactive Enforcement Action:  Target Number: 0000617B  Target Speed:  20.0  Current Speed:  26.2</t>
  </si>
  <si>
    <t>SYS :2016/11/29 00:52:12.372:ENFORCEMENT:Reactive Enforcement Action:  Target Number: 00006152  Target Speed:  20.0  Current Speed:  26.2</t>
  </si>
  <si>
    <t>SYS :2016/11/29 00:56:32.498:ENFORCEMENT:Predictive Enforcement Action:  Target Number: 00001026  Target Speed:   0.0  Current Speed:   9.1</t>
  </si>
  <si>
    <t>SYS :2016/11/29 00:56:32.892:ENFORCEMENT:Predictive Enforcement Action:  Target Number: 00001026  Target Speed:   0.0  Current Speed:   9.0</t>
  </si>
  <si>
    <t>SYS :2016/11/29 00:57:10.361:ENFORCEMENT:Predictive Enforcement Action:  Target Number: 00001026  Target Speed:   0.0  Current Speed:   4.8</t>
  </si>
  <si>
    <t>SYS :2016/11/29 00:57:10.487:ENFORCEMENT:Predictive Enforcement Action:  Target Number: 00001026  Target Speed:   0.0  Current Speed:   4.8</t>
  </si>
  <si>
    <t>SYS :2016/11/29 00:57:10.891:ENFORCEMENT:Predictive Enforcement Action:  Target Number: 00001026  Target Speed:   0.0  Current Speed:   4.7</t>
  </si>
  <si>
    <t>SYS :2016/11/29 01:02:48.829:ENFORCEMENT:Predictive Enforcement Action:  Target Number: 0001005C  Target Speed:  15.0  Current Speed:  23.9</t>
  </si>
  <si>
    <t>SYS :2016/11/29 01:02:48.886:ENFORCEMENT:Predictive Enforcement Action:  Target Number: 00010117  Target Speed:  15.0  Current Speed:  23.9</t>
  </si>
  <si>
    <t>SYS :2016/11/29 01:02:49.014:ENFORCEMENT:Predictive Enforcement Action:  Target Number: 000100FF  Target Speed:  15.0  Current Speed:  23.9</t>
  </si>
  <si>
    <t>SYS :2016/11/29 01:26:10.016:ENFORCEMENT:Predictive Enforcement Action:  Target Number: 00001018  Target Speed:   0.0  Current Speed:   3.7</t>
  </si>
  <si>
    <t>SYS :2016/11/29 01:26:10.434:ENFORCEMENT:Predictive Enforcement Action:  Target Number: 00001019  Target Speed:   0.0  Current Speed:   3.7</t>
  </si>
  <si>
    <t>SYS :2016/11/29 02:06:52.357:ENFORCEMENT:Predictive Enforcement Action:  Target Number: 0000100A  Target Speed:   0.0  Current Speed:   5.3</t>
  </si>
  <si>
    <t>SYS :2016/11/29 02:06:52.478:ENFORCEMENT:Predictive Enforcement Action:  Target Number: 0000101A  Target Speed:   0.0  Current Speed:   5.3</t>
  </si>
  <si>
    <t>SYS :2016/11/29 02:06:53.032:ENFORCEMENT:Predictive Enforcement Action:  Target Number: 00001014  Target Speed:   0.0  Current Speed:   5.3</t>
  </si>
  <si>
    <t>SYS :2016/11/29 02:34:37.583:ENFORCEMENT:Predictive Enforcement Action:  Target Number: 00001024  Target Speed:   0.0  Current Speed:   5.5</t>
  </si>
  <si>
    <t>SYS :2016/11/29 02:34:38.195:ENFORCEMENT:Predictive Enforcement Action:  Target Number: 00001024  Target Speed:   0.0  Current Speed:   5.3</t>
  </si>
  <si>
    <t>SYS :2016/11/29 02:34:38.227:ENFORCEMENT:Predictive Enforcement Action:  Target Number: 00001023  Target Speed:   0.0  Current Speed:   5.3</t>
  </si>
  <si>
    <t>SYS :2016/11/29 02:35:14.579:ENFORCEMENT:Predictive Enforcement Action:  Target Number: 00001024  Target Speed:   0.0  Current Speed:   2.3</t>
  </si>
  <si>
    <t>SYS :2016/11/29 02:35:15.195:ENFORCEMENT:Predictive Enforcement Action:  Target Number: 00001024  Target Speed:   0.0  Current Speed:   2.0</t>
  </si>
  <si>
    <t>SYS :2016/11/29 02:35:15.228:ENFORCEMENT:Predictive Enforcement Action:  Target Number: 00001023  Target Speed:   0.0  Current Speed:   2.0</t>
  </si>
  <si>
    <t>SYS :2016/11/29 02:58:01.677:ENFORCEMENT:Reactive Enforcement Action:  Target Number: 0001012F  Target Speed:  15.0  Current Speed:  20.7</t>
  </si>
  <si>
    <t>SYS :2016/11/29 02:58:01.923:ENFORCEMENT:Reactive Enforcement Action:  Target Number: 0001012F  Target Speed:  15.0  Current Speed:  20.7</t>
  </si>
  <si>
    <t>SYS :2016/11/29 02:58:02.235:ENFORCEMENT:Reactive Enforcement Action:  Target Number: 00010061  Target Speed:  15.0  Current Speed:  20.7</t>
  </si>
  <si>
    <t>rtdc.l.rtdc.4030:itc</t>
  </si>
  <si>
    <t>GRADE CROSSING</t>
  </si>
  <si>
    <t>Bulletin (2)</t>
  </si>
  <si>
    <t>rtdc.l.rtdc.4029:itc</t>
  </si>
  <si>
    <t>TEMPORARY SPEED RESTRICTION</t>
  </si>
  <si>
    <t>rtdc.l.rtdc.4021:itc</t>
  </si>
  <si>
    <t>GEBRETEKLE</t>
  </si>
  <si>
    <t>rtdc.l.rtdc.4043:itc</t>
  </si>
  <si>
    <t>BEAM</t>
  </si>
  <si>
    <t>MAHAN</t>
  </si>
  <si>
    <t>STORY</t>
  </si>
  <si>
    <t>311-29</t>
  </si>
  <si>
    <t>244-29</t>
  </si>
  <si>
    <t>313-29</t>
  </si>
  <si>
    <t>204:233310</t>
  </si>
  <si>
    <t>204:232675</t>
  </si>
  <si>
    <t>204:233005</t>
  </si>
  <si>
    <t>204:233312</t>
  </si>
  <si>
    <t>204:233321</t>
  </si>
  <si>
    <t>204:440</t>
  </si>
  <si>
    <t>204:232986</t>
  </si>
  <si>
    <t>204:233008</t>
  </si>
  <si>
    <t>204:232981</t>
  </si>
  <si>
    <t>204:232969</t>
  </si>
  <si>
    <t>204:169</t>
  </si>
  <si>
    <t>204:232974</t>
  </si>
  <si>
    <t>204:431</t>
  </si>
  <si>
    <t>300:23301</t>
  </si>
  <si>
    <t>300:22327</t>
  </si>
  <si>
    <t>300:23304</t>
  </si>
  <si>
    <t>300:23302</t>
  </si>
  <si>
    <t>204:976</t>
  </si>
  <si>
    <t>204:981</t>
  </si>
  <si>
    <t>204:129</t>
  </si>
  <si>
    <t>204:694</t>
  </si>
  <si>
    <t>204:666</t>
  </si>
  <si>
    <t>204:680</t>
  </si>
  <si>
    <t>300:58647</t>
  </si>
  <si>
    <t>204:692</t>
  </si>
  <si>
    <t>300:58961</t>
  </si>
  <si>
    <t>Early arrival</t>
  </si>
  <si>
    <t>Pena 4S STOP</t>
  </si>
  <si>
    <t>Wi-MAX data drop</t>
  </si>
  <si>
    <t>304-30</t>
  </si>
  <si>
    <t>308-30</t>
  </si>
  <si>
    <t>103-30</t>
  </si>
  <si>
    <t>rtdc.l.rtdc.4026:itc</t>
  </si>
  <si>
    <t>800-30</t>
  </si>
  <si>
    <t>113-30</t>
  </si>
  <si>
    <t>121-30</t>
  </si>
  <si>
    <t>116-30</t>
  </si>
  <si>
    <t>120-30</t>
  </si>
  <si>
    <t>118-30</t>
  </si>
  <si>
    <t>807-30</t>
  </si>
  <si>
    <t>809-30</t>
  </si>
  <si>
    <t>810-30</t>
  </si>
  <si>
    <t>137-30</t>
  </si>
  <si>
    <t>138-30</t>
  </si>
  <si>
    <t>144-30</t>
  </si>
  <si>
    <t>50-30</t>
  </si>
  <si>
    <t>146-30</t>
  </si>
  <si>
    <t>150-30</t>
  </si>
  <si>
    <t>161-30</t>
  </si>
  <si>
    <t>817-30</t>
  </si>
  <si>
    <t>53-30</t>
  </si>
  <si>
    <t>819-30</t>
  </si>
  <si>
    <t>166-30</t>
  </si>
  <si>
    <t>821-30</t>
  </si>
  <si>
    <t>177-30</t>
  </si>
  <si>
    <t>178-30</t>
  </si>
  <si>
    <t>176-30</t>
  </si>
  <si>
    <t>88-30</t>
  </si>
  <si>
    <t>836-30</t>
  </si>
  <si>
    <t>237-30</t>
  </si>
  <si>
    <t>101-30</t>
  </si>
  <si>
    <t>MAELZER</t>
  </si>
  <si>
    <t>ACKERMAN</t>
  </si>
  <si>
    <t>306-30</t>
  </si>
  <si>
    <t>DE LA ROSA</t>
  </si>
  <si>
    <t>105-30</t>
  </si>
  <si>
    <t>102-30</t>
  </si>
  <si>
    <t>107-30</t>
  </si>
  <si>
    <t>310-30</t>
  </si>
  <si>
    <t>109-30</t>
  </si>
  <si>
    <t>104-30</t>
  </si>
  <si>
    <t>901-30</t>
  </si>
  <si>
    <t>111-30</t>
  </si>
  <si>
    <t>106-30</t>
  </si>
  <si>
    <t>108-30</t>
  </si>
  <si>
    <t>115-30</t>
  </si>
  <si>
    <t>110-30</t>
  </si>
  <si>
    <t>117-30</t>
  </si>
  <si>
    <t>801-30</t>
  </si>
  <si>
    <t>112-30</t>
  </si>
  <si>
    <t>119-30</t>
  </si>
  <si>
    <t>902-30</t>
  </si>
  <si>
    <t>114-30</t>
  </si>
  <si>
    <t>802-30</t>
  </si>
  <si>
    <t>803-30</t>
  </si>
  <si>
    <t>123-30</t>
  </si>
  <si>
    <t>125-30</t>
  </si>
  <si>
    <t>804-30</t>
  </si>
  <si>
    <t>805-30</t>
  </si>
  <si>
    <t>127-30</t>
  </si>
  <si>
    <t>129-30</t>
  </si>
  <si>
    <t>122-30</t>
  </si>
  <si>
    <t>806-30</t>
  </si>
  <si>
    <t>CUSHING</t>
  </si>
  <si>
    <t>124-30</t>
  </si>
  <si>
    <t>131-30</t>
  </si>
  <si>
    <t>126-30</t>
  </si>
  <si>
    <t>808-30</t>
  </si>
  <si>
    <t>133-30</t>
  </si>
  <si>
    <t>SANTIZO</t>
  </si>
  <si>
    <t>128-30</t>
  </si>
  <si>
    <t>135-30</t>
  </si>
  <si>
    <t>130-30</t>
  </si>
  <si>
    <t>811-30</t>
  </si>
  <si>
    <t>132-30</t>
  </si>
  <si>
    <t>139-30</t>
  </si>
  <si>
    <t>134-30</t>
  </si>
  <si>
    <t>903-30</t>
  </si>
  <si>
    <t>812-30</t>
  </si>
  <si>
    <t>141-30</t>
  </si>
  <si>
    <t>136-30</t>
  </si>
  <si>
    <t>143-30</t>
  </si>
  <si>
    <t>813-30</t>
  </si>
  <si>
    <t>145-30</t>
  </si>
  <si>
    <t>140-30</t>
  </si>
  <si>
    <t>147-30</t>
  </si>
  <si>
    <t>142-30</t>
  </si>
  <si>
    <t>814-30</t>
  </si>
  <si>
    <t>149-30</t>
  </si>
  <si>
    <t>151-30</t>
  </si>
  <si>
    <t>815-30</t>
  </si>
  <si>
    <t>153-30</t>
  </si>
  <si>
    <t>148-30</t>
  </si>
  <si>
    <t>155-30</t>
  </si>
  <si>
    <t>157-30</t>
  </si>
  <si>
    <t>816-30</t>
  </si>
  <si>
    <t>152-30</t>
  </si>
  <si>
    <t>159-30</t>
  </si>
  <si>
    <t>154-30</t>
  </si>
  <si>
    <t>52-30</t>
  </si>
  <si>
    <t>51-30</t>
  </si>
  <si>
    <t>156-30</t>
  </si>
  <si>
    <t>163-30</t>
  </si>
  <si>
    <t>158-30</t>
  </si>
  <si>
    <t>818-30</t>
  </si>
  <si>
    <t>165-30</t>
  </si>
  <si>
    <t>ADANE</t>
  </si>
  <si>
    <t>160-30</t>
  </si>
  <si>
    <t>167-30</t>
  </si>
  <si>
    <t>BERLING</t>
  </si>
  <si>
    <t>162-30</t>
  </si>
  <si>
    <t>164-30</t>
  </si>
  <si>
    <t>169-30</t>
  </si>
  <si>
    <t>BRUDER</t>
  </si>
  <si>
    <t>171-30</t>
  </si>
  <si>
    <t>820-30</t>
  </si>
  <si>
    <t>173-30</t>
  </si>
  <si>
    <t>168-30</t>
  </si>
  <si>
    <t>175-30</t>
  </si>
  <si>
    <t>170-30</t>
  </si>
  <si>
    <t>MOSES</t>
  </si>
  <si>
    <t>172-30</t>
  </si>
  <si>
    <t>179-30</t>
  </si>
  <si>
    <t>174-30</t>
  </si>
  <si>
    <t>822-30</t>
  </si>
  <si>
    <t>181-30</t>
  </si>
  <si>
    <t>183-30</t>
  </si>
  <si>
    <t>185-30</t>
  </si>
  <si>
    <t>180-30</t>
  </si>
  <si>
    <t>823-30</t>
  </si>
  <si>
    <t>187-30</t>
  </si>
  <si>
    <t>182-30</t>
  </si>
  <si>
    <t>189-30</t>
  </si>
  <si>
    <t>824-30</t>
  </si>
  <si>
    <t>184-30</t>
  </si>
  <si>
    <t>191-30</t>
  </si>
  <si>
    <t>186-30</t>
  </si>
  <si>
    <t>193-30</t>
  </si>
  <si>
    <t>188-30</t>
  </si>
  <si>
    <t>825-30</t>
  </si>
  <si>
    <t>904-30</t>
  </si>
  <si>
    <t>195-30</t>
  </si>
  <si>
    <t>190-30</t>
  </si>
  <si>
    <t>197-30</t>
  </si>
  <si>
    <t>826-30</t>
  </si>
  <si>
    <t>827-30</t>
  </si>
  <si>
    <t>192-30</t>
  </si>
  <si>
    <t>194-30</t>
  </si>
  <si>
    <t>199-30</t>
  </si>
  <si>
    <t>828-30</t>
  </si>
  <si>
    <t>201-30</t>
  </si>
  <si>
    <t>829-30</t>
  </si>
  <si>
    <t>196-30</t>
  </si>
  <si>
    <t>203-30</t>
  </si>
  <si>
    <t>198-30</t>
  </si>
  <si>
    <t>205-30</t>
  </si>
  <si>
    <t>830-30</t>
  </si>
  <si>
    <t>831-30</t>
  </si>
  <si>
    <t>200-30</t>
  </si>
  <si>
    <t>207-30</t>
  </si>
  <si>
    <t>202-30</t>
  </si>
  <si>
    <t>832-30</t>
  </si>
  <si>
    <t>209-30</t>
  </si>
  <si>
    <t>204-30</t>
  </si>
  <si>
    <t>833-30</t>
  </si>
  <si>
    <t>71-30</t>
  </si>
  <si>
    <t>BROWN</t>
  </si>
  <si>
    <t>73-30</t>
  </si>
  <si>
    <t>211-30</t>
  </si>
  <si>
    <t>76-30</t>
  </si>
  <si>
    <t>206-30</t>
  </si>
  <si>
    <t>208-30</t>
  </si>
  <si>
    <t>834-30</t>
  </si>
  <si>
    <t>213-30</t>
  </si>
  <si>
    <t>835-30</t>
  </si>
  <si>
    <t>215-30</t>
  </si>
  <si>
    <t>81-30</t>
  </si>
  <si>
    <t>210-30</t>
  </si>
  <si>
    <t>217-30</t>
  </si>
  <si>
    <t>89-30</t>
  </si>
  <si>
    <t>837-30</t>
  </si>
  <si>
    <t>212-30</t>
  </si>
  <si>
    <t>219-30</t>
  </si>
  <si>
    <t>214-30</t>
  </si>
  <si>
    <t>303-30</t>
  </si>
  <si>
    <t>838-30</t>
  </si>
  <si>
    <t>839-30</t>
  </si>
  <si>
    <t>216-30</t>
  </si>
  <si>
    <t>221-30</t>
  </si>
  <si>
    <t>218-30</t>
  </si>
  <si>
    <t>906-30</t>
  </si>
  <si>
    <t>305-30</t>
  </si>
  <si>
    <t>841-30</t>
  </si>
  <si>
    <t>220-30</t>
  </si>
  <si>
    <t>223-30</t>
  </si>
  <si>
    <t>307-30</t>
  </si>
  <si>
    <t>840-30</t>
  </si>
  <si>
    <t>222-30</t>
  </si>
  <si>
    <t>225-30</t>
  </si>
  <si>
    <t>224-30</t>
  </si>
  <si>
    <t>843-30</t>
  </si>
  <si>
    <t>227-30</t>
  </si>
  <si>
    <t>842-30</t>
  </si>
  <si>
    <t>229-30</t>
  </si>
  <si>
    <t>226-30</t>
  </si>
  <si>
    <t>231-30</t>
  </si>
  <si>
    <t>845-30</t>
  </si>
  <si>
    <t>228-30</t>
  </si>
  <si>
    <t>844-30</t>
  </si>
  <si>
    <t>233-30</t>
  </si>
  <si>
    <t>230-30</t>
  </si>
  <si>
    <t>232-30</t>
  </si>
  <si>
    <t>847-30</t>
  </si>
  <si>
    <t>235-30</t>
  </si>
  <si>
    <t>908-30</t>
  </si>
  <si>
    <t>234-30</t>
  </si>
  <si>
    <t>239-30</t>
  </si>
  <si>
    <t>236-30</t>
  </si>
  <si>
    <t>238-30</t>
  </si>
  <si>
    <t>241-30</t>
  </si>
  <si>
    <t>240-30</t>
  </si>
  <si>
    <t>243-30</t>
  </si>
  <si>
    <t>309-30</t>
  </si>
  <si>
    <t>242-30</t>
  </si>
  <si>
    <t>311-30</t>
  </si>
  <si>
    <t>244-30</t>
  </si>
  <si>
    <t>313-30</t>
  </si>
  <si>
    <t>clear-night</t>
  </si>
  <si>
    <t>Clear</t>
  </si>
  <si>
    <t>clear-day</t>
  </si>
  <si>
    <t>204:719</t>
  </si>
  <si>
    <t>204:233349</t>
  </si>
  <si>
    <t>204:232711</t>
  </si>
  <si>
    <t>204:673</t>
  </si>
  <si>
    <t>204:232664</t>
  </si>
  <si>
    <t>204:763</t>
  </si>
  <si>
    <t>204:233309</t>
  </si>
  <si>
    <t>204:732</t>
  </si>
  <si>
    <t>204:233284</t>
  </si>
  <si>
    <t>204:435</t>
  </si>
  <si>
    <t>204:703</t>
  </si>
  <si>
    <t>204:20427</t>
  </si>
  <si>
    <t>204:232979</t>
  </si>
  <si>
    <t>204:724</t>
  </si>
  <si>
    <t>204:127834</t>
  </si>
  <si>
    <t>204:127455</t>
  </si>
  <si>
    <t>204:64161</t>
  </si>
  <si>
    <t>204:446</t>
  </si>
  <si>
    <t>204:232957</t>
  </si>
  <si>
    <t>204:233272</t>
  </si>
  <si>
    <t>204:232992</t>
  </si>
  <si>
    <t>204:233330</t>
  </si>
  <si>
    <t>204:233009</t>
  </si>
  <si>
    <t>204:233236</t>
  </si>
  <si>
    <t>204:232913</t>
  </si>
  <si>
    <t>204:209</t>
  </si>
  <si>
    <t>204:233299</t>
  </si>
  <si>
    <t>204:478</t>
  </si>
  <si>
    <t>204:562</t>
  </si>
  <si>
    <t>204:484</t>
  </si>
  <si>
    <t>204:444</t>
  </si>
  <si>
    <t>204:232959</t>
  </si>
  <si>
    <t>204:233320</t>
  </si>
  <si>
    <t>204:211</t>
  </si>
  <si>
    <t>204:233255</t>
  </si>
  <si>
    <t>204:233010</t>
  </si>
  <si>
    <t>204:233326</t>
  </si>
  <si>
    <t>204:491</t>
  </si>
  <si>
    <t>204:233344</t>
  </si>
  <si>
    <t>204:232965</t>
  </si>
  <si>
    <t>204:232987</t>
  </si>
  <si>
    <t>204:233334</t>
  </si>
  <si>
    <t>204:233287</t>
  </si>
  <si>
    <t>204:233337</t>
  </si>
  <si>
    <t>204:36805</t>
  </si>
  <si>
    <t>204:233311</t>
  </si>
  <si>
    <t>204:344</t>
  </si>
  <si>
    <t>204:233305</t>
  </si>
  <si>
    <t>204:130</t>
  </si>
  <si>
    <t>204:233006</t>
  </si>
  <si>
    <t>204:233003</t>
  </si>
  <si>
    <t>204:657</t>
  </si>
  <si>
    <t>204:233357</t>
  </si>
  <si>
    <t>204:233021</t>
  </si>
  <si>
    <t>204:233015</t>
  </si>
  <si>
    <t>204:232991</t>
  </si>
  <si>
    <t>204:233338</t>
  </si>
  <si>
    <t>204:127861</t>
  </si>
  <si>
    <t>204:127858</t>
  </si>
  <si>
    <t>204:154426</t>
  </si>
  <si>
    <t>204:233027</t>
  </si>
  <si>
    <t>204:233068</t>
  </si>
  <si>
    <t>204:232755</t>
  </si>
  <si>
    <t>204:216</t>
  </si>
  <si>
    <t>204:427</t>
  </si>
  <si>
    <t>204:424</t>
  </si>
  <si>
    <t>300:23285</t>
  </si>
  <si>
    <t>204:81</t>
  </si>
  <si>
    <t>300:23125</t>
  </si>
  <si>
    <t>300:23314</t>
  </si>
  <si>
    <t>300:23260</t>
  </si>
  <si>
    <t>204:513</t>
  </si>
  <si>
    <t>300:23194</t>
  </si>
  <si>
    <t>204:531</t>
  </si>
  <si>
    <t>204:533</t>
  </si>
  <si>
    <t>300:23346</t>
  </si>
  <si>
    <t>300:22115</t>
  </si>
  <si>
    <t>204:93</t>
  </si>
  <si>
    <t>300:21825</t>
  </si>
  <si>
    <t>204:923</t>
  </si>
  <si>
    <t>204:1225</t>
  </si>
  <si>
    <t>300:24214</t>
  </si>
  <si>
    <t>204:1496</t>
  </si>
  <si>
    <t>300:22111</t>
  </si>
  <si>
    <t>204:1167</t>
  </si>
  <si>
    <t>204:3503</t>
  </si>
  <si>
    <t>300:23510</t>
  </si>
  <si>
    <t>204:113</t>
  </si>
  <si>
    <t>300:58643</t>
  </si>
  <si>
    <t>204:755</t>
  </si>
  <si>
    <t>204:1035</t>
  </si>
  <si>
    <t>300:58954</t>
  </si>
  <si>
    <t>204:769</t>
  </si>
  <si>
    <t>300:58993</t>
  </si>
  <si>
    <t>300:58673</t>
  </si>
  <si>
    <t>204:1049</t>
  </si>
  <si>
    <t>300:58939</t>
  </si>
  <si>
    <t>204:815</t>
  </si>
  <si>
    <t>300:58986</t>
  </si>
  <si>
    <t>300:58679</t>
  </si>
  <si>
    <t>204:1111</t>
  </si>
  <si>
    <t>204:1162</t>
  </si>
  <si>
    <t>300:58628</t>
  </si>
  <si>
    <t>204:664</t>
  </si>
  <si>
    <t>300:59003</t>
  </si>
  <si>
    <t>300:58688</t>
  </si>
  <si>
    <t>204:778</t>
  </si>
  <si>
    <t>204:1065</t>
  </si>
  <si>
    <t>300:58995</t>
  </si>
  <si>
    <t>300:58988</t>
  </si>
  <si>
    <t>204:997</t>
  </si>
  <si>
    <t>300:58670</t>
  </si>
  <si>
    <t>204:705</t>
  </si>
  <si>
    <t>300:59007</t>
  </si>
  <si>
    <t>300:58677</t>
  </si>
  <si>
    <t>204:988</t>
  </si>
  <si>
    <t>300:58980</t>
  </si>
  <si>
    <t>300:58658</t>
  </si>
  <si>
    <t>204:953</t>
  </si>
  <si>
    <t>300:58982</t>
  </si>
  <si>
    <t>300:58666</t>
  </si>
  <si>
    <t>204:710</t>
  </si>
  <si>
    <t>204:972</t>
  </si>
  <si>
    <t>300:58958</t>
  </si>
  <si>
    <t>300:58640</t>
  </si>
  <si>
    <t>204:685</t>
  </si>
  <si>
    <t>204:1004</t>
  </si>
  <si>
    <t>300:58918</t>
  </si>
  <si>
    <t>300:58638</t>
  </si>
  <si>
    <t>300:58948</t>
  </si>
  <si>
    <t>204:750</t>
  </si>
  <si>
    <t>300:58973</t>
  </si>
  <si>
    <t>300:58653</t>
  </si>
  <si>
    <t>204:1014</t>
  </si>
  <si>
    <t>300:58641</t>
  </si>
  <si>
    <t>204:1007</t>
  </si>
  <si>
    <t>300:58946</t>
  </si>
  <si>
    <t>204:995</t>
  </si>
  <si>
    <t>204:1037</t>
  </si>
  <si>
    <t>300:58967</t>
  </si>
  <si>
    <t>300:22163</t>
  </si>
  <si>
    <t>204:880</t>
  </si>
  <si>
    <t>204:404</t>
  </si>
  <si>
    <t>300:24229</t>
  </si>
  <si>
    <t>300:29767</t>
  </si>
  <si>
    <t>300:58952</t>
  </si>
  <si>
    <t>300:23533</t>
  </si>
  <si>
    <t>204:939</t>
  </si>
  <si>
    <t>300:24271</t>
  </si>
  <si>
    <t>300:23319</t>
  </si>
  <si>
    <t>300:28757</t>
  </si>
  <si>
    <t>300:58662</t>
  </si>
  <si>
    <t>300:21852</t>
  </si>
  <si>
    <t>aws s3 cp s3://rtdc.mdm.uploadarchive.raw/RTDC4032/ "%USERPROFILE%\AppData\Local\Temp\OnboardLogs"\RTDC4032\2016-11-30 --exclude "*" --recursive --include "*20161130*" &amp; "%USERPROFILE%\Documents\GitHub\mrs-test-scripts\Headless Mode &amp; Sideloading\WalkAndUnGZ.bat" "%USERPROFILE%\AppData\Local\Temp\OnboardLogs"\RTDC4032\2016-11-30 &amp; aws s3 cp s3://rtdc.mdm.uploadarchive.raw/RTDC4032/ "%USERPROFILE%\AppData\Local\Temp\OnboardLogs"\RTDC4032\2016-12-01 --exclude "*" --recursive --include "*20161201*" &amp; "%USERPROFILE%\Documents\GitHub\mrs-test-scripts\Headless Mode &amp; Sideloading\WalkAndUnGZ.bat" "%USERPROFILE%\AppData\Local\Temp\OnboardLogs"\RTDC4032\2016-12-01</t>
  </si>
  <si>
    <t>aws s3 cp s3://rtdc.mdm.uploadarchive.raw/RTDC4021/ "%USERPROFILE%\AppData\Local\Temp\OnboardLogs"\RTDC4021\2016-11-30 --exclude "*" --recursive --include "*20161130*" &amp; "%USERPROFILE%\Documents\GitHub\mrs-test-scripts\Headless Mode &amp; Sideloading\WalkAndUnGZ.bat" "%USERPROFILE%\AppData\Local\Temp\OnboardLogs"\RTDC4021\2016-11-30 &amp; aws s3 cp s3://rtdc.mdm.uploadarchive.raw/RTDC4021/ "%USERPROFILE%\AppData\Local\Temp\OnboardLogs"\RTDC4021\2016-12-01 --exclude "*" --recursive --include "*20161201*" &amp; "%USERPROFILE%\Documents\GitHub\mrs-test-scripts\Headless Mode &amp; Sideloading\WalkAndUnGZ.bat" "%USERPROFILE%\AppData\Local\Temp\OnboardLogs"\RTDC4021\2016-12-01</t>
  </si>
  <si>
    <t>aws s3 cp s3://rtdc.mdm.uploadarchive.raw/RTDC4037/ "%USERPROFILE%\AppData\Local\Temp\OnboardLogs"\RTDC4037\2016-11-30 --exclude "*" --recursive --include "*20161130*" &amp; "%USERPROFILE%\Documents\GitHub\mrs-test-scripts\Headless Mode &amp; Sideloading\WalkAndUnGZ.bat" "%USERPROFILE%\AppData\Local\Temp\OnboardLogs"\RTDC4037\2016-11-30 &amp; aws s3 cp s3://rtdc.mdm.uploadarchive.raw/RTDC4037/ "%USERPROFILE%\AppData\Local\Temp\OnboardLogs"\RTDC4037\2016-12-01 --exclude "*" --recursive --include "*20161201*" &amp; "%USERPROFILE%\Documents\GitHub\mrs-test-scripts\Headless Mode &amp; Sideloading\WalkAndUnGZ.bat" "%USERPROFILE%\AppData\Local\Temp\OnboardLogs"\RTDC4037\2016-12-01</t>
  </si>
  <si>
    <t>aws s3 cp s3://rtdc.mdm.uploadarchive.raw/RTDC4002/ "%USERPROFILE%\AppData\Local\Temp\OnboardLogs"\RTDC4002\2016-11-30 --exclude "*" --recursive --include "*20161130*" &amp; "%USERPROFILE%\Documents\GitHub\mrs-test-scripts\Headless Mode &amp; Sideloading\WalkAndUnGZ.bat" "%USERPROFILE%\AppData\Local\Temp\OnboardLogs"\RTDC4002\2016-11-30 &amp; aws s3 cp s3://rtdc.mdm.uploadarchive.raw/RTDC4002/ "%USERPROFILE%\AppData\Local\Temp\OnboardLogs"\RTDC4002\2016-12-01 --exclude "*" --recursive --include "*20161201*" &amp; "%USERPROFILE%\Documents\GitHub\mrs-test-scripts\Headless Mode &amp; Sideloading\WalkAndUnGZ.bat" "%USERPROFILE%\AppData\Local\Temp\OnboardLogs"\RTDC4002\2016-12-01</t>
  </si>
  <si>
    <t>aws s3 cp s3://rtdc.mdm.uploadarchive.raw/RTDC4012/ "%USERPROFILE%\AppData\Local\Temp\OnboardLogs"\RTDC4012\2016-11-30 --exclude "*" --recursive --include "*20161130*" &amp; "%USERPROFILE%\Documents\GitHub\mrs-test-scripts\Headless Mode &amp; Sideloading\WalkAndUnGZ.bat" "%USERPROFILE%\AppData\Local\Temp\OnboardLogs"\RTDC4012\2016-11-30 &amp; aws s3 cp s3://rtdc.mdm.uploadarchive.raw/RTDC4012/ "%USERPROFILE%\AppData\Local\Temp\OnboardLogs"\RTDC4012\2016-12-01 --exclude "*" --recursive --include "*20161201*" &amp; "%USERPROFILE%\Documents\GitHub\mrs-test-scripts\Headless Mode &amp; Sideloading\WalkAndUnGZ.bat" "%USERPROFILE%\AppData\Local\Temp\OnboardLogs"\RTDC4012\2016-12-01</t>
  </si>
  <si>
    <t>aws s3 cp s3://rtdc.mdm.uploadarchive.raw/RTDC4022/ "%USERPROFILE%\AppData\Local\Temp\OnboardLogs"\RTDC4022\2016-11-30 --exclude "*" --recursive --include "*20161130*" &amp; "%USERPROFILE%\Documents\GitHub\mrs-test-scripts\Headless Mode &amp; Sideloading\WalkAndUnGZ.bat" "%USERPROFILE%\AppData\Local\Temp\OnboardLogs"\RTDC4022\2016-11-30 &amp; aws s3 cp s3://rtdc.mdm.uploadarchive.raw/RTDC4022/ "%USERPROFILE%\AppData\Local\Temp\OnboardLogs"\RTDC4022\2016-12-01 --exclude "*" --recursive --include "*20161201*" &amp; "%USERPROFILE%\Documents\GitHub\mrs-test-scripts\Headless Mode &amp; Sideloading\WalkAndUnGZ.bat" "%USERPROFILE%\AppData\Local\Temp\OnboardLogs"\RTDC4022\2016-12-01</t>
  </si>
  <si>
    <t>aws s3 cp s3://rtdc.mdm.uploadarchive.raw/RTDC4011/ "%USERPROFILE%\AppData\Local\Temp\OnboardLogs"\RTDC4011\2016-11-30 --exclude "*" --recursive --include "*20161130*" &amp; "%USERPROFILE%\Documents\GitHub\mrs-test-scripts\Headless Mode &amp; Sideloading\WalkAndUnGZ.bat" "%USERPROFILE%\AppData\Local\Temp\OnboardLogs"\RTDC4011\2016-11-30 &amp; aws s3 cp s3://rtdc.mdm.uploadarchive.raw/RTDC4011/ "%USERPROFILE%\AppData\Local\Temp\OnboardLogs"\RTDC4011\2016-12-01 --exclude "*" --recursive --include "*20161201*" &amp; "%USERPROFILE%\Documents\GitHub\mrs-test-scripts\Headless Mode &amp; Sideloading\WalkAndUnGZ.bat" "%USERPROFILE%\AppData\Local\Temp\OnboardLogs"\RTDC4011\2016-12-01</t>
  </si>
  <si>
    <t>aws s3 cp s3://rtdc.mdm.uploadarchive.raw/RTDC4004/ "%USERPROFILE%\AppData\Local\Temp\OnboardLogs"\RTDC4004\2016-11-30 --exclude "*" --recursive --include "*20161130*" &amp; "%USERPROFILE%\Documents\GitHub\mrs-test-scripts\Headless Mode &amp; Sideloading\WalkAndUnGZ.bat" "%USERPROFILE%\AppData\Local\Temp\OnboardLogs"\RTDC4004\2016-11-30 &amp; aws s3 cp s3://rtdc.mdm.uploadarchive.raw/RTDC4004/ "%USERPROFILE%\AppData\Local\Temp\OnboardLogs"\RTDC4004\2016-12-01 --exclude "*" --recursive --include "*20161201*" &amp; "%USERPROFILE%\Documents\GitHub\mrs-test-scripts\Headless Mode &amp; Sideloading\WalkAndUnGZ.bat" "%USERPROFILE%\AppData\Local\Temp\OnboardLogs"\RTDC4004\2016-12-01</t>
  </si>
  <si>
    <t>aws s3 cp s3://rtdc.mdm.uploadarchive.raw/RTDC4003/ "%USERPROFILE%\AppData\Local\Temp\OnboardLogs"\RTDC4003\2016-11-30 --exclude "*" --recursive --include "*20161130*" &amp; "%USERPROFILE%\Documents\GitHub\mrs-test-scripts\Headless Mode &amp; Sideloading\WalkAndUnGZ.bat" "%USERPROFILE%\AppData\Local\Temp\OnboardLogs"\RTDC4003\2016-11-30 &amp; aws s3 cp s3://rtdc.mdm.uploadarchive.raw/RTDC4003/ "%USERPROFILE%\AppData\Local\Temp\OnboardLogs"\RTDC4003\2016-12-01 --exclude "*" --recursive --include "*20161201*" &amp; "%USERPROFILE%\Documents\GitHub\mrs-test-scripts\Headless Mode &amp; Sideloading\WalkAndUnGZ.bat" "%USERPROFILE%\AppData\Local\Temp\OnboardLogs"\RTDC4003\2016-12-01</t>
  </si>
  <si>
    <t>aws s3 cp s3://rtdc.mdm.uploadarchive.raw/RTDC4045/ "%USERPROFILE%\AppData\Local\Temp\OnboardLogs"\RTDC4045\2016-11-30 --exclude "*" --recursive --include "*20161130*" &amp; "%USERPROFILE%\Documents\GitHub\mrs-test-scripts\Headless Mode &amp; Sideloading\WalkAndUnGZ.bat" "%USERPROFILE%\AppData\Local\Temp\OnboardLogs"\RTDC4045\2016-11-30 &amp; aws s3 cp s3://rtdc.mdm.uploadarchive.raw/RTDC4045/ "%USERPROFILE%\AppData\Local\Temp\OnboardLogs"\RTDC4045\2016-12-01 --exclude "*" --recursive --include "*20161201*" &amp; "%USERPROFILE%\Documents\GitHub\mrs-test-scripts\Headless Mode &amp; Sideloading\WalkAndUnGZ.bat" "%USERPROFILE%\AppData\Local\Temp\OnboardLogs"\RTDC4045\2016-12-01</t>
  </si>
  <si>
    <t>aws s3 cp s3://rtdc.mdm.uploadarchive.raw/RTDC4031/ "%USERPROFILE%\AppData\Local\Temp\OnboardLogs"\RTDC4031\2016-11-30 --exclude "*" --recursive --include "*20161130*" &amp; "%USERPROFILE%\Documents\GitHub\mrs-test-scripts\Headless Mode &amp; Sideloading\WalkAndUnGZ.bat" "%USERPROFILE%\AppData\Local\Temp\OnboardLogs"\RTDC4031\2016-11-30 &amp; aws s3 cp s3://rtdc.mdm.uploadarchive.raw/RTDC4031/ "%USERPROFILE%\AppData\Local\Temp\OnboardLogs"\RTDC4031\2016-12-01 --exclude "*" --recursive --include "*20161201*" &amp; "%USERPROFILE%\Documents\GitHub\mrs-test-scripts\Headless Mode &amp; Sideloading\WalkAndUnGZ.bat" "%USERPROFILE%\AppData\Local\Temp\OnboardLogs"\RTDC4031\2016-12-01</t>
  </si>
  <si>
    <t>aws s3 cp s3://rtdc.mdm.uploadarchive.raw/RTDC4044/ "%USERPROFILE%\AppData\Local\Temp\OnboardLogs"\RTDC4044\2016-11-30 --exclude "*" --recursive --include "*20161130*" &amp; "%USERPROFILE%\Documents\GitHub\mrs-test-scripts\Headless Mode &amp; Sideloading\WalkAndUnGZ.bat" "%USERPROFILE%\AppData\Local\Temp\OnboardLogs"\RTDC4044\2016-11-30 &amp; aws s3 cp s3://rtdc.mdm.uploadarchive.raw/RTDC4044/ "%USERPROFILE%\AppData\Local\Temp\OnboardLogs"\RTDC4044\2016-12-01 --exclude "*" --recursive --include "*20161201*" &amp; "%USERPROFILE%\Documents\GitHub\mrs-test-scripts\Headless Mode &amp; Sideloading\WalkAndUnGZ.bat" "%USERPROFILE%\AppData\Local\Temp\OnboardLogs"\RTDC4044\2016-12-01</t>
  </si>
  <si>
    <t>aws s3 cp s3://rtdc.mdm.uploadarchive.raw/RTDC4038/ "%USERPROFILE%\AppData\Local\Temp\OnboardLogs"\RTDC4038\2016-11-30 --exclude "*" --recursive --include "*20161130*" &amp; "%USERPROFILE%\Documents\GitHub\mrs-test-scripts\Headless Mode &amp; Sideloading\WalkAndUnGZ.bat" "%USERPROFILE%\AppData\Local\Temp\OnboardLogs"\RTDC4038\2016-11-30 &amp; aws s3 cp s3://rtdc.mdm.uploadarchive.raw/RTDC4038/ "%USERPROFILE%\AppData\Local\Temp\OnboardLogs"\RTDC4038\2016-12-01 --exclude "*" --recursive --include "*20161201*" &amp; "%USERPROFILE%\Documents\GitHub\mrs-test-scripts\Headless Mode &amp; Sideloading\WalkAndUnGZ.bat" "%USERPROFILE%\AppData\Local\Temp\OnboardLogs"\RTDC4038\2016-12-01</t>
  </si>
  <si>
    <t>aws s3 cp s3://rtdc.mdm.uploadarchive.raw/RTDC4026/ "%USERPROFILE%\AppData\Local\Temp\OnboardLogs"\RTDC4026\2016-11-30 --exclude "*" --recursive --include "*20161130*" &amp; "%USERPROFILE%\Documents\GitHub\mrs-test-scripts\Headless Mode &amp; Sideloading\WalkAndUnGZ.bat" "%USERPROFILE%\AppData\Local\Temp\OnboardLogs"\RTDC4026\2016-11-30 &amp; aws s3 cp s3://rtdc.mdm.uploadarchive.raw/RTDC4026/ "%USERPROFILE%\AppData\Local\Temp\OnboardLogs"\RTDC4026\2016-12-01 --exclude "*" --recursive --include "*20161201*" &amp; "%USERPROFILE%\Documents\GitHub\mrs-test-scripts\Headless Mode &amp; Sideloading\WalkAndUnGZ.bat" "%USERPROFILE%\AppData\Local\Temp\OnboardLogs"\RTDC4026\2016-12-01</t>
  </si>
  <si>
    <t>aws s3 cp s3://rtdc.mdm.uploadarchive.raw/RTDC4042/ "%USERPROFILE%\AppData\Local\Temp\OnboardLogs"\RTDC4042\2016-11-30 --exclude "*" --recursive --include "*20161130*" &amp; "%USERPROFILE%\Documents\GitHub\mrs-test-scripts\Headless Mode &amp; Sideloading\WalkAndUnGZ.bat" "%USERPROFILE%\AppData\Local\Temp\OnboardLogs"\RTDC4042\2016-11-30 &amp; aws s3 cp s3://rtdc.mdm.uploadarchive.raw/RTDC4042/ "%USERPROFILE%\AppData\Local\Temp\OnboardLogs"\RTDC4042\2016-12-01 --exclude "*" --recursive --include "*20161201*" &amp; "%USERPROFILE%\Documents\GitHub\mrs-test-scripts\Headless Mode &amp; Sideloading\WalkAndUnGZ.bat" "%USERPROFILE%\AppData\Local\Temp\OnboardLogs"\RTDC4042\2016-12-01</t>
  </si>
  <si>
    <t>aws s3 cp s3://rtdc.mdm.uploadarchive.raw/RTDC4025/ "%USERPROFILE%\AppData\Local\Temp\OnboardLogs"\RTDC4025\2016-11-30 --exclude "*" --recursive --include "*20161130*" &amp; "%USERPROFILE%\Documents\GitHub\mrs-test-scripts\Headless Mode &amp; Sideloading\WalkAndUnGZ.bat" "%USERPROFILE%\AppData\Local\Temp\OnboardLogs"\RTDC4025\2016-11-30 &amp; aws s3 cp s3://rtdc.mdm.uploadarchive.raw/RTDC4025/ "%USERPROFILE%\AppData\Local\Temp\OnboardLogs"\RTDC4025\2016-12-01 --exclude "*" --recursive --include "*20161201*" &amp; "%USERPROFILE%\Documents\GitHub\mrs-test-scripts\Headless Mode &amp; Sideloading\WalkAndUnGZ.bat" "%USERPROFILE%\AppData\Local\Temp\OnboardLogs"\RTDC4025\2016-12-01</t>
  </si>
  <si>
    <t>40th 4S STOP</t>
  </si>
  <si>
    <t>Premature downgrade at EC0206RH 28-2T 2S</t>
  </si>
  <si>
    <t xml:space="preserve">At approx </t>
  </si>
  <si>
    <t>At approx 06:57:43, EC0206RH 28-2T 2S dropped to STOP &amp; PROCEED. Did anything wrong occur around this timeframe?</t>
  </si>
  <si>
    <t>CCROC/crew/equipment mismatch</t>
  </si>
  <si>
    <t>This trip couldn’t init due to CCROC/crew/equipment mismatches</t>
  </si>
  <si>
    <t>Onboard in-route failure</t>
  </si>
  <si>
    <t>At 2016-12-01 00:25:05 UTC, multiple cpu faults 2087s were issued by the Onboard system</t>
  </si>
  <si>
    <t>CP 61st 2N fluctuating aspects</t>
  </si>
  <si>
    <t>Starting at 21:53:26, 61st 2N seemed to fluctuate between permissive and stopping aspects</t>
  </si>
  <si>
    <t>Re-init at 40th</t>
  </si>
  <si>
    <t>JOHN</t>
  </si>
  <si>
    <t>KELVIN</t>
  </si>
  <si>
    <t>IAN</t>
  </si>
  <si>
    <t>KURT</t>
  </si>
  <si>
    <t>JARED</t>
  </si>
  <si>
    <t>ALEX</t>
  </si>
  <si>
    <t>MICHAEL</t>
  </si>
  <si>
    <t>DAVID</t>
  </si>
  <si>
    <t>ANGELINA</t>
  </si>
  <si>
    <t>AEIMEN</t>
  </si>
  <si>
    <t>DARREN</t>
  </si>
  <si>
    <t>DAGNEW</t>
  </si>
  <si>
    <t>HARRY</t>
  </si>
  <si>
    <t>D. EDY</t>
  </si>
  <si>
    <t>ROSS</t>
  </si>
  <si>
    <t>KIANDRA</t>
  </si>
  <si>
    <t>REYNALDO</t>
  </si>
  <si>
    <t>ELSHADAY</t>
  </si>
  <si>
    <t>GARY</t>
  </si>
  <si>
    <t>RICHARD</t>
  </si>
  <si>
    <t>SAMANTHA</t>
  </si>
  <si>
    <t>BRADLEY</t>
  </si>
  <si>
    <t>CRAIG</t>
  </si>
  <si>
    <t>JACOB</t>
  </si>
  <si>
    <t>DUANE</t>
  </si>
  <si>
    <t>SCOTT</t>
  </si>
  <si>
    <t>DIANE</t>
  </si>
  <si>
    <t>JAMES</t>
  </si>
  <si>
    <t>Last + First</t>
  </si>
  <si>
    <t>Employee First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</si>
</sst>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5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48"/>
  <sheetViews>
    <sheetView workbookViewId="0">
      <selection activeCell="L17" sqref="L17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85546875" style="28" customWidth="1"/>
    <col min="13" max="13" width="9.5703125" style="40" customWidth="1"/>
    <col min="14" max="14" width="2.85546875" style="41" customWidth="1"/>
    <col min="15" max="15" width="2.855468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1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6"/>
      <c r="V1" s="40"/>
      <c r="W1" s="41"/>
      <c r="X1" s="165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42704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42704</v>
      </c>
      <c r="S2" s="72"/>
      <c r="T2" s="73"/>
      <c r="U2" s="167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8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144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69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COUNTIFS($N$13:$N$9372,"&gt;0",$AG$13:$AG$9372,I1)</f>
        <v>140</v>
      </c>
      <c r="K5" s="44"/>
      <c r="L5" s="44"/>
      <c r="M5" s="45">
        <f>AVERAGEIFS($N$13:$N$9372,$AG$13:$AG$9372,I1)</f>
        <v>36.834047619361499</v>
      </c>
      <c r="N5" s="43">
        <f t="array" ref="N5">MIN(IF($AG$13:$AG$9372=I1,IF(ISNUMBER($N$13:$N$9372),IF($N$13:$N$9372&gt;0,$N$13:$N$9372))))</f>
        <v>34.350000004051253</v>
      </c>
      <c r="O5" s="3">
        <f t="array" ref="O5">MAX(IF($AG$13:$AG$9372=I1,IF(ISNUMBER($N$13:$N$9372),IF($N$13:$N$9372&gt;0,$N$13:$N$9372))))</f>
        <v>43.633333328180015</v>
      </c>
      <c r="P5" s="2"/>
      <c r="R5" s="80" t="s">
        <v>17</v>
      </c>
      <c r="S5" s="55">
        <f>COUNTIFS($N$13:$N$9372,"&gt;0",$AG$13:$AG$9372,R1)</f>
        <v>47</v>
      </c>
      <c r="T5" s="44"/>
      <c r="U5" s="169"/>
      <c r="V5" s="45">
        <f>AVERAGEIFS($N$13:$N$9372,$AG$13:$AG$9372,R1)</f>
        <v>15.129078013445945</v>
      </c>
      <c r="W5" s="43">
        <f t="array" ref="W5">MIN(IF($AG$13:$AG$9372=R1,IF(ISNUMBER($N$13:$N$9372),IF($N$13:$N$9372&gt;0,$N$13:$N$9372))))</f>
        <v>13.16666666418314</v>
      </c>
      <c r="X5" s="173">
        <f t="array" ref="X5">MAX(IF($AG$13:$AG$9372=R1,IF(ISNUMBER($N$13:$N$9372),IF($N$13:$N$9372&gt;0,$N$13:$N$9372))))</f>
        <v>19.233333334559575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COUNT($O$13:$O$153)</f>
        <v>0</v>
      </c>
      <c r="K6" s="44"/>
      <c r="L6" s="44"/>
      <c r="M6" s="45">
        <f>IFERROR(AVERAGE($O$13:$O$153),0)</f>
        <v>0</v>
      </c>
      <c r="N6" s="43">
        <f>MIN($O$13:$O$153)</f>
        <v>0</v>
      </c>
      <c r="O6" s="3">
        <f>MAX($O$13:$O$153)</f>
        <v>0</v>
      </c>
      <c r="P6" s="2"/>
      <c r="R6" s="81" t="s">
        <v>43</v>
      </c>
      <c r="S6" s="55">
        <f>COUNT($O$13:$O$153)</f>
        <v>0</v>
      </c>
      <c r="T6" s="44"/>
      <c r="U6" s="169"/>
      <c r="V6" s="45">
        <f>IFERROR(AVERAGE($O$13:$O$153),0)</f>
        <v>0</v>
      </c>
      <c r="W6" s="43">
        <f>MIN($O$13:$O$153)</f>
        <v>0</v>
      </c>
      <c r="X6" s="173">
        <f>MAX($O$13:$O$153)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COUNTIFS($P$13:$P$9372,"&gt;0",$AG$13:$AG$9372,I1)</f>
        <v>4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COUNTIFS($P$13:$P$9372,"&gt;0",$AG$13:$AG$9372,R1)</f>
        <v>0</v>
      </c>
      <c r="T7" s="44"/>
      <c r="U7" s="169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140</v>
      </c>
      <c r="K8" s="44"/>
      <c r="L8" s="44"/>
      <c r="M8" s="45">
        <f>M5</f>
        <v>36.834047619361499</v>
      </c>
      <c r="N8" s="43">
        <f>N5</f>
        <v>34.350000004051253</v>
      </c>
      <c r="O8" s="3">
        <f>O5</f>
        <v>43.633333328180015</v>
      </c>
      <c r="P8" s="2"/>
      <c r="R8" s="80" t="s">
        <v>16</v>
      </c>
      <c r="S8" s="55">
        <f>S5</f>
        <v>47</v>
      </c>
      <c r="T8" s="44"/>
      <c r="U8" s="169"/>
      <c r="V8" s="45">
        <f>V5</f>
        <v>15.129078013445945</v>
      </c>
      <c r="W8" s="43">
        <f>W5</f>
        <v>13.16666666418314</v>
      </c>
      <c r="X8" s="173">
        <f>X5</f>
        <v>19.233333334559575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6">
        <f>J8/J4</f>
        <v>0.97222222222222221</v>
      </c>
      <c r="K9" s="46"/>
      <c r="L9" s="46"/>
      <c r="M9" s="83"/>
      <c r="N9" s="41"/>
      <c r="O9" s="84"/>
      <c r="P9" s="2"/>
      <c r="R9" s="80" t="s">
        <v>19</v>
      </c>
      <c r="S9" s="146">
        <f>S8/S4</f>
        <v>1</v>
      </c>
      <c r="T9" s="46"/>
      <c r="U9" s="166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5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3" t="str">
        <f>"Eagle P3 System Performance - "&amp;TEXT(Variables!A2,"yyyy-mm-dd")</f>
        <v>Eagle P3 System Performance - 2016-11-30</v>
      </c>
      <c r="B11" s="183"/>
      <c r="C11" s="183"/>
      <c r="D11" s="183"/>
      <c r="E11" s="183"/>
      <c r="F11" s="183"/>
      <c r="G11" s="183"/>
      <c r="H11" s="183"/>
      <c r="I11" s="183"/>
      <c r="J11" s="183"/>
      <c r="K11" s="183"/>
      <c r="L11" s="183"/>
      <c r="M11" s="183"/>
      <c r="N11" s="183"/>
      <c r="O11" s="183"/>
      <c r="P11" s="183"/>
      <c r="S11" s="69">
        <f>AVERAGE(S13:S104)</f>
        <v>0.99725274725274726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8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548</v>
      </c>
      <c r="B13" s="7">
        <v>4038</v>
      </c>
      <c r="C13" s="22" t="s">
        <v>212</v>
      </c>
      <c r="D13" s="22" t="s">
        <v>748</v>
      </c>
      <c r="E13" s="13">
        <v>42704.128958333335</v>
      </c>
      <c r="F13" s="13">
        <v>42704.135671296295</v>
      </c>
      <c r="G13" s="7">
        <v>1</v>
      </c>
      <c r="H13" s="22" t="s">
        <v>749</v>
      </c>
      <c r="I13" s="13">
        <v>42704.161608796298</v>
      </c>
      <c r="J13" s="7">
        <v>0</v>
      </c>
      <c r="K13" s="109" t="str">
        <f t="shared" ref="K13:K76" si="0">IF(ISEVEN(B13),(B13-1)&amp;"/"&amp;B13,B13&amp;"/"&amp;(B13+1))</f>
        <v>4037/4038</v>
      </c>
      <c r="L13" s="22" t="str">
        <f>VLOOKUP(A13,'Trips&amp;Operators'!$C$1:$G$99999,5,FALSE)</f>
        <v>MAELZER KURT</v>
      </c>
      <c r="M13" s="6">
        <f t="shared" ref="M13:M76" si="1">I13-F13</f>
        <v>2.5937500002328306E-2</v>
      </c>
      <c r="N13" s="7">
        <f t="shared" ref="N13:N27" si="2">24*60*SUM($M13:$M13)</f>
        <v>37.350000003352761</v>
      </c>
      <c r="O13" s="7"/>
      <c r="P13" s="7"/>
      <c r="Q13" s="23"/>
      <c r="R13" s="23"/>
      <c r="S13" s="35">
        <f t="shared" ref="S13:S31" si="3">SUM(U13:U13)/IF(AG13="EC",12,1)</f>
        <v>1</v>
      </c>
      <c r="T13" s="50" t="str">
        <f t="shared" ref="T13:T76" si="4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https://search-rtdc-monitor-bjffxe2xuh6vdkpspy63sjmuny.us-east-1.es.amazonaws.com/_plugin/kibana/#/discover/Steve-Slow-Train-Analysis-(2080s-and-2083s)?_g=(refreshInterval:(display:Off,section:0,value:0),time:(from:'2016-11-30 02:05:42-700',mode:absolute,to:'2016-11-30 04:52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3" s="52" t="str">
        <f t="shared" ref="W13:W76" si="6">IF(AA13&lt;IF(AG13="EC",23,5.65),"Y","N")</f>
        <v>N</v>
      </c>
      <c r="X13" s="177" t="e">
        <f t="shared" ref="X13:X44" si="7">VALUE(LEFT(AD13,4))-VALUE(LEFT(AD12,4))</f>
        <v>#VALUE!</v>
      </c>
      <c r="Y13" s="67">
        <f t="shared" ref="Y13:Y76" si="8">RIGHT(D13,LEN(D13)-4)/10000</f>
        <v>7.1900000000000006E-2</v>
      </c>
      <c r="Z13" s="67">
        <f t="shared" ref="Z13:Z76" si="9">RIGHT(H13,LEN(H13)-4)/10000</f>
        <v>23.334900000000001</v>
      </c>
      <c r="AA13" s="67">
        <f t="shared" ref="AA13:AA76" si="10">ABS(Z13-Y13)</f>
        <v>23.263000000000002</v>
      </c>
      <c r="AB13" s="64" t="e">
        <f>VLOOKUP(A13,Enforcements!$C$7:$K$20,8,0)</f>
        <v>#N/A</v>
      </c>
      <c r="AC13" s="60" t="e">
        <f>VLOOKUP(A13,Enforcements!$C$7:$E$20,3,0)</f>
        <v>#N/A</v>
      </c>
      <c r="AD13" s="61" t="str">
        <f t="shared" ref="AD13:AD76" si="11">IF(LEN(A13)=6,"0"&amp;A13,A13)</f>
        <v>0101-30</v>
      </c>
      <c r="AE13" s="91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s3://rtdc.mdm.uploadarchive.raw/RTDC4038/ "%USERPROFILE%\AppData\Local\Temp\OnboardLogs"\RTDC4038\2016-11-30 --exclude "*" --recursive --include "*20161130*" &amp; "%USERPROFILE%\Documents\GitHub\mrs-test-scripts\Headless Mode &amp; Sideloading\WalkAndUnGZ.bat" "%USERPROFILE%\AppData\Local\Temp\OnboardLogs"\RTDC4038\2016-11-30 &amp; aws s3 cp s3://rtdc.mdm.uploadarchive.raw/RTDC4038/ "%USERPROFILE%\AppData\Local\Temp\OnboardLogs"\RTDC4038\2016-12-01 --exclude "*" --recursive --include "*20161201*" &amp; "%USERPROFILE%\Documents\GitHub\mrs-test-scripts\Headless Mode &amp; Sideloading\WalkAndUnGZ.bat" "%USERPROFILE%\AppData\Local\Temp\OnboardLogs"\RTDC4038\2016-12-01</v>
      </c>
      <c r="AF13" s="88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/stypes="app*4038*20161130*" /stext=" 10:.+((SYSTEM_STATE.+slice.+state.+changed )|(ment ac)|(multiple cpu faults)|(system.+state.+changed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101-30 --locoid 4038 --swversion DE.1.0.8.0 --startMP 204:719 --initTime 2016-11-30T03:05:42 --startdatetime 2016-11-30T03:15:22 --delay 1 --endMP 204:233349 --enddatetime 2016-11-30T03:52:43 --enforcementcount 0 &gt;&gt;C:\Users\stu\Documents\GitHub\eaglep3-reporting\EC\2016-11-30-refined-times.txt</v>
      </c>
      <c r="AI13" s="11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{"issue":{"subject":"","project_id":79,"tracker_id":40,"status_id":1,"priority_id":2,"assigned_to_id":23,"start_date":"2016-11-30","description":"","custom_fields":[{"id":1,"name":"Subdivision","value":"EC"},{"id":4,"name":"Milepost","value":"23.3349"},{"id":17,"name":"Train ID","value":"101-30"},{"id":16,"name":"Locomotive ID","value":"4038"},{"id":130,"name":"Impact","value":""},{"id":150,"name":"Time of Event (Mountain Time)","value":"03:52:43"},{"id":151,"name":"Denver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7" t="s">
        <v>554</v>
      </c>
      <c r="B14" s="7">
        <v>4043</v>
      </c>
      <c r="C14" s="22" t="s">
        <v>212</v>
      </c>
      <c r="D14" s="22" t="s">
        <v>750</v>
      </c>
      <c r="E14" s="13">
        <v>42704.170844907407</v>
      </c>
      <c r="F14" s="13">
        <v>42704.174826388888</v>
      </c>
      <c r="G14" s="7">
        <v>1</v>
      </c>
      <c r="H14" s="22" t="s">
        <v>192</v>
      </c>
      <c r="I14" s="13">
        <v>42704.200833333336</v>
      </c>
      <c r="J14" s="7">
        <v>0</v>
      </c>
      <c r="K14" s="109" t="str">
        <f t="shared" si="0"/>
        <v>4043/4044</v>
      </c>
      <c r="L14" s="22" t="str">
        <f>VLOOKUP(A14,'Trips&amp;Operators'!$C$1:$G$99999,5,FALSE)</f>
        <v>MAELZER KURT</v>
      </c>
      <c r="M14" s="6">
        <f t="shared" si="1"/>
        <v>2.6006944448454306E-2</v>
      </c>
      <c r="N14" s="7">
        <f t="shared" si="2"/>
        <v>37.4500000057742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https://search-rtdc-monitor-bjffxe2xuh6vdkpspy63sjmuny.us-east-1.es.amazonaws.com/_plugin/kibana/#/discover/Steve-Slow-Train-Analysis-(2080s-and-2083s)?_g=(refreshInterval:(display:Off,section:0,value:0),time:(from:'2016-11-30 03:06:01-700',mode:absolute,to:'2016-11-30 05:49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4" s="52" t="str">
        <f t="shared" si="6"/>
        <v>N</v>
      </c>
      <c r="X14" s="177">
        <f t="shared" si="7"/>
        <v>1</v>
      </c>
      <c r="Y14" s="67">
        <f t="shared" si="8"/>
        <v>23.271100000000001</v>
      </c>
      <c r="Z14" s="67">
        <f t="shared" si="9"/>
        <v>1.49E-2</v>
      </c>
      <c r="AA14" s="67">
        <f t="shared" si="10"/>
        <v>23.2562</v>
      </c>
      <c r="AB14" s="64" t="e">
        <f>VLOOKUP(A14,Enforcements!$C$7:$K$20,8,0)</f>
        <v>#N/A</v>
      </c>
      <c r="AC14" s="60" t="e">
        <f>VLOOKUP(A14,Enforcements!$C$7:$E$20,3,0)</f>
        <v>#N/A</v>
      </c>
      <c r="AD14" s="61" t="str">
        <f t="shared" si="11"/>
        <v>0102-30</v>
      </c>
      <c r="AE14" s="91" t="str">
        <f t="shared" si="12"/>
        <v>aws s3 cp s3://rtdc.mdm.uploadarchive.raw/RTDC4043/ "%USERPROFILE%\AppData\Local\Temp\OnboardLogs"\RTDC4043\2016-11-30 --exclude "*" --recursive --include "*20161130*" &amp; "%USERPROFILE%\Documents\GitHub\mrs-test-scripts\Headless Mode &amp; Sideloading\WalkAndUnGZ.bat" "%USERPROFILE%\AppData\Local\Temp\OnboardLogs"\RTDC4043\2016-11-30 &amp; aws s3 cp s3://rtdc.mdm.uploadarchive.raw/RTDC4043/ "%USERPROFILE%\AppData\Local\Temp\OnboardLogs"\RTDC4043\2016-12-01 --exclude "*" --recursive --include "*20161201*" &amp; "%USERPROFILE%\Documents\GitHub\mrs-test-scripts\Headless Mode &amp; Sideloading\WalkAndUnGZ.bat" "%USERPROFILE%\AppData\Local\Temp\OnboardLogs"\RTDC4043\2016-12-01</v>
      </c>
      <c r="AF14" s="88" t="str">
        <f t="shared" si="13"/>
        <v>"C:\Program Files (x86)\AstroGrep\AstroGrep.exe" /spath="%USERPROFILE%\AppData\Local\Temp\OnboardLogs" /stypes="app*4043*20161130*" /stext=" 11:.+((SYSTEM_STATE.+slice.+state.+changed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92" t="str">
        <f t="shared" ref="AH14:AH77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102-30 --locoid 4043 --swversion DE.1.0.8.0 --startMP 204:232711 --initTime 2016-11-30T04:06:01 --startdatetime 2016-11-30T04:11:45 --delay 1 --endMP 204:149 --enddatetime 2016-11-30T04:49:12 --enforcementcount 0 &gt;&gt;C:\Users\stu\Documents\GitHub\eaglep3-reporting\EC\2016-11-30-refined-times.txt</v>
      </c>
      <c r="AI14" s="119" t="str">
        <f t="shared" ref="AI14:AI77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{"issue":{"subject":"","project_id":79,"tracker_id":40,"status_id":1,"priority_id":2,"assigned_to_id":23,"start_date":"2016-11-30","description":"","custom_fields":[{"id":1,"name":"Subdivision","value":"EC"},{"id":4,"name":"Milepost","value":"0.0149"},{"id":17,"name":"Train ID","value":"102-30"},{"id":16,"name":"Locomotive ID","value":"4043"},{"id":130,"name":"Impact","value":""},{"id":150,"name":"Time of Event (Mountain Time)","value":"04:49:12"},{"id":151,"name":"Denver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519</v>
      </c>
      <c r="B15" s="7">
        <v>4031</v>
      </c>
      <c r="C15" s="22" t="s">
        <v>212</v>
      </c>
      <c r="D15" s="22" t="s">
        <v>751</v>
      </c>
      <c r="E15" s="13">
        <v>42704.15252314815</v>
      </c>
      <c r="F15" s="13">
        <v>42704.156539351854</v>
      </c>
      <c r="G15" s="7">
        <v>1</v>
      </c>
      <c r="H15" s="22" t="s">
        <v>277</v>
      </c>
      <c r="I15" s="13">
        <v>42704.181643518517</v>
      </c>
      <c r="J15" s="7">
        <v>0</v>
      </c>
      <c r="K15" s="109" t="str">
        <f t="shared" si="0"/>
        <v>4031/4032</v>
      </c>
      <c r="L15" s="22" t="str">
        <f>VLOOKUP(A15,'Trips&amp;Operators'!$C$1:$G$99999,5,FALSE)</f>
        <v>ACKERMAN JARED</v>
      </c>
      <c r="M15" s="6">
        <f t="shared" si="1"/>
        <v>2.5104166663368233E-2</v>
      </c>
      <c r="N15" s="7">
        <f t="shared" si="2"/>
        <v>36.149999995250255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https://search-rtdc-monitor-bjffxe2xuh6vdkpspy63sjmuny.us-east-1.es.amazonaws.com/_plugin/kibana/#/discover/Steve-Slow-Train-Analysis-(2080s-and-2083s)?_g=(refreshInterval:(display:Off,section:0,value:0),time:(from:'2016-11-30 02:39:38-700',mode:absolute,to:'2016-11-30 05:21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5" s="52" t="str">
        <f t="shared" si="6"/>
        <v>N</v>
      </c>
      <c r="X15" s="177">
        <f t="shared" si="7"/>
        <v>1</v>
      </c>
      <c r="Y15" s="67">
        <f t="shared" si="8"/>
        <v>6.7299999999999999E-2</v>
      </c>
      <c r="Z15" s="67">
        <f t="shared" si="9"/>
        <v>23.329799999999999</v>
      </c>
      <c r="AA15" s="67">
        <f t="shared" si="10"/>
        <v>23.262499999999999</v>
      </c>
      <c r="AB15" s="64" t="e">
        <f>VLOOKUP(A15,Enforcements!$C$7:$K$20,8,0)</f>
        <v>#N/A</v>
      </c>
      <c r="AC15" s="60" t="e">
        <f>VLOOKUP(A15,Enforcements!$C$7:$E$20,3,0)</f>
        <v>#N/A</v>
      </c>
      <c r="AD15" s="61" t="str">
        <f t="shared" si="11"/>
        <v>0103-30</v>
      </c>
      <c r="AE15" s="91" t="str">
        <f t="shared" si="12"/>
        <v>aws s3 cp s3://rtdc.mdm.uploadarchive.raw/RTDC4031/ "%USERPROFILE%\AppData\Local\Temp\OnboardLogs"\RTDC4031\2016-11-30 --exclude "*" --recursive --include "*20161130*" &amp; "%USERPROFILE%\Documents\GitHub\mrs-test-scripts\Headless Mode &amp; Sideloading\WalkAndUnGZ.bat" "%USERPROFILE%\AppData\Local\Temp\OnboardLogs"\RTDC4031\2016-11-30 &amp; aws s3 cp s3://rtdc.mdm.uploadarchive.raw/RTDC4031/ "%USERPROFILE%\AppData\Local\Temp\OnboardLogs"\RTDC4031\2016-12-01 --exclude "*" --recursive --include "*20161201*" &amp; "%USERPROFILE%\Documents\GitHub\mrs-test-scripts\Headless Mode &amp; Sideloading\WalkAndUnGZ.bat" "%USERPROFILE%\AppData\Local\Temp\OnboardLogs"\RTDC4031\2016-12-01</v>
      </c>
      <c r="AF15" s="88" t="str">
        <f t="shared" si="13"/>
        <v>"C:\Program Files (x86)\AstroGrep\AstroGrep.exe" /spath="%USERPROFILE%\AppData\Local\Temp\OnboardLogs" /stypes="app*4031*20161130*" /stext=" 11:.+((SYSTEM_STATE.+slice.+state.+changed )|(ment ac)|(multiple cpu faults)|(system.+state.+changed )|(\[timeout)|(PRM\|1\|D)|(kpr)|(kdp)|(\|lc)|(penalty))"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103-30 --locoid 4031 --swversion DE.1.0.8.0 --startMP 204:673 --initTime 2016-11-30T03:39:38 --startdatetime 2016-11-30T03:45:25 --delay 1 --endMP 204:233298 --enddatetime 2016-11-30T04:21:34 --enforcementcount 0 &gt;&gt;C:\Users\stu\Documents\GitHub\eaglep3-reporting\EC\2016-11-30-refined-times.txt</v>
      </c>
      <c r="AI15" s="119" t="str">
        <f t="shared" si="18"/>
        <v>echo {"issue":{"subject":"","project_id":79,"tracker_id":40,"status_id":1,"priority_id":2,"assigned_to_id":23,"start_date":"2016-11-30","description":"","custom_fields":[{"id":1,"name":"Subdivision","value":"EC"},{"id":4,"name":"Milepost","value":"23.3298"},{"id":17,"name":"Train ID","value":"103-30"},{"id":16,"name":"Locomotive ID","value":"4031"},{"id":130,"name":"Impact","value":""},{"id":150,"name":"Time of Event (Mountain Time)","value":"04:21:34"},{"id":151,"name":"Denver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558</v>
      </c>
      <c r="B16" s="7">
        <v>4045</v>
      </c>
      <c r="C16" s="22" t="s">
        <v>212</v>
      </c>
      <c r="D16" s="22" t="s">
        <v>752</v>
      </c>
      <c r="E16" s="13">
        <v>42704.18922453704</v>
      </c>
      <c r="F16" s="13">
        <v>42704.195347222223</v>
      </c>
      <c r="G16" s="7">
        <v>1</v>
      </c>
      <c r="H16" s="22" t="s">
        <v>324</v>
      </c>
      <c r="I16" s="13">
        <v>42704.222650462965</v>
      </c>
      <c r="J16" s="7">
        <v>0</v>
      </c>
      <c r="K16" s="109" t="str">
        <f t="shared" si="0"/>
        <v>4045/4046</v>
      </c>
      <c r="L16" s="22" t="str">
        <f>VLOOKUP(A16,'Trips&amp;Operators'!$C$1:$G$99999,5,FALSE)</f>
        <v>ACKERMAN JARED</v>
      </c>
      <c r="M16" s="6">
        <f t="shared" si="1"/>
        <v>2.7303240742185153E-2</v>
      </c>
      <c r="N16" s="7">
        <f t="shared" si="2"/>
        <v>39.31666666874662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https://search-rtdc-monitor-bjffxe2xuh6vdkpspy63sjmuny.us-east-1.es.amazonaws.com/_plugin/kibana/#/discover/Steve-Slow-Train-Analysis-(2080s-and-2083s)?_g=(refreshInterval:(display:Off,section:0,value:0),time:(from:'2016-11-30 03:32:29-700',mode:absolute,to:'2016-11-30 06:20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6" s="52" t="str">
        <f t="shared" si="6"/>
        <v>N</v>
      </c>
      <c r="X16" s="177">
        <f t="shared" si="7"/>
        <v>1</v>
      </c>
      <c r="Y16" s="67">
        <f t="shared" si="8"/>
        <v>23.266400000000001</v>
      </c>
      <c r="Z16" s="67">
        <f t="shared" si="9"/>
        <v>1.6299999999999999E-2</v>
      </c>
      <c r="AA16" s="67">
        <f t="shared" si="10"/>
        <v>23.2501</v>
      </c>
      <c r="AB16" s="64" t="e">
        <f>VLOOKUP(A16,Enforcements!$C$7:$K$20,8,0)</f>
        <v>#N/A</v>
      </c>
      <c r="AC16" s="60" t="e">
        <f>VLOOKUP(A16,Enforcements!$C$7:$E$20,3,0)</f>
        <v>#N/A</v>
      </c>
      <c r="AD16" s="61" t="str">
        <f t="shared" si="11"/>
        <v>0104-30</v>
      </c>
      <c r="AE16" s="91" t="str">
        <f t="shared" si="12"/>
        <v>aws s3 cp s3://rtdc.mdm.uploadarchive.raw/RTDC4045/ "%USERPROFILE%\AppData\Local\Temp\OnboardLogs"\RTDC4045\2016-11-30 --exclude "*" --recursive --include "*20161130*" &amp; "%USERPROFILE%\Documents\GitHub\mrs-test-scripts\Headless Mode &amp; Sideloading\WalkAndUnGZ.bat" "%USERPROFILE%\AppData\Local\Temp\OnboardLogs"\RTDC4045\2016-11-30 &amp; aws s3 cp s3://rtdc.mdm.uploadarchive.raw/RTDC4045/ "%USERPROFILE%\AppData\Local\Temp\OnboardLogs"\RTDC4045\2016-12-01 --exclude "*" --recursive --include "*20161201*" &amp; "%USERPROFILE%\Documents\GitHub\mrs-test-scripts\Headless Mode &amp; Sideloading\WalkAndUnGZ.bat" "%USERPROFILE%\AppData\Local\Temp\OnboardLogs"\RTDC4045\2016-12-01</v>
      </c>
      <c r="AF16" s="88" t="str">
        <f t="shared" si="13"/>
        <v>"C:\Program Files (x86)\AstroGrep\AstroGrep.exe" /spath="%USERPROFILE%\AppData\Local\Temp\OnboardLogs" /stypes="app*4045*20161130*" /stext=" 12:.+((SYSTEM_STATE.+slice.+state.+changed )|(ment ac)|(multiple cpu faults)|(system.+state.+changed )|(\[timeout)|(PRM\|1\|D)|(kpr)|(kdp)|(\|lc)|(penalty))"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104-30 --locoid 4045 --swversion DE.1.0.8.0 --startMP 204:232664 --initTime 2016-11-30T04:32:29 --startdatetime 2016-11-30T04:41:18 --delay 1 --endMP 204:163 --enddatetime 2016-11-30T05:20:37 --enforcementcount 0 &gt;&gt;C:\Users\stu\Documents\GitHub\eaglep3-reporting\EC\2016-11-30-refined-times.txt</v>
      </c>
      <c r="AI16" s="119" t="str">
        <f t="shared" si="18"/>
        <v>echo {"issue":{"subject":"","project_id":79,"tracker_id":40,"status_id":1,"priority_id":2,"assigned_to_id":23,"start_date":"2016-11-30","description":"","custom_fields":[{"id":1,"name":"Subdivision","value":"EC"},{"id":4,"name":"Milepost","value":"0.0163"},{"id":17,"name":"Train ID","value":"104-30"},{"id":16,"name":"Locomotive ID","value":"4045"},{"id":130,"name":"Impact","value":""},{"id":150,"name":"Time of Event (Mountain Time)","value":"05:20:37"},{"id":151,"name":"Denver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553</v>
      </c>
      <c r="B17" s="7">
        <v>4022</v>
      </c>
      <c r="C17" s="22" t="s">
        <v>212</v>
      </c>
      <c r="D17" s="22" t="s">
        <v>753</v>
      </c>
      <c r="E17" s="13">
        <v>42704.167534722219</v>
      </c>
      <c r="F17" s="13">
        <v>42704.177291666667</v>
      </c>
      <c r="G17" s="7">
        <v>1</v>
      </c>
      <c r="H17" s="22" t="s">
        <v>351</v>
      </c>
      <c r="I17" s="13">
        <v>42704.202199074076</v>
      </c>
      <c r="J17" s="7">
        <v>0</v>
      </c>
      <c r="K17" s="109" t="str">
        <f t="shared" si="0"/>
        <v>4021/4022</v>
      </c>
      <c r="L17" s="22" t="str">
        <f>VLOOKUP(A17,'Trips&amp;Operators'!$C$1:$G$99999,5,FALSE)</f>
        <v>DE LA ROSA ALEX</v>
      </c>
      <c r="M17" s="6">
        <f t="shared" si="1"/>
        <v>2.4907407409045845E-2</v>
      </c>
      <c r="N17" s="7">
        <f t="shared" si="2"/>
        <v>35.866666669026017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https://search-rtdc-monitor-bjffxe2xuh6vdkpspy63sjmuny.us-east-1.es.amazonaws.com/_plugin/kibana/#/discover/Steve-Slow-Train-Analysis-(2080s-and-2083s)?_g=(refreshInterval:(display:Off,section:0,value:0),time:(from:'2016-11-30 03:01:15-700',mode:absolute,to:'2016-11-30 05:51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7" s="52" t="str">
        <f t="shared" si="6"/>
        <v>N</v>
      </c>
      <c r="X17" s="177">
        <f t="shared" si="7"/>
        <v>1</v>
      </c>
      <c r="Y17" s="67">
        <f t="shared" si="8"/>
        <v>7.6300000000000007E-2</v>
      </c>
      <c r="Z17" s="67">
        <f t="shared" si="9"/>
        <v>23.33</v>
      </c>
      <c r="AA17" s="67">
        <f t="shared" si="10"/>
        <v>23.253699999999998</v>
      </c>
      <c r="AB17" s="64" t="e">
        <f>VLOOKUP(A17,Enforcements!$C$7:$K$20,8,0)</f>
        <v>#N/A</v>
      </c>
      <c r="AC17" s="60" t="e">
        <f>VLOOKUP(A17,Enforcements!$C$7:$E$20,3,0)</f>
        <v>#N/A</v>
      </c>
      <c r="AD17" s="61" t="str">
        <f t="shared" si="11"/>
        <v>0105-30</v>
      </c>
      <c r="AE17" s="91" t="str">
        <f t="shared" si="12"/>
        <v>aws s3 cp s3://rtdc.mdm.uploadarchive.raw/RTDC4022/ "%USERPROFILE%\AppData\Local\Temp\OnboardLogs"\RTDC4022\2016-11-30 --exclude "*" --recursive --include "*20161130*" &amp; "%USERPROFILE%\Documents\GitHub\mrs-test-scripts\Headless Mode &amp; Sideloading\WalkAndUnGZ.bat" "%USERPROFILE%\AppData\Local\Temp\OnboardLogs"\RTDC4022\2016-11-30 &amp; aws s3 cp s3://rtdc.mdm.uploadarchive.raw/RTDC4022/ "%USERPROFILE%\AppData\Local\Temp\OnboardLogs"\RTDC4022\2016-12-01 --exclude "*" --recursive --include "*20161201*" &amp; "%USERPROFILE%\Documents\GitHub\mrs-test-scripts\Headless Mode &amp; Sideloading\WalkAndUnGZ.bat" "%USERPROFILE%\AppData\Local\Temp\OnboardLogs"\RTDC4022\2016-12-01</v>
      </c>
      <c r="AF17" s="88" t="str">
        <f t="shared" si="13"/>
        <v>"C:\Program Files (x86)\AstroGrep\AstroGrep.exe" /spath="%USERPROFILE%\AppData\Local\Temp\OnboardLogs" /stypes="app*4022*20161130*" /stext=" 11:.+((SYSTEM_STATE.+slice.+state.+changed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105-30 --locoid 4022 --swversion DE.1.0.8.0 --startMP 204:763 --initTime 2016-11-30T04:01:15 --startdatetime 2016-11-30T04:15:18 --delay 1 --endMP 204:233300 --enddatetime 2016-11-30T04:51:10 --enforcementcount 0 &gt;&gt;C:\Users\stu\Documents\GitHub\eaglep3-reporting\EC\2016-11-30-refined-times.txt</v>
      </c>
      <c r="AI17" s="119" t="str">
        <f t="shared" si="18"/>
        <v>echo {"issue":{"subject":"","project_id":79,"tracker_id":40,"status_id":1,"priority_id":2,"assigned_to_id":23,"start_date":"2016-11-30","description":"","custom_fields":[{"id":1,"name":"Subdivision","value":"EC"},{"id":4,"name":"Milepost","value":"23.33"},{"id":17,"name":"Train ID","value":"105-30"},{"id":16,"name":"Locomotive ID","value":"4022"},{"id":130,"name":"Impact","value":""},{"id":150,"name":"Time of Event (Mountain Time)","value":"04:51:10"},{"id":151,"name":"Denver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561</v>
      </c>
      <c r="B18" s="7">
        <v>4010</v>
      </c>
      <c r="C18" s="22" t="s">
        <v>212</v>
      </c>
      <c r="D18" s="22" t="s">
        <v>489</v>
      </c>
      <c r="E18" s="13">
        <v>42704.210474537038</v>
      </c>
      <c r="F18" s="13">
        <v>42704.216145833336</v>
      </c>
      <c r="G18" s="7">
        <v>1</v>
      </c>
      <c r="H18" s="22" t="s">
        <v>255</v>
      </c>
      <c r="I18" s="13">
        <v>42704.243159722224</v>
      </c>
      <c r="J18" s="7">
        <v>0</v>
      </c>
      <c r="K18" s="109" t="str">
        <f t="shared" si="0"/>
        <v>4009/4010</v>
      </c>
      <c r="L18" s="22" t="str">
        <f>VLOOKUP(A18,'Trips&amp;Operators'!$C$1:$G$99999,5,FALSE)</f>
        <v>DE LA ROSA ALEX</v>
      </c>
      <c r="M18" s="6">
        <f t="shared" si="1"/>
        <v>2.7013888888177462E-2</v>
      </c>
      <c r="N18" s="7">
        <f t="shared" si="2"/>
        <v>38.899999998975545</v>
      </c>
      <c r="O18" s="7"/>
      <c r="P18" s="7"/>
      <c r="Q18" s="23"/>
      <c r="R18" s="23"/>
      <c r="S18" s="35">
        <f t="shared" si="3"/>
        <v>1</v>
      </c>
      <c r="T18" s="50" t="str">
        <f t="shared" si="4"/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https://search-rtdc-monitor-bjffxe2xuh6vdkpspy63sjmuny.us-east-1.es.amazonaws.com/_plugin/kibana/#/discover/Steve-Slow-Train-Analysis-(2080s-and-2083s)?_g=(refreshInterval:(display:Off,section:0,value:0),time:(from:'2016-11-30 04:03:05-700',mode:absolute,to:'2016-11-30 06:50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8" s="52" t="str">
        <f t="shared" si="6"/>
        <v>N</v>
      </c>
      <c r="X18" s="177">
        <f t="shared" si="7"/>
        <v>1</v>
      </c>
      <c r="Y18" s="67">
        <f t="shared" si="8"/>
        <v>23.267499999999998</v>
      </c>
      <c r="Z18" s="67">
        <f t="shared" si="9"/>
        <v>1.3899999999999999E-2</v>
      </c>
      <c r="AA18" s="67">
        <f t="shared" si="10"/>
        <v>23.253599999999999</v>
      </c>
      <c r="AB18" s="64" t="e">
        <f>VLOOKUP(A18,Enforcements!$C$7:$K$20,8,0)</f>
        <v>#N/A</v>
      </c>
      <c r="AC18" s="60" t="e">
        <f>VLOOKUP(A18,Enforcements!$C$7:$E$20,3,0)</f>
        <v>#N/A</v>
      </c>
      <c r="AD18" s="61" t="str">
        <f t="shared" si="11"/>
        <v>0106-30</v>
      </c>
      <c r="AE18" s="91" t="str">
        <f t="shared" si="12"/>
        <v>aws s3 cp s3://rtdc.mdm.uploadarchive.raw/RTDC4010/ "%USERPROFILE%\AppData\Local\Temp\OnboardLogs"\RTDC4010\2016-11-30 --exclude "*" --recursive --include "*20161130*" &amp; "%USERPROFILE%\Documents\GitHub\mrs-test-scripts\Headless Mode &amp; Sideloading\WalkAndUnGZ.bat" "%USERPROFILE%\AppData\Local\Temp\OnboardLogs"\RTDC4010\2016-11-30 &amp; aws s3 cp s3://rtdc.mdm.uploadarchive.raw/RTDC4010/ "%USERPROFILE%\AppData\Local\Temp\OnboardLogs"\RTDC4010\2016-12-01 --exclude "*" --recursive --include "*20161201*" &amp; "%USERPROFILE%\Documents\GitHub\mrs-test-scripts\Headless Mode &amp; Sideloading\WalkAndUnGZ.bat" "%USERPROFILE%\AppData\Local\Temp\OnboardLogs"\RTDC4010\2016-12-01</v>
      </c>
      <c r="AF18" s="88" t="str">
        <f t="shared" si="13"/>
        <v>"C:\Program Files (x86)\AstroGrep\AstroGrep.exe" /spath="%USERPROFILE%\AppData\Local\Temp\OnboardLogs" /stypes="app*4010*20161130*" /stext=" 12:.+((SYSTEM_STATE.+slice.+state.+changed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106-30 --locoid 4010 --swversion DE.1.0.8.0 --startMP 204:232675 --initTime 2016-11-30T05:03:05 --startdatetime 2016-11-30T05:11:15 --delay 1 --endMP 204:139 --enddatetime 2016-11-30T05:50:09 --enforcementcount 0 &gt;&gt;C:\Users\stu\Documents\GitHub\eaglep3-reporting\EC\2016-11-30-refined-times.txt</v>
      </c>
      <c r="AI18" s="119" t="str">
        <f t="shared" si="18"/>
        <v>echo {"issue":{"subject":"","project_id":79,"tracker_id":40,"status_id":1,"priority_id":2,"assigned_to_id":23,"start_date":"2016-11-30","description":"","custom_fields":[{"id":1,"name":"Subdivision","value":"EC"},{"id":4,"name":"Milepost","value":"0.0139"},{"id":17,"name":"Train ID","value":"106-30"},{"id":16,"name":"Locomotive ID","value":"4010"},{"id":130,"name":"Impact","value":""},{"id":150,"name":"Time of Event (Mountain Time)","value":"05:50:09"},{"id":151,"name":"Denver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555</v>
      </c>
      <c r="B19" s="7">
        <v>4011</v>
      </c>
      <c r="C19" s="22" t="s">
        <v>212</v>
      </c>
      <c r="D19" s="22" t="s">
        <v>195</v>
      </c>
      <c r="E19" s="13">
        <v>42704.179849537039</v>
      </c>
      <c r="F19" s="13">
        <v>42704.187650462962</v>
      </c>
      <c r="G19" s="7">
        <v>1</v>
      </c>
      <c r="H19" s="22" t="s">
        <v>754</v>
      </c>
      <c r="I19" s="13">
        <v>42704.212673611109</v>
      </c>
      <c r="J19" s="7">
        <v>0</v>
      </c>
      <c r="K19" s="109" t="str">
        <f t="shared" si="0"/>
        <v>4011/4012</v>
      </c>
      <c r="L19" s="22" t="str">
        <f>VLOOKUP(A19,'Trips&amp;Operators'!$C$1:$G$99999,5,FALSE)</f>
        <v>SPECTOR MICHAEL</v>
      </c>
      <c r="M19" s="6">
        <f t="shared" si="1"/>
        <v>2.5023148147738539E-2</v>
      </c>
      <c r="N19" s="7">
        <f t="shared" si="2"/>
        <v>36.033333332743496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https://search-rtdc-monitor-bjffxe2xuh6vdkpspy63sjmuny.us-east-1.es.amazonaws.com/_plugin/kibana/#/discover/Steve-Slow-Train-Analysis-(2080s-and-2083s)?_g=(refreshInterval:(display:Off,section:0,value:0),time:(from:'2016-11-30 03:18:59-700',mode:absolute,to:'2016-11-30 06:06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9" s="52" t="str">
        <f t="shared" si="6"/>
        <v>N</v>
      </c>
      <c r="X19" s="177">
        <f t="shared" si="7"/>
        <v>1</v>
      </c>
      <c r="Y19" s="67">
        <f t="shared" si="8"/>
        <v>4.53E-2</v>
      </c>
      <c r="Z19" s="67">
        <f t="shared" si="9"/>
        <v>23.3309</v>
      </c>
      <c r="AA19" s="67">
        <f t="shared" si="10"/>
        <v>23.285599999999999</v>
      </c>
      <c r="AB19" s="64" t="e">
        <f>VLOOKUP(A19,Enforcements!$C$7:$K$20,8,0)</f>
        <v>#N/A</v>
      </c>
      <c r="AC19" s="60" t="e">
        <f>VLOOKUP(A19,Enforcements!$C$7:$E$20,3,0)</f>
        <v>#N/A</v>
      </c>
      <c r="AD19" s="61" t="str">
        <f t="shared" si="11"/>
        <v>0107-30</v>
      </c>
      <c r="AE19" s="91" t="str">
        <f t="shared" si="12"/>
        <v>aws s3 cp s3://rtdc.mdm.uploadarchive.raw/RTDC4011/ "%USERPROFILE%\AppData\Local\Temp\OnboardLogs"\RTDC4011\2016-11-30 --exclude "*" --recursive --include "*20161130*" &amp; "%USERPROFILE%\Documents\GitHub\mrs-test-scripts\Headless Mode &amp; Sideloading\WalkAndUnGZ.bat" "%USERPROFILE%\AppData\Local\Temp\OnboardLogs"\RTDC4011\2016-11-30 &amp; aws s3 cp s3://rtdc.mdm.uploadarchive.raw/RTDC4011/ "%USERPROFILE%\AppData\Local\Temp\OnboardLogs"\RTDC4011\2016-12-01 --exclude "*" --recursive --include "*20161201*" &amp; "%USERPROFILE%\Documents\GitHub\mrs-test-scripts\Headless Mode &amp; Sideloading\WalkAndUnGZ.bat" "%USERPROFILE%\AppData\Local\Temp\OnboardLogs"\RTDC4011\2016-12-01</v>
      </c>
      <c r="AF19" s="88" t="str">
        <f t="shared" si="13"/>
        <v>"C:\Program Files (x86)\AstroGrep\AstroGrep.exe" /spath="%USERPROFILE%\AppData\Local\Temp\OnboardLogs" /stypes="app*4011*20161130*" /stext=" 12:.+((SYSTEM_STATE.+slice.+state.+changed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107-30 --locoid 4011 --swversion DE.1.0.8.0 --startMP 204:453 --initTime 2016-11-30T04:18:59 --startdatetime 2016-11-30T04:30:13 --delay 1 --endMP 204:233309 --enddatetime 2016-11-30T05:06:15 --enforcementcount 0 &gt;&gt;C:\Users\stu\Documents\GitHub\eaglep3-reporting\EC\2016-11-30-refined-times.txt</v>
      </c>
      <c r="AI19" s="119" t="str">
        <f t="shared" si="18"/>
        <v>echo {"issue":{"subject":"","project_id":79,"tracker_id":40,"status_id":1,"priority_id":2,"assigned_to_id":23,"start_date":"2016-11-30","description":"","custom_fields":[{"id":1,"name":"Subdivision","value":"EC"},{"id":4,"name":"Milepost","value":"23.3309"},{"id":17,"name":"Train ID","value":"107-30"},{"id":16,"name":"Locomotive ID","value":"4011"},{"id":130,"name":"Impact","value":""},{"id":150,"name":"Time of Event (Mountain Time)","value":"05:06:15"},{"id":151,"name":"Denver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562</v>
      </c>
      <c r="B20" s="7">
        <v>4012</v>
      </c>
      <c r="C20" s="22" t="s">
        <v>212</v>
      </c>
      <c r="D20" s="22" t="s">
        <v>494</v>
      </c>
      <c r="E20" s="13">
        <v>42704.221574074072</v>
      </c>
      <c r="F20" s="13">
        <v>42704.2265625</v>
      </c>
      <c r="G20" s="7">
        <v>1</v>
      </c>
      <c r="H20" s="22" t="s">
        <v>219</v>
      </c>
      <c r="I20" s="13">
        <v>42704.252696759257</v>
      </c>
      <c r="J20" s="7">
        <v>0</v>
      </c>
      <c r="K20" s="109" t="str">
        <f t="shared" si="0"/>
        <v>4011/4012</v>
      </c>
      <c r="L20" s="22" t="str">
        <f>VLOOKUP(A20,'Trips&amp;Operators'!$C$1:$G$99999,5,FALSE)</f>
        <v>SPECTOR MICHAEL</v>
      </c>
      <c r="M20" s="6">
        <f t="shared" si="1"/>
        <v>2.6134259256650694E-2</v>
      </c>
      <c r="N20" s="7">
        <f t="shared" si="2"/>
        <v>37.633333329576999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https://search-rtdc-monitor-bjffxe2xuh6vdkpspy63sjmuny.us-east-1.es.amazonaws.com/_plugin/kibana/#/discover/Steve-Slow-Train-Analysis-(2080s-and-2083s)?_g=(refreshInterval:(display:Off,section:0,value:0),time:(from:'2016-11-30 04:19:04-700',mode:absolute,to:'2016-11-30 07:03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0" s="52" t="str">
        <f t="shared" si="6"/>
        <v>N</v>
      </c>
      <c r="X20" s="177">
        <f t="shared" si="7"/>
        <v>1</v>
      </c>
      <c r="Y20" s="67">
        <f t="shared" si="8"/>
        <v>23.2986</v>
      </c>
      <c r="Z20" s="67">
        <f t="shared" si="9"/>
        <v>1.4999999999999999E-2</v>
      </c>
      <c r="AA20" s="67">
        <f t="shared" si="10"/>
        <v>23.2836</v>
      </c>
      <c r="AB20" s="64" t="e">
        <f>VLOOKUP(A20,Enforcements!$C$7:$K$20,8,0)</f>
        <v>#N/A</v>
      </c>
      <c r="AC20" s="60" t="e">
        <f>VLOOKUP(A20,Enforcements!$C$7:$E$20,3,0)</f>
        <v>#N/A</v>
      </c>
      <c r="AD20" s="61" t="str">
        <f t="shared" si="11"/>
        <v>0108-30</v>
      </c>
      <c r="AE20" s="91" t="str">
        <f t="shared" si="12"/>
        <v>aws s3 cp s3://rtdc.mdm.uploadarchive.raw/RTDC4012/ "%USERPROFILE%\AppData\Local\Temp\OnboardLogs"\RTDC4012\2016-11-30 --exclude "*" --recursive --include "*20161130*" &amp; "%USERPROFILE%\Documents\GitHub\mrs-test-scripts\Headless Mode &amp; Sideloading\WalkAndUnGZ.bat" "%USERPROFILE%\AppData\Local\Temp\OnboardLogs"\RTDC4012\2016-11-30 &amp; aws s3 cp s3://rtdc.mdm.uploadarchive.raw/RTDC4012/ "%USERPROFILE%\AppData\Local\Temp\OnboardLogs"\RTDC4012\2016-12-01 --exclude "*" --recursive --include "*20161201*" &amp; "%USERPROFILE%\Documents\GitHub\mrs-test-scripts\Headless Mode &amp; Sideloading\WalkAndUnGZ.bat" "%USERPROFILE%\AppData\Local\Temp\OnboardLogs"\RTDC4012\2016-12-01</v>
      </c>
      <c r="AF20" s="88" t="str">
        <f t="shared" si="13"/>
        <v>"C:\Program Files (x86)\AstroGrep\AstroGrep.exe" /spath="%USERPROFILE%\AppData\Local\Temp\OnboardLogs" /stypes="app*4012*20161130*" /stext=" 13:.+((SYSTEM_STATE.+slice.+state.+changed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108-30 --locoid 4012 --swversion DE.1.0.8.0 --startMP 204:232986 --initTime 2016-11-30T05:19:04 --startdatetime 2016-11-30T05:26:15 --delay 1 --endMP 204:150 --enddatetime 2016-11-30T06:03:53 --enforcementcount 0 &gt;&gt;C:\Users\stu\Documents\GitHub\eaglep3-reporting\EC\2016-11-30-refined-times.txt</v>
      </c>
      <c r="AI20" s="119" t="str">
        <f t="shared" si="18"/>
        <v>echo {"issue":{"subject":"","project_id":79,"tracker_id":40,"status_id":1,"priority_id":2,"assigned_to_id":23,"start_date":"2016-11-30","description":"","custom_fields":[{"id":1,"name":"Subdivision","value":"EC"},{"id":4,"name":"Milepost","value":"0.015"},{"id":17,"name":"Train ID","value":"108-30"},{"id":16,"name":"Locomotive ID","value":"4012"},{"id":130,"name":"Impact","value":""},{"id":150,"name":"Time of Event (Mountain Time)","value":"06:03:53"},{"id":151,"name":"Denver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557</v>
      </c>
      <c r="B21" s="7">
        <v>4003</v>
      </c>
      <c r="C21" s="22" t="s">
        <v>212</v>
      </c>
      <c r="D21" s="22" t="s">
        <v>313</v>
      </c>
      <c r="E21" s="13">
        <v>42704.188993055555</v>
      </c>
      <c r="F21" s="13">
        <v>42704.198101851849</v>
      </c>
      <c r="G21" s="7">
        <v>1</v>
      </c>
      <c r="H21" s="22" t="s">
        <v>277</v>
      </c>
      <c r="I21" s="13">
        <v>42704.22315972222</v>
      </c>
      <c r="J21" s="7">
        <v>0</v>
      </c>
      <c r="K21" s="109" t="str">
        <f t="shared" si="0"/>
        <v>4003/4004</v>
      </c>
      <c r="L21" s="22" t="str">
        <f>VLOOKUP(A21,'Trips&amp;Operators'!$C$1:$G$99999,5,FALSE)</f>
        <v>KILLION DAVID</v>
      </c>
      <c r="M21" s="6">
        <f t="shared" si="1"/>
        <v>2.5057870370801538E-2</v>
      </c>
      <c r="N21" s="7">
        <f t="shared" si="2"/>
        <v>36.083333333954215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https://search-rtdc-monitor-bjffxe2xuh6vdkpspy63sjmuny.us-east-1.es.amazonaws.com/_plugin/kibana/#/discover/Steve-Slow-Train-Analysis-(2080s-and-2083s)?_g=(refreshInterval:(display:Off,section:0,value:0),time:(from:'2016-11-30 03:32:09-700',mode:absolute,to:'2016-11-30 06:21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1" s="52" t="str">
        <f t="shared" si="6"/>
        <v>N</v>
      </c>
      <c r="X21" s="177">
        <f t="shared" si="7"/>
        <v>1</v>
      </c>
      <c r="Y21" s="67">
        <f t="shared" si="8"/>
        <v>4.58E-2</v>
      </c>
      <c r="Z21" s="67">
        <f t="shared" si="9"/>
        <v>23.329799999999999</v>
      </c>
      <c r="AA21" s="67">
        <f t="shared" si="10"/>
        <v>23.283999999999999</v>
      </c>
      <c r="AB21" s="64" t="e">
        <f>VLOOKUP(A21,Enforcements!$C$7:$K$20,8,0)</f>
        <v>#N/A</v>
      </c>
      <c r="AC21" s="60" t="e">
        <f>VLOOKUP(A21,Enforcements!$C$7:$E$20,3,0)</f>
        <v>#N/A</v>
      </c>
      <c r="AD21" s="61" t="str">
        <f t="shared" si="11"/>
        <v>0109-30</v>
      </c>
      <c r="AE21" s="91" t="str">
        <f t="shared" si="12"/>
        <v>aws s3 cp s3://rtdc.mdm.uploadarchive.raw/RTDC4003/ "%USERPROFILE%\AppData\Local\Temp\OnboardLogs"\RTDC4003\2016-11-30 --exclude "*" --recursive --include "*20161130*" &amp; "%USERPROFILE%\Documents\GitHub\mrs-test-scripts\Headless Mode &amp; Sideloading\WalkAndUnGZ.bat" "%USERPROFILE%\AppData\Local\Temp\OnboardLogs"\RTDC4003\2016-11-30 &amp; aws s3 cp s3://rtdc.mdm.uploadarchive.raw/RTDC4003/ "%USERPROFILE%\AppData\Local\Temp\OnboardLogs"\RTDC4003\2016-12-01 --exclude "*" --recursive --include "*20161201*" &amp; "%USERPROFILE%\Documents\GitHub\mrs-test-scripts\Headless Mode &amp; Sideloading\WalkAndUnGZ.bat" "%USERPROFILE%\AppData\Local\Temp\OnboardLogs"\RTDC4003\2016-12-01</v>
      </c>
      <c r="AF21" s="88" t="str">
        <f t="shared" si="13"/>
        <v>"C:\Program Files (x86)\AstroGrep\AstroGrep.exe" /spath="%USERPROFILE%\AppData\Local\Temp\OnboardLogs" /stypes="app*4003*20161130*" /stext=" 12:.+((SYSTEM_STATE.+slice.+state.+changed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109-30 --locoid 4003 --swversion DE.1.0.8.0 --startMP 204:458 --initTime 2016-11-30T04:32:09 --startdatetime 2016-11-30T04:45:16 --delay 1 --endMP 204:233298 --enddatetime 2016-11-30T05:21:21 --enforcementcount 0 &gt;&gt;C:\Users\stu\Documents\GitHub\eaglep3-reporting\EC\2016-11-30-refined-times.txt</v>
      </c>
      <c r="AI21" s="119" t="str">
        <f t="shared" si="18"/>
        <v>echo {"issue":{"subject":"","project_id":79,"tracker_id":40,"status_id":1,"priority_id":2,"assigned_to_id":23,"start_date":"2016-11-30","description":"","custom_fields":[{"id":1,"name":"Subdivision","value":"EC"},{"id":4,"name":"Milepost","value":"23.3298"},{"id":17,"name":"Train ID","value":"109-30"},{"id":16,"name":"Locomotive ID","value":"4003"},{"id":130,"name":"Impact","value":""},{"id":150,"name":"Time of Event (Mountain Time)","value":"05:21:21"},{"id":151,"name":"Denver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564</v>
      </c>
      <c r="B22" s="7">
        <v>4004</v>
      </c>
      <c r="C22" s="22" t="s">
        <v>212</v>
      </c>
      <c r="D22" s="22" t="s">
        <v>206</v>
      </c>
      <c r="E22" s="13">
        <v>42704.232662037037</v>
      </c>
      <c r="F22" s="13">
        <v>42704.237002314818</v>
      </c>
      <c r="G22" s="7">
        <v>1</v>
      </c>
      <c r="H22" s="22" t="s">
        <v>273</v>
      </c>
      <c r="I22" s="13">
        <v>42704.263321759259</v>
      </c>
      <c r="J22" s="7">
        <v>0</v>
      </c>
      <c r="K22" s="109" t="str">
        <f t="shared" si="0"/>
        <v>4003/4004</v>
      </c>
      <c r="L22" s="22" t="str">
        <f>VLOOKUP(A22,'Trips&amp;Operators'!$C$1:$G$99999,5,FALSE)</f>
        <v>KILLION DAVID</v>
      </c>
      <c r="M22" s="6">
        <f t="shared" si="1"/>
        <v>2.6319444441469386E-2</v>
      </c>
      <c r="N22" s="7">
        <f t="shared" si="2"/>
        <v>37.899999995715916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https://search-rtdc-monitor-bjffxe2xuh6vdkpspy63sjmuny.us-east-1.es.amazonaws.com/_plugin/kibana/#/discover/Steve-Slow-Train-Analysis-(2080s-and-2083s)?_g=(refreshInterval:(display:Off,section:0,value:0),time:(from:'2016-11-30 04:35:02-700',mode:absolute,to:'2016-11-30 07:19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2" s="52" t="str">
        <f t="shared" si="6"/>
        <v>N</v>
      </c>
      <c r="X22" s="177">
        <f t="shared" si="7"/>
        <v>1</v>
      </c>
      <c r="Y22" s="67">
        <f t="shared" si="8"/>
        <v>23.297699999999999</v>
      </c>
      <c r="Z22" s="67">
        <f t="shared" si="9"/>
        <v>1.4500000000000001E-2</v>
      </c>
      <c r="AA22" s="67">
        <f t="shared" si="10"/>
        <v>23.283199999999997</v>
      </c>
      <c r="AB22" s="64" t="e">
        <f>VLOOKUP(A22,Enforcements!$C$7:$K$20,8,0)</f>
        <v>#N/A</v>
      </c>
      <c r="AC22" s="60" t="e">
        <f>VLOOKUP(A22,Enforcements!$C$7:$E$20,3,0)</f>
        <v>#N/A</v>
      </c>
      <c r="AD22" s="61" t="str">
        <f t="shared" si="11"/>
        <v>0110-30</v>
      </c>
      <c r="AE22" s="91" t="str">
        <f t="shared" si="12"/>
        <v>aws s3 cp s3://rtdc.mdm.uploadarchive.raw/RTDC4004/ "%USERPROFILE%\AppData\Local\Temp\OnboardLogs"\RTDC4004\2016-11-30 --exclude "*" --recursive --include "*20161130*" &amp; "%USERPROFILE%\Documents\GitHub\mrs-test-scripts\Headless Mode &amp; Sideloading\WalkAndUnGZ.bat" "%USERPROFILE%\AppData\Local\Temp\OnboardLogs"\RTDC4004\2016-11-30 &amp; aws s3 cp s3://rtdc.mdm.uploadarchive.raw/RTDC4004/ "%USERPROFILE%\AppData\Local\Temp\OnboardLogs"\RTDC4004\2016-12-01 --exclude "*" --recursive --include "*20161201*" &amp; "%USERPROFILE%\Documents\GitHub\mrs-test-scripts\Headless Mode &amp; Sideloading\WalkAndUnGZ.bat" "%USERPROFILE%\AppData\Local\Temp\OnboardLogs"\RTDC4004\2016-12-01</v>
      </c>
      <c r="AF22" s="88" t="str">
        <f t="shared" si="13"/>
        <v>"C:\Program Files (x86)\AstroGrep\AstroGrep.exe" /spath="%USERPROFILE%\AppData\Local\Temp\OnboardLogs" /stypes="app*4004*20161130*" /stext=" 13:.+((SYSTEM_STATE.+slice.+state.+changed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110-30 --locoid 4004 --swversion DE.1.0.8.0 --startMP 204:232977 --initTime 2016-11-30T05:35:02 --startdatetime 2016-11-30T05:41:17 --delay 1 --endMP 204:145 --enddatetime 2016-11-30T06:19:11 --enforcementcount 0 &gt;&gt;C:\Users\stu\Documents\GitHub\eaglep3-reporting\EC\2016-11-30-refined-times.txt</v>
      </c>
      <c r="AI22" s="119" t="str">
        <f t="shared" si="18"/>
        <v>echo {"issue":{"subject":"","project_id":79,"tracker_id":40,"status_id":1,"priority_id":2,"assigned_to_id":23,"start_date":"2016-11-30","description":"","custom_fields":[{"id":1,"name":"Subdivision","value":"EC"},{"id":4,"name":"Milepost","value":"0.0145"},{"id":17,"name":"Train ID","value":"110-30"},{"id":16,"name":"Locomotive ID","value":"4004"},{"id":130,"name":"Impact","value":""},{"id":150,"name":"Time of Event (Mountain Time)","value":"06:19:11"},{"id":151,"name":"Denver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560</v>
      </c>
      <c r="B23" s="7">
        <v>4038</v>
      </c>
      <c r="C23" s="22" t="s">
        <v>212</v>
      </c>
      <c r="D23" s="22" t="s">
        <v>755</v>
      </c>
      <c r="E23" s="13">
        <v>42704.204224537039</v>
      </c>
      <c r="F23" s="13">
        <v>42704.208680555559</v>
      </c>
      <c r="G23" s="7">
        <v>2</v>
      </c>
      <c r="H23" s="22" t="s">
        <v>756</v>
      </c>
      <c r="I23" s="13">
        <v>42704.232557870368</v>
      </c>
      <c r="J23" s="7">
        <v>0</v>
      </c>
      <c r="K23" s="109" t="str">
        <f t="shared" si="0"/>
        <v>4037/4038</v>
      </c>
      <c r="L23" s="22" t="str">
        <f>VLOOKUP(A23,'Trips&amp;Operators'!$C$1:$G$99999,5,FALSE)</f>
        <v>SAFIEF AEIMEN</v>
      </c>
      <c r="M23" s="6">
        <f t="shared" si="1"/>
        <v>2.3877314808487426E-2</v>
      </c>
      <c r="N23" s="7">
        <f t="shared" si="2"/>
        <v>34.383333324221894</v>
      </c>
      <c r="O23" s="7"/>
      <c r="P23" s="7"/>
      <c r="Q23" s="23"/>
      <c r="R23" s="23"/>
      <c r="S23" s="35">
        <f t="shared" si="3"/>
        <v>1</v>
      </c>
      <c r="T23" s="50" t="str">
        <f t="shared" si="4"/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https://search-rtdc-monitor-bjffxe2xuh6vdkpspy63sjmuny.us-east-1.es.amazonaws.com/_plugin/kibana/#/discover/Steve-Slow-Train-Analysis-(2080s-and-2083s)?_g=(refreshInterval:(display:Off,section:0,value:0),time:(from:'2016-11-30 03:54:05-700',mode:absolute,to:'2016-11-30 06:34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3" s="52" t="str">
        <f t="shared" si="6"/>
        <v>N</v>
      </c>
      <c r="X23" s="177">
        <f t="shared" si="7"/>
        <v>1</v>
      </c>
      <c r="Y23" s="67">
        <f t="shared" si="8"/>
        <v>7.3200000000000001E-2</v>
      </c>
      <c r="Z23" s="67">
        <f t="shared" si="9"/>
        <v>23.328399999999998</v>
      </c>
      <c r="AA23" s="67">
        <f t="shared" si="10"/>
        <v>23.255199999999999</v>
      </c>
      <c r="AB23" s="64" t="e">
        <f>VLOOKUP(A23,Enforcements!$C$7:$K$20,8,0)</f>
        <v>#N/A</v>
      </c>
      <c r="AC23" s="60" t="e">
        <f>VLOOKUP(A23,Enforcements!$C$7:$E$20,3,0)</f>
        <v>#N/A</v>
      </c>
      <c r="AD23" s="61" t="str">
        <f t="shared" si="11"/>
        <v>0111-30</v>
      </c>
      <c r="AE23" s="91" t="str">
        <f t="shared" si="12"/>
        <v>aws s3 cp s3://rtdc.mdm.uploadarchive.raw/RTDC4038/ "%USERPROFILE%\AppData\Local\Temp\OnboardLogs"\RTDC4038\2016-11-30 --exclude "*" --recursive --include "*20161130*" &amp; "%USERPROFILE%\Documents\GitHub\mrs-test-scripts\Headless Mode &amp; Sideloading\WalkAndUnGZ.bat" "%USERPROFILE%\AppData\Local\Temp\OnboardLogs"\RTDC4038\2016-11-30 &amp; aws s3 cp s3://rtdc.mdm.uploadarchive.raw/RTDC4038/ "%USERPROFILE%\AppData\Local\Temp\OnboardLogs"\RTDC4038\2016-12-01 --exclude "*" --recursive --include "*20161201*" &amp; "%USERPROFILE%\Documents\GitHub\mrs-test-scripts\Headless Mode &amp; Sideloading\WalkAndUnGZ.bat" "%USERPROFILE%\AppData\Local\Temp\OnboardLogs"\RTDC4038\2016-12-01</v>
      </c>
      <c r="AF23" s="88" t="str">
        <f t="shared" si="13"/>
        <v>"C:\Program Files (x86)\AstroGrep\AstroGrep.exe" /spath="%USERPROFILE%\AppData\Local\Temp\OnboardLogs" /stypes="app*4038*20161130*" /stext=" 12:.+((SYSTEM_STATE.+slice.+state.+changed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111-30 --locoid 4038 --swversion DE.1.0.8.0 --startMP 204:732 --initTime 2016-11-30T04:54:05 --startdatetime 2016-11-30T05:00:30 --delay 2 --endMP 204:233284 --enddatetime 2016-11-30T05:34:53 --enforcementcount 0 &gt;&gt;C:\Users\stu\Documents\GitHub\eaglep3-reporting\EC\2016-11-30-refined-times.txt</v>
      </c>
      <c r="AI23" s="119" t="str">
        <f t="shared" si="18"/>
        <v>echo {"issue":{"subject":"","project_id":79,"tracker_id":40,"status_id":1,"priority_id":2,"assigned_to_id":23,"start_date":"2016-11-30","description":"","custom_fields":[{"id":1,"name":"Subdivision","value":"EC"},{"id":4,"name":"Milepost","value":"23.3284"},{"id":17,"name":"Train ID","value":"111-30"},{"id":16,"name":"Locomotive ID","value":"4038"},{"id":130,"name":"Impact","value":""},{"id":150,"name":"Time of Event (Mountain Time)","value":"05:34:53"},{"id":151,"name":"Denver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567</v>
      </c>
      <c r="B24" s="7">
        <v>4037</v>
      </c>
      <c r="C24" s="22" t="s">
        <v>212</v>
      </c>
      <c r="D24" s="22" t="s">
        <v>206</v>
      </c>
      <c r="E24" s="13">
        <v>42704.241678240738</v>
      </c>
      <c r="F24" s="13">
        <v>42704.247488425928</v>
      </c>
      <c r="G24" s="7">
        <v>1</v>
      </c>
      <c r="H24" s="22" t="s">
        <v>232</v>
      </c>
      <c r="I24" s="13">
        <v>42704.273553240739</v>
      </c>
      <c r="J24" s="7">
        <v>0</v>
      </c>
      <c r="K24" s="109" t="str">
        <f t="shared" si="0"/>
        <v>4037/4038</v>
      </c>
      <c r="L24" s="22" t="str">
        <f>VLOOKUP(A24,'Trips&amp;Operators'!$C$1:$G$99999,5,FALSE)</f>
        <v>SAFIEF AEIMEN</v>
      </c>
      <c r="M24" s="6">
        <f t="shared" si="1"/>
        <v>2.6064814810524695E-2</v>
      </c>
      <c r="N24" s="7">
        <f t="shared" si="2"/>
        <v>37.53333332715556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https://search-rtdc-monitor-bjffxe2xuh6vdkpspy63sjmuny.us-east-1.es.amazonaws.com/_plugin/kibana/#/discover/Steve-Slow-Train-Analysis-(2080s-and-2083s)?_g=(refreshInterval:(display:Off,section:0,value:0),time:(from:'2016-11-30 04:48:01-700',mode:absolute,to:'2016-11-30 07:33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4" s="52" t="str">
        <f t="shared" si="6"/>
        <v>N</v>
      </c>
      <c r="X24" s="177">
        <f t="shared" si="7"/>
        <v>1</v>
      </c>
      <c r="Y24" s="67">
        <f t="shared" si="8"/>
        <v>23.297699999999999</v>
      </c>
      <c r="Z24" s="67">
        <f t="shared" si="9"/>
        <v>1.54E-2</v>
      </c>
      <c r="AA24" s="67">
        <f t="shared" si="10"/>
        <v>23.282299999999999</v>
      </c>
      <c r="AB24" s="64" t="e">
        <f>VLOOKUP(A24,Enforcements!$C$7:$K$20,8,0)</f>
        <v>#N/A</v>
      </c>
      <c r="AC24" s="60" t="e">
        <f>VLOOKUP(A24,Enforcements!$C$7:$E$20,3,0)</f>
        <v>#N/A</v>
      </c>
      <c r="AD24" s="61" t="str">
        <f t="shared" si="11"/>
        <v>0112-30</v>
      </c>
      <c r="AE24" s="91" t="str">
        <f t="shared" si="12"/>
        <v>aws s3 cp s3://rtdc.mdm.uploadarchive.raw/RTDC4037/ "%USERPROFILE%\AppData\Local\Temp\OnboardLogs"\RTDC4037\2016-11-30 --exclude "*" --recursive --include "*20161130*" &amp; "%USERPROFILE%\Documents\GitHub\mrs-test-scripts\Headless Mode &amp; Sideloading\WalkAndUnGZ.bat" "%USERPROFILE%\AppData\Local\Temp\OnboardLogs"\RTDC4037\2016-11-30 &amp; aws s3 cp s3://rtdc.mdm.uploadarchive.raw/RTDC4037/ "%USERPROFILE%\AppData\Local\Temp\OnboardLogs"\RTDC4037\2016-12-01 --exclude "*" --recursive --include "*20161201*" &amp; "%USERPROFILE%\Documents\GitHub\mrs-test-scripts\Headless Mode &amp; Sideloading\WalkAndUnGZ.bat" "%USERPROFILE%\AppData\Local\Temp\OnboardLogs"\RTDC4037\2016-12-01</v>
      </c>
      <c r="AF24" s="88" t="str">
        <f t="shared" si="13"/>
        <v>"C:\Program Files (x86)\AstroGrep\AstroGrep.exe" /spath="%USERPROFILE%\AppData\Local\Temp\OnboardLogs" /stypes="app*4037*20161130*" /stext=" 13:.+((SYSTEM_STATE.+slice.+state.+changed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112-30 --locoid 4037 --swversion DE.1.0.8.0 --startMP 204:232977 --initTime 2016-11-30T05:48:01 --startdatetime 2016-11-30T05:56:23 --delay 1 --endMP 204:154 --enddatetime 2016-11-30T06:33:55 --enforcementcount 0 &gt;&gt;C:\Users\stu\Documents\GitHub\eaglep3-reporting\EC\2016-11-30-refined-times.txt</v>
      </c>
      <c r="AI24" s="119" t="str">
        <f t="shared" si="18"/>
        <v>echo {"issue":{"subject":"","project_id":79,"tracker_id":40,"status_id":1,"priority_id":2,"assigned_to_id":23,"start_date":"2016-11-30","description":"","custom_fields":[{"id":1,"name":"Subdivision","value":"EC"},{"id":4,"name":"Milepost","value":"0.0154"},{"id":17,"name":"Train ID","value":"112-30"},{"id":16,"name":"Locomotive ID","value":"4037"},{"id":130,"name":"Impact","value":""},{"id":150,"name":"Time of Event (Mountain Time)","value":"06:33:55"},{"id":151,"name":"Denver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522</v>
      </c>
      <c r="B25" s="7">
        <v>4044</v>
      </c>
      <c r="C25" s="22" t="s">
        <v>212</v>
      </c>
      <c r="D25" s="22" t="s">
        <v>757</v>
      </c>
      <c r="E25" s="13">
        <v>42704.21429398148</v>
      </c>
      <c r="F25" s="13">
        <v>42704.218969907408</v>
      </c>
      <c r="G25" s="7">
        <v>1</v>
      </c>
      <c r="H25" s="22" t="s">
        <v>491</v>
      </c>
      <c r="I25" s="13">
        <v>42704.246064814812</v>
      </c>
      <c r="J25" s="7">
        <v>0</v>
      </c>
      <c r="K25" s="109" t="str">
        <f t="shared" si="0"/>
        <v>4043/4044</v>
      </c>
      <c r="L25" s="22" t="str">
        <f>VLOOKUP(A25,'Trips&amp;Operators'!$C$1:$G$99999,5,FALSE)</f>
        <v>MAELZER KURT</v>
      </c>
      <c r="M25" s="6">
        <f t="shared" si="1"/>
        <v>2.7094907403807156E-2</v>
      </c>
      <c r="N25" s="7">
        <f t="shared" si="2"/>
        <v>39.016666661482304</v>
      </c>
      <c r="O25" s="7"/>
      <c r="P25" s="7"/>
      <c r="Q25" s="23"/>
      <c r="R25" s="23"/>
      <c r="S25" s="35">
        <f t="shared" si="3"/>
        <v>1</v>
      </c>
      <c r="T25" s="50" t="str">
        <f t="shared" si="4"/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https://search-rtdc-monitor-bjffxe2xuh6vdkpspy63sjmuny.us-east-1.es.amazonaws.com/_plugin/kibana/#/discover/Steve-Slow-Train-Analysis-(2080s-and-2083s)?_g=(refreshInterval:(display:Off,section:0,value:0),time:(from:'2016-11-30 04:08:35-700',mode:absolute,to:'2016-11-30 06:54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5" s="52" t="str">
        <f t="shared" si="6"/>
        <v>N</v>
      </c>
      <c r="X25" s="177">
        <f t="shared" si="7"/>
        <v>1</v>
      </c>
      <c r="Y25" s="67">
        <f t="shared" si="8"/>
        <v>4.3499999999999997E-2</v>
      </c>
      <c r="Z25" s="67">
        <f t="shared" si="9"/>
        <v>23.331199999999999</v>
      </c>
      <c r="AA25" s="67">
        <f t="shared" si="10"/>
        <v>23.287699999999997</v>
      </c>
      <c r="AB25" s="64" t="e">
        <f>VLOOKUP(A25,Enforcements!$C$7:$K$20,8,0)</f>
        <v>#N/A</v>
      </c>
      <c r="AC25" s="60" t="e">
        <f>VLOOKUP(A25,Enforcements!$C$7:$E$20,3,0)</f>
        <v>#N/A</v>
      </c>
      <c r="AD25" s="61" t="str">
        <f t="shared" si="11"/>
        <v>0113-30</v>
      </c>
      <c r="AE25" s="91" t="str">
        <f t="shared" si="12"/>
        <v>aws s3 cp s3://rtdc.mdm.uploadarchive.raw/RTDC4044/ "%USERPROFILE%\AppData\Local\Temp\OnboardLogs"\RTDC4044\2016-11-30 --exclude "*" --recursive --include "*20161130*" &amp; "%USERPROFILE%\Documents\GitHub\mrs-test-scripts\Headless Mode &amp; Sideloading\WalkAndUnGZ.bat" "%USERPROFILE%\AppData\Local\Temp\OnboardLogs"\RTDC4044\2016-11-30 &amp; aws s3 cp s3://rtdc.mdm.uploadarchive.raw/RTDC4044/ "%USERPROFILE%\AppData\Local\Temp\OnboardLogs"\RTDC4044\2016-12-01 --exclude "*" --recursive --include "*20161201*" &amp; "%USERPROFILE%\Documents\GitHub\mrs-test-scripts\Headless Mode &amp; Sideloading\WalkAndUnGZ.bat" "%USERPROFILE%\AppData\Local\Temp\OnboardLogs"\RTDC4044\2016-12-01</v>
      </c>
      <c r="AF25" s="88" t="str">
        <f t="shared" si="13"/>
        <v>"C:\Program Files (x86)\AstroGrep\AstroGrep.exe" /spath="%USERPROFILE%\AppData\Local\Temp\OnboardLogs" /stypes="app*4044*20161130*" /stext=" 12:.+((SYSTEM_STATE.+slice.+state.+changed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113-30 --locoid 4044 --swversion DE.1.0.8.0 --startMP 204:435 --initTime 2016-11-30T05:08:35 --startdatetime 2016-11-30T05:15:19 --delay 1 --endMP 204:233312 --enddatetime 2016-11-30T05:54:20 --enforcementcount 0 &gt;&gt;C:\Users\stu\Documents\GitHub\eaglep3-reporting\EC\2016-11-30-refined-times.txt</v>
      </c>
      <c r="AI25" s="119" t="str">
        <f t="shared" si="18"/>
        <v>echo {"issue":{"subject":"","project_id":79,"tracker_id":40,"status_id":1,"priority_id":2,"assigned_to_id":23,"start_date":"2016-11-30","description":"","custom_fields":[{"id":1,"name":"Subdivision","value":"EC"},{"id":4,"name":"Milepost","value":"23.3312"},{"id":17,"name":"Train ID","value":"113-30"},{"id":16,"name":"Locomotive ID","value":"4044"},{"id":130,"name":"Impact","value":""},{"id":150,"name":"Time of Event (Mountain Time)","value":"05:54:20"},{"id":151,"name":"Denver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570</v>
      </c>
      <c r="B26" s="7">
        <v>4043</v>
      </c>
      <c r="C26" s="22" t="s">
        <v>212</v>
      </c>
      <c r="D26" s="22" t="s">
        <v>310</v>
      </c>
      <c r="E26" s="13">
        <v>42704.250636574077</v>
      </c>
      <c r="F26" s="13">
        <v>42704.258067129631</v>
      </c>
      <c r="G26" s="7">
        <v>0</v>
      </c>
      <c r="H26" s="22" t="s">
        <v>193</v>
      </c>
      <c r="I26" s="13">
        <v>42704.284004629626</v>
      </c>
      <c r="J26" s="7">
        <v>0</v>
      </c>
      <c r="K26" s="109" t="str">
        <f t="shared" si="0"/>
        <v>4043/4044</v>
      </c>
      <c r="L26" s="22" t="str">
        <f>VLOOKUP(A26,'Trips&amp;Operators'!$C$1:$G$99999,5,FALSE)</f>
        <v>MAELZER KURT</v>
      </c>
      <c r="M26" s="6">
        <f t="shared" si="1"/>
        <v>2.5937499995052349E-2</v>
      </c>
      <c r="N26" s="7">
        <f t="shared" si="2"/>
        <v>37.349999992875382</v>
      </c>
      <c r="O26" s="7"/>
      <c r="P26" s="7"/>
      <c r="Q26" s="23"/>
      <c r="R26" s="23"/>
      <c r="S26" s="35">
        <f t="shared" si="3"/>
        <v>1</v>
      </c>
      <c r="T26" s="50" t="str">
        <f t="shared" si="4"/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https://search-rtdc-monitor-bjffxe2xuh6vdkpspy63sjmuny.us-east-1.es.amazonaws.com/_plugin/kibana/#/discover/Steve-Slow-Train-Analysis-(2080s-and-2083s)?_g=(refreshInterval:(display:Off,section:0,value:0),time:(from:'2016-11-30 05:00:55-700',mode:absolute,to:'2016-11-30 07:48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6" s="52" t="str">
        <f t="shared" si="6"/>
        <v>N</v>
      </c>
      <c r="X26" s="177">
        <f t="shared" si="7"/>
        <v>1</v>
      </c>
      <c r="Y26" s="67">
        <f t="shared" si="8"/>
        <v>23.3004</v>
      </c>
      <c r="Z26" s="67">
        <f t="shared" si="9"/>
        <v>1.43E-2</v>
      </c>
      <c r="AA26" s="67">
        <f t="shared" si="10"/>
        <v>23.286100000000001</v>
      </c>
      <c r="AB26" s="64" t="e">
        <f>VLOOKUP(A26,Enforcements!$C$7:$K$20,8,0)</f>
        <v>#N/A</v>
      </c>
      <c r="AC26" s="60" t="e">
        <f>VLOOKUP(A26,Enforcements!$C$7:$E$20,3,0)</f>
        <v>#N/A</v>
      </c>
      <c r="AD26" s="61" t="str">
        <f t="shared" si="11"/>
        <v>0114-30</v>
      </c>
      <c r="AE26" s="91" t="str">
        <f t="shared" si="12"/>
        <v>aws s3 cp s3://rtdc.mdm.uploadarchive.raw/RTDC4043/ "%USERPROFILE%\AppData\Local\Temp\OnboardLogs"\RTDC4043\2016-11-30 --exclude "*" --recursive --include "*20161130*" &amp; "%USERPROFILE%\Documents\GitHub\mrs-test-scripts\Headless Mode &amp; Sideloading\WalkAndUnGZ.bat" "%USERPROFILE%\AppData\Local\Temp\OnboardLogs"\RTDC4043\2016-11-30 &amp; aws s3 cp s3://rtdc.mdm.uploadarchive.raw/RTDC4043/ "%USERPROFILE%\AppData\Local\Temp\OnboardLogs"\RTDC4043\2016-12-01 --exclude "*" --recursive --include "*20161201*" &amp; "%USERPROFILE%\Documents\GitHub\mrs-test-scripts\Headless Mode &amp; Sideloading\WalkAndUnGZ.bat" "%USERPROFILE%\AppData\Local\Temp\OnboardLogs"\RTDC4043\2016-12-01</v>
      </c>
      <c r="AF26" s="88" t="str">
        <f t="shared" si="13"/>
        <v>"C:\Program Files (x86)\AstroGrep\AstroGrep.exe" /spath="%USERPROFILE%\AppData\Local\Temp\OnboardLogs" /stypes="app*4043*20161130*" /stext=" 13:.+((SYSTEM_STATE.+slice.+state.+changed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114-30 --locoid 4043 --swversion DE.1.0.8.0 --startMP 204:233004 --initTime 2016-11-30T06:00:55 --startdatetime 2016-11-30T06:11:37 --delay 0 --endMP 204:143 --enddatetime 2016-11-30T06:48:58 --enforcementcount 0 &gt;&gt;C:\Users\stu\Documents\GitHub\eaglep3-reporting\EC\2016-11-30-refined-times.txt</v>
      </c>
      <c r="AI26" s="119" t="str">
        <f t="shared" si="18"/>
        <v>echo {"issue":{"subject":"","project_id":79,"tracker_id":40,"status_id":1,"priority_id":2,"assigned_to_id":23,"start_date":"2016-11-30","description":"","custom_fields":[{"id":1,"name":"Subdivision","value":"EC"},{"id":4,"name":"Milepost","value":"0.0143"},{"id":17,"name":"Train ID","value":"114-30"},{"id":16,"name":"Locomotive ID","value":"4043"},{"id":130,"name":"Impact","value":""},{"id":150,"name":"Time of Event (Mountain Time)","value":"06:48:58"},{"id":151,"name":"Denver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563</v>
      </c>
      <c r="B27" s="7">
        <v>4031</v>
      </c>
      <c r="C27" s="22" t="s">
        <v>212</v>
      </c>
      <c r="D27" s="22" t="s">
        <v>758</v>
      </c>
      <c r="E27" s="13">
        <v>42704.224664351852</v>
      </c>
      <c r="F27" s="13">
        <v>42704.229363425926</v>
      </c>
      <c r="G27" s="7">
        <v>1</v>
      </c>
      <c r="H27" s="22" t="s">
        <v>258</v>
      </c>
      <c r="I27" s="13">
        <v>42704.253553240742</v>
      </c>
      <c r="J27" s="7">
        <v>0</v>
      </c>
      <c r="K27" s="109" t="str">
        <f t="shared" si="0"/>
        <v>4031/4032</v>
      </c>
      <c r="L27" s="22" t="str">
        <f>VLOOKUP(A27,'Trips&amp;Operators'!$C$1:$G$99999,5,FALSE)</f>
        <v>PERKINS DARREN</v>
      </c>
      <c r="M27" s="6">
        <f t="shared" si="1"/>
        <v>2.4189814816054422E-2</v>
      </c>
      <c r="N27" s="7">
        <f t="shared" si="2"/>
        <v>34.833333335118368</v>
      </c>
      <c r="O27" s="7"/>
      <c r="P27" s="7"/>
      <c r="Q27" s="23"/>
      <c r="R27" s="23"/>
      <c r="S27" s="35">
        <f t="shared" si="3"/>
        <v>1</v>
      </c>
      <c r="T27" s="50" t="str">
        <f t="shared" si="4"/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https://search-rtdc-monitor-bjffxe2xuh6vdkpspy63sjmuny.us-east-1.es.amazonaws.com/_plugin/kibana/#/discover/Steve-Slow-Train-Analysis-(2080s-and-2083s)?_g=(refreshInterval:(display:Off,section:0,value:0),time:(from:'2016-11-30 04:23:31-700',mode:absolute,to:'2016-11-30 07:05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7" s="52" t="str">
        <f t="shared" si="6"/>
        <v>N</v>
      </c>
      <c r="X27" s="177">
        <f t="shared" si="7"/>
        <v>1</v>
      </c>
      <c r="Y27" s="67">
        <f t="shared" si="8"/>
        <v>7.0300000000000001E-2</v>
      </c>
      <c r="Z27" s="67">
        <f t="shared" si="9"/>
        <v>23.3293</v>
      </c>
      <c r="AA27" s="67">
        <f t="shared" si="10"/>
        <v>23.259</v>
      </c>
      <c r="AB27" s="64" t="e">
        <f>VLOOKUP(A27,Enforcements!$C$7:$K$20,8,0)</f>
        <v>#N/A</v>
      </c>
      <c r="AC27" s="60" t="e">
        <f>VLOOKUP(A27,Enforcements!$C$7:$E$20,3,0)</f>
        <v>#N/A</v>
      </c>
      <c r="AD27" s="61" t="str">
        <f t="shared" si="11"/>
        <v>0115-30</v>
      </c>
      <c r="AE27" s="91" t="str">
        <f t="shared" si="12"/>
        <v>aws s3 cp s3://rtdc.mdm.uploadarchive.raw/RTDC4031/ "%USERPROFILE%\AppData\Local\Temp\OnboardLogs"\RTDC4031\2016-11-30 --exclude "*" --recursive --include "*20161130*" &amp; "%USERPROFILE%\Documents\GitHub\mrs-test-scripts\Headless Mode &amp; Sideloading\WalkAndUnGZ.bat" "%USERPROFILE%\AppData\Local\Temp\OnboardLogs"\RTDC4031\2016-11-30 &amp; aws s3 cp s3://rtdc.mdm.uploadarchive.raw/RTDC4031/ "%USERPROFILE%\AppData\Local\Temp\OnboardLogs"\RTDC4031\2016-12-01 --exclude "*" --recursive --include "*20161201*" &amp; "%USERPROFILE%\Documents\GitHub\mrs-test-scripts\Headless Mode &amp; Sideloading\WalkAndUnGZ.bat" "%USERPROFILE%\AppData\Local\Temp\OnboardLogs"\RTDC4031\2016-12-01</v>
      </c>
      <c r="AF27" s="88" t="str">
        <f t="shared" si="13"/>
        <v>"C:\Program Files (x86)\AstroGrep\AstroGrep.exe" /spath="%USERPROFILE%\AppData\Local\Temp\OnboardLogs" /stypes="app*4031*20161130*" /stext=" 13:.+((SYSTEM_STATE.+slice.+state.+changed )|(ment ac)|(multiple cpu faults)|(system.+state.+changed )|(\[timeout)|(PRM\|1\|D)|(kpr)|(kdp)|(\|lc)|(penalty))" /e /r /s</v>
      </c>
      <c r="AG27" s="1" t="str">
        <f t="shared" si="14"/>
        <v>EC</v>
      </c>
      <c r="AH27" s="92" t="str">
        <f t="shared" si="17"/>
        <v>"%USERPROFILE%\Documents\GitHub\eaglep3\Utilities\RefineRTDCRunTimes.py" --tripid 115-30 --locoid 4031 --swversion DE.1.0.8.0 --startMP 204:703 --initTime 2016-11-30T05:23:31 --startdatetime 2016-11-30T05:30:17 --delay 1 --endMP 204:233293 --enddatetime 2016-11-30T06:05:07 --enforcementcount 0 &gt;&gt;C:\Users\stu\Documents\GitHub\eaglep3-reporting\EC\2016-11-30-refined-times.txt</v>
      </c>
      <c r="AI27" s="119" t="str">
        <f t="shared" si="18"/>
        <v>echo {"issue":{"subject":"","project_id":79,"tracker_id":40,"status_id":1,"priority_id":2,"assigned_to_id":23,"start_date":"2016-11-30","description":"","custom_fields":[{"id":1,"name":"Subdivision","value":"EC"},{"id":4,"name":"Milepost","value":"23.3293"},{"id":17,"name":"Train ID","value":"115-30"},{"id":16,"name":"Locomotive ID","value":"4031"},{"id":130,"name":"Impact","value":""},{"id":150,"name":"Time of Event (Mountain Time)","value":"06:05:07"},{"id":151,"name":"Denver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524</v>
      </c>
      <c r="B28" s="7">
        <v>4032</v>
      </c>
      <c r="C28" s="22" t="s">
        <v>212</v>
      </c>
      <c r="D28" s="22" t="s">
        <v>206</v>
      </c>
      <c r="E28" s="13">
        <v>42704.257881944446</v>
      </c>
      <c r="F28" s="13">
        <v>42704.268229166664</v>
      </c>
      <c r="G28" s="7">
        <v>2</v>
      </c>
      <c r="H28" s="22" t="s">
        <v>759</v>
      </c>
      <c r="I28" s="13">
        <v>42704.290266203701</v>
      </c>
      <c r="J28" s="7">
        <v>0</v>
      </c>
      <c r="K28" s="109" t="str">
        <f t="shared" si="0"/>
        <v>4031/4032</v>
      </c>
      <c r="L28" s="22" t="str">
        <f>VLOOKUP(A28,'Trips&amp;Operators'!$C$1:$G$99999,5,FALSE)</f>
        <v>PERKINS DARREN</v>
      </c>
      <c r="M28" s="6">
        <f t="shared" si="1"/>
        <v>2.2037037037080154E-2</v>
      </c>
      <c r="N28" s="7"/>
      <c r="O28" s="7"/>
      <c r="P28" s="7">
        <f>24*60*SUM($M28:$M28)</f>
        <v>31.733333333395422</v>
      </c>
      <c r="Q28" s="23"/>
      <c r="R28" s="23" t="s">
        <v>918</v>
      </c>
      <c r="S28" s="35">
        <f t="shared" si="3"/>
        <v>1</v>
      </c>
      <c r="T28" s="50" t="str">
        <f t="shared" si="4"/>
        <v>Southbound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https://search-rtdc-monitor-bjffxe2xuh6vdkpspy63sjmuny.us-east-1.es.amazonaws.com/_plugin/kibana/#/discover/Steve-Slow-Train-Analysis-(2080s-and-2083s)?_g=(refreshInterval:(display:Off,section:0,value:0),time:(from:'2016-11-30 05:11:21-700',mode:absolute,to:'2016-11-30 07:57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8" s="52" t="str">
        <f t="shared" si="6"/>
        <v>Y</v>
      </c>
      <c r="X28" s="177">
        <f t="shared" si="7"/>
        <v>1</v>
      </c>
      <c r="Y28" s="67">
        <f t="shared" si="8"/>
        <v>23.297699999999999</v>
      </c>
      <c r="Z28" s="67">
        <f t="shared" si="9"/>
        <v>2.0427</v>
      </c>
      <c r="AA28" s="67">
        <f t="shared" si="10"/>
        <v>21.254999999999999</v>
      </c>
      <c r="AB28" s="64" t="str">
        <f>VLOOKUP(A28,Enforcements!$C$7:$K$20,8,0)</f>
        <v>Signal based authority (5)</v>
      </c>
      <c r="AC28" s="60" t="str">
        <f>VLOOKUP(A28,Enforcements!$C$7:$E$20,3,0)</f>
        <v>SIGNAL</v>
      </c>
      <c r="AD28" s="61" t="str">
        <f t="shared" si="11"/>
        <v>0116-30</v>
      </c>
      <c r="AE28" s="91" t="str">
        <f t="shared" si="12"/>
        <v>aws s3 cp s3://rtdc.mdm.uploadarchive.raw/RTDC4032/ "%USERPROFILE%\AppData\Local\Temp\OnboardLogs"\RTDC4032\2016-11-30 --exclude "*" --recursive --include "*20161130*" &amp; "%USERPROFILE%\Documents\GitHub\mrs-test-scripts\Headless Mode &amp; Sideloading\WalkAndUnGZ.bat" "%USERPROFILE%\AppData\Local\Temp\OnboardLogs"\RTDC4032\2016-11-30 &amp; aws s3 cp s3://rtdc.mdm.uploadarchive.raw/RTDC4032/ "%USERPROFILE%\AppData\Local\Temp\OnboardLogs"\RTDC4032\2016-12-01 --exclude "*" --recursive --include "*20161201*" &amp; "%USERPROFILE%\Documents\GitHub\mrs-test-scripts\Headless Mode &amp; Sideloading\WalkAndUnGZ.bat" "%USERPROFILE%\AppData\Local\Temp\OnboardLogs"\RTDC4032\2016-12-01</v>
      </c>
      <c r="AF28" s="88" t="str">
        <f t="shared" si="13"/>
        <v>"C:\Program Files (x86)\AstroGrep\AstroGrep.exe" /spath="%USERPROFILE%\AppData\Local\Temp\OnboardLogs" /stypes="app*4032*20161130*" /stext=" 13:.+((SYSTEM_STATE.+slice.+state.+changed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116-30 --locoid 4032 --swversion DE.1.0.8.0 --startMP 204:232977 --initTime 2016-11-30T06:11:21 --startdatetime 2016-11-30T06:26:15 --delay 2 --endMP 204:20427 --enddatetime 2016-11-30T06:57:59 --enforcementcount 0 &gt;&gt;C:\Users\stu\Documents\GitHub\eaglep3-reporting\EC\2016-11-30-refined-times.txt</v>
      </c>
      <c r="AI28" s="119" t="str">
        <f t="shared" si="18"/>
        <v>echo {"issue":{"subject":"Premature downgrade at EC0206RH 28-2T 2S","project_id":79,"tracker_id":40,"status_id":1,"priority_id":2,"assigned_to_id":23,"start_date":"2016-11-30","description":"At approx ","custom_fields":[{"id":1,"name":"Subdivision","value":"EC"},{"id":4,"name":"Milepost","value":"2.0427"},{"id":17,"name":"Train ID","value":"116-30"},{"id":16,"name":"Locomotive ID","value":"4032"},{"id":130,"name":"Impact","value":"Enforcement"},{"id":150,"name":"Time of Event (Mountain Time)","value":"06:57:59"},{"id":151,"name":"Denver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28" s="53" t="s">
        <v>919</v>
      </c>
      <c r="AK28" s="53" t="s">
        <v>125</v>
      </c>
      <c r="AL28" s="53" t="s">
        <v>130</v>
      </c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565</v>
      </c>
      <c r="B29" s="7">
        <v>4046</v>
      </c>
      <c r="C29" s="22" t="s">
        <v>212</v>
      </c>
      <c r="D29" s="22" t="s">
        <v>249</v>
      </c>
      <c r="E29" s="13">
        <v>42704.23300925926</v>
      </c>
      <c r="F29" s="13">
        <v>42704.239791666667</v>
      </c>
      <c r="G29" s="7">
        <v>2</v>
      </c>
      <c r="H29" s="22" t="s">
        <v>265</v>
      </c>
      <c r="I29" s="13">
        <v>42704.264884259261</v>
      </c>
      <c r="J29" s="7">
        <v>0</v>
      </c>
      <c r="K29" s="109" t="str">
        <f t="shared" si="0"/>
        <v>4045/4046</v>
      </c>
      <c r="L29" s="22" t="str">
        <f>VLOOKUP(A29,'Trips&amp;Operators'!$C$1:$G$99999,5,FALSE)</f>
        <v>ACKERMAN JARED</v>
      </c>
      <c r="M29" s="6">
        <f t="shared" si="1"/>
        <v>2.5092592593864538E-2</v>
      </c>
      <c r="N29" s="7">
        <f>24*60*SUM($M29:$M29)</f>
        <v>36.133333335164934</v>
      </c>
      <c r="O29" s="7"/>
      <c r="P29" s="7"/>
      <c r="Q29" s="23"/>
      <c r="R29" s="23"/>
      <c r="S29" s="35">
        <f t="shared" si="3"/>
        <v>1</v>
      </c>
      <c r="T29" s="50" t="str">
        <f t="shared" si="4"/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https://search-rtdc-monitor-bjffxe2xuh6vdkpspy63sjmuny.us-east-1.es.amazonaws.com/_plugin/kibana/#/discover/Steve-Slow-Train-Analysis-(2080s-and-2083s)?_g=(refreshInterval:(display:Off,section:0,value:0),time:(from:'2016-11-30 04:35:32-700',mode:absolute,to:'2016-11-30 07:21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9" s="52" t="str">
        <f t="shared" si="6"/>
        <v>N</v>
      </c>
      <c r="X29" s="177">
        <f t="shared" si="7"/>
        <v>1</v>
      </c>
      <c r="Y29" s="67">
        <f t="shared" si="8"/>
        <v>4.4200000000000003E-2</v>
      </c>
      <c r="Z29" s="67">
        <f t="shared" si="9"/>
        <v>23.3308</v>
      </c>
      <c r="AA29" s="67">
        <f t="shared" si="10"/>
        <v>23.2866</v>
      </c>
      <c r="AB29" s="64" t="e">
        <f>VLOOKUP(A29,Enforcements!$C$7:$K$20,8,0)</f>
        <v>#N/A</v>
      </c>
      <c r="AC29" s="60" t="e">
        <f>VLOOKUP(A29,Enforcements!$C$7:$E$20,3,0)</f>
        <v>#N/A</v>
      </c>
      <c r="AD29" s="61" t="str">
        <f t="shared" si="11"/>
        <v>0117-30</v>
      </c>
      <c r="AE29" s="91" t="str">
        <f t="shared" si="12"/>
        <v>aws s3 cp s3://rtdc.mdm.uploadarchive.raw/RTDC4046/ "%USERPROFILE%\AppData\Local\Temp\OnboardLogs"\RTDC4046\2016-11-30 --exclude "*" --recursive --include "*20161130*" &amp; "%USERPROFILE%\Documents\GitHub\mrs-test-scripts\Headless Mode &amp; Sideloading\WalkAndUnGZ.bat" "%USERPROFILE%\AppData\Local\Temp\OnboardLogs"\RTDC4046\2016-11-30 &amp; aws s3 cp s3://rtdc.mdm.uploadarchive.raw/RTDC4046/ "%USERPROFILE%\AppData\Local\Temp\OnboardLogs"\RTDC4046\2016-12-01 --exclude "*" --recursive --include "*20161201*" &amp; "%USERPROFILE%\Documents\GitHub\mrs-test-scripts\Headless Mode &amp; Sideloading\WalkAndUnGZ.bat" "%USERPROFILE%\AppData\Local\Temp\OnboardLogs"\RTDC4046\2016-12-01</v>
      </c>
      <c r="AF29" s="88" t="str">
        <f t="shared" si="13"/>
        <v>"C:\Program Files (x86)\AstroGrep\AstroGrep.exe" /spath="%USERPROFILE%\AppData\Local\Temp\OnboardLogs" /stypes="app*4046*20161130*" /stext=" 13:.+((SYSTEM_STATE.+slice.+state.+changed )|(ment ac)|(multiple cpu faults)|(system.+state.+changed )|(\[timeout)|(PRM\|1\|D)|(kpr)|(kdp)|(\|lc)|(penalty))"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117-30 --locoid 4046 --swversion DE.1.0.8.0 --startMP 204:442 --initTime 2016-11-30T05:35:32 --startdatetime 2016-11-30T05:45:18 --delay 2 --endMP 204:233308 --enddatetime 2016-11-30T06:21:26 --enforcementcount 0 &gt;&gt;C:\Users\stu\Documents\GitHub\eaglep3-reporting\EC\2016-11-30-refined-times.txt</v>
      </c>
      <c r="AI29" s="119" t="str">
        <f t="shared" si="18"/>
        <v>echo {"issue":{"subject":"","project_id":79,"tracker_id":40,"status_id":1,"priority_id":2,"assigned_to_id":23,"start_date":"2016-11-30","description":"","custom_fields":[{"id":1,"name":"Subdivision","value":"EC"},{"id":4,"name":"Milepost","value":"23.3308"},{"id":17,"name":"Train ID","value":"117-30"},{"id":16,"name":"Locomotive ID","value":"4046"},{"id":130,"name":"Impact","value":""},{"id":150,"name":"Time of Event (Mountain Time)","value":"06:21:26"},{"id":151,"name":"Denver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526</v>
      </c>
      <c r="B30" s="7">
        <v>4045</v>
      </c>
      <c r="C30" s="22" t="s">
        <v>212</v>
      </c>
      <c r="D30" s="22" t="s">
        <v>760</v>
      </c>
      <c r="E30" s="13">
        <v>42704.272326388891</v>
      </c>
      <c r="F30" s="13">
        <v>42704.278981481482</v>
      </c>
      <c r="G30" s="7">
        <v>1</v>
      </c>
      <c r="H30" s="22" t="s">
        <v>192</v>
      </c>
      <c r="I30" s="13">
        <v>42704.305393518516</v>
      </c>
      <c r="J30" s="7">
        <v>0</v>
      </c>
      <c r="K30" s="109" t="str">
        <f t="shared" si="0"/>
        <v>4045/4046</v>
      </c>
      <c r="L30" s="22" t="str">
        <f>VLOOKUP(A30,'Trips&amp;Operators'!$C$1:$G$99999,5,FALSE)</f>
        <v>ACKERMAN JARED</v>
      </c>
      <c r="M30" s="6">
        <f t="shared" si="1"/>
        <v>2.6412037033878732E-2</v>
      </c>
      <c r="N30" s="7">
        <f>24*60*SUM($M30:$M30)</f>
        <v>38.033333328785375</v>
      </c>
      <c r="O30" s="7"/>
      <c r="P30" s="7"/>
      <c r="Q30" s="23"/>
      <c r="R30" s="23"/>
      <c r="S30" s="35">
        <f t="shared" si="3"/>
        <v>1</v>
      </c>
      <c r="T30" s="50" t="str">
        <f t="shared" si="4"/>
        <v>Southbound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https://search-rtdc-monitor-bjffxe2xuh6vdkpspy63sjmuny.us-east-1.es.amazonaws.com/_plugin/kibana/#/discover/Steve-Slow-Train-Analysis-(2080s-and-2083s)?_g=(refreshInterval:(display:Off,section:0,value:0),time:(from:'2016-11-30 05:32:09-700',mode:absolute,to:'2016-11-30 08:19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30" s="52" t="str">
        <f t="shared" si="6"/>
        <v>N</v>
      </c>
      <c r="X30" s="177">
        <f t="shared" si="7"/>
        <v>1</v>
      </c>
      <c r="Y30" s="67">
        <f t="shared" si="8"/>
        <v>23.297899999999998</v>
      </c>
      <c r="Z30" s="67">
        <f t="shared" si="9"/>
        <v>1.49E-2</v>
      </c>
      <c r="AA30" s="67">
        <f t="shared" si="10"/>
        <v>23.282999999999998</v>
      </c>
      <c r="AB30" s="64" t="str">
        <f>VLOOKUP(A30,Enforcements!$C$7:$K$20,8,0)</f>
        <v>Form based authority (4)</v>
      </c>
      <c r="AC30" s="60" t="str">
        <f>VLOOKUP(A30,Enforcements!$C$7:$E$20,3,0)</f>
        <v>TRACK WARRANT AUTHORITY</v>
      </c>
      <c r="AD30" s="61" t="str">
        <f t="shared" si="11"/>
        <v>0118-30</v>
      </c>
      <c r="AE30" s="91" t="str">
        <f t="shared" si="12"/>
        <v>aws s3 cp s3://rtdc.mdm.uploadarchive.raw/RTDC4045/ "%USERPROFILE%\AppData\Local\Temp\OnboardLogs"\RTDC4045\2016-11-30 --exclude "*" --recursive --include "*20161130*" &amp; "%USERPROFILE%\Documents\GitHub\mrs-test-scripts\Headless Mode &amp; Sideloading\WalkAndUnGZ.bat" "%USERPROFILE%\AppData\Local\Temp\OnboardLogs"\RTDC4045\2016-11-30 &amp; aws s3 cp s3://rtdc.mdm.uploadarchive.raw/RTDC4045/ "%USERPROFILE%\AppData\Local\Temp\OnboardLogs"\RTDC4045\2016-12-01 --exclude "*" --recursive --include "*20161201*" &amp; "%USERPROFILE%\Documents\GitHub\mrs-test-scripts\Headless Mode &amp; Sideloading\WalkAndUnGZ.bat" "%USERPROFILE%\AppData\Local\Temp\OnboardLogs"\RTDC4045\2016-12-01</v>
      </c>
      <c r="AF30" s="88" t="str">
        <f t="shared" si="13"/>
        <v>"C:\Program Files (x86)\AstroGrep\AstroGrep.exe" /spath="%USERPROFILE%\AppData\Local\Temp\OnboardLogs" /stypes="app*4045*20161130*" /stext=" 14:.+((SYSTEM_STATE.+slice.+state.+changed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118-30 --locoid 4045 --swversion DE.1.0.8.0 --startMP 204:232979 --initTime 2016-11-30T06:32:09 --startdatetime 2016-11-30T06:41:44 --delay 1 --endMP 204:149 --enddatetime 2016-11-30T07:19:46 --enforcementcount 0 &gt;&gt;C:\Users\stu\Documents\GitHub\eaglep3-reporting\EC\2016-11-30-refined-times.txt</v>
      </c>
      <c r="AI30" s="119" t="str">
        <f t="shared" si="18"/>
        <v>echo {"issue":{"subject":"","project_id":79,"tracker_id":40,"status_id":1,"priority_id":2,"assigned_to_id":23,"start_date":"2016-11-30","description":"","custom_fields":[{"id":1,"name":"Subdivision","value":"EC"},{"id":4,"name":"Milepost","value":"0.0149"},{"id":17,"name":"Train ID","value":"118-30"},{"id":16,"name":"Locomotive ID","value":"4045"},{"id":130,"name":"Impact","value":""},{"id":150,"name":"Time of Event (Mountain Time)","value":"07:19:46"},{"id":151,"name":"Denver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568</v>
      </c>
      <c r="B31" s="7">
        <v>4022</v>
      </c>
      <c r="C31" s="22" t="s">
        <v>212</v>
      </c>
      <c r="D31" s="22" t="s">
        <v>761</v>
      </c>
      <c r="E31" s="13">
        <v>42704.246944444443</v>
      </c>
      <c r="F31" s="13">
        <v>42704.250462962962</v>
      </c>
      <c r="G31" s="7">
        <v>2</v>
      </c>
      <c r="H31" s="22" t="s">
        <v>327</v>
      </c>
      <c r="I31" s="13">
        <v>42704.275277777779</v>
      </c>
      <c r="J31" s="7">
        <v>0</v>
      </c>
      <c r="K31" s="109" t="str">
        <f t="shared" si="0"/>
        <v>4021/4022</v>
      </c>
      <c r="L31" s="22" t="str">
        <f>VLOOKUP(A31,'Trips&amp;Operators'!$C$1:$G$99999,5,FALSE)</f>
        <v>DE LA ROSA ALEX</v>
      </c>
      <c r="M31" s="6">
        <f t="shared" si="1"/>
        <v>2.4814814816636499E-2</v>
      </c>
      <c r="N31" s="7">
        <f>24*60*SUM($M31:$M31)</f>
        <v>35.733333335956559</v>
      </c>
      <c r="O31" s="7"/>
      <c r="P31" s="7"/>
      <c r="Q31" s="23"/>
      <c r="R31" s="23"/>
      <c r="S31" s="35">
        <f t="shared" si="3"/>
        <v>1</v>
      </c>
      <c r="T31" s="50" t="str">
        <f t="shared" si="4"/>
        <v>NorthBound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https://search-rtdc-monitor-bjffxe2xuh6vdkpspy63sjmuny.us-east-1.es.amazonaws.com/_plugin/kibana/#/discover/Steve-Slow-Train-Analysis-(2080s-and-2083s)?_g=(refreshInterval:(display:Off,section:0,value:0),time:(from:'2016-11-30 04:55:36-700',mode:absolute,to:'2016-11-30 07:36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31" s="52" t="str">
        <f t="shared" si="6"/>
        <v>N</v>
      </c>
      <c r="X31" s="177">
        <f t="shared" si="7"/>
        <v>1</v>
      </c>
      <c r="Y31" s="67">
        <f t="shared" si="8"/>
        <v>7.2400000000000006E-2</v>
      </c>
      <c r="Z31" s="67">
        <f t="shared" si="9"/>
        <v>23.328900000000001</v>
      </c>
      <c r="AA31" s="67">
        <f t="shared" si="10"/>
        <v>23.256500000000003</v>
      </c>
      <c r="AB31" s="64" t="e">
        <f>VLOOKUP(A31,Enforcements!$C$7:$K$20,8,0)</f>
        <v>#N/A</v>
      </c>
      <c r="AC31" s="60" t="e">
        <f>VLOOKUP(A31,Enforcements!$C$7:$E$20,3,0)</f>
        <v>#N/A</v>
      </c>
      <c r="AD31" s="61" t="str">
        <f t="shared" si="11"/>
        <v>0119-30</v>
      </c>
      <c r="AE31" s="91" t="str">
        <f t="shared" si="12"/>
        <v>aws s3 cp s3://rtdc.mdm.uploadarchive.raw/RTDC4022/ "%USERPROFILE%\AppData\Local\Temp\OnboardLogs"\RTDC4022\2016-11-30 --exclude "*" --recursive --include "*20161130*" &amp; "%USERPROFILE%\Documents\GitHub\mrs-test-scripts\Headless Mode &amp; Sideloading\WalkAndUnGZ.bat" "%USERPROFILE%\AppData\Local\Temp\OnboardLogs"\RTDC4022\2016-11-30 &amp; aws s3 cp s3://rtdc.mdm.uploadarchive.raw/RTDC4022/ "%USERPROFILE%\AppData\Local\Temp\OnboardLogs"\RTDC4022\2016-12-01 --exclude "*" --recursive --include "*20161201*" &amp; "%USERPROFILE%\Documents\GitHub\mrs-test-scripts\Headless Mode &amp; Sideloading\WalkAndUnGZ.bat" "%USERPROFILE%\AppData\Local\Temp\OnboardLogs"\RTDC4022\2016-12-01</v>
      </c>
      <c r="AF31" s="88" t="str">
        <f t="shared" si="13"/>
        <v>"C:\Program Files (x86)\AstroGrep\AstroGrep.exe" /spath="%USERPROFILE%\AppData\Local\Temp\OnboardLogs" /stypes="app*4022*20161130*" /stext=" 13:.+((SYSTEM_STATE.+slice.+state.+changed )|(ment ac)|(multiple cpu faults)|(system.+state.+changed )|(\[timeout)|(PRM\|1\|D)|(kpr)|(kdp)|(\|lc)|(penalty))"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119-30 --locoid 4022 --swversion DE.1.0.8.0 --startMP 204:724 --initTime 2016-11-30T05:55:36 --startdatetime 2016-11-30T06:00:40 --delay 2 --endMP 204:233289 --enddatetime 2016-11-30T06:36:24 --enforcementcount 0 &gt;&gt;C:\Users\stu\Documents\GitHub\eaglep3-reporting\EC\2016-11-30-refined-times.txt</v>
      </c>
      <c r="AI31" s="119" t="str">
        <f t="shared" si="18"/>
        <v>echo {"issue":{"subject":"","project_id":79,"tracker_id":40,"status_id":1,"priority_id":2,"assigned_to_id":23,"start_date":"2016-11-30","description":"","custom_fields":[{"id":1,"name":"Subdivision","value":"EC"},{"id":4,"name":"Milepost","value":"23.3289"},{"id":17,"name":"Train ID","value":"119-30"},{"id":16,"name":"Locomotive ID","value":"4022"},{"id":130,"name":"Impact","value":""},{"id":150,"name":"Time of Event (Mountain Time)","value":"06:36:24"},{"id":151,"name":"Denver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525</v>
      </c>
      <c r="B32" s="7">
        <v>4021</v>
      </c>
      <c r="C32" s="22" t="s">
        <v>212</v>
      </c>
      <c r="D32" s="22" t="s">
        <v>762</v>
      </c>
      <c r="E32" s="13">
        <v>42704.286307870374</v>
      </c>
      <c r="F32" s="13">
        <v>42704.300312500003</v>
      </c>
      <c r="G32" s="7">
        <v>20</v>
      </c>
      <c r="H32" s="22" t="s">
        <v>763</v>
      </c>
      <c r="I32" s="13">
        <v>42704.301712962966</v>
      </c>
      <c r="J32" s="7">
        <v>2</v>
      </c>
      <c r="K32" s="109" t="str">
        <f t="shared" si="0"/>
        <v>4021/4022</v>
      </c>
      <c r="L32" s="22" t="str">
        <f>VLOOKUP(A32,'Trips&amp;Operators'!$C$1:$G$99999,5,FALSE)</f>
        <v>DE LA ROSA ALEX</v>
      </c>
      <c r="M32" s="6">
        <f t="shared" si="1"/>
        <v>1.4004629629198462E-3</v>
      </c>
      <c r="N32" s="7"/>
      <c r="O32" s="7"/>
      <c r="P32" s="7">
        <f>24*60*SUM($M32:$M33)</f>
        <v>17.516666664741933</v>
      </c>
      <c r="Q32" s="23"/>
      <c r="R32" s="23" t="s">
        <v>921</v>
      </c>
      <c r="S32" s="35">
        <f>SUM(U32:U33)/IF(AG32="EC",12,1)</f>
        <v>0.75</v>
      </c>
      <c r="T32" s="50" t="str">
        <f t="shared" si="4"/>
        <v>Southbound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0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https://search-rtdc-monitor-bjffxe2xuh6vdkpspy63sjmuny.us-east-1.es.amazonaws.com/_plugin/kibana/#/discover/Steve-Slow-Train-Analysis-(2080s-and-2083s)?_g=(refreshInterval:(display:Off,section:0,value:0),time:(from:'2016-11-30 05:52:17-700',mode:absolute,to:'2016-11-30 08:14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32" s="52" t="str">
        <f t="shared" si="6"/>
        <v>Y</v>
      </c>
      <c r="X32" s="177">
        <f t="shared" si="7"/>
        <v>1</v>
      </c>
      <c r="Y32" s="67">
        <f t="shared" si="8"/>
        <v>12.7834</v>
      </c>
      <c r="Z32" s="67">
        <f t="shared" si="9"/>
        <v>12.7455</v>
      </c>
      <c r="AA32" s="67">
        <f t="shared" si="10"/>
        <v>3.7900000000000489E-2</v>
      </c>
      <c r="AB32" s="64" t="str">
        <f>VLOOKUP(A32,Enforcements!$C$7:$K$20,8,0)</f>
        <v>Signal based authority (5)</v>
      </c>
      <c r="AC32" s="60" t="str">
        <f>VLOOKUP(A32,Enforcements!$C$7:$E$20,3,0)</f>
        <v>SIGNAL</v>
      </c>
      <c r="AD32" s="61" t="str">
        <f t="shared" si="11"/>
        <v>0120-30</v>
      </c>
      <c r="AE32" s="91" t="str">
        <f t="shared" si="12"/>
        <v>aws s3 cp s3://rtdc.mdm.uploadarchive.raw/RTDC4021/ "%USERPROFILE%\AppData\Local\Temp\OnboardLogs"\RTDC4021\2016-11-30 --exclude "*" --recursive --include "*20161130*" &amp; "%USERPROFILE%\Documents\GitHub\mrs-test-scripts\Headless Mode &amp; Sideloading\WalkAndUnGZ.bat" "%USERPROFILE%\AppData\Local\Temp\OnboardLogs"\RTDC4021\2016-11-30 &amp; aws s3 cp s3://rtdc.mdm.uploadarchive.raw/RTDC4021/ "%USERPROFILE%\AppData\Local\Temp\OnboardLogs"\RTDC4021\2016-12-01 --exclude "*" --recursive --include "*20161201*" &amp; "%USERPROFILE%\Documents\GitHub\mrs-test-scripts\Headless Mode &amp; Sideloading\WalkAndUnGZ.bat" "%USERPROFILE%\AppData\Local\Temp\OnboardLogs"\RTDC4021\2016-12-01</v>
      </c>
      <c r="AF32" s="88" t="str">
        <f t="shared" si="13"/>
        <v>"C:\Program Files (x86)\AstroGrep\AstroGrep.exe" /spath="%USERPROFILE%\AppData\Local\Temp\OnboardLogs" /stypes="app*4021*20161130*" /stext=" 14:.+((SYSTEM_STATE.+slice.+state.+changed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120-30 --locoid 4021 --swversion DE.1.0.8.0 --startMP 204:127834 --initTime 2016-11-30T06:52:17 --startdatetime 2016-11-30T07:12:27 --delay 20 --endMP 204:127455 --enddatetime 2016-11-30T07:14:28 --enforcementcount 2 &gt;&gt;C:\Users\stu\Documents\GitHub\eaglep3-reporting\EC\2016-11-30-refined-times.txt</v>
      </c>
      <c r="AI32" s="119" t="str">
        <f t="shared" si="18"/>
        <v>echo {"issue":{"subject":"CCROC/crew/equipment mismatch","project_id":79,"tracker_id":40,"status_id":1,"priority_id":2,"assigned_to_id":23,"start_date":"2016-11-30","description":"This trip couldn’t init due to CCROC/crew/equipment mismatches","custom_fields":[{"id":1,"name":"Subdivision","value":"EC"},{"id":4,"name":"Milepost","value":"12.7455"},{"id":17,"name":"Train ID","value":"120-30"},{"id":16,"name":"Locomotive ID","value":"4021"},{"id":130,"name":"Impact","value":"Initialization Problem"},{"id":150,"name":"Time of Event (Mountain Time)","value":"07:14:28"},{"id":151,"name":"Denver Issue ID","value":""},{"id":178,"name":"Operational Impact","value":"Yes"},{"id":179,"name":"Denver Segment Assigned","value":"Human Factors"}]}} | curl -X POST -H "Content-Type: application/json" -H "X-Redmine-API-Key: d6333d4a04012a730768444271f8ca06482dae87" https://secure.xorail.net/redmine/issues.json --data @-</v>
      </c>
      <c r="AJ32" s="53" t="s">
        <v>922</v>
      </c>
      <c r="AK32" s="53" t="s">
        <v>133</v>
      </c>
      <c r="AL32" s="53" t="s">
        <v>216</v>
      </c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525</v>
      </c>
      <c r="B33" s="7">
        <v>4021</v>
      </c>
      <c r="C33" s="22" t="s">
        <v>212</v>
      </c>
      <c r="D33" s="22" t="s">
        <v>764</v>
      </c>
      <c r="E33" s="13">
        <v>42704.307488425926</v>
      </c>
      <c r="F33" s="13">
        <v>42704.30810185185</v>
      </c>
      <c r="G33" s="7">
        <v>0</v>
      </c>
      <c r="H33" s="22" t="s">
        <v>193</v>
      </c>
      <c r="I33" s="13">
        <v>42704.318865740737</v>
      </c>
      <c r="J33" s="7">
        <v>0</v>
      </c>
      <c r="K33" s="109" t="str">
        <f t="shared" si="0"/>
        <v>4021/4022</v>
      </c>
      <c r="L33" s="22" t="str">
        <f>VLOOKUP(A33,'Trips&amp;Operators'!$C$1:$G$99999,5,FALSE)</f>
        <v>DE LA ROSA ALEX</v>
      </c>
      <c r="M33" s="6">
        <f t="shared" si="1"/>
        <v>1.0763888887595385E-2</v>
      </c>
      <c r="N33" s="7"/>
      <c r="O33" s="7"/>
      <c r="P33" s="7"/>
      <c r="Q33" s="23"/>
      <c r="R33" s="23"/>
      <c r="S33" s="35"/>
      <c r="T33" s="50" t="str">
        <f t="shared" si="4"/>
        <v>Southbound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9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https://search-rtdc-monitor-bjffxe2xuh6vdkpspy63sjmuny.us-east-1.es.amazonaws.com/_plugin/kibana/#/discover/Steve-Slow-Train-Analysis-(2080s-and-2083s)?_g=(refreshInterval:(display:Off,section:0,value:0),time:(from:'2016-11-30 06:22:47-700',mode:absolute,to:'2016-11-30 08:39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33" s="52" t="str">
        <f t="shared" si="6"/>
        <v>Y</v>
      </c>
      <c r="X33" s="177">
        <f t="shared" si="7"/>
        <v>0</v>
      </c>
      <c r="Y33" s="67">
        <f t="shared" si="8"/>
        <v>6.4161000000000001</v>
      </c>
      <c r="Z33" s="67">
        <f t="shared" si="9"/>
        <v>1.43E-2</v>
      </c>
      <c r="AA33" s="67">
        <f t="shared" si="10"/>
        <v>6.4017999999999997</v>
      </c>
      <c r="AB33" s="64" t="str">
        <f>VLOOKUP(A33,Enforcements!$C$7:$K$20,8,0)</f>
        <v>Signal based authority (5)</v>
      </c>
      <c r="AC33" s="60" t="str">
        <f>VLOOKUP(A33,Enforcements!$C$7:$E$20,3,0)</f>
        <v>SIGNAL</v>
      </c>
      <c r="AD33" s="61" t="str">
        <f t="shared" si="11"/>
        <v>0120-30</v>
      </c>
      <c r="AE33" s="91" t="str">
        <f t="shared" si="12"/>
        <v>aws s3 cp s3://rtdc.mdm.uploadarchive.raw/RTDC4021/ "%USERPROFILE%\AppData\Local\Temp\OnboardLogs"\RTDC4021\2016-11-30 --exclude "*" --recursive --include "*20161130*" &amp; "%USERPROFILE%\Documents\GitHub\mrs-test-scripts\Headless Mode &amp; Sideloading\WalkAndUnGZ.bat" "%USERPROFILE%\AppData\Local\Temp\OnboardLogs"\RTDC4021\2016-11-30 &amp; aws s3 cp s3://rtdc.mdm.uploadarchive.raw/RTDC4021/ "%USERPROFILE%\AppData\Local\Temp\OnboardLogs"\RTDC4021\2016-12-01 --exclude "*" --recursive --include "*20161201*" &amp; "%USERPROFILE%\Documents\GitHub\mrs-test-scripts\Headless Mode &amp; Sideloading\WalkAndUnGZ.bat" "%USERPROFILE%\AppData\Local\Temp\OnboardLogs"\RTDC4021\2016-12-01</v>
      </c>
      <c r="AF33" s="88" t="str">
        <f t="shared" si="13"/>
        <v>"C:\Program Files (x86)\AstroGrep\AstroGrep.exe" /spath="%USERPROFILE%\AppData\Local\Temp\OnboardLogs" /stypes="app*4021*20161130*" /stext=" 14:.+((SYSTEM_STATE.+slice.+state.+changed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120-30 --locoid 4021 --swversion DE.1.0.8.0 --startMP 204:64161 --initTime 2016-11-30T07:22:47 --startdatetime 2016-11-30T07:23:40 --delay 0 --endMP 204:143 --enddatetime 2016-11-30T07:39:10 --enforcementcount 0 &gt;&gt;C:\Users\stu\Documents\GitHub\eaglep3-reporting\EC\2016-11-30-refined-times.txt</v>
      </c>
      <c r="AI33" s="119" t="str">
        <f t="shared" si="18"/>
        <v>echo {"issue":{"subject":"","project_id":79,"tracker_id":40,"status_id":1,"priority_id":2,"assigned_to_id":23,"start_date":"2016-11-30","description":"","custom_fields":[{"id":1,"name":"Subdivision","value":"EC"},{"id":4,"name":"Milepost","value":"0.0143"},{"id":17,"name":"Train ID","value":"120-30"},{"id":16,"name":"Locomotive ID","value":"4021"},{"id":130,"name":"Impact","value":""},{"id":150,"name":"Time of Event (Mountain Time)","value":"07:39:10"},{"id":151,"name":"Denver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523</v>
      </c>
      <c r="B34" s="7">
        <v>4011</v>
      </c>
      <c r="C34" s="22" t="s">
        <v>212</v>
      </c>
      <c r="D34" s="22" t="s">
        <v>765</v>
      </c>
      <c r="E34" s="13">
        <v>42704.255428240744</v>
      </c>
      <c r="F34" s="13">
        <v>42704.260578703703</v>
      </c>
      <c r="G34" s="7">
        <v>1</v>
      </c>
      <c r="H34" s="22" t="s">
        <v>347</v>
      </c>
      <c r="I34" s="13">
        <v>42704.285624999997</v>
      </c>
      <c r="J34" s="7">
        <v>0</v>
      </c>
      <c r="K34" s="109" t="str">
        <f t="shared" si="0"/>
        <v>4011/4012</v>
      </c>
      <c r="L34" s="22" t="str">
        <f>VLOOKUP(A34,'Trips&amp;Operators'!$C$1:$G$99999,5,FALSE)</f>
        <v>SPECTOR MICHAEL</v>
      </c>
      <c r="M34" s="6">
        <f t="shared" si="1"/>
        <v>2.5046296294021886E-2</v>
      </c>
      <c r="N34" s="7">
        <f t="shared" ref="N34:N65" si="19">24*60*SUM($M34:$M34)</f>
        <v>36.066666663391516</v>
      </c>
      <c r="O34" s="7"/>
      <c r="P34" s="7"/>
      <c r="Q34" s="23"/>
      <c r="R34" s="23"/>
      <c r="S34" s="35">
        <f t="shared" ref="S34:S65" si="20">SUM(U34:U34)/IF(AG34="EC",12,1)</f>
        <v>1</v>
      </c>
      <c r="T34" s="50" t="str">
        <f t="shared" si="4"/>
        <v>NorthBound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https://search-rtdc-monitor-bjffxe2xuh6vdkpspy63sjmuny.us-east-1.es.amazonaws.com/_plugin/kibana/#/discover/Steve-Slow-Train-Analysis-(2080s-and-2083s)?_g=(refreshInterval:(display:Off,section:0,value:0),time:(from:'2016-11-30 05:07:49-700',mode:absolute,to:'2016-11-30 07:51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34" s="52" t="str">
        <f t="shared" si="6"/>
        <v>N</v>
      </c>
      <c r="X34" s="177">
        <f t="shared" si="7"/>
        <v>1</v>
      </c>
      <c r="Y34" s="67">
        <f t="shared" si="8"/>
        <v>4.4600000000000001E-2</v>
      </c>
      <c r="Z34" s="67">
        <f t="shared" si="9"/>
        <v>23.3276</v>
      </c>
      <c r="AA34" s="67">
        <f t="shared" si="10"/>
        <v>23.283000000000001</v>
      </c>
      <c r="AB34" s="64" t="e">
        <f>VLOOKUP(A34,Enforcements!$C$7:$K$20,8,0)</f>
        <v>#N/A</v>
      </c>
      <c r="AC34" s="60" t="e">
        <f>VLOOKUP(A34,Enforcements!$C$7:$E$20,3,0)</f>
        <v>#N/A</v>
      </c>
      <c r="AD34" s="61" t="str">
        <f t="shared" si="11"/>
        <v>0121-30</v>
      </c>
      <c r="AE34" s="91" t="str">
        <f t="shared" si="12"/>
        <v>aws s3 cp s3://rtdc.mdm.uploadarchive.raw/RTDC4011/ "%USERPROFILE%\AppData\Local\Temp\OnboardLogs"\RTDC4011\2016-11-30 --exclude "*" --recursive --include "*20161130*" &amp; "%USERPROFILE%\Documents\GitHub\mrs-test-scripts\Headless Mode &amp; Sideloading\WalkAndUnGZ.bat" "%USERPROFILE%\AppData\Local\Temp\OnboardLogs"\RTDC4011\2016-11-30 &amp; aws s3 cp s3://rtdc.mdm.uploadarchive.raw/RTDC4011/ "%USERPROFILE%\AppData\Local\Temp\OnboardLogs"\RTDC4011\2016-12-01 --exclude "*" --recursive --include "*20161201*" &amp; "%USERPROFILE%\Documents\GitHub\mrs-test-scripts\Headless Mode &amp; Sideloading\WalkAndUnGZ.bat" "%USERPROFILE%\AppData\Local\Temp\OnboardLogs"\RTDC4011\2016-12-01</v>
      </c>
      <c r="AF34" s="88" t="str">
        <f t="shared" si="13"/>
        <v>"C:\Program Files (x86)\AstroGrep\AstroGrep.exe" /spath="%USERPROFILE%\AppData\Local\Temp\OnboardLogs" /stypes="app*4011*20161130*" /stext=" 13:.+((SYSTEM_STATE.+slice.+state.+changed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121-30 --locoid 4011 --swversion DE.1.0.8.0 --startMP 204:446 --initTime 2016-11-30T06:07:49 --startdatetime 2016-11-30T06:15:14 --delay 1 --endMP 204:233276 --enddatetime 2016-11-30T06:51:18 --enforcementcount 0 &gt;&gt;C:\Users\stu\Documents\GitHub\eaglep3-reporting\EC\2016-11-30-refined-times.txt</v>
      </c>
      <c r="AI34" s="119" t="str">
        <f t="shared" si="18"/>
        <v>echo {"issue":{"subject":"","project_id":79,"tracker_id":40,"status_id":1,"priority_id":2,"assigned_to_id":23,"start_date":"2016-11-30","description":"","custom_fields":[{"id":1,"name":"Subdivision","value":"EC"},{"id":4,"name":"Milepost","value":"23.3276"},{"id":17,"name":"Train ID","value":"121-30"},{"id":16,"name":"Locomotive ID","value":"4011"},{"id":130,"name":"Impact","value":""},{"id":150,"name":"Time of Event (Mountain Time)","value":"06:51:18"},{"id":151,"name":"Denver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579</v>
      </c>
      <c r="B35" s="7">
        <v>4012</v>
      </c>
      <c r="C35" s="22" t="s">
        <v>212</v>
      </c>
      <c r="D35" s="22" t="s">
        <v>766</v>
      </c>
      <c r="E35" s="13">
        <v>42704.297025462962</v>
      </c>
      <c r="F35" s="13">
        <v>42704.299502314818</v>
      </c>
      <c r="G35" s="7">
        <v>1</v>
      </c>
      <c r="H35" s="22" t="s">
        <v>219</v>
      </c>
      <c r="I35" s="13">
        <v>42704.325486111113</v>
      </c>
      <c r="J35" s="7">
        <v>0</v>
      </c>
      <c r="K35" s="109" t="str">
        <f t="shared" si="0"/>
        <v>4011/4012</v>
      </c>
      <c r="L35" s="22" t="str">
        <f>VLOOKUP(A35,'Trips&amp;Operators'!$C$1:$G$99999,5,FALSE)</f>
        <v>SPECTOR MICHAEL</v>
      </c>
      <c r="M35" s="6">
        <f t="shared" si="1"/>
        <v>2.5983796294895001E-2</v>
      </c>
      <c r="N35" s="7">
        <f t="shared" si="19"/>
        <v>37.416666664648801</v>
      </c>
      <c r="O35" s="7"/>
      <c r="P35" s="7"/>
      <c r="Q35" s="23"/>
      <c r="R35" s="23"/>
      <c r="S35" s="35">
        <f t="shared" si="20"/>
        <v>1</v>
      </c>
      <c r="T35" s="50" t="str">
        <f t="shared" si="4"/>
        <v>Southbound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https://search-rtdc-monitor-bjffxe2xuh6vdkpspy63sjmuny.us-east-1.es.amazonaws.com/_plugin/kibana/#/discover/Steve-Slow-Train-Analysis-(2080s-and-2083s)?_g=(refreshInterval:(display:Off,section:0,value:0),time:(from:'2016-11-30 06:07:43-700',mode:absolute,to:'2016-11-30 08:48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35" s="52" t="str">
        <f t="shared" si="6"/>
        <v>N</v>
      </c>
      <c r="X35" s="177">
        <f t="shared" si="7"/>
        <v>1</v>
      </c>
      <c r="Y35" s="67">
        <f t="shared" si="8"/>
        <v>23.2957</v>
      </c>
      <c r="Z35" s="67">
        <f t="shared" si="9"/>
        <v>1.4999999999999999E-2</v>
      </c>
      <c r="AA35" s="67">
        <f t="shared" si="10"/>
        <v>23.2807</v>
      </c>
      <c r="AB35" s="64" t="e">
        <f>VLOOKUP(A35,Enforcements!$C$7:$K$20,8,0)</f>
        <v>#N/A</v>
      </c>
      <c r="AC35" s="60" t="e">
        <f>VLOOKUP(A35,Enforcements!$C$7:$E$20,3,0)</f>
        <v>#N/A</v>
      </c>
      <c r="AD35" s="61" t="str">
        <f t="shared" si="11"/>
        <v>0122-30</v>
      </c>
      <c r="AE35" s="91" t="str">
        <f t="shared" si="12"/>
        <v>aws s3 cp s3://rtdc.mdm.uploadarchive.raw/RTDC4012/ "%USERPROFILE%\AppData\Local\Temp\OnboardLogs"\RTDC4012\2016-11-30 --exclude "*" --recursive --include "*20161130*" &amp; "%USERPROFILE%\Documents\GitHub\mrs-test-scripts\Headless Mode &amp; Sideloading\WalkAndUnGZ.bat" "%USERPROFILE%\AppData\Local\Temp\OnboardLogs"\RTDC4012\2016-11-30 &amp; aws s3 cp s3://rtdc.mdm.uploadarchive.raw/RTDC4012/ "%USERPROFILE%\AppData\Local\Temp\OnboardLogs"\RTDC4012\2016-12-01 --exclude "*" --recursive --include "*20161201*" &amp; "%USERPROFILE%\Documents\GitHub\mrs-test-scripts\Headless Mode &amp; Sideloading\WalkAndUnGZ.bat" "%USERPROFILE%\AppData\Local\Temp\OnboardLogs"\RTDC4012\2016-12-01</v>
      </c>
      <c r="AF35" s="88" t="str">
        <f t="shared" si="13"/>
        <v>"C:\Program Files (x86)\AstroGrep\AstroGrep.exe" /spath="%USERPROFILE%\AppData\Local\Temp\OnboardLogs" /stypes="app*4012*20161130*" /stext=" 14:.+((SYSTEM_STATE.+slice.+state.+changed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122-30 --locoid 4012 --swversion DE.1.0.8.0 --startMP 204:232957 --initTime 2016-11-30T07:07:43 --startdatetime 2016-11-30T07:11:17 --delay 1 --endMP 204:150 --enddatetime 2016-11-30T07:48:42 --enforcementcount 0 &gt;&gt;C:\Users\stu\Documents\GitHub\eaglep3-reporting\EC\2016-11-30-refined-times.txt</v>
      </c>
      <c r="AI35" s="119" t="str">
        <f t="shared" si="18"/>
        <v>echo {"issue":{"subject":"","project_id":79,"tracker_id":40,"status_id":1,"priority_id":2,"assigned_to_id":23,"start_date":"2016-11-30","description":"","custom_fields":[{"id":1,"name":"Subdivision","value":"EC"},{"id":4,"name":"Milepost","value":"0.015"},{"id":17,"name":"Train ID","value":"122-30"},{"id":16,"name":"Locomotive ID","value":"4012"},{"id":130,"name":"Impact","value":""},{"id":150,"name":"Time of Event (Mountain Time)","value":"07:48:42"},{"id":151,"name":"Denver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573</v>
      </c>
      <c r="B36" s="7">
        <v>4003</v>
      </c>
      <c r="C36" s="22" t="s">
        <v>212</v>
      </c>
      <c r="D36" s="22" t="s">
        <v>197</v>
      </c>
      <c r="E36" s="13">
        <v>42704.264548611114</v>
      </c>
      <c r="F36" s="13">
        <v>42704.27103009259</v>
      </c>
      <c r="G36" s="7">
        <v>2</v>
      </c>
      <c r="H36" s="22" t="s">
        <v>767</v>
      </c>
      <c r="I36" s="13">
        <v>42704.295671296299</v>
      </c>
      <c r="J36" s="7">
        <v>0</v>
      </c>
      <c r="K36" s="109" t="str">
        <f t="shared" si="0"/>
        <v>4003/4004</v>
      </c>
      <c r="L36" s="22" t="str">
        <f>VLOOKUP(A36,'Trips&amp;Operators'!$C$1:$G$99999,5,FALSE)</f>
        <v>KILLION DAVID</v>
      </c>
      <c r="M36" s="6">
        <f t="shared" si="1"/>
        <v>2.4641203708597459E-2</v>
      </c>
      <c r="N36" s="7">
        <f t="shared" si="19"/>
        <v>35.483333340380341</v>
      </c>
      <c r="O36" s="7"/>
      <c r="P36" s="7"/>
      <c r="Q36" s="23"/>
      <c r="R36" s="23"/>
      <c r="S36" s="35">
        <f t="shared" si="20"/>
        <v>1</v>
      </c>
      <c r="T36" s="50" t="str">
        <f t="shared" si="4"/>
        <v>NorthBound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https://search-rtdc-monitor-bjffxe2xuh6vdkpspy63sjmuny.us-east-1.es.amazonaws.com/_plugin/kibana/#/discover/Steve-Slow-Train-Analysis-(2080s-and-2083s)?_g=(refreshInterval:(display:Off,section:0,value:0),time:(from:'2016-11-30 05:20:57-700',mode:absolute,to:'2016-11-30 08:05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36" s="52" t="str">
        <f t="shared" si="6"/>
        <v>N</v>
      </c>
      <c r="X36" s="177">
        <f t="shared" si="7"/>
        <v>1</v>
      </c>
      <c r="Y36" s="67">
        <f t="shared" si="8"/>
        <v>4.5100000000000001E-2</v>
      </c>
      <c r="Z36" s="67">
        <f t="shared" si="9"/>
        <v>23.327200000000001</v>
      </c>
      <c r="AA36" s="67">
        <f t="shared" si="10"/>
        <v>23.2821</v>
      </c>
      <c r="AB36" s="64" t="e">
        <f>VLOOKUP(A36,Enforcements!$C$7:$K$20,8,0)</f>
        <v>#N/A</v>
      </c>
      <c r="AC36" s="60" t="e">
        <f>VLOOKUP(A36,Enforcements!$C$7:$E$20,3,0)</f>
        <v>#N/A</v>
      </c>
      <c r="AD36" s="61" t="str">
        <f t="shared" si="11"/>
        <v>0123-30</v>
      </c>
      <c r="AE36" s="91" t="str">
        <f t="shared" si="12"/>
        <v>aws s3 cp s3://rtdc.mdm.uploadarchive.raw/RTDC4003/ "%USERPROFILE%\AppData\Local\Temp\OnboardLogs"\RTDC4003\2016-11-30 --exclude "*" --recursive --include "*20161130*" &amp; "%USERPROFILE%\Documents\GitHub\mrs-test-scripts\Headless Mode &amp; Sideloading\WalkAndUnGZ.bat" "%USERPROFILE%\AppData\Local\Temp\OnboardLogs"\RTDC4003\2016-11-30 &amp; aws s3 cp s3://rtdc.mdm.uploadarchive.raw/RTDC4003/ "%USERPROFILE%\AppData\Local\Temp\OnboardLogs"\RTDC4003\2016-12-01 --exclude "*" --recursive --include "*20161201*" &amp; "%USERPROFILE%\Documents\GitHub\mrs-test-scripts\Headless Mode &amp; Sideloading\WalkAndUnGZ.bat" "%USERPROFILE%\AppData\Local\Temp\OnboardLogs"\RTDC4003\2016-12-01</v>
      </c>
      <c r="AF36" s="88" t="str">
        <f t="shared" si="13"/>
        <v>"C:\Program Files (x86)\AstroGrep\AstroGrep.exe" /spath="%USERPROFILE%\AppData\Local\Temp\OnboardLogs" /stypes="app*4003*20161130*" /stext=" 14:.+((SYSTEM_STATE.+slice.+state.+changed )|(ment ac)|(multiple cpu faults)|(system.+state.+changed )|(\[timeout)|(PRM\|1\|D)|(kpr)|(kdp)|(\|lc)|(penalty))"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123-30 --locoid 4003 --swversion DE.1.0.8.0 --startMP 204:451 --initTime 2016-11-30T06:20:57 --startdatetime 2016-11-30T06:30:17 --delay 2 --endMP 204:233272 --enddatetime 2016-11-30T07:05:46 --enforcementcount 0 &gt;&gt;C:\Users\stu\Documents\GitHub\eaglep3-reporting\EC\2016-11-30-refined-times.txt</v>
      </c>
      <c r="AI36" s="119" t="str">
        <f t="shared" si="18"/>
        <v>echo {"issue":{"subject":"","project_id":79,"tracker_id":40,"status_id":1,"priority_id":2,"assigned_to_id":23,"start_date":"2016-11-30","description":"","custom_fields":[{"id":1,"name":"Subdivision","value":"EC"},{"id":4,"name":"Milepost","value":"23.3272"},{"id":17,"name":"Train ID","value":"123-30"},{"id":16,"name":"Locomotive ID","value":"4003"},{"id":130,"name":"Impact","value":""},{"id":150,"name":"Time of Event (Mountain Time)","value":"07:05:46"},{"id":151,"name":"Denver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582</v>
      </c>
      <c r="B37" s="7">
        <v>4004</v>
      </c>
      <c r="C37" s="22" t="s">
        <v>212</v>
      </c>
      <c r="D37" s="22" t="s">
        <v>497</v>
      </c>
      <c r="E37" s="13">
        <v>42704.307233796295</v>
      </c>
      <c r="F37" s="13">
        <v>42704.309907407405</v>
      </c>
      <c r="G37" s="7">
        <v>1</v>
      </c>
      <c r="H37" s="22" t="s">
        <v>309</v>
      </c>
      <c r="I37" s="13">
        <v>42704.3359837963</v>
      </c>
      <c r="J37" s="7">
        <v>0</v>
      </c>
      <c r="K37" s="109" t="str">
        <f t="shared" si="0"/>
        <v>4003/4004</v>
      </c>
      <c r="L37" s="22" t="str">
        <f>VLOOKUP(A37,'Trips&amp;Operators'!$C$1:$G$99999,5,FALSE)</f>
        <v>KILLION DAVID</v>
      </c>
      <c r="M37" s="6">
        <f t="shared" si="1"/>
        <v>2.6076388894580305E-2</v>
      </c>
      <c r="N37" s="7">
        <f t="shared" si="19"/>
        <v>37.550000008195639</v>
      </c>
      <c r="O37" s="7"/>
      <c r="P37" s="7"/>
      <c r="Q37" s="23"/>
      <c r="R37" s="23"/>
      <c r="S37" s="35">
        <f t="shared" si="20"/>
        <v>1</v>
      </c>
      <c r="T37" s="50" t="str">
        <f t="shared" si="4"/>
        <v>Southbound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https://search-rtdc-monitor-bjffxe2xuh6vdkpspy63sjmuny.us-east-1.es.amazonaws.com/_plugin/kibana/#/discover/Steve-Slow-Train-Analysis-(2080s-and-2083s)?_g=(refreshInterval:(display:Off,section:0,value:0),time:(from:'2016-11-30 06:22:25-700',mode:absolute,to:'2016-11-30 09:03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37" s="52" t="str">
        <f t="shared" si="6"/>
        <v>N</v>
      </c>
      <c r="X37" s="177">
        <f t="shared" si="7"/>
        <v>1</v>
      </c>
      <c r="Y37" s="67">
        <f t="shared" si="8"/>
        <v>23.296900000000001</v>
      </c>
      <c r="Z37" s="67">
        <f t="shared" si="9"/>
        <v>1.38E-2</v>
      </c>
      <c r="AA37" s="67">
        <f t="shared" si="10"/>
        <v>23.283100000000001</v>
      </c>
      <c r="AB37" s="64" t="e">
        <f>VLOOKUP(A37,Enforcements!$C$7:$K$20,8,0)</f>
        <v>#N/A</v>
      </c>
      <c r="AC37" s="60" t="e">
        <f>VLOOKUP(A37,Enforcements!$C$7:$E$20,3,0)</f>
        <v>#N/A</v>
      </c>
      <c r="AD37" s="61" t="str">
        <f t="shared" si="11"/>
        <v>0124-30</v>
      </c>
      <c r="AE37" s="91" t="str">
        <f t="shared" si="12"/>
        <v>aws s3 cp s3://rtdc.mdm.uploadarchive.raw/RTDC4004/ "%USERPROFILE%\AppData\Local\Temp\OnboardLogs"\RTDC4004\2016-11-30 --exclude "*" --recursive --include "*20161130*" &amp; "%USERPROFILE%\Documents\GitHub\mrs-test-scripts\Headless Mode &amp; Sideloading\WalkAndUnGZ.bat" "%USERPROFILE%\AppData\Local\Temp\OnboardLogs"\RTDC4004\2016-11-30 &amp; aws s3 cp s3://rtdc.mdm.uploadarchive.raw/RTDC4004/ "%USERPROFILE%\AppData\Local\Temp\OnboardLogs"\RTDC4004\2016-12-01 --exclude "*" --recursive --include "*20161201*" &amp; "%USERPROFILE%\Documents\GitHub\mrs-test-scripts\Headless Mode &amp; Sideloading\WalkAndUnGZ.bat" "%USERPROFILE%\AppData\Local\Temp\OnboardLogs"\RTDC4004\2016-12-01</v>
      </c>
      <c r="AF37" s="88" t="str">
        <f t="shared" si="13"/>
        <v>"C:\Program Files (x86)\AstroGrep\AstroGrep.exe" /spath="%USERPROFILE%\AppData\Local\Temp\OnboardLogs" /stypes="app*4004*20161130*" /stext=" 15:.+((SYSTEM_STATE.+slice.+state.+changed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124-30 --locoid 4004 --swversion DE.1.0.8.0 --startMP 204:232969 --initTime 2016-11-30T07:22:25 --startdatetime 2016-11-30T07:26:16 --delay 1 --endMP 204:138 --enddatetime 2016-11-30T08:03:49 --enforcementcount 0 &gt;&gt;C:\Users\stu\Documents\GitHub\eaglep3-reporting\EC\2016-11-30-refined-times.txt</v>
      </c>
      <c r="AI37" s="119" t="str">
        <f t="shared" si="18"/>
        <v>echo {"issue":{"subject":"","project_id":79,"tracker_id":40,"status_id":1,"priority_id":2,"assigned_to_id":23,"start_date":"2016-11-30","description":"","custom_fields":[{"id":1,"name":"Subdivision","value":"EC"},{"id":4,"name":"Milepost","value":"0.0138"},{"id":17,"name":"Train ID","value":"124-30"},{"id":16,"name":"Locomotive ID","value":"4004"},{"id":130,"name":"Impact","value":""},{"id":150,"name":"Time of Event (Mountain Time)","value":"08:03:49"},{"id":151,"name":"Denver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574</v>
      </c>
      <c r="B38" s="7">
        <v>4038</v>
      </c>
      <c r="C38" s="22" t="s">
        <v>212</v>
      </c>
      <c r="D38" s="22" t="s">
        <v>765</v>
      </c>
      <c r="E38" s="13">
        <v>42704.274942129632</v>
      </c>
      <c r="F38" s="13">
        <v>42704.2815625</v>
      </c>
      <c r="G38" s="7">
        <v>1</v>
      </c>
      <c r="H38" s="22" t="s">
        <v>491</v>
      </c>
      <c r="I38" s="13">
        <v>42704.305810185186</v>
      </c>
      <c r="J38" s="7">
        <v>0</v>
      </c>
      <c r="K38" s="109" t="str">
        <f t="shared" si="0"/>
        <v>4037/4038</v>
      </c>
      <c r="L38" s="22" t="str">
        <f>VLOOKUP(A38,'Trips&amp;Operators'!$C$1:$G$99999,5,FALSE)</f>
        <v>SAFIEF AEIMEN</v>
      </c>
      <c r="M38" s="6">
        <f t="shared" si="1"/>
        <v>2.4247685185400769E-2</v>
      </c>
      <c r="N38" s="7">
        <f t="shared" si="19"/>
        <v>34.916666666977108</v>
      </c>
      <c r="O38" s="7"/>
      <c r="P38" s="7"/>
      <c r="Q38" s="23"/>
      <c r="R38" s="23"/>
      <c r="S38" s="35">
        <f t="shared" si="20"/>
        <v>1</v>
      </c>
      <c r="T38" s="50" t="str">
        <f t="shared" si="4"/>
        <v>NorthBound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https://search-rtdc-monitor-bjffxe2xuh6vdkpspy63sjmuny.us-east-1.es.amazonaws.com/_plugin/kibana/#/discover/Steve-Slow-Train-Analysis-(2080s-and-2083s)?_g=(refreshInterval:(display:Off,section:0,value:0),time:(from:'2016-11-30 05:35:55-700',mode:absolute,to:'2016-11-30 08:20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38" s="52" t="str">
        <f t="shared" si="6"/>
        <v>N</v>
      </c>
      <c r="X38" s="177">
        <f t="shared" si="7"/>
        <v>1</v>
      </c>
      <c r="Y38" s="67">
        <f t="shared" si="8"/>
        <v>4.4600000000000001E-2</v>
      </c>
      <c r="Z38" s="67">
        <f t="shared" si="9"/>
        <v>23.331199999999999</v>
      </c>
      <c r="AA38" s="67">
        <f t="shared" si="10"/>
        <v>23.2866</v>
      </c>
      <c r="AB38" s="64" t="e">
        <f>VLOOKUP(A38,Enforcements!$C$7:$K$20,8,0)</f>
        <v>#N/A</v>
      </c>
      <c r="AC38" s="60" t="e">
        <f>VLOOKUP(A38,Enforcements!$C$7:$E$20,3,0)</f>
        <v>#N/A</v>
      </c>
      <c r="AD38" s="61" t="str">
        <f t="shared" si="11"/>
        <v>0125-30</v>
      </c>
      <c r="AE38" s="91" t="str">
        <f t="shared" si="12"/>
        <v>aws s3 cp s3://rtdc.mdm.uploadarchive.raw/RTDC4038/ "%USERPROFILE%\AppData\Local\Temp\OnboardLogs"\RTDC4038\2016-11-30 --exclude "*" --recursive --include "*20161130*" &amp; "%USERPROFILE%\Documents\GitHub\mrs-test-scripts\Headless Mode &amp; Sideloading\WalkAndUnGZ.bat" "%USERPROFILE%\AppData\Local\Temp\OnboardLogs"\RTDC4038\2016-11-30 &amp; aws s3 cp s3://rtdc.mdm.uploadarchive.raw/RTDC4038/ "%USERPROFILE%\AppData\Local\Temp\OnboardLogs"\RTDC4038\2016-12-01 --exclude "*" --recursive --include "*20161201*" &amp; "%USERPROFILE%\Documents\GitHub\mrs-test-scripts\Headless Mode &amp; Sideloading\WalkAndUnGZ.bat" "%USERPROFILE%\AppData\Local\Temp\OnboardLogs"\RTDC4038\2016-12-01</v>
      </c>
      <c r="AF38" s="88" t="str">
        <f t="shared" si="13"/>
        <v>"C:\Program Files (x86)\AstroGrep\AstroGrep.exe" /spath="%USERPROFILE%\AppData\Local\Temp\OnboardLogs" /stypes="app*4038*20161130*" /stext=" 14:.+((SYSTEM_STATE.+slice.+state.+changed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125-30 --locoid 4038 --swversion DE.1.0.8.0 --startMP 204:446 --initTime 2016-11-30T06:35:55 --startdatetime 2016-11-30T06:45:27 --delay 1 --endMP 204:233312 --enddatetime 2016-11-30T07:20:22 --enforcementcount 0 &gt;&gt;C:\Users\stu\Documents\GitHub\eaglep3-reporting\EC\2016-11-30-refined-times.txt</v>
      </c>
      <c r="AI38" s="119" t="str">
        <f t="shared" si="18"/>
        <v>echo {"issue":{"subject":"","project_id":79,"tracker_id":40,"status_id":1,"priority_id":2,"assigned_to_id":23,"start_date":"2016-11-30","description":"","custom_fields":[{"id":1,"name":"Subdivision","value":"EC"},{"id":4,"name":"Milepost","value":"23.3312"},{"id":17,"name":"Train ID","value":"125-30"},{"id":16,"name":"Locomotive ID","value":"4038"},{"id":130,"name":"Impact","value":""},{"id":150,"name":"Time of Event (Mountain Time)","value":"07:20:22"},{"id":151,"name":"Denver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584</v>
      </c>
      <c r="B39" s="7">
        <v>4037</v>
      </c>
      <c r="C39" s="22" t="s">
        <v>212</v>
      </c>
      <c r="D39" s="22" t="s">
        <v>241</v>
      </c>
      <c r="E39" s="13">
        <v>42704.312592592592</v>
      </c>
      <c r="F39" s="13">
        <v>42704.320439814815</v>
      </c>
      <c r="G39" s="7">
        <v>1</v>
      </c>
      <c r="H39" s="22" t="s">
        <v>219</v>
      </c>
      <c r="I39" s="13">
        <v>42704.346655092595</v>
      </c>
      <c r="J39" s="7">
        <v>0</v>
      </c>
      <c r="K39" s="109" t="str">
        <f t="shared" si="0"/>
        <v>4037/4038</v>
      </c>
      <c r="L39" s="22" t="str">
        <f>VLOOKUP(A39,'Trips&amp;Operators'!$C$1:$G$99999,5,FALSE)</f>
        <v>SAFIEF AEIMEN</v>
      </c>
      <c r="M39" s="6">
        <f t="shared" si="1"/>
        <v>2.6215277779556345E-2</v>
      </c>
      <c r="N39" s="7">
        <f t="shared" si="19"/>
        <v>37.750000002561137</v>
      </c>
      <c r="O39" s="7"/>
      <c r="P39" s="7"/>
      <c r="Q39" s="23"/>
      <c r="R39" s="23"/>
      <c r="S39" s="35">
        <f t="shared" si="20"/>
        <v>1</v>
      </c>
      <c r="T39" s="50" t="str">
        <f t="shared" si="4"/>
        <v>Southbound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https://search-rtdc-monitor-bjffxe2xuh6vdkpspy63sjmuny.us-east-1.es.amazonaws.com/_plugin/kibana/#/discover/Steve-Slow-Train-Analysis-(2080s-and-2083s)?_g=(refreshInterval:(display:Off,section:0,value:0),time:(from:'2016-11-30 06:30:08-700',mode:absolute,to:'2016-11-30 09:19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39" s="52" t="str">
        <f t="shared" si="6"/>
        <v>N</v>
      </c>
      <c r="X39" s="177">
        <f t="shared" si="7"/>
        <v>1</v>
      </c>
      <c r="Y39" s="67">
        <f t="shared" si="8"/>
        <v>23.299800000000001</v>
      </c>
      <c r="Z39" s="67">
        <f t="shared" si="9"/>
        <v>1.4999999999999999E-2</v>
      </c>
      <c r="AA39" s="67">
        <f t="shared" si="10"/>
        <v>23.284800000000001</v>
      </c>
      <c r="AB39" s="64" t="e">
        <f>VLOOKUP(A39,Enforcements!$C$7:$K$20,8,0)</f>
        <v>#N/A</v>
      </c>
      <c r="AC39" s="60" t="e">
        <f>VLOOKUP(A39,Enforcements!$C$7:$E$20,3,0)</f>
        <v>#N/A</v>
      </c>
      <c r="AD39" s="61" t="str">
        <f t="shared" si="11"/>
        <v>0126-30</v>
      </c>
      <c r="AE39" s="91" t="str">
        <f t="shared" si="12"/>
        <v>aws s3 cp s3://rtdc.mdm.uploadarchive.raw/RTDC4037/ "%USERPROFILE%\AppData\Local\Temp\OnboardLogs"\RTDC4037\2016-11-30 --exclude "*" --recursive --include "*20161130*" &amp; "%USERPROFILE%\Documents\GitHub\mrs-test-scripts\Headless Mode &amp; Sideloading\WalkAndUnGZ.bat" "%USERPROFILE%\AppData\Local\Temp\OnboardLogs"\RTDC4037\2016-11-30 &amp; aws s3 cp s3://rtdc.mdm.uploadarchive.raw/RTDC4037/ "%USERPROFILE%\AppData\Local\Temp\OnboardLogs"\RTDC4037\2016-12-01 --exclude "*" --recursive --include "*20161201*" &amp; "%USERPROFILE%\Documents\GitHub\mrs-test-scripts\Headless Mode &amp; Sideloading\WalkAndUnGZ.bat" "%USERPROFILE%\AppData\Local\Temp\OnboardLogs"\RTDC4037\2016-12-01</v>
      </c>
      <c r="AF39" s="88" t="str">
        <f t="shared" si="13"/>
        <v>"C:\Program Files (x86)\AstroGrep\AstroGrep.exe" /spath="%USERPROFILE%\AppData\Local\Temp\OnboardLogs" /stypes="app*4037*20161130*" /stext=" 15:.+((SYSTEM_STATE.+slice.+state.+changed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126-30 --locoid 4037 --swversion DE.1.0.8.0 --startMP 204:232998 --initTime 2016-11-30T07:30:08 --startdatetime 2016-11-30T07:41:26 --delay 1 --endMP 204:150 --enddatetime 2016-11-30T08:19:11 --enforcementcount 0 &gt;&gt;C:\Users\stu\Documents\GitHub\eaglep3-reporting\EC\2016-11-30-refined-times.txt</v>
      </c>
      <c r="AI39" s="119" t="str">
        <f t="shared" si="18"/>
        <v>echo {"issue":{"subject":"","project_id":79,"tracker_id":40,"status_id":1,"priority_id":2,"assigned_to_id":23,"start_date":"2016-11-30","description":"","custom_fields":[{"id":1,"name":"Subdivision","value":"EC"},{"id":4,"name":"Milepost","value":"0.015"},{"id":17,"name":"Train ID","value":"126-30"},{"id":16,"name":"Locomotive ID","value":"4037"},{"id":130,"name":"Impact","value":""},{"id":150,"name":"Time of Event (Mountain Time)","value":"08:19:11"},{"id":151,"name":"Denver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577</v>
      </c>
      <c r="B40" s="7">
        <v>4044</v>
      </c>
      <c r="C40" s="22" t="s">
        <v>212</v>
      </c>
      <c r="D40" s="22" t="s">
        <v>323</v>
      </c>
      <c r="E40" s="13">
        <v>42704.286805555559</v>
      </c>
      <c r="F40" s="13">
        <v>42704.292037037034</v>
      </c>
      <c r="G40" s="7">
        <v>1</v>
      </c>
      <c r="H40" s="22" t="s">
        <v>754</v>
      </c>
      <c r="I40" s="13">
        <v>42704.316620370373</v>
      </c>
      <c r="J40" s="7">
        <v>0</v>
      </c>
      <c r="K40" s="109" t="str">
        <f t="shared" si="0"/>
        <v>4043/4044</v>
      </c>
      <c r="L40" s="22" t="str">
        <f>VLOOKUP(A40,'Trips&amp;Operators'!$C$1:$G$99999,5,FALSE)</f>
        <v>MAELZER KURT</v>
      </c>
      <c r="M40" s="6">
        <f t="shared" si="1"/>
        <v>2.4583333339251112E-2</v>
      </c>
      <c r="N40" s="7">
        <f t="shared" si="19"/>
        <v>35.400000008521602</v>
      </c>
      <c r="O40" s="7"/>
      <c r="P40" s="7"/>
      <c r="Q40" s="23"/>
      <c r="R40" s="23"/>
      <c r="S40" s="35">
        <f t="shared" si="20"/>
        <v>1</v>
      </c>
      <c r="T40" s="50" t="str">
        <f t="shared" si="4"/>
        <v>NorthBound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https://search-rtdc-monitor-bjffxe2xuh6vdkpspy63sjmuny.us-east-1.es.amazonaws.com/_plugin/kibana/#/discover/Steve-Slow-Train-Analysis-(2080s-and-2083s)?_g=(refreshInterval:(display:Off,section:0,value:0),time:(from:'2016-11-30 05:53:00-700',mode:absolute,to:'2016-11-30 08:35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40" s="52" t="str">
        <f t="shared" si="6"/>
        <v>N</v>
      </c>
      <c r="X40" s="177">
        <f t="shared" si="7"/>
        <v>1</v>
      </c>
      <c r="Y40" s="67">
        <f t="shared" si="8"/>
        <v>4.8599999999999997E-2</v>
      </c>
      <c r="Z40" s="67">
        <f t="shared" si="9"/>
        <v>23.3309</v>
      </c>
      <c r="AA40" s="67">
        <f t="shared" si="10"/>
        <v>23.282299999999999</v>
      </c>
      <c r="AB40" s="64" t="e">
        <f>VLOOKUP(A40,Enforcements!$C$7:$K$20,8,0)</f>
        <v>#N/A</v>
      </c>
      <c r="AC40" s="60" t="e">
        <f>VLOOKUP(A40,Enforcements!$C$7:$E$20,3,0)</f>
        <v>#N/A</v>
      </c>
      <c r="AD40" s="61" t="str">
        <f t="shared" si="11"/>
        <v>0127-30</v>
      </c>
      <c r="AE40" s="91" t="str">
        <f t="shared" si="12"/>
        <v>aws s3 cp s3://rtdc.mdm.uploadarchive.raw/RTDC4044/ "%USERPROFILE%\AppData\Local\Temp\OnboardLogs"\RTDC4044\2016-11-30 --exclude "*" --recursive --include "*20161130*" &amp; "%USERPROFILE%\Documents\GitHub\mrs-test-scripts\Headless Mode &amp; Sideloading\WalkAndUnGZ.bat" "%USERPROFILE%\AppData\Local\Temp\OnboardLogs"\RTDC4044\2016-11-30 &amp; aws s3 cp s3://rtdc.mdm.uploadarchive.raw/RTDC4044/ "%USERPROFILE%\AppData\Local\Temp\OnboardLogs"\RTDC4044\2016-12-01 --exclude "*" --recursive --include "*20161201*" &amp; "%USERPROFILE%\Documents\GitHub\mrs-test-scripts\Headless Mode &amp; Sideloading\WalkAndUnGZ.bat" "%USERPROFILE%\AppData\Local\Temp\OnboardLogs"\RTDC4044\2016-12-01</v>
      </c>
      <c r="AF40" s="88" t="str">
        <f t="shared" si="13"/>
        <v>"C:\Program Files (x86)\AstroGrep\AstroGrep.exe" /spath="%USERPROFILE%\AppData\Local\Temp\OnboardLogs" /stypes="app*4044*20161130*" /stext=" 14:.+((SYSTEM_STATE.+slice.+state.+changed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127-30 --locoid 4044 --swversion DE.1.0.8.0 --startMP 204:486 --initTime 2016-11-30T06:53:00 --startdatetime 2016-11-30T07:00:32 --delay 1 --endMP 204:233309 --enddatetime 2016-11-30T07:35:56 --enforcementcount 0 &gt;&gt;C:\Users\stu\Documents\GitHub\eaglep3-reporting\EC\2016-11-30-refined-times.txt</v>
      </c>
      <c r="AI40" s="119" t="str">
        <f t="shared" si="18"/>
        <v>echo {"issue":{"subject":"","project_id":79,"tracker_id":40,"status_id":1,"priority_id":2,"assigned_to_id":23,"start_date":"2016-11-30","description":"","custom_fields":[{"id":1,"name":"Subdivision","value":"EC"},{"id":4,"name":"Milepost","value":"23.3309"},{"id":17,"name":"Train ID","value":"127-30"},{"id":16,"name":"Locomotive ID","value":"4044"},{"id":130,"name":"Impact","value":""},{"id":150,"name":"Time of Event (Mountain Time)","value":"07:35:56"},{"id":151,"name":"Denver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588</v>
      </c>
      <c r="B41" s="7">
        <v>4043</v>
      </c>
      <c r="C41" s="22" t="s">
        <v>212</v>
      </c>
      <c r="D41" s="22" t="s">
        <v>494</v>
      </c>
      <c r="E41" s="13">
        <v>42704.323414351849</v>
      </c>
      <c r="F41" s="13">
        <v>42704.330821759257</v>
      </c>
      <c r="G41" s="7">
        <v>1</v>
      </c>
      <c r="H41" s="22" t="s">
        <v>273</v>
      </c>
      <c r="I41" s="13">
        <v>42704.358391203707</v>
      </c>
      <c r="J41" s="7">
        <v>0</v>
      </c>
      <c r="K41" s="109" t="str">
        <f t="shared" si="0"/>
        <v>4043/4044</v>
      </c>
      <c r="L41" s="22" t="str">
        <f>VLOOKUP(A41,'Trips&amp;Operators'!$C$1:$G$99999,5,FALSE)</f>
        <v>MAELZER KURT</v>
      </c>
      <c r="M41" s="6">
        <f t="shared" si="1"/>
        <v>2.7569444449909497E-2</v>
      </c>
      <c r="N41" s="7">
        <f t="shared" si="19"/>
        <v>39.700000007869676</v>
      </c>
      <c r="O41" s="7"/>
      <c r="P41" s="7"/>
      <c r="Q41" s="23"/>
      <c r="R41" s="23"/>
      <c r="S41" s="35">
        <f t="shared" si="20"/>
        <v>1</v>
      </c>
      <c r="T41" s="50" t="str">
        <f t="shared" si="4"/>
        <v>Southbound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https://search-rtdc-monitor-bjffxe2xuh6vdkpspy63sjmuny.us-east-1.es.amazonaws.com/_plugin/kibana/#/discover/Steve-Slow-Train-Analysis-(2080s-and-2083s)?_g=(refreshInterval:(display:Off,section:0,value:0),time:(from:'2016-11-30 06:45:43-700',mode:absolute,to:'2016-11-30 09:36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41" s="52" t="str">
        <f t="shared" si="6"/>
        <v>N</v>
      </c>
      <c r="X41" s="177">
        <f t="shared" si="7"/>
        <v>1</v>
      </c>
      <c r="Y41" s="67">
        <f t="shared" si="8"/>
        <v>23.2986</v>
      </c>
      <c r="Z41" s="67">
        <f t="shared" si="9"/>
        <v>1.4500000000000001E-2</v>
      </c>
      <c r="AA41" s="67">
        <f t="shared" si="10"/>
        <v>23.284099999999999</v>
      </c>
      <c r="AB41" s="64" t="e">
        <f>VLOOKUP(A41,Enforcements!$C$7:$K$20,8,0)</f>
        <v>#N/A</v>
      </c>
      <c r="AC41" s="60" t="e">
        <f>VLOOKUP(A41,Enforcements!$C$7:$E$20,3,0)</f>
        <v>#N/A</v>
      </c>
      <c r="AD41" s="61" t="str">
        <f t="shared" si="11"/>
        <v>0128-30</v>
      </c>
      <c r="AE41" s="91" t="str">
        <f t="shared" si="12"/>
        <v>aws s3 cp s3://rtdc.mdm.uploadarchive.raw/RTDC4043/ "%USERPROFILE%\AppData\Local\Temp\OnboardLogs"\RTDC4043\2016-11-30 --exclude "*" --recursive --include "*20161130*" &amp; "%USERPROFILE%\Documents\GitHub\mrs-test-scripts\Headless Mode &amp; Sideloading\WalkAndUnGZ.bat" "%USERPROFILE%\AppData\Local\Temp\OnboardLogs"\RTDC4043\2016-11-30 &amp; aws s3 cp s3://rtdc.mdm.uploadarchive.raw/RTDC4043/ "%USERPROFILE%\AppData\Local\Temp\OnboardLogs"\RTDC4043\2016-12-01 --exclude "*" --recursive --include "*20161201*" &amp; "%USERPROFILE%\Documents\GitHub\mrs-test-scripts\Headless Mode &amp; Sideloading\WalkAndUnGZ.bat" "%USERPROFILE%\AppData\Local\Temp\OnboardLogs"\RTDC4043\2016-12-01</v>
      </c>
      <c r="AF41" s="88" t="str">
        <f t="shared" si="13"/>
        <v>"C:\Program Files (x86)\AstroGrep\AstroGrep.exe" /spath="%USERPROFILE%\AppData\Local\Temp\OnboardLogs" /stypes="app*4043*20161130*" /stext=" 15:.+((SYSTEM_STATE.+slice.+state.+changed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128-30 --locoid 4043 --swversion DE.1.0.8.0 --startMP 204:232986 --initTime 2016-11-30T07:45:43 --startdatetime 2016-11-30T07:56:23 --delay 1 --endMP 204:145 --enddatetime 2016-11-30T08:36:05 --enforcementcount 0 &gt;&gt;C:\Users\stu\Documents\GitHub\eaglep3-reporting\EC\2016-11-30-refined-times.txt</v>
      </c>
      <c r="AI41" s="119" t="str">
        <f t="shared" si="18"/>
        <v>echo {"issue":{"subject":"","project_id":79,"tracker_id":40,"status_id":1,"priority_id":2,"assigned_to_id":23,"start_date":"2016-11-30","description":"","custom_fields":[{"id":1,"name":"Subdivision","value":"EC"},{"id":4,"name":"Milepost","value":"0.0145"},{"id":17,"name":"Train ID","value":"128-30"},{"id":16,"name":"Locomotive ID","value":"4043"},{"id":130,"name":"Impact","value":""},{"id":150,"name":"Time of Event (Mountain Time)","value":"08:36:05"},{"id":151,"name":"Denver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578</v>
      </c>
      <c r="B42" s="7">
        <v>4031</v>
      </c>
      <c r="C42" s="22" t="s">
        <v>212</v>
      </c>
      <c r="D42" s="22" t="s">
        <v>234</v>
      </c>
      <c r="E42" s="13">
        <v>42704.296759259261</v>
      </c>
      <c r="F42" s="13">
        <v>42704.302268518521</v>
      </c>
      <c r="G42" s="7">
        <v>1</v>
      </c>
      <c r="H42" s="22" t="s">
        <v>246</v>
      </c>
      <c r="I42" s="13">
        <v>42704.327106481483</v>
      </c>
      <c r="J42" s="7">
        <v>0</v>
      </c>
      <c r="K42" s="109" t="str">
        <f t="shared" si="0"/>
        <v>4031/4032</v>
      </c>
      <c r="L42" s="22" t="str">
        <f>VLOOKUP(A42,'Trips&amp;Operators'!$C$1:$G$99999,5,FALSE)</f>
        <v>PERKINS DARREN</v>
      </c>
      <c r="M42" s="6">
        <f t="shared" si="1"/>
        <v>2.4837962962919846E-2</v>
      </c>
      <c r="N42" s="7">
        <f t="shared" si="19"/>
        <v>35.766666666604578</v>
      </c>
      <c r="O42" s="7"/>
      <c r="P42" s="7"/>
      <c r="Q42" s="23"/>
      <c r="R42" s="23"/>
      <c r="S42" s="35">
        <f t="shared" si="20"/>
        <v>1</v>
      </c>
      <c r="T42" s="50" t="str">
        <f t="shared" si="4"/>
        <v>NorthBound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https://search-rtdc-monitor-bjffxe2xuh6vdkpspy63sjmuny.us-east-1.es.amazonaws.com/_plugin/kibana/#/discover/Steve-Slow-Train-Analysis-(2080s-and-2083s)?_g=(refreshInterval:(display:Off,section:0,value:0),time:(from:'2016-11-30 06:07:20-700',mode:absolute,to:'2016-11-30 08:51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42" s="52" t="str">
        <f t="shared" si="6"/>
        <v>N</v>
      </c>
      <c r="X42" s="177">
        <f t="shared" si="7"/>
        <v>1</v>
      </c>
      <c r="Y42" s="67">
        <f t="shared" si="8"/>
        <v>4.4900000000000002E-2</v>
      </c>
      <c r="Z42" s="67">
        <f t="shared" si="9"/>
        <v>23.331399999999999</v>
      </c>
      <c r="AA42" s="67">
        <f t="shared" si="10"/>
        <v>23.2865</v>
      </c>
      <c r="AB42" s="64" t="e">
        <f>VLOOKUP(A42,Enforcements!$C$7:$K$20,8,0)</f>
        <v>#N/A</v>
      </c>
      <c r="AC42" s="60" t="e">
        <f>VLOOKUP(A42,Enforcements!$C$7:$E$20,3,0)</f>
        <v>#N/A</v>
      </c>
      <c r="AD42" s="61" t="str">
        <f t="shared" si="11"/>
        <v>0129-30</v>
      </c>
      <c r="AE42" s="91" t="str">
        <f t="shared" si="12"/>
        <v>aws s3 cp s3://rtdc.mdm.uploadarchive.raw/RTDC4031/ "%USERPROFILE%\AppData\Local\Temp\OnboardLogs"\RTDC4031\2016-11-30 --exclude "*" --recursive --include "*20161130*" &amp; "%USERPROFILE%\Documents\GitHub\mrs-test-scripts\Headless Mode &amp; Sideloading\WalkAndUnGZ.bat" "%USERPROFILE%\AppData\Local\Temp\OnboardLogs"\RTDC4031\2016-11-30 &amp; aws s3 cp s3://rtdc.mdm.uploadarchive.raw/RTDC4031/ "%USERPROFILE%\AppData\Local\Temp\OnboardLogs"\RTDC4031\2016-12-01 --exclude "*" --recursive --include "*20161201*" &amp; "%USERPROFILE%\Documents\GitHub\mrs-test-scripts\Headless Mode &amp; Sideloading\WalkAndUnGZ.bat" "%USERPROFILE%\AppData\Local\Temp\OnboardLogs"\RTDC4031\2016-12-01</v>
      </c>
      <c r="AF42" s="88" t="str">
        <f t="shared" si="13"/>
        <v>"C:\Program Files (x86)\AstroGrep\AstroGrep.exe" /spath="%USERPROFILE%\AppData\Local\Temp\OnboardLogs" /stypes="app*4031*20161130*" /stext=" 14:.+((SYSTEM_STATE.+slice.+state.+changed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129-30 --locoid 4031 --swversion DE.1.0.8.0 --startMP 204:449 --initTime 2016-11-30T07:07:20 --startdatetime 2016-11-30T07:15:16 --delay 1 --endMP 204:233314 --enddatetime 2016-11-30T07:51:02 --enforcementcount 0 &gt;&gt;C:\Users\stu\Documents\GitHub\eaglep3-reporting\EC\2016-11-30-refined-times.txt</v>
      </c>
      <c r="AI42" s="119" t="str">
        <f t="shared" si="18"/>
        <v>echo {"issue":{"subject":"","project_id":79,"tracker_id":40,"status_id":1,"priority_id":2,"assigned_to_id":23,"start_date":"2016-11-30","description":"","custom_fields":[{"id":1,"name":"Subdivision","value":"EC"},{"id":4,"name":"Milepost","value":"23.3314"},{"id":17,"name":"Train ID","value":"129-30"},{"id":16,"name":"Locomotive ID","value":"4031"},{"id":130,"name":"Impact","value":""},{"id":150,"name":"Time of Event (Mountain Time)","value":"07:51:02"},{"id":151,"name":"Denver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590</v>
      </c>
      <c r="B43" s="7">
        <v>4032</v>
      </c>
      <c r="C43" s="22" t="s">
        <v>212</v>
      </c>
      <c r="D43" s="22" t="s">
        <v>325</v>
      </c>
      <c r="E43" s="13">
        <v>42704.33321759259</v>
      </c>
      <c r="F43" s="13">
        <v>42704.341620370367</v>
      </c>
      <c r="G43" s="7">
        <v>1</v>
      </c>
      <c r="H43" s="22" t="s">
        <v>243</v>
      </c>
      <c r="I43" s="13">
        <v>42704.368587962963</v>
      </c>
      <c r="J43" s="7">
        <v>0</v>
      </c>
      <c r="K43" s="109" t="str">
        <f t="shared" si="0"/>
        <v>4031/4032</v>
      </c>
      <c r="L43" s="22" t="str">
        <f>VLOOKUP(A43,'Trips&amp;Operators'!$C$1:$G$99999,5,FALSE)</f>
        <v>PERKINS DARREN</v>
      </c>
      <c r="M43" s="6">
        <f t="shared" si="1"/>
        <v>2.6967592595610768E-2</v>
      </c>
      <c r="N43" s="7">
        <f t="shared" si="19"/>
        <v>38.833333337679505</v>
      </c>
      <c r="O43" s="7"/>
      <c r="P43" s="7"/>
      <c r="Q43" s="23"/>
      <c r="R43" s="23"/>
      <c r="S43" s="35">
        <f t="shared" si="20"/>
        <v>1</v>
      </c>
      <c r="T43" s="50" t="str">
        <f t="shared" si="4"/>
        <v>Southbound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https://search-rtdc-monitor-bjffxe2xuh6vdkpspy63sjmuny.us-east-1.es.amazonaws.com/_plugin/kibana/#/discover/Steve-Slow-Train-Analysis-(2080s-and-2083s)?_g=(refreshInterval:(display:Off,section:0,value:0),time:(from:'2016-11-30 06:59:50-700',mode:absolute,to:'2016-11-30 09:50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43" s="52" t="str">
        <f t="shared" si="6"/>
        <v>N</v>
      </c>
      <c r="X43" s="177">
        <f t="shared" si="7"/>
        <v>1</v>
      </c>
      <c r="Y43" s="67">
        <f t="shared" si="8"/>
        <v>23.3002</v>
      </c>
      <c r="Z43" s="67">
        <f t="shared" si="9"/>
        <v>1.47E-2</v>
      </c>
      <c r="AA43" s="67">
        <f t="shared" si="10"/>
        <v>23.285499999999999</v>
      </c>
      <c r="AB43" s="64" t="e">
        <f>VLOOKUP(A43,Enforcements!$C$7:$K$20,8,0)</f>
        <v>#N/A</v>
      </c>
      <c r="AC43" s="60" t="e">
        <f>VLOOKUP(A43,Enforcements!$C$7:$E$20,3,0)</f>
        <v>#N/A</v>
      </c>
      <c r="AD43" s="61" t="str">
        <f t="shared" si="11"/>
        <v>0130-30</v>
      </c>
      <c r="AE43" s="91" t="str">
        <f t="shared" si="12"/>
        <v>aws s3 cp s3://rtdc.mdm.uploadarchive.raw/RTDC4032/ "%USERPROFILE%\AppData\Local\Temp\OnboardLogs"\RTDC4032\2016-11-30 --exclude "*" --recursive --include "*20161130*" &amp; "%USERPROFILE%\Documents\GitHub\mrs-test-scripts\Headless Mode &amp; Sideloading\WalkAndUnGZ.bat" "%USERPROFILE%\AppData\Local\Temp\OnboardLogs"\RTDC4032\2016-11-30 &amp; aws s3 cp s3://rtdc.mdm.uploadarchive.raw/RTDC4032/ "%USERPROFILE%\AppData\Local\Temp\OnboardLogs"\RTDC4032\2016-12-01 --exclude "*" --recursive --include "*20161201*" &amp; "%USERPROFILE%\Documents\GitHub\mrs-test-scripts\Headless Mode &amp; Sideloading\WalkAndUnGZ.bat" "%USERPROFILE%\AppData\Local\Temp\OnboardLogs"\RTDC4032\2016-12-01</v>
      </c>
      <c r="AF43" s="88" t="str">
        <f t="shared" si="13"/>
        <v>"C:\Program Files (x86)\AstroGrep\AstroGrep.exe" /spath="%USERPROFILE%\AppData\Local\Temp\OnboardLogs" /stypes="app*4032*20161130*" /stext=" 15:.+((SYSTEM_STATE.+slice.+state.+changed )|(ment ac)|(multiple cpu faults)|(system.+state.+changed )|(\[timeout)|(PRM\|1\|D)|(kpr)|(kdp)|(\|lc)|(penalty))"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130-30 --locoid 4032 --swversion DE.1.0.8.0 --startMP 204:233002 --initTime 2016-11-30T07:59:50 --startdatetime 2016-11-30T08:11:56 --delay 1 --endMP 204:147 --enddatetime 2016-11-30T08:50:46 --enforcementcount 0 &gt;&gt;C:\Users\stu\Documents\GitHub\eaglep3-reporting\EC\2016-11-30-refined-times.txt</v>
      </c>
      <c r="AI43" s="119" t="str">
        <f t="shared" si="18"/>
        <v>echo {"issue":{"subject":"","project_id":79,"tracker_id":40,"status_id":1,"priority_id":2,"assigned_to_id":23,"start_date":"2016-11-30","description":"","custom_fields":[{"id":1,"name":"Subdivision","value":"EC"},{"id":4,"name":"Milepost","value":"0.0147"},{"id":17,"name":"Train ID","value":"130-30"},{"id":16,"name":"Locomotive ID","value":"4032"},{"id":130,"name":"Impact","value":""},{"id":150,"name":"Time of Event (Mountain Time)","value":"08:50:46"},{"id":151,"name":"Denver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583</v>
      </c>
      <c r="B44" s="7">
        <v>4046</v>
      </c>
      <c r="C44" s="22" t="s">
        <v>212</v>
      </c>
      <c r="D44" s="22" t="s">
        <v>234</v>
      </c>
      <c r="E44" s="13">
        <v>42704.307025462964</v>
      </c>
      <c r="F44" s="13">
        <v>42704.312685185185</v>
      </c>
      <c r="G44" s="7">
        <v>2</v>
      </c>
      <c r="H44" s="22" t="s">
        <v>196</v>
      </c>
      <c r="I44" s="13">
        <v>42704.337164351855</v>
      </c>
      <c r="J44" s="7">
        <v>0</v>
      </c>
      <c r="K44" s="109" t="str">
        <f t="shared" si="0"/>
        <v>4045/4046</v>
      </c>
      <c r="L44" s="22" t="str">
        <f>VLOOKUP(A44,'Trips&amp;Operators'!$C$1:$G$99999,5,FALSE)</f>
        <v>ACKERMAN JARED</v>
      </c>
      <c r="M44" s="6">
        <f t="shared" si="1"/>
        <v>2.4479166670062114E-2</v>
      </c>
      <c r="N44" s="7">
        <f t="shared" si="19"/>
        <v>35.250000004889444</v>
      </c>
      <c r="O44" s="7"/>
      <c r="P44" s="7"/>
      <c r="Q44" s="23"/>
      <c r="R44" s="23"/>
      <c r="S44" s="35">
        <f t="shared" si="20"/>
        <v>1</v>
      </c>
      <c r="T44" s="50" t="str">
        <f t="shared" si="4"/>
        <v>NorthBound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https://search-rtdc-monitor-bjffxe2xuh6vdkpspy63sjmuny.us-east-1.es.amazonaws.com/_plugin/kibana/#/discover/Steve-Slow-Train-Analysis-(2080s-and-2083s)?_g=(refreshInterval:(display:Off,section:0,value:0),time:(from:'2016-11-30 06:22:07-700',mode:absolute,to:'2016-11-30 09:05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44" s="52" t="str">
        <f t="shared" si="6"/>
        <v>N</v>
      </c>
      <c r="X44" s="177">
        <f t="shared" si="7"/>
        <v>1</v>
      </c>
      <c r="Y44" s="67">
        <f t="shared" si="8"/>
        <v>4.4900000000000002E-2</v>
      </c>
      <c r="Z44" s="67">
        <f t="shared" si="9"/>
        <v>23.329499999999999</v>
      </c>
      <c r="AA44" s="67">
        <f t="shared" si="10"/>
        <v>23.284600000000001</v>
      </c>
      <c r="AB44" s="64" t="e">
        <f>VLOOKUP(A44,Enforcements!$C$7:$K$20,8,0)</f>
        <v>#N/A</v>
      </c>
      <c r="AC44" s="60" t="e">
        <f>VLOOKUP(A44,Enforcements!$C$7:$E$20,3,0)</f>
        <v>#N/A</v>
      </c>
      <c r="AD44" s="61" t="str">
        <f t="shared" si="11"/>
        <v>0131-30</v>
      </c>
      <c r="AE44" s="91" t="str">
        <f t="shared" si="12"/>
        <v>aws s3 cp s3://rtdc.mdm.uploadarchive.raw/RTDC4046/ "%USERPROFILE%\AppData\Local\Temp\OnboardLogs"\RTDC4046\2016-11-30 --exclude "*" --recursive --include "*20161130*" &amp; "%USERPROFILE%\Documents\GitHub\mrs-test-scripts\Headless Mode &amp; Sideloading\WalkAndUnGZ.bat" "%USERPROFILE%\AppData\Local\Temp\OnboardLogs"\RTDC4046\2016-11-30 &amp; aws s3 cp s3://rtdc.mdm.uploadarchive.raw/RTDC4046/ "%USERPROFILE%\AppData\Local\Temp\OnboardLogs"\RTDC4046\2016-12-01 --exclude "*" --recursive --include "*20161201*" &amp; "%USERPROFILE%\Documents\GitHub\mrs-test-scripts\Headless Mode &amp; Sideloading\WalkAndUnGZ.bat" "%USERPROFILE%\AppData\Local\Temp\OnboardLogs"\RTDC4046\2016-12-01</v>
      </c>
      <c r="AF44" s="88" t="str">
        <f t="shared" si="13"/>
        <v>"C:\Program Files (x86)\AstroGrep\AstroGrep.exe" /spath="%USERPROFILE%\AppData\Local\Temp\OnboardLogs" /stypes="app*4046*20161130*" /stext=" 15:.+((SYSTEM_STATE.+slice.+state.+changed )|(ment ac)|(multiple cpu faults)|(system.+state.+changed )|(\[timeout)|(PRM\|1\|D)|(kpr)|(kdp)|(\|lc)|(penalty))" /e /r /s</v>
      </c>
      <c r="AG44" s="1" t="str">
        <f t="shared" si="14"/>
        <v>EC</v>
      </c>
      <c r="AH44" s="92" t="str">
        <f t="shared" si="17"/>
        <v>"%USERPROFILE%\Documents\GitHub\eaglep3\Utilities\RefineRTDCRunTimes.py" --tripid 131-30 --locoid 4046 --swversion DE.1.0.8.0 --startMP 204:449 --initTime 2016-11-30T07:22:07 --startdatetime 2016-11-30T07:30:16 --delay 2 --endMP 204:233295 --enddatetime 2016-11-30T08:05:31 --enforcementcount 0 &gt;&gt;C:\Users\stu\Documents\GitHub\eaglep3-reporting\EC\2016-11-30-refined-times.txt</v>
      </c>
      <c r="AI44" s="119" t="str">
        <f t="shared" si="18"/>
        <v>echo {"issue":{"subject":"","project_id":79,"tracker_id":40,"status_id":1,"priority_id":2,"assigned_to_id":23,"start_date":"2016-11-30","description":"","custom_fields":[{"id":1,"name":"Subdivision","value":"EC"},{"id":4,"name":"Milepost","value":"23.3295"},{"id":17,"name":"Train ID","value":"131-30"},{"id":16,"name":"Locomotive ID","value":"4046"},{"id":130,"name":"Impact","value":""},{"id":150,"name":"Time of Event (Mountain Time)","value":"08:05:31"},{"id":151,"name":"Denver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592</v>
      </c>
      <c r="B45" s="7">
        <v>4045</v>
      </c>
      <c r="C45" s="22" t="s">
        <v>212</v>
      </c>
      <c r="D45" s="22" t="s">
        <v>768</v>
      </c>
      <c r="E45" s="13">
        <v>42704.344930555555</v>
      </c>
      <c r="F45" s="13">
        <v>42704.351585648146</v>
      </c>
      <c r="G45" s="7">
        <v>2</v>
      </c>
      <c r="H45" s="22" t="s">
        <v>340</v>
      </c>
      <c r="I45" s="13">
        <v>42704.377986111111</v>
      </c>
      <c r="J45" s="7">
        <v>0</v>
      </c>
      <c r="K45" s="109" t="str">
        <f t="shared" si="0"/>
        <v>4045/4046</v>
      </c>
      <c r="L45" s="22" t="str">
        <f>VLOOKUP(A45,'Trips&amp;Operators'!$C$1:$G$99999,5,FALSE)</f>
        <v>ACKERMAN JARED</v>
      </c>
      <c r="M45" s="6">
        <f t="shared" si="1"/>
        <v>2.6400462964375038E-2</v>
      </c>
      <c r="N45" s="7">
        <f t="shared" si="19"/>
        <v>38.016666668700054</v>
      </c>
      <c r="O45" s="7"/>
      <c r="P45" s="7"/>
      <c r="Q45" s="23"/>
      <c r="R45" s="23"/>
      <c r="S45" s="35">
        <f t="shared" si="20"/>
        <v>1</v>
      </c>
      <c r="T45" s="50" t="str">
        <f t="shared" si="4"/>
        <v>Southbound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https://search-rtdc-monitor-bjffxe2xuh6vdkpspy63sjmuny.us-east-1.es.amazonaws.com/_plugin/kibana/#/discover/Steve-Slow-Train-Analysis-(2080s-and-2083s)?_g=(refreshInterval:(display:Off,section:0,value:0),time:(from:'2016-11-30 07:16:42-700',mode:absolute,to:'2016-11-30 10:04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45" s="52" t="str">
        <f t="shared" si="6"/>
        <v>N</v>
      </c>
      <c r="X45" s="177">
        <f t="shared" ref="X45:X76" si="21">VALUE(LEFT(AD45,4))-VALUE(LEFT(AD44,4))</f>
        <v>1</v>
      </c>
      <c r="Y45" s="67">
        <f t="shared" si="8"/>
        <v>23.299199999999999</v>
      </c>
      <c r="Z45" s="67">
        <f t="shared" si="9"/>
        <v>1.52E-2</v>
      </c>
      <c r="AA45" s="67">
        <f t="shared" si="10"/>
        <v>23.283999999999999</v>
      </c>
      <c r="AB45" s="64" t="e">
        <f>VLOOKUP(A45,Enforcements!$C$7:$K$20,8,0)</f>
        <v>#N/A</v>
      </c>
      <c r="AC45" s="60" t="e">
        <f>VLOOKUP(A45,Enforcements!$C$7:$E$20,3,0)</f>
        <v>#N/A</v>
      </c>
      <c r="AD45" s="61" t="str">
        <f t="shared" si="11"/>
        <v>0132-30</v>
      </c>
      <c r="AE45" s="91" t="str">
        <f t="shared" si="12"/>
        <v>aws s3 cp s3://rtdc.mdm.uploadarchive.raw/RTDC4045/ "%USERPROFILE%\AppData\Local\Temp\OnboardLogs"\RTDC4045\2016-11-30 --exclude "*" --recursive --include "*20161130*" &amp; "%USERPROFILE%\Documents\GitHub\mrs-test-scripts\Headless Mode &amp; Sideloading\WalkAndUnGZ.bat" "%USERPROFILE%\AppData\Local\Temp\OnboardLogs"\RTDC4045\2016-11-30 &amp; aws s3 cp s3://rtdc.mdm.uploadarchive.raw/RTDC4045/ "%USERPROFILE%\AppData\Local\Temp\OnboardLogs"\RTDC4045\2016-12-01 --exclude "*" --recursive --include "*20161201*" &amp; "%USERPROFILE%\Documents\GitHub\mrs-test-scripts\Headless Mode &amp; Sideloading\WalkAndUnGZ.bat" "%USERPROFILE%\AppData\Local\Temp\OnboardLogs"\RTDC4045\2016-12-01</v>
      </c>
      <c r="AF45" s="88" t="str">
        <f t="shared" si="13"/>
        <v>"C:\Program Files (x86)\AstroGrep\AstroGrep.exe" /spath="%USERPROFILE%\AppData\Local\Temp\OnboardLogs" /stypes="app*4045*20161130*" /stext=" 16:.+((SYSTEM_STATE.+slice.+state.+changed )|(ment ac)|(multiple cpu faults)|(system.+state.+changed )|(\[timeout)|(PRM\|1\|D)|(kpr)|(kdp)|(\|lc)|(penalty))" /e /r /s</v>
      </c>
      <c r="AG45" s="1" t="str">
        <f t="shared" si="14"/>
        <v>EC</v>
      </c>
      <c r="AH45" s="92" t="str">
        <f t="shared" si="17"/>
        <v>"%USERPROFILE%\Documents\GitHub\eaglep3\Utilities\RefineRTDCRunTimes.py" --tripid 132-30 --locoid 4045 --swversion DE.1.0.8.0 --startMP 204:232992 --initTime 2016-11-30T08:16:42 --startdatetime 2016-11-30T08:26:17 --delay 2 --endMP 204:152 --enddatetime 2016-11-30T09:04:18 --enforcementcount 0 &gt;&gt;C:\Users\stu\Documents\GitHub\eaglep3-reporting\EC\2016-11-30-refined-times.txt</v>
      </c>
      <c r="AI45" s="119" t="str">
        <f t="shared" si="18"/>
        <v>echo {"issue":{"subject":"","project_id":79,"tracker_id":40,"status_id":1,"priority_id":2,"assigned_to_id":23,"start_date":"2016-11-30","description":"","custom_fields":[{"id":1,"name":"Subdivision","value":"EC"},{"id":4,"name":"Milepost","value":"0.0152"},{"id":17,"name":"Train ID","value":"132-30"},{"id":16,"name":"Locomotive ID","value":"4045"},{"id":130,"name":"Impact","value":""},{"id":150,"name":"Time of Event (Mountain Time)","value":"09:04:18"},{"id":151,"name":"Denver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586</v>
      </c>
      <c r="B46" s="7">
        <v>4022</v>
      </c>
      <c r="C46" s="22" t="s">
        <v>212</v>
      </c>
      <c r="D46" s="22" t="s">
        <v>233</v>
      </c>
      <c r="E46" s="13">
        <v>42704.320810185185</v>
      </c>
      <c r="F46" s="13">
        <v>42704.323622685188</v>
      </c>
      <c r="G46" s="7">
        <v>1</v>
      </c>
      <c r="H46" s="22" t="s">
        <v>246</v>
      </c>
      <c r="I46" s="13">
        <v>42704.347511574073</v>
      </c>
      <c r="J46" s="7">
        <v>0</v>
      </c>
      <c r="K46" s="109" t="str">
        <f t="shared" si="0"/>
        <v>4021/4022</v>
      </c>
      <c r="L46" s="22" t="str">
        <f>VLOOKUP(A46,'Trips&amp;Operators'!$C$1:$G$99999,5,FALSE)</f>
        <v>SANTIZO D. EDY</v>
      </c>
      <c r="M46" s="6">
        <f t="shared" si="1"/>
        <v>2.3888888885267079E-2</v>
      </c>
      <c r="N46" s="7">
        <f t="shared" si="19"/>
        <v>34.399999994784594</v>
      </c>
      <c r="O46" s="7"/>
      <c r="P46" s="7"/>
      <c r="Q46" s="23"/>
      <c r="R46" s="23"/>
      <c r="S46" s="35">
        <f t="shared" si="20"/>
        <v>1</v>
      </c>
      <c r="T46" s="50" t="str">
        <f t="shared" si="4"/>
        <v>NorthBound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https://search-rtdc-monitor-bjffxe2xuh6vdkpspy63sjmuny.us-east-1.es.amazonaws.com/_plugin/kibana/#/discover/Steve-Slow-Train-Analysis-(2080s-and-2083s)?_g=(refreshInterval:(display:Off,section:0,value:0),time:(from:'2016-11-30 06:41:58-700',mode:absolute,to:'2016-11-30 09:20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46" s="52" t="str">
        <f t="shared" si="6"/>
        <v>N</v>
      </c>
      <c r="X46" s="177">
        <f t="shared" si="21"/>
        <v>1</v>
      </c>
      <c r="Y46" s="67">
        <f t="shared" si="8"/>
        <v>4.6600000000000003E-2</v>
      </c>
      <c r="Z46" s="67">
        <f t="shared" si="9"/>
        <v>23.331399999999999</v>
      </c>
      <c r="AA46" s="67">
        <f t="shared" si="10"/>
        <v>23.284799999999997</v>
      </c>
      <c r="AB46" s="64" t="e">
        <f>VLOOKUP(A46,Enforcements!$C$7:$K$20,8,0)</f>
        <v>#N/A</v>
      </c>
      <c r="AC46" s="60" t="e">
        <f>VLOOKUP(A46,Enforcements!$C$7:$E$20,3,0)</f>
        <v>#N/A</v>
      </c>
      <c r="AD46" s="61" t="str">
        <f t="shared" si="11"/>
        <v>0133-30</v>
      </c>
      <c r="AE46" s="91" t="str">
        <f t="shared" si="12"/>
        <v>aws s3 cp s3://rtdc.mdm.uploadarchive.raw/RTDC4022/ "%USERPROFILE%\AppData\Local\Temp\OnboardLogs"\RTDC4022\2016-11-30 --exclude "*" --recursive --include "*20161130*" &amp; "%USERPROFILE%\Documents\GitHub\mrs-test-scripts\Headless Mode &amp; Sideloading\WalkAndUnGZ.bat" "%USERPROFILE%\AppData\Local\Temp\OnboardLogs"\RTDC4022\2016-11-30 &amp; aws s3 cp s3://rtdc.mdm.uploadarchive.raw/RTDC4022/ "%USERPROFILE%\AppData\Local\Temp\OnboardLogs"\RTDC4022\2016-12-01 --exclude "*" --recursive --include "*20161201*" &amp; "%USERPROFILE%\Documents\GitHub\mrs-test-scripts\Headless Mode &amp; Sideloading\WalkAndUnGZ.bat" "%USERPROFILE%\AppData\Local\Temp\OnboardLogs"\RTDC4022\2016-12-01</v>
      </c>
      <c r="AF46" s="88" t="str">
        <f t="shared" si="13"/>
        <v>"C:\Program Files (x86)\AstroGrep\AstroGrep.exe" /spath="%USERPROFILE%\AppData\Local\Temp\OnboardLogs" /stypes="app*4022*20161130*" /stext=" 15:.+((SYSTEM_STATE.+slice.+state.+changed )|(ment ac)|(multiple cpu faults)|(system.+state.+changed )|(\[timeout)|(PRM\|1\|D)|(kpr)|(kdp)|(\|lc)|(penalty))" /e /r /s</v>
      </c>
      <c r="AG46" s="1" t="str">
        <f t="shared" si="14"/>
        <v>EC</v>
      </c>
      <c r="AH46" s="92" t="str">
        <f t="shared" si="17"/>
        <v>"%USERPROFILE%\Documents\GitHub\eaglep3\Utilities\RefineRTDCRunTimes.py" --tripid 133-30 --locoid 4022 --swversion DE.1.0.8.0 --startMP 204:466 --initTime 2016-11-30T07:41:58 --startdatetime 2016-11-30T07:46:01 --delay 1 --endMP 204:233314 --enddatetime 2016-11-30T08:20:25 --enforcementcount 0 &gt;&gt;C:\Users\stu\Documents\GitHub\eaglep3-reporting\EC\2016-11-30-refined-times.txt</v>
      </c>
      <c r="AI46" s="119" t="str">
        <f t="shared" si="18"/>
        <v>echo {"issue":{"subject":"","project_id":79,"tracker_id":40,"status_id":1,"priority_id":2,"assigned_to_id":23,"start_date":"2016-11-30","description":"","custom_fields":[{"id":1,"name":"Subdivision","value":"EC"},{"id":4,"name":"Milepost","value":"23.3314"},{"id":17,"name":"Train ID","value":"133-30"},{"id":16,"name":"Locomotive ID","value":"4022"},{"id":130,"name":"Impact","value":""},{"id":150,"name":"Time of Event (Mountain Time)","value":"08:20:25"},{"id":151,"name":"Denver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594</v>
      </c>
      <c r="B47" s="7">
        <v>4021</v>
      </c>
      <c r="C47" s="22" t="s">
        <v>212</v>
      </c>
      <c r="D47" s="22" t="s">
        <v>339</v>
      </c>
      <c r="E47" s="13">
        <v>42704.349594907406</v>
      </c>
      <c r="F47" s="13">
        <v>42704.361979166664</v>
      </c>
      <c r="G47" s="7">
        <v>1</v>
      </c>
      <c r="H47" s="22" t="s">
        <v>255</v>
      </c>
      <c r="I47" s="13">
        <v>42704.388460648152</v>
      </c>
      <c r="J47" s="7">
        <v>0</v>
      </c>
      <c r="K47" s="109" t="str">
        <f t="shared" si="0"/>
        <v>4021/4022</v>
      </c>
      <c r="L47" s="22" t="str">
        <f>VLOOKUP(A47,'Trips&amp;Operators'!$C$1:$G$99999,5,FALSE)</f>
        <v>SANTIZO D. EDY</v>
      </c>
      <c r="M47" s="6">
        <f t="shared" si="1"/>
        <v>2.6481481487280689E-2</v>
      </c>
      <c r="N47" s="7">
        <f t="shared" si="19"/>
        <v>38.133333341684192</v>
      </c>
      <c r="O47" s="7"/>
      <c r="P47" s="7"/>
      <c r="Q47" s="23"/>
      <c r="R47" s="23"/>
      <c r="S47" s="35">
        <f t="shared" si="20"/>
        <v>1</v>
      </c>
      <c r="T47" s="50" t="str">
        <f t="shared" si="4"/>
        <v>Southbound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https://search-rtdc-monitor-bjffxe2xuh6vdkpspy63sjmuny.us-east-1.es.amazonaws.com/_plugin/kibana/#/discover/Steve-Slow-Train-Analysis-(2080s-and-2083s)?_g=(refreshInterval:(display:Off,section:0,value:0),time:(from:'2016-11-30 07:23:25-700',mode:absolute,to:'2016-11-30 10:19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47" s="52" t="str">
        <f t="shared" si="6"/>
        <v>N</v>
      </c>
      <c r="X47" s="177">
        <f t="shared" si="21"/>
        <v>1</v>
      </c>
      <c r="Y47" s="67">
        <f t="shared" si="8"/>
        <v>23.301300000000001</v>
      </c>
      <c r="Z47" s="67">
        <f t="shared" si="9"/>
        <v>1.3899999999999999E-2</v>
      </c>
      <c r="AA47" s="67">
        <f t="shared" si="10"/>
        <v>23.287400000000002</v>
      </c>
      <c r="AB47" s="64" t="e">
        <f>VLOOKUP(A47,Enforcements!$C$7:$K$20,8,0)</f>
        <v>#N/A</v>
      </c>
      <c r="AC47" s="60" t="e">
        <f>VLOOKUP(A47,Enforcements!$C$7:$E$20,3,0)</f>
        <v>#N/A</v>
      </c>
      <c r="AD47" s="61" t="str">
        <f t="shared" si="11"/>
        <v>0134-30</v>
      </c>
      <c r="AE47" s="91" t="str">
        <f t="shared" si="12"/>
        <v>aws s3 cp s3://rtdc.mdm.uploadarchive.raw/RTDC4021/ "%USERPROFILE%\AppData\Local\Temp\OnboardLogs"\RTDC4021\2016-11-30 --exclude "*" --recursive --include "*20161130*" &amp; "%USERPROFILE%\Documents\GitHub\mrs-test-scripts\Headless Mode &amp; Sideloading\WalkAndUnGZ.bat" "%USERPROFILE%\AppData\Local\Temp\OnboardLogs"\RTDC4021\2016-11-30 &amp; aws s3 cp s3://rtdc.mdm.uploadarchive.raw/RTDC4021/ "%USERPROFILE%\AppData\Local\Temp\OnboardLogs"\RTDC4021\2016-12-01 --exclude "*" --recursive --include "*20161201*" &amp; "%USERPROFILE%\Documents\GitHub\mrs-test-scripts\Headless Mode &amp; Sideloading\WalkAndUnGZ.bat" "%USERPROFILE%\AppData\Local\Temp\OnboardLogs"\RTDC4021\2016-12-01</v>
      </c>
      <c r="AF47" s="88" t="str">
        <f t="shared" si="13"/>
        <v>"C:\Program Files (x86)\AstroGrep\AstroGrep.exe" /spath="%USERPROFILE%\AppData\Local\Temp\OnboardLogs" /stypes="app*4021*20161130*" /stext=" 16:.+((SYSTEM_STATE.+slice.+state.+changed )|(ment ac)|(multiple cpu faults)|(system.+state.+changed )|(\[timeout)|(PRM\|1\|D)|(kpr)|(kdp)|(\|lc)|(penalty))" /e /r /s</v>
      </c>
      <c r="AG47" s="1" t="str">
        <f t="shared" si="14"/>
        <v>EC</v>
      </c>
      <c r="AH47" s="92" t="str">
        <f t="shared" si="17"/>
        <v>"%USERPROFILE%\Documents\GitHub\eaglep3\Utilities\RefineRTDCRunTimes.py" --tripid 134-30 --locoid 4021 --swversion DE.1.0.8.0 --startMP 204:233013 --initTime 2016-11-30T08:23:25 --startdatetime 2016-11-30T08:41:15 --delay 1 --endMP 204:139 --enddatetime 2016-11-30T09:19:23 --enforcementcount 0 &gt;&gt;C:\Users\stu\Documents\GitHub\eaglep3-reporting\EC\2016-11-30-refined-times.txt</v>
      </c>
      <c r="AI47" s="119" t="str">
        <f t="shared" si="18"/>
        <v>echo {"issue":{"subject":"","project_id":79,"tracker_id":40,"status_id":1,"priority_id":2,"assigned_to_id":23,"start_date":"2016-11-30","description":"","custom_fields":[{"id":1,"name":"Subdivision","value":"EC"},{"id":4,"name":"Milepost","value":"0.0139"},{"id":17,"name":"Train ID","value":"134-30"},{"id":16,"name":"Locomotive ID","value":"4021"},{"id":130,"name":"Impact","value":""},{"id":150,"name":"Time of Event (Mountain Time)","value":"09:19:23"},{"id":151,"name":"Denver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589</v>
      </c>
      <c r="B48" s="7">
        <v>4011</v>
      </c>
      <c r="C48" s="22" t="s">
        <v>212</v>
      </c>
      <c r="D48" s="22" t="s">
        <v>197</v>
      </c>
      <c r="E48" s="13">
        <v>42704.328449074077</v>
      </c>
      <c r="F48" s="13">
        <v>42704.333611111113</v>
      </c>
      <c r="G48" s="7">
        <v>1</v>
      </c>
      <c r="H48" s="22" t="s">
        <v>769</v>
      </c>
      <c r="I48" s="13">
        <v>42704.358067129629</v>
      </c>
      <c r="J48" s="7">
        <v>0</v>
      </c>
      <c r="K48" s="109" t="str">
        <f t="shared" si="0"/>
        <v>4011/4012</v>
      </c>
      <c r="L48" s="22" t="str">
        <f>VLOOKUP(A48,'Trips&amp;Operators'!$C$1:$G$99999,5,FALSE)</f>
        <v>SPECTOR MICHAEL</v>
      </c>
      <c r="M48" s="6">
        <f t="shared" si="1"/>
        <v>2.4456018516502809E-2</v>
      </c>
      <c r="N48" s="7">
        <f t="shared" si="19"/>
        <v>35.216666663764045</v>
      </c>
      <c r="O48" s="7"/>
      <c r="P48" s="7"/>
      <c r="Q48" s="23"/>
      <c r="R48" s="23"/>
      <c r="S48" s="35">
        <f t="shared" si="20"/>
        <v>1</v>
      </c>
      <c r="T48" s="50" t="str">
        <f t="shared" si="4"/>
        <v>NorthBound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https://search-rtdc-monitor-bjffxe2xuh6vdkpspy63sjmuny.us-east-1.es.amazonaws.com/_plugin/kibana/#/discover/Steve-Slow-Train-Analysis-(2080s-and-2083s)?_g=(refreshInterval:(display:Off,section:0,value:0),time:(from:'2016-11-30 06:52:58-700',mode:absolute,to:'2016-11-30 09:35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48" s="52" t="str">
        <f t="shared" si="6"/>
        <v>N</v>
      </c>
      <c r="X48" s="177">
        <f t="shared" si="21"/>
        <v>1</v>
      </c>
      <c r="Y48" s="67">
        <f t="shared" si="8"/>
        <v>4.5100000000000001E-2</v>
      </c>
      <c r="Z48" s="67">
        <f t="shared" si="9"/>
        <v>23.332999999999998</v>
      </c>
      <c r="AA48" s="67">
        <f t="shared" si="10"/>
        <v>23.287899999999997</v>
      </c>
      <c r="AB48" s="64" t="e">
        <f>VLOOKUP(A48,Enforcements!$C$7:$K$20,8,0)</f>
        <v>#N/A</v>
      </c>
      <c r="AC48" s="60" t="e">
        <f>VLOOKUP(A48,Enforcements!$C$7:$E$20,3,0)</f>
        <v>#N/A</v>
      </c>
      <c r="AD48" s="61" t="str">
        <f t="shared" si="11"/>
        <v>0135-30</v>
      </c>
      <c r="AE48" s="91" t="str">
        <f t="shared" si="12"/>
        <v>aws s3 cp s3://rtdc.mdm.uploadarchive.raw/RTDC4011/ "%USERPROFILE%\AppData\Local\Temp\OnboardLogs"\RTDC4011\2016-11-30 --exclude "*" --recursive --include "*20161130*" &amp; "%USERPROFILE%\Documents\GitHub\mrs-test-scripts\Headless Mode &amp; Sideloading\WalkAndUnGZ.bat" "%USERPROFILE%\AppData\Local\Temp\OnboardLogs"\RTDC4011\2016-11-30 &amp; aws s3 cp s3://rtdc.mdm.uploadarchive.raw/RTDC4011/ "%USERPROFILE%\AppData\Local\Temp\OnboardLogs"\RTDC4011\2016-12-01 --exclude "*" --recursive --include "*20161201*" &amp; "%USERPROFILE%\Documents\GitHub\mrs-test-scripts\Headless Mode &amp; Sideloading\WalkAndUnGZ.bat" "%USERPROFILE%\AppData\Local\Temp\OnboardLogs"\RTDC4011\2016-12-01</v>
      </c>
      <c r="AF48" s="88" t="str">
        <f t="shared" si="13"/>
        <v>"C:\Program Files (x86)\AstroGrep\AstroGrep.exe" /spath="%USERPROFILE%\AppData\Local\Temp\OnboardLogs" /stypes="app*4011*20161130*" /stext=" 15:.+((SYSTEM_STATE.+slice.+state.+changed )|(ment ac)|(multiple cpu faults)|(system.+state.+changed )|(\[timeout)|(PRM\|1\|D)|(kpr)|(kdp)|(\|lc)|(penalty))" /e /r /s</v>
      </c>
      <c r="AG48" s="1" t="str">
        <f t="shared" si="14"/>
        <v>EC</v>
      </c>
      <c r="AH48" s="92" t="str">
        <f t="shared" si="17"/>
        <v>"%USERPROFILE%\Documents\GitHub\eaglep3\Utilities\RefineRTDCRunTimes.py" --tripid 135-30 --locoid 4011 --swversion DE.1.0.8.0 --startMP 204:451 --initTime 2016-11-30T07:52:58 --startdatetime 2016-11-30T08:00:24 --delay 1 --endMP 204:233330 --enddatetime 2016-11-30T08:35:37 --enforcementcount 0 &gt;&gt;C:\Users\stu\Documents\GitHub\eaglep3-reporting\EC\2016-11-30-refined-times.txt</v>
      </c>
      <c r="AI48" s="119" t="str">
        <f t="shared" si="18"/>
        <v>echo {"issue":{"subject":"","project_id":79,"tracker_id":40,"status_id":1,"priority_id":2,"assigned_to_id":23,"start_date":"2016-11-30","description":"","custom_fields":[{"id":1,"name":"Subdivision","value":"EC"},{"id":4,"name":"Milepost","value":"23.333"},{"id":17,"name":"Train ID","value":"135-30"},{"id":16,"name":"Locomotive ID","value":"4011"},{"id":130,"name":"Impact","value":""},{"id":150,"name":"Time of Event (Mountain Time)","value":"08:35:37"},{"id":151,"name":"Denver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598</v>
      </c>
      <c r="B49" s="7">
        <v>4012</v>
      </c>
      <c r="C49" s="22" t="s">
        <v>212</v>
      </c>
      <c r="D49" s="22" t="s">
        <v>770</v>
      </c>
      <c r="E49" s="13">
        <v>42704.367939814816</v>
      </c>
      <c r="F49" s="13">
        <v>42704.372395833336</v>
      </c>
      <c r="G49" s="7">
        <v>1</v>
      </c>
      <c r="H49" s="22" t="s">
        <v>219</v>
      </c>
      <c r="I49" s="13">
        <v>42704.401689814818</v>
      </c>
      <c r="J49" s="7">
        <v>0</v>
      </c>
      <c r="K49" s="109" t="str">
        <f t="shared" si="0"/>
        <v>4011/4012</v>
      </c>
      <c r="L49" s="22" t="str">
        <f>VLOOKUP(A49,'Trips&amp;Operators'!$C$1:$G$99999,5,FALSE)</f>
        <v>SPECTOR MICHAEL</v>
      </c>
      <c r="M49" s="6">
        <f t="shared" si="1"/>
        <v>2.9293981482624076E-2</v>
      </c>
      <c r="N49" s="7">
        <f t="shared" si="19"/>
        <v>42.18333333497867</v>
      </c>
      <c r="O49" s="7"/>
      <c r="P49" s="7"/>
      <c r="Q49" s="23"/>
      <c r="R49" s="23"/>
      <c r="S49" s="35">
        <f t="shared" si="20"/>
        <v>1</v>
      </c>
      <c r="T49" s="50" t="str">
        <f t="shared" si="4"/>
        <v>Southbound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https://search-rtdc-monitor-bjffxe2xuh6vdkpspy63sjmuny.us-east-1.es.amazonaws.com/_plugin/kibana/#/discover/Steve-Slow-Train-Analysis-(2080s-and-2083s)?_g=(refreshInterval:(display:Off,section:0,value:0),time:(from:'2016-11-30 07:49:50-700',mode:absolute,to:'2016-11-30 10:38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49" s="52" t="str">
        <f t="shared" si="6"/>
        <v>N</v>
      </c>
      <c r="X49" s="177">
        <f t="shared" si="21"/>
        <v>1</v>
      </c>
      <c r="Y49" s="67">
        <f t="shared" si="8"/>
        <v>23.300899999999999</v>
      </c>
      <c r="Z49" s="67">
        <f t="shared" si="9"/>
        <v>1.4999999999999999E-2</v>
      </c>
      <c r="AA49" s="67">
        <f t="shared" si="10"/>
        <v>23.285899999999998</v>
      </c>
      <c r="AB49" s="64" t="e">
        <f>VLOOKUP(A49,Enforcements!$C$7:$K$20,8,0)</f>
        <v>#N/A</v>
      </c>
      <c r="AC49" s="60" t="e">
        <f>VLOOKUP(A49,Enforcements!$C$7:$E$20,3,0)</f>
        <v>#N/A</v>
      </c>
      <c r="AD49" s="61" t="str">
        <f t="shared" si="11"/>
        <v>0136-30</v>
      </c>
      <c r="AE49" s="91" t="str">
        <f t="shared" si="12"/>
        <v>aws s3 cp s3://rtdc.mdm.uploadarchive.raw/RTDC4012/ "%USERPROFILE%\AppData\Local\Temp\OnboardLogs"\RTDC4012\2016-11-30 --exclude "*" --recursive --include "*20161130*" &amp; "%USERPROFILE%\Documents\GitHub\mrs-test-scripts\Headless Mode &amp; Sideloading\WalkAndUnGZ.bat" "%USERPROFILE%\AppData\Local\Temp\OnboardLogs"\RTDC4012\2016-11-30 &amp; aws s3 cp s3://rtdc.mdm.uploadarchive.raw/RTDC4012/ "%USERPROFILE%\AppData\Local\Temp\OnboardLogs"\RTDC4012\2016-12-01 --exclude "*" --recursive --include "*20161201*" &amp; "%USERPROFILE%\Documents\GitHub\mrs-test-scripts\Headless Mode &amp; Sideloading\WalkAndUnGZ.bat" "%USERPROFILE%\AppData\Local\Temp\OnboardLogs"\RTDC4012\2016-12-01</v>
      </c>
      <c r="AF49" s="88" t="str">
        <f t="shared" si="13"/>
        <v>"C:\Program Files (x86)\AstroGrep\AstroGrep.exe" /spath="%USERPROFILE%\AppData\Local\Temp\OnboardLogs" /stypes="app*4012*20161130*" /stext=" 16:.+((SYSTEM_STATE.+slice.+state.+changed )|(ment ac)|(multiple cpu faults)|(system.+state.+changed )|(\[timeout)|(PRM\|1\|D)|(kpr)|(kdp)|(\|lc)|(penalty))" /e /r /s</v>
      </c>
      <c r="AG49" s="1" t="str">
        <f t="shared" si="14"/>
        <v>EC</v>
      </c>
      <c r="AH49" s="92" t="str">
        <f t="shared" si="17"/>
        <v>"%USERPROFILE%\Documents\GitHub\eaglep3\Utilities\RefineRTDCRunTimes.py" --tripid 136-30 --locoid 4012 --swversion DE.1.0.8.0 --startMP 204:233009 --initTime 2016-11-30T08:49:50 --startdatetime 2016-11-30T08:56:15 --delay 1 --endMP 204:150 --enddatetime 2016-11-30T09:38:26 --enforcementcount 0 &gt;&gt;C:\Users\stu\Documents\GitHub\eaglep3-reporting\EC\2016-11-30-refined-times.txt</v>
      </c>
      <c r="AI49" s="119" t="str">
        <f t="shared" si="18"/>
        <v>echo {"issue":{"subject":"","project_id":79,"tracker_id":40,"status_id":1,"priority_id":2,"assigned_to_id":23,"start_date":"2016-11-30","description":"","custom_fields":[{"id":1,"name":"Subdivision","value":"EC"},{"id":4,"name":"Milepost","value":"0.015"},{"id":17,"name":"Train ID","value":"136-30"},{"id":16,"name":"Locomotive ID","value":"4012"},{"id":130,"name":"Impact","value":""},{"id":150,"name":"Time of Event (Mountain Time)","value":"09:38:26"},{"id":151,"name":"Denver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530</v>
      </c>
      <c r="B50" s="7">
        <v>4003</v>
      </c>
      <c r="C50" s="22" t="s">
        <v>212</v>
      </c>
      <c r="D50" s="22" t="s">
        <v>195</v>
      </c>
      <c r="E50" s="13">
        <v>42704.339236111111</v>
      </c>
      <c r="F50" s="13">
        <v>42704.343923611108</v>
      </c>
      <c r="G50" s="7">
        <v>1</v>
      </c>
      <c r="H50" s="22" t="s">
        <v>328</v>
      </c>
      <c r="I50" s="13">
        <v>42704.36923611111</v>
      </c>
      <c r="J50" s="7">
        <v>0</v>
      </c>
      <c r="K50" s="109" t="str">
        <f t="shared" si="0"/>
        <v>4003/4004</v>
      </c>
      <c r="L50" s="22" t="str">
        <f>VLOOKUP(A50,'Trips&amp;Operators'!$C$1:$G$99999,5,FALSE)</f>
        <v>KILLION DAVID</v>
      </c>
      <c r="M50" s="6">
        <f t="shared" si="1"/>
        <v>2.531250000174623E-2</v>
      </c>
      <c r="N50" s="7">
        <f t="shared" si="19"/>
        <v>36.450000002514571</v>
      </c>
      <c r="O50" s="7"/>
      <c r="P50" s="7"/>
      <c r="Q50" s="23"/>
      <c r="R50" s="23"/>
      <c r="S50" s="35">
        <f t="shared" si="20"/>
        <v>1</v>
      </c>
      <c r="T50" s="50" t="str">
        <f t="shared" si="4"/>
        <v>NorthBound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https://search-rtdc-monitor-bjffxe2xuh6vdkpspy63sjmuny.us-east-1.es.amazonaws.com/_plugin/kibana/#/discover/Steve-Slow-Train-Analysis-(2080s-and-2083s)?_g=(refreshInterval:(display:Off,section:0,value:0),time:(from:'2016-11-30 07:08:30-700',mode:absolute,to:'2016-11-30 09:51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50" s="52" t="str">
        <f t="shared" si="6"/>
        <v>N</v>
      </c>
      <c r="X50" s="177">
        <f t="shared" si="21"/>
        <v>1</v>
      </c>
      <c r="Y50" s="67">
        <f t="shared" si="8"/>
        <v>4.53E-2</v>
      </c>
      <c r="Z50" s="67">
        <f t="shared" si="9"/>
        <v>23.329699999999999</v>
      </c>
      <c r="AA50" s="67">
        <f t="shared" si="10"/>
        <v>23.284399999999998</v>
      </c>
      <c r="AB50" s="64" t="str">
        <f>VLOOKUP(A50,Enforcements!$C$7:$K$20,8,0)</f>
        <v>Bulletin (2)</v>
      </c>
      <c r="AC50" s="60" t="str">
        <f>VLOOKUP(A50,Enforcements!$C$7:$E$20,3,0)</f>
        <v>TEMPORARY SPEED RESTRICTION</v>
      </c>
      <c r="AD50" s="61" t="str">
        <f t="shared" si="11"/>
        <v>0137-30</v>
      </c>
      <c r="AE50" s="91" t="str">
        <f t="shared" si="12"/>
        <v>aws s3 cp s3://rtdc.mdm.uploadarchive.raw/RTDC4003/ "%USERPROFILE%\AppData\Local\Temp\OnboardLogs"\RTDC4003\2016-11-30 --exclude "*" --recursive --include "*20161130*" &amp; "%USERPROFILE%\Documents\GitHub\mrs-test-scripts\Headless Mode &amp; Sideloading\WalkAndUnGZ.bat" "%USERPROFILE%\AppData\Local\Temp\OnboardLogs"\RTDC4003\2016-11-30 &amp; aws s3 cp s3://rtdc.mdm.uploadarchive.raw/RTDC4003/ "%USERPROFILE%\AppData\Local\Temp\OnboardLogs"\RTDC4003\2016-12-01 --exclude "*" --recursive --include "*20161201*" &amp; "%USERPROFILE%\Documents\GitHub\mrs-test-scripts\Headless Mode &amp; Sideloading\WalkAndUnGZ.bat" "%USERPROFILE%\AppData\Local\Temp\OnboardLogs"\RTDC4003\2016-12-01</v>
      </c>
      <c r="AF50" s="88" t="str">
        <f t="shared" si="13"/>
        <v>"C:\Program Files (x86)\AstroGrep\AstroGrep.exe" /spath="%USERPROFILE%\AppData\Local\Temp\OnboardLogs" /stypes="app*4003*20161130*" /stext=" 15:.+((SYSTEM_STATE.+slice.+state.+changed )|(ment ac)|(multiple cpu faults)|(system.+state.+changed )|(\[timeout)|(PRM\|1\|D)|(kpr)|(kdp)|(\|lc)|(penalty))" /e /r /s</v>
      </c>
      <c r="AG50" s="1" t="str">
        <f t="shared" si="14"/>
        <v>EC</v>
      </c>
      <c r="AH50" s="92" t="str">
        <f t="shared" si="17"/>
        <v>"%USERPROFILE%\Documents\GitHub\eaglep3\Utilities\RefineRTDCRunTimes.py" --tripid 137-30 --locoid 4003 --swversion DE.1.0.8.0 --startMP 204:453 --initTime 2016-11-30T08:08:30 --startdatetime 2016-11-30T08:15:15 --delay 1 --endMP 204:233297 --enddatetime 2016-11-30T08:51:42 --enforcementcount 0 &gt;&gt;C:\Users\stu\Documents\GitHub\eaglep3-reporting\EC\2016-11-30-refined-times.txt</v>
      </c>
      <c r="AI50" s="119" t="str">
        <f t="shared" si="18"/>
        <v>echo {"issue":{"subject":"","project_id":79,"tracker_id":40,"status_id":1,"priority_id":2,"assigned_to_id":23,"start_date":"2016-11-30","description":"","custom_fields":[{"id":1,"name":"Subdivision","value":"EC"},{"id":4,"name":"Milepost","value":"23.3297"},{"id":17,"name":"Train ID","value":"137-30"},{"id":16,"name":"Locomotive ID","value":"4003"},{"id":130,"name":"Impact","value":""},{"id":150,"name":"Time of Event (Mountain Time)","value":"08:51:42"},{"id":151,"name":"Denver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531</v>
      </c>
      <c r="B51" s="7">
        <v>4004</v>
      </c>
      <c r="C51" s="22" t="s">
        <v>212</v>
      </c>
      <c r="D51" s="22" t="s">
        <v>269</v>
      </c>
      <c r="E51" s="13">
        <v>42704.375543981485</v>
      </c>
      <c r="F51" s="13">
        <v>42704.3828587963</v>
      </c>
      <c r="G51" s="7">
        <v>1</v>
      </c>
      <c r="H51" s="22" t="s">
        <v>245</v>
      </c>
      <c r="I51" s="13">
        <v>42704.409305555557</v>
      </c>
      <c r="J51" s="7">
        <v>0</v>
      </c>
      <c r="K51" s="109" t="str">
        <f t="shared" si="0"/>
        <v>4003/4004</v>
      </c>
      <c r="L51" s="22" t="str">
        <f>VLOOKUP(A51,'Trips&amp;Operators'!$C$1:$G$99999,5,FALSE)</f>
        <v>KILLION DAVID</v>
      </c>
      <c r="M51" s="6">
        <f t="shared" si="1"/>
        <v>2.6446759256941732E-2</v>
      </c>
      <c r="N51" s="7">
        <f t="shared" si="19"/>
        <v>38.083333329996094</v>
      </c>
      <c r="O51" s="7"/>
      <c r="P51" s="7"/>
      <c r="Q51" s="23"/>
      <c r="R51" s="23"/>
      <c r="S51" s="35">
        <f t="shared" si="20"/>
        <v>1</v>
      </c>
      <c r="T51" s="50" t="str">
        <f t="shared" si="4"/>
        <v>Southbound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https://search-rtdc-monitor-bjffxe2xuh6vdkpspy63sjmuny.us-east-1.es.amazonaws.com/_plugin/kibana/#/discover/Steve-Slow-Train-Analysis-(2080s-and-2083s)?_g=(refreshInterval:(display:Off,section:0,value:0),time:(from:'2016-11-30 08:00:47-700',mode:absolute,to:'2016-11-30 10:49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51" s="52" t="str">
        <f t="shared" si="6"/>
        <v>N</v>
      </c>
      <c r="X51" s="177">
        <f t="shared" si="21"/>
        <v>1</v>
      </c>
      <c r="Y51" s="67">
        <f t="shared" si="8"/>
        <v>23.2989</v>
      </c>
      <c r="Z51" s="67">
        <f t="shared" si="9"/>
        <v>1.6500000000000001E-2</v>
      </c>
      <c r="AA51" s="67">
        <f t="shared" si="10"/>
        <v>23.282399999999999</v>
      </c>
      <c r="AB51" s="64" t="str">
        <f>VLOOKUP(A51,Enforcements!$C$7:$K$20,8,0)</f>
        <v>Signal based authority (5)</v>
      </c>
      <c r="AC51" s="60" t="str">
        <f>VLOOKUP(A51,Enforcements!$C$7:$E$20,3,0)</f>
        <v>SIGNAL</v>
      </c>
      <c r="AD51" s="61" t="str">
        <f t="shared" si="11"/>
        <v>0138-30</v>
      </c>
      <c r="AE51" s="91" t="str">
        <f t="shared" si="12"/>
        <v>aws s3 cp s3://rtdc.mdm.uploadarchive.raw/RTDC4004/ "%USERPROFILE%\AppData\Local\Temp\OnboardLogs"\RTDC4004\2016-11-30 --exclude "*" --recursive --include "*20161130*" &amp; "%USERPROFILE%\Documents\GitHub\mrs-test-scripts\Headless Mode &amp; Sideloading\WalkAndUnGZ.bat" "%USERPROFILE%\AppData\Local\Temp\OnboardLogs"\RTDC4004\2016-11-30 &amp; aws s3 cp s3://rtdc.mdm.uploadarchive.raw/RTDC4004/ "%USERPROFILE%\AppData\Local\Temp\OnboardLogs"\RTDC4004\2016-12-01 --exclude "*" --recursive --include "*20161201*" &amp; "%USERPROFILE%\Documents\GitHub\mrs-test-scripts\Headless Mode &amp; Sideloading\WalkAndUnGZ.bat" "%USERPROFILE%\AppData\Local\Temp\OnboardLogs"\RTDC4004\2016-12-01</v>
      </c>
      <c r="AF51" s="88" t="str">
        <f t="shared" si="13"/>
        <v>"C:\Program Files (x86)\AstroGrep\AstroGrep.exe" /spath="%USERPROFILE%\AppData\Local\Temp\OnboardLogs" /stypes="app*4004*20161130*" /stext=" 16:.+((SYSTEM_STATE.+slice.+state.+changed )|(ment ac)|(multiple cpu faults)|(system.+state.+changed )|(\[timeout)|(PRM\|1\|D)|(kpr)|(kdp)|(\|lc)|(penalty))" /e /r /s</v>
      </c>
      <c r="AG51" s="1" t="str">
        <f t="shared" si="14"/>
        <v>EC</v>
      </c>
      <c r="AH51" s="92" t="str">
        <f t="shared" si="17"/>
        <v>"%USERPROFILE%\Documents\GitHub\eaglep3\Utilities\RefineRTDCRunTimes.py" --tripid 138-30 --locoid 4004 --swversion DE.1.0.8.0 --startMP 204:232989 --initTime 2016-11-30T09:00:47 --startdatetime 2016-11-30T09:11:19 --delay 1 --endMP 204:165 --enddatetime 2016-11-30T09:49:24 --enforcementcount 0 &gt;&gt;C:\Users\stu\Documents\GitHub\eaglep3-reporting\EC\2016-11-30-refined-times.txt</v>
      </c>
      <c r="AI51" s="119" t="str">
        <f t="shared" si="18"/>
        <v>echo {"issue":{"subject":"","project_id":79,"tracker_id":40,"status_id":1,"priority_id":2,"assigned_to_id":23,"start_date":"2016-11-30","description":"","custom_fields":[{"id":1,"name":"Subdivision","value":"EC"},{"id":4,"name":"Milepost","value":"0.0165"},{"id":17,"name":"Train ID","value":"138-30"},{"id":16,"name":"Locomotive ID","value":"4004"},{"id":130,"name":"Impact","value":""},{"id":150,"name":"Time of Event (Mountain Time)","value":"09:49:24"},{"id":151,"name":"Denver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593</v>
      </c>
      <c r="B52" s="7">
        <v>4038</v>
      </c>
      <c r="C52" s="22" t="s">
        <v>212</v>
      </c>
      <c r="D52" s="22" t="s">
        <v>211</v>
      </c>
      <c r="E52" s="13">
        <v>42704.348946759259</v>
      </c>
      <c r="F52" s="13">
        <v>42704.354386574072</v>
      </c>
      <c r="G52" s="7">
        <v>1</v>
      </c>
      <c r="H52" s="22" t="s">
        <v>771</v>
      </c>
      <c r="I52" s="13">
        <v>42704.37835648148</v>
      </c>
      <c r="J52" s="7">
        <v>0</v>
      </c>
      <c r="K52" s="109" t="str">
        <f t="shared" si="0"/>
        <v>4037/4038</v>
      </c>
      <c r="L52" s="22" t="str">
        <f>VLOOKUP(A52,'Trips&amp;Operators'!$C$1:$G$99999,5,FALSE)</f>
        <v>SAFIEF AEIMEN</v>
      </c>
      <c r="M52" s="6">
        <f t="shared" si="1"/>
        <v>2.396990740817273E-2</v>
      </c>
      <c r="N52" s="7">
        <f t="shared" si="19"/>
        <v>34.516666667768732</v>
      </c>
      <c r="O52" s="7"/>
      <c r="P52" s="7"/>
      <c r="Q52" s="23"/>
      <c r="R52" s="23"/>
      <c r="S52" s="35">
        <f t="shared" si="20"/>
        <v>1</v>
      </c>
      <c r="T52" s="50" t="str">
        <f t="shared" si="4"/>
        <v>NorthBound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https://search-rtdc-monitor-bjffxe2xuh6vdkpspy63sjmuny.us-east-1.es.amazonaws.com/_plugin/kibana/#/discover/Steve-Slow-Train-Analysis-(2080s-and-2083s)?_g=(refreshInterval:(display:Off,section:0,value:0),time:(from:'2016-11-30 07:22:29-700',mode:absolute,to:'2016-11-30 10:04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52" s="52" t="str">
        <f t="shared" si="6"/>
        <v>N</v>
      </c>
      <c r="X52" s="177">
        <f t="shared" si="21"/>
        <v>1</v>
      </c>
      <c r="Y52" s="67">
        <f t="shared" si="8"/>
        <v>4.6399999999999997E-2</v>
      </c>
      <c r="Z52" s="67">
        <f t="shared" si="9"/>
        <v>23.323599999999999</v>
      </c>
      <c r="AA52" s="67">
        <f t="shared" si="10"/>
        <v>23.277200000000001</v>
      </c>
      <c r="AB52" s="64" t="e">
        <f>VLOOKUP(A52,Enforcements!$C$7:$K$20,8,0)</f>
        <v>#N/A</v>
      </c>
      <c r="AC52" s="60" t="e">
        <f>VLOOKUP(A52,Enforcements!$C$7:$E$20,3,0)</f>
        <v>#N/A</v>
      </c>
      <c r="AD52" s="61" t="str">
        <f t="shared" si="11"/>
        <v>0139-30</v>
      </c>
      <c r="AE52" s="91" t="str">
        <f t="shared" si="12"/>
        <v>aws s3 cp s3://rtdc.mdm.uploadarchive.raw/RTDC4038/ "%USERPROFILE%\AppData\Local\Temp\OnboardLogs"\RTDC4038\2016-11-30 --exclude "*" --recursive --include "*20161130*" &amp; "%USERPROFILE%\Documents\GitHub\mrs-test-scripts\Headless Mode &amp; Sideloading\WalkAndUnGZ.bat" "%USERPROFILE%\AppData\Local\Temp\OnboardLogs"\RTDC4038\2016-11-30 &amp; aws s3 cp s3://rtdc.mdm.uploadarchive.raw/RTDC4038/ "%USERPROFILE%\AppData\Local\Temp\OnboardLogs"\RTDC4038\2016-12-01 --exclude "*" --recursive --include "*20161201*" &amp; "%USERPROFILE%\Documents\GitHub\mrs-test-scripts\Headless Mode &amp; Sideloading\WalkAndUnGZ.bat" "%USERPROFILE%\AppData\Local\Temp\OnboardLogs"\RTDC4038\2016-12-01</v>
      </c>
      <c r="AF52" s="88" t="str">
        <f t="shared" si="13"/>
        <v>"C:\Program Files (x86)\AstroGrep\AstroGrep.exe" /spath="%USERPROFILE%\AppData\Local\Temp\OnboardLogs" /stypes="app*4038*20161130*" /stext=" 16:.+((SYSTEM_STATE.+slice.+state.+changed )|(ment ac)|(multiple cpu faults)|(system.+state.+changed )|(\[timeout)|(PRM\|1\|D)|(kpr)|(kdp)|(\|lc)|(penalty))" /e /r /s</v>
      </c>
      <c r="AG52" s="1" t="str">
        <f t="shared" si="14"/>
        <v>EC</v>
      </c>
      <c r="AH52" s="92" t="str">
        <f t="shared" si="17"/>
        <v>"%USERPROFILE%\Documents\GitHub\eaglep3\Utilities\RefineRTDCRunTimes.py" --tripid 139-30 --locoid 4038 --swversion DE.1.0.8.0 --startMP 204:464 --initTime 2016-11-30T08:22:29 --startdatetime 2016-11-30T08:30:19 --delay 1 --endMP 204:233236 --enddatetime 2016-11-30T09:04:50 --enforcementcount 0 &gt;&gt;C:\Users\stu\Documents\GitHub\eaglep3-reporting\EC\2016-11-30-refined-times.txt</v>
      </c>
      <c r="AI52" s="119" t="str">
        <f t="shared" si="18"/>
        <v>echo {"issue":{"subject":"","project_id":79,"tracker_id":40,"status_id":1,"priority_id":2,"assigned_to_id":23,"start_date":"2016-11-30","description":"","custom_fields":[{"id":1,"name":"Subdivision","value":"EC"},{"id":4,"name":"Milepost","value":"23.3236"},{"id":17,"name":"Train ID","value":"139-30"},{"id":16,"name":"Locomotive ID","value":"4038"},{"id":130,"name":"Impact","value":""},{"id":150,"name":"Time of Event (Mountain Time)","value":"09:04:50"},{"id":151,"name":"Denver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602</v>
      </c>
      <c r="B53" s="7">
        <v>4037</v>
      </c>
      <c r="C53" s="22" t="s">
        <v>212</v>
      </c>
      <c r="D53" s="22" t="s">
        <v>772</v>
      </c>
      <c r="E53" s="13">
        <v>42704.390335648146</v>
      </c>
      <c r="F53" s="13">
        <v>42704.39329861111</v>
      </c>
      <c r="G53" s="7">
        <v>1</v>
      </c>
      <c r="H53" s="22" t="s">
        <v>193</v>
      </c>
      <c r="I53" s="13">
        <v>42704.41883101852</v>
      </c>
      <c r="J53" s="7">
        <v>0</v>
      </c>
      <c r="K53" s="109" t="str">
        <f t="shared" si="0"/>
        <v>4037/4038</v>
      </c>
      <c r="L53" s="22" t="str">
        <f>VLOOKUP(A53,'Trips&amp;Operators'!$C$1:$G$99999,5,FALSE)</f>
        <v>SAFIEF AEIMEN</v>
      </c>
      <c r="M53" s="6">
        <f t="shared" si="1"/>
        <v>2.5532407409627922E-2</v>
      </c>
      <c r="N53" s="7">
        <f t="shared" si="19"/>
        <v>36.766666669864208</v>
      </c>
      <c r="O53" s="7"/>
      <c r="P53" s="7"/>
      <c r="Q53" s="23"/>
      <c r="R53" s="23"/>
      <c r="S53" s="35">
        <f t="shared" si="20"/>
        <v>1</v>
      </c>
      <c r="T53" s="50" t="str">
        <f t="shared" si="4"/>
        <v>Southbound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https://search-rtdc-monitor-bjffxe2xuh6vdkpspy63sjmuny.us-east-1.es.amazonaws.com/_plugin/kibana/#/discover/Steve-Slow-Train-Analysis-(2080s-and-2083s)?_g=(refreshInterval:(display:Off,section:0,value:0),time:(from:'2016-11-30 08:22:05-700',mode:absolute,to:'2016-11-30 11:03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53" s="52" t="str">
        <f t="shared" si="6"/>
        <v>N</v>
      </c>
      <c r="X53" s="177">
        <f t="shared" si="21"/>
        <v>1</v>
      </c>
      <c r="Y53" s="67">
        <f t="shared" si="8"/>
        <v>23.2913</v>
      </c>
      <c r="Z53" s="67">
        <f t="shared" si="9"/>
        <v>1.43E-2</v>
      </c>
      <c r="AA53" s="67">
        <f t="shared" si="10"/>
        <v>23.277000000000001</v>
      </c>
      <c r="AB53" s="64" t="e">
        <f>VLOOKUP(A53,Enforcements!$C$7:$K$20,8,0)</f>
        <v>#N/A</v>
      </c>
      <c r="AC53" s="60" t="e">
        <f>VLOOKUP(A53,Enforcements!$C$7:$E$20,3,0)</f>
        <v>#N/A</v>
      </c>
      <c r="AD53" s="61" t="str">
        <f t="shared" si="11"/>
        <v>0140-30</v>
      </c>
      <c r="AE53" s="91" t="str">
        <f t="shared" si="12"/>
        <v>aws s3 cp s3://rtdc.mdm.uploadarchive.raw/RTDC4037/ "%USERPROFILE%\AppData\Local\Temp\OnboardLogs"\RTDC4037\2016-11-30 --exclude "*" --recursive --include "*20161130*" &amp; "%USERPROFILE%\Documents\GitHub\mrs-test-scripts\Headless Mode &amp; Sideloading\WalkAndUnGZ.bat" "%USERPROFILE%\AppData\Local\Temp\OnboardLogs"\RTDC4037\2016-11-30 &amp; aws s3 cp s3://rtdc.mdm.uploadarchive.raw/RTDC4037/ "%USERPROFILE%\AppData\Local\Temp\OnboardLogs"\RTDC4037\2016-12-01 --exclude "*" --recursive --include "*20161201*" &amp; "%USERPROFILE%\Documents\GitHub\mrs-test-scripts\Headless Mode &amp; Sideloading\WalkAndUnGZ.bat" "%USERPROFILE%\AppData\Local\Temp\OnboardLogs"\RTDC4037\2016-12-01</v>
      </c>
      <c r="AF53" s="88" t="str">
        <f t="shared" si="13"/>
        <v>"C:\Program Files (x86)\AstroGrep\AstroGrep.exe" /spath="%USERPROFILE%\AppData\Local\Temp\OnboardLogs" /stypes="app*4037*20161130*" /stext=" 17:.+((SYSTEM_STATE.+slice.+state.+changed )|(ment ac)|(multiple cpu faults)|(system.+state.+changed )|(\[timeout)|(PRM\|1\|D)|(kpr)|(kdp)|(\|lc)|(penalty))" /e /r /s</v>
      </c>
      <c r="AG53" s="1" t="str">
        <f t="shared" si="14"/>
        <v>EC</v>
      </c>
      <c r="AH53" s="92" t="str">
        <f t="shared" si="17"/>
        <v>"%USERPROFILE%\Documents\GitHub\eaglep3\Utilities\RefineRTDCRunTimes.py" --tripid 140-30 --locoid 4037 --swversion DE.1.0.8.0 --startMP 204:232913 --initTime 2016-11-30T09:22:05 --startdatetime 2016-11-30T09:26:21 --delay 1 --endMP 204:143 --enddatetime 2016-11-30T10:03:07 --enforcementcount 0 &gt;&gt;C:\Users\stu\Documents\GitHub\eaglep3-reporting\EC\2016-11-30-refined-times.txt</v>
      </c>
      <c r="AI53" s="119" t="str">
        <f t="shared" si="18"/>
        <v>echo {"issue":{"subject":"","project_id":79,"tracker_id":40,"status_id":1,"priority_id":2,"assigned_to_id":23,"start_date":"2016-11-30","description":"","custom_fields":[{"id":1,"name":"Subdivision","value":"EC"},{"id":4,"name":"Milepost","value":"0.0143"},{"id":17,"name":"Train ID","value":"140-30"},{"id":16,"name":"Locomotive ID","value":"4037"},{"id":130,"name":"Impact","value":""},{"id":150,"name":"Time of Event (Mountain Time)","value":"10:03:07"},{"id":151,"name":"Denver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597</v>
      </c>
      <c r="B54" s="7">
        <v>4044</v>
      </c>
      <c r="C54" s="22" t="s">
        <v>212</v>
      </c>
      <c r="D54" s="22" t="s">
        <v>257</v>
      </c>
      <c r="E54" s="13">
        <v>42704.36037037037</v>
      </c>
      <c r="F54" s="13">
        <v>42704.364837962959</v>
      </c>
      <c r="G54" s="7">
        <v>1</v>
      </c>
      <c r="H54" s="22" t="s">
        <v>300</v>
      </c>
      <c r="I54" s="13">
        <v>42704.388969907406</v>
      </c>
      <c r="J54" s="7">
        <v>0</v>
      </c>
      <c r="K54" s="109" t="str">
        <f t="shared" si="0"/>
        <v>4043/4044</v>
      </c>
      <c r="L54" s="22" t="str">
        <f>VLOOKUP(A54,'Trips&amp;Operators'!$C$1:$G$99999,5,FALSE)</f>
        <v>MAELZER KURT</v>
      </c>
      <c r="M54" s="6">
        <f t="shared" si="1"/>
        <v>2.4131944446708076E-2</v>
      </c>
      <c r="N54" s="7">
        <f t="shared" si="19"/>
        <v>34.750000003259629</v>
      </c>
      <c r="O54" s="7"/>
      <c r="P54" s="7"/>
      <c r="Q54" s="23"/>
      <c r="R54" s="23"/>
      <c r="S54" s="35">
        <f t="shared" si="20"/>
        <v>1</v>
      </c>
      <c r="T54" s="50" t="str">
        <f t="shared" si="4"/>
        <v>NorthBound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https://search-rtdc-monitor-bjffxe2xuh6vdkpspy63sjmuny.us-east-1.es.amazonaws.com/_plugin/kibana/#/discover/Steve-Slow-Train-Analysis-(2080s-and-2083s)?_g=(refreshInterval:(display:Off,section:0,value:0),time:(from:'2016-11-30 07:38:56-700',mode:absolute,to:'2016-11-30 10:20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54" s="52" t="str">
        <f t="shared" si="6"/>
        <v>N</v>
      </c>
      <c r="X54" s="177">
        <f t="shared" si="21"/>
        <v>1</v>
      </c>
      <c r="Y54" s="67">
        <f t="shared" si="8"/>
        <v>4.7100000000000003E-2</v>
      </c>
      <c r="Z54" s="67">
        <f t="shared" si="9"/>
        <v>23.3291</v>
      </c>
      <c r="AA54" s="67">
        <f t="shared" si="10"/>
        <v>23.282</v>
      </c>
      <c r="AB54" s="64" t="e">
        <f>VLOOKUP(A54,Enforcements!$C$7:$K$20,8,0)</f>
        <v>#N/A</v>
      </c>
      <c r="AC54" s="60" t="e">
        <f>VLOOKUP(A54,Enforcements!$C$7:$E$20,3,0)</f>
        <v>#N/A</v>
      </c>
      <c r="AD54" s="61" t="str">
        <f t="shared" si="11"/>
        <v>0141-30</v>
      </c>
      <c r="AE54" s="91" t="str">
        <f t="shared" si="12"/>
        <v>aws s3 cp s3://rtdc.mdm.uploadarchive.raw/RTDC4044/ "%USERPROFILE%\AppData\Local\Temp\OnboardLogs"\RTDC4044\2016-11-30 --exclude "*" --recursive --include "*20161130*" &amp; "%USERPROFILE%\Documents\GitHub\mrs-test-scripts\Headless Mode &amp; Sideloading\WalkAndUnGZ.bat" "%USERPROFILE%\AppData\Local\Temp\OnboardLogs"\RTDC4044\2016-11-30 &amp; aws s3 cp s3://rtdc.mdm.uploadarchive.raw/RTDC4044/ "%USERPROFILE%\AppData\Local\Temp\OnboardLogs"\RTDC4044\2016-12-01 --exclude "*" --recursive --include "*20161201*" &amp; "%USERPROFILE%\Documents\GitHub\mrs-test-scripts\Headless Mode &amp; Sideloading\WalkAndUnGZ.bat" "%USERPROFILE%\AppData\Local\Temp\OnboardLogs"\RTDC4044\2016-12-01</v>
      </c>
      <c r="AF54" s="88" t="str">
        <f t="shared" si="13"/>
        <v>"C:\Program Files (x86)\AstroGrep\AstroGrep.exe" /spath="%USERPROFILE%\AppData\Local\Temp\OnboardLogs" /stypes="app*4044*20161130*" /stext=" 16:.+((SYSTEM_STATE.+slice.+state.+changed )|(ment ac)|(multiple cpu faults)|(system.+state.+changed )|(\[timeout)|(PRM\|1\|D)|(kpr)|(kdp)|(\|lc)|(penalty))" /e /r /s</v>
      </c>
      <c r="AG54" s="1" t="str">
        <f t="shared" si="14"/>
        <v>EC</v>
      </c>
      <c r="AH54" s="92" t="str">
        <f t="shared" si="17"/>
        <v>"%USERPROFILE%\Documents\GitHub\eaglep3\Utilities\RefineRTDCRunTimes.py" --tripid 141-30 --locoid 4044 --swversion DE.1.0.8.0 --startMP 204:471 --initTime 2016-11-30T08:38:56 --startdatetime 2016-11-30T08:45:22 --delay 1 --endMP 204:233291 --enddatetime 2016-11-30T09:20:07 --enforcementcount 0 &gt;&gt;C:\Users\stu\Documents\GitHub\eaglep3-reporting\EC\2016-11-30-refined-times.txt</v>
      </c>
      <c r="AI54" s="119" t="str">
        <f t="shared" si="18"/>
        <v>echo {"issue":{"subject":"","project_id":79,"tracker_id":40,"status_id":1,"priority_id":2,"assigned_to_id":23,"start_date":"2016-11-30","description":"","custom_fields":[{"id":1,"name":"Subdivision","value":"EC"},{"id":4,"name":"Milepost","value":"23.3291"},{"id":17,"name":"Train ID","value":"141-30"},{"id":16,"name":"Locomotive ID","value":"4044"},{"id":130,"name":"Impact","value":""},{"id":150,"name":"Time of Event (Mountain Time)","value":"09:20:07"},{"id":151,"name":"Denver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604</v>
      </c>
      <c r="B55" s="7">
        <v>4043</v>
      </c>
      <c r="C55" s="22" t="s">
        <v>212</v>
      </c>
      <c r="D55" s="22" t="s">
        <v>239</v>
      </c>
      <c r="E55" s="13">
        <v>42704.398923611108</v>
      </c>
      <c r="F55" s="13">
        <v>42704.403877314813</v>
      </c>
      <c r="G55" s="7">
        <v>2</v>
      </c>
      <c r="H55" s="22" t="s">
        <v>192</v>
      </c>
      <c r="I55" s="13">
        <v>42704.429791666669</v>
      </c>
      <c r="J55" s="7">
        <v>0</v>
      </c>
      <c r="K55" s="109" t="str">
        <f t="shared" si="0"/>
        <v>4043/4044</v>
      </c>
      <c r="L55" s="22" t="str">
        <f>VLOOKUP(A55,'Trips&amp;Operators'!$C$1:$G$99999,5,FALSE)</f>
        <v>MAELZER KURT</v>
      </c>
      <c r="M55" s="6">
        <f t="shared" si="1"/>
        <v>2.5914351856044959E-2</v>
      </c>
      <c r="N55" s="7">
        <f t="shared" si="19"/>
        <v>37.316666672704741</v>
      </c>
      <c r="O55" s="7"/>
      <c r="P55" s="7"/>
      <c r="Q55" s="23"/>
      <c r="R55" s="23"/>
      <c r="S55" s="35">
        <f t="shared" si="20"/>
        <v>1</v>
      </c>
      <c r="T55" s="50" t="str">
        <f t="shared" si="4"/>
        <v>Southbound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https://search-rtdc-monitor-bjffxe2xuh6vdkpspy63sjmuny.us-east-1.es.amazonaws.com/_plugin/kibana/#/discover/Steve-Slow-Train-Analysis-(2080s-and-2083s)?_g=(refreshInterval:(display:Off,section:0,value:0),time:(from:'2016-11-30 08:34:27-700',mode:absolute,to:'2016-11-30 11:18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55" s="52" t="str">
        <f t="shared" si="6"/>
        <v>N</v>
      </c>
      <c r="X55" s="177">
        <f t="shared" si="21"/>
        <v>1</v>
      </c>
      <c r="Y55" s="67">
        <f t="shared" si="8"/>
        <v>23.299399999999999</v>
      </c>
      <c r="Z55" s="67">
        <f t="shared" si="9"/>
        <v>1.49E-2</v>
      </c>
      <c r="AA55" s="67">
        <f t="shared" si="10"/>
        <v>23.284499999999998</v>
      </c>
      <c r="AB55" s="64" t="e">
        <f>VLOOKUP(A55,Enforcements!$C$7:$K$20,8,0)</f>
        <v>#N/A</v>
      </c>
      <c r="AC55" s="60" t="e">
        <f>VLOOKUP(A55,Enforcements!$C$7:$E$20,3,0)</f>
        <v>#N/A</v>
      </c>
      <c r="AD55" s="61" t="str">
        <f t="shared" si="11"/>
        <v>0142-30</v>
      </c>
      <c r="AE55" s="91" t="str">
        <f t="shared" si="12"/>
        <v>aws s3 cp s3://rtdc.mdm.uploadarchive.raw/RTDC4043/ "%USERPROFILE%\AppData\Local\Temp\OnboardLogs"\RTDC4043\2016-11-30 --exclude "*" --recursive --include "*20161130*" &amp; "%USERPROFILE%\Documents\GitHub\mrs-test-scripts\Headless Mode &amp; Sideloading\WalkAndUnGZ.bat" "%USERPROFILE%\AppData\Local\Temp\OnboardLogs"\RTDC4043\2016-11-30 &amp; aws s3 cp s3://rtdc.mdm.uploadarchive.raw/RTDC4043/ "%USERPROFILE%\AppData\Local\Temp\OnboardLogs"\RTDC4043\2016-12-01 --exclude "*" --recursive --include "*20161201*" &amp; "%USERPROFILE%\Documents\GitHub\mrs-test-scripts\Headless Mode &amp; Sideloading\WalkAndUnGZ.bat" "%USERPROFILE%\AppData\Local\Temp\OnboardLogs"\RTDC4043\2016-12-01</v>
      </c>
      <c r="AF55" s="88" t="str">
        <f t="shared" si="13"/>
        <v>"C:\Program Files (x86)\AstroGrep\AstroGrep.exe" /spath="%USERPROFILE%\AppData\Local\Temp\OnboardLogs" /stypes="app*4043*20161130*" /stext=" 17:.+((SYSTEM_STATE.+slice.+state.+changed )|(ment ac)|(multiple cpu faults)|(system.+state.+changed )|(\[timeout)|(PRM\|1\|D)|(kpr)|(kdp)|(\|lc)|(penalty))" /e /r /s</v>
      </c>
      <c r="AG55" s="1" t="str">
        <f t="shared" si="14"/>
        <v>EC</v>
      </c>
      <c r="AH55" s="92" t="str">
        <f t="shared" si="17"/>
        <v>"%USERPROFILE%\Documents\GitHub\eaglep3\Utilities\RefineRTDCRunTimes.py" --tripid 142-30 --locoid 4043 --swversion DE.1.0.8.0 --startMP 204:232994 --initTime 2016-11-30T09:34:27 --startdatetime 2016-11-30T09:41:35 --delay 2 --endMP 204:149 --enddatetime 2016-11-30T10:18:54 --enforcementcount 0 &gt;&gt;C:\Users\stu\Documents\GitHub\eaglep3-reporting\EC\2016-11-30-refined-times.txt</v>
      </c>
      <c r="AI55" s="119" t="str">
        <f t="shared" si="18"/>
        <v>echo {"issue":{"subject":"","project_id":79,"tracker_id":40,"status_id":1,"priority_id":2,"assigned_to_id":23,"start_date":"2016-11-30","description":"","custom_fields":[{"id":1,"name":"Subdivision","value":"EC"},{"id":4,"name":"Milepost","value":"0.0149"},{"id":17,"name":"Train ID","value":"142-30"},{"id":16,"name":"Locomotive ID","value":"4043"},{"id":130,"name":"Impact","value":""},{"id":150,"name":"Time of Event (Mountain Time)","value":"10:18:54"},{"id":151,"name":"Denver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599</v>
      </c>
      <c r="B56" s="7">
        <v>4031</v>
      </c>
      <c r="C56" s="22" t="s">
        <v>212</v>
      </c>
      <c r="D56" s="22" t="s">
        <v>234</v>
      </c>
      <c r="E56" s="13">
        <v>42704.370879629627</v>
      </c>
      <c r="F56" s="13">
        <v>42704.375185185185</v>
      </c>
      <c r="G56" s="7">
        <v>1</v>
      </c>
      <c r="H56" s="22" t="s">
        <v>302</v>
      </c>
      <c r="I56" s="13">
        <v>42704.400057870371</v>
      </c>
      <c r="J56" s="7">
        <v>0</v>
      </c>
      <c r="K56" s="109" t="str">
        <f t="shared" si="0"/>
        <v>4031/4032</v>
      </c>
      <c r="L56" s="22" t="str">
        <f>VLOOKUP(A56,'Trips&amp;Operators'!$C$1:$G$99999,5,FALSE)</f>
        <v>PERKINS DARREN</v>
      </c>
      <c r="M56" s="6">
        <f t="shared" si="1"/>
        <v>2.4872685185982846E-2</v>
      </c>
      <c r="N56" s="7">
        <f t="shared" si="19"/>
        <v>35.816666667815298</v>
      </c>
      <c r="O56" s="7"/>
      <c r="P56" s="7"/>
      <c r="Q56" s="23"/>
      <c r="R56" s="23"/>
      <c r="S56" s="35">
        <f t="shared" si="20"/>
        <v>1</v>
      </c>
      <c r="T56" s="50" t="str">
        <f t="shared" si="4"/>
        <v>NorthBound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https://search-rtdc-monitor-bjffxe2xuh6vdkpspy63sjmuny.us-east-1.es.amazonaws.com/_plugin/kibana/#/discover/Steve-Slow-Train-Analysis-(2080s-and-2083s)?_g=(refreshInterval:(display:Off,section:0,value:0),time:(from:'2016-11-30 07:54:04-700',mode:absolute,to:'2016-11-30 10:36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56" s="52" t="str">
        <f t="shared" si="6"/>
        <v>N</v>
      </c>
      <c r="X56" s="177">
        <f t="shared" si="21"/>
        <v>1</v>
      </c>
      <c r="Y56" s="67">
        <f t="shared" si="8"/>
        <v>4.4900000000000002E-2</v>
      </c>
      <c r="Z56" s="67">
        <f t="shared" si="9"/>
        <v>23.330100000000002</v>
      </c>
      <c r="AA56" s="67">
        <f t="shared" si="10"/>
        <v>23.285200000000003</v>
      </c>
      <c r="AB56" s="64" t="e">
        <f>VLOOKUP(A56,Enforcements!$C$7:$K$20,8,0)</f>
        <v>#N/A</v>
      </c>
      <c r="AC56" s="60" t="e">
        <f>VLOOKUP(A56,Enforcements!$C$7:$E$20,3,0)</f>
        <v>#N/A</v>
      </c>
      <c r="AD56" s="61" t="str">
        <f t="shared" si="11"/>
        <v>0143-30</v>
      </c>
      <c r="AE56" s="91" t="str">
        <f t="shared" si="12"/>
        <v>aws s3 cp s3://rtdc.mdm.uploadarchive.raw/RTDC4031/ "%USERPROFILE%\AppData\Local\Temp\OnboardLogs"\RTDC4031\2016-11-30 --exclude "*" --recursive --include "*20161130*" &amp; "%USERPROFILE%\Documents\GitHub\mrs-test-scripts\Headless Mode &amp; Sideloading\WalkAndUnGZ.bat" "%USERPROFILE%\AppData\Local\Temp\OnboardLogs"\RTDC4031\2016-11-30 &amp; aws s3 cp s3://rtdc.mdm.uploadarchive.raw/RTDC4031/ "%USERPROFILE%\AppData\Local\Temp\OnboardLogs"\RTDC4031\2016-12-01 --exclude "*" --recursive --include "*20161201*" &amp; "%USERPROFILE%\Documents\GitHub\mrs-test-scripts\Headless Mode &amp; Sideloading\WalkAndUnGZ.bat" "%USERPROFILE%\AppData\Local\Temp\OnboardLogs"\RTDC4031\2016-12-01</v>
      </c>
      <c r="AF56" s="88" t="str">
        <f t="shared" si="13"/>
        <v>"C:\Program Files (x86)\AstroGrep\AstroGrep.exe" /spath="%USERPROFILE%\AppData\Local\Temp\OnboardLogs" /stypes="app*4031*20161130*" /stext=" 16:.+((SYSTEM_STATE.+slice.+state.+changed )|(ment ac)|(multiple cpu faults)|(system.+state.+changed )|(\[timeout)|(PRM\|1\|D)|(kpr)|(kdp)|(\|lc)|(penalty))" /e /r /s</v>
      </c>
      <c r="AG56" s="1" t="str">
        <f t="shared" si="14"/>
        <v>EC</v>
      </c>
      <c r="AH56" s="92" t="str">
        <f t="shared" si="17"/>
        <v>"%USERPROFILE%\Documents\GitHub\eaglep3\Utilities\RefineRTDCRunTimes.py" --tripid 143-30 --locoid 4031 --swversion DE.1.0.8.0 --startMP 204:449 --initTime 2016-11-30T08:54:04 --startdatetime 2016-11-30T09:00:16 --delay 1 --endMP 204:233301 --enddatetime 2016-11-30T09:36:05 --enforcementcount 0 &gt;&gt;C:\Users\stu\Documents\GitHub\eaglep3-reporting\EC\2016-11-30-refined-times.txt</v>
      </c>
      <c r="AI56" s="119" t="str">
        <f t="shared" si="18"/>
        <v>echo {"issue":{"subject":"","project_id":79,"tracker_id":40,"status_id":1,"priority_id":2,"assigned_to_id":23,"start_date":"2016-11-30","description":"","custom_fields":[{"id":1,"name":"Subdivision","value":"EC"},{"id":4,"name":"Milepost","value":"23.3301"},{"id":17,"name":"Train ID","value":"143-30"},{"id":16,"name":"Locomotive ID","value":"4031"},{"id":130,"name":"Impact","value":""},{"id":150,"name":"Time of Event (Mountain Time)","value":"09:36:05"},{"id":151,"name":"Denver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532</v>
      </c>
      <c r="B57" s="7">
        <v>4032</v>
      </c>
      <c r="C57" s="22" t="s">
        <v>212</v>
      </c>
      <c r="D57" s="22" t="s">
        <v>272</v>
      </c>
      <c r="E57" s="13">
        <v>42704.404548611114</v>
      </c>
      <c r="F57" s="13">
        <v>42704.414201388892</v>
      </c>
      <c r="G57" s="7">
        <v>1</v>
      </c>
      <c r="H57" s="22" t="s">
        <v>193</v>
      </c>
      <c r="I57" s="13">
        <v>42704.440925925926</v>
      </c>
      <c r="J57" s="7">
        <v>0</v>
      </c>
      <c r="K57" s="109" t="str">
        <f t="shared" si="0"/>
        <v>4031/4032</v>
      </c>
      <c r="L57" s="22" t="str">
        <f>VLOOKUP(A57,'Trips&amp;Operators'!$C$1:$G$99999,5,FALSE)</f>
        <v>PERKINS DARREN</v>
      </c>
      <c r="M57" s="6">
        <f t="shared" si="1"/>
        <v>2.6724537034169771E-2</v>
      </c>
      <c r="N57" s="7">
        <f t="shared" si="19"/>
        <v>38.48333332920447</v>
      </c>
      <c r="O57" s="7"/>
      <c r="P57" s="7"/>
      <c r="Q57" s="23"/>
      <c r="R57" s="23"/>
      <c r="S57" s="35">
        <f t="shared" si="20"/>
        <v>1</v>
      </c>
      <c r="T57" s="50" t="str">
        <f t="shared" si="4"/>
        <v>Southbound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https://search-rtdc-monitor-bjffxe2xuh6vdkpspy63sjmuny.us-east-1.es.amazonaws.com/_plugin/kibana/#/discover/Steve-Slow-Train-Analysis-(2080s-and-2083s)?_g=(refreshInterval:(display:Off,section:0,value:0),time:(from:'2016-11-30 08:42:33-700',mode:absolute,to:'2016-11-30 11:34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57" s="52" t="str">
        <f t="shared" si="6"/>
        <v>N</v>
      </c>
      <c r="X57" s="177">
        <f t="shared" si="21"/>
        <v>1</v>
      </c>
      <c r="Y57" s="67">
        <f t="shared" si="8"/>
        <v>23.2988</v>
      </c>
      <c r="Z57" s="67">
        <f t="shared" si="9"/>
        <v>1.43E-2</v>
      </c>
      <c r="AA57" s="67">
        <f t="shared" si="10"/>
        <v>23.284500000000001</v>
      </c>
      <c r="AB57" s="64" t="str">
        <f>VLOOKUP(A57,Enforcements!$C$7:$K$20,8,0)</f>
        <v>Form based authority (4)</v>
      </c>
      <c r="AC57" s="60" t="str">
        <f>VLOOKUP(A57,Enforcements!$C$7:$E$20,3,0)</f>
        <v>TRACK WARRANT AUTHORITY</v>
      </c>
      <c r="AD57" s="61" t="str">
        <f t="shared" si="11"/>
        <v>0144-30</v>
      </c>
      <c r="AE57" s="91" t="str">
        <f t="shared" si="12"/>
        <v>aws s3 cp s3://rtdc.mdm.uploadarchive.raw/RTDC4032/ "%USERPROFILE%\AppData\Local\Temp\OnboardLogs"\RTDC4032\2016-11-30 --exclude "*" --recursive --include "*20161130*" &amp; "%USERPROFILE%\Documents\GitHub\mrs-test-scripts\Headless Mode &amp; Sideloading\WalkAndUnGZ.bat" "%USERPROFILE%\AppData\Local\Temp\OnboardLogs"\RTDC4032\2016-11-30 &amp; aws s3 cp s3://rtdc.mdm.uploadarchive.raw/RTDC4032/ "%USERPROFILE%\AppData\Local\Temp\OnboardLogs"\RTDC4032\2016-12-01 --exclude "*" --recursive --include "*20161201*" &amp; "%USERPROFILE%\Documents\GitHub\mrs-test-scripts\Headless Mode &amp; Sideloading\WalkAndUnGZ.bat" "%USERPROFILE%\AppData\Local\Temp\OnboardLogs"\RTDC4032\2016-12-01</v>
      </c>
      <c r="AF57" s="88" t="str">
        <f t="shared" si="13"/>
        <v>"C:\Program Files (x86)\AstroGrep\AstroGrep.exe" /spath="%USERPROFILE%\AppData\Local\Temp\OnboardLogs" /stypes="app*4032*20161130*" /stext=" 17:.+((SYSTEM_STATE.+slice.+state.+changed )|(ment ac)|(multiple cpu faults)|(system.+state.+changed )|(\[timeout)|(PRM\|1\|D)|(kpr)|(kdp)|(\|lc)|(penalty))" /e /r /s</v>
      </c>
      <c r="AG57" s="1" t="str">
        <f t="shared" si="14"/>
        <v>EC</v>
      </c>
      <c r="AH57" s="92" t="str">
        <f t="shared" si="17"/>
        <v>"%USERPROFILE%\Documents\GitHub\eaglep3\Utilities\RefineRTDCRunTimes.py" --tripid 144-30 --locoid 4032 --swversion DE.1.0.8.0 --startMP 204:232988 --initTime 2016-11-30T09:42:33 --startdatetime 2016-11-30T09:56:27 --delay 1 --endMP 204:143 --enddatetime 2016-11-30T10:34:56 --enforcementcount 0 &gt;&gt;C:\Users\stu\Documents\GitHub\eaglep3-reporting\EC\2016-11-30-refined-times.txt</v>
      </c>
      <c r="AI57" s="119" t="str">
        <f t="shared" si="18"/>
        <v>echo {"issue":{"subject":"","project_id":79,"tracker_id":40,"status_id":1,"priority_id":2,"assigned_to_id":23,"start_date":"2016-11-30","description":"","custom_fields":[{"id":1,"name":"Subdivision","value":"EC"},{"id":4,"name":"Milepost","value":"0.0143"},{"id":17,"name":"Train ID","value":"144-30"},{"id":16,"name":"Locomotive ID","value":"4032"},{"id":130,"name":"Impact","value":""},{"id":150,"name":"Time of Event (Mountain Time)","value":"10:34:56"},{"id":151,"name":"Denver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601</v>
      </c>
      <c r="B58" s="7">
        <v>4046</v>
      </c>
      <c r="C58" s="22" t="s">
        <v>212</v>
      </c>
      <c r="D58" s="22" t="s">
        <v>253</v>
      </c>
      <c r="E58" s="13">
        <v>42704.38045138889</v>
      </c>
      <c r="F58" s="13">
        <v>42704.38559027778</v>
      </c>
      <c r="G58" s="7">
        <v>1</v>
      </c>
      <c r="H58" s="22" t="s">
        <v>265</v>
      </c>
      <c r="I58" s="13">
        <v>42704.409537037034</v>
      </c>
      <c r="J58" s="7">
        <v>0</v>
      </c>
      <c r="K58" s="109" t="str">
        <f t="shared" si="0"/>
        <v>4045/4046</v>
      </c>
      <c r="L58" s="22" t="str">
        <f>VLOOKUP(A58,'Trips&amp;Operators'!$C$1:$G$99999,5,FALSE)</f>
        <v>ACKERMAN JARED</v>
      </c>
      <c r="M58" s="6">
        <f t="shared" si="1"/>
        <v>2.3946759254613426E-2</v>
      </c>
      <c r="N58" s="7">
        <f t="shared" si="19"/>
        <v>34.483333326643333</v>
      </c>
      <c r="O58" s="7"/>
      <c r="P58" s="7"/>
      <c r="Q58" s="23"/>
      <c r="R58" s="23"/>
      <c r="S58" s="35">
        <f t="shared" si="20"/>
        <v>1</v>
      </c>
      <c r="T58" s="50" t="str">
        <f t="shared" si="4"/>
        <v>NorthBound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https://search-rtdc-monitor-bjffxe2xuh6vdkpspy63sjmuny.us-east-1.es.amazonaws.com/_plugin/kibana/#/discover/Steve-Slow-Train-Analysis-(2080s-and-2083s)?_g=(refreshInterval:(display:Off,section:0,value:0),time:(from:'2016-11-30 08:07:51-700',mode:absolute,to:'2016-11-30 10:49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58" s="52" t="str">
        <f t="shared" si="6"/>
        <v>N</v>
      </c>
      <c r="X58" s="177">
        <f t="shared" si="21"/>
        <v>1</v>
      </c>
      <c r="Y58" s="67">
        <f t="shared" si="8"/>
        <v>4.5999999999999999E-2</v>
      </c>
      <c r="Z58" s="67">
        <f t="shared" si="9"/>
        <v>23.3308</v>
      </c>
      <c r="AA58" s="67">
        <f t="shared" si="10"/>
        <v>23.284800000000001</v>
      </c>
      <c r="AB58" s="64" t="e">
        <f>VLOOKUP(A58,Enforcements!$C$7:$K$20,8,0)</f>
        <v>#N/A</v>
      </c>
      <c r="AC58" s="60" t="e">
        <f>VLOOKUP(A58,Enforcements!$C$7:$E$20,3,0)</f>
        <v>#N/A</v>
      </c>
      <c r="AD58" s="61" t="str">
        <f t="shared" si="11"/>
        <v>0145-30</v>
      </c>
      <c r="AE58" s="91" t="str">
        <f t="shared" si="12"/>
        <v>aws s3 cp s3://rtdc.mdm.uploadarchive.raw/RTDC4046/ "%USERPROFILE%\AppData\Local\Temp\OnboardLogs"\RTDC4046\2016-11-30 --exclude "*" --recursive --include "*20161130*" &amp; "%USERPROFILE%\Documents\GitHub\mrs-test-scripts\Headless Mode &amp; Sideloading\WalkAndUnGZ.bat" "%USERPROFILE%\AppData\Local\Temp\OnboardLogs"\RTDC4046\2016-11-30 &amp; aws s3 cp s3://rtdc.mdm.uploadarchive.raw/RTDC4046/ "%USERPROFILE%\AppData\Local\Temp\OnboardLogs"\RTDC4046\2016-12-01 --exclude "*" --recursive --include "*20161201*" &amp; "%USERPROFILE%\Documents\GitHub\mrs-test-scripts\Headless Mode &amp; Sideloading\WalkAndUnGZ.bat" "%USERPROFILE%\AppData\Local\Temp\OnboardLogs"\RTDC4046\2016-12-01</v>
      </c>
      <c r="AF58" s="88" t="str">
        <f t="shared" si="13"/>
        <v>"C:\Program Files (x86)\AstroGrep\AstroGrep.exe" /spath="%USERPROFILE%\AppData\Local\Temp\OnboardLogs" /stypes="app*4046*20161130*" /stext=" 16:.+((SYSTEM_STATE.+slice.+state.+changed )|(ment ac)|(multiple cpu faults)|(system.+state.+changed )|(\[timeout)|(PRM\|1\|D)|(kpr)|(kdp)|(\|lc)|(penalty))" /e /r /s</v>
      </c>
      <c r="AG58" s="1" t="str">
        <f t="shared" si="14"/>
        <v>EC</v>
      </c>
      <c r="AH58" s="92" t="str">
        <f t="shared" si="17"/>
        <v>"%USERPROFILE%\Documents\GitHub\eaglep3\Utilities\RefineRTDCRunTimes.py" --tripid 145-30 --locoid 4046 --swversion DE.1.0.8.0 --startMP 204:460 --initTime 2016-11-30T09:07:51 --startdatetime 2016-11-30T09:15:15 --delay 1 --endMP 204:233308 --enddatetime 2016-11-30T09:49:44 --enforcementcount 0 &gt;&gt;C:\Users\stu\Documents\GitHub\eaglep3-reporting\EC\2016-11-30-refined-times.txt</v>
      </c>
      <c r="AI58" s="119" t="str">
        <f t="shared" si="18"/>
        <v>echo {"issue":{"subject":"","project_id":79,"tracker_id":40,"status_id":1,"priority_id":2,"assigned_to_id":23,"start_date":"2016-11-30","description":"","custom_fields":[{"id":1,"name":"Subdivision","value":"EC"},{"id":4,"name":"Milepost","value":"23.3308"},{"id":17,"name":"Train ID","value":"145-30"},{"id":16,"name":"Locomotive ID","value":"4046"},{"id":130,"name":"Impact","value":""},{"id":150,"name":"Time of Event (Mountain Time)","value":"09:49:44"},{"id":151,"name":"Denver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29" customFormat="1" x14ac:dyDescent="0.25">
      <c r="A59" s="37" t="s">
        <v>534</v>
      </c>
      <c r="B59" s="7">
        <v>4045</v>
      </c>
      <c r="C59" s="22" t="s">
        <v>212</v>
      </c>
      <c r="D59" s="22" t="s">
        <v>495</v>
      </c>
      <c r="E59" s="13">
        <v>42704.417303240742</v>
      </c>
      <c r="F59" s="13">
        <v>42704.424675925926</v>
      </c>
      <c r="G59" s="7">
        <v>2</v>
      </c>
      <c r="H59" s="22" t="s">
        <v>773</v>
      </c>
      <c r="I59" s="13">
        <v>42704.451006944444</v>
      </c>
      <c r="J59" s="7">
        <v>0</v>
      </c>
      <c r="K59" s="109" t="str">
        <f t="shared" si="0"/>
        <v>4045/4046</v>
      </c>
      <c r="L59" s="22" t="str">
        <f>VLOOKUP(A59,'Trips&amp;Operators'!$C$1:$G$99999,5,FALSE)</f>
        <v>ACKERMAN JARED</v>
      </c>
      <c r="M59" s="6">
        <f t="shared" si="1"/>
        <v>2.6331018518249039E-2</v>
      </c>
      <c r="N59" s="7">
        <f t="shared" si="19"/>
        <v>37.916666666278616</v>
      </c>
      <c r="O59" s="7"/>
      <c r="P59" s="7"/>
      <c r="Q59" s="23"/>
      <c r="R59" s="23"/>
      <c r="S59" s="35">
        <f t="shared" si="20"/>
        <v>1</v>
      </c>
      <c r="T59" s="50" t="str">
        <f t="shared" si="4"/>
        <v>Southbound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https://search-rtdc-monitor-bjffxe2xuh6vdkpspy63sjmuny.us-east-1.es.amazonaws.com/_plugin/kibana/#/discover/Steve-Slow-Train-Analysis-(2080s-and-2083s)?_g=(refreshInterval:(display:Off,section:0,value:0),time:(from:'2016-11-30 09:00:55-700',mode:absolute,to:'2016-11-30 11:49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59" s="52" t="str">
        <f t="shared" si="6"/>
        <v>N</v>
      </c>
      <c r="X59" s="177">
        <f t="shared" si="21"/>
        <v>1</v>
      </c>
      <c r="Y59" s="67">
        <f t="shared" si="8"/>
        <v>23.300799999999999</v>
      </c>
      <c r="Z59" s="67">
        <f t="shared" si="9"/>
        <v>2.0899999999999998E-2</v>
      </c>
      <c r="AA59" s="67">
        <f t="shared" si="10"/>
        <v>23.279899999999998</v>
      </c>
      <c r="AB59" s="64" t="str">
        <f>VLOOKUP(A59,Enforcements!$C$7:$K$20,8,0)</f>
        <v>Form based authority (4)</v>
      </c>
      <c r="AC59" s="60" t="str">
        <f>VLOOKUP(A59,Enforcements!$C$7:$E$20,3,0)</f>
        <v>TRACK WARRANT AUTHORITY</v>
      </c>
      <c r="AD59" s="61" t="str">
        <f t="shared" si="11"/>
        <v>0146-30</v>
      </c>
      <c r="AE59" s="91" t="str">
        <f t="shared" si="12"/>
        <v>aws s3 cp s3://rtdc.mdm.uploadarchive.raw/RTDC4045/ "%USERPROFILE%\AppData\Local\Temp\OnboardLogs"\RTDC4045\2016-11-30 --exclude "*" --recursive --include "*20161130*" &amp; "%USERPROFILE%\Documents\GitHub\mrs-test-scripts\Headless Mode &amp; Sideloading\WalkAndUnGZ.bat" "%USERPROFILE%\AppData\Local\Temp\OnboardLogs"\RTDC4045\2016-11-30 &amp; aws s3 cp s3://rtdc.mdm.uploadarchive.raw/RTDC4045/ "%USERPROFILE%\AppData\Local\Temp\OnboardLogs"\RTDC4045\2016-12-01 --exclude "*" --recursive --include "*20161201*" &amp; "%USERPROFILE%\Documents\GitHub\mrs-test-scripts\Headless Mode &amp; Sideloading\WalkAndUnGZ.bat" "%USERPROFILE%\AppData\Local\Temp\OnboardLogs"\RTDC4045\2016-12-01</v>
      </c>
      <c r="AF59" s="88" t="str">
        <f t="shared" si="13"/>
        <v>"C:\Program Files (x86)\AstroGrep\AstroGrep.exe" /spath="%USERPROFILE%\AppData\Local\Temp\OnboardLogs" /stypes="app*4045*20161130*" /stext=" 17:.+((SYSTEM_STATE.+slice.+state.+changed )|(ment ac)|(multiple cpu faults)|(system.+state.+changed )|(\[timeout)|(PRM\|1\|D)|(kpr)|(kdp)|(\|lc)|(penalty))" /e /r /s</v>
      </c>
      <c r="AG59" s="1" t="str">
        <f t="shared" si="14"/>
        <v>EC</v>
      </c>
      <c r="AH59" s="92" t="str">
        <f t="shared" si="17"/>
        <v>"%USERPROFILE%\Documents\GitHub\eaglep3\Utilities\RefineRTDCRunTimes.py" --tripid 146-30 --locoid 4045 --swversion DE.1.0.8.0 --startMP 204:233008 --initTime 2016-11-30T10:00:55 --startdatetime 2016-11-30T10:11:32 --delay 2 --endMP 204:209 --enddatetime 2016-11-30T10:49:27 --enforcementcount 0 &gt;&gt;C:\Users\stu\Documents\GitHub\eaglep3-reporting\EC\2016-11-30-refined-times.txt</v>
      </c>
      <c r="AI59" s="119" t="str">
        <f t="shared" si="18"/>
        <v>echo {"issue":{"subject":"","project_id":79,"tracker_id":40,"status_id":1,"priority_id":2,"assigned_to_id":23,"start_date":"2016-11-30","description":"","custom_fields":[{"id":1,"name":"Subdivision","value":"EC"},{"id":4,"name":"Milepost","value":"0.0209"},{"id":17,"name":"Train ID","value":"146-30"},{"id":16,"name":"Locomotive ID","value":"4045"},{"id":130,"name":"Impact","value":""},{"id":150,"name":"Time of Event (Mountain Time)","value":"10:49:27"},{"id":151,"name":"Denver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603</v>
      </c>
      <c r="B60" s="7">
        <v>4022</v>
      </c>
      <c r="C60" s="22" t="s">
        <v>212</v>
      </c>
      <c r="D60" s="22" t="s">
        <v>194</v>
      </c>
      <c r="E60" s="13">
        <v>42704.390462962961</v>
      </c>
      <c r="F60" s="13">
        <v>42704.396192129629</v>
      </c>
      <c r="G60" s="7">
        <v>1</v>
      </c>
      <c r="H60" s="22" t="s">
        <v>774</v>
      </c>
      <c r="I60" s="13">
        <v>42704.420393518521</v>
      </c>
      <c r="J60" s="7">
        <v>0</v>
      </c>
      <c r="K60" s="109" t="str">
        <f t="shared" si="0"/>
        <v>4021/4022</v>
      </c>
      <c r="L60" s="22" t="str">
        <f>VLOOKUP(A60,'Trips&amp;Operators'!$C$1:$G$99999,5,FALSE)</f>
        <v>DE LA ROSA ALEX</v>
      </c>
      <c r="M60" s="6">
        <f t="shared" si="1"/>
        <v>2.4201388892834075E-2</v>
      </c>
      <c r="N60" s="7">
        <f t="shared" si="19"/>
        <v>34.850000005681068</v>
      </c>
      <c r="O60" s="7"/>
      <c r="P60" s="7"/>
      <c r="Q60" s="23"/>
      <c r="R60" s="23"/>
      <c r="S60" s="35">
        <f t="shared" si="20"/>
        <v>1</v>
      </c>
      <c r="T60" s="50" t="str">
        <f t="shared" si="4"/>
        <v>NorthBound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https://search-rtdc-monitor-bjffxe2xuh6vdkpspy63sjmuny.us-east-1.es.amazonaws.com/_plugin/kibana/#/discover/Steve-Slow-Train-Analysis-(2080s-and-2083s)?_g=(refreshInterval:(display:Off,section:0,value:0),time:(from:'2016-11-30 08:22:16-700',mode:absolute,to:'2016-11-30 11:05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60" s="52" t="str">
        <f t="shared" si="6"/>
        <v>N</v>
      </c>
      <c r="X60" s="177">
        <f t="shared" si="21"/>
        <v>1</v>
      </c>
      <c r="Y60" s="67">
        <f t="shared" si="8"/>
        <v>4.4699999999999997E-2</v>
      </c>
      <c r="Z60" s="67">
        <f t="shared" si="9"/>
        <v>23.329899999999999</v>
      </c>
      <c r="AA60" s="67">
        <f t="shared" si="10"/>
        <v>23.2852</v>
      </c>
      <c r="AB60" s="64" t="e">
        <f>VLOOKUP(A60,Enforcements!$C$7:$K$20,8,0)</f>
        <v>#N/A</v>
      </c>
      <c r="AC60" s="60" t="e">
        <f>VLOOKUP(A60,Enforcements!$C$7:$E$20,3,0)</f>
        <v>#N/A</v>
      </c>
      <c r="AD60" s="61" t="str">
        <f t="shared" si="11"/>
        <v>0147-30</v>
      </c>
      <c r="AE60" s="91" t="str">
        <f t="shared" si="12"/>
        <v>aws s3 cp s3://rtdc.mdm.uploadarchive.raw/RTDC4022/ "%USERPROFILE%\AppData\Local\Temp\OnboardLogs"\RTDC4022\2016-11-30 --exclude "*" --recursive --include "*20161130*" &amp; "%USERPROFILE%\Documents\GitHub\mrs-test-scripts\Headless Mode &amp; Sideloading\WalkAndUnGZ.bat" "%USERPROFILE%\AppData\Local\Temp\OnboardLogs"\RTDC4022\2016-11-30 &amp; aws s3 cp s3://rtdc.mdm.uploadarchive.raw/RTDC4022/ "%USERPROFILE%\AppData\Local\Temp\OnboardLogs"\RTDC4022\2016-12-01 --exclude "*" --recursive --include "*20161201*" &amp; "%USERPROFILE%\Documents\GitHub\mrs-test-scripts\Headless Mode &amp; Sideloading\WalkAndUnGZ.bat" "%USERPROFILE%\AppData\Local\Temp\OnboardLogs"\RTDC4022\2016-12-01</v>
      </c>
      <c r="AF60" s="88" t="str">
        <f t="shared" si="13"/>
        <v>"C:\Program Files (x86)\AstroGrep\AstroGrep.exe" /spath="%USERPROFILE%\AppData\Local\Temp\OnboardLogs" /stypes="app*4022*20161130*" /stext=" 17:.+((SYSTEM_STATE.+slice.+state.+changed )|(ment ac)|(multiple cpu faults)|(system.+state.+changed )|(\[timeout)|(PRM\|1\|D)|(kpr)|(kdp)|(\|lc)|(penalty))" /e /r /s</v>
      </c>
      <c r="AG60" s="1" t="str">
        <f t="shared" si="14"/>
        <v>EC</v>
      </c>
      <c r="AH60" s="92" t="str">
        <f t="shared" si="17"/>
        <v>"%USERPROFILE%\Documents\GitHub\eaglep3\Utilities\RefineRTDCRunTimes.py" --tripid 147-30 --locoid 4022 --swversion DE.1.0.8.0 --startMP 204:447 --initTime 2016-11-30T09:22:16 --startdatetime 2016-11-30T09:30:31 --delay 1 --endMP 204:233299 --enddatetime 2016-11-30T10:05:22 --enforcementcount 0 &gt;&gt;C:\Users\stu\Documents\GitHub\eaglep3-reporting\EC\2016-11-30-refined-times.txt</v>
      </c>
      <c r="AI60" s="119" t="str">
        <f t="shared" si="18"/>
        <v>echo {"issue":{"subject":"","project_id":79,"tracker_id":40,"status_id":1,"priority_id":2,"assigned_to_id":23,"start_date":"2016-11-30","description":"","custom_fields":[{"id":1,"name":"Subdivision","value":"EC"},{"id":4,"name":"Milepost","value":"23.3299"},{"id":17,"name":"Train ID","value":"147-30"},{"id":16,"name":"Locomotive ID","value":"4022"},{"id":130,"name":"Impact","value":""},{"id":150,"name":"Time of Event (Mountain Time)","value":"10:05:22"},{"id":151,"name":"Denver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610</v>
      </c>
      <c r="B61" s="7">
        <v>4021</v>
      </c>
      <c r="C61" s="22" t="s">
        <v>212</v>
      </c>
      <c r="D61" s="22" t="s">
        <v>312</v>
      </c>
      <c r="E61" s="13">
        <v>42704.43105324074</v>
      </c>
      <c r="F61" s="13">
        <v>42704.434918981482</v>
      </c>
      <c r="G61" s="7">
        <v>1</v>
      </c>
      <c r="H61" s="22" t="s">
        <v>193</v>
      </c>
      <c r="I61" s="13">
        <v>42704.461226851854</v>
      </c>
      <c r="J61" s="7">
        <v>0</v>
      </c>
      <c r="K61" s="109" t="str">
        <f t="shared" si="0"/>
        <v>4021/4022</v>
      </c>
      <c r="L61" s="22" t="str">
        <f>VLOOKUP(A61,'Trips&amp;Operators'!$C$1:$G$99999,5,FALSE)</f>
        <v>DE LA ROSA ALEX</v>
      </c>
      <c r="M61" s="6">
        <f t="shared" si="1"/>
        <v>2.6307870371965691E-2</v>
      </c>
      <c r="N61" s="7">
        <f t="shared" si="19"/>
        <v>37.883333335630596</v>
      </c>
      <c r="O61" s="7"/>
      <c r="P61" s="7"/>
      <c r="Q61" s="23"/>
      <c r="R61" s="23"/>
      <c r="S61" s="35">
        <f t="shared" si="20"/>
        <v>1</v>
      </c>
      <c r="T61" s="50" t="str">
        <f t="shared" si="4"/>
        <v>Southbound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https://search-rtdc-monitor-bjffxe2xuh6vdkpspy63sjmuny.us-east-1.es.amazonaws.com/_plugin/kibana/#/discover/Steve-Slow-Train-Analysis-(2080s-and-2083s)?_g=(refreshInterval:(display:Off,section:0,value:0),time:(from:'2016-11-30 09:20:43-700',mode:absolute,to:'2016-11-30 12:04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61" s="52" t="str">
        <f t="shared" si="6"/>
        <v>N</v>
      </c>
      <c r="X61" s="177">
        <f t="shared" si="21"/>
        <v>1</v>
      </c>
      <c r="Y61" s="67">
        <f t="shared" si="8"/>
        <v>23.298200000000001</v>
      </c>
      <c r="Z61" s="67">
        <f t="shared" si="9"/>
        <v>1.43E-2</v>
      </c>
      <c r="AA61" s="67">
        <f t="shared" si="10"/>
        <v>23.283900000000003</v>
      </c>
      <c r="AB61" s="64" t="e">
        <f>VLOOKUP(A61,Enforcements!$C$7:$K$20,8,0)</f>
        <v>#N/A</v>
      </c>
      <c r="AC61" s="60" t="e">
        <f>VLOOKUP(A61,Enforcements!$C$7:$E$20,3,0)</f>
        <v>#N/A</v>
      </c>
      <c r="AD61" s="61" t="str">
        <f t="shared" si="11"/>
        <v>0148-30</v>
      </c>
      <c r="AE61" s="91" t="str">
        <f t="shared" si="12"/>
        <v>aws s3 cp s3://rtdc.mdm.uploadarchive.raw/RTDC4021/ "%USERPROFILE%\AppData\Local\Temp\OnboardLogs"\RTDC4021\2016-11-30 --exclude "*" --recursive --include "*20161130*" &amp; "%USERPROFILE%\Documents\GitHub\mrs-test-scripts\Headless Mode &amp; Sideloading\WalkAndUnGZ.bat" "%USERPROFILE%\AppData\Local\Temp\OnboardLogs"\RTDC4021\2016-11-30 &amp; aws s3 cp s3://rtdc.mdm.uploadarchive.raw/RTDC4021/ "%USERPROFILE%\AppData\Local\Temp\OnboardLogs"\RTDC4021\2016-12-01 --exclude "*" --recursive --include "*20161201*" &amp; "%USERPROFILE%\Documents\GitHub\mrs-test-scripts\Headless Mode &amp; Sideloading\WalkAndUnGZ.bat" "%USERPROFILE%\AppData\Local\Temp\OnboardLogs"\RTDC4021\2016-12-01</v>
      </c>
      <c r="AF61" s="88" t="str">
        <f t="shared" si="13"/>
        <v>"C:\Program Files (x86)\AstroGrep\AstroGrep.exe" /spath="%USERPROFILE%\AppData\Local\Temp\OnboardLogs" /stypes="app*4021*20161130*" /stext=" 18:.+((SYSTEM_STATE.+slice.+state.+changed )|(ment ac)|(multiple cpu faults)|(system.+state.+changed )|(\[timeout)|(PRM\|1\|D)|(kpr)|(kdp)|(\|lc)|(penalty))" /e /r /s</v>
      </c>
      <c r="AG61" s="1" t="str">
        <f t="shared" si="14"/>
        <v>EC</v>
      </c>
      <c r="AH61" s="92" t="str">
        <f t="shared" si="17"/>
        <v>"%USERPROFILE%\Documents\GitHub\eaglep3\Utilities\RefineRTDCRunTimes.py" --tripid 148-30 --locoid 4021 --swversion DE.1.0.8.0 --startMP 204:232982 --initTime 2016-11-30T10:20:43 --startdatetime 2016-11-30T10:26:17 --delay 1 --endMP 204:143 --enddatetime 2016-11-30T11:04:10 --enforcementcount 0 &gt;&gt;C:\Users\stu\Documents\GitHub\eaglep3-reporting\EC\2016-11-30-refined-times.txt</v>
      </c>
      <c r="AI61" s="119" t="str">
        <f t="shared" si="18"/>
        <v>echo {"issue":{"subject":"","project_id":79,"tracker_id":40,"status_id":1,"priority_id":2,"assigned_to_id":23,"start_date":"2016-11-30","description":"","custom_fields":[{"id":1,"name":"Subdivision","value":"EC"},{"id":4,"name":"Milepost","value":"0.0143"},{"id":17,"name":"Train ID","value":"148-30"},{"id":16,"name":"Locomotive ID","value":"4021"},{"id":130,"name":"Impact","value":""},{"id":150,"name":"Time of Event (Mountain Time)","value":"11:04:10"},{"id":151,"name":"Denver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606</v>
      </c>
      <c r="B62" s="7">
        <v>4011</v>
      </c>
      <c r="C62" s="22" t="s">
        <v>212</v>
      </c>
      <c r="D62" s="22" t="s">
        <v>209</v>
      </c>
      <c r="E62" s="13">
        <v>42704.405277777776</v>
      </c>
      <c r="F62" s="13">
        <v>42704.406793981485</v>
      </c>
      <c r="G62" s="7">
        <v>1</v>
      </c>
      <c r="H62" s="22" t="s">
        <v>322</v>
      </c>
      <c r="I62" s="13">
        <v>42704.431875000002</v>
      </c>
      <c r="J62" s="7">
        <v>0</v>
      </c>
      <c r="K62" s="109" t="str">
        <f t="shared" si="0"/>
        <v>4011/4012</v>
      </c>
      <c r="L62" s="22" t="str">
        <f>VLOOKUP(A62,'Trips&amp;Operators'!$C$1:$G$99999,5,FALSE)</f>
        <v>SPECTOR MICHAEL</v>
      </c>
      <c r="M62" s="6">
        <f t="shared" si="1"/>
        <v>2.5081018517084885E-2</v>
      </c>
      <c r="N62" s="7">
        <f t="shared" si="19"/>
        <v>36.116666664602235</v>
      </c>
      <c r="O62" s="7"/>
      <c r="P62" s="7"/>
      <c r="Q62" s="23"/>
      <c r="R62" s="23"/>
      <c r="S62" s="35">
        <f t="shared" si="20"/>
        <v>1</v>
      </c>
      <c r="T62" s="50" t="str">
        <f t="shared" si="4"/>
        <v>NorthBound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https://search-rtdc-monitor-bjffxe2xuh6vdkpspy63sjmuny.us-east-1.es.amazonaws.com/_plugin/kibana/#/discover/Steve-Slow-Train-Analysis-(2080s-and-2083s)?_g=(refreshInterval:(display:Off,section:0,value:0),time:(from:'2016-11-30 08:43:36-700',mode:absolute,to:'2016-11-30 11:21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62" s="52" t="str">
        <f t="shared" si="6"/>
        <v>N</v>
      </c>
      <c r="X62" s="177">
        <f t="shared" si="21"/>
        <v>1</v>
      </c>
      <c r="Y62" s="67">
        <f t="shared" si="8"/>
        <v>4.6199999999999998E-2</v>
      </c>
      <c r="Z62" s="67">
        <f t="shared" si="9"/>
        <v>23.331900000000001</v>
      </c>
      <c r="AA62" s="67">
        <f t="shared" si="10"/>
        <v>23.285700000000002</v>
      </c>
      <c r="AB62" s="64" t="e">
        <f>VLOOKUP(A62,Enforcements!$C$7:$K$20,8,0)</f>
        <v>#N/A</v>
      </c>
      <c r="AC62" s="60" t="e">
        <f>VLOOKUP(A62,Enforcements!$C$7:$E$20,3,0)</f>
        <v>#N/A</v>
      </c>
      <c r="AD62" s="61" t="str">
        <f t="shared" si="11"/>
        <v>0149-30</v>
      </c>
      <c r="AE62" s="91" t="str">
        <f t="shared" si="12"/>
        <v>aws s3 cp s3://rtdc.mdm.uploadarchive.raw/RTDC4011/ "%USERPROFILE%\AppData\Local\Temp\OnboardLogs"\RTDC4011\2016-11-30 --exclude "*" --recursive --include "*20161130*" &amp; "%USERPROFILE%\Documents\GitHub\mrs-test-scripts\Headless Mode &amp; Sideloading\WalkAndUnGZ.bat" "%USERPROFILE%\AppData\Local\Temp\OnboardLogs"\RTDC4011\2016-11-30 &amp; aws s3 cp s3://rtdc.mdm.uploadarchive.raw/RTDC4011/ "%USERPROFILE%\AppData\Local\Temp\OnboardLogs"\RTDC4011\2016-12-01 --exclude "*" --recursive --include "*20161201*" &amp; "%USERPROFILE%\Documents\GitHub\mrs-test-scripts\Headless Mode &amp; Sideloading\WalkAndUnGZ.bat" "%USERPROFILE%\AppData\Local\Temp\OnboardLogs"\RTDC4011\2016-12-01</v>
      </c>
      <c r="AF62" s="88" t="str">
        <f t="shared" si="13"/>
        <v>"C:\Program Files (x86)\AstroGrep\AstroGrep.exe" /spath="%USERPROFILE%\AppData\Local\Temp\OnboardLogs" /stypes="app*4011*20161130*" /stext=" 17:.+((SYSTEM_STATE.+slice.+state.+changed )|(ment ac)|(multiple cpu faults)|(system.+state.+changed )|(\[timeout)|(PRM\|1\|D)|(kpr)|(kdp)|(\|lc)|(penalty))" /e /r /s</v>
      </c>
      <c r="AG62" s="1" t="str">
        <f t="shared" si="14"/>
        <v>EC</v>
      </c>
      <c r="AH62" s="92" t="str">
        <f t="shared" si="17"/>
        <v>"%USERPROFILE%\Documents\GitHub\eaglep3\Utilities\RefineRTDCRunTimes.py" --tripid 149-30 --locoid 4011 --swversion DE.1.0.8.0 --startMP 204:462 --initTime 2016-11-30T09:43:36 --startdatetime 2016-11-30T09:45:47 --delay 1 --endMP 204:233319 --enddatetime 2016-11-30T10:21:54 --enforcementcount 0 &gt;&gt;C:\Users\stu\Documents\GitHub\eaglep3-reporting\EC\2016-11-30-refined-times.txt</v>
      </c>
      <c r="AI62" s="119" t="str">
        <f t="shared" si="18"/>
        <v>echo {"issue":{"subject":"","project_id":79,"tracker_id":40,"status_id":1,"priority_id":2,"assigned_to_id":23,"start_date":"2016-11-30","description":"","custom_fields":[{"id":1,"name":"Subdivision","value":"EC"},{"id":4,"name":"Milepost","value":"23.3319"},{"id":17,"name":"Train ID","value":"149-30"},{"id":16,"name":"Locomotive ID","value":"4011"},{"id":130,"name":"Impact","value":""},{"id":150,"name":"Time of Event (Mountain Time)","value":"10:21:54"},{"id":151,"name":"Denver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535</v>
      </c>
      <c r="B63" s="7">
        <v>4012</v>
      </c>
      <c r="C63" s="22" t="s">
        <v>212</v>
      </c>
      <c r="D63" s="22" t="s">
        <v>301</v>
      </c>
      <c r="E63" s="13">
        <v>42704.442187499997</v>
      </c>
      <c r="F63" s="13">
        <v>42704.445462962962</v>
      </c>
      <c r="G63" s="7">
        <v>1</v>
      </c>
      <c r="H63" s="22" t="s">
        <v>192</v>
      </c>
      <c r="I63" s="13">
        <v>42704.471863425926</v>
      </c>
      <c r="J63" s="7">
        <v>0</v>
      </c>
      <c r="K63" s="109" t="str">
        <f t="shared" si="0"/>
        <v>4011/4012</v>
      </c>
      <c r="L63" s="22" t="str">
        <f>VLOOKUP(A63,'Trips&amp;Operators'!$C$1:$G$99999,5,FALSE)</f>
        <v>SPECTOR MICHAEL</v>
      </c>
      <c r="M63" s="6">
        <f t="shared" si="1"/>
        <v>2.6400462964375038E-2</v>
      </c>
      <c r="N63" s="7">
        <f t="shared" si="19"/>
        <v>38.016666668700054</v>
      </c>
      <c r="O63" s="7"/>
      <c r="P63" s="7"/>
      <c r="Q63" s="23"/>
      <c r="R63" s="23"/>
      <c r="S63" s="35">
        <f t="shared" si="20"/>
        <v>1</v>
      </c>
      <c r="T63" s="50" t="str">
        <f t="shared" si="4"/>
        <v>Southbound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https://search-rtdc-monitor-bjffxe2xuh6vdkpspy63sjmuny.us-east-1.es.amazonaws.com/_plugin/kibana/#/discover/Steve-Slow-Train-Analysis-(2080s-and-2083s)?_g=(refreshInterval:(display:Off,section:0,value:0),time:(from:'2016-11-30 09:36:45-700',mode:absolute,to:'2016-11-30 12:19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63" s="52" t="str">
        <f t="shared" si="6"/>
        <v>N</v>
      </c>
      <c r="X63" s="177">
        <f t="shared" si="21"/>
        <v>1</v>
      </c>
      <c r="Y63" s="67">
        <f t="shared" si="8"/>
        <v>23.298500000000001</v>
      </c>
      <c r="Z63" s="67">
        <f t="shared" si="9"/>
        <v>1.49E-2</v>
      </c>
      <c r="AA63" s="67">
        <f t="shared" si="10"/>
        <v>23.2836</v>
      </c>
      <c r="AB63" s="64" t="str">
        <f>VLOOKUP(A63,Enforcements!$C$7:$K$20,8,0)</f>
        <v>Bulletin (2)</v>
      </c>
      <c r="AC63" s="60" t="str">
        <f>VLOOKUP(A63,Enforcements!$C$7:$E$20,3,0)</f>
        <v>GRADE CROSSING</v>
      </c>
      <c r="AD63" s="61" t="str">
        <f t="shared" si="11"/>
        <v>0150-30</v>
      </c>
      <c r="AE63" s="91" t="str">
        <f t="shared" si="12"/>
        <v>aws s3 cp s3://rtdc.mdm.uploadarchive.raw/RTDC4012/ "%USERPROFILE%\AppData\Local\Temp\OnboardLogs"\RTDC4012\2016-11-30 --exclude "*" --recursive --include "*20161130*" &amp; "%USERPROFILE%\Documents\GitHub\mrs-test-scripts\Headless Mode &amp; Sideloading\WalkAndUnGZ.bat" "%USERPROFILE%\AppData\Local\Temp\OnboardLogs"\RTDC4012\2016-11-30 &amp; aws s3 cp s3://rtdc.mdm.uploadarchive.raw/RTDC4012/ "%USERPROFILE%\AppData\Local\Temp\OnboardLogs"\RTDC4012\2016-12-01 --exclude "*" --recursive --include "*20161201*" &amp; "%USERPROFILE%\Documents\GitHub\mrs-test-scripts\Headless Mode &amp; Sideloading\WalkAndUnGZ.bat" "%USERPROFILE%\AppData\Local\Temp\OnboardLogs"\RTDC4012\2016-12-01</v>
      </c>
      <c r="AF63" s="88" t="str">
        <f t="shared" si="13"/>
        <v>"C:\Program Files (x86)\AstroGrep\AstroGrep.exe" /spath="%USERPROFILE%\AppData\Local\Temp\OnboardLogs" /stypes="app*4012*20161130*" /stext=" 18:.+((SYSTEM_STATE.+slice.+state.+changed )|(ment ac)|(multiple cpu faults)|(system.+state.+changed )|(\[timeout)|(PRM\|1\|D)|(kpr)|(kdp)|(\|lc)|(penalty))" /e /r /s</v>
      </c>
      <c r="AG63" s="1" t="str">
        <f t="shared" si="14"/>
        <v>EC</v>
      </c>
      <c r="AH63" s="92" t="str">
        <f t="shared" si="17"/>
        <v>"%USERPROFILE%\Documents\GitHub\eaglep3\Utilities\RefineRTDCRunTimes.py" --tripid 150-30 --locoid 4012 --swversion DE.1.0.8.0 --startMP 204:232985 --initTime 2016-11-30T10:36:45 --startdatetime 2016-11-30T10:41:28 --delay 1 --endMP 204:149 --enddatetime 2016-11-30T11:19:29 --enforcementcount 0 &gt;&gt;C:\Users\stu\Documents\GitHub\eaglep3-reporting\EC\2016-11-30-refined-times.txt</v>
      </c>
      <c r="AI63" s="119" t="str">
        <f t="shared" si="18"/>
        <v>echo {"issue":{"subject":"","project_id":79,"tracker_id":40,"status_id":1,"priority_id":2,"assigned_to_id":23,"start_date":"2016-11-30","description":"","custom_fields":[{"id":1,"name":"Subdivision","value":"EC"},{"id":4,"name":"Milepost","value":"0.0149"},{"id":17,"name":"Train ID","value":"150-30"},{"id":16,"name":"Locomotive ID","value":"4012"},{"id":130,"name":"Impact","value":""},{"id":150,"name":"Time of Event (Mountain Time)","value":"11:19:29"},{"id":151,"name":"Denver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607</v>
      </c>
      <c r="B64" s="7">
        <v>4003</v>
      </c>
      <c r="C64" s="22" t="s">
        <v>212</v>
      </c>
      <c r="D64" s="22" t="s">
        <v>775</v>
      </c>
      <c r="E64" s="13">
        <v>42704.413321759261</v>
      </c>
      <c r="F64" s="13">
        <v>42704.416863425926</v>
      </c>
      <c r="G64" s="7">
        <v>1</v>
      </c>
      <c r="H64" s="22" t="s">
        <v>347</v>
      </c>
      <c r="I64" s="13">
        <v>42704.441886574074</v>
      </c>
      <c r="J64" s="7">
        <v>0</v>
      </c>
      <c r="K64" s="109" t="str">
        <f t="shared" si="0"/>
        <v>4003/4004</v>
      </c>
      <c r="L64" s="22" t="str">
        <f>VLOOKUP(A64,'Trips&amp;Operators'!$C$1:$G$99999,5,FALSE)</f>
        <v>KILLION DAVID</v>
      </c>
      <c r="M64" s="6">
        <f t="shared" si="1"/>
        <v>2.5023148147738539E-2</v>
      </c>
      <c r="N64" s="7">
        <f t="shared" si="19"/>
        <v>36.033333332743496</v>
      </c>
      <c r="O64" s="7"/>
      <c r="P64" s="7"/>
      <c r="Q64" s="23"/>
      <c r="R64" s="23"/>
      <c r="S64" s="35">
        <f t="shared" si="20"/>
        <v>1</v>
      </c>
      <c r="T64" s="50" t="str">
        <f t="shared" si="4"/>
        <v>NorthBound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https://search-rtdc-monitor-bjffxe2xuh6vdkpspy63sjmuny.us-east-1.es.amazonaws.com/_plugin/kibana/#/discover/Steve-Slow-Train-Analysis-(2080s-and-2083s)?_g=(refreshInterval:(display:Off,section:0,value:0),time:(from:'2016-11-30 08:55:11-700',mode:absolute,to:'2016-11-30 11:36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64" s="52" t="str">
        <f t="shared" si="6"/>
        <v>N</v>
      </c>
      <c r="X64" s="177">
        <f t="shared" si="21"/>
        <v>1</v>
      </c>
      <c r="Y64" s="67">
        <f t="shared" si="8"/>
        <v>4.7800000000000002E-2</v>
      </c>
      <c r="Z64" s="67">
        <f t="shared" si="9"/>
        <v>23.3276</v>
      </c>
      <c r="AA64" s="67">
        <f t="shared" si="10"/>
        <v>23.279800000000002</v>
      </c>
      <c r="AB64" s="64" t="e">
        <f>VLOOKUP(A64,Enforcements!$C$7:$K$20,8,0)</f>
        <v>#N/A</v>
      </c>
      <c r="AC64" s="60" t="e">
        <f>VLOOKUP(A64,Enforcements!$C$7:$E$20,3,0)</f>
        <v>#N/A</v>
      </c>
      <c r="AD64" s="61" t="str">
        <f t="shared" si="11"/>
        <v>0151-30</v>
      </c>
      <c r="AE64" s="91" t="str">
        <f t="shared" si="12"/>
        <v>aws s3 cp s3://rtdc.mdm.uploadarchive.raw/RTDC4003/ "%USERPROFILE%\AppData\Local\Temp\OnboardLogs"\RTDC4003\2016-11-30 --exclude "*" --recursive --include "*20161130*" &amp; "%USERPROFILE%\Documents\GitHub\mrs-test-scripts\Headless Mode &amp; Sideloading\WalkAndUnGZ.bat" "%USERPROFILE%\AppData\Local\Temp\OnboardLogs"\RTDC4003\2016-11-30 &amp; aws s3 cp s3://rtdc.mdm.uploadarchive.raw/RTDC4003/ "%USERPROFILE%\AppData\Local\Temp\OnboardLogs"\RTDC4003\2016-12-01 --exclude "*" --recursive --include "*20161201*" &amp; "%USERPROFILE%\Documents\GitHub\mrs-test-scripts\Headless Mode &amp; Sideloading\WalkAndUnGZ.bat" "%USERPROFILE%\AppData\Local\Temp\OnboardLogs"\RTDC4003\2016-12-01</v>
      </c>
      <c r="AF64" s="88" t="str">
        <f t="shared" si="13"/>
        <v>"C:\Program Files (x86)\AstroGrep\AstroGrep.exe" /spath="%USERPROFILE%\AppData\Local\Temp\OnboardLogs" /stypes="app*4003*20161130*" /stext=" 17:.+((SYSTEM_STATE.+slice.+state.+changed )|(ment ac)|(multiple cpu faults)|(system.+state.+changed )|(\[timeout)|(PRM\|1\|D)|(kpr)|(kdp)|(\|lc)|(penalty))" /e /r /s</v>
      </c>
      <c r="AG64" s="1" t="str">
        <f t="shared" si="14"/>
        <v>EC</v>
      </c>
      <c r="AH64" s="92" t="str">
        <f t="shared" si="17"/>
        <v>"%USERPROFILE%\Documents\GitHub\eaglep3\Utilities\RefineRTDCRunTimes.py" --tripid 151-30 --locoid 4003 --swversion DE.1.0.8.0 --startMP 204:478 --initTime 2016-11-30T09:55:11 --startdatetime 2016-11-30T10:00:17 --delay 1 --endMP 204:233276 --enddatetime 2016-11-30T10:36:19 --enforcementcount 0 &gt;&gt;C:\Users\stu\Documents\GitHub\eaglep3-reporting\EC\2016-11-30-refined-times.txt</v>
      </c>
      <c r="AI64" s="119" t="str">
        <f t="shared" si="18"/>
        <v>echo {"issue":{"subject":"","project_id":79,"tracker_id":40,"status_id":1,"priority_id":2,"assigned_to_id":23,"start_date":"2016-11-30","description":"","custom_fields":[{"id":1,"name":"Subdivision","value":"EC"},{"id":4,"name":"Milepost","value":"23.3276"},{"id":17,"name":"Train ID","value":"151-30"},{"id":16,"name":"Locomotive ID","value":"4003"},{"id":130,"name":"Impact","value":""},{"id":150,"name":"Time of Event (Mountain Time)","value":"10:36:19"},{"id":151,"name":"Denver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614</v>
      </c>
      <c r="B65" s="7">
        <v>4004</v>
      </c>
      <c r="C65" s="22" t="s">
        <v>212</v>
      </c>
      <c r="D65" s="22" t="s">
        <v>238</v>
      </c>
      <c r="E65" s="13">
        <v>42704.449143518519</v>
      </c>
      <c r="F65" s="13">
        <v>42704.456006944441</v>
      </c>
      <c r="G65" s="7">
        <v>1</v>
      </c>
      <c r="H65" s="22" t="s">
        <v>243</v>
      </c>
      <c r="I65" s="13">
        <v>42704.481840277775</v>
      </c>
      <c r="J65" s="7">
        <v>0</v>
      </c>
      <c r="K65" s="109" t="str">
        <f t="shared" si="0"/>
        <v>4003/4004</v>
      </c>
      <c r="L65" s="22" t="str">
        <f>VLOOKUP(A65,'Trips&amp;Operators'!$C$1:$G$99999,5,FALSE)</f>
        <v>KILLION DAVID</v>
      </c>
      <c r="M65" s="6">
        <f t="shared" si="1"/>
        <v>2.5833333333139308E-2</v>
      </c>
      <c r="N65" s="7">
        <f t="shared" si="19"/>
        <v>37.199999999720603</v>
      </c>
      <c r="O65" s="7"/>
      <c r="P65" s="7"/>
      <c r="Q65" s="23"/>
      <c r="R65" s="23"/>
      <c r="S65" s="35">
        <f t="shared" si="20"/>
        <v>1</v>
      </c>
      <c r="T65" s="50" t="str">
        <f t="shared" si="4"/>
        <v>Southbound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https://search-rtdc-monitor-bjffxe2xuh6vdkpspy63sjmuny.us-east-1.es.amazonaws.com/_plugin/kibana/#/discover/Steve-Slow-Train-Analysis-(2080s-and-2083s)?_g=(refreshInterval:(display:Off,section:0,value:0),time:(from:'2016-11-30 09:46:46-700',mode:absolute,to:'2016-11-30 12:33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65" s="52" t="str">
        <f t="shared" si="6"/>
        <v>N</v>
      </c>
      <c r="X65" s="177">
        <f t="shared" si="21"/>
        <v>1</v>
      </c>
      <c r="Y65" s="67">
        <f t="shared" si="8"/>
        <v>23.297499999999999</v>
      </c>
      <c r="Z65" s="67">
        <f t="shared" si="9"/>
        <v>1.47E-2</v>
      </c>
      <c r="AA65" s="67">
        <f t="shared" si="10"/>
        <v>23.282799999999998</v>
      </c>
      <c r="AB65" s="64" t="e">
        <f>VLOOKUP(A65,Enforcements!$C$7:$K$20,8,0)</f>
        <v>#N/A</v>
      </c>
      <c r="AC65" s="60" t="e">
        <f>VLOOKUP(A65,Enforcements!$C$7:$E$20,3,0)</f>
        <v>#N/A</v>
      </c>
      <c r="AD65" s="61" t="str">
        <f t="shared" si="11"/>
        <v>0152-30</v>
      </c>
      <c r="AE65" s="91" t="str">
        <f t="shared" si="12"/>
        <v>aws s3 cp s3://rtdc.mdm.uploadarchive.raw/RTDC4004/ "%USERPROFILE%\AppData\Local\Temp\OnboardLogs"\RTDC4004\2016-11-30 --exclude "*" --recursive --include "*20161130*" &amp; "%USERPROFILE%\Documents\GitHub\mrs-test-scripts\Headless Mode &amp; Sideloading\WalkAndUnGZ.bat" "%USERPROFILE%\AppData\Local\Temp\OnboardLogs"\RTDC4004\2016-11-30 &amp; aws s3 cp s3://rtdc.mdm.uploadarchive.raw/RTDC4004/ "%USERPROFILE%\AppData\Local\Temp\OnboardLogs"\RTDC4004\2016-12-01 --exclude "*" --recursive --include "*20161201*" &amp; "%USERPROFILE%\Documents\GitHub\mrs-test-scripts\Headless Mode &amp; Sideloading\WalkAndUnGZ.bat" "%USERPROFILE%\AppData\Local\Temp\OnboardLogs"\RTDC4004\2016-12-01</v>
      </c>
      <c r="AF65" s="88" t="str">
        <f t="shared" si="13"/>
        <v>"C:\Program Files (x86)\AstroGrep\AstroGrep.exe" /spath="%USERPROFILE%\AppData\Local\Temp\OnboardLogs" /stypes="app*4004*20161130*" /stext=" 18:.+((SYSTEM_STATE.+slice.+state.+changed )|(ment ac)|(multiple cpu faults)|(system.+state.+changed )|(\[timeout)|(PRM\|1\|D)|(kpr)|(kdp)|(\|lc)|(penalty))" /e /r /s</v>
      </c>
      <c r="AG65" s="1" t="str">
        <f t="shared" si="14"/>
        <v>EC</v>
      </c>
      <c r="AH65" s="92" t="str">
        <f t="shared" si="17"/>
        <v>"%USERPROFILE%\Documents\GitHub\eaglep3\Utilities\RefineRTDCRunTimes.py" --tripid 152-30 --locoid 4004 --swversion DE.1.0.8.0 --startMP 204:232975 --initTime 2016-11-30T10:46:46 --startdatetime 2016-11-30T10:56:39 --delay 1 --endMP 204:147 --enddatetime 2016-11-30T11:33:51 --enforcementcount 0 &gt;&gt;C:\Users\stu\Documents\GitHub\eaglep3-reporting\EC\2016-11-30-refined-times.txt</v>
      </c>
      <c r="AI65" s="119" t="str">
        <f t="shared" si="18"/>
        <v>echo {"issue":{"subject":"","project_id":79,"tracker_id":40,"status_id":1,"priority_id":2,"assigned_to_id":23,"start_date":"2016-11-30","description":"","custom_fields":[{"id":1,"name":"Subdivision","value":"EC"},{"id":4,"name":"Milepost","value":"0.0147"},{"id":17,"name":"Train ID","value":"152-30"},{"id":16,"name":"Locomotive ID","value":"4004"},{"id":130,"name":"Impact","value":""},{"id":150,"name":"Time of Event (Mountain Time)","value":"11:33:51"},{"id":151,"name":"Denver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609</v>
      </c>
      <c r="B66" s="7">
        <v>4038</v>
      </c>
      <c r="C66" s="22" t="s">
        <v>212</v>
      </c>
      <c r="D66" s="22" t="s">
        <v>194</v>
      </c>
      <c r="E66" s="13">
        <v>42704.421076388891</v>
      </c>
      <c r="F66" s="13">
        <v>42704.427268518521</v>
      </c>
      <c r="G66" s="7">
        <v>1</v>
      </c>
      <c r="H66" s="22" t="s">
        <v>263</v>
      </c>
      <c r="I66" s="13">
        <v>42704.451215277775</v>
      </c>
      <c r="J66" s="7">
        <v>0</v>
      </c>
      <c r="K66" s="109" t="str">
        <f t="shared" si="0"/>
        <v>4037/4038</v>
      </c>
      <c r="L66" s="22" t="str">
        <f>VLOOKUP(A66,'Trips&amp;Operators'!$C$1:$G$99999,5,FALSE)</f>
        <v>SAFIEF AEIMEN</v>
      </c>
      <c r="M66" s="6">
        <f t="shared" si="1"/>
        <v>2.3946759254613426E-2</v>
      </c>
      <c r="N66" s="7">
        <f t="shared" ref="N66:N97" si="22">24*60*SUM($M66:$M66)</f>
        <v>34.483333326643333</v>
      </c>
      <c r="O66" s="7"/>
      <c r="P66" s="7"/>
      <c r="Q66" s="23"/>
      <c r="R66" s="23"/>
      <c r="S66" s="35">
        <f t="shared" ref="S66:S97" si="23">SUM(U66:U66)/IF(AG66="EC",12,1)</f>
        <v>1</v>
      </c>
      <c r="T66" s="50" t="str">
        <f t="shared" si="4"/>
        <v>NorthBound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https://search-rtdc-monitor-bjffxe2xuh6vdkpspy63sjmuny.us-east-1.es.amazonaws.com/_plugin/kibana/#/discover/Steve-Slow-Train-Analysis-(2080s-and-2083s)?_g=(refreshInterval:(display:Off,section:0,value:0),time:(from:'2016-11-30 09:06:21-700',mode:absolute,to:'2016-11-30 11:49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66" s="52" t="str">
        <f t="shared" si="6"/>
        <v>N</v>
      </c>
      <c r="X66" s="177">
        <f t="shared" si="21"/>
        <v>1</v>
      </c>
      <c r="Y66" s="67">
        <f t="shared" si="8"/>
        <v>4.4699999999999997E-2</v>
      </c>
      <c r="Z66" s="67">
        <f t="shared" si="9"/>
        <v>23.3306</v>
      </c>
      <c r="AA66" s="67">
        <f t="shared" si="10"/>
        <v>23.285900000000002</v>
      </c>
      <c r="AB66" s="64" t="e">
        <f>VLOOKUP(A66,Enforcements!$C$7:$K$20,8,0)</f>
        <v>#N/A</v>
      </c>
      <c r="AC66" s="60" t="e">
        <f>VLOOKUP(A66,Enforcements!$C$7:$E$20,3,0)</f>
        <v>#N/A</v>
      </c>
      <c r="AD66" s="61" t="str">
        <f t="shared" si="11"/>
        <v>0153-30</v>
      </c>
      <c r="AE66" s="91" t="str">
        <f t="shared" si="12"/>
        <v>aws s3 cp s3://rtdc.mdm.uploadarchive.raw/RTDC4038/ "%USERPROFILE%\AppData\Local\Temp\OnboardLogs"\RTDC4038\2016-11-30 --exclude "*" --recursive --include "*20161130*" &amp; "%USERPROFILE%\Documents\GitHub\mrs-test-scripts\Headless Mode &amp; Sideloading\WalkAndUnGZ.bat" "%USERPROFILE%\AppData\Local\Temp\OnboardLogs"\RTDC4038\2016-11-30 &amp; aws s3 cp s3://rtdc.mdm.uploadarchive.raw/RTDC4038/ "%USERPROFILE%\AppData\Local\Temp\OnboardLogs"\RTDC4038\2016-12-01 --exclude "*" --recursive --include "*20161201*" &amp; "%USERPROFILE%\Documents\GitHub\mrs-test-scripts\Headless Mode &amp; Sideloading\WalkAndUnGZ.bat" "%USERPROFILE%\AppData\Local\Temp\OnboardLogs"\RTDC4038\2016-12-01</v>
      </c>
      <c r="AF66" s="88" t="str">
        <f t="shared" si="13"/>
        <v>"C:\Program Files (x86)\AstroGrep\AstroGrep.exe" /spath="%USERPROFILE%\AppData\Local\Temp\OnboardLogs" /stypes="app*4038*20161130*" /stext=" 17:.+((SYSTEM_STATE.+slice.+state.+changed )|(ment ac)|(multiple cpu faults)|(system.+state.+changed )|(\[timeout)|(PRM\|1\|D)|(kpr)|(kdp)|(\|lc)|(penalty))" /e /r /s</v>
      </c>
      <c r="AG66" s="1" t="str">
        <f t="shared" si="14"/>
        <v>EC</v>
      </c>
      <c r="AH66" s="92" t="str">
        <f t="shared" si="17"/>
        <v>"%USERPROFILE%\Documents\GitHub\eaglep3\Utilities\RefineRTDCRunTimes.py" --tripid 153-30 --locoid 4038 --swversion DE.1.0.8.0 --startMP 204:447 --initTime 2016-11-30T10:06:21 --startdatetime 2016-11-30T10:15:16 --delay 1 --endMP 204:233306 --enddatetime 2016-11-30T10:49:45 --enforcementcount 0 &gt;&gt;C:\Users\stu\Documents\GitHub\eaglep3-reporting\EC\2016-11-30-refined-times.txt</v>
      </c>
      <c r="AI66" s="119" t="str">
        <f t="shared" si="18"/>
        <v>echo {"issue":{"subject":"","project_id":79,"tracker_id":40,"status_id":1,"priority_id":2,"assigned_to_id":23,"start_date":"2016-11-30","description":"","custom_fields":[{"id":1,"name":"Subdivision","value":"EC"},{"id":4,"name":"Milepost","value":"23.3306"},{"id":17,"name":"Train ID","value":"153-30"},{"id":16,"name":"Locomotive ID","value":"4038"},{"id":130,"name":"Impact","value":""},{"id":150,"name":"Time of Event (Mountain Time)","value":"10:49:45"},{"id":151,"name":"Denver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616</v>
      </c>
      <c r="B67" s="7">
        <v>4037</v>
      </c>
      <c r="C67" s="22" t="s">
        <v>212</v>
      </c>
      <c r="D67" s="22" t="s">
        <v>241</v>
      </c>
      <c r="E67" s="13">
        <v>42704.453668981485</v>
      </c>
      <c r="F67" s="13">
        <v>42704.466192129628</v>
      </c>
      <c r="G67" s="7">
        <v>1</v>
      </c>
      <c r="H67" s="22" t="s">
        <v>498</v>
      </c>
      <c r="I67" s="13">
        <v>42704.492199074077</v>
      </c>
      <c r="J67" s="7">
        <v>0</v>
      </c>
      <c r="K67" s="109" t="str">
        <f t="shared" si="0"/>
        <v>4037/4038</v>
      </c>
      <c r="L67" s="22" t="str">
        <f>VLOOKUP(A67,'Trips&amp;Operators'!$C$1:$G$99999,5,FALSE)</f>
        <v>SAFIEF AEIMEN</v>
      </c>
      <c r="M67" s="6">
        <f t="shared" si="1"/>
        <v>2.6006944448454306E-2</v>
      </c>
      <c r="N67" s="7">
        <f t="shared" si="22"/>
        <v>37.4500000057742</v>
      </c>
      <c r="O67" s="7"/>
      <c r="P67" s="7"/>
      <c r="Q67" s="23"/>
      <c r="R67" s="23"/>
      <c r="S67" s="35">
        <f t="shared" si="23"/>
        <v>1</v>
      </c>
      <c r="T67" s="50" t="str">
        <f t="shared" si="4"/>
        <v>Southbound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https://search-rtdc-monitor-bjffxe2xuh6vdkpspy63sjmuny.us-east-1.es.amazonaws.com/_plugin/kibana/#/discover/Steve-Slow-Train-Analysis-(2080s-and-2083s)?_g=(refreshInterval:(display:Off,section:0,value:0),time:(from:'2016-11-30 09:53:17-700',mode:absolute,to:'2016-11-30 12:48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67" s="52" t="str">
        <f t="shared" si="6"/>
        <v>N</v>
      </c>
      <c r="X67" s="177">
        <f t="shared" si="21"/>
        <v>1</v>
      </c>
      <c r="Y67" s="67">
        <f t="shared" si="8"/>
        <v>23.299800000000001</v>
      </c>
      <c r="Z67" s="67">
        <f t="shared" si="9"/>
        <v>1.6899999999999998E-2</v>
      </c>
      <c r="AA67" s="67">
        <f t="shared" si="10"/>
        <v>23.282900000000001</v>
      </c>
      <c r="AB67" s="64" t="e">
        <f>VLOOKUP(A67,Enforcements!$C$7:$K$20,8,0)</f>
        <v>#N/A</v>
      </c>
      <c r="AC67" s="60" t="e">
        <f>VLOOKUP(A67,Enforcements!$C$7:$E$20,3,0)</f>
        <v>#N/A</v>
      </c>
      <c r="AD67" s="61" t="str">
        <f t="shared" si="11"/>
        <v>0154-30</v>
      </c>
      <c r="AE67" s="91" t="str">
        <f t="shared" si="12"/>
        <v>aws s3 cp s3://rtdc.mdm.uploadarchive.raw/RTDC4037/ "%USERPROFILE%\AppData\Local\Temp\OnboardLogs"\RTDC4037\2016-11-30 --exclude "*" --recursive --include "*20161130*" &amp; "%USERPROFILE%\Documents\GitHub\mrs-test-scripts\Headless Mode &amp; Sideloading\WalkAndUnGZ.bat" "%USERPROFILE%\AppData\Local\Temp\OnboardLogs"\RTDC4037\2016-11-30 &amp; aws s3 cp s3://rtdc.mdm.uploadarchive.raw/RTDC4037/ "%USERPROFILE%\AppData\Local\Temp\OnboardLogs"\RTDC4037\2016-12-01 --exclude "*" --recursive --include "*20161201*" &amp; "%USERPROFILE%\Documents\GitHub\mrs-test-scripts\Headless Mode &amp; Sideloading\WalkAndUnGZ.bat" "%USERPROFILE%\AppData\Local\Temp\OnboardLogs"\RTDC4037\2016-12-01</v>
      </c>
      <c r="AF67" s="88" t="str">
        <f t="shared" si="13"/>
        <v>"C:\Program Files (x86)\AstroGrep\AstroGrep.exe" /spath="%USERPROFILE%\AppData\Local\Temp\OnboardLogs" /stypes="app*4037*20161130*" /stext=" 18:.+((SYSTEM_STATE.+slice.+state.+changed )|(ment ac)|(multiple cpu faults)|(system.+state.+changed )|(\[timeout)|(PRM\|1\|D)|(kpr)|(kdp)|(\|lc)|(penalty))" /e /r /s</v>
      </c>
      <c r="AG67" s="1" t="str">
        <f t="shared" si="14"/>
        <v>EC</v>
      </c>
      <c r="AH67" s="92" t="str">
        <f t="shared" si="17"/>
        <v>"%USERPROFILE%\Documents\GitHub\eaglep3\Utilities\RefineRTDCRunTimes.py" --tripid 154-30 --locoid 4037 --swversion DE.1.0.8.0 --startMP 204:232998 --initTime 2016-11-30T10:53:17 --startdatetime 2016-11-30T11:11:19 --delay 1 --endMP 204:169 --enddatetime 2016-11-30T11:48:46 --enforcementcount 0 &gt;&gt;C:\Users\stu\Documents\GitHub\eaglep3-reporting\EC\2016-11-30-refined-times.txt</v>
      </c>
      <c r="AI67" s="119" t="str">
        <f t="shared" si="18"/>
        <v>echo {"issue":{"subject":"","project_id":79,"tracker_id":40,"status_id":1,"priority_id":2,"assigned_to_id":23,"start_date":"2016-11-30","description":"","custom_fields":[{"id":1,"name":"Subdivision","value":"EC"},{"id":4,"name":"Milepost","value":"0.0169"},{"id":17,"name":"Train ID","value":"154-30"},{"id":16,"name":"Locomotive ID","value":"4037"},{"id":130,"name":"Impact","value":""},{"id":150,"name":"Time of Event (Mountain Time)","value":"11:48:46"},{"id":151,"name":"Denver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611</v>
      </c>
      <c r="B68" s="7">
        <v>4044</v>
      </c>
      <c r="C68" s="22" t="s">
        <v>212</v>
      </c>
      <c r="D68" s="22" t="s">
        <v>500</v>
      </c>
      <c r="E68" s="13">
        <v>42704.431967592594</v>
      </c>
      <c r="F68" s="13">
        <v>42704.438101851854</v>
      </c>
      <c r="G68" s="7">
        <v>3</v>
      </c>
      <c r="H68" s="22" t="s">
        <v>328</v>
      </c>
      <c r="I68" s="13">
        <v>42704.462754629632</v>
      </c>
      <c r="J68" s="7">
        <v>0</v>
      </c>
      <c r="K68" s="109" t="str">
        <f t="shared" si="0"/>
        <v>4043/4044</v>
      </c>
      <c r="L68" s="22" t="str">
        <f>VLOOKUP(A68,'Trips&amp;Operators'!$C$1:$G$99999,5,FALSE)</f>
        <v>STARKS ANGELINA</v>
      </c>
      <c r="M68" s="6">
        <f t="shared" si="1"/>
        <v>2.4652777778101154E-2</v>
      </c>
      <c r="N68" s="7">
        <f t="shared" si="22"/>
        <v>35.500000000465661</v>
      </c>
      <c r="O68" s="7"/>
      <c r="P68" s="7"/>
      <c r="Q68" s="23"/>
      <c r="R68" s="23"/>
      <c r="S68" s="35">
        <f t="shared" si="23"/>
        <v>1</v>
      </c>
      <c r="T68" s="50" t="str">
        <f t="shared" si="4"/>
        <v>NorthBound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https://search-rtdc-monitor-bjffxe2xuh6vdkpspy63sjmuny.us-east-1.es.amazonaws.com/_plugin/kibana/#/discover/Steve-Slow-Train-Analysis-(2080s-and-2083s)?_g=(refreshInterval:(display:Off,section:0,value:0),time:(from:'2016-11-30 09:22:02-700',mode:absolute,to:'2016-11-30 12:06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68" s="52" t="str">
        <f t="shared" si="6"/>
        <v>N</v>
      </c>
      <c r="X68" s="177">
        <f t="shared" si="21"/>
        <v>1</v>
      </c>
      <c r="Y68" s="67">
        <f t="shared" si="8"/>
        <v>4.3099999999999999E-2</v>
      </c>
      <c r="Z68" s="67">
        <f t="shared" si="9"/>
        <v>23.329699999999999</v>
      </c>
      <c r="AA68" s="67">
        <f t="shared" si="10"/>
        <v>23.2866</v>
      </c>
      <c r="AB68" s="64" t="e">
        <f>VLOOKUP(A68,Enforcements!$C$7:$K$20,8,0)</f>
        <v>#N/A</v>
      </c>
      <c r="AC68" s="60" t="e">
        <f>VLOOKUP(A68,Enforcements!$C$7:$E$20,3,0)</f>
        <v>#N/A</v>
      </c>
      <c r="AD68" s="61" t="str">
        <f t="shared" si="11"/>
        <v>0155-30</v>
      </c>
      <c r="AE68" s="91" t="str">
        <f t="shared" si="12"/>
        <v>aws s3 cp s3://rtdc.mdm.uploadarchive.raw/RTDC4044/ "%USERPROFILE%\AppData\Local\Temp\OnboardLogs"\RTDC4044\2016-11-30 --exclude "*" --recursive --include "*20161130*" &amp; "%USERPROFILE%\Documents\GitHub\mrs-test-scripts\Headless Mode &amp; Sideloading\WalkAndUnGZ.bat" "%USERPROFILE%\AppData\Local\Temp\OnboardLogs"\RTDC4044\2016-11-30 &amp; aws s3 cp s3://rtdc.mdm.uploadarchive.raw/RTDC4044/ "%USERPROFILE%\AppData\Local\Temp\OnboardLogs"\RTDC4044\2016-12-01 --exclude "*" --recursive --include "*20161201*" &amp; "%USERPROFILE%\Documents\GitHub\mrs-test-scripts\Headless Mode &amp; Sideloading\WalkAndUnGZ.bat" "%USERPROFILE%\AppData\Local\Temp\OnboardLogs"\RTDC4044\2016-12-01</v>
      </c>
      <c r="AF68" s="88" t="str">
        <f t="shared" si="13"/>
        <v>"C:\Program Files (x86)\AstroGrep\AstroGrep.exe" /spath="%USERPROFILE%\AppData\Local\Temp\OnboardLogs" /stypes="app*4044*20161130*" /stext=" 18:.+((SYSTEM_STATE.+slice.+state.+changed )|(ment ac)|(multiple cpu faults)|(system.+state.+changed )|(\[timeout)|(PRM\|1\|D)|(kpr)|(kdp)|(\|lc)|(penalty))" /e /r /s</v>
      </c>
      <c r="AG68" s="1" t="str">
        <f t="shared" si="14"/>
        <v>EC</v>
      </c>
      <c r="AH68" s="92" t="str">
        <f t="shared" si="17"/>
        <v>"%USERPROFILE%\Documents\GitHub\eaglep3\Utilities\RefineRTDCRunTimes.py" --tripid 155-30 --locoid 4044 --swversion DE.1.0.8.0 --startMP 204:431 --initTime 2016-11-30T10:22:02 --startdatetime 2016-11-30T10:30:52 --delay 3 --endMP 204:233297 --enddatetime 2016-11-30T11:06:22 --enforcementcount 0 &gt;&gt;C:\Users\stu\Documents\GitHub\eaglep3-reporting\EC\2016-11-30-refined-times.txt</v>
      </c>
      <c r="AI68" s="119" t="str">
        <f t="shared" si="18"/>
        <v>echo {"issue":{"subject":"","project_id":79,"tracker_id":40,"status_id":1,"priority_id":2,"assigned_to_id":23,"start_date":"2016-11-30","description":"","custom_fields":[{"id":1,"name":"Subdivision","value":"EC"},{"id":4,"name":"Milepost","value":"23.3297"},{"id":17,"name":"Train ID","value":"155-30"},{"id":16,"name":"Locomotive ID","value":"4044"},{"id":130,"name":"Impact","value":""},{"id":150,"name":"Time of Event (Mountain Time)","value":"11:06:22"},{"id":151,"name":"Denver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619</v>
      </c>
      <c r="B69" s="7">
        <v>4043</v>
      </c>
      <c r="C69" s="22" t="s">
        <v>212</v>
      </c>
      <c r="D69" s="22" t="s">
        <v>275</v>
      </c>
      <c r="E69" s="13">
        <v>42704.472094907411</v>
      </c>
      <c r="F69" s="13">
        <v>42704.476678240739</v>
      </c>
      <c r="G69" s="7">
        <v>2</v>
      </c>
      <c r="H69" s="22" t="s">
        <v>243</v>
      </c>
      <c r="I69" s="13">
        <v>42704.50439814815</v>
      </c>
      <c r="J69" s="7">
        <v>0</v>
      </c>
      <c r="K69" s="109" t="str">
        <f t="shared" si="0"/>
        <v>4043/4044</v>
      </c>
      <c r="L69" s="22" t="str">
        <f>VLOOKUP(A69,'Trips&amp;Operators'!$C$1:$G$99999,5,FALSE)</f>
        <v>STARKS ANGELINA</v>
      </c>
      <c r="M69" s="6">
        <f t="shared" si="1"/>
        <v>2.771990741166519E-2</v>
      </c>
      <c r="N69" s="7">
        <f t="shared" si="22"/>
        <v>39.916666672797874</v>
      </c>
      <c r="O69" s="7"/>
      <c r="P69" s="7"/>
      <c r="Q69" s="23"/>
      <c r="R69" s="23"/>
      <c r="S69" s="35">
        <f t="shared" si="23"/>
        <v>1</v>
      </c>
      <c r="T69" s="50" t="str">
        <f t="shared" si="4"/>
        <v>Southbound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https://search-rtdc-monitor-bjffxe2xuh6vdkpspy63sjmuny.us-east-1.es.amazonaws.com/_plugin/kibana/#/discover/Steve-Slow-Train-Analysis-(2080s-and-2083s)?_g=(refreshInterval:(display:Off,section:0,value:0),time:(from:'2016-11-30 10:19:49-700',mode:absolute,to:'2016-11-30 13:06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69" s="52" t="str">
        <f t="shared" si="6"/>
        <v>N</v>
      </c>
      <c r="X69" s="177">
        <f t="shared" si="21"/>
        <v>1</v>
      </c>
      <c r="Y69" s="67">
        <f t="shared" si="8"/>
        <v>23.297999999999998</v>
      </c>
      <c r="Z69" s="67">
        <f t="shared" si="9"/>
        <v>1.47E-2</v>
      </c>
      <c r="AA69" s="67">
        <f t="shared" si="10"/>
        <v>23.283299999999997</v>
      </c>
      <c r="AB69" s="64" t="e">
        <f>VLOOKUP(A69,Enforcements!$C$7:$K$20,8,0)</f>
        <v>#N/A</v>
      </c>
      <c r="AC69" s="60" t="e">
        <f>VLOOKUP(A69,Enforcements!$C$7:$E$20,3,0)</f>
        <v>#N/A</v>
      </c>
      <c r="AD69" s="61" t="str">
        <f t="shared" si="11"/>
        <v>0156-30</v>
      </c>
      <c r="AE69" s="91" t="str">
        <f t="shared" si="12"/>
        <v>aws s3 cp s3://rtdc.mdm.uploadarchive.raw/RTDC4043/ "%USERPROFILE%\AppData\Local\Temp\OnboardLogs"\RTDC4043\2016-11-30 --exclude "*" --recursive --include "*20161130*" &amp; "%USERPROFILE%\Documents\GitHub\mrs-test-scripts\Headless Mode &amp; Sideloading\WalkAndUnGZ.bat" "%USERPROFILE%\AppData\Local\Temp\OnboardLogs"\RTDC4043\2016-11-30 &amp; aws s3 cp s3://rtdc.mdm.uploadarchive.raw/RTDC4043/ "%USERPROFILE%\AppData\Local\Temp\OnboardLogs"\RTDC4043\2016-12-01 --exclude "*" --recursive --include "*20161201*" &amp; "%USERPROFILE%\Documents\GitHub\mrs-test-scripts\Headless Mode &amp; Sideloading\WalkAndUnGZ.bat" "%USERPROFILE%\AppData\Local\Temp\OnboardLogs"\RTDC4043\2016-12-01</v>
      </c>
      <c r="AF69" s="88" t="str">
        <f t="shared" si="13"/>
        <v>"C:\Program Files (x86)\AstroGrep\AstroGrep.exe" /spath="%USERPROFILE%\AppData\Local\Temp\OnboardLogs" /stypes="app*4043*20161130*" /stext=" 19:.+((SYSTEM_STATE.+slice.+state.+changed )|(ment ac)|(multiple cpu faults)|(system.+state.+changed )|(\[timeout)|(PRM\|1\|D)|(kpr)|(kdp)|(\|lc)|(penalty))" /e /r /s</v>
      </c>
      <c r="AG69" s="1" t="str">
        <f t="shared" si="14"/>
        <v>EC</v>
      </c>
      <c r="AH69" s="92" t="str">
        <f t="shared" si="17"/>
        <v>"%USERPROFILE%\Documents\GitHub\eaglep3\Utilities\RefineRTDCRunTimes.py" --tripid 156-30 --locoid 4043 --swversion DE.1.0.8.0 --startMP 204:232980 --initTime 2016-11-30T11:19:49 --startdatetime 2016-11-30T11:26:25 --delay 2 --endMP 204:147 --enddatetime 2016-11-30T12:06:20 --enforcementcount 0 &gt;&gt;C:\Users\stu\Documents\GitHub\eaglep3-reporting\EC\2016-11-30-refined-times.txt</v>
      </c>
      <c r="AI69" s="119" t="str">
        <f t="shared" si="18"/>
        <v>echo {"issue":{"subject":"","project_id":79,"tracker_id":40,"status_id":1,"priority_id":2,"assigned_to_id":23,"start_date":"2016-11-30","description":"","custom_fields":[{"id":1,"name":"Subdivision","value":"EC"},{"id":4,"name":"Milepost","value":"0.0147"},{"id":17,"name":"Train ID","value":"156-30"},{"id":16,"name":"Locomotive ID","value":"4043"},{"id":130,"name":"Impact","value":""},{"id":150,"name":"Time of Event (Mountain Time)","value":"12:06:20"},{"id":151,"name":"Denver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612</v>
      </c>
      <c r="B70" s="7">
        <v>4031</v>
      </c>
      <c r="C70" s="22" t="s">
        <v>212</v>
      </c>
      <c r="D70" s="22" t="s">
        <v>233</v>
      </c>
      <c r="E70" s="13">
        <v>42704.442071759258</v>
      </c>
      <c r="F70" s="13">
        <v>42704.448067129626</v>
      </c>
      <c r="G70" s="7">
        <v>1</v>
      </c>
      <c r="H70" s="22" t="s">
        <v>246</v>
      </c>
      <c r="I70" s="13">
        <v>42704.47247685185</v>
      </c>
      <c r="J70" s="7">
        <v>0</v>
      </c>
      <c r="K70" s="109" t="str">
        <f t="shared" si="0"/>
        <v>4031/4032</v>
      </c>
      <c r="L70" s="22" t="str">
        <f>VLOOKUP(A70,'Trips&amp;Operators'!$C$1:$G$99999,5,FALSE)</f>
        <v>PERKINS DARREN</v>
      </c>
      <c r="M70" s="6">
        <f t="shared" si="1"/>
        <v>2.4409722223936114E-2</v>
      </c>
      <c r="N70" s="7">
        <f t="shared" si="22"/>
        <v>35.150000002468005</v>
      </c>
      <c r="O70" s="7"/>
      <c r="P70" s="7"/>
      <c r="Q70" s="23"/>
      <c r="R70" s="23"/>
      <c r="S70" s="35">
        <f t="shared" si="23"/>
        <v>1</v>
      </c>
      <c r="T70" s="50" t="str">
        <f t="shared" si="4"/>
        <v>NorthBound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https://search-rtdc-monitor-bjffxe2xuh6vdkpspy63sjmuny.us-east-1.es.amazonaws.com/_plugin/kibana/#/discover/Steve-Slow-Train-Analysis-(2080s-and-2083s)?_g=(refreshInterval:(display:Off,section:0,value:0),time:(from:'2016-11-30 09:36:35-700',mode:absolute,to:'2016-11-30 12:20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70" s="52" t="str">
        <f t="shared" si="6"/>
        <v>N</v>
      </c>
      <c r="X70" s="177">
        <f t="shared" si="21"/>
        <v>1</v>
      </c>
      <c r="Y70" s="67">
        <f t="shared" si="8"/>
        <v>4.6600000000000003E-2</v>
      </c>
      <c r="Z70" s="67">
        <f t="shared" si="9"/>
        <v>23.331399999999999</v>
      </c>
      <c r="AA70" s="67">
        <f t="shared" si="10"/>
        <v>23.284799999999997</v>
      </c>
      <c r="AB70" s="64" t="e">
        <f>VLOOKUP(A70,Enforcements!$C$7:$K$20,8,0)</f>
        <v>#N/A</v>
      </c>
      <c r="AC70" s="60" t="e">
        <f>VLOOKUP(A70,Enforcements!$C$7:$E$20,3,0)</f>
        <v>#N/A</v>
      </c>
      <c r="AD70" s="61" t="str">
        <f t="shared" si="11"/>
        <v>0157-30</v>
      </c>
      <c r="AE70" s="91" t="str">
        <f t="shared" si="12"/>
        <v>aws s3 cp s3://rtdc.mdm.uploadarchive.raw/RTDC4031/ "%USERPROFILE%\AppData\Local\Temp\OnboardLogs"\RTDC4031\2016-11-30 --exclude "*" --recursive --include "*20161130*" &amp; "%USERPROFILE%\Documents\GitHub\mrs-test-scripts\Headless Mode &amp; Sideloading\WalkAndUnGZ.bat" "%USERPROFILE%\AppData\Local\Temp\OnboardLogs"\RTDC4031\2016-11-30 &amp; aws s3 cp s3://rtdc.mdm.uploadarchive.raw/RTDC4031/ "%USERPROFILE%\AppData\Local\Temp\OnboardLogs"\RTDC4031\2016-12-01 --exclude "*" --recursive --include "*20161201*" &amp; "%USERPROFILE%\Documents\GitHub\mrs-test-scripts\Headless Mode &amp; Sideloading\WalkAndUnGZ.bat" "%USERPROFILE%\AppData\Local\Temp\OnboardLogs"\RTDC4031\2016-12-01</v>
      </c>
      <c r="AF70" s="88" t="str">
        <f t="shared" si="13"/>
        <v>"C:\Program Files (x86)\AstroGrep\AstroGrep.exe" /spath="%USERPROFILE%\AppData\Local\Temp\OnboardLogs" /stypes="app*4031*20161130*" /stext=" 18:.+((SYSTEM_STATE.+slice.+state.+changed )|(ment ac)|(multiple cpu faults)|(system.+state.+changed )|(\[timeout)|(PRM\|1\|D)|(kpr)|(kdp)|(\|lc)|(penalty))" /e /r /s</v>
      </c>
      <c r="AG70" s="1" t="str">
        <f t="shared" si="14"/>
        <v>EC</v>
      </c>
      <c r="AH70" s="92" t="str">
        <f t="shared" si="17"/>
        <v>"%USERPROFILE%\Documents\GitHub\eaglep3\Utilities\RefineRTDCRunTimes.py" --tripid 157-30 --locoid 4031 --swversion DE.1.0.8.0 --startMP 204:466 --initTime 2016-11-30T10:36:35 --startdatetime 2016-11-30T10:45:13 --delay 1 --endMP 204:233314 --enddatetime 2016-11-30T11:20:22 --enforcementcount 0 &gt;&gt;C:\Users\stu\Documents\GitHub\eaglep3-reporting\EC\2016-11-30-refined-times.txt</v>
      </c>
      <c r="AI70" s="119" t="str">
        <f t="shared" si="18"/>
        <v>echo {"issue":{"subject":"","project_id":79,"tracker_id":40,"status_id":1,"priority_id":2,"assigned_to_id":23,"start_date":"2016-11-30","description":"","custom_fields":[{"id":1,"name":"Subdivision","value":"EC"},{"id":4,"name":"Milepost","value":"23.3314"},{"id":17,"name":"Train ID","value":"157-30"},{"id":16,"name":"Locomotive ID","value":"4031"},{"id":130,"name":"Impact","value":""},{"id":150,"name":"Time of Event (Mountain Time)","value":"11:20:22"},{"id":151,"name":"Denver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621</v>
      </c>
      <c r="B71" s="7">
        <v>4032</v>
      </c>
      <c r="C71" s="22" t="s">
        <v>212</v>
      </c>
      <c r="D71" s="22" t="s">
        <v>325</v>
      </c>
      <c r="E71" s="13">
        <v>42704.478356481479</v>
      </c>
      <c r="F71" s="13">
        <v>42704.486979166664</v>
      </c>
      <c r="G71" s="7">
        <v>1</v>
      </c>
      <c r="H71" s="22" t="s">
        <v>192</v>
      </c>
      <c r="I71" s="13">
        <v>42704.512812499997</v>
      </c>
      <c r="J71" s="7">
        <v>0</v>
      </c>
      <c r="K71" s="109" t="str">
        <f t="shared" si="0"/>
        <v>4031/4032</v>
      </c>
      <c r="L71" s="22" t="str">
        <f>VLOOKUP(A71,'Trips&amp;Operators'!$C$1:$G$99999,5,FALSE)</f>
        <v>PERKINS DARREN</v>
      </c>
      <c r="M71" s="6">
        <f t="shared" si="1"/>
        <v>2.5833333333139308E-2</v>
      </c>
      <c r="N71" s="7">
        <f t="shared" si="22"/>
        <v>37.199999999720603</v>
      </c>
      <c r="O71" s="7"/>
      <c r="P71" s="7"/>
      <c r="Q71" s="23"/>
      <c r="R71" s="23"/>
      <c r="S71" s="35">
        <f t="shared" si="23"/>
        <v>1</v>
      </c>
      <c r="T71" s="50" t="str">
        <f t="shared" si="4"/>
        <v>Southbound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https://search-rtdc-monitor-bjffxe2xuh6vdkpspy63sjmuny.us-east-1.es.amazonaws.com/_plugin/kibana/#/discover/Steve-Slow-Train-Analysis-(2080s-and-2083s)?_g=(refreshInterval:(display:Off,section:0,value:0),time:(from:'2016-11-30 10:28:50-700',mode:absolute,to:'2016-11-30 13:18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71" s="52" t="str">
        <f t="shared" si="6"/>
        <v>N</v>
      </c>
      <c r="X71" s="177">
        <f t="shared" si="21"/>
        <v>1</v>
      </c>
      <c r="Y71" s="67">
        <f t="shared" si="8"/>
        <v>23.3002</v>
      </c>
      <c r="Z71" s="67">
        <f t="shared" si="9"/>
        <v>1.49E-2</v>
      </c>
      <c r="AA71" s="67">
        <f t="shared" si="10"/>
        <v>23.285299999999999</v>
      </c>
      <c r="AB71" s="64" t="e">
        <f>VLOOKUP(A71,Enforcements!$C$7:$K$20,8,0)</f>
        <v>#N/A</v>
      </c>
      <c r="AC71" s="60" t="e">
        <f>VLOOKUP(A71,Enforcements!$C$7:$E$20,3,0)</f>
        <v>#N/A</v>
      </c>
      <c r="AD71" s="61" t="str">
        <f t="shared" si="11"/>
        <v>0158-30</v>
      </c>
      <c r="AE71" s="91" t="str">
        <f t="shared" si="12"/>
        <v>aws s3 cp s3://rtdc.mdm.uploadarchive.raw/RTDC4032/ "%USERPROFILE%\AppData\Local\Temp\OnboardLogs"\RTDC4032\2016-11-30 --exclude "*" --recursive --include "*20161130*" &amp; "%USERPROFILE%\Documents\GitHub\mrs-test-scripts\Headless Mode &amp; Sideloading\WalkAndUnGZ.bat" "%USERPROFILE%\AppData\Local\Temp\OnboardLogs"\RTDC4032\2016-11-30 &amp; aws s3 cp s3://rtdc.mdm.uploadarchive.raw/RTDC4032/ "%USERPROFILE%\AppData\Local\Temp\OnboardLogs"\RTDC4032\2016-12-01 --exclude "*" --recursive --include "*20161201*" &amp; "%USERPROFILE%\Documents\GitHub\mrs-test-scripts\Headless Mode &amp; Sideloading\WalkAndUnGZ.bat" "%USERPROFILE%\AppData\Local\Temp\OnboardLogs"\RTDC4032\2016-12-01</v>
      </c>
      <c r="AF71" s="88" t="str">
        <f t="shared" si="13"/>
        <v>"C:\Program Files (x86)\AstroGrep\AstroGrep.exe" /spath="%USERPROFILE%\AppData\Local\Temp\OnboardLogs" /stypes="app*4032*20161130*" /stext=" 19:.+((SYSTEM_STATE.+slice.+state.+changed )|(ment ac)|(multiple cpu faults)|(system.+state.+changed )|(\[timeout)|(PRM\|1\|D)|(kpr)|(kdp)|(\|lc)|(penalty))" /e /r /s</v>
      </c>
      <c r="AG71" s="1" t="str">
        <f t="shared" si="14"/>
        <v>EC</v>
      </c>
      <c r="AH71" s="92" t="str">
        <f t="shared" si="17"/>
        <v>"%USERPROFILE%\Documents\GitHub\eaglep3\Utilities\RefineRTDCRunTimes.py" --tripid 158-30 --locoid 4032 --swversion DE.1.0.8.0 --startMP 204:233002 --initTime 2016-11-30T11:28:50 --startdatetime 2016-11-30T11:41:15 --delay 1 --endMP 204:149 --enddatetime 2016-11-30T12:18:27 --enforcementcount 0 &gt;&gt;C:\Users\stu\Documents\GitHub\eaglep3-reporting\EC\2016-11-30-refined-times.txt</v>
      </c>
      <c r="AI71" s="119" t="str">
        <f t="shared" si="18"/>
        <v>echo {"issue":{"subject":"","project_id":79,"tracker_id":40,"status_id":1,"priority_id":2,"assigned_to_id":23,"start_date":"2016-11-30","description":"","custom_fields":[{"id":1,"name":"Subdivision","value":"EC"},{"id":4,"name":"Milepost","value":"0.0149"},{"id":17,"name":"Train ID","value":"158-30"},{"id":16,"name":"Locomotive ID","value":"4032"},{"id":130,"name":"Impact","value":""},{"id":150,"name":"Time of Event (Mountain Time)","value":"12:18:27"},{"id":151,"name":"Denver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615</v>
      </c>
      <c r="B72" s="7">
        <v>4046</v>
      </c>
      <c r="C72" s="22" t="s">
        <v>212</v>
      </c>
      <c r="D72" s="22" t="s">
        <v>776</v>
      </c>
      <c r="E72" s="13">
        <v>42704.453206018516</v>
      </c>
      <c r="F72" s="13">
        <v>42704.45857638889</v>
      </c>
      <c r="G72" s="7">
        <v>1</v>
      </c>
      <c r="H72" s="22" t="s">
        <v>264</v>
      </c>
      <c r="I72" s="13">
        <v>42704.482812499999</v>
      </c>
      <c r="J72" s="7">
        <v>0</v>
      </c>
      <c r="K72" s="109" t="str">
        <f t="shared" si="0"/>
        <v>4045/4046</v>
      </c>
      <c r="L72" s="22" t="str">
        <f>VLOOKUP(A72,'Trips&amp;Operators'!$C$1:$G$99999,5,FALSE)</f>
        <v>BONDS REYNALDO</v>
      </c>
      <c r="M72" s="6">
        <f t="shared" si="1"/>
        <v>2.4236111108621117E-2</v>
      </c>
      <c r="N72" s="7">
        <f t="shared" si="22"/>
        <v>34.899999996414408</v>
      </c>
      <c r="O72" s="7"/>
      <c r="P72" s="7"/>
      <c r="Q72" s="23"/>
      <c r="R72" s="23"/>
      <c r="S72" s="35">
        <f t="shared" si="23"/>
        <v>1</v>
      </c>
      <c r="T72" s="50" t="str">
        <f t="shared" si="4"/>
        <v>NorthBound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https://search-rtdc-monitor-bjffxe2xuh6vdkpspy63sjmuny.us-east-1.es.amazonaws.com/_plugin/kibana/#/discover/Steve-Slow-Train-Analysis-(2080s-and-2083s)?_g=(refreshInterval:(display:Off,section:0,value:0),time:(from:'2016-11-30 09:52:37-700',mode:absolute,to:'2016-11-30 12:35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72" s="52" t="str">
        <f t="shared" si="6"/>
        <v>N</v>
      </c>
      <c r="X72" s="177">
        <f t="shared" si="21"/>
        <v>1</v>
      </c>
      <c r="Y72" s="67">
        <f t="shared" si="8"/>
        <v>5.62E-2</v>
      </c>
      <c r="Z72" s="67">
        <f t="shared" si="9"/>
        <v>23.3307</v>
      </c>
      <c r="AA72" s="67">
        <f t="shared" si="10"/>
        <v>23.2745</v>
      </c>
      <c r="AB72" s="64" t="e">
        <f>VLOOKUP(A72,Enforcements!$C$7:$K$20,8,0)</f>
        <v>#N/A</v>
      </c>
      <c r="AC72" s="60" t="e">
        <f>VLOOKUP(A72,Enforcements!$C$7:$E$20,3,0)</f>
        <v>#N/A</v>
      </c>
      <c r="AD72" s="61" t="str">
        <f t="shared" si="11"/>
        <v>0159-30</v>
      </c>
      <c r="AE72" s="91" t="str">
        <f t="shared" si="12"/>
        <v>aws s3 cp s3://rtdc.mdm.uploadarchive.raw/RTDC4046/ "%USERPROFILE%\AppData\Local\Temp\OnboardLogs"\RTDC4046\2016-11-30 --exclude "*" --recursive --include "*20161130*" &amp; "%USERPROFILE%\Documents\GitHub\mrs-test-scripts\Headless Mode &amp; Sideloading\WalkAndUnGZ.bat" "%USERPROFILE%\AppData\Local\Temp\OnboardLogs"\RTDC4046\2016-11-30 &amp; aws s3 cp s3://rtdc.mdm.uploadarchive.raw/RTDC4046/ "%USERPROFILE%\AppData\Local\Temp\OnboardLogs"\RTDC4046\2016-12-01 --exclude "*" --recursive --include "*20161201*" &amp; "%USERPROFILE%\Documents\GitHub\mrs-test-scripts\Headless Mode &amp; Sideloading\WalkAndUnGZ.bat" "%USERPROFILE%\AppData\Local\Temp\OnboardLogs"\RTDC4046\2016-12-01</v>
      </c>
      <c r="AF72" s="88" t="str">
        <f t="shared" si="13"/>
        <v>"C:\Program Files (x86)\AstroGrep\AstroGrep.exe" /spath="%USERPROFILE%\AppData\Local\Temp\OnboardLogs" /stypes="app*4046*20161130*" /stext=" 18:.+((SYSTEM_STATE.+slice.+state.+changed )|(ment ac)|(multiple cpu faults)|(system.+state.+changed )|(\[timeout)|(PRM\|1\|D)|(kpr)|(kdp)|(\|lc)|(penalty))" /e /r /s</v>
      </c>
      <c r="AG72" s="1" t="str">
        <f t="shared" si="14"/>
        <v>EC</v>
      </c>
      <c r="AH72" s="92" t="str">
        <f t="shared" si="17"/>
        <v>"%USERPROFILE%\Documents\GitHub\eaglep3\Utilities\RefineRTDCRunTimes.py" --tripid 159-30 --locoid 4046 --swversion DE.1.0.8.0 --startMP 204:562 --initTime 2016-11-30T10:52:37 --startdatetime 2016-11-30T11:00:21 --delay 1 --endMP 204:233307 --enddatetime 2016-11-30T11:35:15 --enforcementcount 0 &gt;&gt;C:\Users\stu\Documents\GitHub\eaglep3-reporting\EC\2016-11-30-refined-times.txt</v>
      </c>
      <c r="AI72" s="119" t="str">
        <f t="shared" si="18"/>
        <v>echo {"issue":{"subject":"","project_id":79,"tracker_id":40,"status_id":1,"priority_id":2,"assigned_to_id":23,"start_date":"2016-11-30","description":"","custom_fields":[{"id":1,"name":"Subdivision","value":"EC"},{"id":4,"name":"Milepost","value":"23.3307"},{"id":17,"name":"Train ID","value":"159-30"},{"id":16,"name":"Locomotive ID","value":"4046"},{"id":130,"name":"Impact","value":""},{"id":150,"name":"Time of Event (Mountain Time)","value":"11:35:15"},{"id":151,"name":"Denver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625</v>
      </c>
      <c r="B73" s="7">
        <v>4045</v>
      </c>
      <c r="C73" s="22" t="s">
        <v>212</v>
      </c>
      <c r="D73" s="22" t="s">
        <v>497</v>
      </c>
      <c r="E73" s="13">
        <v>42704.488275462965</v>
      </c>
      <c r="F73" s="13">
        <v>42704.497407407405</v>
      </c>
      <c r="G73" s="7">
        <v>1</v>
      </c>
      <c r="H73" s="22" t="s">
        <v>309</v>
      </c>
      <c r="I73" s="13">
        <v>42704.525034722225</v>
      </c>
      <c r="J73" s="7">
        <v>0</v>
      </c>
      <c r="K73" s="109" t="str">
        <f t="shared" si="0"/>
        <v>4045/4046</v>
      </c>
      <c r="L73" s="22" t="str">
        <f>VLOOKUP(A73,'Trips&amp;Operators'!$C$1:$G$99999,5,FALSE)</f>
        <v>BONDS REYNALDO</v>
      </c>
      <c r="M73" s="6">
        <f t="shared" si="1"/>
        <v>2.7627314819255844E-2</v>
      </c>
      <c r="N73" s="7">
        <f t="shared" si="22"/>
        <v>39.783333339728415</v>
      </c>
      <c r="O73" s="7"/>
      <c r="P73" s="7"/>
      <c r="Q73" s="23"/>
      <c r="R73" s="23"/>
      <c r="S73" s="35">
        <f t="shared" si="23"/>
        <v>1</v>
      </c>
      <c r="T73" s="50" t="str">
        <f t="shared" si="4"/>
        <v>Southbound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https://search-rtdc-monitor-bjffxe2xuh6vdkpspy63sjmuny.us-east-1.es.amazonaws.com/_plugin/kibana/#/discover/Steve-Slow-Train-Analysis-(2080s-and-2083s)?_g=(refreshInterval:(display:Off,section:0,value:0),time:(from:'2016-11-30 10:43:07-700',mode:absolute,to:'2016-11-30 13:36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73" s="52" t="str">
        <f t="shared" si="6"/>
        <v>N</v>
      </c>
      <c r="X73" s="177">
        <f t="shared" si="21"/>
        <v>1</v>
      </c>
      <c r="Y73" s="67">
        <f t="shared" si="8"/>
        <v>23.296900000000001</v>
      </c>
      <c r="Z73" s="67">
        <f t="shared" si="9"/>
        <v>1.38E-2</v>
      </c>
      <c r="AA73" s="67">
        <f t="shared" si="10"/>
        <v>23.283100000000001</v>
      </c>
      <c r="AB73" s="64" t="e">
        <f>VLOOKUP(A73,Enforcements!$C$7:$K$20,8,0)</f>
        <v>#N/A</v>
      </c>
      <c r="AC73" s="60" t="e">
        <f>VLOOKUP(A73,Enforcements!$C$7:$E$20,3,0)</f>
        <v>#N/A</v>
      </c>
      <c r="AD73" s="61" t="str">
        <f t="shared" si="11"/>
        <v>0160-30</v>
      </c>
      <c r="AE73" s="91" t="str">
        <f t="shared" si="12"/>
        <v>aws s3 cp s3://rtdc.mdm.uploadarchive.raw/RTDC4045/ "%USERPROFILE%\AppData\Local\Temp\OnboardLogs"\RTDC4045\2016-11-30 --exclude "*" --recursive --include "*20161130*" &amp; "%USERPROFILE%\Documents\GitHub\mrs-test-scripts\Headless Mode &amp; Sideloading\WalkAndUnGZ.bat" "%USERPROFILE%\AppData\Local\Temp\OnboardLogs"\RTDC4045\2016-11-30 &amp; aws s3 cp s3://rtdc.mdm.uploadarchive.raw/RTDC4045/ "%USERPROFILE%\AppData\Local\Temp\OnboardLogs"\RTDC4045\2016-12-01 --exclude "*" --recursive --include "*20161201*" &amp; "%USERPROFILE%\Documents\GitHub\mrs-test-scripts\Headless Mode &amp; Sideloading\WalkAndUnGZ.bat" "%USERPROFILE%\AppData\Local\Temp\OnboardLogs"\RTDC4045\2016-12-01</v>
      </c>
      <c r="AF73" s="88" t="str">
        <f t="shared" si="13"/>
        <v>"C:\Program Files (x86)\AstroGrep\AstroGrep.exe" /spath="%USERPROFILE%\AppData\Local\Temp\OnboardLogs" /stypes="app*4045*20161130*" /stext=" 19:.+((SYSTEM_STATE.+slice.+state.+changed )|(ment ac)|(multiple cpu faults)|(system.+state.+changed )|(\[timeout)|(PRM\|1\|D)|(kpr)|(kdp)|(\|lc)|(penalty))" /e /r /s</v>
      </c>
      <c r="AG73" s="1" t="str">
        <f t="shared" si="14"/>
        <v>EC</v>
      </c>
      <c r="AH73" s="92" t="str">
        <f t="shared" si="17"/>
        <v>"%USERPROFILE%\Documents\GitHub\eaglep3\Utilities\RefineRTDCRunTimes.py" --tripid 160-30 --locoid 4045 --swversion DE.1.0.8.0 --startMP 204:232969 --initTime 2016-11-30T11:43:07 --startdatetime 2016-11-30T11:56:16 --delay 1 --endMP 204:138 --enddatetime 2016-11-30T12:36:03 --enforcementcount 0 &gt;&gt;C:\Users\stu\Documents\GitHub\eaglep3-reporting\EC\2016-11-30-refined-times.txt</v>
      </c>
      <c r="AI73" s="119" t="str">
        <f t="shared" si="18"/>
        <v>echo {"issue":{"subject":"","project_id":79,"tracker_id":40,"status_id":1,"priority_id":2,"assigned_to_id":23,"start_date":"2016-11-30","description":"","custom_fields":[{"id":1,"name":"Subdivision","value":"EC"},{"id":4,"name":"Milepost","value":"0.0138"},{"id":17,"name":"Train ID","value":"160-30"},{"id":16,"name":"Locomotive ID","value":"4045"},{"id":130,"name":"Impact","value":""},{"id":150,"name":"Time of Event (Mountain Time)","value":"12:36:03"},{"id":151,"name":"Denver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536</v>
      </c>
      <c r="B74" s="7">
        <v>4022</v>
      </c>
      <c r="C74" s="22" t="s">
        <v>212</v>
      </c>
      <c r="D74" s="22" t="s">
        <v>777</v>
      </c>
      <c r="E74" s="13">
        <v>42704.463240740741</v>
      </c>
      <c r="F74" s="13">
        <v>42704.468946759262</v>
      </c>
      <c r="G74" s="7">
        <v>2</v>
      </c>
      <c r="H74" s="22" t="s">
        <v>321</v>
      </c>
      <c r="I74" s="13">
        <v>42704.494131944448</v>
      </c>
      <c r="J74" s="7">
        <v>0</v>
      </c>
      <c r="K74" s="109" t="str">
        <f t="shared" si="0"/>
        <v>4021/4022</v>
      </c>
      <c r="L74" s="22" t="str">
        <f>VLOOKUP(A74,'Trips&amp;Operators'!$C$1:$G$99999,5,FALSE)</f>
        <v>BARTLETT KIANDRA</v>
      </c>
      <c r="M74" s="6">
        <f t="shared" si="1"/>
        <v>2.5185185186273884E-2</v>
      </c>
      <c r="N74" s="7">
        <f t="shared" si="22"/>
        <v>36.266666668234393</v>
      </c>
      <c r="O74" s="7"/>
      <c r="P74" s="7"/>
      <c r="Q74" s="23"/>
      <c r="R74" s="23"/>
      <c r="S74" s="35">
        <f t="shared" si="23"/>
        <v>1</v>
      </c>
      <c r="T74" s="50" t="str">
        <f t="shared" si="4"/>
        <v>NorthBound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https://search-rtdc-monitor-bjffxe2xuh6vdkpspy63sjmuny.us-east-1.es.amazonaws.com/_plugin/kibana/#/discover/Steve-Slow-Train-Analysis-(2080s-and-2083s)?_g=(refreshInterval:(display:Off,section:0,value:0),time:(from:'2016-11-30 10:07:04-700',mode:absolute,to:'2016-11-30 12:51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74" s="52" t="str">
        <f t="shared" si="6"/>
        <v>N</v>
      </c>
      <c r="X74" s="177">
        <f t="shared" si="21"/>
        <v>1</v>
      </c>
      <c r="Y74" s="67">
        <f t="shared" si="8"/>
        <v>4.8399999999999999E-2</v>
      </c>
      <c r="Z74" s="67">
        <f t="shared" si="9"/>
        <v>23.330400000000001</v>
      </c>
      <c r="AA74" s="67">
        <f t="shared" si="10"/>
        <v>23.282</v>
      </c>
      <c r="AB74" s="64" t="str">
        <f>VLOOKUP(A74,Enforcements!$C$7:$K$20,8,0)</f>
        <v>Speed (6)</v>
      </c>
      <c r="AC74" s="60" t="str">
        <f>VLOOKUP(A74,Enforcements!$C$7:$E$20,3,0)</f>
        <v>PERMANENT SPEED RESTRICTION</v>
      </c>
      <c r="AD74" s="61" t="str">
        <f t="shared" si="11"/>
        <v>0161-30</v>
      </c>
      <c r="AE74" s="91" t="str">
        <f t="shared" si="12"/>
        <v>aws s3 cp s3://rtdc.mdm.uploadarchive.raw/RTDC4022/ "%USERPROFILE%\AppData\Local\Temp\OnboardLogs"\RTDC4022\2016-11-30 --exclude "*" --recursive --include "*20161130*" &amp; "%USERPROFILE%\Documents\GitHub\mrs-test-scripts\Headless Mode &amp; Sideloading\WalkAndUnGZ.bat" "%USERPROFILE%\AppData\Local\Temp\OnboardLogs"\RTDC4022\2016-11-30 &amp; aws s3 cp s3://rtdc.mdm.uploadarchive.raw/RTDC4022/ "%USERPROFILE%\AppData\Local\Temp\OnboardLogs"\RTDC4022\2016-12-01 --exclude "*" --recursive --include "*20161201*" &amp; "%USERPROFILE%\Documents\GitHub\mrs-test-scripts\Headless Mode &amp; Sideloading\WalkAndUnGZ.bat" "%USERPROFILE%\AppData\Local\Temp\OnboardLogs"\RTDC4022\2016-12-01</v>
      </c>
      <c r="AF74" s="88" t="str">
        <f t="shared" si="13"/>
        <v>"C:\Program Files (x86)\AstroGrep\AstroGrep.exe" /spath="%USERPROFILE%\AppData\Local\Temp\OnboardLogs" /stypes="app*4022*20161130*" /stext=" 18:.+((SYSTEM_STATE.+slice.+state.+changed )|(ment ac)|(multiple cpu faults)|(system.+state.+changed )|(\[timeout)|(PRM\|1\|D)|(kpr)|(kdp)|(\|lc)|(penalty))" /e /r /s</v>
      </c>
      <c r="AG74" s="1" t="str">
        <f t="shared" si="14"/>
        <v>EC</v>
      </c>
      <c r="AH74" s="92" t="str">
        <f t="shared" si="17"/>
        <v>"%USERPROFILE%\Documents\GitHub\eaglep3\Utilities\RefineRTDCRunTimes.py" --tripid 161-30 --locoid 4022 --swversion DE.1.0.8.0 --startMP 204:484 --initTime 2016-11-30T11:07:04 --startdatetime 2016-11-30T11:15:17 --delay 2 --endMP 204:233304 --enddatetime 2016-11-30T11:51:33 --enforcementcount 0 &gt;&gt;C:\Users\stu\Documents\GitHub\eaglep3-reporting\EC\2016-11-30-refined-times.txt</v>
      </c>
      <c r="AI74" s="119" t="str">
        <f t="shared" si="18"/>
        <v>echo {"issue":{"subject":"","project_id":79,"tracker_id":40,"status_id":1,"priority_id":2,"assigned_to_id":23,"start_date":"2016-11-30","description":"","custom_fields":[{"id":1,"name":"Subdivision","value":"EC"},{"id":4,"name":"Milepost","value":"23.3304"},{"id":17,"name":"Train ID","value":"161-30"},{"id":16,"name":"Locomotive ID","value":"4022"},{"id":130,"name":"Impact","value":""},{"id":150,"name":"Time of Event (Mountain Time)","value":"11:51:33"},{"id":151,"name":"Denver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628</v>
      </c>
      <c r="B75" s="7">
        <v>4021</v>
      </c>
      <c r="C75" s="22" t="s">
        <v>212</v>
      </c>
      <c r="D75" s="22" t="s">
        <v>269</v>
      </c>
      <c r="E75" s="13">
        <v>42704.496874999997</v>
      </c>
      <c r="F75" s="13">
        <v>42704.507881944446</v>
      </c>
      <c r="G75" s="7">
        <v>2</v>
      </c>
      <c r="H75" s="22" t="s">
        <v>192</v>
      </c>
      <c r="I75" s="13">
        <v>42704.534386574072</v>
      </c>
      <c r="J75" s="7">
        <v>0</v>
      </c>
      <c r="K75" s="109" t="str">
        <f t="shared" si="0"/>
        <v>4021/4022</v>
      </c>
      <c r="L75" s="22" t="str">
        <f>VLOOKUP(A75,'Trips&amp;Operators'!$C$1:$G$99999,5,FALSE)</f>
        <v>BARTLETT KIANDRA</v>
      </c>
      <c r="M75" s="6">
        <f t="shared" si="1"/>
        <v>2.6504629626288079E-2</v>
      </c>
      <c r="N75" s="7">
        <f t="shared" si="22"/>
        <v>38.166666661854833</v>
      </c>
      <c r="O75" s="7"/>
      <c r="P75" s="7"/>
      <c r="Q75" s="23"/>
      <c r="R75" s="23"/>
      <c r="S75" s="35">
        <f t="shared" si="23"/>
        <v>1</v>
      </c>
      <c r="T75" s="50" t="str">
        <f t="shared" si="4"/>
        <v>Southbound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https://search-rtdc-monitor-bjffxe2xuh6vdkpspy63sjmuny.us-east-1.es.amazonaws.com/_plugin/kibana/#/discover/Steve-Slow-Train-Analysis-(2080s-and-2083s)?_g=(refreshInterval:(display:Off,section:0,value:0),time:(from:'2016-11-30 10:55:30-700',mode:absolute,to:'2016-11-30 13:49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75" s="52" t="str">
        <f t="shared" si="6"/>
        <v>N</v>
      </c>
      <c r="X75" s="177">
        <f t="shared" si="21"/>
        <v>1</v>
      </c>
      <c r="Y75" s="67">
        <f t="shared" si="8"/>
        <v>23.2989</v>
      </c>
      <c r="Z75" s="67">
        <f t="shared" si="9"/>
        <v>1.49E-2</v>
      </c>
      <c r="AA75" s="67">
        <f t="shared" si="10"/>
        <v>23.283999999999999</v>
      </c>
      <c r="AB75" s="64" t="e">
        <f>VLOOKUP(A75,Enforcements!$C$7:$K$20,8,0)</f>
        <v>#N/A</v>
      </c>
      <c r="AC75" s="60" t="e">
        <f>VLOOKUP(A75,Enforcements!$C$7:$E$20,3,0)</f>
        <v>#N/A</v>
      </c>
      <c r="AD75" s="61" t="str">
        <f t="shared" si="11"/>
        <v>0162-30</v>
      </c>
      <c r="AE75" s="91" t="str">
        <f t="shared" si="12"/>
        <v>aws s3 cp s3://rtdc.mdm.uploadarchive.raw/RTDC4021/ "%USERPROFILE%\AppData\Local\Temp\OnboardLogs"\RTDC4021\2016-11-30 --exclude "*" --recursive --include "*20161130*" &amp; "%USERPROFILE%\Documents\GitHub\mrs-test-scripts\Headless Mode &amp; Sideloading\WalkAndUnGZ.bat" "%USERPROFILE%\AppData\Local\Temp\OnboardLogs"\RTDC4021\2016-11-30 &amp; aws s3 cp s3://rtdc.mdm.uploadarchive.raw/RTDC4021/ "%USERPROFILE%\AppData\Local\Temp\OnboardLogs"\RTDC4021\2016-12-01 --exclude "*" --recursive --include "*20161201*" &amp; "%USERPROFILE%\Documents\GitHub\mrs-test-scripts\Headless Mode &amp; Sideloading\WalkAndUnGZ.bat" "%USERPROFILE%\AppData\Local\Temp\OnboardLogs"\RTDC4021\2016-12-01</v>
      </c>
      <c r="AF75" s="88" t="str">
        <f t="shared" si="13"/>
        <v>"C:\Program Files (x86)\AstroGrep\AstroGrep.exe" /spath="%USERPROFILE%\AppData\Local\Temp\OnboardLogs" /stypes="app*4021*20161130*" /stext=" 19:.+((SYSTEM_STATE.+slice.+state.+changed )|(ment ac)|(multiple cpu faults)|(system.+state.+changed )|(\[timeout)|(PRM\|1\|D)|(kpr)|(kdp)|(\|lc)|(penalty))" /e /r /s</v>
      </c>
      <c r="AG75" s="1" t="str">
        <f t="shared" si="14"/>
        <v>EC</v>
      </c>
      <c r="AH75" s="92" t="str">
        <f t="shared" si="17"/>
        <v>"%USERPROFILE%\Documents\GitHub\eaglep3\Utilities\RefineRTDCRunTimes.py" --tripid 162-30 --locoid 4021 --swversion DE.1.0.8.0 --startMP 204:232989 --initTime 2016-11-30T11:55:30 --startdatetime 2016-11-30T12:11:21 --delay 2 --endMP 204:149 --enddatetime 2016-11-30T12:49:31 --enforcementcount 0 &gt;&gt;C:\Users\stu\Documents\GitHub\eaglep3-reporting\EC\2016-11-30-refined-times.txt</v>
      </c>
      <c r="AI75" s="119" t="str">
        <f t="shared" si="18"/>
        <v>echo {"issue":{"subject":"","project_id":79,"tracker_id":40,"status_id":1,"priority_id":2,"assigned_to_id":23,"start_date":"2016-11-30","description":"","custom_fields":[{"id":1,"name":"Subdivision","value":"EC"},{"id":4,"name":"Milepost","value":"0.0149"},{"id":17,"name":"Train ID","value":"162-30"},{"id":16,"name":"Locomotive ID","value":"4021"},{"id":130,"name":"Impact","value":""},{"id":150,"name":"Time of Event (Mountain Time)","value":"12:49:31"},{"id":151,"name":"Denver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620</v>
      </c>
      <c r="B76" s="7">
        <v>4011</v>
      </c>
      <c r="C76" s="22" t="s">
        <v>212</v>
      </c>
      <c r="D76" s="22" t="s">
        <v>348</v>
      </c>
      <c r="E76" s="13">
        <v>42704.473668981482</v>
      </c>
      <c r="F76" s="13">
        <v>42704.479432870372</v>
      </c>
      <c r="G76" s="7">
        <v>6</v>
      </c>
      <c r="H76" s="22" t="s">
        <v>302</v>
      </c>
      <c r="I76" s="13">
        <v>42704.504594907405</v>
      </c>
      <c r="J76" s="7">
        <v>0</v>
      </c>
      <c r="K76" s="109" t="str">
        <f t="shared" si="0"/>
        <v>4011/4012</v>
      </c>
      <c r="L76" s="22" t="str">
        <f>VLOOKUP(A76,'Trips&amp;Operators'!$C$1:$G$99999,5,FALSE)</f>
        <v>DAVIDSON DAVID</v>
      </c>
      <c r="M76" s="6">
        <f t="shared" si="1"/>
        <v>2.5162037032714579E-2</v>
      </c>
      <c r="N76" s="7">
        <f t="shared" si="22"/>
        <v>36.233333327108994</v>
      </c>
      <c r="O76" s="7"/>
      <c r="P76" s="7"/>
      <c r="Q76" s="23"/>
      <c r="R76" s="23"/>
      <c r="S76" s="35">
        <f t="shared" si="23"/>
        <v>1</v>
      </c>
      <c r="T76" s="50" t="str">
        <f t="shared" si="4"/>
        <v>NorthBound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https://search-rtdc-monitor-bjffxe2xuh6vdkpspy63sjmuny.us-east-1.es.amazonaws.com/_plugin/kibana/#/discover/Steve-Slow-Train-Analysis-(2080s-and-2083s)?_g=(refreshInterval:(display:Off,section:0,value:0),time:(from:'2016-11-30 10:22:05-700',mode:absolute,to:'2016-11-30 13:06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76" s="52" t="str">
        <f t="shared" si="6"/>
        <v>N</v>
      </c>
      <c r="X76" s="177">
        <f t="shared" si="21"/>
        <v>1</v>
      </c>
      <c r="Y76" s="67">
        <f t="shared" si="8"/>
        <v>4.3700000000000003E-2</v>
      </c>
      <c r="Z76" s="67">
        <f t="shared" si="9"/>
        <v>23.330100000000002</v>
      </c>
      <c r="AA76" s="67">
        <f t="shared" si="10"/>
        <v>23.2864</v>
      </c>
      <c r="AB76" s="64" t="e">
        <f>VLOOKUP(A76,Enforcements!$C$7:$K$20,8,0)</f>
        <v>#N/A</v>
      </c>
      <c r="AC76" s="60" t="e">
        <f>VLOOKUP(A76,Enforcements!$C$7:$E$20,3,0)</f>
        <v>#N/A</v>
      </c>
      <c r="AD76" s="61" t="str">
        <f t="shared" si="11"/>
        <v>0163-30</v>
      </c>
      <c r="AE76" s="91" t="str">
        <f t="shared" si="12"/>
        <v>aws s3 cp s3://rtdc.mdm.uploadarchive.raw/RTDC4011/ "%USERPROFILE%\AppData\Local\Temp\OnboardLogs"\RTDC4011\2016-11-30 --exclude "*" --recursive --include "*20161130*" &amp; "%USERPROFILE%\Documents\GitHub\mrs-test-scripts\Headless Mode &amp; Sideloading\WalkAndUnGZ.bat" "%USERPROFILE%\AppData\Local\Temp\OnboardLogs"\RTDC4011\2016-11-30 &amp; aws s3 cp s3://rtdc.mdm.uploadarchive.raw/RTDC4011/ "%USERPROFILE%\AppData\Local\Temp\OnboardLogs"\RTDC4011\2016-12-01 --exclude "*" --recursive --include "*20161201*" &amp; "%USERPROFILE%\Documents\GitHub\mrs-test-scripts\Headless Mode &amp; Sideloading\WalkAndUnGZ.bat" "%USERPROFILE%\AppData\Local\Temp\OnboardLogs"\RTDC4011\2016-12-01</v>
      </c>
      <c r="AF76" s="88" t="str">
        <f t="shared" si="13"/>
        <v>"C:\Program Files (x86)\AstroGrep\AstroGrep.exe" /spath="%USERPROFILE%\AppData\Local\Temp\OnboardLogs" /stypes="app*4011*20161130*" /stext=" 19:.+((SYSTEM_STATE.+slice.+state.+changed )|(ment ac)|(multiple cpu faults)|(system.+state.+changed )|(\[timeout)|(PRM\|1\|D)|(kpr)|(kdp)|(\|lc)|(penalty))" /e /r /s</v>
      </c>
      <c r="AG76" s="1" t="str">
        <f t="shared" si="14"/>
        <v>EC</v>
      </c>
      <c r="AH76" s="92" t="str">
        <f t="shared" si="17"/>
        <v>"%USERPROFILE%\Documents\GitHub\eaglep3\Utilities\RefineRTDCRunTimes.py" --tripid 163-30 --locoid 4011 --swversion DE.1.0.8.0 --startMP 204:437 --initTime 2016-11-30T11:22:05 --startdatetime 2016-11-30T11:30:23 --delay 6 --endMP 204:233301 --enddatetime 2016-11-30T12:06:37 --enforcementcount 0 &gt;&gt;C:\Users\stu\Documents\GitHub\eaglep3-reporting\EC\2016-11-30-refined-times.txt</v>
      </c>
      <c r="AI76" s="119" t="str">
        <f t="shared" si="18"/>
        <v>echo {"issue":{"subject":"","project_id":79,"tracker_id":40,"status_id":1,"priority_id":2,"assigned_to_id":23,"start_date":"2016-11-30","description":"","custom_fields":[{"id":1,"name":"Subdivision","value":"EC"},{"id":4,"name":"Milepost","value":"23.3301"},{"id":17,"name":"Train ID","value":"163-30"},{"id":16,"name":"Locomotive ID","value":"4011"},{"id":130,"name":"Impact","value":""},{"id":150,"name":"Time of Event (Mountain Time)","value":"12:06:37"},{"id":151,"name":"Denver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629</v>
      </c>
      <c r="B77" s="7">
        <v>4012</v>
      </c>
      <c r="C77" s="22" t="s">
        <v>212</v>
      </c>
      <c r="D77" s="22" t="s">
        <v>346</v>
      </c>
      <c r="E77" s="13">
        <v>42704.508715277778</v>
      </c>
      <c r="F77" s="13">
        <v>42704.518495370372</v>
      </c>
      <c r="G77" s="7">
        <v>1</v>
      </c>
      <c r="H77" s="22" t="s">
        <v>252</v>
      </c>
      <c r="I77" s="13">
        <v>42704.545208333337</v>
      </c>
      <c r="J77" s="7">
        <v>0</v>
      </c>
      <c r="K77" s="109" t="str">
        <f t="shared" ref="K77:K140" si="24">IF(ISEVEN(B77),(B77-1)&amp;"/"&amp;B77,B77&amp;"/"&amp;(B77+1))</f>
        <v>4011/4012</v>
      </c>
      <c r="L77" s="22" t="str">
        <f>VLOOKUP(A77,'Trips&amp;Operators'!$C$1:$G$99999,5,FALSE)</f>
        <v>DAVIDSON DAVID</v>
      </c>
      <c r="M77" s="6">
        <f t="shared" ref="M77:M140" si="25">I77-F77</f>
        <v>2.6712962964666076E-2</v>
      </c>
      <c r="N77" s="7">
        <f t="shared" si="22"/>
        <v>38.466666669119149</v>
      </c>
      <c r="O77" s="7"/>
      <c r="P77" s="7"/>
      <c r="Q77" s="23"/>
      <c r="R77" s="23"/>
      <c r="S77" s="35">
        <f t="shared" si="23"/>
        <v>1</v>
      </c>
      <c r="T77" s="50" t="str">
        <f t="shared" ref="T77:T140" si="26">IF(ISEVEN(LEFT(AD77,4)),"Southbound","NorthBound")</f>
        <v>Southbound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ref="V77:V140" si="27"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https://search-rtdc-monitor-bjffxe2xuh6vdkpspy63sjmuny.us-east-1.es.amazonaws.com/_plugin/kibana/#/discover/Steve-Slow-Train-Analysis-(2080s-and-2083s)?_g=(refreshInterval:(display:Off,section:0,value:0),time:(from:'2016-11-30 11:12:33-700',mode:absolute,to:'2016-11-30 14:05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77" s="52" t="str">
        <f t="shared" ref="W77:W140" si="28">IF(AA77&lt;IF(AG77="EC",23,5.65),"Y","N")</f>
        <v>N</v>
      </c>
      <c r="X77" s="177">
        <f t="shared" ref="X77:X97" si="29">VALUE(LEFT(AD77,4))-VALUE(LEFT(AD76,4))</f>
        <v>1</v>
      </c>
      <c r="Y77" s="67">
        <f t="shared" ref="Y77:Y140" si="30">RIGHT(D77,LEN(D77)-4)/10000</f>
        <v>23.296299999999999</v>
      </c>
      <c r="Z77" s="67">
        <f t="shared" ref="Z77:Z140" si="31">RIGHT(H77,LEN(H77)-4)/10000</f>
        <v>1.61E-2</v>
      </c>
      <c r="AA77" s="67">
        <f t="shared" ref="AA77:AA140" si="32">ABS(Z77-Y77)</f>
        <v>23.280199999999997</v>
      </c>
      <c r="AB77" s="64" t="e">
        <f>VLOOKUP(A77,Enforcements!$C$7:$K$20,8,0)</f>
        <v>#N/A</v>
      </c>
      <c r="AC77" s="60" t="e">
        <f>VLOOKUP(A77,Enforcements!$C$7:$E$20,3,0)</f>
        <v>#N/A</v>
      </c>
      <c r="AD77" s="61" t="str">
        <f t="shared" ref="AD77:AD140" si="33">IF(LEN(A77)=6,"0"&amp;A77,A77)</f>
        <v>0164-30</v>
      </c>
      <c r="AE77" s="91" t="str">
        <f t="shared" ref="AE77:AE140" si="34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s3://rtdc.mdm.uploadarchive.raw/RTDC4012/ "%USERPROFILE%\AppData\Local\Temp\OnboardLogs"\RTDC4012\2016-11-30 --exclude "*" --recursive --include "*20161130*" &amp; "%USERPROFILE%\Documents\GitHub\mrs-test-scripts\Headless Mode &amp; Sideloading\WalkAndUnGZ.bat" "%USERPROFILE%\AppData\Local\Temp\OnboardLogs"\RTDC4012\2016-11-30 &amp; aws s3 cp s3://rtdc.mdm.uploadarchive.raw/RTDC4012/ "%USERPROFILE%\AppData\Local\Temp\OnboardLogs"\RTDC4012\2016-12-01 --exclude "*" --recursive --include "*20161201*" &amp; "%USERPROFILE%\Documents\GitHub\mrs-test-scripts\Headless Mode &amp; Sideloading\WalkAndUnGZ.bat" "%USERPROFILE%\AppData\Local\Temp\OnboardLogs"\RTDC4012\2016-12-01</v>
      </c>
      <c r="AF77" s="88" t="str">
        <f t="shared" ref="AF77:AF140" si="35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/stypes="app*4012*20161130*" /stext=" 20:.+((SYSTEM_STATE.+slice.+state.+changed )|(ment ac)|(multiple cpu faults)|(system.+state.+changed )|(\[timeout)|(PRM\|1\|D)|(kpr)|(kdp)|(\|lc)|(penalty))" /e /r /s</v>
      </c>
      <c r="AG77" s="1" t="str">
        <f t="shared" ref="AG77:AG140" si="36">IFERROR(IF(VALUE(LEFT(AD77,2))&lt;=2,"EC",IF(OR(VALUE(LEFT(AD77,2))=8,VALUE(LEFT(AD77,2))=18),"NW","Other")),"Other")</f>
        <v>EC</v>
      </c>
      <c r="AH77" s="92" t="str">
        <f t="shared" si="17"/>
        <v>"%USERPROFILE%\Documents\GitHub\eaglep3\Utilities\RefineRTDCRunTimes.py" --tripid 164-30 --locoid 4012 --swversion DE.1.0.8.0 --startMP 204:232963 --initTime 2016-11-30T12:12:33 --startdatetime 2016-11-30T12:26:38 --delay 1 --endMP 204:161 --enddatetime 2016-11-30T13:05:06 --enforcementcount 0 &gt;&gt;C:\Users\stu\Documents\GitHub\eaglep3-reporting\EC\2016-11-30-refined-times.txt</v>
      </c>
      <c r="AI77" s="119" t="str">
        <f t="shared" si="18"/>
        <v>echo {"issue":{"subject":"","project_id":79,"tracker_id":40,"status_id":1,"priority_id":2,"assigned_to_id":23,"start_date":"2016-11-30","description":"","custom_fields":[{"id":1,"name":"Subdivision","value":"EC"},{"id":4,"name":"Milepost","value":"0.0161"},{"id":17,"name":"Train ID","value":"164-30"},{"id":16,"name":"Locomotive ID","value":"4012"},{"id":130,"name":"Impact","value":""},{"id":150,"name":"Time of Event (Mountain Time)","value":"13:05:06"},{"id":151,"name":"Denver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623</v>
      </c>
      <c r="B78" s="7">
        <v>4003</v>
      </c>
      <c r="C78" s="22" t="s">
        <v>212</v>
      </c>
      <c r="D78" s="22" t="s">
        <v>348</v>
      </c>
      <c r="E78" s="13">
        <v>42704.484560185185</v>
      </c>
      <c r="F78" s="13">
        <v>42704.49050925926</v>
      </c>
      <c r="G78" s="7">
        <v>1</v>
      </c>
      <c r="H78" s="22" t="s">
        <v>246</v>
      </c>
      <c r="I78" s="13">
        <v>42704.514884259261</v>
      </c>
      <c r="J78" s="7">
        <v>0</v>
      </c>
      <c r="K78" s="109" t="str">
        <f t="shared" si="24"/>
        <v>4003/4004</v>
      </c>
      <c r="L78" s="22" t="str">
        <f>VLOOKUP(A78,'Trips&amp;Operators'!$C$1:$G$99999,5,FALSE)</f>
        <v>ADANE ELSHADAY</v>
      </c>
      <c r="M78" s="6">
        <f t="shared" si="25"/>
        <v>2.4375000000873115E-2</v>
      </c>
      <c r="N78" s="7">
        <f t="shared" si="22"/>
        <v>35.100000001257285</v>
      </c>
      <c r="O78" s="7"/>
      <c r="P78" s="7"/>
      <c r="Q78" s="23"/>
      <c r="R78" s="23"/>
      <c r="S78" s="35">
        <f t="shared" si="23"/>
        <v>1</v>
      </c>
      <c r="T78" s="50" t="str">
        <f t="shared" si="26"/>
        <v>NorthBound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27"/>
        <v>https://search-rtdc-monitor-bjffxe2xuh6vdkpspy63sjmuny.us-east-1.es.amazonaws.com/_plugin/kibana/#/discover/Steve-Slow-Train-Analysis-(2080s-and-2083s)?_g=(refreshInterval:(display:Off,section:0,value:0),time:(from:'2016-11-30 10:37:46-700',mode:absolute,to:'2016-11-30 13:21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78" s="52" t="str">
        <f t="shared" si="28"/>
        <v>N</v>
      </c>
      <c r="X78" s="177">
        <f t="shared" si="29"/>
        <v>1</v>
      </c>
      <c r="Y78" s="67">
        <f t="shared" si="30"/>
        <v>4.3700000000000003E-2</v>
      </c>
      <c r="Z78" s="67">
        <f t="shared" si="31"/>
        <v>23.331399999999999</v>
      </c>
      <c r="AA78" s="67">
        <f t="shared" si="32"/>
        <v>23.287699999999997</v>
      </c>
      <c r="AB78" s="64" t="e">
        <f>VLOOKUP(A78,Enforcements!$C$7:$K$20,8,0)</f>
        <v>#N/A</v>
      </c>
      <c r="AC78" s="60" t="e">
        <f>VLOOKUP(A78,Enforcements!$C$7:$E$20,3,0)</f>
        <v>#N/A</v>
      </c>
      <c r="AD78" s="61" t="str">
        <f t="shared" si="33"/>
        <v>0165-30</v>
      </c>
      <c r="AE78" s="91" t="str">
        <f t="shared" si="34"/>
        <v>aws s3 cp s3://rtdc.mdm.uploadarchive.raw/RTDC4003/ "%USERPROFILE%\AppData\Local\Temp\OnboardLogs"\RTDC4003\2016-11-30 --exclude "*" --recursive --include "*20161130*" &amp; "%USERPROFILE%\Documents\GitHub\mrs-test-scripts\Headless Mode &amp; Sideloading\WalkAndUnGZ.bat" "%USERPROFILE%\AppData\Local\Temp\OnboardLogs"\RTDC4003\2016-11-30 &amp; aws s3 cp s3://rtdc.mdm.uploadarchive.raw/RTDC4003/ "%USERPROFILE%\AppData\Local\Temp\OnboardLogs"\RTDC4003\2016-12-01 --exclude "*" --recursive --include "*20161201*" &amp; "%USERPROFILE%\Documents\GitHub\mrs-test-scripts\Headless Mode &amp; Sideloading\WalkAndUnGZ.bat" "%USERPROFILE%\AppData\Local\Temp\OnboardLogs"\RTDC4003\2016-12-01</v>
      </c>
      <c r="AF78" s="88" t="str">
        <f t="shared" si="35"/>
        <v>"C:\Program Files (x86)\AstroGrep\AstroGrep.exe" /spath="%USERPROFILE%\AppData\Local\Temp\OnboardLogs" /stypes="app*4003*20161130*" /stext=" 19:.+((SYSTEM_STATE.+slice.+state.+changed )|(ment ac)|(multiple cpu faults)|(system.+state.+changed )|(\[timeout)|(PRM\|1\|D)|(kpr)|(kdp)|(\|lc)|(penalty))" /e /r /s</v>
      </c>
      <c r="AG78" s="1" t="str">
        <f t="shared" si="36"/>
        <v>EC</v>
      </c>
      <c r="AH78" s="92" t="str">
        <f t="shared" ref="AH78:AH139" si="37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165-30 --locoid 4003 --swversion DE.1.0.8.0 --startMP 204:437 --initTime 2016-11-30T11:37:46 --startdatetime 2016-11-30T11:46:20 --delay 1 --endMP 204:233314 --enddatetime 2016-11-30T12:21:26 --enforcementcount 0 &gt;&gt;C:\Users\stu\Documents\GitHub\eaglep3-reporting\EC\2016-11-30-refined-times.txt</v>
      </c>
      <c r="AI78" s="119" t="str">
        <f t="shared" ref="AI78:AI139" si="38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{"issue":{"subject":"","project_id":79,"tracker_id":40,"status_id":1,"priority_id":2,"assigned_to_id":23,"start_date":"2016-11-30","description":"","custom_fields":[{"id":1,"name":"Subdivision","value":"EC"},{"id":4,"name":"Milepost","value":"23.3314"},{"id":17,"name":"Train ID","value":"165-30"},{"id":16,"name":"Locomotive ID","value":"4003"},{"id":130,"name":"Impact","value":""},{"id":150,"name":"Time of Event (Mountain Time)","value":"12:21:26"},{"id":151,"name":"Denver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540</v>
      </c>
      <c r="B79" s="7">
        <v>4004</v>
      </c>
      <c r="C79" s="22" t="s">
        <v>212</v>
      </c>
      <c r="D79" s="22" t="s">
        <v>301</v>
      </c>
      <c r="E79" s="13">
        <v>42704.517500000002</v>
      </c>
      <c r="F79" s="13">
        <v>42704.528993055559</v>
      </c>
      <c r="G79" s="7">
        <v>1</v>
      </c>
      <c r="H79" s="22" t="s">
        <v>243</v>
      </c>
      <c r="I79" s="13">
        <v>42704.554745370369</v>
      </c>
      <c r="J79" s="7">
        <v>0</v>
      </c>
      <c r="K79" s="109" t="str">
        <f t="shared" si="24"/>
        <v>4003/4004</v>
      </c>
      <c r="L79" s="22" t="str">
        <f>VLOOKUP(A79,'Trips&amp;Operators'!$C$1:$G$99999,5,FALSE)</f>
        <v>ADANE ELSHADAY</v>
      </c>
      <c r="M79" s="6">
        <f t="shared" si="25"/>
        <v>2.5752314810233656E-2</v>
      </c>
      <c r="N79" s="7">
        <f t="shared" si="22"/>
        <v>37.083333326736465</v>
      </c>
      <c r="O79" s="7"/>
      <c r="P79" s="7"/>
      <c r="Q79" s="23"/>
      <c r="R79" s="23"/>
      <c r="S79" s="35">
        <f t="shared" si="23"/>
        <v>1</v>
      </c>
      <c r="T79" s="50" t="str">
        <f t="shared" si="26"/>
        <v>Southbound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27"/>
        <v>https://search-rtdc-monitor-bjffxe2xuh6vdkpspy63sjmuny.us-east-1.es.amazonaws.com/_plugin/kibana/#/discover/Steve-Slow-Train-Analysis-(2080s-and-2083s)?_g=(refreshInterval:(display:Off,section:0,value:0),time:(from:'2016-11-30 11:25:12-700',mode:absolute,to:'2016-11-30 14:18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79" s="52" t="str">
        <f t="shared" si="28"/>
        <v>N</v>
      </c>
      <c r="X79" s="177">
        <f t="shared" si="29"/>
        <v>1</v>
      </c>
      <c r="Y79" s="67">
        <f t="shared" si="30"/>
        <v>23.298500000000001</v>
      </c>
      <c r="Z79" s="67">
        <f t="shared" si="31"/>
        <v>1.47E-2</v>
      </c>
      <c r="AA79" s="67">
        <f t="shared" si="32"/>
        <v>23.283799999999999</v>
      </c>
      <c r="AB79" s="64" t="str">
        <f>VLOOKUP(A79,Enforcements!$C$7:$K$20,8,0)</f>
        <v>Speed (6)</v>
      </c>
      <c r="AC79" s="60" t="str">
        <f>VLOOKUP(A79,Enforcements!$C$7:$E$20,3,0)</f>
        <v>PERMANENT SPEED RESTRICTION</v>
      </c>
      <c r="AD79" s="61" t="str">
        <f t="shared" si="33"/>
        <v>0166-30</v>
      </c>
      <c r="AE79" s="91" t="str">
        <f t="shared" si="34"/>
        <v>aws s3 cp s3://rtdc.mdm.uploadarchive.raw/RTDC4004/ "%USERPROFILE%\AppData\Local\Temp\OnboardLogs"\RTDC4004\2016-11-30 --exclude "*" --recursive --include "*20161130*" &amp; "%USERPROFILE%\Documents\GitHub\mrs-test-scripts\Headless Mode &amp; Sideloading\WalkAndUnGZ.bat" "%USERPROFILE%\AppData\Local\Temp\OnboardLogs"\RTDC4004\2016-11-30 &amp; aws s3 cp s3://rtdc.mdm.uploadarchive.raw/RTDC4004/ "%USERPROFILE%\AppData\Local\Temp\OnboardLogs"\RTDC4004\2016-12-01 --exclude "*" --recursive --include "*20161201*" &amp; "%USERPROFILE%\Documents\GitHub\mrs-test-scripts\Headless Mode &amp; Sideloading\WalkAndUnGZ.bat" "%USERPROFILE%\AppData\Local\Temp\OnboardLogs"\RTDC4004\2016-12-01</v>
      </c>
      <c r="AF79" s="88" t="str">
        <f t="shared" si="35"/>
        <v>"C:\Program Files (x86)\AstroGrep\AstroGrep.exe" /spath="%USERPROFILE%\AppData\Local\Temp\OnboardLogs" /stypes="app*4004*20161130*" /stext=" 20:.+((SYSTEM_STATE.+slice.+state.+changed )|(ment ac)|(multiple cpu faults)|(system.+state.+changed )|(\[timeout)|(PRM\|1\|D)|(kpr)|(kdp)|(\|lc)|(penalty))" /e /r /s</v>
      </c>
      <c r="AG79" s="1" t="str">
        <f t="shared" si="36"/>
        <v>EC</v>
      </c>
      <c r="AH79" s="92" t="str">
        <f t="shared" si="37"/>
        <v>"%USERPROFILE%\Documents\GitHub\eaglep3\Utilities\RefineRTDCRunTimes.py" --tripid 166-30 --locoid 4004 --swversion DE.1.0.8.0 --startMP 204:232985 --initTime 2016-11-30T12:25:12 --startdatetime 2016-11-30T12:41:45 --delay 1 --endMP 204:147 --enddatetime 2016-11-30T13:18:50 --enforcementcount 0 &gt;&gt;C:\Users\stu\Documents\GitHub\eaglep3-reporting\EC\2016-11-30-refined-times.txt</v>
      </c>
      <c r="AI79" s="119" t="str">
        <f t="shared" si="38"/>
        <v>echo {"issue":{"subject":"","project_id":79,"tracker_id":40,"status_id":1,"priority_id":2,"assigned_to_id":23,"start_date":"2016-11-30","description":"","custom_fields":[{"id":1,"name":"Subdivision","value":"EC"},{"id":4,"name":"Milepost","value":"0.0147"},{"id":17,"name":"Train ID","value":"166-30"},{"id":16,"name":"Locomotive ID","value":"4004"},{"id":130,"name":"Impact","value":""},{"id":150,"name":"Time of Event (Mountain Time)","value":"13:18:50"},{"id":151,"name":"Denver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626</v>
      </c>
      <c r="B80" s="7">
        <v>4038</v>
      </c>
      <c r="C80" s="22" t="s">
        <v>212</v>
      </c>
      <c r="D80" s="22" t="s">
        <v>256</v>
      </c>
      <c r="E80" s="13">
        <v>42704.494074074071</v>
      </c>
      <c r="F80" s="13">
        <v>42704.500173611108</v>
      </c>
      <c r="G80" s="7">
        <v>1</v>
      </c>
      <c r="H80" s="22" t="s">
        <v>268</v>
      </c>
      <c r="I80" s="13">
        <v>42704.524965277778</v>
      </c>
      <c r="J80" s="7">
        <v>0</v>
      </c>
      <c r="K80" s="109" t="str">
        <f t="shared" si="24"/>
        <v>4037/4038</v>
      </c>
      <c r="L80" s="22" t="str">
        <f>VLOOKUP(A80,'Trips&amp;Operators'!$C$1:$G$99999,5,FALSE)</f>
        <v>BERLING GARY</v>
      </c>
      <c r="M80" s="6">
        <f t="shared" si="25"/>
        <v>2.4791666670353152E-2</v>
      </c>
      <c r="N80" s="7">
        <f t="shared" si="22"/>
        <v>35.700000005308539</v>
      </c>
      <c r="O80" s="7"/>
      <c r="P80" s="7"/>
      <c r="Q80" s="23"/>
      <c r="R80" s="23"/>
      <c r="S80" s="35">
        <f t="shared" si="23"/>
        <v>1</v>
      </c>
      <c r="T80" s="50" t="str">
        <f t="shared" si="26"/>
        <v>NorthBound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27"/>
        <v>https://search-rtdc-monitor-bjffxe2xuh6vdkpspy63sjmuny.us-east-1.es.amazonaws.com/_plugin/kibana/#/discover/Steve-Slow-Train-Analysis-(2080s-and-2083s)?_g=(refreshInterval:(display:Off,section:0,value:0),time:(from:'2016-11-30 10:51:28-700',mode:absolute,to:'2016-11-30 13:35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80" s="52" t="str">
        <f t="shared" si="28"/>
        <v>N</v>
      </c>
      <c r="X80" s="177">
        <f t="shared" si="29"/>
        <v>1</v>
      </c>
      <c r="Y80" s="67">
        <f t="shared" si="30"/>
        <v>4.5699999999999998E-2</v>
      </c>
      <c r="Z80" s="67">
        <f t="shared" si="31"/>
        <v>23.330300000000001</v>
      </c>
      <c r="AA80" s="67">
        <f t="shared" si="32"/>
        <v>23.284600000000001</v>
      </c>
      <c r="AB80" s="64" t="e">
        <f>VLOOKUP(A80,Enforcements!$C$7:$K$20,8,0)</f>
        <v>#N/A</v>
      </c>
      <c r="AC80" s="60" t="e">
        <f>VLOOKUP(A80,Enforcements!$C$7:$E$20,3,0)</f>
        <v>#N/A</v>
      </c>
      <c r="AD80" s="61" t="str">
        <f t="shared" si="33"/>
        <v>0167-30</v>
      </c>
      <c r="AE80" s="91" t="str">
        <f t="shared" si="34"/>
        <v>aws s3 cp s3://rtdc.mdm.uploadarchive.raw/RTDC4038/ "%USERPROFILE%\AppData\Local\Temp\OnboardLogs"\RTDC4038\2016-11-30 --exclude "*" --recursive --include "*20161130*" &amp; "%USERPROFILE%\Documents\GitHub\mrs-test-scripts\Headless Mode &amp; Sideloading\WalkAndUnGZ.bat" "%USERPROFILE%\AppData\Local\Temp\OnboardLogs"\RTDC4038\2016-11-30 &amp; aws s3 cp s3://rtdc.mdm.uploadarchive.raw/RTDC4038/ "%USERPROFILE%\AppData\Local\Temp\OnboardLogs"\RTDC4038\2016-12-01 --exclude "*" --recursive --include "*20161201*" &amp; "%USERPROFILE%\Documents\GitHub\mrs-test-scripts\Headless Mode &amp; Sideloading\WalkAndUnGZ.bat" "%USERPROFILE%\AppData\Local\Temp\OnboardLogs"\RTDC4038\2016-12-01</v>
      </c>
      <c r="AF80" s="88" t="str">
        <f t="shared" si="35"/>
        <v>"C:\Program Files (x86)\AstroGrep\AstroGrep.exe" /spath="%USERPROFILE%\AppData\Local\Temp\OnboardLogs" /stypes="app*4038*20161130*" /stext=" 19:.+((SYSTEM_STATE.+slice.+state.+changed )|(ment ac)|(multiple cpu faults)|(system.+state.+changed )|(\[timeout)|(PRM\|1\|D)|(kpr)|(kdp)|(\|lc)|(penalty))" /e /r /s</v>
      </c>
      <c r="AG80" s="1" t="str">
        <f t="shared" si="36"/>
        <v>EC</v>
      </c>
      <c r="AH80" s="92" t="str">
        <f t="shared" si="37"/>
        <v>"%USERPROFILE%\Documents\GitHub\eaglep3\Utilities\RefineRTDCRunTimes.py" --tripid 167-30 --locoid 4038 --swversion DE.1.0.8.0 --startMP 204:457 --initTime 2016-11-30T11:51:28 --startdatetime 2016-11-30T12:00:15 --delay 1 --endMP 204:233303 --enddatetime 2016-11-30T12:35:57 --enforcementcount 0 &gt;&gt;C:\Users\stu\Documents\GitHub\eaglep3-reporting\EC\2016-11-30-refined-times.txt</v>
      </c>
      <c r="AI80" s="119" t="str">
        <f t="shared" si="38"/>
        <v>echo {"issue":{"subject":"","project_id":79,"tracker_id":40,"status_id":1,"priority_id":2,"assigned_to_id":23,"start_date":"2016-11-30","description":"","custom_fields":[{"id":1,"name":"Subdivision","value":"EC"},{"id":4,"name":"Milepost","value":"23.3303"},{"id":17,"name":"Train ID","value":"167-30"},{"id":16,"name":"Locomotive ID","value":"4038"},{"id":130,"name":"Impact","value":""},{"id":150,"name":"Time of Event (Mountain Time)","value":"12:35:57"},{"id":151,"name":"Denver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635</v>
      </c>
      <c r="B81" s="7">
        <v>4037</v>
      </c>
      <c r="C81" s="22" t="s">
        <v>212</v>
      </c>
      <c r="D81" s="22" t="s">
        <v>274</v>
      </c>
      <c r="E81" s="13">
        <v>42704.532858796294</v>
      </c>
      <c r="F81" s="13">
        <v>42704.5390625</v>
      </c>
      <c r="G81" s="7">
        <v>1</v>
      </c>
      <c r="H81" s="22" t="s">
        <v>350</v>
      </c>
      <c r="I81" s="13">
        <v>42704.566006944442</v>
      </c>
      <c r="J81" s="7">
        <v>0</v>
      </c>
      <c r="K81" s="109" t="str">
        <f t="shared" si="24"/>
        <v>4037/4038</v>
      </c>
      <c r="L81" s="22" t="str">
        <f>VLOOKUP(A81,'Trips&amp;Operators'!$C$1:$G$99999,5,FALSE)</f>
        <v>BERLING GARY</v>
      </c>
      <c r="M81" s="6">
        <f t="shared" si="25"/>
        <v>2.6944444442051463E-2</v>
      </c>
      <c r="N81" s="7">
        <f t="shared" si="22"/>
        <v>38.799999996554106</v>
      </c>
      <c r="O81" s="7"/>
      <c r="P81" s="7"/>
      <c r="Q81" s="23"/>
      <c r="R81" s="23"/>
      <c r="S81" s="35">
        <f t="shared" si="23"/>
        <v>1</v>
      </c>
      <c r="T81" s="50" t="str">
        <f t="shared" si="26"/>
        <v>Southbound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27"/>
        <v>https://search-rtdc-monitor-bjffxe2xuh6vdkpspy63sjmuny.us-east-1.es.amazonaws.com/_plugin/kibana/#/discover/Steve-Slow-Train-Analysis-(2080s-and-2083s)?_g=(refreshInterval:(display:Off,section:0,value:0),time:(from:'2016-11-30 11:47:19-700',mode:absolute,to:'2016-11-30 14:35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81" s="52" t="str">
        <f t="shared" si="28"/>
        <v>N</v>
      </c>
      <c r="X81" s="177">
        <f t="shared" si="29"/>
        <v>1</v>
      </c>
      <c r="Y81" s="67">
        <f t="shared" si="30"/>
        <v>23.299600000000002</v>
      </c>
      <c r="Z81" s="67">
        <f t="shared" si="31"/>
        <v>1.3599999999999999E-2</v>
      </c>
      <c r="AA81" s="67">
        <f t="shared" si="32"/>
        <v>23.286000000000001</v>
      </c>
      <c r="AB81" s="64" t="e">
        <f>VLOOKUP(A81,Enforcements!$C$7:$K$20,8,0)</f>
        <v>#N/A</v>
      </c>
      <c r="AC81" s="60" t="e">
        <f>VLOOKUP(A81,Enforcements!$C$7:$E$20,3,0)</f>
        <v>#N/A</v>
      </c>
      <c r="AD81" s="61" t="str">
        <f t="shared" si="33"/>
        <v>0168-30</v>
      </c>
      <c r="AE81" s="91" t="str">
        <f t="shared" si="34"/>
        <v>aws s3 cp s3://rtdc.mdm.uploadarchive.raw/RTDC4037/ "%USERPROFILE%\AppData\Local\Temp\OnboardLogs"\RTDC4037\2016-11-30 --exclude "*" --recursive --include "*20161130*" &amp; "%USERPROFILE%\Documents\GitHub\mrs-test-scripts\Headless Mode &amp; Sideloading\WalkAndUnGZ.bat" "%USERPROFILE%\AppData\Local\Temp\OnboardLogs"\RTDC4037\2016-11-30 &amp; aws s3 cp s3://rtdc.mdm.uploadarchive.raw/RTDC4037/ "%USERPROFILE%\AppData\Local\Temp\OnboardLogs"\RTDC4037\2016-12-01 --exclude "*" --recursive --include "*20161201*" &amp; "%USERPROFILE%\Documents\GitHub\mrs-test-scripts\Headless Mode &amp; Sideloading\WalkAndUnGZ.bat" "%USERPROFILE%\AppData\Local\Temp\OnboardLogs"\RTDC4037\2016-12-01</v>
      </c>
      <c r="AF81" s="88" t="str">
        <f t="shared" si="35"/>
        <v>"C:\Program Files (x86)\AstroGrep\AstroGrep.exe" /spath="%USERPROFILE%\AppData\Local\Temp\OnboardLogs" /stypes="app*4037*20161130*" /stext=" 20:.+((SYSTEM_STATE.+slice.+state.+changed )|(ment ac)|(multiple cpu faults)|(system.+state.+changed )|(\[timeout)|(PRM\|1\|D)|(kpr)|(kdp)|(\|lc)|(penalty))" /e /r /s</v>
      </c>
      <c r="AG81" s="1" t="str">
        <f t="shared" si="36"/>
        <v>EC</v>
      </c>
      <c r="AH81" s="92" t="str">
        <f t="shared" si="37"/>
        <v>"%USERPROFILE%\Documents\GitHub\eaglep3\Utilities\RefineRTDCRunTimes.py" --tripid 168-30 --locoid 4037 --swversion DE.1.0.8.0 --startMP 204:232996 --initTime 2016-11-30T12:47:19 --startdatetime 2016-11-30T12:56:15 --delay 1 --endMP 204:136 --enddatetime 2016-11-30T13:35:03 --enforcementcount 0 &gt;&gt;C:\Users\stu\Documents\GitHub\eaglep3-reporting\EC\2016-11-30-refined-times.txt</v>
      </c>
      <c r="AI81" s="119" t="str">
        <f t="shared" si="38"/>
        <v>echo {"issue":{"subject":"","project_id":79,"tracker_id":40,"status_id":1,"priority_id":2,"assigned_to_id":23,"start_date":"2016-11-30","description":"","custom_fields":[{"id":1,"name":"Subdivision","value":"EC"},{"id":4,"name":"Milepost","value":"0.0136"},{"id":17,"name":"Train ID","value":"168-30"},{"id":16,"name":"Locomotive ID","value":"4037"},{"id":130,"name":"Impact","value":""},{"id":150,"name":"Time of Event (Mountain Time)","value":"13:35:03"},{"id":151,"name":"Denver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630</v>
      </c>
      <c r="B82" s="7">
        <v>4044</v>
      </c>
      <c r="C82" s="22" t="s">
        <v>212</v>
      </c>
      <c r="D82" s="22" t="s">
        <v>778</v>
      </c>
      <c r="E82" s="13">
        <v>42704.508287037039</v>
      </c>
      <c r="F82" s="13">
        <v>42704.51121527778</v>
      </c>
      <c r="G82" s="7">
        <v>3</v>
      </c>
      <c r="H82" s="22" t="s">
        <v>488</v>
      </c>
      <c r="I82" s="13">
        <v>42704.535902777781</v>
      </c>
      <c r="J82" s="7">
        <v>0</v>
      </c>
      <c r="K82" s="109" t="str">
        <f t="shared" si="24"/>
        <v>4043/4044</v>
      </c>
      <c r="L82" s="22" t="str">
        <f>VLOOKUP(A82,'Trips&amp;Operators'!$C$1:$G$99999,5,FALSE)</f>
        <v>BRUDER RICHARD</v>
      </c>
      <c r="M82" s="6">
        <f t="shared" si="25"/>
        <v>2.4687500001164153E-2</v>
      </c>
      <c r="N82" s="7">
        <f t="shared" si="22"/>
        <v>35.550000001676381</v>
      </c>
      <c r="O82" s="7"/>
      <c r="P82" s="7"/>
      <c r="Q82" s="23"/>
      <c r="R82" s="23"/>
      <c r="S82" s="35">
        <f t="shared" si="23"/>
        <v>1</v>
      </c>
      <c r="T82" s="50" t="str">
        <f t="shared" si="26"/>
        <v>NorthBound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27"/>
        <v>https://search-rtdc-monitor-bjffxe2xuh6vdkpspy63sjmuny.us-east-1.es.amazonaws.com/_plugin/kibana/#/discover/Steve-Slow-Train-Analysis-(2080s-and-2083s)?_g=(refreshInterval:(display:Off,section:0,value:0),time:(from:'2016-11-30 11:11:56-700',mode:absolute,to:'2016-11-30 13:51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82" s="52" t="str">
        <f t="shared" si="28"/>
        <v>N</v>
      </c>
      <c r="X82" s="177">
        <f t="shared" si="29"/>
        <v>1</v>
      </c>
      <c r="Y82" s="67">
        <f t="shared" si="30"/>
        <v>4.4400000000000002E-2</v>
      </c>
      <c r="Z82" s="67">
        <f t="shared" si="31"/>
        <v>23.331</v>
      </c>
      <c r="AA82" s="67">
        <f t="shared" si="32"/>
        <v>23.2866</v>
      </c>
      <c r="AB82" s="64" t="e">
        <f>VLOOKUP(A82,Enforcements!$C$7:$K$20,8,0)</f>
        <v>#N/A</v>
      </c>
      <c r="AC82" s="60" t="e">
        <f>VLOOKUP(A82,Enforcements!$C$7:$E$20,3,0)</f>
        <v>#N/A</v>
      </c>
      <c r="AD82" s="61" t="str">
        <f t="shared" si="33"/>
        <v>0169-30</v>
      </c>
      <c r="AE82" s="91" t="str">
        <f t="shared" si="34"/>
        <v>aws s3 cp s3://rtdc.mdm.uploadarchive.raw/RTDC4044/ "%USERPROFILE%\AppData\Local\Temp\OnboardLogs"\RTDC4044\2016-11-30 --exclude "*" --recursive --include "*20161130*" &amp; "%USERPROFILE%\Documents\GitHub\mrs-test-scripts\Headless Mode &amp; Sideloading\WalkAndUnGZ.bat" "%USERPROFILE%\AppData\Local\Temp\OnboardLogs"\RTDC4044\2016-11-30 &amp; aws s3 cp s3://rtdc.mdm.uploadarchive.raw/RTDC4044/ "%USERPROFILE%\AppData\Local\Temp\OnboardLogs"\RTDC4044\2016-12-01 --exclude "*" --recursive --include "*20161201*" &amp; "%USERPROFILE%\Documents\GitHub\mrs-test-scripts\Headless Mode &amp; Sideloading\WalkAndUnGZ.bat" "%USERPROFILE%\AppData\Local\Temp\OnboardLogs"\RTDC4044\2016-12-01</v>
      </c>
      <c r="AF82" s="88" t="str">
        <f t="shared" si="35"/>
        <v>"C:\Program Files (x86)\AstroGrep\AstroGrep.exe" /spath="%USERPROFILE%\AppData\Local\Temp\OnboardLogs" /stypes="app*4044*20161130*" /stext=" 19:.+((SYSTEM_STATE.+slice.+state.+changed )|(ment ac)|(multiple cpu faults)|(system.+state.+changed )|(\[timeout)|(PRM\|1\|D)|(kpr)|(kdp)|(\|lc)|(penalty))" /e /r /s</v>
      </c>
      <c r="AG82" s="1" t="str">
        <f t="shared" si="36"/>
        <v>EC</v>
      </c>
      <c r="AH82" s="92" t="str">
        <f t="shared" si="37"/>
        <v>"%USERPROFILE%\Documents\GitHub\eaglep3\Utilities\RefineRTDCRunTimes.py" --tripid 169-30 --locoid 4044 --swversion DE.1.0.8.0 --startMP 204:444 --initTime 2016-11-30T12:11:56 --startdatetime 2016-11-30T12:16:09 --delay 3 --endMP 204:233310 --enddatetime 2016-11-30T12:51:42 --enforcementcount 0 &gt;&gt;C:\Users\stu\Documents\GitHub\eaglep3-reporting\EC\2016-11-30-refined-times.txt</v>
      </c>
      <c r="AI82" s="119" t="str">
        <f t="shared" si="38"/>
        <v>echo {"issue":{"subject":"","project_id":79,"tracker_id":40,"status_id":1,"priority_id":2,"assigned_to_id":23,"start_date":"2016-11-30","description":"","custom_fields":[{"id":1,"name":"Subdivision","value":"EC"},{"id":4,"name":"Milepost","value":"23.331"},{"id":17,"name":"Train ID","value":"169-30"},{"id":16,"name":"Locomotive ID","value":"4044"},{"id":130,"name":"Impact","value":""},{"id":150,"name":"Time of Event (Mountain Time)","value":"12:51:42"},{"id":151,"name":"Denver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637</v>
      </c>
      <c r="B83" s="7">
        <v>4043</v>
      </c>
      <c r="C83" s="22" t="s">
        <v>212</v>
      </c>
      <c r="D83" s="22" t="s">
        <v>239</v>
      </c>
      <c r="E83" s="13">
        <v>42704.544814814813</v>
      </c>
      <c r="F83" s="13">
        <v>42704.549525462964</v>
      </c>
      <c r="G83" s="7">
        <v>1</v>
      </c>
      <c r="H83" s="22" t="s">
        <v>192</v>
      </c>
      <c r="I83" s="13">
        <v>42704.576122685183</v>
      </c>
      <c r="J83" s="7">
        <v>0</v>
      </c>
      <c r="K83" s="109" t="str">
        <f t="shared" si="24"/>
        <v>4043/4044</v>
      </c>
      <c r="L83" s="22" t="str">
        <f>VLOOKUP(A83,'Trips&amp;Operators'!$C$1:$G$99999,5,FALSE)</f>
        <v>BRUDER RICHARD</v>
      </c>
      <c r="M83" s="6">
        <f t="shared" si="25"/>
        <v>2.6597222218697425E-2</v>
      </c>
      <c r="N83" s="7">
        <f t="shared" si="22"/>
        <v>38.299999994924292</v>
      </c>
      <c r="O83" s="7"/>
      <c r="P83" s="7"/>
      <c r="Q83" s="23"/>
      <c r="R83" s="23"/>
      <c r="S83" s="35">
        <f t="shared" si="23"/>
        <v>1</v>
      </c>
      <c r="T83" s="50" t="str">
        <f t="shared" si="26"/>
        <v>Southbound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27"/>
        <v>https://search-rtdc-monitor-bjffxe2xuh6vdkpspy63sjmuny.us-east-1.es.amazonaws.com/_plugin/kibana/#/discover/Steve-Slow-Train-Analysis-(2080s-and-2083s)?_g=(refreshInterval:(display:Off,section:0,value:0),time:(from:'2016-11-30 12:04:32-700',mode:absolute,to:'2016-11-30 14:49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83" s="52" t="str">
        <f t="shared" si="28"/>
        <v>N</v>
      </c>
      <c r="X83" s="177">
        <f t="shared" si="29"/>
        <v>1</v>
      </c>
      <c r="Y83" s="67">
        <f t="shared" si="30"/>
        <v>23.299399999999999</v>
      </c>
      <c r="Z83" s="67">
        <f t="shared" si="31"/>
        <v>1.49E-2</v>
      </c>
      <c r="AA83" s="67">
        <f t="shared" si="32"/>
        <v>23.284499999999998</v>
      </c>
      <c r="AB83" s="64" t="e">
        <f>VLOOKUP(A83,Enforcements!$C$7:$K$20,8,0)</f>
        <v>#N/A</v>
      </c>
      <c r="AC83" s="60" t="e">
        <f>VLOOKUP(A83,Enforcements!$C$7:$E$20,3,0)</f>
        <v>#N/A</v>
      </c>
      <c r="AD83" s="61" t="str">
        <f t="shared" si="33"/>
        <v>0170-30</v>
      </c>
      <c r="AE83" s="91" t="str">
        <f t="shared" si="34"/>
        <v>aws s3 cp s3://rtdc.mdm.uploadarchive.raw/RTDC4043/ "%USERPROFILE%\AppData\Local\Temp\OnboardLogs"\RTDC4043\2016-11-30 --exclude "*" --recursive --include "*20161130*" &amp; "%USERPROFILE%\Documents\GitHub\mrs-test-scripts\Headless Mode &amp; Sideloading\WalkAndUnGZ.bat" "%USERPROFILE%\AppData\Local\Temp\OnboardLogs"\RTDC4043\2016-11-30 &amp; aws s3 cp s3://rtdc.mdm.uploadarchive.raw/RTDC4043/ "%USERPROFILE%\AppData\Local\Temp\OnboardLogs"\RTDC4043\2016-12-01 --exclude "*" --recursive --include "*20161201*" &amp; "%USERPROFILE%\Documents\GitHub\mrs-test-scripts\Headless Mode &amp; Sideloading\WalkAndUnGZ.bat" "%USERPROFILE%\AppData\Local\Temp\OnboardLogs"\RTDC4043\2016-12-01</v>
      </c>
      <c r="AF83" s="88" t="str">
        <f t="shared" si="35"/>
        <v>"C:\Program Files (x86)\AstroGrep\AstroGrep.exe" /spath="%USERPROFILE%\AppData\Local\Temp\OnboardLogs" /stypes="app*4043*20161130*" /stext=" 20:.+((SYSTEM_STATE.+slice.+state.+changed )|(ment ac)|(multiple cpu faults)|(system.+state.+changed )|(\[timeout)|(PRM\|1\|D)|(kpr)|(kdp)|(\|lc)|(penalty))" /e /r /s</v>
      </c>
      <c r="AG83" s="1" t="str">
        <f t="shared" si="36"/>
        <v>EC</v>
      </c>
      <c r="AH83" s="92" t="str">
        <f t="shared" si="37"/>
        <v>"%USERPROFILE%\Documents\GitHub\eaglep3\Utilities\RefineRTDCRunTimes.py" --tripid 170-30 --locoid 4043 --swversion DE.1.0.8.0 --startMP 204:232994 --initTime 2016-11-30T13:04:32 --startdatetime 2016-11-30T13:11:19 --delay 1 --endMP 204:149 --enddatetime 2016-11-30T13:49:37 --enforcementcount 0 &gt;&gt;C:\Users\stu\Documents\GitHub\eaglep3-reporting\EC\2016-11-30-refined-times.txt</v>
      </c>
      <c r="AI83" s="119" t="str">
        <f t="shared" si="38"/>
        <v>echo {"issue":{"subject":"","project_id":79,"tracker_id":40,"status_id":1,"priority_id":2,"assigned_to_id":23,"start_date":"2016-11-30","description":"","custom_fields":[{"id":1,"name":"Subdivision","value":"EC"},{"id":4,"name":"Milepost","value":"0.0149"},{"id":17,"name":"Train ID","value":"170-30"},{"id":16,"name":"Locomotive ID","value":"4043"},{"id":130,"name":"Impact","value":""},{"id":150,"name":"Time of Event (Mountain Time)","value":"13:49:37"},{"id":151,"name":"Denver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632</v>
      </c>
      <c r="B84" s="7">
        <v>4031</v>
      </c>
      <c r="C84" s="22" t="s">
        <v>212</v>
      </c>
      <c r="D84" s="22" t="s">
        <v>234</v>
      </c>
      <c r="E84" s="13">
        <v>42704.515798611108</v>
      </c>
      <c r="F84" s="13">
        <v>42704.521249999998</v>
      </c>
      <c r="G84" s="7">
        <v>3</v>
      </c>
      <c r="H84" s="22" t="s">
        <v>349</v>
      </c>
      <c r="I84" s="13">
        <v>42704.545798611114</v>
      </c>
      <c r="J84" s="7">
        <v>0</v>
      </c>
      <c r="K84" s="109" t="str">
        <f t="shared" si="24"/>
        <v>4031/4032</v>
      </c>
      <c r="L84" s="22" t="str">
        <f>VLOOKUP(A84,'Trips&amp;Operators'!$C$1:$G$99999,5,FALSE)</f>
        <v>STORY SAMANTHA</v>
      </c>
      <c r="M84" s="6">
        <f t="shared" si="25"/>
        <v>2.4548611116188113E-2</v>
      </c>
      <c r="N84" s="7">
        <f t="shared" si="22"/>
        <v>35.350000007310882</v>
      </c>
      <c r="O84" s="7"/>
      <c r="P84" s="7"/>
      <c r="Q84" s="23"/>
      <c r="R84" s="23"/>
      <c r="S84" s="35">
        <f t="shared" si="23"/>
        <v>1</v>
      </c>
      <c r="T84" s="50" t="str">
        <f t="shared" si="26"/>
        <v>NorthBound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27"/>
        <v>https://search-rtdc-monitor-bjffxe2xuh6vdkpspy63sjmuny.us-east-1.es.amazonaws.com/_plugin/kibana/#/discover/Steve-Slow-Train-Analysis-(2080s-and-2083s)?_g=(refreshInterval:(display:Off,section:0,value:0),time:(from:'2016-11-30 11:22:45-700',mode:absolute,to:'2016-11-30 14:05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84" s="52" t="str">
        <f t="shared" si="28"/>
        <v>N</v>
      </c>
      <c r="X84" s="177">
        <f t="shared" si="29"/>
        <v>1</v>
      </c>
      <c r="Y84" s="67">
        <f t="shared" si="30"/>
        <v>4.4900000000000002E-2</v>
      </c>
      <c r="Z84" s="67">
        <f t="shared" si="31"/>
        <v>23.327999999999999</v>
      </c>
      <c r="AA84" s="67">
        <f t="shared" si="32"/>
        <v>23.283100000000001</v>
      </c>
      <c r="AB84" s="64" t="e">
        <f>VLOOKUP(A84,Enforcements!$C$7:$K$20,8,0)</f>
        <v>#N/A</v>
      </c>
      <c r="AC84" s="60" t="e">
        <f>VLOOKUP(A84,Enforcements!$C$7:$E$20,3,0)</f>
        <v>#N/A</v>
      </c>
      <c r="AD84" s="61" t="str">
        <f t="shared" si="33"/>
        <v>0171-30</v>
      </c>
      <c r="AE84" s="91" t="str">
        <f t="shared" si="34"/>
        <v>aws s3 cp s3://rtdc.mdm.uploadarchive.raw/RTDC4031/ "%USERPROFILE%\AppData\Local\Temp\OnboardLogs"\RTDC4031\2016-11-30 --exclude "*" --recursive --include "*20161130*" &amp; "%USERPROFILE%\Documents\GitHub\mrs-test-scripts\Headless Mode &amp; Sideloading\WalkAndUnGZ.bat" "%USERPROFILE%\AppData\Local\Temp\OnboardLogs"\RTDC4031\2016-11-30 &amp; aws s3 cp s3://rtdc.mdm.uploadarchive.raw/RTDC4031/ "%USERPROFILE%\AppData\Local\Temp\OnboardLogs"\RTDC4031\2016-12-01 --exclude "*" --recursive --include "*20161201*" &amp; "%USERPROFILE%\Documents\GitHub\mrs-test-scripts\Headless Mode &amp; Sideloading\WalkAndUnGZ.bat" "%USERPROFILE%\AppData\Local\Temp\OnboardLogs"\RTDC4031\2016-12-01</v>
      </c>
      <c r="AF84" s="88" t="str">
        <f t="shared" si="35"/>
        <v>"C:\Program Files (x86)\AstroGrep\AstroGrep.exe" /spath="%USERPROFILE%\AppData\Local\Temp\OnboardLogs" /stypes="app*4031*20161130*" /stext=" 20:.+((SYSTEM_STATE.+slice.+state.+changed )|(ment ac)|(multiple cpu faults)|(system.+state.+changed )|(\[timeout)|(PRM\|1\|D)|(kpr)|(kdp)|(\|lc)|(penalty))" /e /r /s</v>
      </c>
      <c r="AG84" s="1" t="str">
        <f t="shared" si="36"/>
        <v>EC</v>
      </c>
      <c r="AH84" s="92" t="str">
        <f t="shared" si="37"/>
        <v>"%USERPROFILE%\Documents\GitHub\eaglep3\Utilities\RefineRTDCRunTimes.py" --tripid 171-30 --locoid 4031 --swversion DE.1.0.8.0 --startMP 204:449 --initTime 2016-11-30T12:22:45 --startdatetime 2016-11-30T12:30:36 --delay 3 --endMP 204:233280 --enddatetime 2016-11-30T13:05:57 --enforcementcount 0 &gt;&gt;C:\Users\stu\Documents\GitHub\eaglep3-reporting\EC\2016-11-30-refined-times.txt</v>
      </c>
      <c r="AI84" s="119" t="str">
        <f t="shared" si="38"/>
        <v>echo {"issue":{"subject":"","project_id":79,"tracker_id":40,"status_id":1,"priority_id":2,"assigned_to_id":23,"start_date":"2016-11-30","description":"","custom_fields":[{"id":1,"name":"Subdivision","value":"EC"},{"id":4,"name":"Milepost","value":"23.328"},{"id":17,"name":"Train ID","value":"171-30"},{"id":16,"name":"Locomotive ID","value":"4031"},{"id":130,"name":"Impact","value":""},{"id":150,"name":"Time of Event (Mountain Time)","value":"13:05:57"},{"id":151,"name":"Denver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639</v>
      </c>
      <c r="B85" s="7">
        <v>4032</v>
      </c>
      <c r="C85" s="22" t="s">
        <v>212</v>
      </c>
      <c r="D85" s="22" t="s">
        <v>779</v>
      </c>
      <c r="E85" s="13">
        <v>42704.554861111108</v>
      </c>
      <c r="F85" s="13">
        <v>42704.560266203705</v>
      </c>
      <c r="G85" s="7">
        <v>1</v>
      </c>
      <c r="H85" s="22" t="s">
        <v>311</v>
      </c>
      <c r="I85" s="13">
        <v>42704.586956018517</v>
      </c>
      <c r="J85" s="7">
        <v>0</v>
      </c>
      <c r="K85" s="109" t="str">
        <f t="shared" si="24"/>
        <v>4031/4032</v>
      </c>
      <c r="L85" s="22" t="str">
        <f>VLOOKUP(A85,'Trips&amp;Operators'!$C$1:$G$99999,5,FALSE)</f>
        <v>STORY SAMANTHA</v>
      </c>
      <c r="M85" s="6">
        <f t="shared" si="25"/>
        <v>2.6689814811106771E-2</v>
      </c>
      <c r="N85" s="7">
        <f t="shared" si="22"/>
        <v>38.433333327993751</v>
      </c>
      <c r="O85" s="7"/>
      <c r="P85" s="7"/>
      <c r="Q85" s="23"/>
      <c r="R85" s="23"/>
      <c r="S85" s="35">
        <f t="shared" si="23"/>
        <v>1</v>
      </c>
      <c r="T85" s="50" t="str">
        <f t="shared" si="26"/>
        <v>Southbound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27"/>
        <v>https://search-rtdc-monitor-bjffxe2xuh6vdkpspy63sjmuny.us-east-1.es.amazonaws.com/_plugin/kibana/#/discover/Steve-Slow-Train-Analysis-(2080s-and-2083s)?_g=(refreshInterval:(display:Off,section:0,value:0),time:(from:'2016-11-30 12:19:00-700',mode:absolute,to:'2016-11-30 15:05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85" s="52" t="str">
        <f t="shared" si="28"/>
        <v>N</v>
      </c>
      <c r="X85" s="177">
        <f t="shared" si="29"/>
        <v>1</v>
      </c>
      <c r="Y85" s="67">
        <f t="shared" si="30"/>
        <v>23.2959</v>
      </c>
      <c r="Z85" s="67">
        <f t="shared" si="31"/>
        <v>1.6E-2</v>
      </c>
      <c r="AA85" s="67">
        <f t="shared" si="32"/>
        <v>23.279900000000001</v>
      </c>
      <c r="AB85" s="64" t="e">
        <f>VLOOKUP(A85,Enforcements!$C$7:$K$20,8,0)</f>
        <v>#N/A</v>
      </c>
      <c r="AC85" s="60" t="e">
        <f>VLOOKUP(A85,Enforcements!$C$7:$E$20,3,0)</f>
        <v>#N/A</v>
      </c>
      <c r="AD85" s="61" t="str">
        <f t="shared" si="33"/>
        <v>0172-30</v>
      </c>
      <c r="AE85" s="91" t="str">
        <f t="shared" si="34"/>
        <v>aws s3 cp s3://rtdc.mdm.uploadarchive.raw/RTDC4032/ "%USERPROFILE%\AppData\Local\Temp\OnboardLogs"\RTDC4032\2016-11-30 --exclude "*" --recursive --include "*20161130*" &amp; "%USERPROFILE%\Documents\GitHub\mrs-test-scripts\Headless Mode &amp; Sideloading\WalkAndUnGZ.bat" "%USERPROFILE%\AppData\Local\Temp\OnboardLogs"\RTDC4032\2016-11-30 &amp; aws s3 cp s3://rtdc.mdm.uploadarchive.raw/RTDC4032/ "%USERPROFILE%\AppData\Local\Temp\OnboardLogs"\RTDC4032\2016-12-01 --exclude "*" --recursive --include "*20161201*" &amp; "%USERPROFILE%\Documents\GitHub\mrs-test-scripts\Headless Mode &amp; Sideloading\WalkAndUnGZ.bat" "%USERPROFILE%\AppData\Local\Temp\OnboardLogs"\RTDC4032\2016-12-01</v>
      </c>
      <c r="AF85" s="88" t="str">
        <f t="shared" si="35"/>
        <v>"C:\Program Files (x86)\AstroGrep\AstroGrep.exe" /spath="%USERPROFILE%\AppData\Local\Temp\OnboardLogs" /stypes="app*4032*20161130*" /stext=" 21:.+((SYSTEM_STATE.+slice.+state.+changed )|(ment ac)|(multiple cpu faults)|(system.+state.+changed )|(\[timeout)|(PRM\|1\|D)|(kpr)|(kdp)|(\|lc)|(penalty))" /e /r /s</v>
      </c>
      <c r="AG85" s="1" t="str">
        <f t="shared" si="36"/>
        <v>EC</v>
      </c>
      <c r="AH85" s="92" t="str">
        <f t="shared" si="37"/>
        <v>"%USERPROFILE%\Documents\GitHub\eaglep3\Utilities\RefineRTDCRunTimes.py" --tripid 172-30 --locoid 4032 --swversion DE.1.0.8.0 --startMP 204:232959 --initTime 2016-11-30T13:19:00 --startdatetime 2016-11-30T13:26:47 --delay 1 --endMP 204:160 --enddatetime 2016-11-30T14:05:13 --enforcementcount 0 &gt;&gt;C:\Users\stu\Documents\GitHub\eaglep3-reporting\EC\2016-11-30-refined-times.txt</v>
      </c>
      <c r="AI85" s="119" t="str">
        <f t="shared" si="38"/>
        <v>echo {"issue":{"subject":"","project_id":79,"tracker_id":40,"status_id":1,"priority_id":2,"assigned_to_id":23,"start_date":"2016-11-30","description":"","custom_fields":[{"id":1,"name":"Subdivision","value":"EC"},{"id":4,"name":"Milepost","value":"0.016"},{"id":17,"name":"Train ID","value":"172-30"},{"id":16,"name":"Locomotive ID","value":"4032"},{"id":130,"name":"Impact","value":""},{"id":150,"name":"Time of Event (Mountain Time)","value":"14:05:13"},{"id":151,"name":"Denver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634</v>
      </c>
      <c r="B86" s="7">
        <v>4046</v>
      </c>
      <c r="C86" s="22" t="s">
        <v>212</v>
      </c>
      <c r="D86" s="22" t="s">
        <v>765</v>
      </c>
      <c r="E86" s="13">
        <v>42704.527233796296</v>
      </c>
      <c r="F86" s="13">
        <v>42704.531585648147</v>
      </c>
      <c r="G86" s="7">
        <v>1</v>
      </c>
      <c r="H86" s="22" t="s">
        <v>254</v>
      </c>
      <c r="I86" s="13">
        <v>42704.556481481479</v>
      </c>
      <c r="J86" s="7">
        <v>0</v>
      </c>
      <c r="K86" s="109" t="str">
        <f t="shared" si="24"/>
        <v>4045/4046</v>
      </c>
      <c r="L86" s="22" t="str">
        <f>VLOOKUP(A86,'Trips&amp;Operators'!$C$1:$G$99999,5,FALSE)</f>
        <v>BONDS REYNALDO</v>
      </c>
      <c r="M86" s="6">
        <f t="shared" si="25"/>
        <v>2.4895833332266193E-2</v>
      </c>
      <c r="N86" s="7">
        <f t="shared" si="22"/>
        <v>35.849999998463318</v>
      </c>
      <c r="O86" s="7"/>
      <c r="P86" s="7"/>
      <c r="Q86" s="23"/>
      <c r="R86" s="23"/>
      <c r="S86" s="35">
        <f t="shared" si="23"/>
        <v>1</v>
      </c>
      <c r="T86" s="50" t="str">
        <f t="shared" si="26"/>
        <v>NorthBound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27"/>
        <v>https://search-rtdc-monitor-bjffxe2xuh6vdkpspy63sjmuny.us-east-1.es.amazonaws.com/_plugin/kibana/#/discover/Steve-Slow-Train-Analysis-(2080s-and-2083s)?_g=(refreshInterval:(display:Off,section:0,value:0),time:(from:'2016-11-30 11:39:13-700',mode:absolute,to:'2016-11-30 14:21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86" s="52" t="str">
        <f t="shared" si="28"/>
        <v>N</v>
      </c>
      <c r="X86" s="177">
        <f t="shared" si="29"/>
        <v>1</v>
      </c>
      <c r="Y86" s="67">
        <f t="shared" si="30"/>
        <v>4.4600000000000001E-2</v>
      </c>
      <c r="Z86" s="67">
        <f t="shared" si="31"/>
        <v>23.330200000000001</v>
      </c>
      <c r="AA86" s="67">
        <f t="shared" si="32"/>
        <v>23.285600000000002</v>
      </c>
      <c r="AB86" s="64" t="e">
        <f>VLOOKUP(A86,Enforcements!$C$7:$K$20,8,0)</f>
        <v>#N/A</v>
      </c>
      <c r="AC86" s="60" t="e">
        <f>VLOOKUP(A86,Enforcements!$C$7:$E$20,3,0)</f>
        <v>#N/A</v>
      </c>
      <c r="AD86" s="61" t="str">
        <f t="shared" si="33"/>
        <v>0173-30</v>
      </c>
      <c r="AE86" s="91" t="str">
        <f t="shared" si="34"/>
        <v>aws s3 cp s3://rtdc.mdm.uploadarchive.raw/RTDC4046/ "%USERPROFILE%\AppData\Local\Temp\OnboardLogs"\RTDC4046\2016-11-30 --exclude "*" --recursive --include "*20161130*" &amp; "%USERPROFILE%\Documents\GitHub\mrs-test-scripts\Headless Mode &amp; Sideloading\WalkAndUnGZ.bat" "%USERPROFILE%\AppData\Local\Temp\OnboardLogs"\RTDC4046\2016-11-30 &amp; aws s3 cp s3://rtdc.mdm.uploadarchive.raw/RTDC4046/ "%USERPROFILE%\AppData\Local\Temp\OnboardLogs"\RTDC4046\2016-12-01 --exclude "*" --recursive --include "*20161201*" &amp; "%USERPROFILE%\Documents\GitHub\mrs-test-scripts\Headless Mode &amp; Sideloading\WalkAndUnGZ.bat" "%USERPROFILE%\AppData\Local\Temp\OnboardLogs"\RTDC4046\2016-12-01</v>
      </c>
      <c r="AF86" s="88" t="str">
        <f t="shared" si="35"/>
        <v>"C:\Program Files (x86)\AstroGrep\AstroGrep.exe" /spath="%USERPROFILE%\AppData\Local\Temp\OnboardLogs" /stypes="app*4046*20161130*" /stext=" 20:.+((SYSTEM_STATE.+slice.+state.+changed )|(ment ac)|(multiple cpu faults)|(system.+state.+changed )|(\[timeout)|(PRM\|1\|D)|(kpr)|(kdp)|(\|lc)|(penalty))" /e /r /s</v>
      </c>
      <c r="AG86" s="1" t="str">
        <f t="shared" si="36"/>
        <v>EC</v>
      </c>
      <c r="AH86" s="92" t="str">
        <f t="shared" si="37"/>
        <v>"%USERPROFILE%\Documents\GitHub\eaglep3\Utilities\RefineRTDCRunTimes.py" --tripid 173-30 --locoid 4046 --swversion DE.1.0.8.0 --startMP 204:446 --initTime 2016-11-30T12:39:13 --startdatetime 2016-11-30T12:45:29 --delay 1 --endMP 204:233302 --enddatetime 2016-11-30T13:21:20 --enforcementcount 0 &gt;&gt;C:\Users\stu\Documents\GitHub\eaglep3-reporting\EC\2016-11-30-refined-times.txt</v>
      </c>
      <c r="AI86" s="119" t="str">
        <f t="shared" si="38"/>
        <v>echo {"issue":{"subject":"","project_id":79,"tracker_id":40,"status_id":1,"priority_id":2,"assigned_to_id":23,"start_date":"2016-11-30","description":"","custom_fields":[{"id":1,"name":"Subdivision","value":"EC"},{"id":4,"name":"Milepost","value":"23.3302"},{"id":17,"name":"Train ID","value":"173-30"},{"id":16,"name":"Locomotive ID","value":"4046"},{"id":130,"name":"Impact","value":""},{"id":150,"name":"Time of Event (Mountain Time)","value":"13:21:20"},{"id":151,"name":"Denver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641</v>
      </c>
      <c r="B87" s="7">
        <v>4045</v>
      </c>
      <c r="C87" s="22" t="s">
        <v>212</v>
      </c>
      <c r="D87" s="22" t="s">
        <v>301</v>
      </c>
      <c r="E87" s="13">
        <v>42704.560891203706</v>
      </c>
      <c r="F87" s="13">
        <v>42704.570567129631</v>
      </c>
      <c r="G87" s="7">
        <v>1</v>
      </c>
      <c r="H87" s="22" t="s">
        <v>232</v>
      </c>
      <c r="I87" s="13">
        <v>42704.597210648149</v>
      </c>
      <c r="J87" s="7">
        <v>0</v>
      </c>
      <c r="K87" s="109" t="str">
        <f t="shared" si="24"/>
        <v>4045/4046</v>
      </c>
      <c r="L87" s="22" t="str">
        <f>VLOOKUP(A87,'Trips&amp;Operators'!$C$1:$G$99999,5,FALSE)</f>
        <v>BONDS REYNALDO</v>
      </c>
      <c r="M87" s="6">
        <f t="shared" si="25"/>
        <v>2.6643518518540077E-2</v>
      </c>
      <c r="N87" s="7">
        <f t="shared" si="22"/>
        <v>38.366666666697711</v>
      </c>
      <c r="O87" s="7"/>
      <c r="P87" s="7"/>
      <c r="Q87" s="23"/>
      <c r="R87" s="23"/>
      <c r="S87" s="35">
        <f t="shared" si="23"/>
        <v>1</v>
      </c>
      <c r="T87" s="50" t="str">
        <f t="shared" si="26"/>
        <v>Southbound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27"/>
        <v>https://search-rtdc-monitor-bjffxe2xuh6vdkpspy63sjmuny.us-east-1.es.amazonaws.com/_plugin/kibana/#/discover/Steve-Slow-Train-Analysis-(2080s-and-2083s)?_g=(refreshInterval:(display:Off,section:0,value:0),time:(from:'2016-11-30 12:27:41-700',mode:absolute,to:'2016-11-30 15:19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87" s="52" t="str">
        <f t="shared" si="28"/>
        <v>N</v>
      </c>
      <c r="X87" s="177">
        <f t="shared" si="29"/>
        <v>1</v>
      </c>
      <c r="Y87" s="67">
        <f t="shared" si="30"/>
        <v>23.298500000000001</v>
      </c>
      <c r="Z87" s="67">
        <f t="shared" si="31"/>
        <v>1.54E-2</v>
      </c>
      <c r="AA87" s="67">
        <f t="shared" si="32"/>
        <v>23.283100000000001</v>
      </c>
      <c r="AB87" s="64" t="e">
        <f>VLOOKUP(A87,Enforcements!$C$7:$K$20,8,0)</f>
        <v>#N/A</v>
      </c>
      <c r="AC87" s="60" t="e">
        <f>VLOOKUP(A87,Enforcements!$C$7:$E$20,3,0)</f>
        <v>#N/A</v>
      </c>
      <c r="AD87" s="61" t="str">
        <f t="shared" si="33"/>
        <v>0174-30</v>
      </c>
      <c r="AE87" s="91" t="str">
        <f t="shared" si="34"/>
        <v>aws s3 cp s3://rtdc.mdm.uploadarchive.raw/RTDC4045/ "%USERPROFILE%\AppData\Local\Temp\OnboardLogs"\RTDC4045\2016-11-30 --exclude "*" --recursive --include "*20161130*" &amp; "%USERPROFILE%\Documents\GitHub\mrs-test-scripts\Headless Mode &amp; Sideloading\WalkAndUnGZ.bat" "%USERPROFILE%\AppData\Local\Temp\OnboardLogs"\RTDC4045\2016-11-30 &amp; aws s3 cp s3://rtdc.mdm.uploadarchive.raw/RTDC4045/ "%USERPROFILE%\AppData\Local\Temp\OnboardLogs"\RTDC4045\2016-12-01 --exclude "*" --recursive --include "*20161201*" &amp; "%USERPROFILE%\Documents\GitHub\mrs-test-scripts\Headless Mode &amp; Sideloading\WalkAndUnGZ.bat" "%USERPROFILE%\AppData\Local\Temp\OnboardLogs"\RTDC4045\2016-12-01</v>
      </c>
      <c r="AF87" s="88" t="str">
        <f t="shared" si="35"/>
        <v>"C:\Program Files (x86)\AstroGrep\AstroGrep.exe" /spath="%USERPROFILE%\AppData\Local\Temp\OnboardLogs" /stypes="app*4045*20161130*" /stext=" 21:.+((SYSTEM_STATE.+slice.+state.+changed )|(ment ac)|(multiple cpu faults)|(system.+state.+changed )|(\[timeout)|(PRM\|1\|D)|(kpr)|(kdp)|(\|lc)|(penalty))" /e /r /s</v>
      </c>
      <c r="AG87" s="1" t="str">
        <f t="shared" si="36"/>
        <v>EC</v>
      </c>
      <c r="AH87" s="92" t="str">
        <f t="shared" si="37"/>
        <v>"%USERPROFILE%\Documents\GitHub\eaglep3\Utilities\RefineRTDCRunTimes.py" --tripid 174-30 --locoid 4045 --swversion DE.1.0.8.0 --startMP 204:232985 --initTime 2016-11-30T13:27:41 --startdatetime 2016-11-30T13:41:37 --delay 1 --endMP 204:154 --enddatetime 2016-11-30T14:19:59 --enforcementcount 0 &gt;&gt;C:\Users\stu\Documents\GitHub\eaglep3-reporting\EC\2016-11-30-refined-times.txt</v>
      </c>
      <c r="AI87" s="119" t="str">
        <f t="shared" si="38"/>
        <v>echo {"issue":{"subject":"","project_id":79,"tracker_id":40,"status_id":1,"priority_id":2,"assigned_to_id":23,"start_date":"2016-11-30","description":"","custom_fields":[{"id":1,"name":"Subdivision","value":"EC"},{"id":4,"name":"Milepost","value":"0.0154"},{"id":17,"name":"Train ID","value":"174-30"},{"id":16,"name":"Locomotive ID","value":"4045"},{"id":130,"name":"Impact","value":""},{"id":150,"name":"Time of Event (Mountain Time)","value":"14:19:59"},{"id":151,"name":"Denver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636</v>
      </c>
      <c r="B88" s="7">
        <v>4022</v>
      </c>
      <c r="C88" s="22" t="s">
        <v>212</v>
      </c>
      <c r="D88" s="22" t="s">
        <v>209</v>
      </c>
      <c r="E88" s="13">
        <v>42704.536643518521</v>
      </c>
      <c r="F88" s="13">
        <v>42704.54184027778</v>
      </c>
      <c r="G88" s="7">
        <v>1</v>
      </c>
      <c r="H88" s="22" t="s">
        <v>780</v>
      </c>
      <c r="I88" s="13">
        <v>42704.566874999997</v>
      </c>
      <c r="J88" s="7">
        <v>0</v>
      </c>
      <c r="K88" s="109" t="str">
        <f t="shared" si="24"/>
        <v>4021/4022</v>
      </c>
      <c r="L88" s="22" t="str">
        <f>VLOOKUP(A88,'Trips&amp;Operators'!$C$1:$G$99999,5,FALSE)</f>
        <v>BARTLETT KIANDRA</v>
      </c>
      <c r="M88" s="6">
        <f t="shared" si="25"/>
        <v>2.5034722217242233E-2</v>
      </c>
      <c r="N88" s="7">
        <f t="shared" si="22"/>
        <v>36.049999992828816</v>
      </c>
      <c r="O88" s="7"/>
      <c r="P88" s="7"/>
      <c r="Q88" s="23"/>
      <c r="R88" s="23"/>
      <c r="S88" s="35">
        <f t="shared" si="23"/>
        <v>1</v>
      </c>
      <c r="T88" s="50" t="str">
        <f t="shared" si="26"/>
        <v>NorthBound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27"/>
        <v>https://search-rtdc-monitor-bjffxe2xuh6vdkpspy63sjmuny.us-east-1.es.amazonaws.com/_plugin/kibana/#/discover/Steve-Slow-Train-Analysis-(2080s-and-2083s)?_g=(refreshInterval:(display:Off,section:0,value:0),time:(from:'2016-11-30 11:52:46-700',mode:absolute,to:'2016-11-30 14:36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88" s="52" t="str">
        <f t="shared" si="28"/>
        <v>N</v>
      </c>
      <c r="X88" s="177">
        <f t="shared" si="29"/>
        <v>1</v>
      </c>
      <c r="Y88" s="67">
        <f t="shared" si="30"/>
        <v>4.6199999999999998E-2</v>
      </c>
      <c r="Z88" s="67">
        <f t="shared" si="31"/>
        <v>23.332000000000001</v>
      </c>
      <c r="AA88" s="67">
        <f t="shared" si="32"/>
        <v>23.285800000000002</v>
      </c>
      <c r="AB88" s="64" t="e">
        <f>VLOOKUP(A88,Enforcements!$C$7:$K$20,8,0)</f>
        <v>#N/A</v>
      </c>
      <c r="AC88" s="60" t="e">
        <f>VLOOKUP(A88,Enforcements!$C$7:$E$20,3,0)</f>
        <v>#N/A</v>
      </c>
      <c r="AD88" s="61" t="str">
        <f t="shared" si="33"/>
        <v>0175-30</v>
      </c>
      <c r="AE88" s="91" t="str">
        <f t="shared" si="34"/>
        <v>aws s3 cp s3://rtdc.mdm.uploadarchive.raw/RTDC4022/ "%USERPROFILE%\AppData\Local\Temp\OnboardLogs"\RTDC4022\2016-11-30 --exclude "*" --recursive --include "*20161130*" &amp; "%USERPROFILE%\Documents\GitHub\mrs-test-scripts\Headless Mode &amp; Sideloading\WalkAndUnGZ.bat" "%USERPROFILE%\AppData\Local\Temp\OnboardLogs"\RTDC4022\2016-11-30 &amp; aws s3 cp s3://rtdc.mdm.uploadarchive.raw/RTDC4022/ "%USERPROFILE%\AppData\Local\Temp\OnboardLogs"\RTDC4022\2016-12-01 --exclude "*" --recursive --include "*20161201*" &amp; "%USERPROFILE%\Documents\GitHub\mrs-test-scripts\Headless Mode &amp; Sideloading\WalkAndUnGZ.bat" "%USERPROFILE%\AppData\Local\Temp\OnboardLogs"\RTDC4022\2016-12-01</v>
      </c>
      <c r="AF88" s="88" t="str">
        <f t="shared" si="35"/>
        <v>"C:\Program Files (x86)\AstroGrep\AstroGrep.exe" /spath="%USERPROFILE%\AppData\Local\Temp\OnboardLogs" /stypes="app*4022*20161130*" /stext=" 20:.+((SYSTEM_STATE.+slice.+state.+changed )|(ment ac)|(multiple cpu faults)|(system.+state.+changed )|(\[timeout)|(PRM\|1\|D)|(kpr)|(kdp)|(\|lc)|(penalty))" /e /r /s</v>
      </c>
      <c r="AG88" s="1" t="str">
        <f t="shared" si="36"/>
        <v>EC</v>
      </c>
      <c r="AH88" s="92" t="str">
        <f t="shared" si="37"/>
        <v>"%USERPROFILE%\Documents\GitHub\eaglep3\Utilities\RefineRTDCRunTimes.py" --tripid 175-30 --locoid 4022 --swversion DE.1.0.8.0 --startMP 204:462 --initTime 2016-11-30T12:52:46 --startdatetime 2016-11-30T13:00:15 --delay 1 --endMP 204:233320 --enddatetime 2016-11-30T13:36:18 --enforcementcount 0 &gt;&gt;C:\Users\stu\Documents\GitHub\eaglep3-reporting\EC\2016-11-30-refined-times.txt</v>
      </c>
      <c r="AI88" s="119" t="str">
        <f t="shared" si="38"/>
        <v>echo {"issue":{"subject":"","project_id":79,"tracker_id":40,"status_id":1,"priority_id":2,"assigned_to_id":23,"start_date":"2016-11-30","description":"","custom_fields":[{"id":1,"name":"Subdivision","value":"EC"},{"id":4,"name":"Milepost","value":"23.332"},{"id":17,"name":"Train ID","value":"175-30"},{"id":16,"name":"Locomotive ID","value":"4022"},{"id":130,"name":"Impact","value":""},{"id":150,"name":"Time of Event (Mountain Time)","value":"13:36:18"},{"id":151,"name":"Denver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544</v>
      </c>
      <c r="B89" s="7">
        <v>4021</v>
      </c>
      <c r="C89" s="22" t="s">
        <v>212</v>
      </c>
      <c r="D89" s="22" t="s">
        <v>271</v>
      </c>
      <c r="E89" s="13">
        <v>42704.569409722222</v>
      </c>
      <c r="F89" s="13">
        <v>42704.580960648149</v>
      </c>
      <c r="G89" s="7">
        <v>1</v>
      </c>
      <c r="H89" s="22" t="s">
        <v>781</v>
      </c>
      <c r="I89" s="13">
        <v>42704.607210648152</v>
      </c>
      <c r="J89" s="7">
        <v>0</v>
      </c>
      <c r="K89" s="109" t="str">
        <f t="shared" si="24"/>
        <v>4021/4022</v>
      </c>
      <c r="L89" s="22" t="str">
        <f>VLOOKUP(A89,'Trips&amp;Operators'!$C$1:$G$99999,5,FALSE)</f>
        <v>BARTLETT KIANDRA</v>
      </c>
      <c r="M89" s="6">
        <f t="shared" si="25"/>
        <v>2.6250000002619345E-2</v>
      </c>
      <c r="N89" s="7">
        <f t="shared" si="22"/>
        <v>37.800000003771856</v>
      </c>
      <c r="O89" s="7"/>
      <c r="P89" s="7"/>
      <c r="Q89" s="23"/>
      <c r="R89" s="23"/>
      <c r="S89" s="35">
        <f t="shared" si="23"/>
        <v>1</v>
      </c>
      <c r="T89" s="50" t="str">
        <f t="shared" si="26"/>
        <v>Southbound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27"/>
        <v>https://search-rtdc-monitor-bjffxe2xuh6vdkpspy63sjmuny.us-east-1.es.amazonaws.com/_plugin/kibana/#/discover/Steve-Slow-Train-Analysis-(2080s-and-2083s)?_g=(refreshInterval:(display:Off,section:0,value:0),time:(from:'2016-11-30 12:39:57-700',mode:absolute,to:'2016-11-30 15:34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89" s="52" t="str">
        <f t="shared" si="28"/>
        <v>N</v>
      </c>
      <c r="X89" s="177">
        <f t="shared" si="29"/>
        <v>1</v>
      </c>
      <c r="Y89" s="67">
        <f t="shared" si="30"/>
        <v>23.298400000000001</v>
      </c>
      <c r="Z89" s="67">
        <f t="shared" si="31"/>
        <v>2.1100000000000001E-2</v>
      </c>
      <c r="AA89" s="67">
        <f t="shared" si="32"/>
        <v>23.2773</v>
      </c>
      <c r="AB89" s="64" t="str">
        <f>VLOOKUP(A89,Enforcements!$C$7:$K$20,8,0)</f>
        <v>Speed (6)</v>
      </c>
      <c r="AC89" s="60" t="str">
        <f>VLOOKUP(A89,Enforcements!$C$7:$E$20,3,0)</f>
        <v>PERMANENT SPEED RESTRICTION</v>
      </c>
      <c r="AD89" s="61" t="str">
        <f t="shared" si="33"/>
        <v>0176-30</v>
      </c>
      <c r="AE89" s="91" t="str">
        <f t="shared" si="34"/>
        <v>aws s3 cp s3://rtdc.mdm.uploadarchive.raw/RTDC4021/ "%USERPROFILE%\AppData\Local\Temp\OnboardLogs"\RTDC4021\2016-11-30 --exclude "*" --recursive --include "*20161130*" &amp; "%USERPROFILE%\Documents\GitHub\mrs-test-scripts\Headless Mode &amp; Sideloading\WalkAndUnGZ.bat" "%USERPROFILE%\AppData\Local\Temp\OnboardLogs"\RTDC4021\2016-11-30 &amp; aws s3 cp s3://rtdc.mdm.uploadarchive.raw/RTDC4021/ "%USERPROFILE%\AppData\Local\Temp\OnboardLogs"\RTDC4021\2016-12-01 --exclude "*" --recursive --include "*20161201*" &amp; "%USERPROFILE%\Documents\GitHub\mrs-test-scripts\Headless Mode &amp; Sideloading\WalkAndUnGZ.bat" "%USERPROFILE%\AppData\Local\Temp\OnboardLogs"\RTDC4021\2016-12-01</v>
      </c>
      <c r="AF89" s="88" t="str">
        <f t="shared" si="35"/>
        <v>"C:\Program Files (x86)\AstroGrep\AstroGrep.exe" /spath="%USERPROFILE%\AppData\Local\Temp\OnboardLogs" /stypes="app*4021*20161130*" /stext=" 21:.+((SYSTEM_STATE.+slice.+state.+changed )|(ment ac)|(multiple cpu faults)|(system.+state.+changed )|(\[timeout)|(PRM\|1\|D)|(kpr)|(kdp)|(\|lc)|(penalty))" /e /r /s</v>
      </c>
      <c r="AG89" s="1" t="str">
        <f t="shared" si="36"/>
        <v>EC</v>
      </c>
      <c r="AH89" s="92" t="str">
        <f t="shared" si="37"/>
        <v>"%USERPROFILE%\Documents\GitHub\eaglep3\Utilities\RefineRTDCRunTimes.py" --tripid 176-30 --locoid 4021 --swversion DE.1.0.8.0 --startMP 204:232984 --initTime 2016-11-30T13:39:57 --startdatetime 2016-11-30T13:56:35 --delay 1 --endMP 204:211 --enddatetime 2016-11-30T14:34:23 --enforcementcount 0 &gt;&gt;C:\Users\stu\Documents\GitHub\eaglep3-reporting\EC\2016-11-30-refined-times.txt</v>
      </c>
      <c r="AI89" s="119" t="str">
        <f t="shared" si="38"/>
        <v>echo {"issue":{"subject":"","project_id":79,"tracker_id":40,"status_id":1,"priority_id":2,"assigned_to_id":23,"start_date":"2016-11-30","description":"","custom_fields":[{"id":1,"name":"Subdivision","value":"EC"},{"id":4,"name":"Milepost","value":"0.0211"},{"id":17,"name":"Train ID","value":"176-30"},{"id":16,"name":"Locomotive ID","value":"4021"},{"id":130,"name":"Impact","value":""},{"id":150,"name":"Time of Event (Mountain Time)","value":"14:34:23"},{"id":151,"name":"Denver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542</v>
      </c>
      <c r="B90" s="7">
        <v>4011</v>
      </c>
      <c r="C90" s="22" t="s">
        <v>212</v>
      </c>
      <c r="D90" s="22" t="s">
        <v>315</v>
      </c>
      <c r="E90" s="13">
        <v>42704.547025462962</v>
      </c>
      <c r="F90" s="13">
        <v>42704.552465277775</v>
      </c>
      <c r="G90" s="7">
        <v>1</v>
      </c>
      <c r="H90" s="22" t="s">
        <v>782</v>
      </c>
      <c r="I90" s="13">
        <v>42704.578773148147</v>
      </c>
      <c r="J90" s="7">
        <v>0</v>
      </c>
      <c r="K90" s="109" t="str">
        <f t="shared" si="24"/>
        <v>4011/4012</v>
      </c>
      <c r="L90" s="22" t="str">
        <f>VLOOKUP(A90,'Trips&amp;Operators'!$C$1:$G$99999,5,FALSE)</f>
        <v>DAVIDSON DAVID</v>
      </c>
      <c r="M90" s="6">
        <f t="shared" si="25"/>
        <v>2.6307870371965691E-2</v>
      </c>
      <c r="N90" s="7">
        <f t="shared" si="22"/>
        <v>37.883333335630596</v>
      </c>
      <c r="O90" s="7"/>
      <c r="P90" s="7"/>
      <c r="Q90" s="23"/>
      <c r="R90" s="23"/>
      <c r="S90" s="35">
        <f t="shared" si="23"/>
        <v>1</v>
      </c>
      <c r="T90" s="50" t="str">
        <f t="shared" si="26"/>
        <v>NorthBound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27"/>
        <v>https://search-rtdc-monitor-bjffxe2xuh6vdkpspy63sjmuny.us-east-1.es.amazonaws.com/_plugin/kibana/#/discover/Steve-Slow-Train-Analysis-(2080s-and-2083s)?_g=(refreshInterval:(display:Off,section:0,value:0),time:(from:'2016-11-30 12:07:43-700',mode:absolute,to:'2016-11-30 14:53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90" s="52" t="str">
        <f t="shared" si="28"/>
        <v>N</v>
      </c>
      <c r="X90" s="177">
        <f t="shared" si="29"/>
        <v>1</v>
      </c>
      <c r="Y90" s="67">
        <f t="shared" si="30"/>
        <v>4.7699999999999999E-2</v>
      </c>
      <c r="Z90" s="67">
        <f t="shared" si="31"/>
        <v>23.325500000000002</v>
      </c>
      <c r="AA90" s="67">
        <f t="shared" si="32"/>
        <v>23.277800000000003</v>
      </c>
      <c r="AB90" s="64" t="str">
        <f>VLOOKUP(A90,Enforcements!$C$7:$K$20,8,0)</f>
        <v>Speed (6)</v>
      </c>
      <c r="AC90" s="60" t="str">
        <f>VLOOKUP(A90,Enforcements!$C$7:$E$20,3,0)</f>
        <v>PERMANENT SPEED RESTRICTION</v>
      </c>
      <c r="AD90" s="61" t="str">
        <f t="shared" si="33"/>
        <v>0177-30</v>
      </c>
      <c r="AE90" s="91" t="str">
        <f t="shared" si="34"/>
        <v>aws s3 cp s3://rtdc.mdm.uploadarchive.raw/RTDC4011/ "%USERPROFILE%\AppData\Local\Temp\OnboardLogs"\RTDC4011\2016-11-30 --exclude "*" --recursive --include "*20161130*" &amp; "%USERPROFILE%\Documents\GitHub\mrs-test-scripts\Headless Mode &amp; Sideloading\WalkAndUnGZ.bat" "%USERPROFILE%\AppData\Local\Temp\OnboardLogs"\RTDC4011\2016-11-30 &amp; aws s3 cp s3://rtdc.mdm.uploadarchive.raw/RTDC4011/ "%USERPROFILE%\AppData\Local\Temp\OnboardLogs"\RTDC4011\2016-12-01 --exclude "*" --recursive --include "*20161201*" &amp; "%USERPROFILE%\Documents\GitHub\mrs-test-scripts\Headless Mode &amp; Sideloading\WalkAndUnGZ.bat" "%USERPROFILE%\AppData\Local\Temp\OnboardLogs"\RTDC4011\2016-12-01</v>
      </c>
      <c r="AF90" s="88" t="str">
        <f t="shared" si="35"/>
        <v>"C:\Program Files (x86)\AstroGrep\AstroGrep.exe" /spath="%USERPROFILE%\AppData\Local\Temp\OnboardLogs" /stypes="app*4011*20161130*" /stext=" 20:.+((SYSTEM_STATE.+slice.+state.+changed )|(ment ac)|(multiple cpu faults)|(system.+state.+changed )|(\[timeout)|(PRM\|1\|D)|(kpr)|(kdp)|(\|lc)|(penalty))" /e /r /s</v>
      </c>
      <c r="AG90" s="1" t="str">
        <f t="shared" si="36"/>
        <v>EC</v>
      </c>
      <c r="AH90" s="92" t="str">
        <f t="shared" si="37"/>
        <v>"%USERPROFILE%\Documents\GitHub\eaglep3\Utilities\RefineRTDCRunTimes.py" --tripid 177-30 --locoid 4011 --swversion DE.1.0.8.0 --startMP 204:477 --initTime 2016-11-30T13:07:43 --startdatetime 2016-11-30T13:15:33 --delay 1 --endMP 204:233255 --enddatetime 2016-11-30T13:53:26 --enforcementcount 0 &gt;&gt;C:\Users\stu\Documents\GitHub\eaglep3-reporting\EC\2016-11-30-refined-times.txt</v>
      </c>
      <c r="AI90" s="119" t="str">
        <f t="shared" si="38"/>
        <v>echo {"issue":{"subject":"","project_id":79,"tracker_id":40,"status_id":1,"priority_id":2,"assigned_to_id":23,"start_date":"2016-11-30","description":"","custom_fields":[{"id":1,"name":"Subdivision","value":"EC"},{"id":4,"name":"Milepost","value":"23.3255"},{"id":17,"name":"Train ID","value":"177-30"},{"id":16,"name":"Locomotive ID","value":"4011"},{"id":130,"name":"Impact","value":""},{"id":150,"name":"Time of Event (Mountain Time)","value":"13:53:26"},{"id":151,"name":"Denver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543</v>
      </c>
      <c r="B91" s="7">
        <v>4012</v>
      </c>
      <c r="C91" s="22" t="s">
        <v>212</v>
      </c>
      <c r="D91" s="22" t="s">
        <v>301</v>
      </c>
      <c r="E91" s="13">
        <v>42704.584085648145</v>
      </c>
      <c r="F91" s="13">
        <v>42704.591215277775</v>
      </c>
      <c r="G91" s="7">
        <v>1</v>
      </c>
      <c r="H91" s="22" t="s">
        <v>311</v>
      </c>
      <c r="I91" s="13">
        <v>42704.618692129632</v>
      </c>
      <c r="J91" s="7">
        <v>0</v>
      </c>
      <c r="K91" s="109" t="str">
        <f t="shared" si="24"/>
        <v>4011/4012</v>
      </c>
      <c r="L91" s="22" t="str">
        <f>VLOOKUP(A91,'Trips&amp;Operators'!$C$1:$G$99999,5,FALSE)</f>
        <v>DAVIDSON DAVID</v>
      </c>
      <c r="M91" s="6">
        <f t="shared" si="25"/>
        <v>2.7476851857500151E-2</v>
      </c>
      <c r="N91" s="7">
        <f t="shared" si="22"/>
        <v>39.566666674800217</v>
      </c>
      <c r="O91" s="7"/>
      <c r="P91" s="7"/>
      <c r="Q91" s="23"/>
      <c r="R91" s="23"/>
      <c r="S91" s="35">
        <f t="shared" si="23"/>
        <v>1</v>
      </c>
      <c r="T91" s="50" t="str">
        <f t="shared" si="26"/>
        <v>Southbound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27"/>
        <v>https://search-rtdc-monitor-bjffxe2xuh6vdkpspy63sjmuny.us-east-1.es.amazonaws.com/_plugin/kibana/#/discover/Steve-Slow-Train-Analysis-(2080s-and-2083s)?_g=(refreshInterval:(display:Off,section:0,value:0),time:(from:'2016-11-30 13:01:05-700',mode:absolute,to:'2016-11-30 15:50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91" s="52" t="str">
        <f t="shared" si="28"/>
        <v>N</v>
      </c>
      <c r="X91" s="177">
        <f t="shared" si="29"/>
        <v>1</v>
      </c>
      <c r="Y91" s="67">
        <f t="shared" si="30"/>
        <v>23.298500000000001</v>
      </c>
      <c r="Z91" s="67">
        <f t="shared" si="31"/>
        <v>1.6E-2</v>
      </c>
      <c r="AA91" s="67">
        <f t="shared" si="32"/>
        <v>23.282500000000002</v>
      </c>
      <c r="AB91" s="64" t="str">
        <f>VLOOKUP(A91,Enforcements!$C$7:$K$20,8,0)</f>
        <v>Signal based authority (5)</v>
      </c>
      <c r="AC91" s="60" t="str">
        <f>VLOOKUP(A91,Enforcements!$C$7:$E$20,3,0)</f>
        <v>SIGNAL</v>
      </c>
      <c r="AD91" s="61" t="str">
        <f t="shared" si="33"/>
        <v>0178-30</v>
      </c>
      <c r="AE91" s="91" t="str">
        <f t="shared" si="34"/>
        <v>aws s3 cp s3://rtdc.mdm.uploadarchive.raw/RTDC4012/ "%USERPROFILE%\AppData\Local\Temp\OnboardLogs"\RTDC4012\2016-11-30 --exclude "*" --recursive --include "*20161130*" &amp; "%USERPROFILE%\Documents\GitHub\mrs-test-scripts\Headless Mode &amp; Sideloading\WalkAndUnGZ.bat" "%USERPROFILE%\AppData\Local\Temp\OnboardLogs"\RTDC4012\2016-11-30 &amp; aws s3 cp s3://rtdc.mdm.uploadarchive.raw/RTDC4012/ "%USERPROFILE%\AppData\Local\Temp\OnboardLogs"\RTDC4012\2016-12-01 --exclude "*" --recursive --include "*20161201*" &amp; "%USERPROFILE%\Documents\GitHub\mrs-test-scripts\Headless Mode &amp; Sideloading\WalkAndUnGZ.bat" "%USERPROFILE%\AppData\Local\Temp\OnboardLogs"\RTDC4012\2016-12-01</v>
      </c>
      <c r="AF91" s="88" t="str">
        <f t="shared" si="35"/>
        <v>"C:\Program Files (x86)\AstroGrep\AstroGrep.exe" /spath="%USERPROFILE%\AppData\Local\Temp\OnboardLogs" /stypes="app*4012*20161130*" /stext=" 21:.+((SYSTEM_STATE.+slice.+state.+changed )|(ment ac)|(multiple cpu faults)|(system.+state.+changed )|(\[timeout)|(PRM\|1\|D)|(kpr)|(kdp)|(\|lc)|(penalty))" /e /r /s</v>
      </c>
      <c r="AG91" s="1" t="str">
        <f t="shared" si="36"/>
        <v>EC</v>
      </c>
      <c r="AH91" s="92" t="str">
        <f t="shared" si="37"/>
        <v>"%USERPROFILE%\Documents\GitHub\eaglep3\Utilities\RefineRTDCRunTimes.py" --tripid 178-30 --locoid 4012 --swversion DE.1.0.8.0 --startMP 204:232985 --initTime 2016-11-30T14:01:05 --startdatetime 2016-11-30T14:11:21 --delay 1 --endMP 204:160 --enddatetime 2016-11-30T14:50:55 --enforcementcount 0 &gt;&gt;C:\Users\stu\Documents\GitHub\eaglep3-reporting\EC\2016-11-30-refined-times.txt</v>
      </c>
      <c r="AI91" s="119" t="str">
        <f t="shared" si="38"/>
        <v>echo {"issue":{"subject":"","project_id":79,"tracker_id":40,"status_id":1,"priority_id":2,"assigned_to_id":23,"start_date":"2016-11-30","description":"","custom_fields":[{"id":1,"name":"Subdivision","value":"EC"},{"id":4,"name":"Milepost","value":"0.016"},{"id":17,"name":"Train ID","value":"178-30"},{"id":16,"name":"Locomotive ID","value":"4012"},{"id":130,"name":"Impact","value":""},{"id":150,"name":"Time of Event (Mountain Time)","value":"14:50:55"},{"id":151,"name":"Denver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640</v>
      </c>
      <c r="B92" s="7">
        <v>4003</v>
      </c>
      <c r="C92" s="22" t="s">
        <v>212</v>
      </c>
      <c r="D92" s="22" t="s">
        <v>313</v>
      </c>
      <c r="E92" s="13">
        <v>42704.557152777779</v>
      </c>
      <c r="F92" s="13">
        <v>42704.5628125</v>
      </c>
      <c r="G92" s="7">
        <v>1</v>
      </c>
      <c r="H92" s="22" t="s">
        <v>268</v>
      </c>
      <c r="I92" s="13">
        <v>42704.587118055555</v>
      </c>
      <c r="J92" s="7">
        <v>0</v>
      </c>
      <c r="K92" s="109" t="str">
        <f t="shared" si="24"/>
        <v>4003/4004</v>
      </c>
      <c r="L92" s="22" t="str">
        <f>VLOOKUP(A92,'Trips&amp;Operators'!$C$1:$G$99999,5,FALSE)</f>
        <v>ADANE ELSHADAY</v>
      </c>
      <c r="M92" s="6">
        <f t="shared" si="25"/>
        <v>2.4305555554747116E-2</v>
      </c>
      <c r="N92" s="7">
        <f t="shared" si="22"/>
        <v>34.999999998835847</v>
      </c>
      <c r="O92" s="7"/>
      <c r="P92" s="7"/>
      <c r="Q92" s="23"/>
      <c r="R92" s="23"/>
      <c r="S92" s="35">
        <f t="shared" si="23"/>
        <v>1</v>
      </c>
      <c r="T92" s="50" t="str">
        <f t="shared" si="26"/>
        <v>NorthBound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27"/>
        <v>https://search-rtdc-monitor-bjffxe2xuh6vdkpspy63sjmuny.us-east-1.es.amazonaws.com/_plugin/kibana/#/discover/Steve-Slow-Train-Analysis-(2080s-and-2083s)?_g=(refreshInterval:(display:Off,section:0,value:0),time:(from:'2016-11-30 12:22:18-700',mode:absolute,to:'2016-11-30 15:05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92" s="52" t="str">
        <f t="shared" si="28"/>
        <v>N</v>
      </c>
      <c r="X92" s="177">
        <f t="shared" si="29"/>
        <v>1</v>
      </c>
      <c r="Y92" s="67">
        <f t="shared" si="30"/>
        <v>4.58E-2</v>
      </c>
      <c r="Z92" s="67">
        <f t="shared" si="31"/>
        <v>23.330300000000001</v>
      </c>
      <c r="AA92" s="67">
        <f t="shared" si="32"/>
        <v>23.284500000000001</v>
      </c>
      <c r="AB92" s="64" t="e">
        <f>VLOOKUP(A92,Enforcements!$C$7:$K$20,8,0)</f>
        <v>#N/A</v>
      </c>
      <c r="AC92" s="60" t="e">
        <f>VLOOKUP(A92,Enforcements!$C$7:$E$20,3,0)</f>
        <v>#N/A</v>
      </c>
      <c r="AD92" s="61" t="str">
        <f t="shared" si="33"/>
        <v>0179-30</v>
      </c>
      <c r="AE92" s="91" t="str">
        <f t="shared" si="34"/>
        <v>aws s3 cp s3://rtdc.mdm.uploadarchive.raw/RTDC4003/ "%USERPROFILE%\AppData\Local\Temp\OnboardLogs"\RTDC4003\2016-11-30 --exclude "*" --recursive --include "*20161130*" &amp; "%USERPROFILE%\Documents\GitHub\mrs-test-scripts\Headless Mode &amp; Sideloading\WalkAndUnGZ.bat" "%USERPROFILE%\AppData\Local\Temp\OnboardLogs"\RTDC4003\2016-11-30 &amp; aws s3 cp s3://rtdc.mdm.uploadarchive.raw/RTDC4003/ "%USERPROFILE%\AppData\Local\Temp\OnboardLogs"\RTDC4003\2016-12-01 --exclude "*" --recursive --include "*20161201*" &amp; "%USERPROFILE%\Documents\GitHub\mrs-test-scripts\Headless Mode &amp; Sideloading\WalkAndUnGZ.bat" "%USERPROFILE%\AppData\Local\Temp\OnboardLogs"\RTDC4003\2016-12-01</v>
      </c>
      <c r="AF92" s="88" t="str">
        <f t="shared" si="35"/>
        <v>"C:\Program Files (x86)\AstroGrep\AstroGrep.exe" /spath="%USERPROFILE%\AppData\Local\Temp\OnboardLogs" /stypes="app*4003*20161130*" /stext=" 21:.+((SYSTEM_STATE.+slice.+state.+changed )|(ment ac)|(multiple cpu faults)|(system.+state.+changed )|(\[timeout)|(PRM\|1\|D)|(kpr)|(kdp)|(\|lc)|(penalty))" /e /r /s</v>
      </c>
      <c r="AG92" s="1" t="str">
        <f t="shared" si="36"/>
        <v>EC</v>
      </c>
      <c r="AH92" s="92" t="str">
        <f t="shared" si="37"/>
        <v>"%USERPROFILE%\Documents\GitHub\eaglep3\Utilities\RefineRTDCRunTimes.py" --tripid 179-30 --locoid 4003 --swversion DE.1.0.8.0 --startMP 204:458 --initTime 2016-11-30T13:22:18 --startdatetime 2016-11-30T13:30:27 --delay 1 --endMP 204:233303 --enddatetime 2016-11-30T14:05:27 --enforcementcount 0 &gt;&gt;C:\Users\stu\Documents\GitHub\eaglep3-reporting\EC\2016-11-30-refined-times.txt</v>
      </c>
      <c r="AI92" s="119" t="str">
        <f t="shared" si="38"/>
        <v>echo {"issue":{"subject":"","project_id":79,"tracker_id":40,"status_id":1,"priority_id":2,"assigned_to_id":23,"start_date":"2016-11-30","description":"","custom_fields":[{"id":1,"name":"Subdivision","value":"EC"},{"id":4,"name":"Milepost","value":"23.3303"},{"id":17,"name":"Train ID","value":"179-30"},{"id":16,"name":"Locomotive ID","value":"4003"},{"id":130,"name":"Impact","value":""},{"id":150,"name":"Time of Event (Mountain Time)","value":"14:05:27"},{"id":151,"name":"Denver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646</v>
      </c>
      <c r="B93" s="7">
        <v>4004</v>
      </c>
      <c r="C93" s="22" t="s">
        <v>212</v>
      </c>
      <c r="D93" s="22" t="s">
        <v>239</v>
      </c>
      <c r="E93" s="13">
        <v>42704.588703703703</v>
      </c>
      <c r="F93" s="13">
        <v>42704.601678240739</v>
      </c>
      <c r="G93" s="7">
        <v>1</v>
      </c>
      <c r="H93" s="22" t="s">
        <v>232</v>
      </c>
      <c r="I93" s="13">
        <v>42704.627175925925</v>
      </c>
      <c r="J93" s="7">
        <v>0</v>
      </c>
      <c r="K93" s="109" t="str">
        <f t="shared" si="24"/>
        <v>4003/4004</v>
      </c>
      <c r="L93" s="22" t="str">
        <f>VLOOKUP(A93,'Trips&amp;Operators'!$C$1:$G$99999,5,FALSE)</f>
        <v>ADANE ELSHADAY</v>
      </c>
      <c r="M93" s="6">
        <f t="shared" si="25"/>
        <v>2.5497685186564922E-2</v>
      </c>
      <c r="N93" s="7">
        <f t="shared" si="22"/>
        <v>36.716666668653488</v>
      </c>
      <c r="O93" s="7"/>
      <c r="P93" s="7"/>
      <c r="Q93" s="23"/>
      <c r="R93" s="23"/>
      <c r="S93" s="35">
        <f t="shared" si="23"/>
        <v>1</v>
      </c>
      <c r="T93" s="50" t="str">
        <f t="shared" si="26"/>
        <v>Southbound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27"/>
        <v>https://search-rtdc-monitor-bjffxe2xuh6vdkpspy63sjmuny.us-east-1.es.amazonaws.com/_plugin/kibana/#/discover/Steve-Slow-Train-Analysis-(2080s-and-2083s)?_g=(refreshInterval:(display:Off,section:0,value:0),time:(from:'2016-11-30 13:07:44-700',mode:absolute,to:'2016-11-30 16:03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93" s="52" t="str">
        <f t="shared" si="28"/>
        <v>N</v>
      </c>
      <c r="X93" s="177">
        <f t="shared" si="29"/>
        <v>1</v>
      </c>
      <c r="Y93" s="67">
        <f t="shared" si="30"/>
        <v>23.299399999999999</v>
      </c>
      <c r="Z93" s="67">
        <f t="shared" si="31"/>
        <v>1.54E-2</v>
      </c>
      <c r="AA93" s="67">
        <f t="shared" si="32"/>
        <v>23.283999999999999</v>
      </c>
      <c r="AB93" s="64" t="e">
        <f>VLOOKUP(A93,Enforcements!$C$7:$K$20,8,0)</f>
        <v>#N/A</v>
      </c>
      <c r="AC93" s="60" t="e">
        <f>VLOOKUP(A93,Enforcements!$C$7:$E$20,3,0)</f>
        <v>#N/A</v>
      </c>
      <c r="AD93" s="61" t="str">
        <f t="shared" si="33"/>
        <v>0180-30</v>
      </c>
      <c r="AE93" s="91" t="str">
        <f t="shared" si="34"/>
        <v>aws s3 cp s3://rtdc.mdm.uploadarchive.raw/RTDC4004/ "%USERPROFILE%\AppData\Local\Temp\OnboardLogs"\RTDC4004\2016-11-30 --exclude "*" --recursive --include "*20161130*" &amp; "%USERPROFILE%\Documents\GitHub\mrs-test-scripts\Headless Mode &amp; Sideloading\WalkAndUnGZ.bat" "%USERPROFILE%\AppData\Local\Temp\OnboardLogs"\RTDC4004\2016-11-30 &amp; aws s3 cp s3://rtdc.mdm.uploadarchive.raw/RTDC4004/ "%USERPROFILE%\AppData\Local\Temp\OnboardLogs"\RTDC4004\2016-12-01 --exclude "*" --recursive --include "*20161201*" &amp; "%USERPROFILE%\Documents\GitHub\mrs-test-scripts\Headless Mode &amp; Sideloading\WalkAndUnGZ.bat" "%USERPROFILE%\AppData\Local\Temp\OnboardLogs"\RTDC4004\2016-12-01</v>
      </c>
      <c r="AF93" s="88" t="str">
        <f t="shared" si="35"/>
        <v>"C:\Program Files (x86)\AstroGrep\AstroGrep.exe" /spath="%USERPROFILE%\AppData\Local\Temp\OnboardLogs" /stypes="app*4004*20161130*" /stext=" 22:.+((SYSTEM_STATE.+slice.+state.+changed )|(ment ac)|(multiple cpu faults)|(system.+state.+changed )|(\[timeout)|(PRM\|1\|D)|(kpr)|(kdp)|(\|lc)|(penalty))" /e /r /s</v>
      </c>
      <c r="AG93" s="1" t="str">
        <f t="shared" si="36"/>
        <v>EC</v>
      </c>
      <c r="AH93" s="92" t="str">
        <f t="shared" si="37"/>
        <v>"%USERPROFILE%\Documents\GitHub\eaglep3\Utilities\RefineRTDCRunTimes.py" --tripid 180-30 --locoid 4004 --swversion DE.1.0.8.0 --startMP 204:232994 --initTime 2016-11-30T14:07:44 --startdatetime 2016-11-30T14:26:25 --delay 1 --endMP 204:154 --enddatetime 2016-11-30T15:03:08 --enforcementcount 0 &gt;&gt;C:\Users\stu\Documents\GitHub\eaglep3-reporting\EC\2016-11-30-refined-times.txt</v>
      </c>
      <c r="AI93" s="119" t="str">
        <f t="shared" si="38"/>
        <v>echo {"issue":{"subject":"","project_id":79,"tracker_id":40,"status_id":1,"priority_id":2,"assigned_to_id":23,"start_date":"2016-11-30","description":"","custom_fields":[{"id":1,"name":"Subdivision","value":"EC"},{"id":4,"name":"Milepost","value":"0.0154"},{"id":17,"name":"Train ID","value":"180-30"},{"id":16,"name":"Locomotive ID","value":"4004"},{"id":130,"name":"Impact","value":""},{"id":150,"name":"Time of Event (Mountain Time)","value":"15:03:08"},{"id":151,"name":"Denver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643</v>
      </c>
      <c r="B94" s="7">
        <v>4038</v>
      </c>
      <c r="C94" s="22" t="s">
        <v>212</v>
      </c>
      <c r="D94" s="22" t="s">
        <v>247</v>
      </c>
      <c r="E94" s="13">
        <v>42704.569699074076</v>
      </c>
      <c r="F94" s="13">
        <v>42704.573101851849</v>
      </c>
      <c r="G94" s="7">
        <v>1</v>
      </c>
      <c r="H94" s="22" t="s">
        <v>300</v>
      </c>
      <c r="I94" s="13">
        <v>42704.598298611112</v>
      </c>
      <c r="J94" s="7">
        <v>0</v>
      </c>
      <c r="K94" s="109" t="str">
        <f t="shared" si="24"/>
        <v>4037/4038</v>
      </c>
      <c r="L94" s="22" t="str">
        <f>VLOOKUP(A94,'Trips&amp;Operators'!$C$1:$G$99999,5,FALSE)</f>
        <v>BERLING GARY</v>
      </c>
      <c r="M94" s="6">
        <f t="shared" si="25"/>
        <v>2.5196759263053536E-2</v>
      </c>
      <c r="N94" s="7">
        <f t="shared" si="22"/>
        <v>36.283333338797092</v>
      </c>
      <c r="O94" s="7"/>
      <c r="P94" s="7"/>
      <c r="Q94" s="23"/>
      <c r="R94" s="23"/>
      <c r="S94" s="35">
        <f t="shared" si="23"/>
        <v>1</v>
      </c>
      <c r="T94" s="50" t="str">
        <f t="shared" si="26"/>
        <v>NorthBound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27"/>
        <v>https://search-rtdc-monitor-bjffxe2xuh6vdkpspy63sjmuny.us-east-1.es.amazonaws.com/_plugin/kibana/#/discover/Steve-Slow-Train-Analysis-(2080s-and-2083s)?_g=(refreshInterval:(display:Off,section:0,value:0),time:(from:'2016-11-30 12:40:22-700',mode:absolute,to:'2016-11-30 15:21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94" s="52" t="str">
        <f t="shared" si="28"/>
        <v>N</v>
      </c>
      <c r="X94" s="177">
        <f t="shared" si="29"/>
        <v>1</v>
      </c>
      <c r="Y94" s="67">
        <f t="shared" si="30"/>
        <v>4.5499999999999999E-2</v>
      </c>
      <c r="Z94" s="67">
        <f t="shared" si="31"/>
        <v>23.3291</v>
      </c>
      <c r="AA94" s="67">
        <f t="shared" si="32"/>
        <v>23.2836</v>
      </c>
      <c r="AB94" s="64" t="e">
        <f>VLOOKUP(A94,Enforcements!$C$7:$K$20,8,0)</f>
        <v>#N/A</v>
      </c>
      <c r="AC94" s="60" t="e">
        <f>VLOOKUP(A94,Enforcements!$C$7:$E$20,3,0)</f>
        <v>#N/A</v>
      </c>
      <c r="AD94" s="61" t="str">
        <f t="shared" si="33"/>
        <v>0181-30</v>
      </c>
      <c r="AE94" s="91" t="str">
        <f t="shared" si="34"/>
        <v>aws s3 cp s3://rtdc.mdm.uploadarchive.raw/RTDC4038/ "%USERPROFILE%\AppData\Local\Temp\OnboardLogs"\RTDC4038\2016-11-30 --exclude "*" --recursive --include "*20161130*" &amp; "%USERPROFILE%\Documents\GitHub\mrs-test-scripts\Headless Mode &amp; Sideloading\WalkAndUnGZ.bat" "%USERPROFILE%\AppData\Local\Temp\OnboardLogs"\RTDC4038\2016-11-30 &amp; aws s3 cp s3://rtdc.mdm.uploadarchive.raw/RTDC4038/ "%USERPROFILE%\AppData\Local\Temp\OnboardLogs"\RTDC4038\2016-12-01 --exclude "*" --recursive --include "*20161201*" &amp; "%USERPROFILE%\Documents\GitHub\mrs-test-scripts\Headless Mode &amp; Sideloading\WalkAndUnGZ.bat" "%USERPROFILE%\AppData\Local\Temp\OnboardLogs"\RTDC4038\2016-12-01</v>
      </c>
      <c r="AF94" s="88" t="str">
        <f t="shared" si="35"/>
        <v>"C:\Program Files (x86)\AstroGrep\AstroGrep.exe" /spath="%USERPROFILE%\AppData\Local\Temp\OnboardLogs" /stypes="app*4038*20161130*" /stext=" 21:.+((SYSTEM_STATE.+slice.+state.+changed )|(ment ac)|(multiple cpu faults)|(system.+state.+changed )|(\[timeout)|(PRM\|1\|D)|(kpr)|(kdp)|(\|lc)|(penalty))" /e /r /s</v>
      </c>
      <c r="AG94" s="1" t="str">
        <f t="shared" si="36"/>
        <v>EC</v>
      </c>
      <c r="AH94" s="92" t="str">
        <f t="shared" si="37"/>
        <v>"%USERPROFILE%\Documents\GitHub\eaglep3\Utilities\RefineRTDCRunTimes.py" --tripid 181-30 --locoid 4038 --swversion DE.1.0.8.0 --startMP 204:455 --initTime 2016-11-30T13:40:22 --startdatetime 2016-11-30T13:45:16 --delay 1 --endMP 204:233291 --enddatetime 2016-11-30T14:21:33 --enforcementcount 0 &gt;&gt;C:\Users\stu\Documents\GitHub\eaglep3-reporting\EC\2016-11-30-refined-times.txt</v>
      </c>
      <c r="AI94" s="119" t="str">
        <f t="shared" si="38"/>
        <v>echo {"issue":{"subject":"","project_id":79,"tracker_id":40,"status_id":1,"priority_id":2,"assigned_to_id":23,"start_date":"2016-11-30","description":"","custom_fields":[{"id":1,"name":"Subdivision","value":"EC"},{"id":4,"name":"Milepost","value":"23.3291"},{"id":17,"name":"Train ID","value":"181-30"},{"id":16,"name":"Locomotive ID","value":"4038"},{"id":130,"name":"Impact","value":""},{"id":150,"name":"Time of Event (Mountain Time)","value":"14:21:33"},{"id":151,"name":"Denver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7" t="s">
        <v>649</v>
      </c>
      <c r="B95" s="7">
        <v>4037</v>
      </c>
      <c r="C95" s="22" t="s">
        <v>212</v>
      </c>
      <c r="D95" s="22" t="s">
        <v>783</v>
      </c>
      <c r="E95" s="13">
        <v>42704.606122685182</v>
      </c>
      <c r="F95" s="13">
        <v>42704.612280092595</v>
      </c>
      <c r="G95" s="7">
        <v>1</v>
      </c>
      <c r="H95" s="22" t="s">
        <v>208</v>
      </c>
      <c r="I95" s="13">
        <v>42704.640138888892</v>
      </c>
      <c r="J95" s="7">
        <v>0</v>
      </c>
      <c r="K95" s="109" t="str">
        <f t="shared" si="24"/>
        <v>4037/4038</v>
      </c>
      <c r="L95" s="22" t="str">
        <f>VLOOKUP(A95,'Trips&amp;Operators'!$C$1:$G$99999,5,FALSE)</f>
        <v>BERLING GARY</v>
      </c>
      <c r="M95" s="6">
        <f t="shared" si="25"/>
        <v>2.7858796296641231E-2</v>
      </c>
      <c r="N95" s="7">
        <f t="shared" si="22"/>
        <v>40.116666667163372</v>
      </c>
      <c r="O95" s="7"/>
      <c r="P95" s="7"/>
      <c r="Q95" s="23"/>
      <c r="R95" s="23"/>
      <c r="S95" s="35">
        <f t="shared" si="23"/>
        <v>1</v>
      </c>
      <c r="T95" s="50" t="str">
        <f t="shared" si="26"/>
        <v>Southbound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27"/>
        <v>https://search-rtdc-monitor-bjffxe2xuh6vdkpspy63sjmuny.us-east-1.es.amazonaws.com/_plugin/kibana/#/discover/Steve-Slow-Train-Analysis-(2080s-and-2083s)?_g=(refreshInterval:(display:Off,section:0,value:0),time:(from:'2016-11-30 13:32:49-700',mode:absolute,to:'2016-11-30 16:21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95" s="52" t="str">
        <f t="shared" si="28"/>
        <v>N</v>
      </c>
      <c r="X95" s="177">
        <f t="shared" si="29"/>
        <v>1</v>
      </c>
      <c r="Y95" s="67">
        <f t="shared" si="30"/>
        <v>23.300999999999998</v>
      </c>
      <c r="Z95" s="67">
        <f t="shared" si="31"/>
        <v>1.5599999999999999E-2</v>
      </c>
      <c r="AA95" s="67">
        <f t="shared" si="32"/>
        <v>23.285399999999999</v>
      </c>
      <c r="AB95" s="64" t="e">
        <f>VLOOKUP(A95,Enforcements!$C$7:$K$20,8,0)</f>
        <v>#N/A</v>
      </c>
      <c r="AC95" s="60" t="e">
        <f>VLOOKUP(A95,Enforcements!$C$7:$E$20,3,0)</f>
        <v>#N/A</v>
      </c>
      <c r="AD95" s="61" t="str">
        <f t="shared" si="33"/>
        <v>0182-30</v>
      </c>
      <c r="AE95" s="91" t="str">
        <f t="shared" si="34"/>
        <v>aws s3 cp s3://rtdc.mdm.uploadarchive.raw/RTDC4037/ "%USERPROFILE%\AppData\Local\Temp\OnboardLogs"\RTDC4037\2016-11-30 --exclude "*" --recursive --include "*20161130*" &amp; "%USERPROFILE%\Documents\GitHub\mrs-test-scripts\Headless Mode &amp; Sideloading\WalkAndUnGZ.bat" "%USERPROFILE%\AppData\Local\Temp\OnboardLogs"\RTDC4037\2016-11-30 &amp; aws s3 cp s3://rtdc.mdm.uploadarchive.raw/RTDC4037/ "%USERPROFILE%\AppData\Local\Temp\OnboardLogs"\RTDC4037\2016-12-01 --exclude "*" --recursive --include "*20161201*" &amp; "%USERPROFILE%\Documents\GitHub\mrs-test-scripts\Headless Mode &amp; Sideloading\WalkAndUnGZ.bat" "%USERPROFILE%\AppData\Local\Temp\OnboardLogs"\RTDC4037\2016-12-01</v>
      </c>
      <c r="AF95" s="88" t="str">
        <f t="shared" si="35"/>
        <v>"C:\Program Files (x86)\AstroGrep\AstroGrep.exe" /spath="%USERPROFILE%\AppData\Local\Temp\OnboardLogs" /stypes="app*4037*20161130*" /stext=" 22:.+((SYSTEM_STATE.+slice.+state.+changed )|(ment ac)|(multiple cpu faults)|(system.+state.+changed )|(\[timeout)|(PRM\|1\|D)|(kpr)|(kdp)|(\|lc)|(penalty))" /e /r /s</v>
      </c>
      <c r="AG95" s="1" t="str">
        <f t="shared" si="36"/>
        <v>EC</v>
      </c>
      <c r="AH95" s="92" t="str">
        <f t="shared" si="37"/>
        <v>"%USERPROFILE%\Documents\GitHub\eaglep3\Utilities\RefineRTDCRunTimes.py" --tripid 182-30 --locoid 4037 --swversion DE.1.0.8.0 --startMP 204:233010 --initTime 2016-11-30T14:32:49 --startdatetime 2016-11-30T14:41:41 --delay 1 --endMP 204:156 --enddatetime 2016-11-30T15:21:48 --enforcementcount 0 &gt;&gt;C:\Users\stu\Documents\GitHub\eaglep3-reporting\EC\2016-11-30-refined-times.txt</v>
      </c>
      <c r="AI95" s="119" t="str">
        <f t="shared" si="38"/>
        <v>echo {"issue":{"subject":"","project_id":79,"tracker_id":40,"status_id":1,"priority_id":2,"assigned_to_id":23,"start_date":"2016-11-30","description":"","custom_fields":[{"id":1,"name":"Subdivision","value":"EC"},{"id":4,"name":"Milepost","value":"0.0156"},{"id":17,"name":"Train ID","value":"182-30"},{"id":16,"name":"Locomotive ID","value":"4037"},{"id":130,"name":"Impact","value":""},{"id":150,"name":"Time of Event (Mountain Time)","value":"15:21:48"},{"id":151,"name":"Denver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7" t="s">
        <v>644</v>
      </c>
      <c r="B96" s="7">
        <v>4044</v>
      </c>
      <c r="C96" s="22" t="s">
        <v>212</v>
      </c>
      <c r="D96" s="22" t="s">
        <v>209</v>
      </c>
      <c r="E96" s="13">
        <v>42704.578217592592</v>
      </c>
      <c r="F96" s="13">
        <v>42704.583518518521</v>
      </c>
      <c r="G96" s="7">
        <v>1</v>
      </c>
      <c r="H96" s="22" t="s">
        <v>302</v>
      </c>
      <c r="I96" s="13">
        <v>42704.608020833337</v>
      </c>
      <c r="J96" s="7">
        <v>0</v>
      </c>
      <c r="K96" s="109" t="str">
        <f t="shared" si="24"/>
        <v>4043/4044</v>
      </c>
      <c r="L96" s="22" t="str">
        <f>VLOOKUP(A96,'Trips&amp;Operators'!$C$1:$G$99999,5,FALSE)</f>
        <v>BRUDER RICHARD</v>
      </c>
      <c r="M96" s="6">
        <f t="shared" si="25"/>
        <v>2.4502314816345461E-2</v>
      </c>
      <c r="N96" s="7">
        <f t="shared" si="22"/>
        <v>35.283333335537463</v>
      </c>
      <c r="O96" s="7"/>
      <c r="P96" s="7"/>
      <c r="Q96" s="23"/>
      <c r="R96" s="23"/>
      <c r="S96" s="35">
        <f t="shared" si="23"/>
        <v>1</v>
      </c>
      <c r="T96" s="50" t="str">
        <f t="shared" si="26"/>
        <v>NorthBound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27"/>
        <v>https://search-rtdc-monitor-bjffxe2xuh6vdkpspy63sjmuny.us-east-1.es.amazonaws.com/_plugin/kibana/#/discover/Steve-Slow-Train-Analysis-(2080s-and-2083s)?_g=(refreshInterval:(display:Off,section:0,value:0),time:(from:'2016-11-30 12:52:38-700',mode:absolute,to:'2016-11-30 15:35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96" s="52" t="str">
        <f t="shared" si="28"/>
        <v>N</v>
      </c>
      <c r="X96" s="177">
        <f t="shared" si="29"/>
        <v>1</v>
      </c>
      <c r="Y96" s="67">
        <f t="shared" si="30"/>
        <v>4.6199999999999998E-2</v>
      </c>
      <c r="Z96" s="67">
        <f t="shared" si="31"/>
        <v>23.330100000000002</v>
      </c>
      <c r="AA96" s="67">
        <f t="shared" si="32"/>
        <v>23.283900000000003</v>
      </c>
      <c r="AB96" s="64" t="e">
        <f>VLOOKUP(A96,Enforcements!$C$7:$K$20,8,0)</f>
        <v>#N/A</v>
      </c>
      <c r="AC96" s="60" t="e">
        <f>VLOOKUP(A96,Enforcements!$C$7:$E$20,3,0)</f>
        <v>#N/A</v>
      </c>
      <c r="AD96" s="61" t="str">
        <f t="shared" si="33"/>
        <v>0183-30</v>
      </c>
      <c r="AE96" s="91" t="str">
        <f t="shared" si="34"/>
        <v>aws s3 cp s3://rtdc.mdm.uploadarchive.raw/RTDC4044/ "%USERPROFILE%\AppData\Local\Temp\OnboardLogs"\RTDC4044\2016-11-30 --exclude "*" --recursive --include "*20161130*" &amp; "%USERPROFILE%\Documents\GitHub\mrs-test-scripts\Headless Mode &amp; Sideloading\WalkAndUnGZ.bat" "%USERPROFILE%\AppData\Local\Temp\OnboardLogs"\RTDC4044\2016-11-30 &amp; aws s3 cp s3://rtdc.mdm.uploadarchive.raw/RTDC4044/ "%USERPROFILE%\AppData\Local\Temp\OnboardLogs"\RTDC4044\2016-12-01 --exclude "*" --recursive --include "*20161201*" &amp; "%USERPROFILE%\Documents\GitHub\mrs-test-scripts\Headless Mode &amp; Sideloading\WalkAndUnGZ.bat" "%USERPROFILE%\AppData\Local\Temp\OnboardLogs"\RTDC4044\2016-12-01</v>
      </c>
      <c r="AF96" s="88" t="str">
        <f t="shared" si="35"/>
        <v>"C:\Program Files (x86)\AstroGrep\AstroGrep.exe" /spath="%USERPROFILE%\AppData\Local\Temp\OnboardLogs" /stypes="app*4044*20161130*" /stext=" 21:.+((SYSTEM_STATE.+slice.+state.+changed )|(ment ac)|(multiple cpu faults)|(system.+state.+changed )|(\[timeout)|(PRM\|1\|D)|(kpr)|(kdp)|(\|lc)|(penalty))" /e /r /s</v>
      </c>
      <c r="AG96" s="1" t="str">
        <f t="shared" si="36"/>
        <v>EC</v>
      </c>
      <c r="AH96" s="92" t="str">
        <f t="shared" si="37"/>
        <v>"%USERPROFILE%\Documents\GitHub\eaglep3\Utilities\RefineRTDCRunTimes.py" --tripid 183-30 --locoid 4044 --swversion DE.1.0.8.0 --startMP 204:462 --initTime 2016-11-30T13:52:38 --startdatetime 2016-11-30T14:00:16 --delay 1 --endMP 204:233301 --enddatetime 2016-11-30T14:35:33 --enforcementcount 0 &gt;&gt;C:\Users\stu\Documents\GitHub\eaglep3-reporting\EC\2016-11-30-refined-times.txt</v>
      </c>
      <c r="AI96" s="119" t="str">
        <f t="shared" si="38"/>
        <v>echo {"issue":{"subject":"","project_id":79,"tracker_id":40,"status_id":1,"priority_id":2,"assigned_to_id":23,"start_date":"2016-11-30","description":"","custom_fields":[{"id":1,"name":"Subdivision","value":"EC"},{"id":4,"name":"Milepost","value":"23.3301"},{"id":17,"name":"Train ID","value":"183-30"},{"id":16,"name":"Locomotive ID","value":"4044"},{"id":130,"name":"Impact","value":""},{"id":150,"name":"Time of Event (Mountain Time)","value":"14:35:33"},{"id":151,"name":"Denver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7" t="s">
        <v>652</v>
      </c>
      <c r="B97" s="7">
        <v>4043</v>
      </c>
      <c r="C97" s="22" t="s">
        <v>212</v>
      </c>
      <c r="D97" s="22" t="s">
        <v>275</v>
      </c>
      <c r="E97" s="13">
        <v>42704.616620370369</v>
      </c>
      <c r="F97" s="13">
        <v>42704.622442129628</v>
      </c>
      <c r="G97" s="7">
        <v>1</v>
      </c>
      <c r="H97" s="22" t="s">
        <v>245</v>
      </c>
      <c r="I97" s="13">
        <v>42704.64912037037</v>
      </c>
      <c r="J97" s="7">
        <v>0</v>
      </c>
      <c r="K97" s="109" t="str">
        <f t="shared" si="24"/>
        <v>4043/4044</v>
      </c>
      <c r="L97" s="22" t="str">
        <f>VLOOKUP(A97,'Trips&amp;Operators'!$C$1:$G$99999,5,FALSE)</f>
        <v>BRUDER RICHARD</v>
      </c>
      <c r="M97" s="6">
        <f t="shared" si="25"/>
        <v>2.6678240741603076E-2</v>
      </c>
      <c r="N97" s="7">
        <f t="shared" si="22"/>
        <v>38.41666666790843</v>
      </c>
      <c r="O97" s="7"/>
      <c r="P97" s="7"/>
      <c r="Q97" s="23"/>
      <c r="R97" s="23"/>
      <c r="S97" s="35">
        <f t="shared" si="23"/>
        <v>1</v>
      </c>
      <c r="T97" s="50" t="str">
        <f t="shared" si="26"/>
        <v>Southbound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27"/>
        <v>https://search-rtdc-monitor-bjffxe2xuh6vdkpspy63sjmuny.us-east-1.es.amazonaws.com/_plugin/kibana/#/discover/Steve-Slow-Train-Analysis-(2080s-and-2083s)?_g=(refreshInterval:(display:Off,section:0,value:0),time:(from:'2016-11-30 13:47:56-700',mode:absolute,to:'2016-11-30 16:34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97" s="52" t="str">
        <f t="shared" si="28"/>
        <v>N</v>
      </c>
      <c r="X97" s="177">
        <f t="shared" si="29"/>
        <v>1</v>
      </c>
      <c r="Y97" s="67">
        <f t="shared" si="30"/>
        <v>23.297999999999998</v>
      </c>
      <c r="Z97" s="67">
        <f t="shared" si="31"/>
        <v>1.6500000000000001E-2</v>
      </c>
      <c r="AA97" s="67">
        <f t="shared" si="32"/>
        <v>23.281499999999998</v>
      </c>
      <c r="AB97" s="64" t="e">
        <f>VLOOKUP(A97,Enforcements!$C$7:$K$20,8,0)</f>
        <v>#N/A</v>
      </c>
      <c r="AC97" s="60" t="e">
        <f>VLOOKUP(A97,Enforcements!$C$7:$E$20,3,0)</f>
        <v>#N/A</v>
      </c>
      <c r="AD97" s="61" t="str">
        <f t="shared" si="33"/>
        <v>0184-30</v>
      </c>
      <c r="AE97" s="91" t="str">
        <f t="shared" si="34"/>
        <v>aws s3 cp s3://rtdc.mdm.uploadarchive.raw/RTDC4043/ "%USERPROFILE%\AppData\Local\Temp\OnboardLogs"\RTDC4043\2016-11-30 --exclude "*" --recursive --include "*20161130*" &amp; "%USERPROFILE%\Documents\GitHub\mrs-test-scripts\Headless Mode &amp; Sideloading\WalkAndUnGZ.bat" "%USERPROFILE%\AppData\Local\Temp\OnboardLogs"\RTDC4043\2016-11-30 &amp; aws s3 cp s3://rtdc.mdm.uploadarchive.raw/RTDC4043/ "%USERPROFILE%\AppData\Local\Temp\OnboardLogs"\RTDC4043\2016-12-01 --exclude "*" --recursive --include "*20161201*" &amp; "%USERPROFILE%\Documents\GitHub\mrs-test-scripts\Headless Mode &amp; Sideloading\WalkAndUnGZ.bat" "%USERPROFILE%\AppData\Local\Temp\OnboardLogs"\RTDC4043\2016-12-01</v>
      </c>
      <c r="AF97" s="88" t="str">
        <f t="shared" si="35"/>
        <v>"C:\Program Files (x86)\AstroGrep\AstroGrep.exe" /spath="%USERPROFILE%\AppData\Local\Temp\OnboardLogs" /stypes="app*4043*20161130*" /stext=" 22:.+((SYSTEM_STATE.+slice.+state.+changed )|(ment ac)|(multiple cpu faults)|(system.+state.+changed )|(\[timeout)|(PRM\|1\|D)|(kpr)|(kdp)|(\|lc)|(penalty))" /e /r /s</v>
      </c>
      <c r="AG97" s="1" t="str">
        <f t="shared" si="36"/>
        <v>EC</v>
      </c>
      <c r="AH97" s="92" t="str">
        <f t="shared" si="37"/>
        <v>"%USERPROFILE%\Documents\GitHub\eaglep3\Utilities\RefineRTDCRunTimes.py" --tripid 184-30 --locoid 4043 --swversion DE.1.0.8.0 --startMP 204:232980 --initTime 2016-11-30T14:47:56 --startdatetime 2016-11-30T14:56:19 --delay 1 --endMP 204:165 --enddatetime 2016-11-30T15:34:44 --enforcementcount 0 &gt;&gt;C:\Users\stu\Documents\GitHub\eaglep3-reporting\EC\2016-11-30-refined-times.txt</v>
      </c>
      <c r="AI97" s="119" t="str">
        <f t="shared" si="38"/>
        <v>echo {"issue":{"subject":"","project_id":79,"tracker_id":40,"status_id":1,"priority_id":2,"assigned_to_id":23,"start_date":"2016-11-30","description":"","custom_fields":[{"id":1,"name":"Subdivision","value":"EC"},{"id":4,"name":"Milepost","value":"0.0165"},{"id":17,"name":"Train ID","value":"184-30"},{"id":16,"name":"Locomotive ID","value":"4043"},{"id":130,"name":"Impact","value":""},{"id":150,"name":"Time of Event (Mountain Time)","value":"15:34:44"},{"id":151,"name":"Denver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7" t="s">
        <v>645</v>
      </c>
      <c r="B98" s="7">
        <v>4031</v>
      </c>
      <c r="C98" s="22" t="s">
        <v>212</v>
      </c>
      <c r="D98" s="22" t="s">
        <v>194</v>
      </c>
      <c r="E98" s="13">
        <v>42704.588194444441</v>
      </c>
      <c r="F98" s="13">
        <v>42704.594247685185</v>
      </c>
      <c r="G98" s="7">
        <v>4</v>
      </c>
      <c r="H98" s="22" t="s">
        <v>314</v>
      </c>
      <c r="I98" s="13">
        <v>42704.619340277779</v>
      </c>
      <c r="J98" s="7">
        <v>0</v>
      </c>
      <c r="K98" s="109" t="str">
        <f t="shared" si="24"/>
        <v>4031/4032</v>
      </c>
      <c r="L98" s="22" t="str">
        <f>VLOOKUP(A98,'Trips&amp;Operators'!$C$1:$G$99999,5,FALSE)</f>
        <v>STORY SAMANTHA</v>
      </c>
      <c r="M98" s="6">
        <f t="shared" si="25"/>
        <v>2.5092592593864538E-2</v>
      </c>
      <c r="N98" s="7">
        <f t="shared" ref="N98:N112" si="39">24*60*SUM($M98:$M98)</f>
        <v>36.133333335164934</v>
      </c>
      <c r="O98" s="7"/>
      <c r="P98" s="7"/>
      <c r="Q98" s="23"/>
      <c r="R98" s="23"/>
      <c r="S98" s="35">
        <f t="shared" ref="S98:S129" si="40">SUM(U98:U98)/IF(AG98="EC",12,1)</f>
        <v>1</v>
      </c>
      <c r="T98" s="50" t="str">
        <f t="shared" si="26"/>
        <v>NorthBound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27"/>
        <v>https://search-rtdc-monitor-bjffxe2xuh6vdkpspy63sjmuny.us-east-1.es.amazonaws.com/_plugin/kibana/#/discover/Steve-Slow-Train-Analysis-(2080s-and-2083s)?_g=(refreshInterval:(display:Off,section:0,value:0),time:(from:'2016-11-30 13:07:00-700',mode:absolute,to:'2016-11-30 15:51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98" s="52" t="str">
        <f t="shared" si="28"/>
        <v>N</v>
      </c>
      <c r="X98" s="177">
        <f t="shared" ref="X98:X101" si="41">VALUE(LEFT(AD98,4))-VALUE(LEFT(AD97,4))</f>
        <v>1</v>
      </c>
      <c r="Y98" s="67">
        <f t="shared" si="30"/>
        <v>4.4699999999999997E-2</v>
      </c>
      <c r="Z98" s="67">
        <f t="shared" si="31"/>
        <v>23.3325</v>
      </c>
      <c r="AA98" s="67">
        <f t="shared" si="32"/>
        <v>23.287800000000001</v>
      </c>
      <c r="AB98" s="64" t="e">
        <f>VLOOKUP(A98,Enforcements!$C$7:$K$20,8,0)</f>
        <v>#N/A</v>
      </c>
      <c r="AC98" s="60" t="e">
        <f>VLOOKUP(A98,Enforcements!$C$7:$E$20,3,0)</f>
        <v>#N/A</v>
      </c>
      <c r="AD98" s="61" t="str">
        <f t="shared" si="33"/>
        <v>0185-30</v>
      </c>
      <c r="AE98" s="91" t="str">
        <f t="shared" si="34"/>
        <v>aws s3 cp s3://rtdc.mdm.uploadarchive.raw/RTDC4031/ "%USERPROFILE%\AppData\Local\Temp\OnboardLogs"\RTDC4031\2016-11-30 --exclude "*" --recursive --include "*20161130*" &amp; "%USERPROFILE%\Documents\GitHub\mrs-test-scripts\Headless Mode &amp; Sideloading\WalkAndUnGZ.bat" "%USERPROFILE%\AppData\Local\Temp\OnboardLogs"\RTDC4031\2016-11-30 &amp; aws s3 cp s3://rtdc.mdm.uploadarchive.raw/RTDC4031/ "%USERPROFILE%\AppData\Local\Temp\OnboardLogs"\RTDC4031\2016-12-01 --exclude "*" --recursive --include "*20161201*" &amp; "%USERPROFILE%\Documents\GitHub\mrs-test-scripts\Headless Mode &amp; Sideloading\WalkAndUnGZ.bat" "%USERPROFILE%\AppData\Local\Temp\OnboardLogs"\RTDC4031\2016-12-01</v>
      </c>
      <c r="AF98" s="88" t="str">
        <f t="shared" si="35"/>
        <v>"C:\Program Files (x86)\AstroGrep\AstroGrep.exe" /spath="%USERPROFILE%\AppData\Local\Temp\OnboardLogs" /stypes="app*4031*20161130*" /stext=" 21:.+((SYSTEM_STATE.+slice.+state.+changed )|(ment ac)|(multiple cpu faults)|(system.+state.+changed )|(\[timeout)|(PRM\|1\|D)|(kpr)|(kdp)|(\|lc)|(penalty))" /e /r /s</v>
      </c>
      <c r="AG98" s="1" t="str">
        <f t="shared" si="36"/>
        <v>EC</v>
      </c>
      <c r="AH98" s="92" t="str">
        <f t="shared" si="37"/>
        <v>"%USERPROFILE%\Documents\GitHub\eaglep3\Utilities\RefineRTDCRunTimes.py" --tripid 185-30 --locoid 4031 --swversion DE.1.0.8.0 --startMP 204:447 --initTime 2016-11-30T14:07:00 --startdatetime 2016-11-30T14:15:43 --delay 4 --endMP 204:233325 --enddatetime 2016-11-30T14:51:51 --enforcementcount 0 &gt;&gt;C:\Users\stu\Documents\GitHub\eaglep3-reporting\EC\2016-11-30-refined-times.txt</v>
      </c>
      <c r="AI98" s="119" t="str">
        <f t="shared" si="38"/>
        <v>echo {"issue":{"subject":"","project_id":79,"tracker_id":40,"status_id":1,"priority_id":2,"assigned_to_id":23,"start_date":"2016-11-30","description":"","custom_fields":[{"id":1,"name":"Subdivision","value":"EC"},{"id":4,"name":"Milepost","value":"23.3325"},{"id":17,"name":"Train ID","value":"185-30"},{"id":16,"name":"Locomotive ID","value":"4031"},{"id":130,"name":"Impact","value":""},{"id":150,"name":"Time of Event (Mountain Time)","value":"14:51:51"},{"id":151,"name":"Denver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x14ac:dyDescent="0.25">
      <c r="A99" s="37" t="s">
        <v>654</v>
      </c>
      <c r="B99" s="7">
        <v>4032</v>
      </c>
      <c r="C99" s="22" t="s">
        <v>212</v>
      </c>
      <c r="D99" s="22" t="s">
        <v>783</v>
      </c>
      <c r="E99" s="13">
        <v>42704.629594907405</v>
      </c>
      <c r="F99" s="13">
        <v>42704.632939814815</v>
      </c>
      <c r="G99" s="7">
        <v>1</v>
      </c>
      <c r="H99" s="22" t="s">
        <v>219</v>
      </c>
      <c r="I99" s="13">
        <v>42704.66064814815</v>
      </c>
      <c r="J99" s="7">
        <v>0</v>
      </c>
      <c r="K99" s="109" t="str">
        <f t="shared" si="24"/>
        <v>4031/4032</v>
      </c>
      <c r="L99" s="22" t="str">
        <f>VLOOKUP(A99,'Trips&amp;Operators'!$C$1:$G$99999,5,FALSE)</f>
        <v>STORY SAMANTHA</v>
      </c>
      <c r="M99" s="6">
        <f t="shared" si="25"/>
        <v>2.7708333334885538E-2</v>
      </c>
      <c r="N99" s="7">
        <f t="shared" si="39"/>
        <v>39.900000002235174</v>
      </c>
      <c r="O99" s="7"/>
      <c r="P99" s="7"/>
      <c r="Q99" s="23"/>
      <c r="R99" s="23"/>
      <c r="S99" s="35">
        <f t="shared" si="40"/>
        <v>1</v>
      </c>
      <c r="T99" s="50" t="str">
        <f t="shared" si="26"/>
        <v>Southbound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27"/>
        <v>https://search-rtdc-monitor-bjffxe2xuh6vdkpspy63sjmuny.us-east-1.es.amazonaws.com/_plugin/kibana/#/discover/Steve-Slow-Train-Analysis-(2080s-and-2083s)?_g=(refreshInterval:(display:Off,section:0,value:0),time:(from:'2016-11-30 14:06:37-700',mode:absolute,to:'2016-11-30 16:51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99" s="52" t="str">
        <f t="shared" si="28"/>
        <v>N</v>
      </c>
      <c r="X99" s="177">
        <f t="shared" si="41"/>
        <v>1</v>
      </c>
      <c r="Y99" s="67">
        <f t="shared" si="30"/>
        <v>23.300999999999998</v>
      </c>
      <c r="Z99" s="67">
        <f t="shared" si="31"/>
        <v>1.4999999999999999E-2</v>
      </c>
      <c r="AA99" s="67">
        <f t="shared" si="32"/>
        <v>23.285999999999998</v>
      </c>
      <c r="AB99" s="64" t="e">
        <f>VLOOKUP(A99,Enforcements!$C$7:$K$20,8,0)</f>
        <v>#N/A</v>
      </c>
      <c r="AC99" s="60" t="e">
        <f>VLOOKUP(A99,Enforcements!$C$7:$E$20,3,0)</f>
        <v>#N/A</v>
      </c>
      <c r="AD99" s="61" t="str">
        <f t="shared" si="33"/>
        <v>0186-30</v>
      </c>
      <c r="AE99" s="91" t="str">
        <f t="shared" si="34"/>
        <v>aws s3 cp s3://rtdc.mdm.uploadarchive.raw/RTDC4032/ "%USERPROFILE%\AppData\Local\Temp\OnboardLogs"\RTDC4032\2016-11-30 --exclude "*" --recursive --include "*20161130*" &amp; "%USERPROFILE%\Documents\GitHub\mrs-test-scripts\Headless Mode &amp; Sideloading\WalkAndUnGZ.bat" "%USERPROFILE%\AppData\Local\Temp\OnboardLogs"\RTDC4032\2016-11-30 &amp; aws s3 cp s3://rtdc.mdm.uploadarchive.raw/RTDC4032/ "%USERPROFILE%\AppData\Local\Temp\OnboardLogs"\RTDC4032\2016-12-01 --exclude "*" --recursive --include "*20161201*" &amp; "%USERPROFILE%\Documents\GitHub\mrs-test-scripts\Headless Mode &amp; Sideloading\WalkAndUnGZ.bat" "%USERPROFILE%\AppData\Local\Temp\OnboardLogs"\RTDC4032\2016-12-01</v>
      </c>
      <c r="AF99" s="88" t="str">
        <f t="shared" si="35"/>
        <v>"C:\Program Files (x86)\AstroGrep\AstroGrep.exe" /spath="%USERPROFILE%\AppData\Local\Temp\OnboardLogs" /stypes="app*4032*20161130*" /stext=" 22:.+((SYSTEM_STATE.+slice.+state.+changed )|(ment ac)|(multiple cpu faults)|(system.+state.+changed )|(\[timeout)|(PRM\|1\|D)|(kpr)|(kdp)|(\|lc)|(penalty))" /e /r /s</v>
      </c>
      <c r="AG99" s="1" t="str">
        <f t="shared" si="36"/>
        <v>EC</v>
      </c>
      <c r="AH99" s="92" t="str">
        <f t="shared" si="37"/>
        <v>"%USERPROFILE%\Documents\GitHub\eaglep3\Utilities\RefineRTDCRunTimes.py" --tripid 186-30 --locoid 4032 --swversion DE.1.0.8.0 --startMP 204:233010 --initTime 2016-11-30T15:06:37 --startdatetime 2016-11-30T15:11:26 --delay 1 --endMP 204:150 --enddatetime 2016-11-30T15:51:20 --enforcementcount 0 &gt;&gt;C:\Users\stu\Documents\GitHub\eaglep3-reporting\EC\2016-11-30-refined-times.txt</v>
      </c>
      <c r="AI99" s="119" t="str">
        <f t="shared" si="38"/>
        <v>echo {"issue":{"subject":"","project_id":79,"tracker_id":40,"status_id":1,"priority_id":2,"assigned_to_id":23,"start_date":"2016-11-30","description":"","custom_fields":[{"id":1,"name":"Subdivision","value":"EC"},{"id":4,"name":"Milepost","value":"0.015"},{"id":17,"name":"Train ID","value":"186-30"},{"id":16,"name":"Locomotive ID","value":"4032"},{"id":130,"name":"Impact","value":""},{"id":150,"name":"Time of Event (Mountain Time)","value":"15:51:20"},{"id":151,"name":"Denver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</row>
    <row r="100" spans="1:91" x14ac:dyDescent="0.25">
      <c r="A100" s="37" t="s">
        <v>648</v>
      </c>
      <c r="B100" s="7">
        <v>4046</v>
      </c>
      <c r="C100" s="22" t="s">
        <v>212</v>
      </c>
      <c r="D100" s="22" t="s">
        <v>276</v>
      </c>
      <c r="E100" s="13">
        <v>42704.598877314813</v>
      </c>
      <c r="F100" s="13">
        <v>42704.604537037034</v>
      </c>
      <c r="G100" s="7">
        <v>1</v>
      </c>
      <c r="H100" s="22" t="s">
        <v>784</v>
      </c>
      <c r="I100" s="13">
        <v>42704.629120370373</v>
      </c>
      <c r="J100" s="7">
        <v>0</v>
      </c>
      <c r="K100" s="109" t="str">
        <f t="shared" si="24"/>
        <v>4045/4046</v>
      </c>
      <c r="L100" s="22" t="str">
        <f>VLOOKUP(A100,'Trips&amp;Operators'!$C$1:$G$99999,5,FALSE)</f>
        <v>BONDS REYNALDO</v>
      </c>
      <c r="M100" s="6">
        <f t="shared" si="25"/>
        <v>2.4583333339251112E-2</v>
      </c>
      <c r="N100" s="7">
        <f t="shared" si="39"/>
        <v>35.400000008521602</v>
      </c>
      <c r="O100" s="7"/>
      <c r="P100" s="7"/>
      <c r="Q100" s="23"/>
      <c r="R100" s="23"/>
      <c r="S100" s="35">
        <f t="shared" si="40"/>
        <v>1</v>
      </c>
      <c r="T100" s="50" t="str">
        <f t="shared" si="26"/>
        <v>NorthBound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27"/>
        <v>https://search-rtdc-monitor-bjffxe2xuh6vdkpspy63sjmuny.us-east-1.es.amazonaws.com/_plugin/kibana/#/discover/Steve-Slow-Train-Analysis-(2080s-and-2083s)?_g=(refreshInterval:(display:Off,section:0,value:0),time:(from:'2016-11-30 13:22:23-700',mode:absolute,to:'2016-11-30 16:05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00" s="52" t="str">
        <f t="shared" si="28"/>
        <v>N</v>
      </c>
      <c r="X100" s="177">
        <f t="shared" si="41"/>
        <v>1</v>
      </c>
      <c r="Y100" s="67">
        <f t="shared" si="30"/>
        <v>4.6699999999999998E-2</v>
      </c>
      <c r="Z100" s="67">
        <f t="shared" si="31"/>
        <v>23.332599999999999</v>
      </c>
      <c r="AA100" s="67">
        <f t="shared" si="32"/>
        <v>23.285899999999998</v>
      </c>
      <c r="AB100" s="64" t="e">
        <f>VLOOKUP(A100,Enforcements!$C$7:$K$20,8,0)</f>
        <v>#N/A</v>
      </c>
      <c r="AC100" s="60" t="e">
        <f>VLOOKUP(A100,Enforcements!$C$7:$E$20,3,0)</f>
        <v>#N/A</v>
      </c>
      <c r="AD100" s="61" t="str">
        <f t="shared" si="33"/>
        <v>0187-30</v>
      </c>
      <c r="AE100" s="91" t="str">
        <f t="shared" si="34"/>
        <v>aws s3 cp s3://rtdc.mdm.uploadarchive.raw/RTDC4046/ "%USERPROFILE%\AppData\Local\Temp\OnboardLogs"\RTDC4046\2016-11-30 --exclude "*" --recursive --include "*20161130*" &amp; "%USERPROFILE%\Documents\GitHub\mrs-test-scripts\Headless Mode &amp; Sideloading\WalkAndUnGZ.bat" "%USERPROFILE%\AppData\Local\Temp\OnboardLogs"\RTDC4046\2016-11-30 &amp; aws s3 cp s3://rtdc.mdm.uploadarchive.raw/RTDC4046/ "%USERPROFILE%\AppData\Local\Temp\OnboardLogs"\RTDC4046\2016-12-01 --exclude "*" --recursive --include "*20161201*" &amp; "%USERPROFILE%\Documents\GitHub\mrs-test-scripts\Headless Mode &amp; Sideloading\WalkAndUnGZ.bat" "%USERPROFILE%\AppData\Local\Temp\OnboardLogs"\RTDC4046\2016-12-01</v>
      </c>
      <c r="AF100" s="88" t="str">
        <f t="shared" si="35"/>
        <v>"C:\Program Files (x86)\AstroGrep\AstroGrep.exe" /spath="%USERPROFILE%\AppData\Local\Temp\OnboardLogs" /stypes="app*4046*20161130*" /stext=" 22:.+((SYSTEM_STATE.+slice.+state.+changed )|(ment ac)|(multiple cpu faults)|(system.+state.+changed )|(\[timeout)|(PRM\|1\|D)|(kpr)|(kdp)|(\|lc)|(penalty))" /e /r /s</v>
      </c>
      <c r="AG100" s="1" t="str">
        <f t="shared" si="36"/>
        <v>EC</v>
      </c>
      <c r="AH100" s="92" t="str">
        <f t="shared" si="37"/>
        <v>"%USERPROFILE%\Documents\GitHub\eaglep3\Utilities\RefineRTDCRunTimes.py" --tripid 187-30 --locoid 4046 --swversion DE.1.0.8.0 --startMP 204:467 --initTime 2016-11-30T14:22:23 --startdatetime 2016-11-30T14:30:32 --delay 1 --endMP 204:233326 --enddatetime 2016-11-30T15:05:56 --enforcementcount 0 &gt;&gt;C:\Users\stu\Documents\GitHub\eaglep3-reporting\EC\2016-11-30-refined-times.txt</v>
      </c>
      <c r="AI100" s="119" t="str">
        <f t="shared" si="38"/>
        <v>echo {"issue":{"subject":"","project_id":79,"tracker_id":40,"status_id":1,"priority_id":2,"assigned_to_id":23,"start_date":"2016-11-30","description":"","custom_fields":[{"id":1,"name":"Subdivision","value":"EC"},{"id":4,"name":"Milepost","value":"23.3326"},{"id":17,"name":"Train ID","value":"187-30"},{"id":16,"name":"Locomotive ID","value":"4046"},{"id":130,"name":"Impact","value":""},{"id":150,"name":"Time of Event (Mountain Time)","value":"15:05:56"},{"id":151,"name":"Denver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</row>
    <row r="101" spans="1:91" x14ac:dyDescent="0.25">
      <c r="A101" s="37" t="s">
        <v>656</v>
      </c>
      <c r="B101" s="7">
        <v>4045</v>
      </c>
      <c r="C101" s="22" t="s">
        <v>212</v>
      </c>
      <c r="D101" s="22" t="s">
        <v>768</v>
      </c>
      <c r="E101" s="13">
        <v>42704.63354166667</v>
      </c>
      <c r="F101" s="13">
        <v>42704.643576388888</v>
      </c>
      <c r="G101" s="7">
        <v>1</v>
      </c>
      <c r="H101" s="22" t="s">
        <v>219</v>
      </c>
      <c r="I101" s="13">
        <v>42704.670312499999</v>
      </c>
      <c r="J101" s="7">
        <v>0</v>
      </c>
      <c r="K101" s="109" t="str">
        <f t="shared" si="24"/>
        <v>4045/4046</v>
      </c>
      <c r="L101" s="22" t="str">
        <f>VLOOKUP(A101,'Trips&amp;Operators'!$C$1:$G$99999,5,FALSE)</f>
        <v>BONDS REYNALDO</v>
      </c>
      <c r="M101" s="6">
        <f t="shared" si="25"/>
        <v>2.6736111110949423E-2</v>
      </c>
      <c r="N101" s="7">
        <f t="shared" si="39"/>
        <v>38.499999999767169</v>
      </c>
      <c r="O101" s="7"/>
      <c r="P101" s="7"/>
      <c r="Q101" s="23"/>
      <c r="R101" s="23"/>
      <c r="S101" s="35">
        <f t="shared" si="40"/>
        <v>1</v>
      </c>
      <c r="T101" s="50" t="str">
        <f t="shared" si="26"/>
        <v>Southbound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27"/>
        <v>https://search-rtdc-monitor-bjffxe2xuh6vdkpspy63sjmuny.us-east-1.es.amazonaws.com/_plugin/kibana/#/discover/Steve-Slow-Train-Analysis-(2080s-and-2083s)?_g=(refreshInterval:(display:Off,section:0,value:0),time:(from:'2016-11-30 14:12:18-700',mode:absolute,to:'2016-11-30 17:05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01" s="52" t="str">
        <f t="shared" si="28"/>
        <v>N</v>
      </c>
      <c r="X101" s="177">
        <f t="shared" si="41"/>
        <v>1</v>
      </c>
      <c r="Y101" s="67">
        <f t="shared" si="30"/>
        <v>23.299199999999999</v>
      </c>
      <c r="Z101" s="67">
        <f t="shared" si="31"/>
        <v>1.4999999999999999E-2</v>
      </c>
      <c r="AA101" s="67">
        <f t="shared" si="32"/>
        <v>23.284199999999998</v>
      </c>
      <c r="AB101" s="64" t="e">
        <f>VLOOKUP(A101,Enforcements!$C$7:$K$20,8,0)</f>
        <v>#N/A</v>
      </c>
      <c r="AC101" s="60" t="e">
        <f>VLOOKUP(A101,Enforcements!$C$7:$E$20,3,0)</f>
        <v>#N/A</v>
      </c>
      <c r="AD101" s="61" t="str">
        <f t="shared" si="33"/>
        <v>0188-30</v>
      </c>
      <c r="AE101" s="91" t="str">
        <f t="shared" si="34"/>
        <v>aws s3 cp s3://rtdc.mdm.uploadarchive.raw/RTDC4045/ "%USERPROFILE%\AppData\Local\Temp\OnboardLogs"\RTDC4045\2016-11-30 --exclude "*" --recursive --include "*20161130*" &amp; "%USERPROFILE%\Documents\GitHub\mrs-test-scripts\Headless Mode &amp; Sideloading\WalkAndUnGZ.bat" "%USERPROFILE%\AppData\Local\Temp\OnboardLogs"\RTDC4045\2016-11-30 &amp; aws s3 cp s3://rtdc.mdm.uploadarchive.raw/RTDC4045/ "%USERPROFILE%\AppData\Local\Temp\OnboardLogs"\RTDC4045\2016-12-01 --exclude "*" --recursive --include "*20161201*" &amp; "%USERPROFILE%\Documents\GitHub\mrs-test-scripts\Headless Mode &amp; Sideloading\WalkAndUnGZ.bat" "%USERPROFILE%\AppData\Local\Temp\OnboardLogs"\RTDC4045\2016-12-01</v>
      </c>
      <c r="AF101" s="88" t="str">
        <f t="shared" si="35"/>
        <v>"C:\Program Files (x86)\AstroGrep\AstroGrep.exe" /spath="%USERPROFILE%\AppData\Local\Temp\OnboardLogs" /stypes="app*4045*20161130*" /stext=" 23:.+((SYSTEM_STATE.+slice.+state.+changed )|(ment ac)|(multiple cpu faults)|(system.+state.+changed )|(\[timeout)|(PRM\|1\|D)|(kpr)|(kdp)|(\|lc)|(penalty))" /e /r /s</v>
      </c>
      <c r="AG101" s="1" t="str">
        <f t="shared" si="36"/>
        <v>EC</v>
      </c>
      <c r="AH101" s="92" t="str">
        <f t="shared" si="37"/>
        <v>"%USERPROFILE%\Documents\GitHub\eaglep3\Utilities\RefineRTDCRunTimes.py" --tripid 188-30 --locoid 4045 --swversion DE.1.0.8.0 --startMP 204:232992 --initTime 2016-11-30T15:12:18 --startdatetime 2016-11-30T15:26:45 --delay 1 --endMP 204:150 --enddatetime 2016-11-30T16:05:15 --enforcementcount 0 &gt;&gt;C:\Users\stu\Documents\GitHub\eaglep3-reporting\EC\2016-11-30-refined-times.txt</v>
      </c>
      <c r="AI101" s="119" t="str">
        <f t="shared" si="38"/>
        <v>echo {"issue":{"subject":"","project_id":79,"tracker_id":40,"status_id":1,"priority_id":2,"assigned_to_id":23,"start_date":"2016-11-30","description":"","custom_fields":[{"id":1,"name":"Subdivision","value":"EC"},{"id":4,"name":"Milepost","value":"0.015"},{"id":17,"name":"Train ID","value":"188-30"},{"id":16,"name":"Locomotive ID","value":"4045"},{"id":130,"name":"Impact","value":""},{"id":150,"name":"Time of Event (Mountain Time)","value":"16:05:15"},{"id":151,"name":"Denver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</row>
    <row r="102" spans="1:91" s="21" customFormat="1" x14ac:dyDescent="0.25">
      <c r="A102" s="37" t="s">
        <v>650</v>
      </c>
      <c r="B102" s="7">
        <v>4022</v>
      </c>
      <c r="C102" s="22" t="s">
        <v>212</v>
      </c>
      <c r="D102" s="22" t="s">
        <v>785</v>
      </c>
      <c r="E102" s="13">
        <v>42704.609780092593</v>
      </c>
      <c r="F102" s="13">
        <v>42704.614803240744</v>
      </c>
      <c r="G102" s="7">
        <v>1</v>
      </c>
      <c r="H102" s="22" t="s">
        <v>786</v>
      </c>
      <c r="I102" s="13">
        <v>42704.639861111114</v>
      </c>
      <c r="J102" s="7">
        <v>0</v>
      </c>
      <c r="K102" s="109" t="str">
        <f t="shared" si="24"/>
        <v>4021/4022</v>
      </c>
      <c r="L102" s="22" t="str">
        <f>VLOOKUP(A102,'Trips&amp;Operators'!$C$1:$G$99999,5,FALSE)</f>
        <v>BARTLETT KIANDRA</v>
      </c>
      <c r="M102" s="6">
        <f t="shared" si="25"/>
        <v>2.5057870370801538E-2</v>
      </c>
      <c r="N102" s="7">
        <f t="shared" si="39"/>
        <v>36.083333333954215</v>
      </c>
      <c r="O102" s="7"/>
      <c r="P102" s="7"/>
      <c r="Q102" s="23"/>
      <c r="R102" s="23"/>
      <c r="S102" s="35">
        <f t="shared" si="40"/>
        <v>1</v>
      </c>
      <c r="T102" s="50" t="str">
        <f t="shared" si="26"/>
        <v>NorthBound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27"/>
        <v>https://search-rtdc-monitor-bjffxe2xuh6vdkpspy63sjmuny.us-east-1.es.amazonaws.com/_plugin/kibana/#/discover/Steve-Slow-Train-Analysis-(2080s-and-2083s)?_g=(refreshInterval:(display:Off,section:0,value:0),time:(from:'2016-11-30 13:38:05-700',mode:absolute,to:'2016-11-30 16:21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02" s="52" t="str">
        <f t="shared" si="28"/>
        <v>N</v>
      </c>
      <c r="X102" s="177">
        <f t="shared" ref="X102:X136" si="42">VALUE(LEFT(AD102,4))-VALUE(LEFT(AD101,4))</f>
        <v>1</v>
      </c>
      <c r="Y102" s="67">
        <f t="shared" si="30"/>
        <v>4.9099999999999998E-2</v>
      </c>
      <c r="Z102" s="67">
        <f t="shared" si="31"/>
        <v>23.334399999999999</v>
      </c>
      <c r="AA102" s="67">
        <f t="shared" si="32"/>
        <v>23.285299999999999</v>
      </c>
      <c r="AB102" s="64" t="e">
        <f>VLOOKUP(A102,Enforcements!$C$7:$K$20,8,0)</f>
        <v>#N/A</v>
      </c>
      <c r="AC102" s="60" t="e">
        <f>VLOOKUP(A102,Enforcements!$C$7:$E$20,3,0)</f>
        <v>#N/A</v>
      </c>
      <c r="AD102" s="61" t="str">
        <f t="shared" si="33"/>
        <v>0189-30</v>
      </c>
      <c r="AE102" s="91" t="str">
        <f t="shared" si="34"/>
        <v>aws s3 cp s3://rtdc.mdm.uploadarchive.raw/RTDC4022/ "%USERPROFILE%\AppData\Local\Temp\OnboardLogs"\RTDC4022\2016-11-30 --exclude "*" --recursive --include "*20161130*" &amp; "%USERPROFILE%\Documents\GitHub\mrs-test-scripts\Headless Mode &amp; Sideloading\WalkAndUnGZ.bat" "%USERPROFILE%\AppData\Local\Temp\OnboardLogs"\RTDC4022\2016-11-30 &amp; aws s3 cp s3://rtdc.mdm.uploadarchive.raw/RTDC4022/ "%USERPROFILE%\AppData\Local\Temp\OnboardLogs"\RTDC4022\2016-12-01 --exclude "*" --recursive --include "*20161201*" &amp; "%USERPROFILE%\Documents\GitHub\mrs-test-scripts\Headless Mode &amp; Sideloading\WalkAndUnGZ.bat" "%USERPROFILE%\AppData\Local\Temp\OnboardLogs"\RTDC4022\2016-12-01</v>
      </c>
      <c r="AF102" s="88" t="str">
        <f t="shared" si="35"/>
        <v>"C:\Program Files (x86)\AstroGrep\AstroGrep.exe" /spath="%USERPROFILE%\AppData\Local\Temp\OnboardLogs" /stypes="app*4022*20161130*" /stext=" 22:.+((SYSTEM_STATE.+slice.+state.+changed )|(ment ac)|(multiple cpu faults)|(system.+state.+changed )|(\[timeout)|(PRM\|1\|D)|(kpr)|(kdp)|(\|lc)|(penalty))" /e /r /s</v>
      </c>
      <c r="AG102" s="1" t="str">
        <f t="shared" si="36"/>
        <v>EC</v>
      </c>
      <c r="AH102" s="92" t="str">
        <f t="shared" si="37"/>
        <v>"%USERPROFILE%\Documents\GitHub\eaglep3\Utilities\RefineRTDCRunTimes.py" --tripid 189-30 --locoid 4022 --swversion DE.1.0.8.0 --startMP 204:491 --initTime 2016-11-30T14:38:05 --startdatetime 2016-11-30T14:45:19 --delay 1 --endMP 204:233344 --enddatetime 2016-11-30T15:21:24 --enforcementcount 0 &gt;&gt;C:\Users\stu\Documents\GitHub\eaglep3-reporting\EC\2016-11-30-refined-times.txt</v>
      </c>
      <c r="AI102" s="119" t="str">
        <f t="shared" si="38"/>
        <v>echo {"issue":{"subject":"","project_id":79,"tracker_id":40,"status_id":1,"priority_id":2,"assigned_to_id":23,"start_date":"2016-11-30","description":"","custom_fields":[{"id":1,"name":"Subdivision","value":"EC"},{"id":4,"name":"Milepost","value":"23.3344"},{"id":17,"name":"Train ID","value":"189-30"},{"id":16,"name":"Locomotive ID","value":"4022"},{"id":130,"name":"Impact","value":""},{"id":150,"name":"Time of Event (Mountain Time)","value":"15:21:24"},{"id":151,"name":"Denver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660</v>
      </c>
      <c r="B103" s="7">
        <v>4021</v>
      </c>
      <c r="C103" s="22" t="s">
        <v>212</v>
      </c>
      <c r="D103" s="22" t="s">
        <v>343</v>
      </c>
      <c r="E103" s="13">
        <v>42704.647858796299</v>
      </c>
      <c r="F103" s="13">
        <v>42704.653773148151</v>
      </c>
      <c r="G103" s="7">
        <v>1</v>
      </c>
      <c r="H103" s="22" t="s">
        <v>214</v>
      </c>
      <c r="I103" s="13">
        <v>42704.680196759262</v>
      </c>
      <c r="J103" s="7">
        <v>0</v>
      </c>
      <c r="K103" s="109" t="str">
        <f t="shared" si="24"/>
        <v>4021/4022</v>
      </c>
      <c r="L103" s="22" t="str">
        <f>VLOOKUP(A103,'Trips&amp;Operators'!$C$1:$G$99999,5,FALSE)</f>
        <v>BARTLETT KIANDRA</v>
      </c>
      <c r="M103" s="6">
        <f t="shared" si="25"/>
        <v>2.6423611110658385E-2</v>
      </c>
      <c r="N103" s="7">
        <f t="shared" si="39"/>
        <v>38.049999999348074</v>
      </c>
      <c r="O103" s="7"/>
      <c r="P103" s="7"/>
      <c r="Q103" s="23"/>
      <c r="R103" s="23"/>
      <c r="S103" s="35">
        <f t="shared" si="40"/>
        <v>1</v>
      </c>
      <c r="T103" s="50" t="str">
        <f t="shared" si="26"/>
        <v>Southbound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27"/>
        <v>https://search-rtdc-monitor-bjffxe2xuh6vdkpspy63sjmuny.us-east-1.es.amazonaws.com/_plugin/kibana/#/discover/Steve-Slow-Train-Analysis-(2080s-and-2083s)?_g=(refreshInterval:(display:Off,section:0,value:0),time:(from:'2016-11-30 14:32:55-700',mode:absolute,to:'2016-11-30 17:19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03" s="52" t="str">
        <f t="shared" si="28"/>
        <v>N</v>
      </c>
      <c r="X103" s="177">
        <f t="shared" si="42"/>
        <v>1</v>
      </c>
      <c r="Y103" s="67">
        <f t="shared" si="30"/>
        <v>23.3017</v>
      </c>
      <c r="Z103" s="67">
        <f t="shared" si="31"/>
        <v>1.5800000000000002E-2</v>
      </c>
      <c r="AA103" s="67">
        <f t="shared" si="32"/>
        <v>23.285900000000002</v>
      </c>
      <c r="AB103" s="64" t="e">
        <f>VLOOKUP(A103,Enforcements!$C$7:$K$20,8,0)</f>
        <v>#N/A</v>
      </c>
      <c r="AC103" s="60" t="e">
        <f>VLOOKUP(A103,Enforcements!$C$7:$E$20,3,0)</f>
        <v>#N/A</v>
      </c>
      <c r="AD103" s="61" t="str">
        <f t="shared" si="33"/>
        <v>0190-30</v>
      </c>
      <c r="AE103" s="91" t="str">
        <f t="shared" si="34"/>
        <v>aws s3 cp s3://rtdc.mdm.uploadarchive.raw/RTDC4021/ "%USERPROFILE%\AppData\Local\Temp\OnboardLogs"\RTDC4021\2016-11-30 --exclude "*" --recursive --include "*20161130*" &amp; "%USERPROFILE%\Documents\GitHub\mrs-test-scripts\Headless Mode &amp; Sideloading\WalkAndUnGZ.bat" "%USERPROFILE%\AppData\Local\Temp\OnboardLogs"\RTDC4021\2016-11-30 &amp; aws s3 cp s3://rtdc.mdm.uploadarchive.raw/RTDC4021/ "%USERPROFILE%\AppData\Local\Temp\OnboardLogs"\RTDC4021\2016-12-01 --exclude "*" --recursive --include "*20161201*" &amp; "%USERPROFILE%\Documents\GitHub\mrs-test-scripts\Headless Mode &amp; Sideloading\WalkAndUnGZ.bat" "%USERPROFILE%\AppData\Local\Temp\OnboardLogs"\RTDC4021\2016-12-01</v>
      </c>
      <c r="AF103" s="88" t="str">
        <f t="shared" si="35"/>
        <v>"C:\Program Files (x86)\AstroGrep\AstroGrep.exe" /spath="%USERPROFILE%\AppData\Local\Temp\OnboardLogs" /stypes="app*4021*20161130*" /stext=" 23:.+((SYSTEM_STATE.+slice.+state.+changed )|(ment ac)|(multiple cpu faults)|(system.+state.+changed )|(\[timeout)|(PRM\|1\|D)|(kpr)|(kdp)|(\|lc)|(penalty))" /e /r /s</v>
      </c>
      <c r="AG103" s="1" t="str">
        <f t="shared" si="36"/>
        <v>EC</v>
      </c>
      <c r="AH103" s="92" t="str">
        <f t="shared" si="37"/>
        <v>"%USERPROFILE%\Documents\GitHub\eaglep3\Utilities\RefineRTDCRunTimes.py" --tripid 190-30 --locoid 4021 --swversion DE.1.0.8.0 --startMP 204:233017 --initTime 2016-11-30T15:32:55 --startdatetime 2016-11-30T15:41:26 --delay 1 --endMP 204:158 --enddatetime 2016-11-30T16:19:29 --enforcementcount 0 &gt;&gt;C:\Users\stu\Documents\GitHub\eaglep3-reporting\EC\2016-11-30-refined-times.txt</v>
      </c>
      <c r="AI103" s="119" t="str">
        <f t="shared" si="38"/>
        <v>echo {"issue":{"subject":"","project_id":79,"tracker_id":40,"status_id":1,"priority_id":2,"assigned_to_id":23,"start_date":"2016-11-30","description":"","custom_fields":[{"id":1,"name":"Subdivision","value":"EC"},{"id":4,"name":"Milepost","value":"0.0158"},{"id":17,"name":"Train ID","value":"190-30"},{"id":16,"name":"Locomotive ID","value":"4021"},{"id":130,"name":"Impact","value":""},{"id":150,"name":"Time of Event (Mountain Time)","value":"16:19:29"},{"id":151,"name":"Denver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653</v>
      </c>
      <c r="B104" s="7">
        <v>4011</v>
      </c>
      <c r="C104" s="22" t="s">
        <v>212</v>
      </c>
      <c r="D104" s="22" t="s">
        <v>500</v>
      </c>
      <c r="E104" s="13">
        <v>42704.61996527778</v>
      </c>
      <c r="F104" s="13">
        <v>42704.625208333331</v>
      </c>
      <c r="G104" s="7">
        <v>1</v>
      </c>
      <c r="H104" s="22" t="s">
        <v>258</v>
      </c>
      <c r="I104" s="13">
        <v>42704.649363425924</v>
      </c>
      <c r="J104" s="7">
        <v>0</v>
      </c>
      <c r="K104" s="109" t="str">
        <f t="shared" si="24"/>
        <v>4011/4012</v>
      </c>
      <c r="L104" s="22" t="str">
        <f>VLOOKUP(A104,'Trips&amp;Operators'!$C$1:$G$99999,5,FALSE)</f>
        <v>DAVIDSON DAVID</v>
      </c>
      <c r="M104" s="6">
        <f t="shared" si="25"/>
        <v>2.4155092592991423E-2</v>
      </c>
      <c r="N104" s="7">
        <f t="shared" si="39"/>
        <v>34.783333333907649</v>
      </c>
      <c r="O104" s="7"/>
      <c r="P104" s="7"/>
      <c r="Q104" s="23"/>
      <c r="R104" s="23"/>
      <c r="S104" s="35">
        <f t="shared" si="40"/>
        <v>1</v>
      </c>
      <c r="T104" s="50" t="str">
        <f t="shared" si="26"/>
        <v>NorthBound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27"/>
        <v>https://search-rtdc-monitor-bjffxe2xuh6vdkpspy63sjmuny.us-east-1.es.amazonaws.com/_plugin/kibana/#/discover/Steve-Slow-Train-Analysis-(2080s-and-2083s)?_g=(refreshInterval:(display:Off,section:0,value:0),time:(from:'2016-11-30 13:52:45-700',mode:absolute,to:'2016-11-30 16:35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04" s="52" t="str">
        <f t="shared" si="28"/>
        <v>N</v>
      </c>
      <c r="X104" s="177">
        <f t="shared" si="42"/>
        <v>1</v>
      </c>
      <c r="Y104" s="67">
        <f t="shared" si="30"/>
        <v>4.3099999999999999E-2</v>
      </c>
      <c r="Z104" s="67">
        <f t="shared" si="31"/>
        <v>23.3293</v>
      </c>
      <c r="AA104" s="67">
        <f t="shared" si="32"/>
        <v>23.286200000000001</v>
      </c>
      <c r="AB104" s="64" t="e">
        <f>VLOOKUP(A104,Enforcements!$C$7:$K$20,8,0)</f>
        <v>#N/A</v>
      </c>
      <c r="AC104" s="60" t="e">
        <f>VLOOKUP(A104,Enforcements!$C$7:$E$20,3,0)</f>
        <v>#N/A</v>
      </c>
      <c r="AD104" s="61" t="str">
        <f t="shared" si="33"/>
        <v>0191-30</v>
      </c>
      <c r="AE104" s="91" t="str">
        <f t="shared" si="34"/>
        <v>aws s3 cp s3://rtdc.mdm.uploadarchive.raw/RTDC4011/ "%USERPROFILE%\AppData\Local\Temp\OnboardLogs"\RTDC4011\2016-11-30 --exclude "*" --recursive --include "*20161130*" &amp; "%USERPROFILE%\Documents\GitHub\mrs-test-scripts\Headless Mode &amp; Sideloading\WalkAndUnGZ.bat" "%USERPROFILE%\AppData\Local\Temp\OnboardLogs"\RTDC4011\2016-11-30 &amp; aws s3 cp s3://rtdc.mdm.uploadarchive.raw/RTDC4011/ "%USERPROFILE%\AppData\Local\Temp\OnboardLogs"\RTDC4011\2016-12-01 --exclude "*" --recursive --include "*20161201*" &amp; "%USERPROFILE%\Documents\GitHub\mrs-test-scripts\Headless Mode &amp; Sideloading\WalkAndUnGZ.bat" "%USERPROFILE%\AppData\Local\Temp\OnboardLogs"\RTDC4011\2016-12-01</v>
      </c>
      <c r="AF104" s="88" t="str">
        <f t="shared" si="35"/>
        <v>"C:\Program Files (x86)\AstroGrep\AstroGrep.exe" /spath="%USERPROFILE%\AppData\Local\Temp\OnboardLogs" /stypes="app*4011*20161130*" /stext=" 22:.+((SYSTEM_STATE.+slice.+state.+changed )|(ment ac)|(multiple cpu faults)|(system.+state.+changed )|(\[timeout)|(PRM\|1\|D)|(kpr)|(kdp)|(\|lc)|(penalty))" /e /r /s</v>
      </c>
      <c r="AG104" s="1" t="str">
        <f t="shared" si="36"/>
        <v>EC</v>
      </c>
      <c r="AH104" s="92" t="str">
        <f t="shared" si="37"/>
        <v>"%USERPROFILE%\Documents\GitHub\eaglep3\Utilities\RefineRTDCRunTimes.py" --tripid 191-30 --locoid 4011 --swversion DE.1.0.8.0 --startMP 204:431 --initTime 2016-11-30T14:52:45 --startdatetime 2016-11-30T15:00:18 --delay 1 --endMP 204:233293 --enddatetime 2016-11-30T15:35:05 --enforcementcount 0 &gt;&gt;C:\Users\stu\Documents\GitHub\eaglep3-reporting\EC\2016-11-30-refined-times.txt</v>
      </c>
      <c r="AI104" s="119" t="str">
        <f t="shared" si="38"/>
        <v>echo {"issue":{"subject":"","project_id":79,"tracker_id":40,"status_id":1,"priority_id":2,"assigned_to_id":23,"start_date":"2016-11-30","description":"","custom_fields":[{"id":1,"name":"Subdivision","value":"EC"},{"id":4,"name":"Milepost","value":"23.3293"},{"id":17,"name":"Train ID","value":"191-30"},{"id":16,"name":"Locomotive ID","value":"4011"},{"id":130,"name":"Impact","value":""},{"id":150,"name":"Time of Event (Mountain Time)","value":"15:35:05"},{"id":151,"name":"Denver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664</v>
      </c>
      <c r="B105" s="7">
        <v>4012</v>
      </c>
      <c r="C105" s="22" t="s">
        <v>212</v>
      </c>
      <c r="D105" s="22" t="s">
        <v>787</v>
      </c>
      <c r="E105" s="13">
        <v>42704.660937499997</v>
      </c>
      <c r="F105" s="13">
        <v>42704.664039351854</v>
      </c>
      <c r="G105" s="7">
        <v>1</v>
      </c>
      <c r="H105" s="22" t="s">
        <v>232</v>
      </c>
      <c r="I105" s="13">
        <v>42704.689988425926</v>
      </c>
      <c r="J105" s="7">
        <v>0</v>
      </c>
      <c r="K105" s="109" t="str">
        <f t="shared" si="24"/>
        <v>4011/4012</v>
      </c>
      <c r="L105" s="22" t="str">
        <f>VLOOKUP(A105,'Trips&amp;Operators'!$C$1:$G$99999,5,FALSE)</f>
        <v>DAVIDSON DAVID</v>
      </c>
      <c r="M105" s="6">
        <f t="shared" si="25"/>
        <v>2.5949074071832001E-2</v>
      </c>
      <c r="N105" s="7">
        <f t="shared" si="39"/>
        <v>37.366666663438082</v>
      </c>
      <c r="O105" s="7"/>
      <c r="P105" s="7"/>
      <c r="Q105" s="23"/>
      <c r="R105" s="23"/>
      <c r="S105" s="35">
        <f t="shared" si="40"/>
        <v>1</v>
      </c>
      <c r="T105" s="50" t="str">
        <f t="shared" si="26"/>
        <v>Southbound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27"/>
        <v>https://search-rtdc-monitor-bjffxe2xuh6vdkpspy63sjmuny.us-east-1.es.amazonaws.com/_plugin/kibana/#/discover/Steve-Slow-Train-Analysis-(2080s-and-2083s)?_g=(refreshInterval:(display:Off,section:0,value:0),time:(from:'2016-11-30 14:51:45-700',mode:absolute,to:'2016-11-30 17:33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05" s="52" t="str">
        <f t="shared" si="28"/>
        <v>N</v>
      </c>
      <c r="X105" s="177">
        <f t="shared" si="42"/>
        <v>1</v>
      </c>
      <c r="Y105" s="67">
        <f t="shared" si="30"/>
        <v>23.296500000000002</v>
      </c>
      <c r="Z105" s="67">
        <f t="shared" si="31"/>
        <v>1.54E-2</v>
      </c>
      <c r="AA105" s="67">
        <f t="shared" si="32"/>
        <v>23.281100000000002</v>
      </c>
      <c r="AB105" s="64" t="e">
        <f>VLOOKUP(A105,Enforcements!$C$7:$K$20,8,0)</f>
        <v>#N/A</v>
      </c>
      <c r="AC105" s="60" t="e">
        <f>VLOOKUP(A105,Enforcements!$C$7:$E$20,3,0)</f>
        <v>#N/A</v>
      </c>
      <c r="AD105" s="61" t="str">
        <f t="shared" si="33"/>
        <v>0192-30</v>
      </c>
      <c r="AE105" s="91" t="str">
        <f t="shared" si="34"/>
        <v>aws s3 cp s3://rtdc.mdm.uploadarchive.raw/RTDC4012/ "%USERPROFILE%\AppData\Local\Temp\OnboardLogs"\RTDC4012\2016-11-30 --exclude "*" --recursive --include "*20161130*" &amp; "%USERPROFILE%\Documents\GitHub\mrs-test-scripts\Headless Mode &amp; Sideloading\WalkAndUnGZ.bat" "%USERPROFILE%\AppData\Local\Temp\OnboardLogs"\RTDC4012\2016-11-30 &amp; aws s3 cp s3://rtdc.mdm.uploadarchive.raw/RTDC4012/ "%USERPROFILE%\AppData\Local\Temp\OnboardLogs"\RTDC4012\2016-12-01 --exclude "*" --recursive --include "*20161201*" &amp; "%USERPROFILE%\Documents\GitHub\mrs-test-scripts\Headless Mode &amp; Sideloading\WalkAndUnGZ.bat" "%USERPROFILE%\AppData\Local\Temp\OnboardLogs"\RTDC4012\2016-12-01</v>
      </c>
      <c r="AF105" s="88" t="str">
        <f t="shared" si="35"/>
        <v>"C:\Program Files (x86)\AstroGrep\AstroGrep.exe" /spath="%USERPROFILE%\AppData\Local\Temp\OnboardLogs" /stypes="app*4012*20161130*" /stext=" 23:.+((SYSTEM_STATE.+slice.+state.+changed )|(ment ac)|(multiple cpu faults)|(system.+state.+changed )|(\[timeout)|(PRM\|1\|D)|(kpr)|(kdp)|(\|lc)|(penalty))" /e /r /s</v>
      </c>
      <c r="AG105" s="1" t="str">
        <f t="shared" si="36"/>
        <v>EC</v>
      </c>
      <c r="AH105" s="92" t="str">
        <f t="shared" si="37"/>
        <v>"%USERPROFILE%\Documents\GitHub\eaglep3\Utilities\RefineRTDCRunTimes.py" --tripid 192-30 --locoid 4012 --swversion DE.1.0.8.0 --startMP 204:232965 --initTime 2016-11-30T15:51:45 --startdatetime 2016-11-30T15:56:13 --delay 1 --endMP 204:154 --enddatetime 2016-11-30T16:33:35 --enforcementcount 0 &gt;&gt;C:\Users\stu\Documents\GitHub\eaglep3-reporting\EC\2016-11-30-refined-times.txt</v>
      </c>
      <c r="AI105" s="119" t="str">
        <f t="shared" si="38"/>
        <v>echo {"issue":{"subject":"","project_id":79,"tracker_id":40,"status_id":1,"priority_id":2,"assigned_to_id":23,"start_date":"2016-11-30","description":"","custom_fields":[{"id":1,"name":"Subdivision","value":"EC"},{"id":4,"name":"Milepost","value":"0.0154"},{"id":17,"name":"Train ID","value":"192-30"},{"id":16,"name":"Locomotive ID","value":"4012"},{"id":130,"name":"Impact","value":""},{"id":150,"name":"Time of Event (Mountain Time)","value":"16:33:35"},{"id":151,"name":"Denver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7" t="s">
        <v>655</v>
      </c>
      <c r="B106" s="7">
        <v>4003</v>
      </c>
      <c r="C106" s="22" t="s">
        <v>212</v>
      </c>
      <c r="D106" s="22" t="s">
        <v>195</v>
      </c>
      <c r="E106" s="13">
        <v>42704.630740740744</v>
      </c>
      <c r="F106" s="13">
        <v>42704.635763888888</v>
      </c>
      <c r="G106" s="7">
        <v>1</v>
      </c>
      <c r="H106" s="22" t="s">
        <v>328</v>
      </c>
      <c r="I106" s="13">
        <v>42704.66033564815</v>
      </c>
      <c r="J106" s="7">
        <v>0</v>
      </c>
      <c r="K106" s="109" t="str">
        <f t="shared" si="24"/>
        <v>4003/4004</v>
      </c>
      <c r="L106" s="22" t="str">
        <f>VLOOKUP(A106,'Trips&amp;Operators'!$C$1:$G$99999,5,FALSE)</f>
        <v>ADANE ELSHADAY</v>
      </c>
      <c r="M106" s="6">
        <f t="shared" si="25"/>
        <v>2.457175926247146E-2</v>
      </c>
      <c r="N106" s="7">
        <f t="shared" si="39"/>
        <v>35.383333337958902</v>
      </c>
      <c r="O106" s="7"/>
      <c r="P106" s="7"/>
      <c r="Q106" s="23"/>
      <c r="R106" s="23"/>
      <c r="S106" s="35">
        <f t="shared" si="40"/>
        <v>1</v>
      </c>
      <c r="T106" s="50" t="str">
        <f t="shared" si="26"/>
        <v>NorthBound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27"/>
        <v>https://search-rtdc-monitor-bjffxe2xuh6vdkpspy63sjmuny.us-east-1.es.amazonaws.com/_plugin/kibana/#/discover/Steve-Slow-Train-Analysis-(2080s-and-2083s)?_g=(refreshInterval:(display:Off,section:0,value:0),time:(from:'2016-11-30 14:08:16-700',mode:absolute,to:'2016-11-30 16:50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06" s="52" t="str">
        <f t="shared" si="28"/>
        <v>N</v>
      </c>
      <c r="X106" s="177">
        <f t="shared" si="42"/>
        <v>1</v>
      </c>
      <c r="Y106" s="67">
        <f t="shared" si="30"/>
        <v>4.53E-2</v>
      </c>
      <c r="Z106" s="67">
        <f t="shared" si="31"/>
        <v>23.329699999999999</v>
      </c>
      <c r="AA106" s="67">
        <f t="shared" si="32"/>
        <v>23.284399999999998</v>
      </c>
      <c r="AB106" s="64" t="e">
        <f>VLOOKUP(A106,Enforcements!$C$7:$K$20,8,0)</f>
        <v>#N/A</v>
      </c>
      <c r="AC106" s="60" t="e">
        <f>VLOOKUP(A106,Enforcements!$C$7:$E$20,3,0)</f>
        <v>#N/A</v>
      </c>
      <c r="AD106" s="61" t="str">
        <f t="shared" si="33"/>
        <v>0193-30</v>
      </c>
      <c r="AE106" s="91" t="str">
        <f t="shared" si="34"/>
        <v>aws s3 cp s3://rtdc.mdm.uploadarchive.raw/RTDC4003/ "%USERPROFILE%\AppData\Local\Temp\OnboardLogs"\RTDC4003\2016-11-30 --exclude "*" --recursive --include "*20161130*" &amp; "%USERPROFILE%\Documents\GitHub\mrs-test-scripts\Headless Mode &amp; Sideloading\WalkAndUnGZ.bat" "%USERPROFILE%\AppData\Local\Temp\OnboardLogs"\RTDC4003\2016-11-30 &amp; aws s3 cp s3://rtdc.mdm.uploadarchive.raw/RTDC4003/ "%USERPROFILE%\AppData\Local\Temp\OnboardLogs"\RTDC4003\2016-12-01 --exclude "*" --recursive --include "*20161201*" &amp; "%USERPROFILE%\Documents\GitHub\mrs-test-scripts\Headless Mode &amp; Sideloading\WalkAndUnGZ.bat" "%USERPROFILE%\AppData\Local\Temp\OnboardLogs"\RTDC4003\2016-12-01</v>
      </c>
      <c r="AF106" s="88" t="str">
        <f t="shared" si="35"/>
        <v>"C:\Program Files (x86)\AstroGrep\AstroGrep.exe" /spath="%USERPROFILE%\AppData\Local\Temp\OnboardLogs" /stypes="app*4003*20161130*" /stext=" 22:.+((SYSTEM_STATE.+slice.+state.+changed )|(ment ac)|(multiple cpu faults)|(system.+state.+changed )|(\[timeout)|(PRM\|1\|D)|(kpr)|(kdp)|(\|lc)|(penalty))" /e /r /s</v>
      </c>
      <c r="AG106" s="1" t="str">
        <f t="shared" si="36"/>
        <v>EC</v>
      </c>
      <c r="AH106" s="92" t="str">
        <f t="shared" si="37"/>
        <v>"%USERPROFILE%\Documents\GitHub\eaglep3\Utilities\RefineRTDCRunTimes.py" --tripid 193-30 --locoid 4003 --swversion DE.1.0.8.0 --startMP 204:453 --initTime 2016-11-30T15:08:16 --startdatetime 2016-11-30T15:15:30 --delay 1 --endMP 204:233297 --enddatetime 2016-11-30T15:50:53 --enforcementcount 0 &gt;&gt;C:\Users\stu\Documents\GitHub\eaglep3-reporting\EC\2016-11-30-refined-times.txt</v>
      </c>
      <c r="AI106" s="119" t="str">
        <f t="shared" si="38"/>
        <v>echo {"issue":{"subject":"","project_id":79,"tracker_id":40,"status_id":1,"priority_id":2,"assigned_to_id":23,"start_date":"2016-11-30","description":"","custom_fields":[{"id":1,"name":"Subdivision","value":"EC"},{"id":4,"name":"Milepost","value":"23.3297"},{"id":17,"name":"Train ID","value":"193-30"},{"id":16,"name":"Locomotive ID","value":"4003"},{"id":130,"name":"Impact","value":""},{"id":150,"name":"Time of Event (Mountain Time)","value":"15:50:53"},{"id":151,"name":"Denver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7" t="s">
        <v>665</v>
      </c>
      <c r="B107" s="7">
        <v>4004</v>
      </c>
      <c r="C107" s="22" t="s">
        <v>212</v>
      </c>
      <c r="D107" s="22" t="s">
        <v>788</v>
      </c>
      <c r="E107" s="13">
        <v>42704.66207175926</v>
      </c>
      <c r="F107" s="13">
        <v>42704.674780092595</v>
      </c>
      <c r="G107" s="7">
        <v>1</v>
      </c>
      <c r="H107" s="22" t="s">
        <v>243</v>
      </c>
      <c r="I107" s="13">
        <v>42704.700324074074</v>
      </c>
      <c r="J107" s="7">
        <v>0</v>
      </c>
      <c r="K107" s="109" t="str">
        <f t="shared" si="24"/>
        <v>4003/4004</v>
      </c>
      <c r="L107" s="22" t="str">
        <f>VLOOKUP(A107,'Trips&amp;Operators'!$C$1:$G$99999,5,FALSE)</f>
        <v>ADANE ELSHADAY</v>
      </c>
      <c r="M107" s="6">
        <f t="shared" si="25"/>
        <v>2.5543981479131617E-2</v>
      </c>
      <c r="N107" s="7">
        <f t="shared" si="39"/>
        <v>36.783333329949528</v>
      </c>
      <c r="O107" s="7"/>
      <c r="P107" s="7"/>
      <c r="Q107" s="23"/>
      <c r="R107" s="23"/>
      <c r="S107" s="35">
        <f t="shared" si="40"/>
        <v>1</v>
      </c>
      <c r="T107" s="50" t="str">
        <f t="shared" si="26"/>
        <v>Southbound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27"/>
        <v>https://search-rtdc-monitor-bjffxe2xuh6vdkpspy63sjmuny.us-east-1.es.amazonaws.com/_plugin/kibana/#/discover/Steve-Slow-Train-Analysis-(2080s-and-2083s)?_g=(refreshInterval:(display:Off,section:0,value:0),time:(from:'2016-11-30 14:53:23-700',mode:absolute,to:'2016-11-30 17:48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07" s="52" t="str">
        <f t="shared" si="28"/>
        <v>N</v>
      </c>
      <c r="X107" s="177">
        <f t="shared" si="42"/>
        <v>1</v>
      </c>
      <c r="Y107" s="67">
        <f t="shared" si="30"/>
        <v>23.2987</v>
      </c>
      <c r="Z107" s="67">
        <f t="shared" si="31"/>
        <v>1.47E-2</v>
      </c>
      <c r="AA107" s="67">
        <f t="shared" si="32"/>
        <v>23.283999999999999</v>
      </c>
      <c r="AB107" s="64" t="e">
        <f>VLOOKUP(A107,Enforcements!$C$7:$K$20,8,0)</f>
        <v>#N/A</v>
      </c>
      <c r="AC107" s="60" t="e">
        <f>VLOOKUP(A107,Enforcements!$C$7:$E$20,3,0)</f>
        <v>#N/A</v>
      </c>
      <c r="AD107" s="61" t="str">
        <f t="shared" si="33"/>
        <v>0194-30</v>
      </c>
      <c r="AE107" s="91" t="str">
        <f t="shared" si="34"/>
        <v>aws s3 cp s3://rtdc.mdm.uploadarchive.raw/RTDC4004/ "%USERPROFILE%\AppData\Local\Temp\OnboardLogs"\RTDC4004\2016-11-30 --exclude "*" --recursive --include "*20161130*" &amp; "%USERPROFILE%\Documents\GitHub\mrs-test-scripts\Headless Mode &amp; Sideloading\WalkAndUnGZ.bat" "%USERPROFILE%\AppData\Local\Temp\OnboardLogs"\RTDC4004\2016-11-30 &amp; aws s3 cp s3://rtdc.mdm.uploadarchive.raw/RTDC4004/ "%USERPROFILE%\AppData\Local\Temp\OnboardLogs"\RTDC4004\2016-12-01 --exclude "*" --recursive --include "*20161201*" &amp; "%USERPROFILE%\Documents\GitHub\mrs-test-scripts\Headless Mode &amp; Sideloading\WalkAndUnGZ.bat" "%USERPROFILE%\AppData\Local\Temp\OnboardLogs"\RTDC4004\2016-12-01</v>
      </c>
      <c r="AF107" s="88" t="str">
        <f t="shared" si="35"/>
        <v>"C:\Program Files (x86)\AstroGrep\AstroGrep.exe" /spath="%USERPROFILE%\AppData\Local\Temp\OnboardLogs" /stypes="app*4004*20161130*" /stext=" 23:.+((SYSTEM_STATE.+slice.+state.+changed )|(ment ac)|(multiple cpu faults)|(system.+state.+changed )|(\[timeout)|(PRM\|1\|D)|(kpr)|(kdp)|(\|lc)|(penalty))" /e /r /s</v>
      </c>
      <c r="AG107" s="1" t="str">
        <f t="shared" si="36"/>
        <v>EC</v>
      </c>
      <c r="AH107" s="92" t="str">
        <f t="shared" si="37"/>
        <v>"%USERPROFILE%\Documents\GitHub\eaglep3\Utilities\RefineRTDCRunTimes.py" --tripid 194-30 --locoid 4004 --swversion DE.1.0.8.0 --startMP 204:232987 --initTime 2016-11-30T15:53:23 --startdatetime 2016-11-30T16:11:41 --delay 1 --endMP 204:147 --enddatetime 2016-11-30T16:48:28 --enforcementcount 0 &gt;&gt;C:\Users\stu\Documents\GitHub\eaglep3-reporting\EC\2016-11-30-refined-times.txt</v>
      </c>
      <c r="AI107" s="119" t="str">
        <f t="shared" si="38"/>
        <v>echo {"issue":{"subject":"","project_id":79,"tracker_id":40,"status_id":1,"priority_id":2,"assigned_to_id":23,"start_date":"2016-11-30","description":"","custom_fields":[{"id":1,"name":"Subdivision","value":"EC"},{"id":4,"name":"Milepost","value":"0.0147"},{"id":17,"name":"Train ID","value":"194-30"},{"id":16,"name":"Locomotive ID","value":"4004"},{"id":130,"name":"Impact","value":""},{"id":150,"name":"Time of Event (Mountain Time)","value":"16:48:28"},{"id":151,"name":"Denver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7" t="s">
        <v>659</v>
      </c>
      <c r="B108" s="7">
        <v>4038</v>
      </c>
      <c r="C108" s="22" t="s">
        <v>212</v>
      </c>
      <c r="D108" s="22" t="s">
        <v>757</v>
      </c>
      <c r="E108" s="13">
        <v>42704.642812500002</v>
      </c>
      <c r="F108" s="13">
        <v>42704.64603009259</v>
      </c>
      <c r="G108" s="7">
        <v>1</v>
      </c>
      <c r="H108" s="22" t="s">
        <v>789</v>
      </c>
      <c r="I108" s="13">
        <v>42704.671516203707</v>
      </c>
      <c r="J108" s="7">
        <v>0</v>
      </c>
      <c r="K108" s="109" t="str">
        <f t="shared" si="24"/>
        <v>4037/4038</v>
      </c>
      <c r="L108" s="22" t="str">
        <f>VLOOKUP(A108,'Trips&amp;Operators'!$C$1:$G$99999,5,FALSE)</f>
        <v>BERLING GARY</v>
      </c>
      <c r="M108" s="6">
        <f t="shared" si="25"/>
        <v>2.5486111117061228E-2</v>
      </c>
      <c r="N108" s="7">
        <f t="shared" si="39"/>
        <v>36.700000008568168</v>
      </c>
      <c r="O108" s="7"/>
      <c r="P108" s="7"/>
      <c r="Q108" s="23"/>
      <c r="R108" s="23"/>
      <c r="S108" s="35">
        <f t="shared" si="40"/>
        <v>1</v>
      </c>
      <c r="T108" s="50" t="str">
        <f t="shared" si="26"/>
        <v>NorthBound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27"/>
        <v>https://search-rtdc-monitor-bjffxe2xuh6vdkpspy63sjmuny.us-east-1.es.amazonaws.com/_plugin/kibana/#/discover/Steve-Slow-Train-Analysis-(2080s-and-2083s)?_g=(refreshInterval:(display:Off,section:0,value:0),time:(from:'2016-11-30 14:25:39-700',mode:absolute,to:'2016-11-30 17:06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08" s="52" t="str">
        <f t="shared" si="28"/>
        <v>N</v>
      </c>
      <c r="X108" s="177">
        <f t="shared" si="42"/>
        <v>1</v>
      </c>
      <c r="Y108" s="67">
        <f t="shared" si="30"/>
        <v>4.3499999999999997E-2</v>
      </c>
      <c r="Z108" s="67">
        <f t="shared" si="31"/>
        <v>23.333400000000001</v>
      </c>
      <c r="AA108" s="67">
        <f t="shared" si="32"/>
        <v>23.289899999999999</v>
      </c>
      <c r="AB108" s="64" t="e">
        <f>VLOOKUP(A108,Enforcements!$C$7:$K$20,8,0)</f>
        <v>#N/A</v>
      </c>
      <c r="AC108" s="60" t="e">
        <f>VLOOKUP(A108,Enforcements!$C$7:$E$20,3,0)</f>
        <v>#N/A</v>
      </c>
      <c r="AD108" s="61" t="str">
        <f t="shared" si="33"/>
        <v>0195-30</v>
      </c>
      <c r="AE108" s="91" t="str">
        <f t="shared" si="34"/>
        <v>aws s3 cp s3://rtdc.mdm.uploadarchive.raw/RTDC4038/ "%USERPROFILE%\AppData\Local\Temp\OnboardLogs"\RTDC4038\2016-11-30 --exclude "*" --recursive --include "*20161130*" &amp; "%USERPROFILE%\Documents\GitHub\mrs-test-scripts\Headless Mode &amp; Sideloading\WalkAndUnGZ.bat" "%USERPROFILE%\AppData\Local\Temp\OnboardLogs"\RTDC4038\2016-11-30 &amp; aws s3 cp s3://rtdc.mdm.uploadarchive.raw/RTDC4038/ "%USERPROFILE%\AppData\Local\Temp\OnboardLogs"\RTDC4038\2016-12-01 --exclude "*" --recursive --include "*20161201*" &amp; "%USERPROFILE%\Documents\GitHub\mrs-test-scripts\Headless Mode &amp; Sideloading\WalkAndUnGZ.bat" "%USERPROFILE%\AppData\Local\Temp\OnboardLogs"\RTDC4038\2016-12-01</v>
      </c>
      <c r="AF108" s="88" t="str">
        <f t="shared" si="35"/>
        <v>"C:\Program Files (x86)\AstroGrep\AstroGrep.exe" /spath="%USERPROFILE%\AppData\Local\Temp\OnboardLogs" /stypes="app*4038*20161130*" /stext=" 23:.+((SYSTEM_STATE.+slice.+state.+changed )|(ment ac)|(multiple cpu faults)|(system.+state.+changed )|(\[timeout)|(PRM\|1\|D)|(kpr)|(kdp)|(\|lc)|(penalty))" /e /r /s</v>
      </c>
      <c r="AG108" s="1" t="str">
        <f t="shared" si="36"/>
        <v>EC</v>
      </c>
      <c r="AH108" s="92" t="str">
        <f t="shared" si="37"/>
        <v>"%USERPROFILE%\Documents\GitHub\eaglep3\Utilities\RefineRTDCRunTimes.py" --tripid 195-30 --locoid 4038 --swversion DE.1.0.8.0 --startMP 204:435 --initTime 2016-11-30T15:25:39 --startdatetime 2016-11-30T15:30:17 --delay 1 --endMP 204:233334 --enddatetime 2016-11-30T16:06:59 --enforcementcount 0 &gt;&gt;C:\Users\stu\Documents\GitHub\eaglep3-reporting\EC\2016-11-30-refined-times.txt</v>
      </c>
      <c r="AI108" s="119" t="str">
        <f t="shared" si="38"/>
        <v>echo {"issue":{"subject":"","project_id":79,"tracker_id":40,"status_id":1,"priority_id":2,"assigned_to_id":23,"start_date":"2016-11-30","description":"","custom_fields":[{"id":1,"name":"Subdivision","value":"EC"},{"id":4,"name":"Milepost","value":"23.3334"},{"id":17,"name":"Train ID","value":"195-30"},{"id":16,"name":"Locomotive ID","value":"4038"},{"id":130,"name":"Impact","value":""},{"id":150,"name":"Time of Event (Mountain Time)","value":"16:06:59"},{"id":151,"name":"Denver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x14ac:dyDescent="0.25">
      <c r="A109" s="37" t="s">
        <v>670</v>
      </c>
      <c r="B109" s="7">
        <v>4037</v>
      </c>
      <c r="C109" s="22" t="s">
        <v>212</v>
      </c>
      <c r="D109" s="22" t="s">
        <v>341</v>
      </c>
      <c r="E109" s="13">
        <v>42704.678472222222</v>
      </c>
      <c r="F109" s="13">
        <v>42704.685266203705</v>
      </c>
      <c r="G109" s="7">
        <v>1</v>
      </c>
      <c r="H109" s="22" t="s">
        <v>350</v>
      </c>
      <c r="I109" s="13">
        <v>42704.712592592594</v>
      </c>
      <c r="J109" s="7">
        <v>0</v>
      </c>
      <c r="K109" s="109" t="str">
        <f t="shared" si="24"/>
        <v>4037/4038</v>
      </c>
      <c r="L109" s="22" t="str">
        <f>VLOOKUP(A109,'Trips&amp;Operators'!$C$1:$G$99999,5,FALSE)</f>
        <v>BERLING GARY</v>
      </c>
      <c r="M109" s="6">
        <f t="shared" si="25"/>
        <v>2.73263888884685E-2</v>
      </c>
      <c r="N109" s="7">
        <f t="shared" si="39"/>
        <v>39.34999999939464</v>
      </c>
      <c r="O109" s="7"/>
      <c r="P109" s="7"/>
      <c r="Q109" s="23"/>
      <c r="R109" s="23"/>
      <c r="S109" s="35">
        <f t="shared" si="40"/>
        <v>1</v>
      </c>
      <c r="T109" s="50" t="str">
        <f t="shared" si="26"/>
        <v>Southbound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27"/>
        <v>https://search-rtdc-monitor-bjffxe2xuh6vdkpspy63sjmuny.us-east-1.es.amazonaws.com/_plugin/kibana/#/discover/Steve-Slow-Train-Analysis-(2080s-and-2083s)?_g=(refreshInterval:(display:Off,section:0,value:0),time:(from:'2016-11-30 15:17:00-700',mode:absolute,to:'2016-11-30 18:06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09" s="52" t="str">
        <f t="shared" si="28"/>
        <v>N</v>
      </c>
      <c r="X109" s="177">
        <f t="shared" si="42"/>
        <v>1</v>
      </c>
      <c r="Y109" s="67">
        <f t="shared" si="30"/>
        <v>23.301100000000002</v>
      </c>
      <c r="Z109" s="67">
        <f t="shared" si="31"/>
        <v>1.3599999999999999E-2</v>
      </c>
      <c r="AA109" s="67">
        <f t="shared" si="32"/>
        <v>23.287500000000001</v>
      </c>
      <c r="AB109" s="64" t="e">
        <f>VLOOKUP(A109,Enforcements!$C$7:$K$20,8,0)</f>
        <v>#N/A</v>
      </c>
      <c r="AC109" s="60" t="e">
        <f>VLOOKUP(A109,Enforcements!$C$7:$E$20,3,0)</f>
        <v>#N/A</v>
      </c>
      <c r="AD109" s="61" t="str">
        <f t="shared" si="33"/>
        <v>0196-30</v>
      </c>
      <c r="AE109" s="91" t="str">
        <f t="shared" si="34"/>
        <v>aws s3 cp s3://rtdc.mdm.uploadarchive.raw/RTDC4037/ "%USERPROFILE%\AppData\Local\Temp\OnboardLogs"\RTDC4037\2016-11-30 --exclude "*" --recursive --include "*20161130*" &amp; "%USERPROFILE%\Documents\GitHub\mrs-test-scripts\Headless Mode &amp; Sideloading\WalkAndUnGZ.bat" "%USERPROFILE%\AppData\Local\Temp\OnboardLogs"\RTDC4037\2016-11-30 &amp; aws s3 cp s3://rtdc.mdm.uploadarchive.raw/RTDC4037/ "%USERPROFILE%\AppData\Local\Temp\OnboardLogs"\RTDC4037\2016-12-01 --exclude "*" --recursive --include "*20161201*" &amp; "%USERPROFILE%\Documents\GitHub\mrs-test-scripts\Headless Mode &amp; Sideloading\WalkAndUnGZ.bat" "%USERPROFILE%\AppData\Local\Temp\OnboardLogs"\RTDC4037\2016-12-01</v>
      </c>
      <c r="AF109" s="88" t="str">
        <f t="shared" si="35"/>
        <v>"C:\Program Files (x86)\AstroGrep\AstroGrep.exe" /spath="%USERPROFILE%\AppData\Local\Temp\OnboardLogs" /stypes="app*4037*20161201*" /stext=" 00:.+((SYSTEM_STATE.+slice.+state.+changed )|(ment ac)|(multiple cpu faults)|(system.+state.+changed )|(\[timeout)|(PRM\|1\|D)|(kpr)|(kdp)|(\|lc)|(penalty))" /e /r /s</v>
      </c>
      <c r="AG109" s="1" t="str">
        <f t="shared" si="36"/>
        <v>EC</v>
      </c>
      <c r="AH109" s="92" t="str">
        <f t="shared" si="37"/>
        <v>"%USERPROFILE%\Documents\GitHub\eaglep3\Utilities\RefineRTDCRunTimes.py" --tripid 196-30 --locoid 4037 --swversion DE.1.0.8.0 --startMP 204:233011 --initTime 2016-11-30T16:17:00 --startdatetime 2016-11-30T16:26:47 --delay 1 --endMP 204:136 --enddatetime 2016-11-30T17:06:08 --enforcementcount 0 &gt;&gt;C:\Users\stu\Documents\GitHub\eaglep3-reporting\EC\2016-11-30-refined-times.txt</v>
      </c>
      <c r="AI109" s="119" t="str">
        <f t="shared" si="38"/>
        <v>echo {"issue":{"subject":"","project_id":79,"tracker_id":40,"status_id":1,"priority_id":2,"assigned_to_id":23,"start_date":"2016-11-30","description":"","custom_fields":[{"id":1,"name":"Subdivision","value":"EC"},{"id":4,"name":"Milepost","value":"0.0136"},{"id":17,"name":"Train ID","value":"196-30"},{"id":16,"name":"Locomotive ID","value":"4037"},{"id":130,"name":"Impact","value":""},{"id":150,"name":"Time of Event (Mountain Time)","value":"17:06:08"},{"id":151,"name":"Denver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</row>
    <row r="110" spans="1:91" s="21" customFormat="1" x14ac:dyDescent="0.25">
      <c r="A110" s="37" t="s">
        <v>661</v>
      </c>
      <c r="B110" s="7">
        <v>4044</v>
      </c>
      <c r="C110" s="22" t="s">
        <v>212</v>
      </c>
      <c r="D110" s="22" t="s">
        <v>197</v>
      </c>
      <c r="E110" s="13">
        <v>42704.651296296295</v>
      </c>
      <c r="F110" s="13">
        <v>42704.656446759262</v>
      </c>
      <c r="G110" s="7">
        <v>1</v>
      </c>
      <c r="H110" s="22" t="s">
        <v>790</v>
      </c>
      <c r="I110" s="13">
        <v>42704.681793981479</v>
      </c>
      <c r="J110" s="7">
        <v>0</v>
      </c>
      <c r="K110" s="109" t="str">
        <f t="shared" si="24"/>
        <v>4043/4044</v>
      </c>
      <c r="L110" s="22" t="str">
        <f>VLOOKUP(A110,'Trips&amp;Operators'!$C$1:$G$99999,5,FALSE)</f>
        <v>BRUDER RICHARD</v>
      </c>
      <c r="M110" s="6">
        <f t="shared" si="25"/>
        <v>2.5347222217533272E-2</v>
      </c>
      <c r="N110" s="7">
        <f t="shared" si="39"/>
        <v>36.499999993247911</v>
      </c>
      <c r="O110" s="7"/>
      <c r="P110" s="7"/>
      <c r="Q110" s="23"/>
      <c r="R110" s="23"/>
      <c r="S110" s="35">
        <f t="shared" si="40"/>
        <v>1</v>
      </c>
      <c r="T110" s="50" t="str">
        <f t="shared" si="26"/>
        <v>NorthBound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27"/>
        <v>https://search-rtdc-monitor-bjffxe2xuh6vdkpspy63sjmuny.us-east-1.es.amazonaws.com/_plugin/kibana/#/discover/Steve-Slow-Train-Analysis-(2080s-and-2083s)?_g=(refreshInterval:(display:Off,section:0,value:0),time:(from:'2016-11-30 14:37:52-700',mode:absolute,to:'2016-11-30 17:21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10" s="52" t="str">
        <f t="shared" si="28"/>
        <v>N</v>
      </c>
      <c r="X110" s="177">
        <f t="shared" si="42"/>
        <v>1</v>
      </c>
      <c r="Y110" s="67">
        <f t="shared" si="30"/>
        <v>4.5100000000000001E-2</v>
      </c>
      <c r="Z110" s="67">
        <f t="shared" si="31"/>
        <v>23.328700000000001</v>
      </c>
      <c r="AA110" s="67">
        <f t="shared" si="32"/>
        <v>23.2836</v>
      </c>
      <c r="AB110" s="64" t="e">
        <f>VLOOKUP(A110,Enforcements!$C$7:$K$20,8,0)</f>
        <v>#N/A</v>
      </c>
      <c r="AC110" s="60" t="e">
        <f>VLOOKUP(A110,Enforcements!$C$7:$E$20,3,0)</f>
        <v>#N/A</v>
      </c>
      <c r="AD110" s="61" t="str">
        <f t="shared" si="33"/>
        <v>0197-30</v>
      </c>
      <c r="AE110" s="91" t="str">
        <f t="shared" si="34"/>
        <v>aws s3 cp s3://rtdc.mdm.uploadarchive.raw/RTDC4044/ "%USERPROFILE%\AppData\Local\Temp\OnboardLogs"\RTDC4044\2016-11-30 --exclude "*" --recursive --include "*20161130*" &amp; "%USERPROFILE%\Documents\GitHub\mrs-test-scripts\Headless Mode &amp; Sideloading\WalkAndUnGZ.bat" "%USERPROFILE%\AppData\Local\Temp\OnboardLogs"\RTDC4044\2016-11-30 &amp; aws s3 cp s3://rtdc.mdm.uploadarchive.raw/RTDC4044/ "%USERPROFILE%\AppData\Local\Temp\OnboardLogs"\RTDC4044\2016-12-01 --exclude "*" --recursive --include "*20161201*" &amp; "%USERPROFILE%\Documents\GitHub\mrs-test-scripts\Headless Mode &amp; Sideloading\WalkAndUnGZ.bat" "%USERPROFILE%\AppData\Local\Temp\OnboardLogs"\RTDC4044\2016-12-01</v>
      </c>
      <c r="AF110" s="88" t="str">
        <f t="shared" si="35"/>
        <v>"C:\Program Files (x86)\AstroGrep\AstroGrep.exe" /spath="%USERPROFILE%\AppData\Local\Temp\OnboardLogs" /stypes="app*4044*20161130*" /stext=" 23:.+((SYSTEM_STATE.+slice.+state.+changed )|(ment ac)|(multiple cpu faults)|(system.+state.+changed )|(\[timeout)|(PRM\|1\|D)|(kpr)|(kdp)|(\|lc)|(penalty))" /e /r /s</v>
      </c>
      <c r="AG110" s="1" t="str">
        <f t="shared" si="36"/>
        <v>EC</v>
      </c>
      <c r="AH110" s="92" t="str">
        <f t="shared" si="37"/>
        <v>"%USERPROFILE%\Documents\GitHub\eaglep3\Utilities\RefineRTDCRunTimes.py" --tripid 197-30 --locoid 4044 --swversion DE.1.0.8.0 --startMP 204:451 --initTime 2016-11-30T15:37:52 --startdatetime 2016-11-30T15:45:17 --delay 1 --endMP 204:233287 --enddatetime 2016-11-30T16:21:47 --enforcementcount 0 &gt;&gt;C:\Users\stu\Documents\GitHub\eaglep3-reporting\EC\2016-11-30-refined-times.txt</v>
      </c>
      <c r="AI110" s="119" t="str">
        <f t="shared" si="38"/>
        <v>echo {"issue":{"subject":"","project_id":79,"tracker_id":40,"status_id":1,"priority_id":2,"assigned_to_id":23,"start_date":"2016-11-30","description":"","custom_fields":[{"id":1,"name":"Subdivision","value":"EC"},{"id":4,"name":"Milepost","value":"23.3287"},{"id":17,"name":"Train ID","value":"197-30"},{"id":16,"name":"Locomotive ID","value":"4044"},{"id":130,"name":"Impact","value":""},{"id":150,"name":"Time of Event (Mountain Time)","value":"16:21:47"},{"id":151,"name":"Denver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672</v>
      </c>
      <c r="B111" s="7">
        <v>4043</v>
      </c>
      <c r="C111" s="22" t="s">
        <v>212</v>
      </c>
      <c r="D111" s="22" t="s">
        <v>274</v>
      </c>
      <c r="E111" s="13">
        <v>42704.690243055556</v>
      </c>
      <c r="F111" s="13">
        <v>42704.695381944446</v>
      </c>
      <c r="G111" s="7">
        <v>1</v>
      </c>
      <c r="H111" s="22" t="s">
        <v>340</v>
      </c>
      <c r="I111" s="13">
        <v>42704.722175925926</v>
      </c>
      <c r="J111" s="7">
        <v>0</v>
      </c>
      <c r="K111" s="109" t="str">
        <f t="shared" si="24"/>
        <v>4043/4044</v>
      </c>
      <c r="L111" s="22" t="str">
        <f>VLOOKUP(A111,'Trips&amp;Operators'!$C$1:$G$99999,5,FALSE)</f>
        <v>BRUDER RICHARD</v>
      </c>
      <c r="M111" s="6">
        <f t="shared" si="25"/>
        <v>2.679398148029577E-2</v>
      </c>
      <c r="N111" s="7">
        <f t="shared" si="39"/>
        <v>38.583333331625909</v>
      </c>
      <c r="O111" s="7"/>
      <c r="P111" s="7"/>
      <c r="Q111" s="23"/>
      <c r="R111" s="23"/>
      <c r="S111" s="35">
        <f t="shared" si="40"/>
        <v>1</v>
      </c>
      <c r="T111" s="50" t="str">
        <f t="shared" si="26"/>
        <v>Southbound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27"/>
        <v>https://search-rtdc-monitor-bjffxe2xuh6vdkpspy63sjmuny.us-east-1.es.amazonaws.com/_plugin/kibana/#/discover/Steve-Slow-Train-Analysis-(2080s-and-2083s)?_g=(refreshInterval:(display:Off,section:0,value:0),time:(from:'2016-11-30 15:33:57-700',mode:absolute,to:'2016-11-30 18:19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11" s="52" t="str">
        <f t="shared" si="28"/>
        <v>N</v>
      </c>
      <c r="X111" s="177">
        <f t="shared" si="42"/>
        <v>1</v>
      </c>
      <c r="Y111" s="67">
        <f t="shared" si="30"/>
        <v>23.299600000000002</v>
      </c>
      <c r="Z111" s="67">
        <f t="shared" si="31"/>
        <v>1.52E-2</v>
      </c>
      <c r="AA111" s="67">
        <f t="shared" si="32"/>
        <v>23.284400000000002</v>
      </c>
      <c r="AB111" s="64" t="e">
        <f>VLOOKUP(A111,Enforcements!$C$7:$K$20,8,0)</f>
        <v>#N/A</v>
      </c>
      <c r="AC111" s="60" t="e">
        <f>VLOOKUP(A111,Enforcements!$C$7:$E$20,3,0)</f>
        <v>#N/A</v>
      </c>
      <c r="AD111" s="61" t="str">
        <f t="shared" si="33"/>
        <v>0198-30</v>
      </c>
      <c r="AE111" s="91" t="str">
        <f t="shared" si="34"/>
        <v>aws s3 cp s3://rtdc.mdm.uploadarchive.raw/RTDC4043/ "%USERPROFILE%\AppData\Local\Temp\OnboardLogs"\RTDC4043\2016-11-30 --exclude "*" --recursive --include "*20161130*" &amp; "%USERPROFILE%\Documents\GitHub\mrs-test-scripts\Headless Mode &amp; Sideloading\WalkAndUnGZ.bat" "%USERPROFILE%\AppData\Local\Temp\OnboardLogs"\RTDC4043\2016-11-30 &amp; aws s3 cp s3://rtdc.mdm.uploadarchive.raw/RTDC4043/ "%USERPROFILE%\AppData\Local\Temp\OnboardLogs"\RTDC4043\2016-12-01 --exclude "*" --recursive --include "*20161201*" &amp; "%USERPROFILE%\Documents\GitHub\mrs-test-scripts\Headless Mode &amp; Sideloading\WalkAndUnGZ.bat" "%USERPROFILE%\AppData\Local\Temp\OnboardLogs"\RTDC4043\2016-12-01</v>
      </c>
      <c r="AF111" s="88" t="str">
        <f t="shared" si="35"/>
        <v>"C:\Program Files (x86)\AstroGrep\AstroGrep.exe" /spath="%USERPROFILE%\AppData\Local\Temp\OnboardLogs" /stypes="app*4043*20161201*" /stext=" 00:.+((SYSTEM_STATE.+slice.+state.+changed )|(ment ac)|(multiple cpu faults)|(system.+state.+changed )|(\[timeout)|(PRM\|1\|D)|(kpr)|(kdp)|(\|lc)|(penalty))" /e /r /s</v>
      </c>
      <c r="AG111" s="1" t="str">
        <f t="shared" si="36"/>
        <v>EC</v>
      </c>
      <c r="AH111" s="92" t="str">
        <f t="shared" si="37"/>
        <v>"%USERPROFILE%\Documents\GitHub\eaglep3\Utilities\RefineRTDCRunTimes.py" --tripid 198-30 --locoid 4043 --swversion DE.1.0.8.0 --startMP 204:232996 --initTime 2016-11-30T16:33:57 --startdatetime 2016-11-30T16:41:21 --delay 1 --endMP 204:152 --enddatetime 2016-11-30T17:19:56 --enforcementcount 0 &gt;&gt;C:\Users\stu\Documents\GitHub\eaglep3-reporting\EC\2016-11-30-refined-times.txt</v>
      </c>
      <c r="AI111" s="119" t="str">
        <f t="shared" si="38"/>
        <v>echo {"issue":{"subject":"","project_id":79,"tracker_id":40,"status_id":1,"priority_id":2,"assigned_to_id":23,"start_date":"2016-11-30","description":"","custom_fields":[{"id":1,"name":"Subdivision","value":"EC"},{"id":4,"name":"Milepost","value":"0.0152"},{"id":17,"name":"Train ID","value":"198-30"},{"id":16,"name":"Locomotive ID","value":"4043"},{"id":130,"name":"Impact","value":""},{"id":150,"name":"Time of Event (Mountain Time)","value":"17:19:56"},{"id":151,"name":"Denver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666</v>
      </c>
      <c r="B112" s="7">
        <v>4031</v>
      </c>
      <c r="C112" s="22" t="s">
        <v>212</v>
      </c>
      <c r="D112" s="22" t="s">
        <v>194</v>
      </c>
      <c r="E112" s="13">
        <v>42704.662418981483</v>
      </c>
      <c r="F112" s="13">
        <v>42704.66710648148</v>
      </c>
      <c r="G112" s="7">
        <v>6</v>
      </c>
      <c r="H112" s="22" t="s">
        <v>791</v>
      </c>
      <c r="I112" s="13">
        <v>42704.692141203705</v>
      </c>
      <c r="J112" s="7">
        <v>0</v>
      </c>
      <c r="K112" s="109" t="str">
        <f t="shared" si="24"/>
        <v>4031/4032</v>
      </c>
      <c r="L112" s="22" t="str">
        <f>VLOOKUP(A112,'Trips&amp;Operators'!$C$1:$G$99999,5,FALSE)</f>
        <v>STORY SAMANTHA</v>
      </c>
      <c r="M112" s="6">
        <f t="shared" si="25"/>
        <v>2.5034722224518191E-2</v>
      </c>
      <c r="N112" s="7">
        <f t="shared" si="39"/>
        <v>36.050000003306195</v>
      </c>
      <c r="O112" s="7"/>
      <c r="P112" s="7"/>
      <c r="Q112" s="23"/>
      <c r="R112" s="23"/>
      <c r="S112" s="35">
        <f t="shared" si="40"/>
        <v>1</v>
      </c>
      <c r="T112" s="50" t="str">
        <f t="shared" si="26"/>
        <v>NorthBound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27"/>
        <v>https://search-rtdc-monitor-bjffxe2xuh6vdkpspy63sjmuny.us-east-1.es.amazonaws.com/_plugin/kibana/#/discover/Steve-Slow-Train-Analysis-(2080s-and-2083s)?_g=(refreshInterval:(display:Off,section:0,value:0),time:(from:'2016-11-30 14:53:53-700',mode:absolute,to:'2016-11-30 17:36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12" s="52" t="str">
        <f t="shared" si="28"/>
        <v>N</v>
      </c>
      <c r="X112" s="177">
        <f t="shared" si="42"/>
        <v>1</v>
      </c>
      <c r="Y112" s="67">
        <f t="shared" si="30"/>
        <v>4.4699999999999997E-2</v>
      </c>
      <c r="Z112" s="67">
        <f t="shared" si="31"/>
        <v>23.3337</v>
      </c>
      <c r="AA112" s="67">
        <f t="shared" si="32"/>
        <v>23.289000000000001</v>
      </c>
      <c r="AB112" s="64" t="e">
        <f>VLOOKUP(A112,Enforcements!$C$7:$K$20,8,0)</f>
        <v>#N/A</v>
      </c>
      <c r="AC112" s="60" t="e">
        <f>VLOOKUP(A112,Enforcements!$C$7:$E$20,3,0)</f>
        <v>#N/A</v>
      </c>
      <c r="AD112" s="61" t="str">
        <f t="shared" si="33"/>
        <v>0199-30</v>
      </c>
      <c r="AE112" s="91" t="str">
        <f t="shared" si="34"/>
        <v>aws s3 cp s3://rtdc.mdm.uploadarchive.raw/RTDC4031/ "%USERPROFILE%\AppData\Local\Temp\OnboardLogs"\RTDC4031\2016-11-30 --exclude "*" --recursive --include "*20161130*" &amp; "%USERPROFILE%\Documents\GitHub\mrs-test-scripts\Headless Mode &amp; Sideloading\WalkAndUnGZ.bat" "%USERPROFILE%\AppData\Local\Temp\OnboardLogs"\RTDC4031\2016-11-30 &amp; aws s3 cp s3://rtdc.mdm.uploadarchive.raw/RTDC4031/ "%USERPROFILE%\AppData\Local\Temp\OnboardLogs"\RTDC4031\2016-12-01 --exclude "*" --recursive --include "*20161201*" &amp; "%USERPROFILE%\Documents\GitHub\mrs-test-scripts\Headless Mode &amp; Sideloading\WalkAndUnGZ.bat" "%USERPROFILE%\AppData\Local\Temp\OnboardLogs"\RTDC4031\2016-12-01</v>
      </c>
      <c r="AF112" s="88" t="str">
        <f t="shared" si="35"/>
        <v>"C:\Program Files (x86)\AstroGrep\AstroGrep.exe" /spath="%USERPROFILE%\AppData\Local\Temp\OnboardLogs" /stypes="app*4031*20161130*" /stext=" 23:.+((SYSTEM_STATE.+slice.+state.+changed )|(ment ac)|(multiple cpu faults)|(system.+state.+changed )|(\[timeout)|(PRM\|1\|D)|(kpr)|(kdp)|(\|lc)|(penalty))" /e /r /s</v>
      </c>
      <c r="AG112" s="1" t="str">
        <f t="shared" si="36"/>
        <v>EC</v>
      </c>
      <c r="AH112" s="92" t="str">
        <f t="shared" si="37"/>
        <v>"%USERPROFILE%\Documents\GitHub\eaglep3\Utilities\RefineRTDCRunTimes.py" --tripid 199-30 --locoid 4031 --swversion DE.1.0.8.0 --startMP 204:447 --initTime 2016-11-30T15:53:53 --startdatetime 2016-11-30T16:00:38 --delay 6 --endMP 204:233337 --enddatetime 2016-11-30T16:36:41 --enforcementcount 0 &gt;&gt;C:\Users\stu\Documents\GitHub\eaglep3-reporting\EC\2016-11-30-refined-times.txt</v>
      </c>
      <c r="AI112" s="119" t="str">
        <f t="shared" si="38"/>
        <v>echo {"issue":{"subject":"","project_id":79,"tracker_id":40,"status_id":1,"priority_id":2,"assigned_to_id":23,"start_date":"2016-11-30","description":"","custom_fields":[{"id":1,"name":"Subdivision","value":"EC"},{"id":4,"name":"Milepost","value":"23.3337"},{"id":17,"name":"Train ID","value":"199-30"},{"id":16,"name":"Locomotive ID","value":"4031"},{"id":130,"name":"Impact","value":""},{"id":150,"name":"Time of Event (Mountain Time)","value":"16:36:41"},{"id":151,"name":"Denver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676</v>
      </c>
      <c r="B113" s="7">
        <v>4032</v>
      </c>
      <c r="C113" s="22" t="s">
        <v>212</v>
      </c>
      <c r="D113" s="22" t="s">
        <v>770</v>
      </c>
      <c r="E113" s="13">
        <v>42704.698217592595</v>
      </c>
      <c r="F113" s="13">
        <v>42704.706030092595</v>
      </c>
      <c r="G113" s="7">
        <v>1</v>
      </c>
      <c r="H113" s="22" t="s">
        <v>792</v>
      </c>
      <c r="I113" s="13">
        <v>42704.725358796299</v>
      </c>
      <c r="J113" s="7">
        <v>0</v>
      </c>
      <c r="K113" s="109" t="str">
        <f t="shared" si="24"/>
        <v>4031/4032</v>
      </c>
      <c r="L113" s="22" t="str">
        <f>VLOOKUP(A113,'Trips&amp;Operators'!$C$1:$G$99999,5,FALSE)</f>
        <v>STORY SAMANTHA</v>
      </c>
      <c r="M113" s="6">
        <f t="shared" si="25"/>
        <v>1.9328703703649808E-2</v>
      </c>
      <c r="N113" s="7"/>
      <c r="O113" s="7"/>
      <c r="P113" s="7">
        <f>24*60*SUM($M113:$M113)</f>
        <v>27.833333333255723</v>
      </c>
      <c r="Q113" s="23"/>
      <c r="R113" s="23" t="s">
        <v>923</v>
      </c>
      <c r="S113" s="35">
        <f t="shared" si="40"/>
        <v>0.75</v>
      </c>
      <c r="T113" s="50" t="str">
        <f t="shared" si="26"/>
        <v>Southbound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9</v>
      </c>
      <c r="V113" s="98" t="str">
        <f t="shared" si="27"/>
        <v>https://search-rtdc-monitor-bjffxe2xuh6vdkpspy63sjmuny.us-east-1.es.amazonaws.com/_plugin/kibana/#/discover/Steve-Slow-Train-Analysis-(2080s-and-2083s)?_g=(refreshInterval:(display:Off,section:0,value:0),time:(from:'2016-11-30 15:45:26-700',mode:absolute,to:'2016-11-30 18:24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13" s="52" t="str">
        <f t="shared" si="28"/>
        <v>Y</v>
      </c>
      <c r="X113" s="177">
        <f t="shared" si="42"/>
        <v>1</v>
      </c>
      <c r="Y113" s="67">
        <f t="shared" si="30"/>
        <v>23.300899999999999</v>
      </c>
      <c r="Z113" s="67">
        <f t="shared" si="31"/>
        <v>3.6804999999999999</v>
      </c>
      <c r="AA113" s="67">
        <f t="shared" si="32"/>
        <v>19.6204</v>
      </c>
      <c r="AB113" s="64" t="e">
        <f>VLOOKUP(A113,Enforcements!$C$7:$K$20,8,0)</f>
        <v>#N/A</v>
      </c>
      <c r="AC113" s="60" t="e">
        <f>VLOOKUP(A113,Enforcements!$C$7:$E$20,3,0)</f>
        <v>#N/A</v>
      </c>
      <c r="AD113" s="61" t="str">
        <f t="shared" si="33"/>
        <v>0200-30</v>
      </c>
      <c r="AE113" s="91" t="str">
        <f t="shared" si="34"/>
        <v>aws s3 cp s3://rtdc.mdm.uploadarchive.raw/RTDC4032/ "%USERPROFILE%\AppData\Local\Temp\OnboardLogs"\RTDC4032\2016-11-30 --exclude "*" --recursive --include "*20161130*" &amp; "%USERPROFILE%\Documents\GitHub\mrs-test-scripts\Headless Mode &amp; Sideloading\WalkAndUnGZ.bat" "%USERPROFILE%\AppData\Local\Temp\OnboardLogs"\RTDC4032\2016-11-30 &amp; aws s3 cp s3://rtdc.mdm.uploadarchive.raw/RTDC4032/ "%USERPROFILE%\AppData\Local\Temp\OnboardLogs"\RTDC4032\2016-12-01 --exclude "*" --recursive --include "*20161201*" &amp; "%USERPROFILE%\Documents\GitHub\mrs-test-scripts\Headless Mode &amp; Sideloading\WalkAndUnGZ.bat" "%USERPROFILE%\AppData\Local\Temp\OnboardLogs"\RTDC4032\2016-12-01</v>
      </c>
      <c r="AF113" s="88" t="str">
        <f t="shared" si="35"/>
        <v>"C:\Program Files (x86)\AstroGrep\AstroGrep.exe" /spath="%USERPROFILE%\AppData\Local\Temp\OnboardLogs" /stypes="app*4032*20161201*" /stext=" 00:.+((SYSTEM_STATE.+slice.+state.+changed )|(ment ac)|(multiple cpu faults)|(system.+state.+changed )|(\[timeout)|(PRM\|1\|D)|(kpr)|(kdp)|(\|lc)|(penalty))" /e /r /s</v>
      </c>
      <c r="AG113" s="1" t="str">
        <f t="shared" si="36"/>
        <v>EC</v>
      </c>
      <c r="AH113" s="92" t="str">
        <f t="shared" si="37"/>
        <v>"%USERPROFILE%\Documents\GitHub\eaglep3\Utilities\RefineRTDCRunTimes.py" --tripid 200-30 --locoid 4032 --swversion DE.1.0.8.0 --startMP 204:233009 --initTime 2016-11-30T16:45:26 --startdatetime 2016-11-30T16:56:41 --delay 1 --endMP 204:36805 --enddatetime 2016-11-30T17:24:31 --enforcementcount 0 &gt;&gt;C:\Users\stu\Documents\GitHub\eaglep3-reporting\EC\2016-11-30-refined-times.txt</v>
      </c>
      <c r="AI113" s="119" t="str">
        <f t="shared" si="38"/>
        <v>echo {"issue":{"subject":"Onboard in-route failure","project_id":79,"tracker_id":40,"status_id":1,"priority_id":2,"assigned_to_id":23,"start_date":"2016-11-30","description":"At 2016-12-01 00:25:05 UTC, multiple cpu faults 2087s were issued by the Onboard system","custom_fields":[{"id":1,"name":"Subdivision","value":"EC"},{"id":4,"name":"Milepost","value":"3.6805"},{"id":17,"name":"Train ID","value":"200-30"},{"id":16,"name":"Locomotive ID","value":"4032"},{"id":130,"name":"Impact","value":"Failed State"},{"id":150,"name":"Time of Event (Mountain Time)","value":"17:24:31"},{"id":151,"name":"Denver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13" s="53" t="s">
        <v>924</v>
      </c>
      <c r="AK113" s="53" t="s">
        <v>128</v>
      </c>
      <c r="AL113" s="53" t="s">
        <v>174</v>
      </c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668</v>
      </c>
      <c r="B114" s="7">
        <v>4046</v>
      </c>
      <c r="C114" s="22" t="s">
        <v>212</v>
      </c>
      <c r="D114" s="22" t="s">
        <v>315</v>
      </c>
      <c r="E114" s="13">
        <v>42704.672175925924</v>
      </c>
      <c r="F114" s="13">
        <v>42704.677453703705</v>
      </c>
      <c r="G114" s="7">
        <v>1</v>
      </c>
      <c r="H114" s="22" t="s">
        <v>790</v>
      </c>
      <c r="I114" s="13">
        <v>42704.702997685185</v>
      </c>
      <c r="J114" s="7">
        <v>0</v>
      </c>
      <c r="K114" s="109" t="str">
        <f t="shared" si="24"/>
        <v>4045/4046</v>
      </c>
      <c r="L114" s="22" t="str">
        <f>VLOOKUP(A114,'Trips&amp;Operators'!$C$1:$G$99999,5,FALSE)</f>
        <v>BONDS REYNALDO</v>
      </c>
      <c r="M114" s="6">
        <f t="shared" si="25"/>
        <v>2.5543981479131617E-2</v>
      </c>
      <c r="N114" s="7">
        <f t="shared" ref="N114:N142" si="43">24*60*SUM($M114:$M114)</f>
        <v>36.783333329949528</v>
      </c>
      <c r="O114" s="7"/>
      <c r="P114" s="7"/>
      <c r="Q114" s="23"/>
      <c r="R114" s="23"/>
      <c r="S114" s="35">
        <f t="shared" si="40"/>
        <v>1</v>
      </c>
      <c r="T114" s="50" t="str">
        <f t="shared" si="26"/>
        <v>NorthBound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27"/>
        <v>https://search-rtdc-monitor-bjffxe2xuh6vdkpspy63sjmuny.us-east-1.es.amazonaws.com/_plugin/kibana/#/discover/Steve-Slow-Train-Analysis-(2080s-and-2083s)?_g=(refreshInterval:(display:Off,section:0,value:0),time:(from:'2016-11-30 15:07:56-700',mode:absolute,to:'2016-11-30 17:52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14" s="52" t="str">
        <f t="shared" si="28"/>
        <v>N</v>
      </c>
      <c r="X114" s="177">
        <f t="shared" si="42"/>
        <v>1</v>
      </c>
      <c r="Y114" s="67">
        <f t="shared" si="30"/>
        <v>4.7699999999999999E-2</v>
      </c>
      <c r="Z114" s="67">
        <f t="shared" si="31"/>
        <v>23.328700000000001</v>
      </c>
      <c r="AA114" s="67">
        <f t="shared" si="32"/>
        <v>23.281000000000002</v>
      </c>
      <c r="AB114" s="64" t="e">
        <f>VLOOKUP(A114,Enforcements!$C$7:$K$20,8,0)</f>
        <v>#N/A</v>
      </c>
      <c r="AC114" s="60" t="e">
        <f>VLOOKUP(A114,Enforcements!$C$7:$E$20,3,0)</f>
        <v>#N/A</v>
      </c>
      <c r="AD114" s="61" t="str">
        <f t="shared" si="33"/>
        <v>0201-30</v>
      </c>
      <c r="AE114" s="91" t="str">
        <f t="shared" si="34"/>
        <v>aws s3 cp s3://rtdc.mdm.uploadarchive.raw/RTDC4046/ "%USERPROFILE%\AppData\Local\Temp\OnboardLogs"\RTDC4046\2016-11-30 --exclude "*" --recursive --include "*20161130*" &amp; "%USERPROFILE%\Documents\GitHub\mrs-test-scripts\Headless Mode &amp; Sideloading\WalkAndUnGZ.bat" "%USERPROFILE%\AppData\Local\Temp\OnboardLogs"\RTDC4046\2016-11-30 &amp; aws s3 cp s3://rtdc.mdm.uploadarchive.raw/RTDC4046/ "%USERPROFILE%\AppData\Local\Temp\OnboardLogs"\RTDC4046\2016-12-01 --exclude "*" --recursive --include "*20161201*" &amp; "%USERPROFILE%\Documents\GitHub\mrs-test-scripts\Headless Mode &amp; Sideloading\WalkAndUnGZ.bat" "%USERPROFILE%\AppData\Local\Temp\OnboardLogs"\RTDC4046\2016-12-01</v>
      </c>
      <c r="AF114" s="88" t="str">
        <f t="shared" si="35"/>
        <v>"C:\Program Files (x86)\AstroGrep\AstroGrep.exe" /spath="%USERPROFILE%\AppData\Local\Temp\OnboardLogs" /stypes="app*4046*20161130*" /stext=" 23:.+((SYSTEM_STATE.+slice.+state.+changed )|(ment ac)|(multiple cpu faults)|(system.+state.+changed )|(\[timeout)|(PRM\|1\|D)|(kpr)|(kdp)|(\|lc)|(penalty))" /e /r /s</v>
      </c>
      <c r="AG114" s="1" t="str">
        <f t="shared" si="36"/>
        <v>EC</v>
      </c>
      <c r="AH114" s="92" t="str">
        <f t="shared" si="37"/>
        <v>"%USERPROFILE%\Documents\GitHub\eaglep3\Utilities\RefineRTDCRunTimes.py" --tripid 201-30 --locoid 4046 --swversion DE.1.0.8.0 --startMP 204:477 --initTime 2016-11-30T16:07:56 --startdatetime 2016-11-30T16:15:32 --delay 1 --endMP 204:233287 --enddatetime 2016-11-30T16:52:19 --enforcementcount 0 &gt;&gt;C:\Users\stu\Documents\GitHub\eaglep3-reporting\EC\2016-11-30-refined-times.txt</v>
      </c>
      <c r="AI114" s="119" t="str">
        <f t="shared" si="38"/>
        <v>echo {"issue":{"subject":"","project_id":79,"tracker_id":40,"status_id":1,"priority_id":2,"assigned_to_id":23,"start_date":"2016-11-30","description":"","custom_fields":[{"id":1,"name":"Subdivision","value":"EC"},{"id":4,"name":"Milepost","value":"23.3287"},{"id":17,"name":"Train ID","value":"201-30"},{"id":16,"name":"Locomotive ID","value":"4046"},{"id":130,"name":"Impact","value":""},{"id":150,"name":"Time of Event (Mountain Time)","value":"16:52:19"},{"id":151,"name":"Denver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678</v>
      </c>
      <c r="B115" s="7">
        <v>4045</v>
      </c>
      <c r="C115" s="22" t="s">
        <v>212</v>
      </c>
      <c r="D115" s="22" t="s">
        <v>345</v>
      </c>
      <c r="E115" s="13">
        <v>42704.70689814815</v>
      </c>
      <c r="F115" s="13">
        <v>42704.716180555559</v>
      </c>
      <c r="G115" s="7">
        <v>1</v>
      </c>
      <c r="H115" s="22" t="s">
        <v>498</v>
      </c>
      <c r="I115" s="13">
        <v>42704.746481481481</v>
      </c>
      <c r="J115" s="7">
        <v>0</v>
      </c>
      <c r="K115" s="109" t="str">
        <f t="shared" si="24"/>
        <v>4045/4046</v>
      </c>
      <c r="L115" s="22" t="str">
        <f>VLOOKUP(A115,'Trips&amp;Operators'!$C$1:$G$99999,5,FALSE)</f>
        <v>BONDS REYNALDO</v>
      </c>
      <c r="M115" s="6">
        <f t="shared" si="25"/>
        <v>3.0300925922347233E-2</v>
      </c>
      <c r="N115" s="7">
        <f t="shared" si="43"/>
        <v>43.633333328180015</v>
      </c>
      <c r="O115" s="7"/>
      <c r="P115" s="7"/>
      <c r="Q115" s="23"/>
      <c r="R115" s="23"/>
      <c r="S115" s="35">
        <f t="shared" si="40"/>
        <v>1</v>
      </c>
      <c r="T115" s="50" t="str">
        <f t="shared" si="26"/>
        <v>Southbound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27"/>
        <v>https://search-rtdc-monitor-bjffxe2xuh6vdkpspy63sjmuny.us-east-1.es.amazonaws.com/_plugin/kibana/#/discover/Steve-Slow-Train-Analysis-(2080s-and-2083s)?_g=(refreshInterval:(display:Off,section:0,value:0),time:(from:'2016-11-30 15:57:56-700',mode:absolute,to:'2016-11-30 18:54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15" s="52" t="str">
        <f t="shared" si="28"/>
        <v>N</v>
      </c>
      <c r="X115" s="177">
        <f t="shared" si="42"/>
        <v>1</v>
      </c>
      <c r="Y115" s="67">
        <f t="shared" si="30"/>
        <v>23.2972</v>
      </c>
      <c r="Z115" s="67">
        <f t="shared" si="31"/>
        <v>1.6899999999999998E-2</v>
      </c>
      <c r="AA115" s="67">
        <f t="shared" si="32"/>
        <v>23.2803</v>
      </c>
      <c r="AB115" s="64" t="e">
        <f>VLOOKUP(A115,Enforcements!$C$7:$K$20,8,0)</f>
        <v>#N/A</v>
      </c>
      <c r="AC115" s="60" t="e">
        <f>VLOOKUP(A115,Enforcements!$C$7:$E$20,3,0)</f>
        <v>#N/A</v>
      </c>
      <c r="AD115" s="61" t="str">
        <f t="shared" si="33"/>
        <v>0202-30</v>
      </c>
      <c r="AE115" s="91" t="str">
        <f t="shared" si="34"/>
        <v>aws s3 cp s3://rtdc.mdm.uploadarchive.raw/RTDC4045/ "%USERPROFILE%\AppData\Local\Temp\OnboardLogs"\RTDC4045\2016-11-30 --exclude "*" --recursive --include "*20161130*" &amp; "%USERPROFILE%\Documents\GitHub\mrs-test-scripts\Headless Mode &amp; Sideloading\WalkAndUnGZ.bat" "%USERPROFILE%\AppData\Local\Temp\OnboardLogs"\RTDC4045\2016-11-30 &amp; aws s3 cp s3://rtdc.mdm.uploadarchive.raw/RTDC4045/ "%USERPROFILE%\AppData\Local\Temp\OnboardLogs"\RTDC4045\2016-12-01 --exclude "*" --recursive --include "*20161201*" &amp; "%USERPROFILE%\Documents\GitHub\mrs-test-scripts\Headless Mode &amp; Sideloading\WalkAndUnGZ.bat" "%USERPROFILE%\AppData\Local\Temp\OnboardLogs"\RTDC4045\2016-12-01</v>
      </c>
      <c r="AF115" s="88" t="str">
        <f t="shared" si="35"/>
        <v>"C:\Program Files (x86)\AstroGrep\AstroGrep.exe" /spath="%USERPROFILE%\AppData\Local\Temp\OnboardLogs" /stypes="app*4045*20161201*" /stext=" 00:.+((SYSTEM_STATE.+slice.+state.+changed )|(ment ac)|(multiple cpu faults)|(system.+state.+changed )|(\[timeout)|(PRM\|1\|D)|(kpr)|(kdp)|(\|lc)|(penalty))" /e /r /s</v>
      </c>
      <c r="AG115" s="1" t="str">
        <f t="shared" si="36"/>
        <v>EC</v>
      </c>
      <c r="AH115" s="92" t="str">
        <f t="shared" si="37"/>
        <v>"%USERPROFILE%\Documents\GitHub\eaglep3\Utilities\RefineRTDCRunTimes.py" --tripid 202-30 --locoid 4045 --swversion DE.1.0.8.0 --startMP 204:232972 --initTime 2016-11-30T16:57:56 --startdatetime 2016-11-30T17:11:18 --delay 1 --endMP 204:169 --enddatetime 2016-11-30T17:54:56 --enforcementcount 0 &gt;&gt;C:\Users\stu\Documents\GitHub\eaglep3-reporting\EC\2016-11-30-refined-times.txt</v>
      </c>
      <c r="AI115" s="119" t="str">
        <f t="shared" si="38"/>
        <v>echo {"issue":{"subject":"","project_id":79,"tracker_id":40,"status_id":1,"priority_id":2,"assigned_to_id":23,"start_date":"2016-11-30","description":"","custom_fields":[{"id":1,"name":"Subdivision","value":"EC"},{"id":4,"name":"Milepost","value":"0.0169"},{"id":17,"name":"Train ID","value":"202-30"},{"id":16,"name":"Locomotive ID","value":"4045"},{"id":130,"name":"Impact","value":""},{"id":150,"name":"Time of Event (Mountain Time)","value":"17:54:56"},{"id":151,"name":"Denver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671</v>
      </c>
      <c r="B116" s="7">
        <v>4022</v>
      </c>
      <c r="C116" s="22" t="s">
        <v>212</v>
      </c>
      <c r="D116" s="22" t="s">
        <v>315</v>
      </c>
      <c r="E116" s="13">
        <v>42704.68241898148</v>
      </c>
      <c r="F116" s="13">
        <v>42704.687893518516</v>
      </c>
      <c r="G116" s="7">
        <v>1</v>
      </c>
      <c r="H116" s="22" t="s">
        <v>793</v>
      </c>
      <c r="I116" s="13">
        <v>42704.712905092594</v>
      </c>
      <c r="J116" s="7">
        <v>0</v>
      </c>
      <c r="K116" s="109" t="str">
        <f t="shared" si="24"/>
        <v>4021/4022</v>
      </c>
      <c r="L116" s="22" t="str">
        <f>VLOOKUP(A116,'Trips&amp;Operators'!$C$1:$G$99999,5,FALSE)</f>
        <v>BARTLETT KIANDRA</v>
      </c>
      <c r="M116" s="6">
        <f t="shared" si="25"/>
        <v>2.5011574078234844E-2</v>
      </c>
      <c r="N116" s="7">
        <f t="shared" si="43"/>
        <v>36.016666672658175</v>
      </c>
      <c r="O116" s="7"/>
      <c r="P116" s="7"/>
      <c r="Q116" s="23"/>
      <c r="R116" s="23"/>
      <c r="S116" s="35">
        <f t="shared" si="40"/>
        <v>1</v>
      </c>
      <c r="T116" s="50" t="str">
        <f t="shared" si="26"/>
        <v>NorthBound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27"/>
        <v>https://search-rtdc-monitor-bjffxe2xuh6vdkpspy63sjmuny.us-east-1.es.amazonaws.com/_plugin/kibana/#/discover/Steve-Slow-Train-Analysis-(2080s-and-2083s)?_g=(refreshInterval:(display:Off,section:0,value:0),time:(from:'2016-11-30 15:22:41-700',mode:absolute,to:'2016-11-30 18:06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16" s="52" t="str">
        <f t="shared" si="28"/>
        <v>N</v>
      </c>
      <c r="X116" s="177">
        <f t="shared" si="42"/>
        <v>1</v>
      </c>
      <c r="Y116" s="67">
        <f t="shared" si="30"/>
        <v>4.7699999999999999E-2</v>
      </c>
      <c r="Z116" s="67">
        <f t="shared" si="31"/>
        <v>23.331099999999999</v>
      </c>
      <c r="AA116" s="67">
        <f t="shared" si="32"/>
        <v>23.2834</v>
      </c>
      <c r="AB116" s="64" t="e">
        <f>VLOOKUP(A116,Enforcements!$C$7:$K$20,8,0)</f>
        <v>#N/A</v>
      </c>
      <c r="AC116" s="60" t="e">
        <f>VLOOKUP(A116,Enforcements!$C$7:$E$20,3,0)</f>
        <v>#N/A</v>
      </c>
      <c r="AD116" s="61" t="str">
        <f t="shared" si="33"/>
        <v>0203-30</v>
      </c>
      <c r="AE116" s="91" t="str">
        <f t="shared" si="34"/>
        <v>aws s3 cp s3://rtdc.mdm.uploadarchive.raw/RTDC4022/ "%USERPROFILE%\AppData\Local\Temp\OnboardLogs"\RTDC4022\2016-11-30 --exclude "*" --recursive --include "*20161130*" &amp; "%USERPROFILE%\Documents\GitHub\mrs-test-scripts\Headless Mode &amp; Sideloading\WalkAndUnGZ.bat" "%USERPROFILE%\AppData\Local\Temp\OnboardLogs"\RTDC4022\2016-11-30 &amp; aws s3 cp s3://rtdc.mdm.uploadarchive.raw/RTDC4022/ "%USERPROFILE%\AppData\Local\Temp\OnboardLogs"\RTDC4022\2016-12-01 --exclude "*" --recursive --include "*20161201*" &amp; "%USERPROFILE%\Documents\GitHub\mrs-test-scripts\Headless Mode &amp; Sideloading\WalkAndUnGZ.bat" "%USERPROFILE%\AppData\Local\Temp\OnboardLogs"\RTDC4022\2016-12-01</v>
      </c>
      <c r="AF116" s="88" t="str">
        <f t="shared" si="35"/>
        <v>"C:\Program Files (x86)\AstroGrep\AstroGrep.exe" /spath="%USERPROFILE%\AppData\Local\Temp\OnboardLogs" /stypes="app*4022*20161201*" /stext=" 00:.+((SYSTEM_STATE.+slice.+state.+changed )|(ment ac)|(multiple cpu faults)|(system.+state.+changed )|(\[timeout)|(PRM\|1\|D)|(kpr)|(kdp)|(\|lc)|(penalty))" /e /r /s</v>
      </c>
      <c r="AG116" s="1" t="str">
        <f t="shared" si="36"/>
        <v>EC</v>
      </c>
      <c r="AH116" s="92" t="str">
        <f t="shared" si="37"/>
        <v>"%USERPROFILE%\Documents\GitHub\eaglep3\Utilities\RefineRTDCRunTimes.py" --tripid 203-30 --locoid 4022 --swversion DE.1.0.8.0 --startMP 204:477 --initTime 2016-11-30T16:22:41 --startdatetime 2016-11-30T16:30:34 --delay 1 --endMP 204:233311 --enddatetime 2016-11-30T17:06:35 --enforcementcount 0 &gt;&gt;C:\Users\stu\Documents\GitHub\eaglep3-reporting\EC\2016-11-30-refined-times.txt</v>
      </c>
      <c r="AI116" s="119" t="str">
        <f t="shared" si="38"/>
        <v>echo {"issue":{"subject":"","project_id":79,"tracker_id":40,"status_id":1,"priority_id":2,"assigned_to_id":23,"start_date":"2016-11-30","description":"","custom_fields":[{"id":1,"name":"Subdivision","value":"EC"},{"id":4,"name":"Milepost","value":"23.3311"},{"id":17,"name":"Train ID","value":"203-30"},{"id":16,"name":"Locomotive ID","value":"4022"},{"id":130,"name":"Impact","value":""},{"id":150,"name":"Time of Event (Mountain Time)","value":"17:06:35"},{"id":151,"name":"Denver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681</v>
      </c>
      <c r="B117" s="7">
        <v>4021</v>
      </c>
      <c r="C117" s="22" t="s">
        <v>212</v>
      </c>
      <c r="D117" s="22" t="s">
        <v>275</v>
      </c>
      <c r="E117" s="13">
        <v>42704.71603009259</v>
      </c>
      <c r="F117" s="13">
        <v>42704.726539351854</v>
      </c>
      <c r="G117" s="7">
        <v>0</v>
      </c>
      <c r="H117" s="22" t="s">
        <v>794</v>
      </c>
      <c r="I117" s="13">
        <v>42704.753113425926</v>
      </c>
      <c r="J117" s="7">
        <v>0</v>
      </c>
      <c r="K117" s="109" t="str">
        <f t="shared" si="24"/>
        <v>4021/4022</v>
      </c>
      <c r="L117" s="22" t="str">
        <f>VLOOKUP(A117,'Trips&amp;Operators'!$C$1:$G$99999,5,FALSE)</f>
        <v>BARTLETT KIANDRA</v>
      </c>
      <c r="M117" s="6">
        <f t="shared" si="25"/>
        <v>2.6574074072414078E-2</v>
      </c>
      <c r="N117" s="7">
        <f t="shared" si="43"/>
        <v>38.266666664276272</v>
      </c>
      <c r="O117" s="7"/>
      <c r="P117" s="7"/>
      <c r="Q117" s="23"/>
      <c r="R117" s="23"/>
      <c r="S117" s="35">
        <f t="shared" si="40"/>
        <v>1</v>
      </c>
      <c r="T117" s="50" t="str">
        <f t="shared" si="26"/>
        <v>Southbound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27"/>
        <v>https://search-rtdc-monitor-bjffxe2xuh6vdkpspy63sjmuny.us-east-1.es.amazonaws.com/_plugin/kibana/#/discover/Steve-Slow-Train-Analysis-(2080s-and-2083s)?_g=(refreshInterval:(display:Off,section:0,value:0),time:(from:'2016-11-30 16:11:05-700',mode:absolute,to:'2016-11-30 19:04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17" s="52" t="str">
        <f t="shared" si="28"/>
        <v>N</v>
      </c>
      <c r="X117" s="177">
        <f t="shared" si="42"/>
        <v>1</v>
      </c>
      <c r="Y117" s="67">
        <f t="shared" si="30"/>
        <v>23.297999999999998</v>
      </c>
      <c r="Z117" s="67">
        <f t="shared" si="31"/>
        <v>3.44E-2</v>
      </c>
      <c r="AA117" s="67">
        <f t="shared" si="32"/>
        <v>23.263599999999997</v>
      </c>
      <c r="AB117" s="64" t="e">
        <f>VLOOKUP(A117,Enforcements!$C$7:$K$20,8,0)</f>
        <v>#N/A</v>
      </c>
      <c r="AC117" s="60" t="e">
        <f>VLOOKUP(A117,Enforcements!$C$7:$E$20,3,0)</f>
        <v>#N/A</v>
      </c>
      <c r="AD117" s="61" t="str">
        <f t="shared" si="33"/>
        <v>0204-30</v>
      </c>
      <c r="AE117" s="91" t="str">
        <f t="shared" si="34"/>
        <v>aws s3 cp s3://rtdc.mdm.uploadarchive.raw/RTDC4021/ "%USERPROFILE%\AppData\Local\Temp\OnboardLogs"\RTDC4021\2016-11-30 --exclude "*" --recursive --include "*20161130*" &amp; "%USERPROFILE%\Documents\GitHub\mrs-test-scripts\Headless Mode &amp; Sideloading\WalkAndUnGZ.bat" "%USERPROFILE%\AppData\Local\Temp\OnboardLogs"\RTDC4021\2016-11-30 &amp; aws s3 cp s3://rtdc.mdm.uploadarchive.raw/RTDC4021/ "%USERPROFILE%\AppData\Local\Temp\OnboardLogs"\RTDC4021\2016-12-01 --exclude "*" --recursive --include "*20161201*" &amp; "%USERPROFILE%\Documents\GitHub\mrs-test-scripts\Headless Mode &amp; Sideloading\WalkAndUnGZ.bat" "%USERPROFILE%\AppData\Local\Temp\OnboardLogs"\RTDC4021\2016-12-01</v>
      </c>
      <c r="AF117" s="88" t="str">
        <f t="shared" si="35"/>
        <v>"C:\Program Files (x86)\AstroGrep\AstroGrep.exe" /spath="%USERPROFILE%\AppData\Local\Temp\OnboardLogs" /stypes="app*4021*20161201*" /stext=" 01:.+((SYSTEM_STATE.+slice.+state.+changed )|(ment ac)|(multiple cpu faults)|(system.+state.+changed )|(\[timeout)|(PRM\|1\|D)|(kpr)|(kdp)|(\|lc)|(penalty))" /e /r /s</v>
      </c>
      <c r="AG117" s="1" t="str">
        <f t="shared" si="36"/>
        <v>EC</v>
      </c>
      <c r="AH117" s="92" t="str">
        <f t="shared" si="37"/>
        <v>"%USERPROFILE%\Documents\GitHub\eaglep3\Utilities\RefineRTDCRunTimes.py" --tripid 204-30 --locoid 4021 --swversion DE.1.0.8.0 --startMP 204:232980 --initTime 2016-11-30T17:11:05 --startdatetime 2016-11-30T17:26:13 --delay 0 --endMP 204:344 --enddatetime 2016-11-30T18:04:29 --enforcementcount 0 &gt;&gt;C:\Users\stu\Documents\GitHub\eaglep3-reporting\EC\2016-11-30-refined-times.txt</v>
      </c>
      <c r="AI117" s="119" t="str">
        <f t="shared" si="38"/>
        <v>echo {"issue":{"subject":"","project_id":79,"tracker_id":40,"status_id":1,"priority_id":2,"assigned_to_id":23,"start_date":"2016-11-30","description":"","custom_fields":[{"id":1,"name":"Subdivision","value":"EC"},{"id":4,"name":"Milepost","value":"0.0344"},{"id":17,"name":"Train ID","value":"204-30"},{"id":16,"name":"Locomotive ID","value":"4021"},{"id":130,"name":"Impact","value":""},{"id":150,"name":"Time of Event (Mountain Time)","value":"18:04:29"},{"id":151,"name":"Denver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673</v>
      </c>
      <c r="B118" s="7">
        <v>4011</v>
      </c>
      <c r="C118" s="22" t="s">
        <v>212</v>
      </c>
      <c r="D118" s="22" t="s">
        <v>313</v>
      </c>
      <c r="E118" s="13">
        <v>42704.691817129627</v>
      </c>
      <c r="F118" s="13">
        <v>42704.69809027778</v>
      </c>
      <c r="G118" s="7">
        <v>1</v>
      </c>
      <c r="H118" s="22" t="s">
        <v>254</v>
      </c>
      <c r="I118" s="13">
        <v>42704.722592592596</v>
      </c>
      <c r="J118" s="7">
        <v>0</v>
      </c>
      <c r="K118" s="109" t="str">
        <f t="shared" si="24"/>
        <v>4011/4012</v>
      </c>
      <c r="L118" s="22" t="str">
        <f>VLOOKUP(A118,'Trips&amp;Operators'!$C$1:$G$99999,5,FALSE)</f>
        <v>DAVIDSON DAVID</v>
      </c>
      <c r="M118" s="6">
        <f t="shared" si="25"/>
        <v>2.4502314816345461E-2</v>
      </c>
      <c r="N118" s="7">
        <f t="shared" si="43"/>
        <v>35.283333335537463</v>
      </c>
      <c r="O118" s="7"/>
      <c r="P118" s="7"/>
      <c r="Q118" s="23"/>
      <c r="R118" s="23"/>
      <c r="S118" s="35">
        <f t="shared" si="40"/>
        <v>1</v>
      </c>
      <c r="T118" s="50" t="str">
        <f t="shared" si="26"/>
        <v>NorthBound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27"/>
        <v>https://search-rtdc-monitor-bjffxe2xuh6vdkpspy63sjmuny.us-east-1.es.amazonaws.com/_plugin/kibana/#/discover/Steve-Slow-Train-Analysis-(2080s-and-2083s)?_g=(refreshInterval:(display:Off,section:0,value:0),time:(from:'2016-11-30 15:36:13-700',mode:absolute,to:'2016-11-30 18:20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18" s="52" t="str">
        <f t="shared" si="28"/>
        <v>N</v>
      </c>
      <c r="X118" s="177">
        <f t="shared" si="42"/>
        <v>1</v>
      </c>
      <c r="Y118" s="67">
        <f t="shared" si="30"/>
        <v>4.58E-2</v>
      </c>
      <c r="Z118" s="67">
        <f t="shared" si="31"/>
        <v>23.330200000000001</v>
      </c>
      <c r="AA118" s="67">
        <f t="shared" si="32"/>
        <v>23.284400000000002</v>
      </c>
      <c r="AB118" s="64" t="e">
        <f>VLOOKUP(A118,Enforcements!$C$7:$K$20,8,0)</f>
        <v>#N/A</v>
      </c>
      <c r="AC118" s="60" t="e">
        <f>VLOOKUP(A118,Enforcements!$C$7:$E$20,3,0)</f>
        <v>#N/A</v>
      </c>
      <c r="AD118" s="61" t="str">
        <f t="shared" si="33"/>
        <v>0205-30</v>
      </c>
      <c r="AE118" s="91" t="str">
        <f t="shared" si="34"/>
        <v>aws s3 cp s3://rtdc.mdm.uploadarchive.raw/RTDC4011/ "%USERPROFILE%\AppData\Local\Temp\OnboardLogs"\RTDC4011\2016-11-30 --exclude "*" --recursive --include "*20161130*" &amp; "%USERPROFILE%\Documents\GitHub\mrs-test-scripts\Headless Mode &amp; Sideloading\WalkAndUnGZ.bat" "%USERPROFILE%\AppData\Local\Temp\OnboardLogs"\RTDC4011\2016-11-30 &amp; aws s3 cp s3://rtdc.mdm.uploadarchive.raw/RTDC4011/ "%USERPROFILE%\AppData\Local\Temp\OnboardLogs"\RTDC4011\2016-12-01 --exclude "*" --recursive --include "*20161201*" &amp; "%USERPROFILE%\Documents\GitHub\mrs-test-scripts\Headless Mode &amp; Sideloading\WalkAndUnGZ.bat" "%USERPROFILE%\AppData\Local\Temp\OnboardLogs"\RTDC4011\2016-12-01</v>
      </c>
      <c r="AF118" s="88" t="str">
        <f t="shared" si="35"/>
        <v>"C:\Program Files (x86)\AstroGrep\AstroGrep.exe" /spath="%USERPROFILE%\AppData\Local\Temp\OnboardLogs" /stypes="app*4011*20161201*" /stext=" 00:.+((SYSTEM_STATE.+slice.+state.+changed )|(ment ac)|(multiple cpu faults)|(system.+state.+changed )|(\[timeout)|(PRM\|1\|D)|(kpr)|(kdp)|(\|lc)|(penalty))" /e /r /s</v>
      </c>
      <c r="AG118" s="1" t="str">
        <f t="shared" si="36"/>
        <v>EC</v>
      </c>
      <c r="AH118" s="92" t="str">
        <f t="shared" si="37"/>
        <v>"%USERPROFILE%\Documents\GitHub\eaglep3\Utilities\RefineRTDCRunTimes.py" --tripid 205-30 --locoid 4011 --swversion DE.1.0.8.0 --startMP 204:458 --initTime 2016-11-30T16:36:13 --startdatetime 2016-11-30T16:45:15 --delay 1 --endMP 204:233302 --enddatetime 2016-11-30T17:20:32 --enforcementcount 0 &gt;&gt;C:\Users\stu\Documents\GitHub\eaglep3-reporting\EC\2016-11-30-refined-times.txt</v>
      </c>
      <c r="AI118" s="119" t="str">
        <f t="shared" si="38"/>
        <v>echo {"issue":{"subject":"","project_id":79,"tracker_id":40,"status_id":1,"priority_id":2,"assigned_to_id":23,"start_date":"2016-11-30","description":"","custom_fields":[{"id":1,"name":"Subdivision","value":"EC"},{"id":4,"name":"Milepost","value":"23.3302"},{"id":17,"name":"Train ID","value":"205-30"},{"id":16,"name":"Locomotive ID","value":"4011"},{"id":130,"name":"Impact","value":""},{"id":150,"name":"Time of Event (Mountain Time)","value":"17:20:32"},{"id":151,"name":"Denver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688</v>
      </c>
      <c r="B119" s="7">
        <v>4012</v>
      </c>
      <c r="C119" s="22" t="s">
        <v>212</v>
      </c>
      <c r="D119" s="22" t="s">
        <v>499</v>
      </c>
      <c r="E119" s="13">
        <v>42704.732893518521</v>
      </c>
      <c r="F119" s="13">
        <v>42704.737037037034</v>
      </c>
      <c r="G119" s="7">
        <v>1</v>
      </c>
      <c r="H119" s="22" t="s">
        <v>232</v>
      </c>
      <c r="I119" s="13">
        <v>42704.763009259259</v>
      </c>
      <c r="J119" s="7">
        <v>0</v>
      </c>
      <c r="K119" s="109" t="str">
        <f t="shared" si="24"/>
        <v>4011/4012</v>
      </c>
      <c r="L119" s="22" t="str">
        <f>VLOOKUP(A119,'Trips&amp;Operators'!$C$1:$G$99999,5,FALSE)</f>
        <v>DAVIDSON DAVID</v>
      </c>
      <c r="M119" s="6">
        <f t="shared" si="25"/>
        <v>2.5972222225391306E-2</v>
      </c>
      <c r="N119" s="7">
        <f t="shared" si="43"/>
        <v>37.400000004563481</v>
      </c>
      <c r="O119" s="7"/>
      <c r="P119" s="7"/>
      <c r="Q119" s="23"/>
      <c r="R119" s="23"/>
      <c r="S119" s="35">
        <f t="shared" si="40"/>
        <v>1</v>
      </c>
      <c r="T119" s="50" t="str">
        <f t="shared" si="26"/>
        <v>Southbound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27"/>
        <v>https://search-rtdc-monitor-bjffxe2xuh6vdkpspy63sjmuny.us-east-1.es.amazonaws.com/_plugin/kibana/#/discover/Steve-Slow-Train-Analysis-(2080s-and-2083s)?_g=(refreshInterval:(display:Off,section:0,value:0),time:(from:'2016-11-30 16:35:22-700',mode:absolute,to:'2016-11-30 19:18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19" s="52" t="str">
        <f t="shared" si="28"/>
        <v>N</v>
      </c>
      <c r="X119" s="177">
        <f t="shared" si="42"/>
        <v>1</v>
      </c>
      <c r="Y119" s="67">
        <f t="shared" si="30"/>
        <v>23.2974</v>
      </c>
      <c r="Z119" s="67">
        <f t="shared" si="31"/>
        <v>1.54E-2</v>
      </c>
      <c r="AA119" s="67">
        <f t="shared" si="32"/>
        <v>23.282</v>
      </c>
      <c r="AB119" s="64" t="e">
        <f>VLOOKUP(A119,Enforcements!$C$7:$K$20,8,0)</f>
        <v>#N/A</v>
      </c>
      <c r="AC119" s="60" t="e">
        <f>VLOOKUP(A119,Enforcements!$C$7:$E$20,3,0)</f>
        <v>#N/A</v>
      </c>
      <c r="AD119" s="61" t="str">
        <f t="shared" si="33"/>
        <v>0206-30</v>
      </c>
      <c r="AE119" s="91" t="str">
        <f t="shared" si="34"/>
        <v>aws s3 cp s3://rtdc.mdm.uploadarchive.raw/RTDC4012/ "%USERPROFILE%\AppData\Local\Temp\OnboardLogs"\RTDC4012\2016-11-30 --exclude "*" --recursive --include "*20161130*" &amp; "%USERPROFILE%\Documents\GitHub\mrs-test-scripts\Headless Mode &amp; Sideloading\WalkAndUnGZ.bat" "%USERPROFILE%\AppData\Local\Temp\OnboardLogs"\RTDC4012\2016-11-30 &amp; aws s3 cp s3://rtdc.mdm.uploadarchive.raw/RTDC4012/ "%USERPROFILE%\AppData\Local\Temp\OnboardLogs"\RTDC4012\2016-12-01 --exclude "*" --recursive --include "*20161201*" &amp; "%USERPROFILE%\Documents\GitHub\mrs-test-scripts\Headless Mode &amp; Sideloading\WalkAndUnGZ.bat" "%USERPROFILE%\AppData\Local\Temp\OnboardLogs"\RTDC4012\2016-12-01</v>
      </c>
      <c r="AF119" s="88" t="str">
        <f t="shared" si="35"/>
        <v>"C:\Program Files (x86)\AstroGrep\AstroGrep.exe" /spath="%USERPROFILE%\AppData\Local\Temp\OnboardLogs" /stypes="app*4012*20161201*" /stext=" 01:.+((SYSTEM_STATE.+slice.+state.+changed )|(ment ac)|(multiple cpu faults)|(system.+state.+changed )|(\[timeout)|(PRM\|1\|D)|(kpr)|(kdp)|(\|lc)|(penalty))" /e /r /s</v>
      </c>
      <c r="AG119" s="1" t="str">
        <f t="shared" si="36"/>
        <v>EC</v>
      </c>
      <c r="AH119" s="92" t="str">
        <f t="shared" si="37"/>
        <v>"%USERPROFILE%\Documents\GitHub\eaglep3\Utilities\RefineRTDCRunTimes.py" --tripid 206-30 --locoid 4012 --swversion DE.1.0.8.0 --startMP 204:232974 --initTime 2016-11-30T17:35:22 --startdatetime 2016-11-30T17:41:20 --delay 1 --endMP 204:154 --enddatetime 2016-11-30T18:18:44 --enforcementcount 0 &gt;&gt;C:\Users\stu\Documents\GitHub\eaglep3-reporting\EC\2016-11-30-refined-times.txt</v>
      </c>
      <c r="AI119" s="119" t="str">
        <f t="shared" si="38"/>
        <v>echo {"issue":{"subject":"","project_id":79,"tracker_id":40,"status_id":1,"priority_id":2,"assigned_to_id":23,"start_date":"2016-11-30","description":"","custom_fields":[{"id":1,"name":"Subdivision","value":"EC"},{"id":4,"name":"Milepost","value":"0.0154"},{"id":17,"name":"Train ID","value":"206-30"},{"id":16,"name":"Locomotive ID","value":"4012"},{"id":130,"name":"Impact","value":""},{"id":150,"name":"Time of Event (Mountain Time)","value":"18:18:44"},{"id":151,"name":"Denver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677</v>
      </c>
      <c r="B120" s="7">
        <v>4003</v>
      </c>
      <c r="C120" s="22" t="s">
        <v>212</v>
      </c>
      <c r="D120" s="22" t="s">
        <v>195</v>
      </c>
      <c r="E120" s="13">
        <v>42704.701770833337</v>
      </c>
      <c r="F120" s="13">
        <v>42704.708634259259</v>
      </c>
      <c r="G120" s="7">
        <v>1</v>
      </c>
      <c r="H120" s="22" t="s">
        <v>795</v>
      </c>
      <c r="I120" s="13">
        <v>42704.733182870368</v>
      </c>
      <c r="J120" s="7">
        <v>0</v>
      </c>
      <c r="K120" s="109" t="str">
        <f t="shared" si="24"/>
        <v>4003/4004</v>
      </c>
      <c r="L120" s="22" t="str">
        <f>VLOOKUP(A120,'Trips&amp;Operators'!$C$1:$G$99999,5,FALSE)</f>
        <v>ADANE ELSHADAY</v>
      </c>
      <c r="M120" s="6">
        <f t="shared" si="25"/>
        <v>2.4548611108912155E-2</v>
      </c>
      <c r="N120" s="7">
        <f t="shared" si="43"/>
        <v>35.349999996833503</v>
      </c>
      <c r="O120" s="7"/>
      <c r="P120" s="7"/>
      <c r="Q120" s="23"/>
      <c r="R120" s="23"/>
      <c r="S120" s="35">
        <f t="shared" si="40"/>
        <v>1</v>
      </c>
      <c r="T120" s="50" t="str">
        <f t="shared" si="26"/>
        <v>NorthBound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27"/>
        <v>https://search-rtdc-monitor-bjffxe2xuh6vdkpspy63sjmuny.us-east-1.es.amazonaws.com/_plugin/kibana/#/discover/Steve-Slow-Train-Analysis-(2080s-and-2083s)?_g=(refreshInterval:(display:Off,section:0,value:0),time:(from:'2016-11-30 15:50:33-700',mode:absolute,to:'2016-11-30 18:35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20" s="52" t="str">
        <f t="shared" si="28"/>
        <v>N</v>
      </c>
      <c r="X120" s="177">
        <f t="shared" si="42"/>
        <v>1</v>
      </c>
      <c r="Y120" s="67">
        <f t="shared" si="30"/>
        <v>4.53E-2</v>
      </c>
      <c r="Z120" s="67">
        <f t="shared" si="31"/>
        <v>23.330500000000001</v>
      </c>
      <c r="AA120" s="67">
        <f t="shared" si="32"/>
        <v>23.2852</v>
      </c>
      <c r="AB120" s="64" t="e">
        <f>VLOOKUP(A120,Enforcements!$C$7:$K$20,8,0)</f>
        <v>#N/A</v>
      </c>
      <c r="AC120" s="60" t="e">
        <f>VLOOKUP(A120,Enforcements!$C$7:$E$20,3,0)</f>
        <v>#N/A</v>
      </c>
      <c r="AD120" s="61" t="str">
        <f t="shared" si="33"/>
        <v>0207-30</v>
      </c>
      <c r="AE120" s="91" t="str">
        <f t="shared" si="34"/>
        <v>aws s3 cp s3://rtdc.mdm.uploadarchive.raw/RTDC4003/ "%USERPROFILE%\AppData\Local\Temp\OnboardLogs"\RTDC4003\2016-11-30 --exclude "*" --recursive --include "*20161130*" &amp; "%USERPROFILE%\Documents\GitHub\mrs-test-scripts\Headless Mode &amp; Sideloading\WalkAndUnGZ.bat" "%USERPROFILE%\AppData\Local\Temp\OnboardLogs"\RTDC4003\2016-11-30 &amp; aws s3 cp s3://rtdc.mdm.uploadarchive.raw/RTDC4003/ "%USERPROFILE%\AppData\Local\Temp\OnboardLogs"\RTDC4003\2016-12-01 --exclude "*" --recursive --include "*20161201*" &amp; "%USERPROFILE%\Documents\GitHub\mrs-test-scripts\Headless Mode &amp; Sideloading\WalkAndUnGZ.bat" "%USERPROFILE%\AppData\Local\Temp\OnboardLogs"\RTDC4003\2016-12-01</v>
      </c>
      <c r="AF120" s="88" t="str">
        <f t="shared" si="35"/>
        <v>"C:\Program Files (x86)\AstroGrep\AstroGrep.exe" /spath="%USERPROFILE%\AppData\Local\Temp\OnboardLogs" /stypes="app*4003*20161201*" /stext=" 00:.+((SYSTEM_STATE.+slice.+state.+changed )|(ment ac)|(multiple cpu faults)|(system.+state.+changed )|(\[timeout)|(PRM\|1\|D)|(kpr)|(kdp)|(\|lc)|(penalty))" /e /r /s</v>
      </c>
      <c r="AG120" s="1" t="str">
        <f t="shared" si="36"/>
        <v>EC</v>
      </c>
      <c r="AH120" s="92" t="str">
        <f t="shared" si="37"/>
        <v>"%USERPROFILE%\Documents\GitHub\eaglep3\Utilities\RefineRTDCRunTimes.py" --tripid 207-30 --locoid 4003 --swversion DE.1.0.8.0 --startMP 204:453 --initTime 2016-11-30T16:50:33 --startdatetime 2016-11-30T17:00:26 --delay 1 --endMP 204:233305 --enddatetime 2016-11-30T17:35:47 --enforcementcount 0 &gt;&gt;C:\Users\stu\Documents\GitHub\eaglep3-reporting\EC\2016-11-30-refined-times.txt</v>
      </c>
      <c r="AI120" s="119" t="str">
        <f t="shared" si="38"/>
        <v>echo {"issue":{"subject":"","project_id":79,"tracker_id":40,"status_id":1,"priority_id":2,"assigned_to_id":23,"start_date":"2016-11-30","description":"","custom_fields":[{"id":1,"name":"Subdivision","value":"EC"},{"id":4,"name":"Milepost","value":"23.3305"},{"id":17,"name":"Train ID","value":"207-30"},{"id":16,"name":"Locomotive ID","value":"4003"},{"id":130,"name":"Impact","value":""},{"id":150,"name":"Time of Event (Mountain Time)","value":"17:35:47"},{"id":151,"name":"Denver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689</v>
      </c>
      <c r="B121" s="7">
        <v>4004</v>
      </c>
      <c r="C121" s="22" t="s">
        <v>212</v>
      </c>
      <c r="D121" s="22" t="s">
        <v>308</v>
      </c>
      <c r="E121" s="13">
        <v>42704.734826388885</v>
      </c>
      <c r="F121" s="13">
        <v>42704.747534722221</v>
      </c>
      <c r="G121" s="7">
        <v>1</v>
      </c>
      <c r="H121" s="22" t="s">
        <v>243</v>
      </c>
      <c r="I121" s="13">
        <v>42704.7737037037</v>
      </c>
      <c r="J121" s="7">
        <v>0</v>
      </c>
      <c r="K121" s="109" t="str">
        <f t="shared" si="24"/>
        <v>4003/4004</v>
      </c>
      <c r="L121" s="22" t="str">
        <f>VLOOKUP(A121,'Trips&amp;Operators'!$C$1:$G$99999,5,FALSE)</f>
        <v>ADANE ELSHADAY</v>
      </c>
      <c r="M121" s="6">
        <f t="shared" si="25"/>
        <v>2.6168981479713693E-2</v>
      </c>
      <c r="N121" s="7">
        <f t="shared" si="43"/>
        <v>37.683333330787718</v>
      </c>
      <c r="O121" s="7"/>
      <c r="P121" s="7"/>
      <c r="Q121" s="23"/>
      <c r="R121" s="23"/>
      <c r="S121" s="35">
        <f t="shared" si="40"/>
        <v>1</v>
      </c>
      <c r="T121" s="50" t="str">
        <f t="shared" si="26"/>
        <v>Southbound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27"/>
        <v>https://search-rtdc-monitor-bjffxe2xuh6vdkpspy63sjmuny.us-east-1.es.amazonaws.com/_plugin/kibana/#/discover/Steve-Slow-Train-Analysis-(2080s-and-2083s)?_g=(refreshInterval:(display:Off,section:0,value:0),time:(from:'2016-11-30 16:38:09-700',mode:absolute,to:'2016-11-30 19:34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21" s="52" t="str">
        <f t="shared" si="28"/>
        <v>N</v>
      </c>
      <c r="X121" s="177">
        <f t="shared" si="42"/>
        <v>1</v>
      </c>
      <c r="Y121" s="67">
        <f t="shared" si="30"/>
        <v>23.298999999999999</v>
      </c>
      <c r="Z121" s="67">
        <f t="shared" si="31"/>
        <v>1.47E-2</v>
      </c>
      <c r="AA121" s="67">
        <f t="shared" si="32"/>
        <v>23.284299999999998</v>
      </c>
      <c r="AB121" s="64" t="e">
        <f>VLOOKUP(A121,Enforcements!$C$7:$K$20,8,0)</f>
        <v>#N/A</v>
      </c>
      <c r="AC121" s="60" t="e">
        <f>VLOOKUP(A121,Enforcements!$C$7:$E$20,3,0)</f>
        <v>#N/A</v>
      </c>
      <c r="AD121" s="61" t="str">
        <f t="shared" si="33"/>
        <v>0208-30</v>
      </c>
      <c r="AE121" s="91" t="str">
        <f t="shared" si="34"/>
        <v>aws s3 cp s3://rtdc.mdm.uploadarchive.raw/RTDC4004/ "%USERPROFILE%\AppData\Local\Temp\OnboardLogs"\RTDC4004\2016-11-30 --exclude "*" --recursive --include "*20161130*" &amp; "%USERPROFILE%\Documents\GitHub\mrs-test-scripts\Headless Mode &amp; Sideloading\WalkAndUnGZ.bat" "%USERPROFILE%\AppData\Local\Temp\OnboardLogs"\RTDC4004\2016-11-30 &amp; aws s3 cp s3://rtdc.mdm.uploadarchive.raw/RTDC4004/ "%USERPROFILE%\AppData\Local\Temp\OnboardLogs"\RTDC4004\2016-12-01 --exclude "*" --recursive --include "*20161201*" &amp; "%USERPROFILE%\Documents\GitHub\mrs-test-scripts\Headless Mode &amp; Sideloading\WalkAndUnGZ.bat" "%USERPROFILE%\AppData\Local\Temp\OnboardLogs"\RTDC4004\2016-12-01</v>
      </c>
      <c r="AF121" s="88" t="str">
        <f t="shared" si="35"/>
        <v>"C:\Program Files (x86)\AstroGrep\AstroGrep.exe" /spath="%USERPROFILE%\AppData\Local\Temp\OnboardLogs" /stypes="app*4004*20161201*" /stext=" 01:.+((SYSTEM_STATE.+slice.+state.+changed )|(ment ac)|(multiple cpu faults)|(system.+state.+changed )|(\[timeout)|(PRM\|1\|D)|(kpr)|(kdp)|(\|lc)|(penalty))" /e /r /s</v>
      </c>
      <c r="AG121" s="1" t="str">
        <f t="shared" si="36"/>
        <v>EC</v>
      </c>
      <c r="AH121" s="92" t="str">
        <f t="shared" si="37"/>
        <v>"%USERPROFILE%\Documents\GitHub\eaglep3\Utilities\RefineRTDCRunTimes.py" --tripid 208-30 --locoid 4004 --swversion DE.1.0.8.0 --startMP 204:232990 --initTime 2016-11-30T17:38:09 --startdatetime 2016-11-30T17:56:27 --delay 1 --endMP 204:147 --enddatetime 2016-11-30T18:34:08 --enforcementcount 0 &gt;&gt;C:\Users\stu\Documents\GitHub\eaglep3-reporting\EC\2016-11-30-refined-times.txt</v>
      </c>
      <c r="AI121" s="119" t="str">
        <f t="shared" si="38"/>
        <v>echo {"issue":{"subject":"","project_id":79,"tracker_id":40,"status_id":1,"priority_id":2,"assigned_to_id":23,"start_date":"2016-11-30","description":"","custom_fields":[{"id":1,"name":"Subdivision","value":"EC"},{"id":4,"name":"Milepost","value":"0.0147"},{"id":17,"name":"Train ID","value":"208-30"},{"id":16,"name":"Locomotive ID","value":"4004"},{"id":130,"name":"Impact","value":""},{"id":150,"name":"Time of Event (Mountain Time)","value":"18:34:08"},{"id":151,"name":"Denver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680</v>
      </c>
      <c r="B122" s="7">
        <v>4038</v>
      </c>
      <c r="C122" s="22" t="s">
        <v>212</v>
      </c>
      <c r="D122" s="22" t="s">
        <v>493</v>
      </c>
      <c r="E122" s="13">
        <v>42704.715358796297</v>
      </c>
      <c r="F122" s="13">
        <v>42704.719386574077</v>
      </c>
      <c r="G122" s="7">
        <v>1</v>
      </c>
      <c r="H122" s="22" t="s">
        <v>344</v>
      </c>
      <c r="I122" s="13">
        <v>42704.743298611109</v>
      </c>
      <c r="J122" s="7">
        <v>0</v>
      </c>
      <c r="K122" s="109" t="str">
        <f t="shared" si="24"/>
        <v>4037/4038</v>
      </c>
      <c r="L122" s="22" t="str">
        <f>VLOOKUP(A122,'Trips&amp;Operators'!$C$1:$G$99999,5,FALSE)</f>
        <v>HAITHCOX MICHAEL</v>
      </c>
      <c r="M122" s="6">
        <f t="shared" si="25"/>
        <v>2.3912037031550426E-2</v>
      </c>
      <c r="N122" s="7">
        <f t="shared" si="43"/>
        <v>34.433333325432613</v>
      </c>
      <c r="O122" s="7"/>
      <c r="P122" s="7"/>
      <c r="Q122" s="23"/>
      <c r="R122" s="23"/>
      <c r="S122" s="35">
        <f t="shared" si="40"/>
        <v>1</v>
      </c>
      <c r="T122" s="50" t="str">
        <f t="shared" si="26"/>
        <v>NorthBound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27"/>
        <v>https://search-rtdc-monitor-bjffxe2xuh6vdkpspy63sjmuny.us-east-1.es.amazonaws.com/_plugin/kibana/#/discover/Steve-Slow-Train-Analysis-(2080s-and-2083s)?_g=(refreshInterval:(display:Off,section:0,value:0),time:(from:'2016-11-30 16:10:07-700',mode:absolute,to:'2016-11-30 18:50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22" s="52" t="str">
        <f t="shared" si="28"/>
        <v>N</v>
      </c>
      <c r="X122" s="177">
        <f t="shared" si="42"/>
        <v>1</v>
      </c>
      <c r="Y122" s="67">
        <f t="shared" si="30"/>
        <v>4.3999999999999997E-2</v>
      </c>
      <c r="Z122" s="67">
        <f t="shared" si="31"/>
        <v>23.331700000000001</v>
      </c>
      <c r="AA122" s="67">
        <f t="shared" si="32"/>
        <v>23.287700000000001</v>
      </c>
      <c r="AB122" s="64" t="e">
        <f>VLOOKUP(A122,Enforcements!$C$7:$K$20,8,0)</f>
        <v>#N/A</v>
      </c>
      <c r="AC122" s="60" t="e">
        <f>VLOOKUP(A122,Enforcements!$C$7:$E$20,3,0)</f>
        <v>#N/A</v>
      </c>
      <c r="AD122" s="61" t="str">
        <f t="shared" si="33"/>
        <v>0209-30</v>
      </c>
      <c r="AE122" s="91" t="str">
        <f t="shared" si="34"/>
        <v>aws s3 cp s3://rtdc.mdm.uploadarchive.raw/RTDC4038/ "%USERPROFILE%\AppData\Local\Temp\OnboardLogs"\RTDC4038\2016-11-30 --exclude "*" --recursive --include "*20161130*" &amp; "%USERPROFILE%\Documents\GitHub\mrs-test-scripts\Headless Mode &amp; Sideloading\WalkAndUnGZ.bat" "%USERPROFILE%\AppData\Local\Temp\OnboardLogs"\RTDC4038\2016-11-30 &amp; aws s3 cp s3://rtdc.mdm.uploadarchive.raw/RTDC4038/ "%USERPROFILE%\AppData\Local\Temp\OnboardLogs"\RTDC4038\2016-12-01 --exclude "*" --recursive --include "*20161201*" &amp; "%USERPROFILE%\Documents\GitHub\mrs-test-scripts\Headless Mode &amp; Sideloading\WalkAndUnGZ.bat" "%USERPROFILE%\AppData\Local\Temp\OnboardLogs"\RTDC4038\2016-12-01</v>
      </c>
      <c r="AF122" s="88" t="str">
        <f t="shared" si="35"/>
        <v>"C:\Program Files (x86)\AstroGrep\AstroGrep.exe" /spath="%USERPROFILE%\AppData\Local\Temp\OnboardLogs" /stypes="app*4038*20161201*" /stext=" 00:.+((SYSTEM_STATE.+slice.+state.+changed )|(ment ac)|(multiple cpu faults)|(system.+state.+changed )|(\[timeout)|(PRM\|1\|D)|(kpr)|(kdp)|(\|lc)|(penalty))" /e /r /s</v>
      </c>
      <c r="AG122" s="1" t="str">
        <f t="shared" si="36"/>
        <v>EC</v>
      </c>
      <c r="AH122" s="92" t="str">
        <f t="shared" si="37"/>
        <v>"%USERPROFILE%\Documents\GitHub\eaglep3\Utilities\RefineRTDCRunTimes.py" --tripid 209-30 --locoid 4038 --swversion DE.1.0.8.0 --startMP 204:440 --initTime 2016-11-30T17:10:07 --startdatetime 2016-11-30T17:15:55 --delay 1 --endMP 204:233317 --enddatetime 2016-11-30T17:50:21 --enforcementcount 0 &gt;&gt;C:\Users\stu\Documents\GitHub\eaglep3-reporting\EC\2016-11-30-refined-times.txt</v>
      </c>
      <c r="AI122" s="119" t="str">
        <f t="shared" si="38"/>
        <v>echo {"issue":{"subject":"","project_id":79,"tracker_id":40,"status_id":1,"priority_id":2,"assigned_to_id":23,"start_date":"2016-11-30","description":"","custom_fields":[{"id":1,"name":"Subdivision","value":"EC"},{"id":4,"name":"Milepost","value":"23.3317"},{"id":17,"name":"Train ID","value":"209-30"},{"id":16,"name":"Locomotive ID","value":"4038"},{"id":130,"name":"Impact","value":""},{"id":150,"name":"Time of Event (Mountain Time)","value":"17:50:21"},{"id":151,"name":"Denver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695</v>
      </c>
      <c r="B123" s="7">
        <v>4037</v>
      </c>
      <c r="C123" s="22" t="s">
        <v>212</v>
      </c>
      <c r="D123" s="22" t="s">
        <v>301</v>
      </c>
      <c r="E123" s="13">
        <v>42704.754224537035</v>
      </c>
      <c r="F123" s="13">
        <v>42704.758171296293</v>
      </c>
      <c r="G123" s="7">
        <v>1</v>
      </c>
      <c r="H123" s="22" t="s">
        <v>796</v>
      </c>
      <c r="I123" s="13">
        <v>42704.783865740741</v>
      </c>
      <c r="J123" s="7">
        <v>0</v>
      </c>
      <c r="K123" s="109" t="str">
        <f t="shared" si="24"/>
        <v>4037/4038</v>
      </c>
      <c r="L123" s="22" t="str">
        <f>VLOOKUP(A123,'Trips&amp;Operators'!$C$1:$G$99999,5,FALSE)</f>
        <v>STAMBAUGH JAMES</v>
      </c>
      <c r="M123" s="6">
        <f t="shared" si="25"/>
        <v>2.5694444448163267E-2</v>
      </c>
      <c r="N123" s="7">
        <f t="shared" si="43"/>
        <v>37.000000005355105</v>
      </c>
      <c r="O123" s="7"/>
      <c r="P123" s="7"/>
      <c r="Q123" s="23"/>
      <c r="R123" s="23"/>
      <c r="S123" s="35">
        <f t="shared" si="40"/>
        <v>1</v>
      </c>
      <c r="T123" s="50" t="str">
        <f t="shared" si="26"/>
        <v>Southbound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27"/>
        <v>https://search-rtdc-monitor-bjffxe2xuh6vdkpspy63sjmuny.us-east-1.es.amazonaws.com/_plugin/kibana/#/discover/Steve-Slow-Train-Analysis-(2080s-and-2083s)?_g=(refreshInterval:(display:Off,section:0,value:0),time:(from:'2016-11-30 17:06:05-700',mode:absolute,to:'2016-11-30 19:48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23" s="52" t="str">
        <f t="shared" si="28"/>
        <v>N</v>
      </c>
      <c r="X123" s="177">
        <f t="shared" si="42"/>
        <v>1</v>
      </c>
      <c r="Y123" s="67">
        <f t="shared" si="30"/>
        <v>23.298500000000001</v>
      </c>
      <c r="Z123" s="67">
        <f t="shared" si="31"/>
        <v>1.2999999999999999E-2</v>
      </c>
      <c r="AA123" s="67">
        <f t="shared" si="32"/>
        <v>23.285499999999999</v>
      </c>
      <c r="AB123" s="64" t="e">
        <f>VLOOKUP(A123,Enforcements!$C$7:$K$20,8,0)</f>
        <v>#N/A</v>
      </c>
      <c r="AC123" s="60" t="e">
        <f>VLOOKUP(A123,Enforcements!$C$7:$E$20,3,0)</f>
        <v>#N/A</v>
      </c>
      <c r="AD123" s="61" t="str">
        <f t="shared" si="33"/>
        <v>0210-30</v>
      </c>
      <c r="AE123" s="91" t="str">
        <f t="shared" si="34"/>
        <v>aws s3 cp s3://rtdc.mdm.uploadarchive.raw/RTDC4037/ "%USERPROFILE%\AppData\Local\Temp\OnboardLogs"\RTDC4037\2016-11-30 --exclude "*" --recursive --include "*20161130*" &amp; "%USERPROFILE%\Documents\GitHub\mrs-test-scripts\Headless Mode &amp; Sideloading\WalkAndUnGZ.bat" "%USERPROFILE%\AppData\Local\Temp\OnboardLogs"\RTDC4037\2016-11-30 &amp; aws s3 cp s3://rtdc.mdm.uploadarchive.raw/RTDC4037/ "%USERPROFILE%\AppData\Local\Temp\OnboardLogs"\RTDC4037\2016-12-01 --exclude "*" --recursive --include "*20161201*" &amp; "%USERPROFILE%\Documents\GitHub\mrs-test-scripts\Headless Mode &amp; Sideloading\WalkAndUnGZ.bat" "%USERPROFILE%\AppData\Local\Temp\OnboardLogs"\RTDC4037\2016-12-01</v>
      </c>
      <c r="AF123" s="88" t="str">
        <f t="shared" si="35"/>
        <v>"C:\Program Files (x86)\AstroGrep\AstroGrep.exe" /spath="%USERPROFILE%\AppData\Local\Temp\OnboardLogs" /stypes="app*4037*20161201*" /stext=" 01:.+((SYSTEM_STATE.+slice.+state.+changed )|(ment ac)|(multiple cpu faults)|(system.+state.+changed )|(\[timeout)|(PRM\|1\|D)|(kpr)|(kdp)|(\|lc)|(penalty))" /e /r /s</v>
      </c>
      <c r="AG123" s="1" t="str">
        <f t="shared" si="36"/>
        <v>EC</v>
      </c>
      <c r="AH123" s="92" t="str">
        <f t="shared" si="37"/>
        <v>"%USERPROFILE%\Documents\GitHub\eaglep3\Utilities\RefineRTDCRunTimes.py" --tripid 210-30 --locoid 4037 --swversion DE.1.0.8.0 --startMP 204:232985 --initTime 2016-11-30T18:06:05 --startdatetime 2016-11-30T18:11:46 --delay 1 --endMP 204:130 --enddatetime 2016-11-30T18:48:46 --enforcementcount 0 &gt;&gt;C:\Users\stu\Documents\GitHub\eaglep3-reporting\EC\2016-11-30-refined-times.txt</v>
      </c>
      <c r="AI123" s="119" t="str">
        <f t="shared" si="38"/>
        <v>echo {"issue":{"subject":"","project_id":79,"tracker_id":40,"status_id":1,"priority_id":2,"assigned_to_id":23,"start_date":"2016-11-30","description":"","custom_fields":[{"id":1,"name":"Subdivision","value":"EC"},{"id":4,"name":"Milepost","value":"0.013"},{"id":17,"name":"Train ID","value":"210-30"},{"id":16,"name":"Locomotive ID","value":"4037"},{"id":130,"name":"Impact","value":""},{"id":150,"name":"Time of Event (Mountain Time)","value":"18:48:46"},{"id":151,"name":"Denver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686</v>
      </c>
      <c r="B124" s="7">
        <v>4044</v>
      </c>
      <c r="C124" s="22" t="s">
        <v>212</v>
      </c>
      <c r="D124" s="22" t="s">
        <v>247</v>
      </c>
      <c r="E124" s="13">
        <v>42704.725358796299</v>
      </c>
      <c r="F124" s="13">
        <v>42704.729490740741</v>
      </c>
      <c r="G124" s="7">
        <v>1</v>
      </c>
      <c r="H124" s="22" t="s">
        <v>264</v>
      </c>
      <c r="I124" s="13">
        <v>42704.755532407406</v>
      </c>
      <c r="J124" s="7">
        <v>0</v>
      </c>
      <c r="K124" s="109" t="str">
        <f t="shared" si="24"/>
        <v>4043/4044</v>
      </c>
      <c r="L124" s="22" t="str">
        <f>VLOOKUP(A124,'Trips&amp;Operators'!$C$1:$G$99999,5,FALSE)</f>
        <v>BERLING GARY</v>
      </c>
      <c r="M124" s="6">
        <f t="shared" si="25"/>
        <v>2.6041666664241347E-2</v>
      </c>
      <c r="N124" s="7">
        <f t="shared" si="43"/>
        <v>37.49999999650754</v>
      </c>
      <c r="O124" s="7"/>
      <c r="P124" s="7"/>
      <c r="Q124" s="23"/>
      <c r="R124" s="23"/>
      <c r="S124" s="35">
        <f t="shared" si="40"/>
        <v>1</v>
      </c>
      <c r="T124" s="50" t="str">
        <f t="shared" si="26"/>
        <v>NorthBound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27"/>
        <v>https://search-rtdc-monitor-bjffxe2xuh6vdkpspy63sjmuny.us-east-1.es.amazonaws.com/_plugin/kibana/#/discover/Steve-Slow-Train-Analysis-(2080s-and-2083s)?_g=(refreshInterval:(display:Off,section:0,value:0),time:(from:'2016-11-30 16:24:31-700',mode:absolute,to:'2016-11-30 19:07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24" s="52" t="str">
        <f t="shared" si="28"/>
        <v>N</v>
      </c>
      <c r="X124" s="177">
        <f t="shared" si="42"/>
        <v>1</v>
      </c>
      <c r="Y124" s="67">
        <f t="shared" si="30"/>
        <v>4.5499999999999999E-2</v>
      </c>
      <c r="Z124" s="67">
        <f t="shared" si="31"/>
        <v>23.3307</v>
      </c>
      <c r="AA124" s="67">
        <f t="shared" si="32"/>
        <v>23.2852</v>
      </c>
      <c r="AB124" s="64" t="e">
        <f>VLOOKUP(A124,Enforcements!$C$7:$K$20,8,0)</f>
        <v>#N/A</v>
      </c>
      <c r="AC124" s="60" t="e">
        <f>VLOOKUP(A124,Enforcements!$C$7:$E$20,3,0)</f>
        <v>#N/A</v>
      </c>
      <c r="AD124" s="61" t="str">
        <f t="shared" si="33"/>
        <v>0211-30</v>
      </c>
      <c r="AE124" s="91" t="str">
        <f t="shared" si="34"/>
        <v>aws s3 cp s3://rtdc.mdm.uploadarchive.raw/RTDC4044/ "%USERPROFILE%\AppData\Local\Temp\OnboardLogs"\RTDC4044\2016-11-30 --exclude "*" --recursive --include "*20161130*" &amp; "%USERPROFILE%\Documents\GitHub\mrs-test-scripts\Headless Mode &amp; Sideloading\WalkAndUnGZ.bat" "%USERPROFILE%\AppData\Local\Temp\OnboardLogs"\RTDC4044\2016-11-30 &amp; aws s3 cp s3://rtdc.mdm.uploadarchive.raw/RTDC4044/ "%USERPROFILE%\AppData\Local\Temp\OnboardLogs"\RTDC4044\2016-12-01 --exclude "*" --recursive --include "*20161201*" &amp; "%USERPROFILE%\Documents\GitHub\mrs-test-scripts\Headless Mode &amp; Sideloading\WalkAndUnGZ.bat" "%USERPROFILE%\AppData\Local\Temp\OnboardLogs"\RTDC4044\2016-12-01</v>
      </c>
      <c r="AF124" s="88" t="str">
        <f t="shared" si="35"/>
        <v>"C:\Program Files (x86)\AstroGrep\AstroGrep.exe" /spath="%USERPROFILE%\AppData\Local\Temp\OnboardLogs" /stypes="app*4044*20161201*" /stext=" 01:.+((SYSTEM_STATE.+slice.+state.+changed )|(ment ac)|(multiple cpu faults)|(system.+state.+changed )|(\[timeout)|(PRM\|1\|D)|(kpr)|(kdp)|(\|lc)|(penalty))" /e /r /s</v>
      </c>
      <c r="AG124" s="1" t="str">
        <f t="shared" si="36"/>
        <v>EC</v>
      </c>
      <c r="AH124" s="92" t="str">
        <f t="shared" si="37"/>
        <v>"%USERPROFILE%\Documents\GitHub\eaglep3\Utilities\RefineRTDCRunTimes.py" --tripid 211-30 --locoid 4044 --swversion DE.1.0.8.0 --startMP 204:455 --initTime 2016-11-30T17:24:31 --startdatetime 2016-11-30T17:30:28 --delay 1 --endMP 204:233307 --enddatetime 2016-11-30T18:07:58 --enforcementcount 0 &gt;&gt;C:\Users\stu\Documents\GitHub\eaglep3-reporting\EC\2016-11-30-refined-times.txt</v>
      </c>
      <c r="AI124" s="119" t="str">
        <f t="shared" si="38"/>
        <v>echo {"issue":{"subject":"","project_id":79,"tracker_id":40,"status_id":1,"priority_id":2,"assigned_to_id":23,"start_date":"2016-11-30","description":"","custom_fields":[{"id":1,"name":"Subdivision","value":"EC"},{"id":4,"name":"Milepost","value":"23.3307"},{"id":17,"name":"Train ID","value":"211-30"},{"id":16,"name":"Locomotive ID","value":"4044"},{"id":130,"name":"Impact","value":""},{"id":150,"name":"Time of Event (Mountain Time)","value":"18:07:58"},{"id":151,"name":"Denver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x14ac:dyDescent="0.25">
      <c r="A125" s="37" t="s">
        <v>699</v>
      </c>
      <c r="B125" s="7">
        <v>4043</v>
      </c>
      <c r="C125" s="22" t="s">
        <v>212</v>
      </c>
      <c r="D125" s="22" t="s">
        <v>490</v>
      </c>
      <c r="E125" s="13">
        <v>42704.762731481482</v>
      </c>
      <c r="F125" s="13">
        <v>42704.768217592595</v>
      </c>
      <c r="G125" s="7">
        <v>1</v>
      </c>
      <c r="H125" s="22" t="s">
        <v>324</v>
      </c>
      <c r="I125" s="13">
        <v>42704.796319444446</v>
      </c>
      <c r="J125" s="7">
        <v>0</v>
      </c>
      <c r="K125" s="109" t="str">
        <f t="shared" si="24"/>
        <v>4043/4044</v>
      </c>
      <c r="L125" s="22" t="str">
        <f>VLOOKUP(A125,'Trips&amp;Operators'!$C$1:$G$99999,5,FALSE)</f>
        <v>BERLING GARY</v>
      </c>
      <c r="M125" s="6">
        <f t="shared" si="25"/>
        <v>2.810185185080627E-2</v>
      </c>
      <c r="N125" s="7">
        <f t="shared" si="43"/>
        <v>40.466666665161029</v>
      </c>
      <c r="O125" s="7"/>
      <c r="P125" s="7"/>
      <c r="Q125" s="23"/>
      <c r="R125" s="23"/>
      <c r="S125" s="35">
        <f t="shared" si="40"/>
        <v>1</v>
      </c>
      <c r="T125" s="50" t="str">
        <f t="shared" si="26"/>
        <v>Southbound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27"/>
        <v>https://search-rtdc-monitor-bjffxe2xuh6vdkpspy63sjmuny.us-east-1.es.amazonaws.com/_plugin/kibana/#/discover/Steve-Slow-Train-Analysis-(2080s-and-2083s)?_g=(refreshInterval:(display:Off,section:0,value:0),time:(from:'2016-11-30 17:18:20-700',mode:absolute,to:'2016-11-30 20:06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25" s="52" t="str">
        <f t="shared" si="28"/>
        <v>N</v>
      </c>
      <c r="X125" s="177">
        <f t="shared" si="42"/>
        <v>1</v>
      </c>
      <c r="Y125" s="67">
        <f t="shared" si="30"/>
        <v>23.3005</v>
      </c>
      <c r="Z125" s="67">
        <f t="shared" si="31"/>
        <v>1.6299999999999999E-2</v>
      </c>
      <c r="AA125" s="67">
        <f t="shared" si="32"/>
        <v>23.284199999999998</v>
      </c>
      <c r="AB125" s="64" t="e">
        <f>VLOOKUP(A125,Enforcements!$C$7:$K$20,8,0)</f>
        <v>#N/A</v>
      </c>
      <c r="AC125" s="60" t="e">
        <f>VLOOKUP(A125,Enforcements!$C$7:$E$20,3,0)</f>
        <v>#N/A</v>
      </c>
      <c r="AD125" s="61" t="str">
        <f t="shared" si="33"/>
        <v>0212-30</v>
      </c>
      <c r="AE125" s="91" t="str">
        <f t="shared" si="34"/>
        <v>aws s3 cp s3://rtdc.mdm.uploadarchive.raw/RTDC4043/ "%USERPROFILE%\AppData\Local\Temp\OnboardLogs"\RTDC4043\2016-11-30 --exclude "*" --recursive --include "*20161130*" &amp; "%USERPROFILE%\Documents\GitHub\mrs-test-scripts\Headless Mode &amp; Sideloading\WalkAndUnGZ.bat" "%USERPROFILE%\AppData\Local\Temp\OnboardLogs"\RTDC4043\2016-11-30 &amp; aws s3 cp s3://rtdc.mdm.uploadarchive.raw/RTDC4043/ "%USERPROFILE%\AppData\Local\Temp\OnboardLogs"\RTDC4043\2016-12-01 --exclude "*" --recursive --include "*20161201*" &amp; "%USERPROFILE%\Documents\GitHub\mrs-test-scripts\Headless Mode &amp; Sideloading\WalkAndUnGZ.bat" "%USERPROFILE%\AppData\Local\Temp\OnboardLogs"\RTDC4043\2016-12-01</v>
      </c>
      <c r="AF125" s="88" t="str">
        <f t="shared" si="35"/>
        <v>"C:\Program Files (x86)\AstroGrep\AstroGrep.exe" /spath="%USERPROFILE%\AppData\Local\Temp\OnboardLogs" /stypes="app*4043*20161201*" /stext=" 02:.+((SYSTEM_STATE.+slice.+state.+changed )|(ment ac)|(multiple cpu faults)|(system.+state.+changed )|(\[timeout)|(PRM\|1\|D)|(kpr)|(kdp)|(\|lc)|(penalty))" /e /r /s</v>
      </c>
      <c r="AG125" s="1" t="str">
        <f t="shared" si="36"/>
        <v>EC</v>
      </c>
      <c r="AH125" s="92" t="str">
        <f t="shared" si="37"/>
        <v>"%USERPROFILE%\Documents\GitHub\eaglep3\Utilities\RefineRTDCRunTimes.py" --tripid 212-30 --locoid 4043 --swversion DE.1.0.8.0 --startMP 204:233005 --initTime 2016-11-30T18:18:20 --startdatetime 2016-11-30T18:26:14 --delay 1 --endMP 204:163 --enddatetime 2016-11-30T19:06:42 --enforcementcount 0 &gt;&gt;C:\Users\stu\Documents\GitHub\eaglep3-reporting\EC\2016-11-30-refined-times.txt</v>
      </c>
      <c r="AI125" s="119" t="str">
        <f t="shared" si="38"/>
        <v>echo {"issue":{"subject":"","project_id":79,"tracker_id":40,"status_id":1,"priority_id":2,"assigned_to_id":23,"start_date":"2016-11-30","description":"","custom_fields":[{"id":1,"name":"Subdivision","value":"EC"},{"id":4,"name":"Milepost","value":"0.0163"},{"id":17,"name":"Train ID","value":"212-30"},{"id":16,"name":"Locomotive ID","value":"4043"},{"id":130,"name":"Impact","value":""},{"id":150,"name":"Time of Event (Mountain Time)","value":"19:06:42"},{"id":151,"name":"Denver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</row>
    <row r="126" spans="1:91" s="21" customFormat="1" x14ac:dyDescent="0.25">
      <c r="A126" s="37" t="s">
        <v>691</v>
      </c>
      <c r="B126" s="7">
        <v>4002</v>
      </c>
      <c r="C126" s="22" t="s">
        <v>212</v>
      </c>
      <c r="D126" s="22" t="s">
        <v>256</v>
      </c>
      <c r="E126" s="13">
        <v>42704.73847222222</v>
      </c>
      <c r="F126" s="13">
        <v>42704.740046296298</v>
      </c>
      <c r="G126" s="7">
        <v>1</v>
      </c>
      <c r="H126" s="22" t="s">
        <v>246</v>
      </c>
      <c r="I126" s="13">
        <v>42704.764074074075</v>
      </c>
      <c r="J126" s="7">
        <v>0</v>
      </c>
      <c r="K126" s="109" t="str">
        <f t="shared" si="24"/>
        <v>4001/4002</v>
      </c>
      <c r="L126" s="22" t="str">
        <f>VLOOKUP(A126,'Trips&amp;Operators'!$C$1:$G$99999,5,FALSE)</f>
        <v>YANAI IAN</v>
      </c>
      <c r="M126" s="6">
        <f t="shared" si="25"/>
        <v>2.4027777777519077E-2</v>
      </c>
      <c r="N126" s="7">
        <f t="shared" si="43"/>
        <v>34.599999999627471</v>
      </c>
      <c r="O126" s="7"/>
      <c r="P126" s="7"/>
      <c r="Q126" s="23"/>
      <c r="R126" s="23"/>
      <c r="S126" s="35">
        <f t="shared" si="40"/>
        <v>1</v>
      </c>
      <c r="T126" s="50" t="str">
        <f t="shared" si="26"/>
        <v>NorthBound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27"/>
        <v>https://search-rtdc-monitor-bjffxe2xuh6vdkpspy63sjmuny.us-east-1.es.amazonaws.com/_plugin/kibana/#/discover/Steve-Slow-Train-Analysis-(2080s-and-2083s)?_g=(refreshInterval:(display:Off,section:0,value:0),time:(from:'2016-11-30 16:43:24-700',mode:absolute,to:'2016-11-30 19:20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26" s="52" t="str">
        <f t="shared" si="28"/>
        <v>N</v>
      </c>
      <c r="X126" s="177">
        <f t="shared" si="42"/>
        <v>1</v>
      </c>
      <c r="Y126" s="67">
        <f t="shared" si="30"/>
        <v>4.5699999999999998E-2</v>
      </c>
      <c r="Z126" s="67">
        <f t="shared" si="31"/>
        <v>23.331399999999999</v>
      </c>
      <c r="AA126" s="67">
        <f t="shared" si="32"/>
        <v>23.285699999999999</v>
      </c>
      <c r="AB126" s="64" t="e">
        <f>VLOOKUP(A126,Enforcements!$C$7:$K$20,8,0)</f>
        <v>#N/A</v>
      </c>
      <c r="AC126" s="60" t="e">
        <f>VLOOKUP(A126,Enforcements!$C$7:$E$20,3,0)</f>
        <v>#N/A</v>
      </c>
      <c r="AD126" s="61" t="str">
        <f t="shared" si="33"/>
        <v>0213-30</v>
      </c>
      <c r="AE126" s="91" t="str">
        <f t="shared" si="34"/>
        <v>aws s3 cp s3://rtdc.mdm.uploadarchive.raw/RTDC4002/ "%USERPROFILE%\AppData\Local\Temp\OnboardLogs"\RTDC4002\2016-11-30 --exclude "*" --recursive --include "*20161130*" &amp; "%USERPROFILE%\Documents\GitHub\mrs-test-scripts\Headless Mode &amp; Sideloading\WalkAndUnGZ.bat" "%USERPROFILE%\AppData\Local\Temp\OnboardLogs"\RTDC4002\2016-11-30 &amp; aws s3 cp s3://rtdc.mdm.uploadarchive.raw/RTDC4002/ "%USERPROFILE%\AppData\Local\Temp\OnboardLogs"\RTDC4002\2016-12-01 --exclude "*" --recursive --include "*20161201*" &amp; "%USERPROFILE%\Documents\GitHub\mrs-test-scripts\Headless Mode &amp; Sideloading\WalkAndUnGZ.bat" "%USERPROFILE%\AppData\Local\Temp\OnboardLogs"\RTDC4002\2016-12-01</v>
      </c>
      <c r="AF126" s="88" t="str">
        <f t="shared" si="35"/>
        <v>"C:\Program Files (x86)\AstroGrep\AstroGrep.exe" /spath="%USERPROFILE%\AppData\Local\Temp\OnboardLogs" /stypes="app*4002*20161201*" /stext=" 01:.+((SYSTEM_STATE.+slice.+state.+changed )|(ment ac)|(multiple cpu faults)|(system.+state.+changed )|(\[timeout)|(PRM\|1\|D)|(kpr)|(kdp)|(\|lc)|(penalty))" /e /r /s</v>
      </c>
      <c r="AG126" s="1" t="str">
        <f t="shared" si="36"/>
        <v>EC</v>
      </c>
      <c r="AH126" s="92" t="str">
        <f t="shared" si="37"/>
        <v>"%USERPROFILE%\Documents\GitHub\eaglep3\Utilities\RefineRTDCRunTimes.py" --tripid 213-30 --locoid 4002 --swversion DE.1.0.8.0 --startMP 204:457 --initTime 2016-11-30T17:43:24 --startdatetime 2016-11-30T17:45:40 --delay 1 --endMP 204:233314 --enddatetime 2016-11-30T18:20:16 --enforcementcount 0 &gt;&gt;C:\Users\stu\Documents\GitHub\eaglep3-reporting\EC\2016-11-30-refined-times.txt</v>
      </c>
      <c r="AI126" s="119" t="str">
        <f t="shared" si="38"/>
        <v>echo {"issue":{"subject":"","project_id":79,"tracker_id":40,"status_id":1,"priority_id":2,"assigned_to_id":23,"start_date":"2016-11-30","description":"","custom_fields":[{"id":1,"name":"Subdivision","value":"EC"},{"id":4,"name":"Milepost","value":"23.3314"},{"id":17,"name":"Train ID","value":"213-30"},{"id":16,"name":"Locomotive ID","value":"4002"},{"id":130,"name":"Impact","value":""},{"id":150,"name":"Time of Event (Mountain Time)","value":"18:20:16"},{"id":151,"name":"Denver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701</v>
      </c>
      <c r="B127" s="7">
        <v>4001</v>
      </c>
      <c r="C127" s="22" t="s">
        <v>212</v>
      </c>
      <c r="D127" s="22" t="s">
        <v>797</v>
      </c>
      <c r="E127" s="13">
        <v>42704.766192129631</v>
      </c>
      <c r="F127" s="13">
        <v>42704.778668981482</v>
      </c>
      <c r="G127" s="7">
        <v>1</v>
      </c>
      <c r="H127" s="22" t="s">
        <v>340</v>
      </c>
      <c r="I127" s="13">
        <v>42704.804050925923</v>
      </c>
      <c r="J127" s="7">
        <v>0</v>
      </c>
      <c r="K127" s="109" t="str">
        <f t="shared" si="24"/>
        <v>4001/4002</v>
      </c>
      <c r="L127" s="22" t="str">
        <f>VLOOKUP(A127,'Trips&amp;Operators'!$C$1:$G$99999,5,FALSE)</f>
        <v>YANAI IAN</v>
      </c>
      <c r="M127" s="6">
        <f t="shared" si="25"/>
        <v>2.5381944440596271E-2</v>
      </c>
      <c r="N127" s="7">
        <f t="shared" si="43"/>
        <v>36.549999994458631</v>
      </c>
      <c r="O127" s="7"/>
      <c r="P127" s="7"/>
      <c r="Q127" s="23"/>
      <c r="R127" s="23"/>
      <c r="S127" s="35">
        <f t="shared" si="40"/>
        <v>1</v>
      </c>
      <c r="T127" s="50" t="str">
        <f t="shared" si="26"/>
        <v>Southbound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27"/>
        <v>https://search-rtdc-monitor-bjffxe2xuh6vdkpspy63sjmuny.us-east-1.es.amazonaws.com/_plugin/kibana/#/discover/Steve-Slow-Train-Analysis-(2080s-and-2083s)?_g=(refreshInterval:(display:Off,section:0,value:0),time:(from:'2016-11-30 17:23:19-700',mode:absolute,to:'2016-11-30 20:17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27" s="52" t="str">
        <f t="shared" si="28"/>
        <v>N</v>
      </c>
      <c r="X127" s="177">
        <f t="shared" si="42"/>
        <v>1</v>
      </c>
      <c r="Y127" s="67">
        <f t="shared" si="30"/>
        <v>23.300599999999999</v>
      </c>
      <c r="Z127" s="67">
        <f t="shared" si="31"/>
        <v>1.52E-2</v>
      </c>
      <c r="AA127" s="67">
        <f t="shared" si="32"/>
        <v>23.285399999999999</v>
      </c>
      <c r="AB127" s="64" t="e">
        <f>VLOOKUP(A127,Enforcements!$C$7:$K$20,8,0)</f>
        <v>#N/A</v>
      </c>
      <c r="AC127" s="60" t="e">
        <f>VLOOKUP(A127,Enforcements!$C$7:$E$20,3,0)</f>
        <v>#N/A</v>
      </c>
      <c r="AD127" s="61" t="str">
        <f t="shared" si="33"/>
        <v>0214-30</v>
      </c>
      <c r="AE127" s="91" t="str">
        <f t="shared" si="34"/>
        <v>aws s3 cp s3://rtdc.mdm.uploadarchive.raw/RTDC4001/ "%USERPROFILE%\AppData\Local\Temp\OnboardLogs"\RTDC4001\2016-11-30 --exclude "*" --recursive --include "*20161130*" &amp; "%USERPROFILE%\Documents\GitHub\mrs-test-scripts\Headless Mode &amp; Sideloading\WalkAndUnGZ.bat" "%USERPROFILE%\AppData\Local\Temp\OnboardLogs"\RTDC4001\2016-11-30 &amp; aws s3 cp s3://rtdc.mdm.uploadarchive.raw/RTDC4001/ "%USERPROFILE%\AppData\Local\Temp\OnboardLogs"\RTDC4001\2016-12-01 --exclude "*" --recursive --include "*20161201*" &amp; "%USERPROFILE%\Documents\GitHub\mrs-test-scripts\Headless Mode &amp; Sideloading\WalkAndUnGZ.bat" "%USERPROFILE%\AppData\Local\Temp\OnboardLogs"\RTDC4001\2016-12-01</v>
      </c>
      <c r="AF127" s="88" t="str">
        <f t="shared" si="35"/>
        <v>"C:\Program Files (x86)\AstroGrep\AstroGrep.exe" /spath="%USERPROFILE%\AppData\Local\Temp\OnboardLogs" /stypes="app*4001*20161201*" /stext=" 02:.+((SYSTEM_STATE.+slice.+state.+changed )|(ment ac)|(multiple cpu faults)|(system.+state.+changed )|(\[timeout)|(PRM\|1\|D)|(kpr)|(kdp)|(\|lc)|(penalty))" /e /r /s</v>
      </c>
      <c r="AG127" s="1" t="str">
        <f t="shared" si="36"/>
        <v>EC</v>
      </c>
      <c r="AH127" s="92" t="str">
        <f t="shared" si="37"/>
        <v>"%USERPROFILE%\Documents\GitHub\eaglep3\Utilities\RefineRTDCRunTimes.py" --tripid 214-30 --locoid 4001 --swversion DE.1.0.8.0 --startMP 204:233006 --initTime 2016-11-30T18:23:19 --startdatetime 2016-11-30T18:41:17 --delay 1 --endMP 204:152 --enddatetime 2016-11-30T19:17:50 --enforcementcount 0 &gt;&gt;C:\Users\stu\Documents\GitHub\eaglep3-reporting\EC\2016-11-30-refined-times.txt</v>
      </c>
      <c r="AI127" s="119" t="str">
        <f t="shared" si="38"/>
        <v>echo {"issue":{"subject":"","project_id":79,"tracker_id":40,"status_id":1,"priority_id":2,"assigned_to_id":23,"start_date":"2016-11-30","description":"","custom_fields":[{"id":1,"name":"Subdivision","value":"EC"},{"id":4,"name":"Milepost","value":"0.0152"},{"id":17,"name":"Train ID","value":"214-30"},{"id":16,"name":"Locomotive ID","value":"4001"},{"id":130,"name":"Impact","value":""},{"id":150,"name":"Time of Event (Mountain Time)","value":"19:17:50"},{"id":151,"name":"Denver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693</v>
      </c>
      <c r="B128" s="7">
        <v>4046</v>
      </c>
      <c r="C128" s="22" t="s">
        <v>212</v>
      </c>
      <c r="D128" s="22" t="s">
        <v>209</v>
      </c>
      <c r="E128" s="13">
        <v>42704.748495370368</v>
      </c>
      <c r="F128" s="13">
        <v>42704.750347222223</v>
      </c>
      <c r="G128" s="7">
        <v>2</v>
      </c>
      <c r="H128" s="22" t="s">
        <v>793</v>
      </c>
      <c r="I128" s="13">
        <v>42704.775821759256</v>
      </c>
      <c r="J128" s="7">
        <v>0</v>
      </c>
      <c r="K128" s="109" t="str">
        <f t="shared" si="24"/>
        <v>4045/4046</v>
      </c>
      <c r="L128" s="22" t="str">
        <f>VLOOKUP(A128,'Trips&amp;Operators'!$C$1:$G$99999,5,FALSE)</f>
        <v>STORY SAMANTHA</v>
      </c>
      <c r="M128" s="6">
        <f t="shared" si="25"/>
        <v>2.5474537033005618E-2</v>
      </c>
      <c r="N128" s="7">
        <f t="shared" si="43"/>
        <v>36.683333327528089</v>
      </c>
      <c r="O128" s="7"/>
      <c r="P128" s="7"/>
      <c r="Q128" s="23"/>
      <c r="R128" s="23"/>
      <c r="S128" s="35">
        <f t="shared" si="40"/>
        <v>1</v>
      </c>
      <c r="T128" s="50" t="str">
        <f t="shared" si="26"/>
        <v>NorthBound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27"/>
        <v>https://search-rtdc-monitor-bjffxe2xuh6vdkpspy63sjmuny.us-east-1.es.amazonaws.com/_plugin/kibana/#/discover/Steve-Slow-Train-Analysis-(2080s-and-2083s)?_g=(refreshInterval:(display:Off,section:0,value:0),time:(from:'2016-11-30 16:57:50-700',mode:absolute,to:'2016-11-30 19:37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28" s="52" t="str">
        <f t="shared" si="28"/>
        <v>N</v>
      </c>
      <c r="X128" s="177">
        <f t="shared" si="42"/>
        <v>1</v>
      </c>
      <c r="Y128" s="67">
        <f t="shared" si="30"/>
        <v>4.6199999999999998E-2</v>
      </c>
      <c r="Z128" s="67">
        <f t="shared" si="31"/>
        <v>23.331099999999999</v>
      </c>
      <c r="AA128" s="67">
        <f t="shared" si="32"/>
        <v>23.2849</v>
      </c>
      <c r="AB128" s="64" t="e">
        <f>VLOOKUP(A128,Enforcements!$C$7:$K$20,8,0)</f>
        <v>#N/A</v>
      </c>
      <c r="AC128" s="60" t="e">
        <f>VLOOKUP(A128,Enforcements!$C$7:$E$20,3,0)</f>
        <v>#N/A</v>
      </c>
      <c r="AD128" s="61" t="str">
        <f t="shared" si="33"/>
        <v>0215-30</v>
      </c>
      <c r="AE128" s="91" t="str">
        <f t="shared" si="34"/>
        <v>aws s3 cp s3://rtdc.mdm.uploadarchive.raw/RTDC4046/ "%USERPROFILE%\AppData\Local\Temp\OnboardLogs"\RTDC4046\2016-11-30 --exclude "*" --recursive --include "*20161130*" &amp; "%USERPROFILE%\Documents\GitHub\mrs-test-scripts\Headless Mode &amp; Sideloading\WalkAndUnGZ.bat" "%USERPROFILE%\AppData\Local\Temp\OnboardLogs"\RTDC4046\2016-11-30 &amp; aws s3 cp s3://rtdc.mdm.uploadarchive.raw/RTDC4046/ "%USERPROFILE%\AppData\Local\Temp\OnboardLogs"\RTDC4046\2016-12-01 --exclude "*" --recursive --include "*20161201*" &amp; "%USERPROFILE%\Documents\GitHub\mrs-test-scripts\Headless Mode &amp; Sideloading\WalkAndUnGZ.bat" "%USERPROFILE%\AppData\Local\Temp\OnboardLogs"\RTDC4046\2016-12-01</v>
      </c>
      <c r="AF128" s="88" t="str">
        <f t="shared" si="35"/>
        <v>"C:\Program Files (x86)\AstroGrep\AstroGrep.exe" /spath="%USERPROFILE%\AppData\Local\Temp\OnboardLogs" /stypes="app*4046*20161201*" /stext=" 01:.+((SYSTEM_STATE.+slice.+state.+changed )|(ment ac)|(multiple cpu faults)|(system.+state.+changed )|(\[timeout)|(PRM\|1\|D)|(kpr)|(kdp)|(\|lc)|(penalty))" /e /r /s</v>
      </c>
      <c r="AG128" s="1" t="str">
        <f t="shared" si="36"/>
        <v>EC</v>
      </c>
      <c r="AH128" s="92" t="str">
        <f t="shared" si="37"/>
        <v>"%USERPROFILE%\Documents\GitHub\eaglep3\Utilities\RefineRTDCRunTimes.py" --tripid 215-30 --locoid 4046 --swversion DE.1.0.8.0 --startMP 204:462 --initTime 2016-11-30T17:57:50 --startdatetime 2016-11-30T18:00:30 --delay 2 --endMP 204:233311 --enddatetime 2016-11-30T18:37:11 --enforcementcount 0 &gt;&gt;C:\Users\stu\Documents\GitHub\eaglep3-reporting\EC\2016-11-30-refined-times.txt</v>
      </c>
      <c r="AI128" s="119" t="str">
        <f t="shared" si="38"/>
        <v>echo {"issue":{"subject":"","project_id":79,"tracker_id":40,"status_id":1,"priority_id":2,"assigned_to_id":23,"start_date":"2016-11-30","description":"","custom_fields":[{"id":1,"name":"Subdivision","value":"EC"},{"id":4,"name":"Milepost","value":"23.3311"},{"id":17,"name":"Train ID","value":"215-30"},{"id":16,"name":"Locomotive ID","value":"4046"},{"id":130,"name":"Impact","value":""},{"id":150,"name":"Time of Event (Mountain Time)","value":"18:37:11"},{"id":151,"name":"Denver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705</v>
      </c>
      <c r="B129" s="7">
        <v>4045</v>
      </c>
      <c r="C129" s="22" t="s">
        <v>212</v>
      </c>
      <c r="D129" s="22" t="s">
        <v>798</v>
      </c>
      <c r="E129" s="13">
        <v>42704.785381944443</v>
      </c>
      <c r="F129" s="13">
        <v>42704.789212962962</v>
      </c>
      <c r="G129" s="7">
        <v>1</v>
      </c>
      <c r="H129" s="22" t="s">
        <v>311</v>
      </c>
      <c r="I129" s="13">
        <v>42704.816111111111</v>
      </c>
      <c r="J129" s="7">
        <v>0</v>
      </c>
      <c r="K129" s="109" t="str">
        <f t="shared" si="24"/>
        <v>4045/4046</v>
      </c>
      <c r="L129" s="22" t="str">
        <f>VLOOKUP(A129,'Trips&amp;Operators'!$C$1:$G$99999,5,FALSE)</f>
        <v>STORY SAMANTHA</v>
      </c>
      <c r="M129" s="6">
        <f t="shared" si="25"/>
        <v>2.6898148149484769E-2</v>
      </c>
      <c r="N129" s="7">
        <f t="shared" si="43"/>
        <v>38.733333335258067</v>
      </c>
      <c r="O129" s="7"/>
      <c r="P129" s="7"/>
      <c r="Q129" s="23"/>
      <c r="R129" s="23"/>
      <c r="S129" s="35">
        <f t="shared" si="40"/>
        <v>1</v>
      </c>
      <c r="T129" s="50" t="str">
        <f t="shared" si="26"/>
        <v>Southbound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27"/>
        <v>https://search-rtdc-monitor-bjffxe2xuh6vdkpspy63sjmuny.us-east-1.es.amazonaws.com/_plugin/kibana/#/discover/Steve-Slow-Train-Analysis-(2080s-and-2083s)?_g=(refreshInterval:(display:Off,section:0,value:0),time:(from:'2016-11-30 17:50:57-700',mode:absolute,to:'2016-11-30 20:35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29" s="52" t="str">
        <f t="shared" si="28"/>
        <v>N</v>
      </c>
      <c r="X129" s="177">
        <f t="shared" si="42"/>
        <v>1</v>
      </c>
      <c r="Y129" s="67">
        <f t="shared" si="30"/>
        <v>23.3003</v>
      </c>
      <c r="Z129" s="67">
        <f t="shared" si="31"/>
        <v>1.6E-2</v>
      </c>
      <c r="AA129" s="67">
        <f t="shared" si="32"/>
        <v>23.284300000000002</v>
      </c>
      <c r="AB129" s="64" t="e">
        <f>VLOOKUP(A129,Enforcements!$C$7:$K$20,8,0)</f>
        <v>#N/A</v>
      </c>
      <c r="AC129" s="60" t="e">
        <f>VLOOKUP(A129,Enforcements!$C$7:$E$20,3,0)</f>
        <v>#N/A</v>
      </c>
      <c r="AD129" s="61" t="str">
        <f t="shared" si="33"/>
        <v>0216-30</v>
      </c>
      <c r="AE129" s="91" t="str">
        <f t="shared" si="34"/>
        <v>aws s3 cp s3://rtdc.mdm.uploadarchive.raw/RTDC4045/ "%USERPROFILE%\AppData\Local\Temp\OnboardLogs"\RTDC4045\2016-11-30 --exclude "*" --recursive --include "*20161130*" &amp; "%USERPROFILE%\Documents\GitHub\mrs-test-scripts\Headless Mode &amp; Sideloading\WalkAndUnGZ.bat" "%USERPROFILE%\AppData\Local\Temp\OnboardLogs"\RTDC4045\2016-11-30 &amp; aws s3 cp s3://rtdc.mdm.uploadarchive.raw/RTDC4045/ "%USERPROFILE%\AppData\Local\Temp\OnboardLogs"\RTDC4045\2016-12-01 --exclude "*" --recursive --include "*20161201*" &amp; "%USERPROFILE%\Documents\GitHub\mrs-test-scripts\Headless Mode &amp; Sideloading\WalkAndUnGZ.bat" "%USERPROFILE%\AppData\Local\Temp\OnboardLogs"\RTDC4045\2016-12-01</v>
      </c>
      <c r="AF129" s="88" t="str">
        <f t="shared" si="35"/>
        <v>"C:\Program Files (x86)\AstroGrep\AstroGrep.exe" /spath="%USERPROFILE%\AppData\Local\Temp\OnboardLogs" /stypes="app*4045*20161201*" /stext=" 02:.+((SYSTEM_STATE.+slice.+state.+changed )|(ment ac)|(multiple cpu faults)|(system.+state.+changed )|(\[timeout)|(PRM\|1\|D)|(kpr)|(kdp)|(\|lc)|(penalty))" /e /r /s</v>
      </c>
      <c r="AG129" s="1" t="str">
        <f t="shared" si="36"/>
        <v>EC</v>
      </c>
      <c r="AH129" s="92" t="str">
        <f t="shared" si="37"/>
        <v>"%USERPROFILE%\Documents\GitHub\eaglep3\Utilities\RefineRTDCRunTimes.py" --tripid 216-30 --locoid 4045 --swversion DE.1.0.8.0 --startMP 204:233003 --initTime 2016-11-30T18:50:57 --startdatetime 2016-11-30T18:56:28 --delay 1 --endMP 204:160 --enddatetime 2016-11-30T19:35:12 --enforcementcount 0 &gt;&gt;C:\Users\stu\Documents\GitHub\eaglep3-reporting\EC\2016-11-30-refined-times.txt</v>
      </c>
      <c r="AI129" s="119" t="str">
        <f t="shared" si="38"/>
        <v>echo {"issue":{"subject":"","project_id":79,"tracker_id":40,"status_id":1,"priority_id":2,"assigned_to_id":23,"start_date":"2016-11-30","description":"","custom_fields":[{"id":1,"name":"Subdivision","value":"EC"},{"id":4,"name":"Milepost","value":"0.016"},{"id":17,"name":"Train ID","value":"216-30"},{"id":16,"name":"Locomotive ID","value":"4045"},{"id":130,"name":"Impact","value":""},{"id":150,"name":"Time of Event (Mountain Time)","value":"19:35:12"},{"id":151,"name":"Denver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696</v>
      </c>
      <c r="B130" s="7">
        <v>4022</v>
      </c>
      <c r="C130" s="22" t="s">
        <v>212</v>
      </c>
      <c r="D130" s="22" t="s">
        <v>799</v>
      </c>
      <c r="E130" s="13">
        <v>42704.75613425926</v>
      </c>
      <c r="F130" s="13">
        <v>42704.760694444441</v>
      </c>
      <c r="G130" s="7">
        <v>1</v>
      </c>
      <c r="H130" s="22" t="s">
        <v>800</v>
      </c>
      <c r="I130" s="13">
        <v>42704.785196759258</v>
      </c>
      <c r="J130" s="7">
        <v>0</v>
      </c>
      <c r="K130" s="109" t="str">
        <f t="shared" si="24"/>
        <v>4021/4022</v>
      </c>
      <c r="L130" s="22" t="str">
        <f>VLOOKUP(A130,'Trips&amp;Operators'!$C$1:$G$99999,5,FALSE)</f>
        <v>LEVIN SCOTT</v>
      </c>
      <c r="M130" s="6">
        <f t="shared" si="25"/>
        <v>2.4502314816345461E-2</v>
      </c>
      <c r="N130" s="7">
        <f t="shared" si="43"/>
        <v>35.283333335537463</v>
      </c>
      <c r="O130" s="7"/>
      <c r="P130" s="7"/>
      <c r="Q130" s="23"/>
      <c r="R130" s="23"/>
      <c r="S130" s="35">
        <f t="shared" ref="S130:S143" si="44">SUM(U130:U130)/IF(AG130="EC",12,1)</f>
        <v>1</v>
      </c>
      <c r="T130" s="50" t="str">
        <f t="shared" si="26"/>
        <v>NorthBound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27"/>
        <v>https://search-rtdc-monitor-bjffxe2xuh6vdkpspy63sjmuny.us-east-1.es.amazonaws.com/_plugin/kibana/#/discover/Steve-Slow-Train-Analysis-(2080s-and-2083s)?_g=(refreshInterval:(display:Off,section:0,value:0),time:(from:'2016-11-30 17:08:50-700',mode:absolute,to:'2016-11-30 19:50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30" s="52" t="str">
        <f t="shared" si="28"/>
        <v>N</v>
      </c>
      <c r="X130" s="177">
        <f t="shared" si="42"/>
        <v>1</v>
      </c>
      <c r="Y130" s="67">
        <f t="shared" si="30"/>
        <v>6.5699999999999995E-2</v>
      </c>
      <c r="Z130" s="67">
        <f t="shared" si="31"/>
        <v>23.335699999999999</v>
      </c>
      <c r="AA130" s="67">
        <f t="shared" si="32"/>
        <v>23.27</v>
      </c>
      <c r="AB130" s="64" t="e">
        <f>VLOOKUP(A130,Enforcements!$C$7:$K$20,8,0)</f>
        <v>#N/A</v>
      </c>
      <c r="AC130" s="60" t="e">
        <f>VLOOKUP(A130,Enforcements!$C$7:$E$20,3,0)</f>
        <v>#N/A</v>
      </c>
      <c r="AD130" s="61" t="str">
        <f t="shared" si="33"/>
        <v>0217-30</v>
      </c>
      <c r="AE130" s="91" t="str">
        <f t="shared" si="34"/>
        <v>aws s3 cp s3://rtdc.mdm.uploadarchive.raw/RTDC4022/ "%USERPROFILE%\AppData\Local\Temp\OnboardLogs"\RTDC4022\2016-11-30 --exclude "*" --recursive --include "*20161130*" &amp; "%USERPROFILE%\Documents\GitHub\mrs-test-scripts\Headless Mode &amp; Sideloading\WalkAndUnGZ.bat" "%USERPROFILE%\AppData\Local\Temp\OnboardLogs"\RTDC4022\2016-11-30 &amp; aws s3 cp s3://rtdc.mdm.uploadarchive.raw/RTDC4022/ "%USERPROFILE%\AppData\Local\Temp\OnboardLogs"\RTDC4022\2016-12-01 --exclude "*" --recursive --include "*20161201*" &amp; "%USERPROFILE%\Documents\GitHub\mrs-test-scripts\Headless Mode &amp; Sideloading\WalkAndUnGZ.bat" "%USERPROFILE%\AppData\Local\Temp\OnboardLogs"\RTDC4022\2016-12-01</v>
      </c>
      <c r="AF130" s="88" t="str">
        <f t="shared" si="35"/>
        <v>"C:\Program Files (x86)\AstroGrep\AstroGrep.exe" /spath="%USERPROFILE%\AppData\Local\Temp\OnboardLogs" /stypes="app*4022*20161201*" /stext=" 01:.+((SYSTEM_STATE.+slice.+state.+changed )|(ment ac)|(multiple cpu faults)|(system.+state.+changed )|(\[timeout)|(PRM\|1\|D)|(kpr)|(kdp)|(\|lc)|(penalty))" /e /r /s</v>
      </c>
      <c r="AG130" s="1" t="str">
        <f t="shared" si="36"/>
        <v>EC</v>
      </c>
      <c r="AH130" s="92" t="str">
        <f t="shared" si="37"/>
        <v>"%USERPROFILE%\Documents\GitHub\eaglep3\Utilities\RefineRTDCRunTimes.py" --tripid 217-30 --locoid 4022 --swversion DE.1.0.8.0 --startMP 204:657 --initTime 2016-11-30T18:08:50 --startdatetime 2016-11-30T18:15:24 --delay 1 --endMP 204:233357 --enddatetime 2016-11-30T18:50:41 --enforcementcount 0 &gt;&gt;C:\Users\stu\Documents\GitHub\eaglep3-reporting\EC\2016-11-30-refined-times.txt</v>
      </c>
      <c r="AI130" s="119" t="str">
        <f t="shared" si="38"/>
        <v>echo {"issue":{"subject":"","project_id":79,"tracker_id":40,"status_id":1,"priority_id":2,"assigned_to_id":23,"start_date":"2016-11-30","description":"","custom_fields":[{"id":1,"name":"Subdivision","value":"EC"},{"id":4,"name":"Milepost","value":"23.3357"},{"id":17,"name":"Train ID","value":"217-30"},{"id":16,"name":"Locomotive ID","value":"4022"},{"id":130,"name":"Impact","value":""},{"id":150,"name":"Time of Event (Mountain Time)","value":"18:50:41"},{"id":151,"name":"Denver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707</v>
      </c>
      <c r="B131" s="7">
        <v>4021</v>
      </c>
      <c r="C131" s="22" t="s">
        <v>212</v>
      </c>
      <c r="D131" s="22" t="s">
        <v>801</v>
      </c>
      <c r="E131" s="13">
        <v>42704.795613425929</v>
      </c>
      <c r="F131" s="13">
        <v>42704.799560185187</v>
      </c>
      <c r="G131" s="7">
        <v>2</v>
      </c>
      <c r="H131" s="22" t="s">
        <v>309</v>
      </c>
      <c r="I131" s="13">
        <v>42704.825196759259</v>
      </c>
      <c r="J131" s="7">
        <v>0</v>
      </c>
      <c r="K131" s="109" t="str">
        <f t="shared" si="24"/>
        <v>4021/4022</v>
      </c>
      <c r="L131" s="22" t="str">
        <f>VLOOKUP(A131,'Trips&amp;Operators'!$C$1:$G$99999,5,FALSE)</f>
        <v>LEVIN SCOTT</v>
      </c>
      <c r="M131" s="6">
        <f t="shared" si="25"/>
        <v>2.5636574071540963E-2</v>
      </c>
      <c r="N131" s="7">
        <f t="shared" si="43"/>
        <v>36.916666663018987</v>
      </c>
      <c r="O131" s="7"/>
      <c r="P131" s="7"/>
      <c r="Q131" s="23"/>
      <c r="R131" s="23"/>
      <c r="S131" s="35">
        <f t="shared" si="44"/>
        <v>1</v>
      </c>
      <c r="T131" s="50" t="str">
        <f t="shared" si="26"/>
        <v>Southbound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27"/>
        <v>https://search-rtdc-monitor-bjffxe2xuh6vdkpspy63sjmuny.us-east-1.es.amazonaws.com/_plugin/kibana/#/discover/Steve-Slow-Train-Analysis-(2080s-and-2083s)?_g=(refreshInterval:(display:Off,section:0,value:0),time:(from:'2016-11-30 18:05:41-700',mode:absolute,to:'2016-11-30 20:48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31" s="52" t="str">
        <f t="shared" si="28"/>
        <v>N</v>
      </c>
      <c r="X131" s="177">
        <f t="shared" si="42"/>
        <v>1</v>
      </c>
      <c r="Y131" s="67">
        <f t="shared" si="30"/>
        <v>23.302099999999999</v>
      </c>
      <c r="Z131" s="67">
        <f t="shared" si="31"/>
        <v>1.38E-2</v>
      </c>
      <c r="AA131" s="67">
        <f t="shared" si="32"/>
        <v>23.2883</v>
      </c>
      <c r="AB131" s="64" t="e">
        <f>VLOOKUP(A131,Enforcements!$C$7:$K$20,8,0)</f>
        <v>#N/A</v>
      </c>
      <c r="AC131" s="60" t="e">
        <f>VLOOKUP(A131,Enforcements!$C$7:$E$20,3,0)</f>
        <v>#N/A</v>
      </c>
      <c r="AD131" s="61" t="str">
        <f t="shared" si="33"/>
        <v>0218-30</v>
      </c>
      <c r="AE131" s="91" t="str">
        <f t="shared" si="34"/>
        <v>aws s3 cp s3://rtdc.mdm.uploadarchive.raw/RTDC4021/ "%USERPROFILE%\AppData\Local\Temp\OnboardLogs"\RTDC4021\2016-11-30 --exclude "*" --recursive --include "*20161130*" &amp; "%USERPROFILE%\Documents\GitHub\mrs-test-scripts\Headless Mode &amp; Sideloading\WalkAndUnGZ.bat" "%USERPROFILE%\AppData\Local\Temp\OnboardLogs"\RTDC4021\2016-11-30 &amp; aws s3 cp s3://rtdc.mdm.uploadarchive.raw/RTDC4021/ "%USERPROFILE%\AppData\Local\Temp\OnboardLogs"\RTDC4021\2016-12-01 --exclude "*" --recursive --include "*20161201*" &amp; "%USERPROFILE%\Documents\GitHub\mrs-test-scripts\Headless Mode &amp; Sideloading\WalkAndUnGZ.bat" "%USERPROFILE%\AppData\Local\Temp\OnboardLogs"\RTDC4021\2016-12-01</v>
      </c>
      <c r="AF131" s="88" t="str">
        <f t="shared" si="35"/>
        <v>"C:\Program Files (x86)\AstroGrep\AstroGrep.exe" /spath="%USERPROFILE%\AppData\Local\Temp\OnboardLogs" /stypes="app*4021*20161201*" /stext=" 02:.+((SYSTEM_STATE.+slice.+state.+changed )|(ment ac)|(multiple cpu faults)|(system.+state.+changed )|(\[timeout)|(PRM\|1\|D)|(kpr)|(kdp)|(\|lc)|(penalty))" /e /r /s</v>
      </c>
      <c r="AG131" s="1" t="str">
        <f t="shared" si="36"/>
        <v>EC</v>
      </c>
      <c r="AH131" s="92" t="str">
        <f t="shared" si="37"/>
        <v>"%USERPROFILE%\Documents\GitHub\eaglep3\Utilities\RefineRTDCRunTimes.py" --tripid 218-30 --locoid 4021 --swversion DE.1.0.8.0 --startMP 204:233021 --initTime 2016-11-30T19:05:41 --startdatetime 2016-11-30T19:11:22 --delay 2 --endMP 204:138 --enddatetime 2016-11-30T19:48:17 --enforcementcount 0 &gt;&gt;C:\Users\stu\Documents\GitHub\eaglep3-reporting\EC\2016-11-30-refined-times.txt</v>
      </c>
      <c r="AI131" s="119" t="str">
        <f t="shared" si="38"/>
        <v>echo {"issue":{"subject":"","project_id":79,"tracker_id":40,"status_id":1,"priority_id":2,"assigned_to_id":23,"start_date":"2016-11-30","description":"","custom_fields":[{"id":1,"name":"Subdivision","value":"EC"},{"id":4,"name":"Milepost","value":"0.0138"},{"id":17,"name":"Train ID","value":"218-30"},{"id":16,"name":"Locomotive ID","value":"4021"},{"id":130,"name":"Impact","value":""},{"id":150,"name":"Time of Event (Mountain Time)","value":"19:48:17"},{"id":151,"name":"Denver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700</v>
      </c>
      <c r="B132" s="7">
        <v>4011</v>
      </c>
      <c r="C132" s="22" t="s">
        <v>212</v>
      </c>
      <c r="D132" s="22" t="s">
        <v>775</v>
      </c>
      <c r="E132" s="13">
        <v>42704.765081018515</v>
      </c>
      <c r="F132" s="13">
        <v>42704.771157407406</v>
      </c>
      <c r="G132" s="7">
        <v>2</v>
      </c>
      <c r="H132" s="22" t="s">
        <v>264</v>
      </c>
      <c r="I132" s="13">
        <v>42704.79546296296</v>
      </c>
      <c r="J132" s="7">
        <v>0</v>
      </c>
      <c r="K132" s="109" t="str">
        <f t="shared" si="24"/>
        <v>4011/4012</v>
      </c>
      <c r="L132" s="22" t="str">
        <f>VLOOKUP(A132,'Trips&amp;Operators'!$C$1:$G$99999,5,FALSE)</f>
        <v>COOLAHAN JOHN</v>
      </c>
      <c r="M132" s="6">
        <f t="shared" si="25"/>
        <v>2.4305555554747116E-2</v>
      </c>
      <c r="N132" s="7">
        <f t="shared" si="43"/>
        <v>34.999999998835847</v>
      </c>
      <c r="O132" s="7"/>
      <c r="P132" s="7"/>
      <c r="Q132" s="23"/>
      <c r="R132" s="23"/>
      <c r="S132" s="35">
        <f t="shared" si="44"/>
        <v>1</v>
      </c>
      <c r="T132" s="50" t="str">
        <f t="shared" si="26"/>
        <v>NorthBound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27"/>
        <v>https://search-rtdc-monitor-bjffxe2xuh6vdkpspy63sjmuny.us-east-1.es.amazonaws.com/_plugin/kibana/#/discover/Steve-Slow-Train-Analysis-(2080s-and-2083s)?_g=(refreshInterval:(display:Off,section:0,value:0),time:(from:'2016-11-30 17:21:43-700',mode:absolute,to:'2016-11-30 20:05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32" s="52" t="str">
        <f t="shared" si="28"/>
        <v>N</v>
      </c>
      <c r="X132" s="177">
        <f t="shared" si="42"/>
        <v>1</v>
      </c>
      <c r="Y132" s="67">
        <f t="shared" si="30"/>
        <v>4.7800000000000002E-2</v>
      </c>
      <c r="Z132" s="67">
        <f t="shared" si="31"/>
        <v>23.3307</v>
      </c>
      <c r="AA132" s="67">
        <f t="shared" si="32"/>
        <v>23.282900000000001</v>
      </c>
      <c r="AB132" s="64" t="e">
        <f>VLOOKUP(A132,Enforcements!$C$7:$K$20,8,0)</f>
        <v>#N/A</v>
      </c>
      <c r="AC132" s="60" t="e">
        <f>VLOOKUP(A132,Enforcements!$C$7:$E$20,3,0)</f>
        <v>#N/A</v>
      </c>
      <c r="AD132" s="61" t="str">
        <f t="shared" si="33"/>
        <v>0219-30</v>
      </c>
      <c r="AE132" s="91" t="str">
        <f t="shared" si="34"/>
        <v>aws s3 cp s3://rtdc.mdm.uploadarchive.raw/RTDC4011/ "%USERPROFILE%\AppData\Local\Temp\OnboardLogs"\RTDC4011\2016-11-30 --exclude "*" --recursive --include "*20161130*" &amp; "%USERPROFILE%\Documents\GitHub\mrs-test-scripts\Headless Mode &amp; Sideloading\WalkAndUnGZ.bat" "%USERPROFILE%\AppData\Local\Temp\OnboardLogs"\RTDC4011\2016-11-30 &amp; aws s3 cp s3://rtdc.mdm.uploadarchive.raw/RTDC4011/ "%USERPROFILE%\AppData\Local\Temp\OnboardLogs"\RTDC4011\2016-12-01 --exclude "*" --recursive --include "*20161201*" &amp; "%USERPROFILE%\Documents\GitHub\mrs-test-scripts\Headless Mode &amp; Sideloading\WalkAndUnGZ.bat" "%USERPROFILE%\AppData\Local\Temp\OnboardLogs"\RTDC4011\2016-12-01</v>
      </c>
      <c r="AF132" s="88" t="str">
        <f t="shared" si="35"/>
        <v>"C:\Program Files (x86)\AstroGrep\AstroGrep.exe" /spath="%USERPROFILE%\AppData\Local\Temp\OnboardLogs" /stypes="app*4011*20161201*" /stext=" 02:.+((SYSTEM_STATE.+slice.+state.+changed )|(ment ac)|(multiple cpu faults)|(system.+state.+changed )|(\[timeout)|(PRM\|1\|D)|(kpr)|(kdp)|(\|lc)|(penalty))" /e /r /s</v>
      </c>
      <c r="AG132" s="1" t="str">
        <f t="shared" si="36"/>
        <v>EC</v>
      </c>
      <c r="AH132" s="92" t="str">
        <f t="shared" si="37"/>
        <v>"%USERPROFILE%\Documents\GitHub\eaglep3\Utilities\RefineRTDCRunTimes.py" --tripid 219-30 --locoid 4011 --swversion DE.1.0.8.0 --startMP 204:478 --initTime 2016-11-30T18:21:43 --startdatetime 2016-11-30T18:30:28 --delay 2 --endMP 204:233307 --enddatetime 2016-11-30T19:05:28 --enforcementcount 0 &gt;&gt;C:\Users\stu\Documents\GitHub\eaglep3-reporting\EC\2016-11-30-refined-times.txt</v>
      </c>
      <c r="AI132" s="119" t="str">
        <f t="shared" si="38"/>
        <v>echo {"issue":{"subject":"","project_id":79,"tracker_id":40,"status_id":1,"priority_id":2,"assigned_to_id":23,"start_date":"2016-11-30","description":"","custom_fields":[{"id":1,"name":"Subdivision","value":"EC"},{"id":4,"name":"Milepost","value":"23.3307"},{"id":17,"name":"Train ID","value":"219-30"},{"id":16,"name":"Locomotive ID","value":"4011"},{"id":130,"name":"Impact","value":""},{"id":150,"name":"Time of Event (Mountain Time)","value":"19:05:28"},{"id":151,"name":"Denver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711</v>
      </c>
      <c r="B133" s="7">
        <v>4012</v>
      </c>
      <c r="C133" s="22" t="s">
        <v>212</v>
      </c>
      <c r="D133" s="22" t="s">
        <v>802</v>
      </c>
      <c r="E133" s="13">
        <v>42704.805706018517</v>
      </c>
      <c r="F133" s="13">
        <v>42704.810370370367</v>
      </c>
      <c r="G133" s="7">
        <v>1</v>
      </c>
      <c r="H133" s="22" t="s">
        <v>796</v>
      </c>
      <c r="I133" s="13">
        <v>42704.835752314815</v>
      </c>
      <c r="J133" s="7">
        <v>0</v>
      </c>
      <c r="K133" s="109" t="str">
        <f t="shared" si="24"/>
        <v>4011/4012</v>
      </c>
      <c r="L133" s="22" t="str">
        <f>VLOOKUP(A133,'Trips&amp;Operators'!$C$1:$G$99999,5,FALSE)</f>
        <v>COOLAHAN JOHN</v>
      </c>
      <c r="M133" s="6">
        <f t="shared" si="25"/>
        <v>2.5381944447872229E-2</v>
      </c>
      <c r="N133" s="7">
        <f t="shared" si="43"/>
        <v>36.55000000493601</v>
      </c>
      <c r="O133" s="7"/>
      <c r="P133" s="7"/>
      <c r="Q133" s="23"/>
      <c r="R133" s="23"/>
      <c r="S133" s="35">
        <f t="shared" si="44"/>
        <v>1</v>
      </c>
      <c r="T133" s="50" t="str">
        <f t="shared" si="26"/>
        <v>Southbound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27"/>
        <v>https://search-rtdc-monitor-bjffxe2xuh6vdkpspy63sjmuny.us-east-1.es.amazonaws.com/_plugin/kibana/#/discover/Steve-Slow-Train-Analysis-(2080s-and-2083s)?_g=(refreshInterval:(display:Off,section:0,value:0),time:(from:'2016-11-30 18:20:13-700',mode:absolute,to:'2016-11-30 21:03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33" s="52" t="str">
        <f t="shared" si="28"/>
        <v>N</v>
      </c>
      <c r="X133" s="177">
        <f t="shared" si="42"/>
        <v>1</v>
      </c>
      <c r="Y133" s="67">
        <f t="shared" si="30"/>
        <v>23.301500000000001</v>
      </c>
      <c r="Z133" s="67">
        <f t="shared" si="31"/>
        <v>1.2999999999999999E-2</v>
      </c>
      <c r="AA133" s="67">
        <f t="shared" si="32"/>
        <v>23.288499999999999</v>
      </c>
      <c r="AB133" s="64" t="e">
        <f>VLOOKUP(A133,Enforcements!$C$7:$K$20,8,0)</f>
        <v>#N/A</v>
      </c>
      <c r="AC133" s="60" t="e">
        <f>VLOOKUP(A133,Enforcements!$C$7:$E$20,3,0)</f>
        <v>#N/A</v>
      </c>
      <c r="AD133" s="61" t="str">
        <f t="shared" si="33"/>
        <v>0220-30</v>
      </c>
      <c r="AE133" s="91" t="str">
        <f t="shared" si="34"/>
        <v>aws s3 cp s3://rtdc.mdm.uploadarchive.raw/RTDC4012/ "%USERPROFILE%\AppData\Local\Temp\OnboardLogs"\RTDC4012\2016-11-30 --exclude "*" --recursive --include "*20161130*" &amp; "%USERPROFILE%\Documents\GitHub\mrs-test-scripts\Headless Mode &amp; Sideloading\WalkAndUnGZ.bat" "%USERPROFILE%\AppData\Local\Temp\OnboardLogs"\RTDC4012\2016-11-30 &amp; aws s3 cp s3://rtdc.mdm.uploadarchive.raw/RTDC4012/ "%USERPROFILE%\AppData\Local\Temp\OnboardLogs"\RTDC4012\2016-12-01 --exclude "*" --recursive --include "*20161201*" &amp; "%USERPROFILE%\Documents\GitHub\mrs-test-scripts\Headless Mode &amp; Sideloading\WalkAndUnGZ.bat" "%USERPROFILE%\AppData\Local\Temp\OnboardLogs"\RTDC4012\2016-12-01</v>
      </c>
      <c r="AF133" s="88" t="str">
        <f t="shared" si="35"/>
        <v>"C:\Program Files (x86)\AstroGrep\AstroGrep.exe" /spath="%USERPROFILE%\AppData\Local\Temp\OnboardLogs" /stypes="app*4012*20161201*" /stext=" 03:.+((SYSTEM_STATE.+slice.+state.+changed )|(ment ac)|(multiple cpu faults)|(system.+state.+changed )|(\[timeout)|(PRM\|1\|D)|(kpr)|(kdp)|(\|lc)|(penalty))" /e /r /s</v>
      </c>
      <c r="AG133" s="1" t="str">
        <f t="shared" si="36"/>
        <v>EC</v>
      </c>
      <c r="AH133" s="92" t="str">
        <f t="shared" si="37"/>
        <v>"%USERPROFILE%\Documents\GitHub\eaglep3\Utilities\RefineRTDCRunTimes.py" --tripid 220-30 --locoid 4012 --swversion DE.1.0.8.0 --startMP 204:233015 --initTime 2016-11-30T19:20:13 --startdatetime 2016-11-30T19:26:56 --delay 1 --endMP 204:130 --enddatetime 2016-11-30T20:03:29 --enforcementcount 0 &gt;&gt;C:\Users\stu\Documents\GitHub\eaglep3-reporting\EC\2016-11-30-refined-times.txt</v>
      </c>
      <c r="AI133" s="119" t="str">
        <f t="shared" si="38"/>
        <v>echo {"issue":{"subject":"","project_id":79,"tracker_id":40,"status_id":1,"priority_id":2,"assigned_to_id":23,"start_date":"2016-11-30","description":"","custom_fields":[{"id":1,"name":"Subdivision","value":"EC"},{"id":4,"name":"Milepost","value":"0.013"},{"id":17,"name":"Train ID","value":"220-30"},{"id":16,"name":"Locomotive ID","value":"4012"},{"id":130,"name":"Impact","value":""},{"id":150,"name":"Time of Event (Mountain Time)","value":"20:03:29"},{"id":151,"name":"Denver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706</v>
      </c>
      <c r="B134" s="7">
        <v>4038</v>
      </c>
      <c r="C134" s="22" t="s">
        <v>212</v>
      </c>
      <c r="D134" s="22" t="s">
        <v>234</v>
      </c>
      <c r="E134" s="13">
        <v>42704.785636574074</v>
      </c>
      <c r="F134" s="13">
        <v>42704.792222222219</v>
      </c>
      <c r="G134" s="7">
        <v>1</v>
      </c>
      <c r="H134" s="22" t="s">
        <v>492</v>
      </c>
      <c r="I134" s="13">
        <v>42704.816284722219</v>
      </c>
      <c r="J134" s="7">
        <v>0</v>
      </c>
      <c r="K134" s="109" t="str">
        <f t="shared" si="24"/>
        <v>4037/4038</v>
      </c>
      <c r="L134" s="22" t="str">
        <f>VLOOKUP(A134,'Trips&amp;Operators'!$C$1:$G$99999,5,FALSE)</f>
        <v>STAMBAUGH JAMES</v>
      </c>
      <c r="M134" s="6">
        <f t="shared" si="25"/>
        <v>2.4062500000582077E-2</v>
      </c>
      <c r="N134" s="7">
        <f t="shared" si="43"/>
        <v>34.65000000083819</v>
      </c>
      <c r="O134" s="7"/>
      <c r="P134" s="7"/>
      <c r="Q134" s="23"/>
      <c r="R134" s="23"/>
      <c r="S134" s="35">
        <f t="shared" si="44"/>
        <v>1</v>
      </c>
      <c r="T134" s="50" t="str">
        <f t="shared" si="26"/>
        <v>NorthBound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27"/>
        <v>https://search-rtdc-monitor-bjffxe2xuh6vdkpspy63sjmuny.us-east-1.es.amazonaws.com/_plugin/kibana/#/discover/Steve-Slow-Train-Analysis-(2080s-and-2083s)?_g=(refreshInterval:(display:Off,section:0,value:0),time:(from:'2016-11-30 17:51:19-700',mode:absolute,to:'2016-11-30 20:35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34" s="52" t="str">
        <f t="shared" si="28"/>
        <v>N</v>
      </c>
      <c r="X134" s="177">
        <f t="shared" si="42"/>
        <v>1</v>
      </c>
      <c r="Y134" s="67">
        <f t="shared" si="30"/>
        <v>4.4900000000000002E-2</v>
      </c>
      <c r="Z134" s="67">
        <f t="shared" si="31"/>
        <v>23.332100000000001</v>
      </c>
      <c r="AA134" s="67">
        <f t="shared" si="32"/>
        <v>23.287200000000002</v>
      </c>
      <c r="AB134" s="64" t="e">
        <f>VLOOKUP(A134,Enforcements!$C$7:$K$20,8,0)</f>
        <v>#N/A</v>
      </c>
      <c r="AC134" s="60" t="e">
        <f>VLOOKUP(A134,Enforcements!$C$7:$E$20,3,0)</f>
        <v>#N/A</v>
      </c>
      <c r="AD134" s="61" t="str">
        <f t="shared" si="33"/>
        <v>0221-30</v>
      </c>
      <c r="AE134" s="91" t="str">
        <f t="shared" si="34"/>
        <v>aws s3 cp s3://rtdc.mdm.uploadarchive.raw/RTDC4038/ "%USERPROFILE%\AppData\Local\Temp\OnboardLogs"\RTDC4038\2016-11-30 --exclude "*" --recursive --include "*20161130*" &amp; "%USERPROFILE%\Documents\GitHub\mrs-test-scripts\Headless Mode &amp; Sideloading\WalkAndUnGZ.bat" "%USERPROFILE%\AppData\Local\Temp\OnboardLogs"\RTDC4038\2016-11-30 &amp; aws s3 cp s3://rtdc.mdm.uploadarchive.raw/RTDC4038/ "%USERPROFILE%\AppData\Local\Temp\OnboardLogs"\RTDC4038\2016-12-01 --exclude "*" --recursive --include "*20161201*" &amp; "%USERPROFILE%\Documents\GitHub\mrs-test-scripts\Headless Mode &amp; Sideloading\WalkAndUnGZ.bat" "%USERPROFILE%\AppData\Local\Temp\OnboardLogs"\RTDC4038\2016-12-01</v>
      </c>
      <c r="AF134" s="88" t="str">
        <f t="shared" si="35"/>
        <v>"C:\Program Files (x86)\AstroGrep\AstroGrep.exe" /spath="%USERPROFILE%\AppData\Local\Temp\OnboardLogs" /stypes="app*4038*20161201*" /stext=" 02:.+((SYSTEM_STATE.+slice.+state.+changed )|(ment ac)|(multiple cpu faults)|(system.+state.+changed )|(\[timeout)|(PRM\|1\|D)|(kpr)|(kdp)|(\|lc)|(penalty))" /e /r /s</v>
      </c>
      <c r="AG134" s="1" t="str">
        <f t="shared" si="36"/>
        <v>EC</v>
      </c>
      <c r="AH134" s="92" t="str">
        <f t="shared" si="37"/>
        <v>"%USERPROFILE%\Documents\GitHub\eaglep3\Utilities\RefineRTDCRunTimes.py" --tripid 221-30 --locoid 4038 --swversion DE.1.0.8.0 --startMP 204:449 --initTime 2016-11-30T18:51:19 --startdatetime 2016-11-30T19:00:48 --delay 1 --endMP 204:233321 --enddatetime 2016-11-30T19:35:27 --enforcementcount 0 &gt;&gt;C:\Users\stu\Documents\GitHub\eaglep3-reporting\EC\2016-11-30-refined-times.txt</v>
      </c>
      <c r="AI134" s="119" t="str">
        <f t="shared" si="38"/>
        <v>echo {"issue":{"subject":"","project_id":79,"tracker_id":40,"status_id":1,"priority_id":2,"assigned_to_id":23,"start_date":"2016-11-30","description":"","custom_fields":[{"id":1,"name":"Subdivision","value":"EC"},{"id":4,"name":"Milepost","value":"23.3321"},{"id":17,"name":"Train ID","value":"221-30"},{"id":16,"name":"Locomotive ID","value":"4038"},{"id":130,"name":"Impact","value":""},{"id":150,"name":"Time of Event (Mountain Time)","value":"19:35:27"},{"id":151,"name":"Denver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x14ac:dyDescent="0.25">
      <c r="A135" s="37" t="s">
        <v>715</v>
      </c>
      <c r="B135" s="7">
        <v>4037</v>
      </c>
      <c r="C135" s="22" t="s">
        <v>212</v>
      </c>
      <c r="D135" s="22" t="s">
        <v>803</v>
      </c>
      <c r="E135" s="13">
        <v>42704.827384259261</v>
      </c>
      <c r="F135" s="13">
        <v>42704.831226851849</v>
      </c>
      <c r="G135" s="7">
        <v>1</v>
      </c>
      <c r="H135" s="22" t="s">
        <v>498</v>
      </c>
      <c r="I135" s="13">
        <v>42704.856550925928</v>
      </c>
      <c r="J135" s="7">
        <v>0</v>
      </c>
      <c r="K135" s="109" t="str">
        <f t="shared" si="24"/>
        <v>4037/4038</v>
      </c>
      <c r="L135" s="22" t="str">
        <f>VLOOKUP(A135,'Trips&amp;Operators'!$C$1:$G$99999,5,FALSE)</f>
        <v>STAMBAUGH JAMES</v>
      </c>
      <c r="M135" s="6">
        <f t="shared" si="25"/>
        <v>2.5324074078525882E-2</v>
      </c>
      <c r="N135" s="7">
        <f t="shared" si="43"/>
        <v>36.46666667307727</v>
      </c>
      <c r="O135" s="7"/>
      <c r="P135" s="7"/>
      <c r="Q135" s="23"/>
      <c r="R135" s="23"/>
      <c r="S135" s="35">
        <f t="shared" si="44"/>
        <v>1</v>
      </c>
      <c r="T135" s="50" t="str">
        <f t="shared" si="26"/>
        <v>Southbound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27"/>
        <v>https://search-rtdc-monitor-bjffxe2xuh6vdkpspy63sjmuny.us-east-1.es.amazonaws.com/_plugin/kibana/#/discover/Steve-Slow-Train-Analysis-(2080s-and-2083s)?_g=(refreshInterval:(display:Off,section:0,value:0),time:(from:'2016-11-30 18:51:26-700',mode:absolute,to:'2016-11-30 21:33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35" s="52" t="str">
        <f t="shared" si="28"/>
        <v>N</v>
      </c>
      <c r="X135" s="177">
        <f t="shared" si="42"/>
        <v>1</v>
      </c>
      <c r="Y135" s="67">
        <f t="shared" si="30"/>
        <v>23.299099999999999</v>
      </c>
      <c r="Z135" s="67">
        <f t="shared" si="31"/>
        <v>1.6899999999999998E-2</v>
      </c>
      <c r="AA135" s="67">
        <f t="shared" si="32"/>
        <v>23.2822</v>
      </c>
      <c r="AB135" s="64" t="e">
        <f>VLOOKUP(A135,Enforcements!$C$7:$K$20,8,0)</f>
        <v>#N/A</v>
      </c>
      <c r="AC135" s="60" t="e">
        <f>VLOOKUP(A135,Enforcements!$C$7:$E$20,3,0)</f>
        <v>#N/A</v>
      </c>
      <c r="AD135" s="61" t="str">
        <f t="shared" si="33"/>
        <v>0222-30</v>
      </c>
      <c r="AE135" s="91" t="str">
        <f t="shared" si="34"/>
        <v>aws s3 cp s3://rtdc.mdm.uploadarchive.raw/RTDC4037/ "%USERPROFILE%\AppData\Local\Temp\OnboardLogs"\RTDC4037\2016-11-30 --exclude "*" --recursive --include "*20161130*" &amp; "%USERPROFILE%\Documents\GitHub\mrs-test-scripts\Headless Mode &amp; Sideloading\WalkAndUnGZ.bat" "%USERPROFILE%\AppData\Local\Temp\OnboardLogs"\RTDC4037\2016-11-30 &amp; aws s3 cp s3://rtdc.mdm.uploadarchive.raw/RTDC4037/ "%USERPROFILE%\AppData\Local\Temp\OnboardLogs"\RTDC4037\2016-12-01 --exclude "*" --recursive --include "*20161201*" &amp; "%USERPROFILE%\Documents\GitHub\mrs-test-scripts\Headless Mode &amp; Sideloading\WalkAndUnGZ.bat" "%USERPROFILE%\AppData\Local\Temp\OnboardLogs"\RTDC4037\2016-12-01</v>
      </c>
      <c r="AF135" s="88" t="str">
        <f t="shared" si="35"/>
        <v>"C:\Program Files (x86)\AstroGrep\AstroGrep.exe" /spath="%USERPROFILE%\AppData\Local\Temp\OnboardLogs" /stypes="app*4037*20161201*" /stext=" 03:.+((SYSTEM_STATE.+slice.+state.+changed )|(ment ac)|(multiple cpu faults)|(system.+state.+changed )|(\[timeout)|(PRM\|1\|D)|(kpr)|(kdp)|(\|lc)|(penalty))" /e /r /s</v>
      </c>
      <c r="AG135" s="1" t="str">
        <f t="shared" si="36"/>
        <v>EC</v>
      </c>
      <c r="AH135" s="92" t="str">
        <f t="shared" si="37"/>
        <v>"%USERPROFILE%\Documents\GitHub\eaglep3\Utilities\RefineRTDCRunTimes.py" --tripid 222-30 --locoid 4037 --swversion DE.1.0.8.0 --startMP 204:232991 --initTime 2016-11-30T19:51:26 --startdatetime 2016-11-30T19:56:58 --delay 1 --endMP 204:169 --enddatetime 2016-11-30T20:33:26 --enforcementcount 0 &gt;&gt;C:\Users\stu\Documents\GitHub\eaglep3-reporting\EC\2016-11-30-refined-times.txt</v>
      </c>
      <c r="AI135" s="119" t="str">
        <f t="shared" si="38"/>
        <v>echo {"issue":{"subject":"","project_id":79,"tracker_id":40,"status_id":1,"priority_id":2,"assigned_to_id":23,"start_date":"2016-11-30","description":"","custom_fields":[{"id":1,"name":"Subdivision","value":"EC"},{"id":4,"name":"Milepost","value":"0.0169"},{"id":17,"name":"Train ID","value":"222-30"},{"id":16,"name":"Locomotive ID","value":"4037"},{"id":130,"name":"Impact","value":""},{"id":150,"name":"Time of Event (Mountain Time)","value":"20:33:26"},{"id":151,"name":"Denver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</row>
    <row r="136" spans="1:91" x14ac:dyDescent="0.25">
      <c r="A136" s="37" t="s">
        <v>712</v>
      </c>
      <c r="B136" s="7">
        <v>4002</v>
      </c>
      <c r="C136" s="22" t="s">
        <v>212</v>
      </c>
      <c r="D136" s="22" t="s">
        <v>247</v>
      </c>
      <c r="E136" s="13">
        <v>42704.807187500002</v>
      </c>
      <c r="F136" s="13">
        <v>42704.812662037039</v>
      </c>
      <c r="G136" s="7">
        <v>1</v>
      </c>
      <c r="H136" s="22" t="s">
        <v>491</v>
      </c>
      <c r="I136" s="13">
        <v>42704.83693287037</v>
      </c>
      <c r="J136" s="7">
        <v>0</v>
      </c>
      <c r="K136" s="109" t="str">
        <f t="shared" si="24"/>
        <v>4001/4002</v>
      </c>
      <c r="L136" s="22" t="str">
        <f>VLOOKUP(A136,'Trips&amp;Operators'!$C$1:$G$99999,5,FALSE)</f>
        <v>YANAI IAN</v>
      </c>
      <c r="M136" s="6">
        <f t="shared" si="25"/>
        <v>2.4270833331684116E-2</v>
      </c>
      <c r="N136" s="7">
        <f t="shared" si="43"/>
        <v>34.949999997625127</v>
      </c>
      <c r="O136" s="7"/>
      <c r="P136" s="7"/>
      <c r="Q136" s="23"/>
      <c r="R136" s="23"/>
      <c r="S136" s="35">
        <f t="shared" si="44"/>
        <v>1</v>
      </c>
      <c r="T136" s="50" t="str">
        <f t="shared" si="26"/>
        <v>NorthBound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27"/>
        <v>https://search-rtdc-monitor-bjffxe2xuh6vdkpspy63sjmuny.us-east-1.es.amazonaws.com/_plugin/kibana/#/discover/Steve-Slow-Train-Analysis-(2080s-and-2083s)?_g=(refreshInterval:(display:Off,section:0,value:0),time:(from:'2016-11-30 18:22:21-700',mode:absolute,to:'2016-11-30 21:05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36" s="52" t="str">
        <f t="shared" si="28"/>
        <v>N</v>
      </c>
      <c r="X136" s="177">
        <f t="shared" si="42"/>
        <v>1</v>
      </c>
      <c r="Y136" s="67">
        <f t="shared" si="30"/>
        <v>4.5499999999999999E-2</v>
      </c>
      <c r="Z136" s="67">
        <f t="shared" si="31"/>
        <v>23.331199999999999</v>
      </c>
      <c r="AA136" s="67">
        <f t="shared" si="32"/>
        <v>23.285699999999999</v>
      </c>
      <c r="AB136" s="64" t="e">
        <f>VLOOKUP(A136,Enforcements!$C$7:$K$20,8,0)</f>
        <v>#N/A</v>
      </c>
      <c r="AC136" s="60" t="e">
        <f>VLOOKUP(A136,Enforcements!$C$7:$E$20,3,0)</f>
        <v>#N/A</v>
      </c>
      <c r="AD136" s="61" t="str">
        <f t="shared" si="33"/>
        <v>0223-30</v>
      </c>
      <c r="AE136" s="91" t="str">
        <f t="shared" si="34"/>
        <v>aws s3 cp s3://rtdc.mdm.uploadarchive.raw/RTDC4002/ "%USERPROFILE%\AppData\Local\Temp\OnboardLogs"\RTDC4002\2016-11-30 --exclude "*" --recursive --include "*20161130*" &amp; "%USERPROFILE%\Documents\GitHub\mrs-test-scripts\Headless Mode &amp; Sideloading\WalkAndUnGZ.bat" "%USERPROFILE%\AppData\Local\Temp\OnboardLogs"\RTDC4002\2016-11-30 &amp; aws s3 cp s3://rtdc.mdm.uploadarchive.raw/RTDC4002/ "%USERPROFILE%\AppData\Local\Temp\OnboardLogs"\RTDC4002\2016-12-01 --exclude "*" --recursive --include "*20161201*" &amp; "%USERPROFILE%\Documents\GitHub\mrs-test-scripts\Headless Mode &amp; Sideloading\WalkAndUnGZ.bat" "%USERPROFILE%\AppData\Local\Temp\OnboardLogs"\RTDC4002\2016-12-01</v>
      </c>
      <c r="AF136" s="88" t="str">
        <f t="shared" si="35"/>
        <v>"C:\Program Files (x86)\AstroGrep\AstroGrep.exe" /spath="%USERPROFILE%\AppData\Local\Temp\OnboardLogs" /stypes="app*4002*20161201*" /stext=" 03:.+((SYSTEM_STATE.+slice.+state.+changed )|(ment ac)|(multiple cpu faults)|(system.+state.+changed )|(\[timeout)|(PRM\|1\|D)|(kpr)|(kdp)|(\|lc)|(penalty))" /e /r /s</v>
      </c>
      <c r="AG136" s="1" t="str">
        <f t="shared" si="36"/>
        <v>EC</v>
      </c>
      <c r="AH136" s="92" t="str">
        <f t="shared" si="37"/>
        <v>"%USERPROFILE%\Documents\GitHub\eaglep3\Utilities\RefineRTDCRunTimes.py" --tripid 223-30 --locoid 4002 --swversion DE.1.0.8.0 --startMP 204:455 --initTime 2016-11-30T19:22:21 --startdatetime 2016-11-30T19:30:14 --delay 1 --endMP 204:233312 --enddatetime 2016-11-30T20:05:11 --enforcementcount 0 &gt;&gt;C:\Users\stu\Documents\GitHub\eaglep3-reporting\EC\2016-11-30-refined-times.txt</v>
      </c>
      <c r="AI136" s="119" t="str">
        <f t="shared" si="38"/>
        <v>echo {"issue":{"subject":"","project_id":79,"tracker_id":40,"status_id":1,"priority_id":2,"assigned_to_id":23,"start_date":"2016-11-30","description":"","custom_fields":[{"id":1,"name":"Subdivision","value":"EC"},{"id":4,"name":"Milepost","value":"23.3312"},{"id":17,"name":"Train ID","value":"223-30"},{"id":16,"name":"Locomotive ID","value":"4002"},{"id":130,"name":"Impact","value":""},{"id":150,"name":"Time of Event (Mountain Time)","value":"20:05:11"},{"id":151,"name":"Denver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</row>
    <row r="137" spans="1:91" x14ac:dyDescent="0.25">
      <c r="A137" s="37" t="s">
        <v>717</v>
      </c>
      <c r="B137" s="7">
        <v>4001</v>
      </c>
      <c r="C137" s="22" t="s">
        <v>212</v>
      </c>
      <c r="D137" s="22" t="s">
        <v>788</v>
      </c>
      <c r="E137" s="13">
        <v>42704.838969907411</v>
      </c>
      <c r="F137" s="13">
        <v>42704.8515625</v>
      </c>
      <c r="G137" s="7">
        <v>0</v>
      </c>
      <c r="H137" s="22" t="s">
        <v>192</v>
      </c>
      <c r="I137" s="13">
        <v>42704.876805555556</v>
      </c>
      <c r="J137" s="7">
        <v>0</v>
      </c>
      <c r="K137" s="109" t="str">
        <f t="shared" si="24"/>
        <v>4001/4002</v>
      </c>
      <c r="L137" s="22" t="str">
        <f>VLOOKUP(A137,'Trips&amp;Operators'!$C$1:$G$99999,5,FALSE)</f>
        <v>YANAI IAN</v>
      </c>
      <c r="M137" s="6">
        <f t="shared" si="25"/>
        <v>2.5243055555620231E-2</v>
      </c>
      <c r="N137" s="7">
        <f t="shared" si="43"/>
        <v>36.350000000093132</v>
      </c>
      <c r="O137" s="7"/>
      <c r="P137" s="7"/>
      <c r="Q137" s="23"/>
      <c r="R137" s="23"/>
      <c r="S137" s="35">
        <f t="shared" si="44"/>
        <v>1</v>
      </c>
      <c r="T137" s="50" t="str">
        <f t="shared" si="26"/>
        <v>Southbound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27"/>
        <v>https://search-rtdc-monitor-bjffxe2xuh6vdkpspy63sjmuny.us-east-1.es.amazonaws.com/_plugin/kibana/#/discover/Steve-Slow-Train-Analysis-(2080s-and-2083s)?_g=(refreshInterval:(display:Off,section:0,value:0),time:(from:'2016-11-30 19:08:07-700',mode:absolute,to:'2016-11-30 22:02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37" s="52" t="str">
        <f t="shared" si="28"/>
        <v>N</v>
      </c>
      <c r="X137" s="177">
        <f t="shared" ref="X137:X140" si="45">VALUE(LEFT(AD137,4))-VALUE(LEFT(AD136,4))</f>
        <v>1</v>
      </c>
      <c r="Y137" s="67">
        <f t="shared" si="30"/>
        <v>23.2987</v>
      </c>
      <c r="Z137" s="67">
        <f t="shared" si="31"/>
        <v>1.49E-2</v>
      </c>
      <c r="AA137" s="67">
        <f t="shared" si="32"/>
        <v>23.283799999999999</v>
      </c>
      <c r="AB137" s="64" t="e">
        <f>VLOOKUP(A137,Enforcements!$C$7:$K$20,8,0)</f>
        <v>#N/A</v>
      </c>
      <c r="AC137" s="60" t="e">
        <f>VLOOKUP(A137,Enforcements!$C$7:$E$20,3,0)</f>
        <v>#N/A</v>
      </c>
      <c r="AD137" s="61" t="str">
        <f t="shared" si="33"/>
        <v>0224-30</v>
      </c>
      <c r="AE137" s="91" t="str">
        <f t="shared" si="34"/>
        <v>aws s3 cp s3://rtdc.mdm.uploadarchive.raw/RTDC4001/ "%USERPROFILE%\AppData\Local\Temp\OnboardLogs"\RTDC4001\2016-11-30 --exclude "*" --recursive --include "*20161130*" &amp; "%USERPROFILE%\Documents\GitHub\mrs-test-scripts\Headless Mode &amp; Sideloading\WalkAndUnGZ.bat" "%USERPROFILE%\AppData\Local\Temp\OnboardLogs"\RTDC4001\2016-11-30 &amp; aws s3 cp s3://rtdc.mdm.uploadarchive.raw/RTDC4001/ "%USERPROFILE%\AppData\Local\Temp\OnboardLogs"\RTDC4001\2016-12-01 --exclude "*" --recursive --include "*20161201*" &amp; "%USERPROFILE%\Documents\GitHub\mrs-test-scripts\Headless Mode &amp; Sideloading\WalkAndUnGZ.bat" "%USERPROFILE%\AppData\Local\Temp\OnboardLogs"\RTDC4001\2016-12-01</v>
      </c>
      <c r="AF137" s="88" t="str">
        <f t="shared" si="35"/>
        <v>"C:\Program Files (x86)\AstroGrep\AstroGrep.exe" /spath="%USERPROFILE%\AppData\Local\Temp\OnboardLogs" /stypes="app*4001*20161201*" /stext=" 04:.+((SYSTEM_STATE.+slice.+state.+changed )|(ment ac)|(multiple cpu faults)|(system.+state.+changed )|(\[timeout)|(PRM\|1\|D)|(kpr)|(kdp)|(\|lc)|(penalty))" /e /r /s</v>
      </c>
      <c r="AG137" s="1" t="str">
        <f t="shared" si="36"/>
        <v>EC</v>
      </c>
      <c r="AH137" s="92" t="str">
        <f t="shared" si="37"/>
        <v>"%USERPROFILE%\Documents\GitHub\eaglep3\Utilities\RefineRTDCRunTimes.py" --tripid 224-30 --locoid 4001 --swversion DE.1.0.8.0 --startMP 204:232987 --initTime 2016-11-30T20:08:07 --startdatetime 2016-11-30T20:26:15 --delay 0 --endMP 204:149 --enddatetime 2016-11-30T21:02:36 --enforcementcount 0 &gt;&gt;C:\Users\stu\Documents\GitHub\eaglep3-reporting\EC\2016-11-30-refined-times.txt</v>
      </c>
      <c r="AI137" s="119" t="str">
        <f t="shared" si="38"/>
        <v>echo {"issue":{"subject":"","project_id":79,"tracker_id":40,"status_id":1,"priority_id":2,"assigned_to_id":23,"start_date":"2016-11-30","description":"","custom_fields":[{"id":1,"name":"Subdivision","value":"EC"},{"id":4,"name":"Milepost","value":"0.0149"},{"id":17,"name":"Train ID","value":"224-30"},{"id":16,"name":"Locomotive ID","value":"4001"},{"id":130,"name":"Impact","value":""},{"id":150,"name":"Time of Event (Mountain Time)","value":"21:02:36"},{"id":151,"name":"Denver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</row>
    <row r="138" spans="1:91" s="21" customFormat="1" x14ac:dyDescent="0.25">
      <c r="A138" s="37" t="s">
        <v>716</v>
      </c>
      <c r="B138" s="7">
        <v>4022</v>
      </c>
      <c r="C138" s="22" t="s">
        <v>212</v>
      </c>
      <c r="D138" s="22" t="s">
        <v>778</v>
      </c>
      <c r="E138" s="13">
        <v>42704.829652777778</v>
      </c>
      <c r="F138" s="13">
        <v>42704.83353009259</v>
      </c>
      <c r="G138" s="7">
        <v>1</v>
      </c>
      <c r="H138" s="22" t="s">
        <v>804</v>
      </c>
      <c r="I138" s="13">
        <v>42704.857685185183</v>
      </c>
      <c r="J138" s="7">
        <v>0</v>
      </c>
      <c r="K138" s="109" t="str">
        <f t="shared" si="24"/>
        <v>4021/4022</v>
      </c>
      <c r="L138" s="22" t="str">
        <f>VLOOKUP(A138,'Trips&amp;Operators'!$C$1:$G$99999,5,FALSE)</f>
        <v>LEVIN SCOTT</v>
      </c>
      <c r="M138" s="6">
        <f t="shared" si="25"/>
        <v>2.4155092592991423E-2</v>
      </c>
      <c r="N138" s="7">
        <f t="shared" si="43"/>
        <v>34.783333333907649</v>
      </c>
      <c r="O138" s="7"/>
      <c r="P138" s="7"/>
      <c r="Q138" s="23"/>
      <c r="R138" s="23"/>
      <c r="S138" s="35">
        <f t="shared" si="44"/>
        <v>1</v>
      </c>
      <c r="T138" s="50" t="str">
        <f t="shared" si="26"/>
        <v>NorthBound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27"/>
        <v>https://search-rtdc-monitor-bjffxe2xuh6vdkpspy63sjmuny.us-east-1.es.amazonaws.com/_plugin/kibana/#/discover/Steve-Slow-Train-Analysis-(2080s-and-2083s)?_g=(refreshInterval:(display:Off,section:0,value:0),time:(from:'2016-11-30 18:54:42-700',mode:absolute,to:'2016-11-30 21:35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38" s="52" t="str">
        <f t="shared" si="28"/>
        <v>N</v>
      </c>
      <c r="X138" s="177">
        <f t="shared" si="45"/>
        <v>1</v>
      </c>
      <c r="Y138" s="67">
        <f t="shared" si="30"/>
        <v>4.4400000000000002E-2</v>
      </c>
      <c r="Z138" s="67">
        <f t="shared" si="31"/>
        <v>23.3338</v>
      </c>
      <c r="AA138" s="67">
        <f t="shared" si="32"/>
        <v>23.289400000000001</v>
      </c>
      <c r="AB138" s="64" t="e">
        <f>VLOOKUP(A138,Enforcements!$C$7:$K$20,8,0)</f>
        <v>#N/A</v>
      </c>
      <c r="AC138" s="60" t="e">
        <f>VLOOKUP(A138,Enforcements!$C$7:$E$20,3,0)</f>
        <v>#N/A</v>
      </c>
      <c r="AD138" s="61" t="str">
        <f t="shared" si="33"/>
        <v>0225-30</v>
      </c>
      <c r="AE138" s="91" t="str">
        <f t="shared" si="34"/>
        <v>aws s3 cp s3://rtdc.mdm.uploadarchive.raw/RTDC4022/ "%USERPROFILE%\AppData\Local\Temp\OnboardLogs"\RTDC4022\2016-11-30 --exclude "*" --recursive --include "*20161130*" &amp; "%USERPROFILE%\Documents\GitHub\mrs-test-scripts\Headless Mode &amp; Sideloading\WalkAndUnGZ.bat" "%USERPROFILE%\AppData\Local\Temp\OnboardLogs"\RTDC4022\2016-11-30 &amp; aws s3 cp s3://rtdc.mdm.uploadarchive.raw/RTDC4022/ "%USERPROFILE%\AppData\Local\Temp\OnboardLogs"\RTDC4022\2016-12-01 --exclude "*" --recursive --include "*20161201*" &amp; "%USERPROFILE%\Documents\GitHub\mrs-test-scripts\Headless Mode &amp; Sideloading\WalkAndUnGZ.bat" "%USERPROFILE%\AppData\Local\Temp\OnboardLogs"\RTDC4022\2016-12-01</v>
      </c>
      <c r="AF138" s="88" t="str">
        <f t="shared" si="35"/>
        <v>"C:\Program Files (x86)\AstroGrep\AstroGrep.exe" /spath="%USERPROFILE%\AppData\Local\Temp\OnboardLogs" /stypes="app*4022*20161201*" /stext=" 03:.+((SYSTEM_STATE.+slice.+state.+changed )|(ment ac)|(multiple cpu faults)|(system.+state.+changed )|(\[timeout)|(PRM\|1\|D)|(kpr)|(kdp)|(\|lc)|(penalty))" /e /r /s</v>
      </c>
      <c r="AG138" s="1" t="str">
        <f t="shared" si="36"/>
        <v>EC</v>
      </c>
      <c r="AH138" s="92" t="str">
        <f t="shared" si="37"/>
        <v>"%USERPROFILE%\Documents\GitHub\eaglep3\Utilities\RefineRTDCRunTimes.py" --tripid 225-30 --locoid 4022 --swversion DE.1.0.8.0 --startMP 204:444 --initTime 2016-11-30T19:54:42 --startdatetime 2016-11-30T20:00:17 --delay 1 --endMP 204:233338 --enddatetime 2016-11-30T20:35:04 --enforcementcount 0 &gt;&gt;C:\Users\stu\Documents\GitHub\eaglep3-reporting\EC\2016-11-30-refined-times.txt</v>
      </c>
      <c r="AI138" s="119" t="str">
        <f t="shared" si="38"/>
        <v>echo {"issue":{"subject":"","project_id":79,"tracker_id":40,"status_id":1,"priority_id":2,"assigned_to_id":23,"start_date":"2016-11-30","description":"","custom_fields":[{"id":1,"name":"Subdivision","value":"EC"},{"id":4,"name":"Milepost","value":"23.3338"},{"id":17,"name":"Train ID","value":"225-30"},{"id":16,"name":"Locomotive ID","value":"4022"},{"id":130,"name":"Impact","value":""},{"id":150,"name":"Time of Event (Mountain Time)","value":"20:35:04"},{"id":151,"name":"Denver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722</v>
      </c>
      <c r="B139" s="7">
        <v>4021</v>
      </c>
      <c r="C139" s="22" t="s">
        <v>212</v>
      </c>
      <c r="D139" s="22" t="s">
        <v>343</v>
      </c>
      <c r="E139" s="13">
        <v>42704.868263888886</v>
      </c>
      <c r="F139" s="13">
        <v>42704.872523148151</v>
      </c>
      <c r="G139" s="7">
        <v>1</v>
      </c>
      <c r="H139" s="22" t="s">
        <v>255</v>
      </c>
      <c r="I139" s="13">
        <v>42704.898900462962</v>
      </c>
      <c r="J139" s="7">
        <v>0</v>
      </c>
      <c r="K139" s="109" t="str">
        <f t="shared" si="24"/>
        <v>4021/4022</v>
      </c>
      <c r="L139" s="22" t="str">
        <f>VLOOKUP(A139,'Trips&amp;Operators'!$C$1:$G$99999,5,FALSE)</f>
        <v>LEVIN SCOTT</v>
      </c>
      <c r="M139" s="6">
        <f t="shared" si="25"/>
        <v>2.6377314810815733E-2</v>
      </c>
      <c r="N139" s="7">
        <f t="shared" si="43"/>
        <v>37.983333327574655</v>
      </c>
      <c r="O139" s="7"/>
      <c r="P139" s="7"/>
      <c r="Q139" s="23"/>
      <c r="R139" s="23"/>
      <c r="S139" s="35">
        <f t="shared" si="44"/>
        <v>1</v>
      </c>
      <c r="T139" s="50" t="str">
        <f t="shared" si="26"/>
        <v>Southbound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27"/>
        <v>https://search-rtdc-monitor-bjffxe2xuh6vdkpspy63sjmuny.us-east-1.es.amazonaws.com/_plugin/kibana/#/discover/Steve-Slow-Train-Analysis-(2080s-and-2083s)?_g=(refreshInterval:(display:Off,section:0,value:0),time:(from:'2016-11-30 19:50:18-700',mode:absolute,to:'2016-11-30 22:34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39" s="52" t="str">
        <f t="shared" si="28"/>
        <v>N</v>
      </c>
      <c r="X139" s="177">
        <f t="shared" si="45"/>
        <v>1</v>
      </c>
      <c r="Y139" s="67">
        <f t="shared" si="30"/>
        <v>23.3017</v>
      </c>
      <c r="Z139" s="67">
        <f t="shared" si="31"/>
        <v>1.3899999999999999E-2</v>
      </c>
      <c r="AA139" s="67">
        <f t="shared" si="32"/>
        <v>23.287800000000001</v>
      </c>
      <c r="AB139" s="64" t="e">
        <f>VLOOKUP(A139,Enforcements!$C$7:$K$20,8,0)</f>
        <v>#N/A</v>
      </c>
      <c r="AC139" s="60" t="e">
        <f>VLOOKUP(A139,Enforcements!$C$7:$E$20,3,0)</f>
        <v>#N/A</v>
      </c>
      <c r="AD139" s="61" t="str">
        <f t="shared" si="33"/>
        <v>0226-30</v>
      </c>
      <c r="AE139" s="91" t="str">
        <f t="shared" si="34"/>
        <v>aws s3 cp s3://rtdc.mdm.uploadarchive.raw/RTDC4021/ "%USERPROFILE%\AppData\Local\Temp\OnboardLogs"\RTDC4021\2016-11-30 --exclude "*" --recursive --include "*20161130*" &amp; "%USERPROFILE%\Documents\GitHub\mrs-test-scripts\Headless Mode &amp; Sideloading\WalkAndUnGZ.bat" "%USERPROFILE%\AppData\Local\Temp\OnboardLogs"\RTDC4021\2016-11-30 &amp; aws s3 cp s3://rtdc.mdm.uploadarchive.raw/RTDC4021/ "%USERPROFILE%\AppData\Local\Temp\OnboardLogs"\RTDC4021\2016-12-01 --exclude "*" --recursive --include "*20161201*" &amp; "%USERPROFILE%\Documents\GitHub\mrs-test-scripts\Headless Mode &amp; Sideloading\WalkAndUnGZ.bat" "%USERPROFILE%\AppData\Local\Temp\OnboardLogs"\RTDC4021\2016-12-01</v>
      </c>
      <c r="AF139" s="88" t="str">
        <f t="shared" si="35"/>
        <v>"C:\Program Files (x86)\AstroGrep\AstroGrep.exe" /spath="%USERPROFILE%\AppData\Local\Temp\OnboardLogs" /stypes="app*4021*20161201*" /stext=" 04:.+((SYSTEM_STATE.+slice.+state.+changed )|(ment ac)|(multiple cpu faults)|(system.+state.+changed )|(\[timeout)|(PRM\|1\|D)|(kpr)|(kdp)|(\|lc)|(penalty))" /e /r /s</v>
      </c>
      <c r="AG139" s="1" t="str">
        <f t="shared" si="36"/>
        <v>EC</v>
      </c>
      <c r="AH139" s="92" t="str">
        <f t="shared" si="37"/>
        <v>"%USERPROFILE%\Documents\GitHub\eaglep3\Utilities\RefineRTDCRunTimes.py" --tripid 226-30 --locoid 4021 --swversion DE.1.0.8.0 --startMP 204:233017 --initTime 2016-11-30T20:50:18 --startdatetime 2016-11-30T20:56:26 --delay 1 --endMP 204:139 --enddatetime 2016-11-30T21:34:25 --enforcementcount 0 &gt;&gt;C:\Users\stu\Documents\GitHub\eaglep3-reporting\EC\2016-11-30-refined-times.txt</v>
      </c>
      <c r="AI139" s="119" t="str">
        <f t="shared" si="38"/>
        <v>echo {"issue":{"subject":"","project_id":79,"tracker_id":40,"status_id":1,"priority_id":2,"assigned_to_id":23,"start_date":"2016-11-30","description":"","custom_fields":[{"id":1,"name":"Subdivision","value":"EC"},{"id":4,"name":"Milepost","value":"0.0139"},{"id":17,"name":"Train ID","value":"226-30"},{"id":16,"name":"Locomotive ID","value":"4021"},{"id":130,"name":"Impact","value":""},{"id":150,"name":"Time of Event (Mountain Time)","value":"21:34:25"},{"id":151,"name":"Denver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719</v>
      </c>
      <c r="B140" s="7">
        <v>4011</v>
      </c>
      <c r="C140" s="22" t="s">
        <v>212</v>
      </c>
      <c r="D140" s="22" t="s">
        <v>338</v>
      </c>
      <c r="E140" s="13">
        <v>42704.851226851853</v>
      </c>
      <c r="F140" s="13">
        <v>42704.854571759257</v>
      </c>
      <c r="G140" s="7">
        <v>1</v>
      </c>
      <c r="H140" s="22" t="s">
        <v>789</v>
      </c>
      <c r="I140" s="13">
        <v>42704.879212962966</v>
      </c>
      <c r="J140" s="7">
        <v>0</v>
      </c>
      <c r="K140" s="109" t="str">
        <f t="shared" si="24"/>
        <v>4011/4012</v>
      </c>
      <c r="L140" s="22" t="str">
        <f>VLOOKUP(A140,'Trips&amp;Operators'!$C$1:$G$99999,5,FALSE)</f>
        <v>COOLAHAN JOHN</v>
      </c>
      <c r="M140" s="6">
        <f t="shared" si="25"/>
        <v>2.4641203708597459E-2</v>
      </c>
      <c r="N140" s="7">
        <f t="shared" si="43"/>
        <v>35.483333340380341</v>
      </c>
      <c r="O140" s="7"/>
      <c r="P140" s="7"/>
      <c r="Q140" s="23"/>
      <c r="R140" s="23"/>
      <c r="S140" s="35">
        <f t="shared" si="44"/>
        <v>1</v>
      </c>
      <c r="T140" s="50" t="str">
        <f t="shared" si="26"/>
        <v>NorthBound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27"/>
        <v>https://search-rtdc-monitor-bjffxe2xuh6vdkpspy63sjmuny.us-east-1.es.amazonaws.com/_plugin/kibana/#/discover/Steve-Slow-Train-Analysis-(2080s-and-2083s)?_g=(refreshInterval:(display:Off,section:0,value:0),time:(from:'2016-11-30 19:25:46-700',mode:absolute,to:'2016-11-30 22:06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40" s="52" t="str">
        <f t="shared" si="28"/>
        <v>N</v>
      </c>
      <c r="X140" s="177">
        <f t="shared" si="45"/>
        <v>1</v>
      </c>
      <c r="Y140" s="67">
        <f t="shared" si="30"/>
        <v>4.3799999999999999E-2</v>
      </c>
      <c r="Z140" s="67">
        <f t="shared" si="31"/>
        <v>23.333400000000001</v>
      </c>
      <c r="AA140" s="67">
        <f t="shared" si="32"/>
        <v>23.2896</v>
      </c>
      <c r="AB140" s="64" t="e">
        <f>VLOOKUP(A140,Enforcements!$C$7:$K$20,8,0)</f>
        <v>#N/A</v>
      </c>
      <c r="AC140" s="60" t="e">
        <f>VLOOKUP(A140,Enforcements!$C$7:$E$20,3,0)</f>
        <v>#N/A</v>
      </c>
      <c r="AD140" s="61" t="str">
        <f t="shared" si="33"/>
        <v>0227-30</v>
      </c>
      <c r="AE140" s="91" t="str">
        <f t="shared" si="34"/>
        <v>aws s3 cp s3://rtdc.mdm.uploadarchive.raw/RTDC4011/ "%USERPROFILE%\AppData\Local\Temp\OnboardLogs"\RTDC4011\2016-11-30 --exclude "*" --recursive --include "*20161130*" &amp; "%USERPROFILE%\Documents\GitHub\mrs-test-scripts\Headless Mode &amp; Sideloading\WalkAndUnGZ.bat" "%USERPROFILE%\AppData\Local\Temp\OnboardLogs"\RTDC4011\2016-11-30 &amp; aws s3 cp s3://rtdc.mdm.uploadarchive.raw/RTDC4011/ "%USERPROFILE%\AppData\Local\Temp\OnboardLogs"\RTDC4011\2016-12-01 --exclude "*" --recursive --include "*20161201*" &amp; "%USERPROFILE%\Documents\GitHub\mrs-test-scripts\Headless Mode &amp; Sideloading\WalkAndUnGZ.bat" "%USERPROFILE%\AppData\Local\Temp\OnboardLogs"\RTDC4011\2016-12-01</v>
      </c>
      <c r="AF140" s="88" t="str">
        <f t="shared" si="35"/>
        <v>"C:\Program Files (x86)\AstroGrep\AstroGrep.exe" /spath="%USERPROFILE%\AppData\Local\Temp\OnboardLogs" /stypes="app*4011*20161201*" /stext=" 04:.+((SYSTEM_STATE.+slice.+state.+changed )|(ment ac)|(multiple cpu faults)|(system.+state.+changed )|(\[timeout)|(PRM\|1\|D)|(kpr)|(kdp)|(\|lc)|(penalty))" /e /r /s</v>
      </c>
      <c r="AG140" s="1" t="str">
        <f t="shared" si="36"/>
        <v>EC</v>
      </c>
      <c r="AH140" s="92" t="str">
        <f t="shared" ref="AH140:AH202" si="46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227-30 --locoid 4011 --swversion DE.1.0.8.0 --startMP 204:438 --initTime 2016-11-30T20:25:46 --startdatetime 2016-11-30T20:30:35 --delay 1 --endMP 204:233334 --enddatetime 2016-11-30T21:06:04 --enforcementcount 0 &gt;&gt;C:\Users\stu\Documents\GitHub\eaglep3-reporting\EC\2016-11-30-refined-times.txt</v>
      </c>
      <c r="AI140" s="119" t="str">
        <f t="shared" ref="AI140:AI202" si="47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{"issue":{"subject":"","project_id":79,"tracker_id":40,"status_id":1,"priority_id":2,"assigned_to_id":23,"start_date":"2016-11-30","description":"","custom_fields":[{"id":1,"name":"Subdivision","value":"EC"},{"id":4,"name":"Milepost","value":"23.3334"},{"id":17,"name":"Train ID","value":"227-30"},{"id":16,"name":"Locomotive ID","value":"4011"},{"id":130,"name":"Impact","value":""},{"id":150,"name":"Time of Event (Mountain Time)","value":"21:06:04"},{"id":151,"name":"Denver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725</v>
      </c>
      <c r="B141" s="7">
        <v>4012</v>
      </c>
      <c r="C141" s="22" t="s">
        <v>212</v>
      </c>
      <c r="D141" s="22" t="s">
        <v>343</v>
      </c>
      <c r="E141" s="13">
        <v>42704.888043981482</v>
      </c>
      <c r="F141" s="13">
        <v>42704.89335648148</v>
      </c>
      <c r="G141" s="7">
        <v>1</v>
      </c>
      <c r="H141" s="22" t="s">
        <v>796</v>
      </c>
      <c r="I141" s="13">
        <v>42704.919236111113</v>
      </c>
      <c r="J141" s="7">
        <v>0</v>
      </c>
      <c r="K141" s="109" t="str">
        <f t="shared" ref="K141:K204" si="48">IF(ISEVEN(B141),(B141-1)&amp;"/"&amp;B141,B141&amp;"/"&amp;(B141+1))</f>
        <v>4011/4012</v>
      </c>
      <c r="L141" s="22" t="str">
        <f>VLOOKUP(A141,'Trips&amp;Operators'!$C$1:$G$99999,5,FALSE)</f>
        <v>COOLAHAN JOHN</v>
      </c>
      <c r="M141" s="6">
        <f t="shared" ref="M141:M204" si="49">I141-F141</f>
        <v>2.587962963298196E-2</v>
      </c>
      <c r="N141" s="7">
        <f t="shared" si="43"/>
        <v>37.266666671494022</v>
      </c>
      <c r="O141" s="7"/>
      <c r="P141" s="7"/>
      <c r="Q141" s="23"/>
      <c r="R141" s="23"/>
      <c r="S141" s="35">
        <f t="shared" si="44"/>
        <v>1</v>
      </c>
      <c r="T141" s="50" t="str">
        <f t="shared" ref="T141:T204" si="50">IF(ISEVEN(LEFT(AD141,4)),"Southbound","NorthBound")</f>
        <v>Southbound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ref="V141:V204" si="51"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https://search-rtdc-monitor-bjffxe2xuh6vdkpspy63sjmuny.us-east-1.es.amazonaws.com/_plugin/kibana/#/discover/Steve-Slow-Train-Analysis-(2080s-and-2083s)?_g=(refreshInterval:(display:Off,section:0,value:0),time:(from:'2016-11-30 20:18:47-700',mode:absolute,to:'2016-11-30 23:03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41" s="52" t="str">
        <f t="shared" ref="W141:W204" si="52">IF(AA141&lt;IF(AG141="EC",23,5.65),"Y","N")</f>
        <v>N</v>
      </c>
      <c r="X141" s="177">
        <f t="shared" ref="X141:X167" si="53">VALUE(LEFT(AD141,4))-VALUE(LEFT(AD140,4))</f>
        <v>1</v>
      </c>
      <c r="Y141" s="67">
        <f t="shared" ref="Y141:Y204" si="54">RIGHT(D141,LEN(D141)-4)/10000</f>
        <v>23.3017</v>
      </c>
      <c r="Z141" s="67">
        <f t="shared" ref="Z141:Z204" si="55">RIGHT(H141,LEN(H141)-4)/10000</f>
        <v>1.2999999999999999E-2</v>
      </c>
      <c r="AA141" s="67">
        <f t="shared" ref="AA141:AA204" si="56">ABS(Z141-Y141)</f>
        <v>23.288699999999999</v>
      </c>
      <c r="AB141" s="64" t="e">
        <f>VLOOKUP(A141,Enforcements!$C$7:$K$20,8,0)</f>
        <v>#N/A</v>
      </c>
      <c r="AC141" s="60" t="e">
        <f>VLOOKUP(A141,Enforcements!$C$7:$E$20,3,0)</f>
        <v>#N/A</v>
      </c>
      <c r="AD141" s="61" t="str">
        <f t="shared" ref="AD141:AD204" si="57">IF(LEN(A141)=6,"0"&amp;A141,A141)</f>
        <v>0228-30</v>
      </c>
      <c r="AE141" s="91" t="str">
        <f t="shared" ref="AE141:AE204" si="58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s3://rtdc.mdm.uploadarchive.raw/RTDC4012/ "%USERPROFILE%\AppData\Local\Temp\OnboardLogs"\RTDC4012\2016-11-30 --exclude "*" --recursive --include "*20161130*" &amp; "%USERPROFILE%\Documents\GitHub\mrs-test-scripts\Headless Mode &amp; Sideloading\WalkAndUnGZ.bat" "%USERPROFILE%\AppData\Local\Temp\OnboardLogs"\RTDC4012\2016-11-30 &amp; aws s3 cp s3://rtdc.mdm.uploadarchive.raw/RTDC4012/ "%USERPROFILE%\AppData\Local\Temp\OnboardLogs"\RTDC4012\2016-12-01 --exclude "*" --recursive --include "*20161201*" &amp; "%USERPROFILE%\Documents\GitHub\mrs-test-scripts\Headless Mode &amp; Sideloading\WalkAndUnGZ.bat" "%USERPROFILE%\AppData\Local\Temp\OnboardLogs"\RTDC4012\2016-12-01</v>
      </c>
      <c r="AF141" s="88" t="str">
        <f t="shared" ref="AF141:AF204" si="59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/stypes="app*4012*20161201*" /stext=" 05:.+((SYSTEM_STATE.+slice.+state.+changed )|(ment ac)|(multiple cpu faults)|(system.+state.+changed )|(\[timeout)|(PRM\|1\|D)|(kpr)|(kdp)|(\|lc)|(penalty))" /e /r /s</v>
      </c>
      <c r="AG141" s="1" t="str">
        <f t="shared" ref="AG141:AG204" si="60">IFERROR(IF(VALUE(LEFT(AD141,2))&lt;=2,"EC",IF(OR(VALUE(LEFT(AD141,2))=8,VALUE(LEFT(AD141,2))=18),"NW","Other")),"Other")</f>
        <v>EC</v>
      </c>
      <c r="AH141" s="92" t="str">
        <f t="shared" si="46"/>
        <v>"%USERPROFILE%\Documents\GitHub\eaglep3\Utilities\RefineRTDCRunTimes.py" --tripid 228-30 --locoid 4012 --swversion DE.1.0.8.0 --startMP 204:233017 --initTime 2016-11-30T21:18:47 --startdatetime 2016-11-30T21:26:26 --delay 1 --endMP 204:130 --enddatetime 2016-11-30T22:03:42 --enforcementcount 0 &gt;&gt;C:\Users\stu\Documents\GitHub\eaglep3-reporting\EC\2016-11-30-refined-times.txt</v>
      </c>
      <c r="AI141" s="119" t="str">
        <f t="shared" si="47"/>
        <v>echo {"issue":{"subject":"","project_id":79,"tracker_id":40,"status_id":1,"priority_id":2,"assigned_to_id":23,"start_date":"2016-11-30","description":"","custom_fields":[{"id":1,"name":"Subdivision","value":"EC"},{"id":4,"name":"Milepost","value":"0.013"},{"id":17,"name":"Train ID","value":"228-30"},{"id":16,"name":"Locomotive ID","value":"4012"},{"id":130,"name":"Impact","value":""},{"id":150,"name":"Time of Event (Mountain Time)","value":"22:03:42"},{"id":151,"name":"Denver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721</v>
      </c>
      <c r="B142" s="7">
        <v>4038</v>
      </c>
      <c r="C142" s="22" t="s">
        <v>212</v>
      </c>
      <c r="D142" s="22" t="s">
        <v>775</v>
      </c>
      <c r="E142" s="13">
        <v>42704.861724537041</v>
      </c>
      <c r="F142" s="13">
        <v>42704.875358796293</v>
      </c>
      <c r="G142" s="7">
        <v>1</v>
      </c>
      <c r="H142" s="22" t="s">
        <v>351</v>
      </c>
      <c r="I142" s="13">
        <v>42704.899652777778</v>
      </c>
      <c r="J142" s="7">
        <v>0</v>
      </c>
      <c r="K142" s="109" t="str">
        <f t="shared" si="48"/>
        <v>4037/4038</v>
      </c>
      <c r="L142" s="22" t="str">
        <f>VLOOKUP(A142,'Trips&amp;Operators'!$C$1:$G$99999,5,FALSE)</f>
        <v>STAMBAUGH JAMES</v>
      </c>
      <c r="M142" s="6">
        <f t="shared" si="49"/>
        <v>2.4293981485243421E-2</v>
      </c>
      <c r="N142" s="7">
        <f t="shared" si="43"/>
        <v>34.983333338750526</v>
      </c>
      <c r="O142" s="7"/>
      <c r="P142" s="7"/>
      <c r="Q142" s="23"/>
      <c r="R142" s="23"/>
      <c r="S142" s="35">
        <f t="shared" si="44"/>
        <v>1</v>
      </c>
      <c r="T142" s="50" t="str">
        <f t="shared" si="50"/>
        <v>NorthBound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https://search-rtdc-monitor-bjffxe2xuh6vdkpspy63sjmuny.us-east-1.es.amazonaws.com/_plugin/kibana/#/discover/Steve-Slow-Train-Analysis-(2080s-and-2083s)?_g=(refreshInterval:(display:Off,section:0,value:0),time:(from:'2016-11-30 19:40:53-700',mode:absolute,to:'2016-11-30 22:35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42" s="52" t="str">
        <f t="shared" si="52"/>
        <v>N</v>
      </c>
      <c r="X142" s="177">
        <f t="shared" si="53"/>
        <v>1</v>
      </c>
      <c r="Y142" s="67">
        <f t="shared" si="54"/>
        <v>4.7800000000000002E-2</v>
      </c>
      <c r="Z142" s="67">
        <f t="shared" si="55"/>
        <v>23.33</v>
      </c>
      <c r="AA142" s="67">
        <f t="shared" si="56"/>
        <v>23.2822</v>
      </c>
      <c r="AB142" s="64" t="e">
        <f>VLOOKUP(A142,Enforcements!$C$7:$K$20,8,0)</f>
        <v>#N/A</v>
      </c>
      <c r="AC142" s="60" t="e">
        <f>VLOOKUP(A142,Enforcements!$C$7:$E$20,3,0)</f>
        <v>#N/A</v>
      </c>
      <c r="AD142" s="61" t="str">
        <f t="shared" si="57"/>
        <v>0229-30</v>
      </c>
      <c r="AE142" s="91" t="str">
        <f t="shared" si="58"/>
        <v>aws s3 cp s3://rtdc.mdm.uploadarchive.raw/RTDC4038/ "%USERPROFILE%\AppData\Local\Temp\OnboardLogs"\RTDC4038\2016-11-30 --exclude "*" --recursive --include "*20161130*" &amp; "%USERPROFILE%\Documents\GitHub\mrs-test-scripts\Headless Mode &amp; Sideloading\WalkAndUnGZ.bat" "%USERPROFILE%\AppData\Local\Temp\OnboardLogs"\RTDC4038\2016-11-30 &amp; aws s3 cp s3://rtdc.mdm.uploadarchive.raw/RTDC4038/ "%USERPROFILE%\AppData\Local\Temp\OnboardLogs"\RTDC4038\2016-12-01 --exclude "*" --recursive --include "*20161201*" &amp; "%USERPROFILE%\Documents\GitHub\mrs-test-scripts\Headless Mode &amp; Sideloading\WalkAndUnGZ.bat" "%USERPROFILE%\AppData\Local\Temp\OnboardLogs"\RTDC4038\2016-12-01</v>
      </c>
      <c r="AF142" s="88" t="str">
        <f t="shared" si="59"/>
        <v>"C:\Program Files (x86)\AstroGrep\AstroGrep.exe" /spath="%USERPROFILE%\AppData\Local\Temp\OnboardLogs" /stypes="app*4038*20161201*" /stext=" 04:.+((SYSTEM_STATE.+slice.+state.+changed )|(ment ac)|(multiple cpu faults)|(system.+state.+changed )|(\[timeout)|(PRM\|1\|D)|(kpr)|(kdp)|(\|lc)|(penalty))" /e /r /s</v>
      </c>
      <c r="AG142" s="1" t="str">
        <f t="shared" si="60"/>
        <v>EC</v>
      </c>
      <c r="AH142" s="92" t="str">
        <f t="shared" si="46"/>
        <v>"%USERPROFILE%\Documents\GitHub\eaglep3\Utilities\RefineRTDCRunTimes.py" --tripid 229-30 --locoid 4038 --swversion DE.1.0.8.0 --startMP 204:478 --initTime 2016-11-30T20:40:53 --startdatetime 2016-11-30T21:00:31 --delay 1 --endMP 204:233300 --enddatetime 2016-11-30T21:35:30 --enforcementcount 0 &gt;&gt;C:\Users\stu\Documents\GitHub\eaglep3-reporting\EC\2016-11-30-refined-times.txt</v>
      </c>
      <c r="AI142" s="119" t="str">
        <f t="shared" si="47"/>
        <v>echo {"issue":{"subject":"","project_id":79,"tracker_id":40,"status_id":1,"priority_id":2,"assigned_to_id":23,"start_date":"2016-11-30","description":"","custom_fields":[{"id":1,"name":"Subdivision","value":"EC"},{"id":4,"name":"Milepost","value":"23.33"},{"id":17,"name":"Train ID","value":"229-30"},{"id":16,"name":"Locomotive ID","value":"4038"},{"id":130,"name":"Impact","value":""},{"id":150,"name":"Time of Event (Mountain Time)","value":"21:35:30"},{"id":151,"name":"Denver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728</v>
      </c>
      <c r="B143" s="7">
        <v>4037</v>
      </c>
      <c r="C143" s="22" t="s">
        <v>212</v>
      </c>
      <c r="D143" s="22" t="s">
        <v>805</v>
      </c>
      <c r="E143" s="13">
        <v>42704.925474537034</v>
      </c>
      <c r="F143" s="13">
        <v>42704.926238425927</v>
      </c>
      <c r="G143" s="7">
        <v>1</v>
      </c>
      <c r="H143" s="22" t="s">
        <v>340</v>
      </c>
      <c r="I143" s="13">
        <v>42704.942743055559</v>
      </c>
      <c r="J143" s="7">
        <v>0</v>
      </c>
      <c r="K143" s="109" t="str">
        <f t="shared" si="48"/>
        <v>4037/4038</v>
      </c>
      <c r="L143" s="22" t="str">
        <f>VLOOKUP(A143,'Trips&amp;Operators'!$C$1:$G$99999,5,FALSE)</f>
        <v>STAMBAUGH JAMES</v>
      </c>
      <c r="M143" s="6">
        <f t="shared" si="49"/>
        <v>1.6504629631526768E-2</v>
      </c>
      <c r="N143" s="7">
        <f>24*60*SUM($M143:$M144)</f>
        <v>43.183333338238299</v>
      </c>
      <c r="O143" s="7"/>
      <c r="P143" s="7"/>
      <c r="Q143" s="23"/>
      <c r="R143" s="23" t="s">
        <v>927</v>
      </c>
      <c r="S143" s="35">
        <f t="shared" si="44"/>
        <v>1</v>
      </c>
      <c r="T143" s="50" t="str">
        <f t="shared" si="50"/>
        <v>Southbound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https://search-rtdc-monitor-bjffxe2xuh6vdkpspy63sjmuny.us-east-1.es.amazonaws.com/_plugin/kibana/#/discover/Steve-Slow-Train-Analysis-(2080s-and-2083s)?_g=(refreshInterval:(display:Off,section:0,value:0),time:(from:'2016-11-30 21:12:41-700',mode:absolute,to:'2016-11-30 23:37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43" s="52" t="str">
        <f t="shared" si="52"/>
        <v>Y</v>
      </c>
      <c r="X143" s="177">
        <f t="shared" si="53"/>
        <v>1</v>
      </c>
      <c r="Y143" s="67">
        <f t="shared" si="54"/>
        <v>12.786099999999999</v>
      </c>
      <c r="Z143" s="67">
        <f t="shared" si="55"/>
        <v>1.52E-2</v>
      </c>
      <c r="AA143" s="67">
        <f t="shared" si="56"/>
        <v>12.770899999999999</v>
      </c>
      <c r="AB143" s="64" t="e">
        <f>VLOOKUP(A143,Enforcements!$C$7:$K$20,8,0)</f>
        <v>#N/A</v>
      </c>
      <c r="AC143" s="60" t="e">
        <f>VLOOKUP(A143,Enforcements!$C$7:$E$20,3,0)</f>
        <v>#N/A</v>
      </c>
      <c r="AD143" s="61" t="str">
        <f t="shared" si="57"/>
        <v>0230-30</v>
      </c>
      <c r="AE143" s="91" t="str">
        <f t="shared" si="58"/>
        <v>aws s3 cp s3://rtdc.mdm.uploadarchive.raw/RTDC4037/ "%USERPROFILE%\AppData\Local\Temp\OnboardLogs"\RTDC4037\2016-11-30 --exclude "*" --recursive --include "*20161130*" &amp; "%USERPROFILE%\Documents\GitHub\mrs-test-scripts\Headless Mode &amp; Sideloading\WalkAndUnGZ.bat" "%USERPROFILE%\AppData\Local\Temp\OnboardLogs"\RTDC4037\2016-11-30 &amp; aws s3 cp s3://rtdc.mdm.uploadarchive.raw/RTDC4037/ "%USERPROFILE%\AppData\Local\Temp\OnboardLogs"\RTDC4037\2016-12-01 --exclude "*" --recursive --include "*20161201*" &amp; "%USERPROFILE%\Documents\GitHub\mrs-test-scripts\Headless Mode &amp; Sideloading\WalkAndUnGZ.bat" "%USERPROFILE%\AppData\Local\Temp\OnboardLogs"\RTDC4037\2016-12-01</v>
      </c>
      <c r="AF143" s="88" t="str">
        <f t="shared" si="59"/>
        <v>"C:\Program Files (x86)\AstroGrep\AstroGrep.exe" /spath="%USERPROFILE%\AppData\Local\Temp\OnboardLogs" /stypes="app*4037*20161201*" /stext=" 05:.+((SYSTEM_STATE.+slice.+state.+changed )|(ment ac)|(multiple cpu faults)|(system.+state.+changed )|(\[timeout)|(PRM\|1\|D)|(kpr)|(kdp)|(\|lc)|(penalty))" /e /r /s</v>
      </c>
      <c r="AG143" s="1" t="str">
        <f t="shared" si="60"/>
        <v>EC</v>
      </c>
      <c r="AH143" s="92" t="str">
        <f t="shared" si="46"/>
        <v>"%USERPROFILE%\Documents\GitHub\eaglep3\Utilities\RefineRTDCRunTimes.py" --tripid 230-30 --locoid 4037 --swversion DE.1.0.8.0 --startMP 204:127861 --initTime 2016-11-30T22:12:41 --startdatetime 2016-11-30T22:13:47 --delay 1 --endMP 204:152 --enddatetime 2016-11-30T22:37:33 --enforcementcount 0 &gt;&gt;C:\Users\stu\Documents\GitHub\eaglep3-reporting\EC\2016-11-30-refined-times.txt</v>
      </c>
      <c r="AI143" s="119" t="str">
        <f t="shared" si="47"/>
        <v>echo {"issue":{"subject":"Re-init at 40th","project_id":79,"tracker_id":40,"status_id":1,"priority_id":2,"assigned_to_id":23,"start_date":"2016-11-30","description":"","custom_fields":[{"id":1,"name":"Subdivision","value":"EC"},{"id":4,"name":"Milepost","value":"0.0152"},{"id":17,"name":"Train ID","value":"230-30"},{"id":16,"name":"Locomotive ID","value":"4037"},{"id":130,"name":"Impact","value":""},{"id":150,"name":"Time of Event (Mountain Time)","value":"22:37:33"},{"id":151,"name":"Denver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728</v>
      </c>
      <c r="B144" s="7">
        <v>4037</v>
      </c>
      <c r="C144" s="22" t="s">
        <v>212</v>
      </c>
      <c r="D144" s="22" t="s">
        <v>496</v>
      </c>
      <c r="E144" s="13">
        <v>42704.910833333335</v>
      </c>
      <c r="F144" s="13">
        <v>42704.911620370367</v>
      </c>
      <c r="G144" s="7">
        <v>1</v>
      </c>
      <c r="H144" s="22" t="s">
        <v>806</v>
      </c>
      <c r="I144" s="13">
        <v>42704.925104166665</v>
      </c>
      <c r="J144" s="7">
        <v>0</v>
      </c>
      <c r="K144" s="109" t="str">
        <f t="shared" si="48"/>
        <v>4037/4038</v>
      </c>
      <c r="L144" s="22" t="str">
        <f>VLOOKUP(A144,'Trips&amp;Operators'!$C$1:$G$99999,5,FALSE)</f>
        <v>STAMBAUGH JAMES</v>
      </c>
      <c r="M144" s="6">
        <f t="shared" si="49"/>
        <v>1.3483796297805384E-2</v>
      </c>
      <c r="N144" s="7"/>
      <c r="O144" s="7"/>
      <c r="P144" s="7"/>
      <c r="Q144" s="23"/>
      <c r="R144" s="23"/>
      <c r="S144" s="35"/>
      <c r="T144" s="50" t="str">
        <f t="shared" si="50"/>
        <v>Southbound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0</v>
      </c>
      <c r="V144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https://search-rtdc-monitor-bjffxe2xuh6vdkpspy63sjmuny.us-east-1.es.amazonaws.com/_plugin/kibana/#/discover/Steve-Slow-Train-Analysis-(2080s-and-2083s)?_g=(refreshInterval:(display:Off,section:0,value:0),time:(from:'2016-11-30 20:51:36-700',mode:absolute,to:'2016-11-30 23:12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44" s="52" t="str">
        <f t="shared" si="52"/>
        <v>Y</v>
      </c>
      <c r="X144" s="177">
        <f t="shared" si="53"/>
        <v>0</v>
      </c>
      <c r="Y144" s="67">
        <f t="shared" si="54"/>
        <v>23.298100000000002</v>
      </c>
      <c r="Z144" s="67">
        <f t="shared" si="55"/>
        <v>12.7858</v>
      </c>
      <c r="AA144" s="67">
        <f t="shared" si="56"/>
        <v>10.512300000000002</v>
      </c>
      <c r="AB144" s="64" t="e">
        <f>VLOOKUP(A144,Enforcements!$C$7:$K$20,8,0)</f>
        <v>#N/A</v>
      </c>
      <c r="AC144" s="60" t="e">
        <f>VLOOKUP(A144,Enforcements!$C$7:$E$20,3,0)</f>
        <v>#N/A</v>
      </c>
      <c r="AD144" s="61" t="str">
        <f t="shared" si="57"/>
        <v>0230-30</v>
      </c>
      <c r="AE144" s="91" t="str">
        <f t="shared" si="58"/>
        <v>aws s3 cp s3://rtdc.mdm.uploadarchive.raw/RTDC4037/ "%USERPROFILE%\AppData\Local\Temp\OnboardLogs"\RTDC4037\2016-11-30 --exclude "*" --recursive --include "*20161130*" &amp; "%USERPROFILE%\Documents\GitHub\mrs-test-scripts\Headless Mode &amp; Sideloading\WalkAndUnGZ.bat" "%USERPROFILE%\AppData\Local\Temp\OnboardLogs"\RTDC4037\2016-11-30 &amp; aws s3 cp s3://rtdc.mdm.uploadarchive.raw/RTDC4037/ "%USERPROFILE%\AppData\Local\Temp\OnboardLogs"\RTDC4037\2016-12-01 --exclude "*" --recursive --include "*20161201*" &amp; "%USERPROFILE%\Documents\GitHub\mrs-test-scripts\Headless Mode &amp; Sideloading\WalkAndUnGZ.bat" "%USERPROFILE%\AppData\Local\Temp\OnboardLogs"\RTDC4037\2016-12-01</v>
      </c>
      <c r="AF144" s="88" t="str">
        <f t="shared" si="59"/>
        <v>"C:\Program Files (x86)\AstroGrep\AstroGrep.exe" /spath="%USERPROFILE%\AppData\Local\Temp\OnboardLogs" /stypes="app*4037*20161201*" /stext=" 05:.+((SYSTEM_STATE.+slice.+state.+changed )|(ment ac)|(multiple cpu faults)|(system.+state.+changed )|(\[timeout)|(PRM\|1\|D)|(kpr)|(kdp)|(\|lc)|(penalty))" /e /r /s</v>
      </c>
      <c r="AG144" s="1" t="str">
        <f t="shared" si="60"/>
        <v>EC</v>
      </c>
      <c r="AH144" s="92" t="str">
        <f t="shared" si="46"/>
        <v>"%USERPROFILE%\Documents\GitHub\eaglep3\Utilities\RefineRTDCRunTimes.py" --tripid 230-30 --locoid 4037 --swversion DE.1.0.8.0 --startMP 204:232981 --initTime 2016-11-30T21:51:36 --startdatetime 2016-11-30T21:52:44 --delay 1 --endMP 204:127858 --enddatetime 2016-11-30T22:12:09 --enforcementcount 0 &gt;&gt;C:\Users\stu\Documents\GitHub\eaglep3-reporting\EC\2016-11-30-refined-times.txt</v>
      </c>
      <c r="AI144" s="119" t="str">
        <f t="shared" si="47"/>
        <v>echo {"issue":{"subject":"","project_id":79,"tracker_id":40,"status_id":1,"priority_id":2,"assigned_to_id":23,"start_date":"2016-11-30","description":"","custom_fields":[{"id":1,"name":"Subdivision","value":"EC"},{"id":4,"name":"Milepost","value":"12.7858"},{"id":17,"name":"Train ID","value":"230-30"},{"id":16,"name":"Locomotive ID","value":"4037"},{"id":130,"name":"Impact","value":""},{"id":150,"name":"Time of Event (Mountain Time)","value":"22:12:09"},{"id":151,"name":"Denver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723</v>
      </c>
      <c r="B145" s="7">
        <v>4002</v>
      </c>
      <c r="C145" s="22" t="s">
        <v>212</v>
      </c>
      <c r="D145" s="22" t="s">
        <v>342</v>
      </c>
      <c r="E145" s="13">
        <v>42704.87835648148</v>
      </c>
      <c r="F145" s="13">
        <v>42704.896006944444</v>
      </c>
      <c r="G145" s="7">
        <v>1</v>
      </c>
      <c r="H145" s="22" t="s">
        <v>807</v>
      </c>
      <c r="I145" s="13">
        <v>42704.91337962963</v>
      </c>
      <c r="J145" s="7">
        <v>0</v>
      </c>
      <c r="K145" s="109" t="str">
        <f t="shared" si="48"/>
        <v>4001/4002</v>
      </c>
      <c r="L145" s="22" t="str">
        <f>VLOOKUP(A145,'Trips&amp;Operators'!$C$1:$G$99999,5,FALSE)</f>
        <v>YANAI IAN</v>
      </c>
      <c r="M145" s="6">
        <f t="shared" si="49"/>
        <v>1.7372685186273884E-2</v>
      </c>
      <c r="N145" s="7"/>
      <c r="O145" s="7"/>
      <c r="P145" s="7">
        <f>24*60*SUM($M145:$M145)</f>
        <v>25.016666668234393</v>
      </c>
      <c r="Q145" s="23"/>
      <c r="R145" s="23" t="s">
        <v>925</v>
      </c>
      <c r="S145" s="35">
        <f t="shared" ref="S145:S176" si="61">SUM(U145:U145)/IF(AG145="EC",12,1)</f>
        <v>1</v>
      </c>
      <c r="T145" s="50" t="str">
        <f t="shared" si="50"/>
        <v>NorthBound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https://search-rtdc-monitor-bjffxe2xuh6vdkpspy63sjmuny.us-east-1.es.amazonaws.com/_plugin/kibana/#/discover/Steve-Slow-Train-Analysis-(2080s-and-2083s)?_g=(refreshInterval:(display:Off,section:0,value:0),time:(from:'2016-11-30 20:04:50-700',mode:absolute,to:'2016-11-30 22:55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45" s="52" t="str">
        <f t="shared" si="52"/>
        <v>Y</v>
      </c>
      <c r="X145" s="177">
        <f t="shared" si="53"/>
        <v>1</v>
      </c>
      <c r="Y145" s="67">
        <f t="shared" si="54"/>
        <v>4.82E-2</v>
      </c>
      <c r="Z145" s="67">
        <f t="shared" si="55"/>
        <v>15.442600000000001</v>
      </c>
      <c r="AA145" s="67">
        <f t="shared" si="56"/>
        <v>15.394400000000001</v>
      </c>
      <c r="AB145" s="64" t="e">
        <f>VLOOKUP(A145,Enforcements!$C$7:$K$20,8,0)</f>
        <v>#N/A</v>
      </c>
      <c r="AC145" s="60" t="e">
        <f>VLOOKUP(A145,Enforcements!$C$7:$E$20,3,0)</f>
        <v>#N/A</v>
      </c>
      <c r="AD145" s="61" t="str">
        <f t="shared" si="57"/>
        <v>0231-30</v>
      </c>
      <c r="AE145" s="91" t="str">
        <f t="shared" si="58"/>
        <v>aws s3 cp s3://rtdc.mdm.uploadarchive.raw/RTDC4002/ "%USERPROFILE%\AppData\Local\Temp\OnboardLogs"\RTDC4002\2016-11-30 --exclude "*" --recursive --include "*20161130*" &amp; "%USERPROFILE%\Documents\GitHub\mrs-test-scripts\Headless Mode &amp; Sideloading\WalkAndUnGZ.bat" "%USERPROFILE%\AppData\Local\Temp\OnboardLogs"\RTDC4002\2016-11-30 &amp; aws s3 cp s3://rtdc.mdm.uploadarchive.raw/RTDC4002/ "%USERPROFILE%\AppData\Local\Temp\OnboardLogs"\RTDC4002\2016-12-01 --exclude "*" --recursive --include "*20161201*" &amp; "%USERPROFILE%\Documents\GitHub\mrs-test-scripts\Headless Mode &amp; Sideloading\WalkAndUnGZ.bat" "%USERPROFILE%\AppData\Local\Temp\OnboardLogs"\RTDC4002\2016-12-01</v>
      </c>
      <c r="AF145" s="88" t="str">
        <f t="shared" si="59"/>
        <v>"C:\Program Files (x86)\AstroGrep\AstroGrep.exe" /spath="%USERPROFILE%\AppData\Local\Temp\OnboardLogs" /stypes="app*4002*20161201*" /stext=" 04:.+((SYSTEM_STATE.+slice.+state.+changed )|(ment ac)|(multiple cpu faults)|(system.+state.+changed )|(\[timeout)|(PRM\|1\|D)|(kpr)|(kdp)|(\|lc)|(penalty))" /e /r /s</v>
      </c>
      <c r="AG145" s="1" t="str">
        <f t="shared" si="60"/>
        <v>EC</v>
      </c>
      <c r="AH145" s="92" t="str">
        <f t="shared" si="46"/>
        <v>"%USERPROFILE%\Documents\GitHub\eaglep3\Utilities\RefineRTDCRunTimes.py" --tripid 231-30 --locoid 4002 --swversion DE.1.0.8.0 --startMP 204:482 --initTime 2016-11-30T21:04:50 --startdatetime 2016-11-30T21:30:15 --delay 1 --endMP 204:154426 --enddatetime 2016-11-30T21:55:16 --enforcementcount 0 &gt;&gt;C:\Users\stu\Documents\GitHub\eaglep3-reporting\EC\2016-11-30-refined-times.txt</v>
      </c>
      <c r="AI145" s="119" t="str">
        <f t="shared" si="47"/>
        <v>echo {"issue":{"subject":"CP 61st 2N fluctuating aspects","project_id":79,"tracker_id":40,"status_id":1,"priority_id":2,"assigned_to_id":23,"start_date":"2016-11-30","description":"Starting at 21:53:26, 61st 2N seemed to fluctuate between permissive and stopping aspects","custom_fields":[{"id":1,"name":"Subdivision","value":"EC"},{"id":4,"name":"Milepost","value":"15.4426"},{"id":17,"name":"Train ID","value":"231-30"},{"id":16,"name":"Locomotive ID","value":"4002"},{"id":130,"name":"Impact","value":"Unexpected Cut-Out or Disengaged"},{"id":150,"name":"Time of Event (Mountain Time)","value":"21:55:16"},{"id":151,"name":"Denver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45" s="53" t="s">
        <v>926</v>
      </c>
      <c r="AK145" s="53" t="s">
        <v>131</v>
      </c>
      <c r="AL145" s="53" t="s">
        <v>130</v>
      </c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729</v>
      </c>
      <c r="B146" s="7">
        <v>4001</v>
      </c>
      <c r="C146" s="22" t="s">
        <v>212</v>
      </c>
      <c r="D146" s="22" t="s">
        <v>499</v>
      </c>
      <c r="E146" s="13">
        <v>42704.923148148147</v>
      </c>
      <c r="F146" s="13">
        <v>42704.934895833336</v>
      </c>
      <c r="G146" s="7">
        <v>1</v>
      </c>
      <c r="H146" s="22" t="s">
        <v>214</v>
      </c>
      <c r="I146" s="13">
        <v>42704.960370370369</v>
      </c>
      <c r="J146" s="7">
        <v>0</v>
      </c>
      <c r="K146" s="109" t="str">
        <f t="shared" si="48"/>
        <v>4001/4002</v>
      </c>
      <c r="L146" s="22" t="str">
        <f>VLOOKUP(A146,'Trips&amp;Operators'!$C$1:$G$99999,5,FALSE)</f>
        <v>YANAI IAN</v>
      </c>
      <c r="M146" s="6">
        <f t="shared" si="49"/>
        <v>2.5474537033005618E-2</v>
      </c>
      <c r="N146" s="7">
        <f t="shared" ref="N146:N177" si="62">24*60*SUM($M146:$M146)</f>
        <v>36.683333327528089</v>
      </c>
      <c r="O146" s="7"/>
      <c r="P146" s="7"/>
      <c r="Q146" s="23"/>
      <c r="R146" s="23"/>
      <c r="S146" s="35">
        <f t="shared" si="61"/>
        <v>1</v>
      </c>
      <c r="T146" s="50" t="str">
        <f t="shared" si="50"/>
        <v>Southbound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https://search-rtdc-monitor-bjffxe2xuh6vdkpspy63sjmuny.us-east-1.es.amazonaws.com/_plugin/kibana/#/discover/Steve-Slow-Train-Analysis-(2080s-and-2083s)?_g=(refreshInterval:(display:Off,section:0,value:0),time:(from:'2016-11-30 21:09:20-700',mode:absolute,to:'2016-12-01 00:02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46" s="52" t="str">
        <f t="shared" si="52"/>
        <v>N</v>
      </c>
      <c r="X146" s="177">
        <f t="shared" si="53"/>
        <v>1</v>
      </c>
      <c r="Y146" s="67">
        <f t="shared" si="54"/>
        <v>23.2974</v>
      </c>
      <c r="Z146" s="67">
        <f t="shared" si="55"/>
        <v>1.5800000000000002E-2</v>
      </c>
      <c r="AA146" s="67">
        <f t="shared" si="56"/>
        <v>23.281600000000001</v>
      </c>
      <c r="AB146" s="64" t="e">
        <f>VLOOKUP(A146,Enforcements!$C$7:$K$20,8,0)</f>
        <v>#N/A</v>
      </c>
      <c r="AC146" s="60" t="e">
        <f>VLOOKUP(A146,Enforcements!$C$7:$E$20,3,0)</f>
        <v>#N/A</v>
      </c>
      <c r="AD146" s="61" t="str">
        <f t="shared" si="57"/>
        <v>0232-30</v>
      </c>
      <c r="AE146" s="91" t="str">
        <f t="shared" si="58"/>
        <v>aws s3 cp s3://rtdc.mdm.uploadarchive.raw/RTDC4001/ "%USERPROFILE%\AppData\Local\Temp\OnboardLogs"\RTDC4001\2016-11-30 --exclude "*" --recursive --include "*20161130*" &amp; "%USERPROFILE%\Documents\GitHub\mrs-test-scripts\Headless Mode &amp; Sideloading\WalkAndUnGZ.bat" "%USERPROFILE%\AppData\Local\Temp\OnboardLogs"\RTDC4001\2016-11-30 &amp; aws s3 cp s3://rtdc.mdm.uploadarchive.raw/RTDC4001/ "%USERPROFILE%\AppData\Local\Temp\OnboardLogs"\RTDC4001\2016-12-01 --exclude "*" --recursive --include "*20161201*" &amp; "%USERPROFILE%\Documents\GitHub\mrs-test-scripts\Headless Mode &amp; Sideloading\WalkAndUnGZ.bat" "%USERPROFILE%\AppData\Local\Temp\OnboardLogs"\RTDC4001\2016-12-01</v>
      </c>
      <c r="AF146" s="88" t="str">
        <f t="shared" si="59"/>
        <v>"C:\Program Files (x86)\AstroGrep\AstroGrep.exe" /spath="%USERPROFILE%\AppData\Local\Temp\OnboardLogs" /stypes="app*4001*20161201*" /stext=" 06:.+((SYSTEM_STATE.+slice.+state.+changed )|(ment ac)|(multiple cpu faults)|(system.+state.+changed )|(\[timeout)|(PRM\|1\|D)|(kpr)|(kdp)|(\|lc)|(penalty))" /e /r /s</v>
      </c>
      <c r="AG146" s="1" t="str">
        <f t="shared" si="60"/>
        <v>EC</v>
      </c>
      <c r="AH146" s="92" t="str">
        <f t="shared" si="46"/>
        <v>"%USERPROFILE%\Documents\GitHub\eaglep3\Utilities\RefineRTDCRunTimes.py" --tripid 232-30 --locoid 4001 --swversion DE.1.0.8.0 --startMP 204:232974 --initTime 2016-11-30T22:09:20 --startdatetime 2016-11-30T22:26:15 --delay 1 --endMP 204:158 --enddatetime 2016-11-30T23:02:56 --enforcementcount 0 &gt;&gt;C:\Users\stu\Documents\GitHub\eaglep3-reporting\EC\2016-11-30-refined-times.txt</v>
      </c>
      <c r="AI146" s="119" t="str">
        <f t="shared" si="47"/>
        <v>echo {"issue":{"subject":"","project_id":79,"tracker_id":40,"status_id":1,"priority_id":2,"assigned_to_id":23,"start_date":"2016-11-30","description":"","custom_fields":[{"id":1,"name":"Subdivision","value":"EC"},{"id":4,"name":"Milepost","value":"0.0158"},{"id":17,"name":"Train ID","value":"232-30"},{"id":16,"name":"Locomotive ID","value":"4001"},{"id":130,"name":"Impact","value":""},{"id":150,"name":"Time of Event (Mountain Time)","value":"23:02:56"},{"id":151,"name":"Denver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727</v>
      </c>
      <c r="B147" s="7">
        <v>4022</v>
      </c>
      <c r="C147" s="22" t="s">
        <v>212</v>
      </c>
      <c r="D147" s="22" t="s">
        <v>249</v>
      </c>
      <c r="E147" s="13">
        <v>42704.910439814812</v>
      </c>
      <c r="F147" s="13">
        <v>42704.91684027778</v>
      </c>
      <c r="G147" s="7">
        <v>1</v>
      </c>
      <c r="H147" s="22" t="s">
        <v>789</v>
      </c>
      <c r="I147" s="13">
        <v>42704.941620370373</v>
      </c>
      <c r="J147" s="7">
        <v>0</v>
      </c>
      <c r="K147" s="109" t="str">
        <f t="shared" si="48"/>
        <v>4021/4022</v>
      </c>
      <c r="L147" s="22" t="str">
        <f>VLOOKUP(A147,'Trips&amp;Operators'!$C$1:$G$99999,5,FALSE)</f>
        <v>LEVIN SCOTT</v>
      </c>
      <c r="M147" s="6">
        <f t="shared" si="49"/>
        <v>2.4780092593573499E-2</v>
      </c>
      <c r="N147" s="7">
        <f t="shared" si="62"/>
        <v>35.683333334745839</v>
      </c>
      <c r="O147" s="7"/>
      <c r="P147" s="7"/>
      <c r="Q147" s="23"/>
      <c r="R147" s="23"/>
      <c r="S147" s="35">
        <f t="shared" si="61"/>
        <v>1</v>
      </c>
      <c r="T147" s="50" t="str">
        <f t="shared" si="50"/>
        <v>NorthBound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https://search-rtdc-monitor-bjffxe2xuh6vdkpspy63sjmuny.us-east-1.es.amazonaws.com/_plugin/kibana/#/discover/Steve-Slow-Train-Analysis-(2080s-and-2083s)?_g=(refreshInterval:(display:Off,section:0,value:0),time:(from:'2016-11-30 20:51:02-700',mode:absolute,to:'2016-11-30 23:35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47" s="52" t="str">
        <f t="shared" si="52"/>
        <v>N</v>
      </c>
      <c r="X147" s="177">
        <f t="shared" si="53"/>
        <v>1</v>
      </c>
      <c r="Y147" s="67">
        <f t="shared" si="54"/>
        <v>4.4200000000000003E-2</v>
      </c>
      <c r="Z147" s="67">
        <f t="shared" si="55"/>
        <v>23.333400000000001</v>
      </c>
      <c r="AA147" s="67">
        <f t="shared" si="56"/>
        <v>23.289200000000001</v>
      </c>
      <c r="AB147" s="64" t="e">
        <f>VLOOKUP(A147,Enforcements!$C$7:$K$20,8,0)</f>
        <v>#N/A</v>
      </c>
      <c r="AC147" s="60" t="e">
        <f>VLOOKUP(A147,Enforcements!$C$7:$E$20,3,0)</f>
        <v>#N/A</v>
      </c>
      <c r="AD147" s="61" t="str">
        <f t="shared" si="57"/>
        <v>0233-30</v>
      </c>
      <c r="AE147" s="91" t="str">
        <f t="shared" si="58"/>
        <v>aws s3 cp s3://rtdc.mdm.uploadarchive.raw/RTDC4022/ "%USERPROFILE%\AppData\Local\Temp\OnboardLogs"\RTDC4022\2016-11-30 --exclude "*" --recursive --include "*20161130*" &amp; "%USERPROFILE%\Documents\GitHub\mrs-test-scripts\Headless Mode &amp; Sideloading\WalkAndUnGZ.bat" "%USERPROFILE%\AppData\Local\Temp\OnboardLogs"\RTDC4022\2016-11-30 &amp; aws s3 cp s3://rtdc.mdm.uploadarchive.raw/RTDC4022/ "%USERPROFILE%\AppData\Local\Temp\OnboardLogs"\RTDC4022\2016-12-01 --exclude "*" --recursive --include "*20161201*" &amp; "%USERPROFILE%\Documents\GitHub\mrs-test-scripts\Headless Mode &amp; Sideloading\WalkAndUnGZ.bat" "%USERPROFILE%\AppData\Local\Temp\OnboardLogs"\RTDC4022\2016-12-01</v>
      </c>
      <c r="AF147" s="88" t="str">
        <f t="shared" si="59"/>
        <v>"C:\Program Files (x86)\AstroGrep\AstroGrep.exe" /spath="%USERPROFILE%\AppData\Local\Temp\OnboardLogs" /stypes="app*4022*20161201*" /stext=" 05:.+((SYSTEM_STATE.+slice.+state.+changed )|(ment ac)|(multiple cpu faults)|(system.+state.+changed )|(\[timeout)|(PRM\|1\|D)|(kpr)|(kdp)|(\|lc)|(penalty))" /e /r /s</v>
      </c>
      <c r="AG147" s="1" t="str">
        <f t="shared" si="60"/>
        <v>EC</v>
      </c>
      <c r="AH147" s="92" t="str">
        <f t="shared" si="46"/>
        <v>"%USERPROFILE%\Documents\GitHub\eaglep3\Utilities\RefineRTDCRunTimes.py" --tripid 233-30 --locoid 4022 --swversion DE.1.0.8.0 --startMP 204:442 --initTime 2016-11-30T21:51:02 --startdatetime 2016-11-30T22:00:15 --delay 1 --endMP 204:233334 --enddatetime 2016-11-30T22:35:56 --enforcementcount 0 &gt;&gt;C:\Users\stu\Documents\GitHub\eaglep3-reporting\EC\2016-11-30-refined-times.txt</v>
      </c>
      <c r="AI147" s="119" t="str">
        <f t="shared" si="47"/>
        <v>echo {"issue":{"subject":"","project_id":79,"tracker_id":40,"status_id":1,"priority_id":2,"assigned_to_id":23,"start_date":"2016-11-30","description":"","custom_fields":[{"id":1,"name":"Subdivision","value":"EC"},{"id":4,"name":"Milepost","value":"23.3334"},{"id":17,"name":"Train ID","value":"233-30"},{"id":16,"name":"Locomotive ID","value":"4022"},{"id":130,"name":"Impact","value":""},{"id":150,"name":"Time of Event (Mountain Time)","value":"22:35:56"},{"id":151,"name":"Denver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x14ac:dyDescent="0.25">
      <c r="A148" s="37" t="s">
        <v>733</v>
      </c>
      <c r="B148" s="7">
        <v>4021</v>
      </c>
      <c r="C148" s="22" t="s">
        <v>212</v>
      </c>
      <c r="D148" s="22" t="s">
        <v>339</v>
      </c>
      <c r="E148" s="13">
        <v>42704.950624999998</v>
      </c>
      <c r="F148" s="13">
        <v>42704.955810185187</v>
      </c>
      <c r="G148" s="7">
        <v>1</v>
      </c>
      <c r="H148" s="22" t="s">
        <v>507</v>
      </c>
      <c r="I148" s="13">
        <v>42704.981620370374</v>
      </c>
      <c r="J148" s="7">
        <v>0</v>
      </c>
      <c r="K148" s="109" t="str">
        <f t="shared" si="48"/>
        <v>4021/4022</v>
      </c>
      <c r="L148" s="22" t="str">
        <f>VLOOKUP(A148,'Trips&amp;Operators'!$C$1:$G$99999,5,FALSE)</f>
        <v>LEVIN SCOTT</v>
      </c>
      <c r="M148" s="6">
        <f t="shared" si="49"/>
        <v>2.5810185186855961E-2</v>
      </c>
      <c r="N148" s="7">
        <f t="shared" si="62"/>
        <v>37.166666669072583</v>
      </c>
      <c r="O148" s="7"/>
      <c r="P148" s="7"/>
      <c r="Q148" s="23"/>
      <c r="R148" s="23"/>
      <c r="S148" s="35">
        <f t="shared" si="61"/>
        <v>1</v>
      </c>
      <c r="T148" s="50" t="str">
        <f t="shared" si="50"/>
        <v>Southbound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https://search-rtdc-monitor-bjffxe2xuh6vdkpspy63sjmuny.us-east-1.es.amazonaws.com/_plugin/kibana/#/discover/Steve-Slow-Train-Analysis-(2080s-and-2083s)?_g=(refreshInterval:(display:Off,section:0,value:0),time:(from:'2016-11-30 21:48:54-700',mode:absolute,to:'2016-12-01 00:33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48" s="52" t="str">
        <f t="shared" si="52"/>
        <v>N</v>
      </c>
      <c r="X148" s="177">
        <f t="shared" si="53"/>
        <v>1</v>
      </c>
      <c r="Y148" s="67">
        <f t="shared" si="54"/>
        <v>23.301300000000001</v>
      </c>
      <c r="Z148" s="67">
        <f t="shared" si="55"/>
        <v>1.29E-2</v>
      </c>
      <c r="AA148" s="67">
        <f t="shared" si="56"/>
        <v>23.288400000000003</v>
      </c>
      <c r="AB148" s="64" t="e">
        <f>VLOOKUP(A148,Enforcements!$C$7:$K$20,8,0)</f>
        <v>#N/A</v>
      </c>
      <c r="AC148" s="60" t="e">
        <f>VLOOKUP(A148,Enforcements!$C$7:$E$20,3,0)</f>
        <v>#N/A</v>
      </c>
      <c r="AD148" s="61" t="str">
        <f t="shared" si="57"/>
        <v>0234-30</v>
      </c>
      <c r="AE148" s="91" t="str">
        <f t="shared" si="58"/>
        <v>aws s3 cp s3://rtdc.mdm.uploadarchive.raw/RTDC4021/ "%USERPROFILE%\AppData\Local\Temp\OnboardLogs"\RTDC4021\2016-11-30 --exclude "*" --recursive --include "*20161130*" &amp; "%USERPROFILE%\Documents\GitHub\mrs-test-scripts\Headless Mode &amp; Sideloading\WalkAndUnGZ.bat" "%USERPROFILE%\AppData\Local\Temp\OnboardLogs"\RTDC4021\2016-11-30 &amp; aws s3 cp s3://rtdc.mdm.uploadarchive.raw/RTDC4021/ "%USERPROFILE%\AppData\Local\Temp\OnboardLogs"\RTDC4021\2016-12-01 --exclude "*" --recursive --include "*20161201*" &amp; "%USERPROFILE%\Documents\GitHub\mrs-test-scripts\Headless Mode &amp; Sideloading\WalkAndUnGZ.bat" "%USERPROFILE%\AppData\Local\Temp\OnboardLogs"\RTDC4021\2016-12-01</v>
      </c>
      <c r="AF148" s="88" t="str">
        <f t="shared" si="59"/>
        <v>"C:\Program Files (x86)\AstroGrep\AstroGrep.exe" /spath="%USERPROFILE%\AppData\Local\Temp\OnboardLogs" /stypes="app*4021*20161201*" /stext=" 06:.+((SYSTEM_STATE.+slice.+state.+changed )|(ment ac)|(multiple cpu faults)|(system.+state.+changed )|(\[timeout)|(PRM\|1\|D)|(kpr)|(kdp)|(\|lc)|(penalty))" /e /r /s</v>
      </c>
      <c r="AG148" s="1" t="str">
        <f t="shared" si="60"/>
        <v>EC</v>
      </c>
      <c r="AH148" s="92" t="str">
        <f t="shared" si="46"/>
        <v>"%USERPROFILE%\Documents\GitHub\eaglep3\Utilities\RefineRTDCRunTimes.py" --tripid 234-30 --locoid 4021 --swversion DE.1.0.8.0 --startMP 204:233013 --initTime 2016-11-30T22:48:54 --startdatetime 2016-11-30T22:56:22 --delay 1 --endMP 204:129 --enddatetime 2016-11-30T23:33:32 --enforcementcount 0 &gt;&gt;C:\Users\stu\Documents\GitHub\eaglep3-reporting\EC\2016-11-30-refined-times.txt</v>
      </c>
      <c r="AI148" s="119" t="str">
        <f t="shared" si="47"/>
        <v>echo {"issue":{"subject":"","project_id":79,"tracker_id":40,"status_id":1,"priority_id":2,"assigned_to_id":23,"start_date":"2016-11-30","description":"","custom_fields":[{"id":1,"name":"Subdivision","value":"EC"},{"id":4,"name":"Milepost","value":"0.0129"},{"id":17,"name":"Train ID","value":"234-30"},{"id":16,"name":"Locomotive ID","value":"4021"},{"id":130,"name":"Impact","value":""},{"id":150,"name":"Time of Event (Mountain Time)","value":"23:33:32"},{"id":151,"name":"Denver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</row>
    <row r="149" spans="1:91" s="21" customFormat="1" x14ac:dyDescent="0.25">
      <c r="A149" s="37" t="s">
        <v>731</v>
      </c>
      <c r="B149" s="7">
        <v>4011</v>
      </c>
      <c r="C149" s="22" t="s">
        <v>212</v>
      </c>
      <c r="D149" s="22" t="s">
        <v>778</v>
      </c>
      <c r="E149" s="13">
        <v>42704.93513888889</v>
      </c>
      <c r="F149" s="13">
        <v>42704.938032407408</v>
      </c>
      <c r="G149" s="7">
        <v>2</v>
      </c>
      <c r="H149" s="22" t="s">
        <v>789</v>
      </c>
      <c r="I149" s="13">
        <v>42704.961886574078</v>
      </c>
      <c r="J149" s="7">
        <v>0</v>
      </c>
      <c r="K149" s="109" t="str">
        <f t="shared" si="48"/>
        <v>4011/4012</v>
      </c>
      <c r="L149" s="22" t="str">
        <f>VLOOKUP(A149,'Trips&amp;Operators'!$C$1:$G$99999,5,FALSE)</f>
        <v>COOLAHAN JOHN</v>
      </c>
      <c r="M149" s="6">
        <f t="shared" si="49"/>
        <v>2.3854166669480037E-2</v>
      </c>
      <c r="N149" s="7">
        <f t="shared" si="62"/>
        <v>34.350000004051253</v>
      </c>
      <c r="O149" s="7"/>
      <c r="P149" s="7"/>
      <c r="Q149" s="23"/>
      <c r="R149" s="23"/>
      <c r="S149" s="35">
        <f t="shared" si="61"/>
        <v>1</v>
      </c>
      <c r="T149" s="50" t="str">
        <f t="shared" si="50"/>
        <v>NorthBound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https://search-rtdc-monitor-bjffxe2xuh6vdkpspy63sjmuny.us-east-1.es.amazonaws.com/_plugin/kibana/#/discover/Steve-Slow-Train-Analysis-(2080s-and-2083s)?_g=(refreshInterval:(display:Off,section:0,value:0),time:(from:'2016-11-30 21:26:36-700',mode:absolute,to:'2016-12-01 00:05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49" s="52" t="str">
        <f t="shared" si="52"/>
        <v>N</v>
      </c>
      <c r="X149" s="177">
        <f t="shared" si="53"/>
        <v>1</v>
      </c>
      <c r="Y149" s="67">
        <f t="shared" si="54"/>
        <v>4.4400000000000002E-2</v>
      </c>
      <c r="Z149" s="67">
        <f t="shared" si="55"/>
        <v>23.333400000000001</v>
      </c>
      <c r="AA149" s="67">
        <f t="shared" si="56"/>
        <v>23.289000000000001</v>
      </c>
      <c r="AB149" s="64" t="e">
        <f>VLOOKUP(A149,Enforcements!$C$7:$K$20,8,0)</f>
        <v>#N/A</v>
      </c>
      <c r="AC149" s="60" t="e">
        <f>VLOOKUP(A149,Enforcements!$C$7:$E$20,3,0)</f>
        <v>#N/A</v>
      </c>
      <c r="AD149" s="61" t="str">
        <f t="shared" si="57"/>
        <v>0235-30</v>
      </c>
      <c r="AE149" s="91" t="str">
        <f t="shared" si="58"/>
        <v>aws s3 cp s3://rtdc.mdm.uploadarchive.raw/RTDC4011/ "%USERPROFILE%\AppData\Local\Temp\OnboardLogs"\RTDC4011\2016-11-30 --exclude "*" --recursive --include "*20161130*" &amp; "%USERPROFILE%\Documents\GitHub\mrs-test-scripts\Headless Mode &amp; Sideloading\WalkAndUnGZ.bat" "%USERPROFILE%\AppData\Local\Temp\OnboardLogs"\RTDC4011\2016-11-30 &amp; aws s3 cp s3://rtdc.mdm.uploadarchive.raw/RTDC4011/ "%USERPROFILE%\AppData\Local\Temp\OnboardLogs"\RTDC4011\2016-12-01 --exclude "*" --recursive --include "*20161201*" &amp; "%USERPROFILE%\Documents\GitHub\mrs-test-scripts\Headless Mode &amp; Sideloading\WalkAndUnGZ.bat" "%USERPROFILE%\AppData\Local\Temp\OnboardLogs"\RTDC4011\2016-12-01</v>
      </c>
      <c r="AF149" s="88" t="str">
        <f t="shared" si="59"/>
        <v>"C:\Program Files (x86)\AstroGrep\AstroGrep.exe" /spath="%USERPROFILE%\AppData\Local\Temp\OnboardLogs" /stypes="app*4011*20161201*" /stext=" 06:.+((SYSTEM_STATE.+slice.+state.+changed )|(ment ac)|(multiple cpu faults)|(system.+state.+changed )|(\[timeout)|(PRM\|1\|D)|(kpr)|(kdp)|(\|lc)|(penalty))" /e /r /s</v>
      </c>
      <c r="AG149" s="1" t="str">
        <f t="shared" si="60"/>
        <v>EC</v>
      </c>
      <c r="AH149" s="92" t="str">
        <f t="shared" si="46"/>
        <v>"%USERPROFILE%\Documents\GitHub\eaglep3\Utilities\RefineRTDCRunTimes.py" --tripid 235-30 --locoid 4011 --swversion DE.1.0.8.0 --startMP 204:444 --initTime 2016-11-30T22:26:36 --startdatetime 2016-11-30T22:30:46 --delay 2 --endMP 204:233334 --enddatetime 2016-11-30T23:05:07 --enforcementcount 0 &gt;&gt;C:\Users\stu\Documents\GitHub\eaglep3-reporting\EC\2016-11-30-refined-times.txt</v>
      </c>
      <c r="AI149" s="119" t="str">
        <f t="shared" si="47"/>
        <v>echo {"issue":{"subject":"","project_id":79,"tracker_id":40,"status_id":1,"priority_id":2,"assigned_to_id":23,"start_date":"2016-11-30","description":"","custom_fields":[{"id":1,"name":"Subdivision","value":"EC"},{"id":4,"name":"Milepost","value":"23.3334"},{"id":17,"name":"Train ID","value":"235-30"},{"id":16,"name":"Locomotive ID","value":"4011"},{"id":130,"name":"Impact","value":""},{"id":150,"name":"Time of Event (Mountain Time)","value":"23:05:07"},{"id":151,"name":"Denver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x14ac:dyDescent="0.25">
      <c r="A150" s="37" t="s">
        <v>735</v>
      </c>
      <c r="B150" s="7">
        <v>4012</v>
      </c>
      <c r="C150" s="22" t="s">
        <v>212</v>
      </c>
      <c r="D150" s="22" t="s">
        <v>808</v>
      </c>
      <c r="E150" s="13">
        <v>42704.971377314818</v>
      </c>
      <c r="F150" s="13">
        <v>42704.976712962962</v>
      </c>
      <c r="G150" s="7">
        <v>1</v>
      </c>
      <c r="H150" s="22" t="s">
        <v>309</v>
      </c>
      <c r="I150" s="13">
        <v>42705.002511574072</v>
      </c>
      <c r="J150" s="7">
        <v>0</v>
      </c>
      <c r="K150" s="109" t="str">
        <f t="shared" si="48"/>
        <v>4011/4012</v>
      </c>
      <c r="L150" s="22" t="str">
        <f>VLOOKUP(A150,'Trips&amp;Operators'!$C$1:$G$99999,5,FALSE)</f>
        <v>COOLAHAN JOHN</v>
      </c>
      <c r="M150" s="6">
        <f t="shared" si="49"/>
        <v>2.5798611110076308E-2</v>
      </c>
      <c r="N150" s="7">
        <f t="shared" si="62"/>
        <v>37.149999998509884</v>
      </c>
      <c r="O150" s="7"/>
      <c r="P150" s="7"/>
      <c r="Q150" s="23"/>
      <c r="R150" s="23"/>
      <c r="S150" s="35">
        <f t="shared" si="61"/>
        <v>1</v>
      </c>
      <c r="T150" s="50" t="str">
        <f t="shared" si="50"/>
        <v>Southbound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https://search-rtdc-monitor-bjffxe2xuh6vdkpspy63sjmuny.us-east-1.es.amazonaws.com/_plugin/kibana/#/discover/Steve-Slow-Train-Analysis-(2080s-and-2083s)?_g=(refreshInterval:(display:Off,section:0,value:0),time:(from:'2016-11-30 22:18:47-700',mode:absolute,to:'2016-12-01 01:03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50" s="52" t="str">
        <f t="shared" si="52"/>
        <v>N</v>
      </c>
      <c r="X150" s="177">
        <f t="shared" si="53"/>
        <v>1</v>
      </c>
      <c r="Y150" s="67">
        <f t="shared" si="54"/>
        <v>23.302700000000002</v>
      </c>
      <c r="Z150" s="67">
        <f t="shared" si="55"/>
        <v>1.38E-2</v>
      </c>
      <c r="AA150" s="67">
        <f t="shared" si="56"/>
        <v>23.288900000000002</v>
      </c>
      <c r="AB150" s="64" t="e">
        <f>VLOOKUP(A150,Enforcements!$C$7:$K$20,8,0)</f>
        <v>#N/A</v>
      </c>
      <c r="AC150" s="60" t="e">
        <f>VLOOKUP(A150,Enforcements!$C$7:$E$20,3,0)</f>
        <v>#N/A</v>
      </c>
      <c r="AD150" s="61" t="str">
        <f t="shared" si="57"/>
        <v>0236-30</v>
      </c>
      <c r="AE150" s="91" t="str">
        <f t="shared" si="58"/>
        <v>aws s3 cp s3://rtdc.mdm.uploadarchive.raw/RTDC4012/ "%USERPROFILE%\AppData\Local\Temp\OnboardLogs"\RTDC4012\2016-11-30 --exclude "*" --recursive --include "*20161130*" &amp; "%USERPROFILE%\Documents\GitHub\mrs-test-scripts\Headless Mode &amp; Sideloading\WalkAndUnGZ.bat" "%USERPROFILE%\AppData\Local\Temp\OnboardLogs"\RTDC4012\2016-11-30 &amp; aws s3 cp s3://rtdc.mdm.uploadarchive.raw/RTDC4012/ "%USERPROFILE%\AppData\Local\Temp\OnboardLogs"\RTDC4012\2016-12-01 --exclude "*" --recursive --include "*20161201*" &amp; "%USERPROFILE%\Documents\GitHub\mrs-test-scripts\Headless Mode &amp; Sideloading\WalkAndUnGZ.bat" "%USERPROFILE%\AppData\Local\Temp\OnboardLogs"\RTDC4012\2016-12-01</v>
      </c>
      <c r="AF150" s="88" t="str">
        <f t="shared" si="59"/>
        <v>"C:\Program Files (x86)\AstroGrep\AstroGrep.exe" /spath="%USERPROFILE%\AppData\Local\Temp\OnboardLogs" /stypes="app*4012*20161201*" /stext=" 07:.+((SYSTEM_STATE.+slice.+state.+changed )|(ment ac)|(multiple cpu faults)|(system.+state.+changed )|(\[timeout)|(PRM\|1\|D)|(kpr)|(kdp)|(\|lc)|(penalty))" /e /r /s</v>
      </c>
      <c r="AG150" s="1" t="str">
        <f t="shared" si="60"/>
        <v>EC</v>
      </c>
      <c r="AH150" s="92" t="str">
        <f t="shared" si="46"/>
        <v>"%USERPROFILE%\Documents\GitHub\eaglep3\Utilities\RefineRTDCRunTimes.py" --tripid 236-30 --locoid 4012 --swversion DE.1.0.8.0 --startMP 204:233027 --initTime 2016-11-30T23:18:47 --startdatetime 2016-11-30T23:26:28 --delay 1 --endMP 204:138 --enddatetime 2016-12-01T00:03:37 --enforcementcount 0 &gt;&gt;C:\Users\stu\Documents\GitHub\eaglep3-reporting\EC\2016-11-30-refined-times.txt</v>
      </c>
      <c r="AI150" s="119" t="str">
        <f t="shared" si="47"/>
        <v>echo {"issue":{"subject":"","project_id":79,"tracker_id":40,"status_id":1,"priority_id":2,"assigned_to_id":23,"start_date":"2016-12-01","description":"","custom_fields":[{"id":1,"name":"Subdivision","value":"EC"},{"id":4,"name":"Milepost","value":"0.0138"},{"id":17,"name":"Train ID","value":"236-30"},{"id":16,"name":"Locomotive ID","value":"4012"},{"id":130,"name":"Impact","value":""},{"id":150,"name":"Time of Event (Mountain Time)","value":"00:03:37"},{"id":151,"name":"Denver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</row>
    <row r="151" spans="1:91" x14ac:dyDescent="0.25">
      <c r="A151" s="37" t="s">
        <v>547</v>
      </c>
      <c r="B151" s="7">
        <v>4038</v>
      </c>
      <c r="C151" s="22" t="s">
        <v>212</v>
      </c>
      <c r="D151" s="22" t="s">
        <v>247</v>
      </c>
      <c r="E151" s="13">
        <v>42704.951296296298</v>
      </c>
      <c r="F151" s="13">
        <v>42704.958854166667</v>
      </c>
      <c r="G151" s="7">
        <v>1</v>
      </c>
      <c r="H151" s="22" t="s">
        <v>809</v>
      </c>
      <c r="I151" s="13">
        <v>42704.983020833337</v>
      </c>
      <c r="J151" s="7">
        <v>0</v>
      </c>
      <c r="K151" s="109" t="str">
        <f t="shared" si="48"/>
        <v>4037/4038</v>
      </c>
      <c r="L151" s="22" t="str">
        <f>VLOOKUP(A151,'Trips&amp;Operators'!$C$1:$G$99999,5,FALSE)</f>
        <v>STAMBAUGH JAMES</v>
      </c>
      <c r="M151" s="6">
        <f t="shared" si="49"/>
        <v>2.4166666669771075E-2</v>
      </c>
      <c r="N151" s="7">
        <f t="shared" si="62"/>
        <v>34.800000004470348</v>
      </c>
      <c r="O151" s="7"/>
      <c r="P151" s="7"/>
      <c r="Q151" s="23"/>
      <c r="R151" s="23"/>
      <c r="S151" s="35">
        <f t="shared" si="61"/>
        <v>1</v>
      </c>
      <c r="T151" s="50" t="str">
        <f t="shared" si="50"/>
        <v>NorthBound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https://search-rtdc-monitor-bjffxe2xuh6vdkpspy63sjmuny.us-east-1.es.amazonaws.com/_plugin/kibana/#/discover/Steve-Slow-Train-Analysis-(2080s-and-2083s)?_g=(refreshInterval:(display:Off,section:0,value:0),time:(from:'2016-11-30 21:49:52-700',mode:absolute,to:'2016-12-01 00:35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51" s="52" t="str">
        <f t="shared" si="52"/>
        <v>N</v>
      </c>
      <c r="X151" s="177">
        <f t="shared" si="53"/>
        <v>1</v>
      </c>
      <c r="Y151" s="67">
        <f t="shared" si="54"/>
        <v>4.5499999999999999E-2</v>
      </c>
      <c r="Z151" s="67">
        <f t="shared" si="55"/>
        <v>23.306799999999999</v>
      </c>
      <c r="AA151" s="67">
        <f t="shared" si="56"/>
        <v>23.261299999999999</v>
      </c>
      <c r="AB151" s="64" t="e">
        <f>VLOOKUP(A151,Enforcements!$C$7:$K$20,8,0)</f>
        <v>#N/A</v>
      </c>
      <c r="AC151" s="60" t="e">
        <f>VLOOKUP(A151,Enforcements!$C$7:$E$20,3,0)</f>
        <v>#N/A</v>
      </c>
      <c r="AD151" s="61" t="str">
        <f t="shared" si="57"/>
        <v>0237-30</v>
      </c>
      <c r="AE151" s="91" t="str">
        <f t="shared" si="58"/>
        <v>aws s3 cp s3://rtdc.mdm.uploadarchive.raw/RTDC4038/ "%USERPROFILE%\AppData\Local\Temp\OnboardLogs"\RTDC4038\2016-11-30 --exclude "*" --recursive --include "*20161130*" &amp; "%USERPROFILE%\Documents\GitHub\mrs-test-scripts\Headless Mode &amp; Sideloading\WalkAndUnGZ.bat" "%USERPROFILE%\AppData\Local\Temp\OnboardLogs"\RTDC4038\2016-11-30 &amp; aws s3 cp s3://rtdc.mdm.uploadarchive.raw/RTDC4038/ "%USERPROFILE%\AppData\Local\Temp\OnboardLogs"\RTDC4038\2016-12-01 --exclude "*" --recursive --include "*20161201*" &amp; "%USERPROFILE%\Documents\GitHub\mrs-test-scripts\Headless Mode &amp; Sideloading\WalkAndUnGZ.bat" "%USERPROFILE%\AppData\Local\Temp\OnboardLogs"\RTDC4038\2016-12-01</v>
      </c>
      <c r="AF151" s="88" t="str">
        <f t="shared" si="59"/>
        <v>"C:\Program Files (x86)\AstroGrep\AstroGrep.exe" /spath="%USERPROFILE%\AppData\Local\Temp\OnboardLogs" /stypes="app*4038*20161201*" /stext=" 06:.+((SYSTEM_STATE.+slice.+state.+changed )|(ment ac)|(multiple cpu faults)|(system.+state.+changed )|(\[timeout)|(PRM\|1\|D)|(kpr)|(kdp)|(\|lc)|(penalty))" /e /r /s</v>
      </c>
      <c r="AG151" s="1" t="str">
        <f t="shared" si="60"/>
        <v>EC</v>
      </c>
      <c r="AH151" s="92" t="str">
        <f t="shared" si="46"/>
        <v>"%USERPROFILE%\Documents\GitHub\eaglep3\Utilities\RefineRTDCRunTimes.py" --tripid 237-30 --locoid 4038 --swversion DE.1.0.8.0 --startMP 204:455 --initTime 2016-11-30T22:49:52 --startdatetime 2016-11-30T23:00:45 --delay 1 --endMP 204:233068 --enddatetime 2016-11-30T23:35:33 --enforcementcount 0 &gt;&gt;C:\Users\stu\Documents\GitHub\eaglep3-reporting\EC\2016-11-30-refined-times.txt</v>
      </c>
      <c r="AI151" s="119" t="str">
        <f t="shared" si="47"/>
        <v>echo {"issue":{"subject":"","project_id":79,"tracker_id":40,"status_id":1,"priority_id":2,"assigned_to_id":23,"start_date":"2016-11-30","description":"","custom_fields":[{"id":1,"name":"Subdivision","value":"EC"},{"id":4,"name":"Milepost","value":"23.3068"},{"id":17,"name":"Train ID","value":"237-30"},{"id":16,"name":"Locomotive ID","value":"4038"},{"id":130,"name":"Impact","value":""},{"id":150,"name":"Time of Event (Mountain Time)","value":"23:35:33"},{"id":151,"name":"Denver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</row>
    <row r="152" spans="1:91" s="21" customFormat="1" x14ac:dyDescent="0.25">
      <c r="A152" s="37" t="s">
        <v>736</v>
      </c>
      <c r="B152" s="7">
        <v>4037</v>
      </c>
      <c r="C152" s="22" t="s">
        <v>212</v>
      </c>
      <c r="D152" s="22" t="s">
        <v>810</v>
      </c>
      <c r="E152" s="13">
        <v>42704.994062500002</v>
      </c>
      <c r="F152" s="13">
        <v>42704.99763888889</v>
      </c>
      <c r="G152" s="7">
        <v>1</v>
      </c>
      <c r="H152" s="22" t="s">
        <v>781</v>
      </c>
      <c r="I152" s="13">
        <v>42705.023275462961</v>
      </c>
      <c r="J152" s="7">
        <v>0</v>
      </c>
      <c r="K152" s="109" t="str">
        <f t="shared" si="48"/>
        <v>4037/4038</v>
      </c>
      <c r="L152" s="22" t="str">
        <f>VLOOKUP(A152,'Trips&amp;Operators'!$C$1:$G$99999,5,FALSE)</f>
        <v>STAMBAUGH JAMES</v>
      </c>
      <c r="M152" s="6">
        <f t="shared" si="49"/>
        <v>2.5636574071540963E-2</v>
      </c>
      <c r="N152" s="7">
        <f t="shared" si="62"/>
        <v>36.916666663018987</v>
      </c>
      <c r="O152" s="7"/>
      <c r="P152" s="7"/>
      <c r="Q152" s="23"/>
      <c r="R152" s="23"/>
      <c r="S152" s="35">
        <f t="shared" si="61"/>
        <v>1</v>
      </c>
      <c r="T152" s="50" t="str">
        <f t="shared" si="50"/>
        <v>Southbound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https://search-rtdc-monitor-bjffxe2xuh6vdkpspy63sjmuny.us-east-1.es.amazonaws.com/_plugin/kibana/#/discover/Steve-Slow-Train-Analysis-(2080s-and-2083s)?_g=(refreshInterval:(display:Off,section:0,value:0),time:(from:'2016-11-30 22:51:27-700',mode:absolute,to:'2016-12-01 01:33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52" s="52" t="str">
        <f t="shared" si="52"/>
        <v>N</v>
      </c>
      <c r="X152" s="177">
        <f t="shared" si="53"/>
        <v>1</v>
      </c>
      <c r="Y152" s="67">
        <f t="shared" si="54"/>
        <v>23.275500000000001</v>
      </c>
      <c r="Z152" s="67">
        <f t="shared" si="55"/>
        <v>2.1100000000000001E-2</v>
      </c>
      <c r="AA152" s="67">
        <f t="shared" si="56"/>
        <v>23.2544</v>
      </c>
      <c r="AB152" s="64" t="e">
        <f>VLOOKUP(A152,Enforcements!$C$7:$K$20,8,0)</f>
        <v>#N/A</v>
      </c>
      <c r="AC152" s="60" t="e">
        <f>VLOOKUP(A152,Enforcements!$C$7:$E$20,3,0)</f>
        <v>#N/A</v>
      </c>
      <c r="AD152" s="61" t="str">
        <f t="shared" si="57"/>
        <v>0238-30</v>
      </c>
      <c r="AE152" s="91" t="str">
        <f t="shared" si="58"/>
        <v>aws s3 cp s3://rtdc.mdm.uploadarchive.raw/RTDC4037/ "%USERPROFILE%\AppData\Local\Temp\OnboardLogs"\RTDC4037\2016-11-30 --exclude "*" --recursive --include "*20161130*" &amp; "%USERPROFILE%\Documents\GitHub\mrs-test-scripts\Headless Mode &amp; Sideloading\WalkAndUnGZ.bat" "%USERPROFILE%\AppData\Local\Temp\OnboardLogs"\RTDC4037\2016-11-30 &amp; aws s3 cp s3://rtdc.mdm.uploadarchive.raw/RTDC4037/ "%USERPROFILE%\AppData\Local\Temp\OnboardLogs"\RTDC4037\2016-12-01 --exclude "*" --recursive --include "*20161201*" &amp; "%USERPROFILE%\Documents\GitHub\mrs-test-scripts\Headless Mode &amp; Sideloading\WalkAndUnGZ.bat" "%USERPROFILE%\AppData\Local\Temp\OnboardLogs"\RTDC4037\2016-12-01</v>
      </c>
      <c r="AF152" s="88" t="str">
        <f t="shared" si="59"/>
        <v>"C:\Program Files (x86)\AstroGrep\AstroGrep.exe" /spath="%USERPROFILE%\AppData\Local\Temp\OnboardLogs" /stypes="app*4037*20161201*" /stext=" 07:.+((SYSTEM_STATE.+slice.+state.+changed )|(ment ac)|(multiple cpu faults)|(system.+state.+changed )|(\[timeout)|(PRM\|1\|D)|(kpr)|(kdp)|(\|lc)|(penalty))" /e /r /s</v>
      </c>
      <c r="AG152" s="1" t="str">
        <f t="shared" si="60"/>
        <v>EC</v>
      </c>
      <c r="AH152" s="92" t="str">
        <f t="shared" si="46"/>
        <v>"%USERPROFILE%\Documents\GitHub\eaglep3\Utilities\RefineRTDCRunTimes.py" --tripid 238-30 --locoid 4037 --swversion DE.1.0.8.0 --startMP 204:232755 --initTime 2016-11-30T23:51:27 --startdatetime 2016-11-30T23:56:36 --delay 1 --endMP 204:211 --enddatetime 2016-12-01T00:33:31 --enforcementcount 0 &gt;&gt;C:\Users\stu\Documents\GitHub\eaglep3-reporting\EC\2016-11-30-refined-times.txt</v>
      </c>
      <c r="AI152" s="119" t="str">
        <f t="shared" si="47"/>
        <v>echo {"issue":{"subject":"","project_id":79,"tracker_id":40,"status_id":1,"priority_id":2,"assigned_to_id":23,"start_date":"2016-12-01","description":"","custom_fields":[{"id":1,"name":"Subdivision","value":"EC"},{"id":4,"name":"Milepost","value":"0.0211"},{"id":17,"name":"Train ID","value":"238-30"},{"id":16,"name":"Locomotive ID","value":"4037"},{"id":130,"name":"Impact","value":""},{"id":150,"name":"Time of Event (Mountain Time)","value":"00:33:31"},{"id":151,"name":"Denver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7" t="s">
        <v>734</v>
      </c>
      <c r="B153" s="7">
        <v>4002</v>
      </c>
      <c r="C153" s="22" t="s">
        <v>212</v>
      </c>
      <c r="D153" s="22" t="s">
        <v>195</v>
      </c>
      <c r="E153" s="13">
        <v>42704.961770833332</v>
      </c>
      <c r="F153" s="13">
        <v>42704.979375000003</v>
      </c>
      <c r="G153" s="7">
        <v>1</v>
      </c>
      <c r="H153" s="22" t="s">
        <v>277</v>
      </c>
      <c r="I153" s="13">
        <v>42705.003784722219</v>
      </c>
      <c r="J153" s="7">
        <v>0</v>
      </c>
      <c r="K153" s="109" t="str">
        <f t="shared" si="48"/>
        <v>4001/4002</v>
      </c>
      <c r="L153" s="22" t="str">
        <f>VLOOKUP(A153,'Trips&amp;Operators'!$C$1:$G$99999,5,FALSE)</f>
        <v>YANAI IAN</v>
      </c>
      <c r="M153" s="6">
        <f t="shared" si="49"/>
        <v>2.4409722216660157E-2</v>
      </c>
      <c r="N153" s="7">
        <f t="shared" si="62"/>
        <v>35.149999991990626</v>
      </c>
      <c r="O153" s="7"/>
      <c r="P153" s="7"/>
      <c r="Q153" s="23"/>
      <c r="R153" s="23"/>
      <c r="S153" s="35">
        <f t="shared" si="61"/>
        <v>1</v>
      </c>
      <c r="T153" s="50" t="str">
        <f t="shared" si="50"/>
        <v>NorthBound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https://search-rtdc-monitor-bjffxe2xuh6vdkpspy63sjmuny.us-east-1.es.amazonaws.com/_plugin/kibana/#/discover/Steve-Slow-Train-Analysis-(2080s-and-2083s)?_g=(refreshInterval:(display:Off,section:0,value:0),time:(from:'2016-11-30 22:04:57-700',mode:absolute,to:'2016-12-01 01:05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53" s="52" t="str">
        <f t="shared" si="52"/>
        <v>N</v>
      </c>
      <c r="X153" s="177">
        <f t="shared" si="53"/>
        <v>1</v>
      </c>
      <c r="Y153" s="67">
        <f t="shared" si="54"/>
        <v>4.53E-2</v>
      </c>
      <c r="Z153" s="67">
        <f t="shared" si="55"/>
        <v>23.329799999999999</v>
      </c>
      <c r="AA153" s="67">
        <f t="shared" si="56"/>
        <v>23.284499999999998</v>
      </c>
      <c r="AB153" s="64" t="e">
        <f>VLOOKUP(A153,Enforcements!$C$7:$K$20,8,0)</f>
        <v>#N/A</v>
      </c>
      <c r="AC153" s="60" t="e">
        <f>VLOOKUP(A153,Enforcements!$C$7:$E$20,3,0)</f>
        <v>#N/A</v>
      </c>
      <c r="AD153" s="61" t="str">
        <f t="shared" si="57"/>
        <v>0239-30</v>
      </c>
      <c r="AE153" s="91" t="str">
        <f t="shared" si="58"/>
        <v>aws s3 cp s3://rtdc.mdm.uploadarchive.raw/RTDC4002/ "%USERPROFILE%\AppData\Local\Temp\OnboardLogs"\RTDC4002\2016-11-30 --exclude "*" --recursive --include "*20161130*" &amp; "%USERPROFILE%\Documents\GitHub\mrs-test-scripts\Headless Mode &amp; Sideloading\WalkAndUnGZ.bat" "%USERPROFILE%\AppData\Local\Temp\OnboardLogs"\RTDC4002\2016-11-30 &amp; aws s3 cp s3://rtdc.mdm.uploadarchive.raw/RTDC4002/ "%USERPROFILE%\AppData\Local\Temp\OnboardLogs"\RTDC4002\2016-12-01 --exclude "*" --recursive --include "*20161201*" &amp; "%USERPROFILE%\Documents\GitHub\mrs-test-scripts\Headless Mode &amp; Sideloading\WalkAndUnGZ.bat" "%USERPROFILE%\AppData\Local\Temp\OnboardLogs"\RTDC4002\2016-12-01</v>
      </c>
      <c r="AF153" s="88" t="str">
        <f t="shared" si="59"/>
        <v>"C:\Program Files (x86)\AstroGrep\AstroGrep.exe" /spath="%USERPROFILE%\AppData\Local\Temp\OnboardLogs" /stypes="app*4002*20161201*" /stext=" 07:.+((SYSTEM_STATE.+slice.+state.+changed )|(ment ac)|(multiple cpu faults)|(system.+state.+changed )|(\[timeout)|(PRM\|1\|D)|(kpr)|(kdp)|(\|lc)|(penalty))" /e /r /s</v>
      </c>
      <c r="AG153" s="1" t="str">
        <f t="shared" si="60"/>
        <v>EC</v>
      </c>
      <c r="AH153" s="92" t="str">
        <f t="shared" si="46"/>
        <v>"%USERPROFILE%\Documents\GitHub\eaglep3\Utilities\RefineRTDCRunTimes.py" --tripid 239-30 --locoid 4002 --swversion DE.1.0.8.0 --startMP 204:453 --initTime 2016-11-30T23:04:57 --startdatetime 2016-11-30T23:30:18 --delay 1 --endMP 204:233298 --enddatetime 2016-12-01T00:05:27 --enforcementcount 0 &gt;&gt;C:\Users\stu\Documents\GitHub\eaglep3-reporting\EC\2016-11-30-refined-times.txt</v>
      </c>
      <c r="AI153" s="119" t="str">
        <f t="shared" si="47"/>
        <v>echo {"issue":{"subject":"","project_id":79,"tracker_id":40,"status_id":1,"priority_id":2,"assigned_to_id":23,"start_date":"2016-12-01","description":"","custom_fields":[{"id":1,"name":"Subdivision","value":"EC"},{"id":4,"name":"Milepost","value":"23.3298"},{"id":17,"name":"Train ID","value":"239-30"},{"id":16,"name":"Locomotive ID","value":"4002"},{"id":130,"name":"Impact","value":""},{"id":150,"name":"Time of Event (Mountain Time)","value":"00:05:27"},{"id":151,"name":"Denver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7" t="s">
        <v>738</v>
      </c>
      <c r="B154" s="7">
        <v>4001</v>
      </c>
      <c r="C154" s="22" t="s">
        <v>212</v>
      </c>
      <c r="D154" s="22" t="s">
        <v>244</v>
      </c>
      <c r="E154" s="13">
        <v>42705.006238425929</v>
      </c>
      <c r="F154" s="13">
        <v>42705.018275462964</v>
      </c>
      <c r="G154" s="7">
        <v>1</v>
      </c>
      <c r="H154" s="22" t="s">
        <v>811</v>
      </c>
      <c r="I154" s="13">
        <v>42705.04347222222</v>
      </c>
      <c r="J154" s="7">
        <v>0</v>
      </c>
      <c r="K154" s="109" t="str">
        <f t="shared" si="48"/>
        <v>4001/4002</v>
      </c>
      <c r="L154" s="22" t="str">
        <f>VLOOKUP(A154,'Trips&amp;Operators'!$C$1:$G$99999,5,FALSE)</f>
        <v>YANAI IAN</v>
      </c>
      <c r="M154" s="6">
        <f t="shared" si="49"/>
        <v>2.5196759255777579E-2</v>
      </c>
      <c r="N154" s="7">
        <f t="shared" si="62"/>
        <v>36.283333328319713</v>
      </c>
      <c r="O154" s="7"/>
      <c r="P154" s="7"/>
      <c r="Q154" s="23"/>
      <c r="R154" s="23"/>
      <c r="S154" s="35">
        <f t="shared" si="61"/>
        <v>1</v>
      </c>
      <c r="T154" s="50" t="str">
        <f t="shared" si="50"/>
        <v>Southbound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https://search-rtdc-monitor-bjffxe2xuh6vdkpspy63sjmuny.us-east-1.es.amazonaws.com/_plugin/kibana/#/discover/Steve-Slow-Train-Analysis-(2080s-and-2083s)?_g=(refreshInterval:(display:Off,section:0,value:0),time:(from:'2016-11-30 23:08:59-700',mode:absolute,to:'2016-12-01 02:02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54" s="52" t="str">
        <f t="shared" si="52"/>
        <v>N</v>
      </c>
      <c r="X154" s="177">
        <f t="shared" si="53"/>
        <v>1</v>
      </c>
      <c r="Y154" s="67">
        <f t="shared" si="54"/>
        <v>23.299299999999999</v>
      </c>
      <c r="Z154" s="67">
        <f t="shared" si="55"/>
        <v>2.1600000000000001E-2</v>
      </c>
      <c r="AA154" s="67">
        <f t="shared" si="56"/>
        <v>23.277699999999999</v>
      </c>
      <c r="AB154" s="64" t="e">
        <f>VLOOKUP(A154,Enforcements!$C$7:$K$20,8,0)</f>
        <v>#N/A</v>
      </c>
      <c r="AC154" s="60" t="e">
        <f>VLOOKUP(A154,Enforcements!$C$7:$E$20,3,0)</f>
        <v>#N/A</v>
      </c>
      <c r="AD154" s="61" t="str">
        <f t="shared" si="57"/>
        <v>0240-30</v>
      </c>
      <c r="AE154" s="91" t="str">
        <f t="shared" si="58"/>
        <v>aws s3 cp s3://rtdc.mdm.uploadarchive.raw/RTDC4001/ "%USERPROFILE%\AppData\Local\Temp\OnboardLogs"\RTDC4001\2016-12-01 --exclude "*" --recursive --include "*20161201*" &amp; "%USERPROFILE%\Documents\GitHub\mrs-test-scripts\Headless Mode &amp; Sideloading\WalkAndUnGZ.bat" "%USERPROFILE%\AppData\Local\Temp\OnboardLogs"\RTDC4001\2016-12-01 &amp; aws s3 cp s3://rtdc.mdm.uploadarchive.raw/RTDC4001/ "%USERPROFILE%\AppData\Local\Temp\OnboardLogs"\RTDC4001\2016-12-02 --exclude "*" --recursive --include "*20161202*" &amp; "%USERPROFILE%\Documents\GitHub\mrs-test-scripts\Headless Mode &amp; Sideloading\WalkAndUnGZ.bat" "%USERPROFILE%\AppData\Local\Temp\OnboardLogs"\RTDC4001\2016-12-02</v>
      </c>
      <c r="AF154" s="88" t="str">
        <f t="shared" si="59"/>
        <v>"C:\Program Files (x86)\AstroGrep\AstroGrep.exe" /spath="%USERPROFILE%\AppData\Local\Temp\OnboardLogs" /stypes="app*4001*20161201*" /stext=" 08:.+((SYSTEM_STATE.+slice.+state.+changed )|(ment ac)|(multiple cpu faults)|(system.+state.+changed )|(\[timeout)|(PRM\|1\|D)|(kpr)|(kdp)|(\|lc)|(penalty))" /e /r /s</v>
      </c>
      <c r="AG154" s="1" t="str">
        <f t="shared" si="60"/>
        <v>EC</v>
      </c>
      <c r="AH154" s="92" t="str">
        <f t="shared" si="46"/>
        <v>"%USERPROFILE%\Documents\GitHub\eaglep3\Utilities\RefineRTDCRunTimes.py" --tripid 240-30 --locoid 4001 --swversion DE.1.0.8.0 --startMP 204:232993 --initTime 2016-12-01T00:08:59 --startdatetime 2016-12-01T00:26:19 --delay 1 --endMP 204:216 --enddatetime 2016-12-01T01:02:36 --enforcementcount 0 &gt;&gt;C:\Users\stu\Documents\GitHub\eaglep3-reporting\EC\2016-11-30-refined-times.txt</v>
      </c>
      <c r="AI154" s="119" t="str">
        <f t="shared" si="47"/>
        <v>echo {"issue":{"subject":"","project_id":79,"tracker_id":40,"status_id":1,"priority_id":2,"assigned_to_id":23,"start_date":"2016-12-01","description":"","custom_fields":[{"id":1,"name":"Subdivision","value":"EC"},{"id":4,"name":"Milepost","value":"0.0216"},{"id":17,"name":"Train ID","value":"240-30"},{"id":16,"name":"Locomotive ID","value":"4001"},{"id":130,"name":"Impact","value":""},{"id":150,"name":"Time of Event (Mountain Time)","value":"01:02:36"},{"id":151,"name":"Denver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7" t="s">
        <v>737</v>
      </c>
      <c r="B155" s="7">
        <v>4022</v>
      </c>
      <c r="C155" s="22" t="s">
        <v>212</v>
      </c>
      <c r="D155" s="22" t="s">
        <v>812</v>
      </c>
      <c r="E155" s="13">
        <v>42704.994849537034</v>
      </c>
      <c r="F155" s="13">
        <v>42705.000335648147</v>
      </c>
      <c r="G155" s="7">
        <v>1</v>
      </c>
      <c r="H155" s="22" t="s">
        <v>749</v>
      </c>
      <c r="I155" s="13">
        <v>42705.024247685185</v>
      </c>
      <c r="J155" s="7">
        <v>0</v>
      </c>
      <c r="K155" s="109" t="str">
        <f t="shared" si="48"/>
        <v>4021/4022</v>
      </c>
      <c r="L155" s="22" t="str">
        <f>VLOOKUP(A155,'Trips&amp;Operators'!$C$1:$G$99999,5,FALSE)</f>
        <v>LEVIN SCOTT</v>
      </c>
      <c r="M155" s="6">
        <f t="shared" si="49"/>
        <v>2.3912037038826384E-2</v>
      </c>
      <c r="N155" s="7">
        <f t="shared" si="62"/>
        <v>34.433333335909992</v>
      </c>
      <c r="O155" s="7"/>
      <c r="P155" s="7"/>
      <c r="Q155" s="23"/>
      <c r="R155" s="23"/>
      <c r="S155" s="35">
        <f t="shared" si="61"/>
        <v>1</v>
      </c>
      <c r="T155" s="50" t="str">
        <f t="shared" si="50"/>
        <v>NorthBound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https://search-rtdc-monitor-bjffxe2xuh6vdkpspy63sjmuny.us-east-1.es.amazonaws.com/_plugin/kibana/#/discover/Steve-Slow-Train-Analysis-(2080s-and-2083s)?_g=(refreshInterval:(display:Off,section:0,value:0),time:(from:'2016-11-30 22:52:35-700',mode:absolute,to:'2016-12-01 01:34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55" s="52" t="str">
        <f t="shared" si="52"/>
        <v>N</v>
      </c>
      <c r="X155" s="177">
        <f t="shared" si="53"/>
        <v>1</v>
      </c>
      <c r="Y155" s="67">
        <f t="shared" si="54"/>
        <v>4.2700000000000002E-2</v>
      </c>
      <c r="Z155" s="67">
        <f t="shared" si="55"/>
        <v>23.334900000000001</v>
      </c>
      <c r="AA155" s="67">
        <f t="shared" si="56"/>
        <v>23.292200000000001</v>
      </c>
      <c r="AB155" s="64" t="e">
        <f>VLOOKUP(A155,Enforcements!$C$7:$K$20,8,0)</f>
        <v>#N/A</v>
      </c>
      <c r="AC155" s="60" t="e">
        <f>VLOOKUP(A155,Enforcements!$C$7:$E$20,3,0)</f>
        <v>#N/A</v>
      </c>
      <c r="AD155" s="61" t="str">
        <f t="shared" si="57"/>
        <v>0241-30</v>
      </c>
      <c r="AE155" s="91" t="str">
        <f t="shared" si="58"/>
        <v>aws s3 cp s3://rtdc.mdm.uploadarchive.raw/RTDC4022/ "%USERPROFILE%\AppData\Local\Temp\OnboardLogs"\RTDC4022\2016-12-01 --exclude "*" --recursive --include "*20161201*" &amp; "%USERPROFILE%\Documents\GitHub\mrs-test-scripts\Headless Mode &amp; Sideloading\WalkAndUnGZ.bat" "%USERPROFILE%\AppData\Local\Temp\OnboardLogs"\RTDC4022\2016-12-01 &amp; aws s3 cp s3://rtdc.mdm.uploadarchive.raw/RTDC4022/ "%USERPROFILE%\AppData\Local\Temp\OnboardLogs"\RTDC4022\2016-12-02 --exclude "*" --recursive --include "*20161202*" &amp; "%USERPROFILE%\Documents\GitHub\mrs-test-scripts\Headless Mode &amp; Sideloading\WalkAndUnGZ.bat" "%USERPROFILE%\AppData\Local\Temp\OnboardLogs"\RTDC4022\2016-12-02</v>
      </c>
      <c r="AF155" s="88" t="str">
        <f t="shared" si="59"/>
        <v>"C:\Program Files (x86)\AstroGrep\AstroGrep.exe" /spath="%USERPROFILE%\AppData\Local\Temp\OnboardLogs" /stypes="app*4022*20161201*" /stext=" 07:.+((SYSTEM_STATE.+slice.+state.+changed )|(ment ac)|(multiple cpu faults)|(system.+state.+changed )|(\[timeout)|(PRM\|1\|D)|(kpr)|(kdp)|(\|lc)|(penalty))" /e /r /s</v>
      </c>
      <c r="AG155" s="1" t="str">
        <f t="shared" si="60"/>
        <v>EC</v>
      </c>
      <c r="AH155" s="92" t="str">
        <f t="shared" si="46"/>
        <v>"%USERPROFILE%\Documents\GitHub\eaglep3\Utilities\RefineRTDCRunTimes.py" --tripid 241-30 --locoid 4022 --swversion DE.1.0.8.0 --startMP 204:427 --initTime 2016-11-30T23:52:35 --startdatetime 2016-12-01T00:00:29 --delay 1 --endMP 204:233349 --enddatetime 2016-12-01T00:34:55 --enforcementcount 0 &gt;&gt;C:\Users\stu\Documents\GitHub\eaglep3-reporting\EC\2016-11-30-refined-times.txt</v>
      </c>
      <c r="AI155" s="119" t="str">
        <f t="shared" si="47"/>
        <v>echo {"issue":{"subject":"","project_id":79,"tracker_id":40,"status_id":1,"priority_id":2,"assigned_to_id":23,"start_date":"2016-12-01","description":"","custom_fields":[{"id":1,"name":"Subdivision","value":"EC"},{"id":4,"name":"Milepost","value":"23.3349"},{"id":17,"name":"Train ID","value":"241-30"},{"id":16,"name":"Locomotive ID","value":"4022"},{"id":130,"name":"Impact","value":""},{"id":150,"name":"Time of Event (Mountain Time)","value":"00:34:55"},{"id":151,"name":"Denver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7" t="s">
        <v>741</v>
      </c>
      <c r="B156" s="7">
        <v>4021</v>
      </c>
      <c r="C156" s="22" t="s">
        <v>212</v>
      </c>
      <c r="D156" s="22" t="s">
        <v>808</v>
      </c>
      <c r="E156" s="13">
        <v>42705.032905092594</v>
      </c>
      <c r="F156" s="13">
        <v>42705.039097222223</v>
      </c>
      <c r="G156" s="7">
        <v>0</v>
      </c>
      <c r="H156" s="22" t="s">
        <v>235</v>
      </c>
      <c r="I156" s="13">
        <v>42705.064953703702</v>
      </c>
      <c r="J156" s="7">
        <v>0</v>
      </c>
      <c r="K156" s="109" t="str">
        <f t="shared" si="48"/>
        <v>4021/4022</v>
      </c>
      <c r="L156" s="22" t="str">
        <f>VLOOKUP(A156,'Trips&amp;Operators'!$C$1:$G$99999,5,FALSE)</f>
        <v>LEVIN SCOTT</v>
      </c>
      <c r="M156" s="6">
        <f t="shared" si="49"/>
        <v>2.5856481479422655E-2</v>
      </c>
      <c r="N156" s="7">
        <f t="shared" si="62"/>
        <v>37.233333330368623</v>
      </c>
      <c r="O156" s="7"/>
      <c r="P156" s="7"/>
      <c r="Q156" s="23"/>
      <c r="R156" s="23"/>
      <c r="S156" s="35">
        <f t="shared" si="61"/>
        <v>1</v>
      </c>
      <c r="T156" s="50" t="str">
        <f t="shared" si="50"/>
        <v>Southbound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https://search-rtdc-monitor-bjffxe2xuh6vdkpspy63sjmuny.us-east-1.es.amazonaws.com/_plugin/kibana/#/discover/Steve-Slow-Train-Analysis-(2080s-and-2083s)?_g=(refreshInterval:(display:Off,section:0,value:0),time:(from:'2016-11-30 23:47:23-700',mode:absolute,to:'2016-12-01 02:33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56" s="52" t="str">
        <f t="shared" si="52"/>
        <v>N</v>
      </c>
      <c r="X156" s="177">
        <f t="shared" si="53"/>
        <v>1</v>
      </c>
      <c r="Y156" s="67">
        <f t="shared" si="54"/>
        <v>23.302700000000002</v>
      </c>
      <c r="Z156" s="67">
        <f t="shared" si="55"/>
        <v>1.41E-2</v>
      </c>
      <c r="AA156" s="67">
        <f t="shared" si="56"/>
        <v>23.288600000000002</v>
      </c>
      <c r="AB156" s="64" t="e">
        <f>VLOOKUP(A156,Enforcements!$C$7:$K$20,8,0)</f>
        <v>#N/A</v>
      </c>
      <c r="AC156" s="60" t="e">
        <f>VLOOKUP(A156,Enforcements!$C$7:$E$20,3,0)</f>
        <v>#N/A</v>
      </c>
      <c r="AD156" s="61" t="str">
        <f t="shared" si="57"/>
        <v>0242-30</v>
      </c>
      <c r="AE156" s="91" t="str">
        <f t="shared" si="58"/>
        <v>aws s3 cp s3://rtdc.mdm.uploadarchive.raw/RTDC4021/ "%USERPROFILE%\AppData\Local\Temp\OnboardLogs"\RTDC4021\2016-12-01 --exclude "*" --recursive --include "*20161201*" &amp; "%USERPROFILE%\Documents\GitHub\mrs-test-scripts\Headless Mode &amp; Sideloading\WalkAndUnGZ.bat" "%USERPROFILE%\AppData\Local\Temp\OnboardLogs"\RTDC4021\2016-12-01 &amp; aws s3 cp s3://rtdc.mdm.uploadarchive.raw/RTDC4021/ "%USERPROFILE%\AppData\Local\Temp\OnboardLogs"\RTDC4021\2016-12-02 --exclude "*" --recursive --include "*20161202*" &amp; "%USERPROFILE%\Documents\GitHub\mrs-test-scripts\Headless Mode &amp; Sideloading\WalkAndUnGZ.bat" "%USERPROFILE%\AppData\Local\Temp\OnboardLogs"\RTDC4021\2016-12-02</v>
      </c>
      <c r="AF156" s="88" t="str">
        <f t="shared" si="59"/>
        <v>"C:\Program Files (x86)\AstroGrep\AstroGrep.exe" /spath="%USERPROFILE%\AppData\Local\Temp\OnboardLogs" /stypes="app*4021*20161201*" /stext=" 08:.+((SYSTEM_STATE.+slice.+state.+changed )|(ment ac)|(multiple cpu faults)|(system.+state.+changed )|(\[timeout)|(PRM\|1\|D)|(kpr)|(kdp)|(\|lc)|(penalty))" /e /r /s</v>
      </c>
      <c r="AG156" s="1" t="str">
        <f t="shared" si="60"/>
        <v>EC</v>
      </c>
      <c r="AH156" s="92" t="str">
        <f t="shared" si="46"/>
        <v>"%USERPROFILE%\Documents\GitHub\eaglep3\Utilities\RefineRTDCRunTimes.py" --tripid 242-30 --locoid 4021 --swversion DE.1.0.8.0 --startMP 204:233027 --initTime 2016-12-01T00:47:23 --startdatetime 2016-12-01T00:56:18 --delay 0 --endMP 204:141 --enddatetime 2016-12-01T01:33:32 --enforcementcount 0 &gt;&gt;C:\Users\stu\Documents\GitHub\eaglep3-reporting\EC\2016-11-30-refined-times.txt</v>
      </c>
      <c r="AI156" s="119" t="str">
        <f t="shared" si="47"/>
        <v>echo {"issue":{"subject":"","project_id":79,"tracker_id":40,"status_id":1,"priority_id":2,"assigned_to_id":23,"start_date":"2016-12-01","description":"","custom_fields":[{"id":1,"name":"Subdivision","value":"EC"},{"id":4,"name":"Milepost","value":"0.0141"},{"id":17,"name":"Train ID","value":"242-30"},{"id":16,"name":"Locomotive ID","value":"4021"},{"id":130,"name":"Impact","value":""},{"id":150,"name":"Time of Event (Mountain Time)","value":"01:33:32"},{"id":151,"name":"Denver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7" t="s">
        <v>739</v>
      </c>
      <c r="B157" s="7">
        <v>4011</v>
      </c>
      <c r="C157" s="22" t="s">
        <v>212</v>
      </c>
      <c r="D157" s="22" t="s">
        <v>813</v>
      </c>
      <c r="E157" s="13">
        <v>42705.018900462965</v>
      </c>
      <c r="F157" s="13">
        <v>42705.021111111113</v>
      </c>
      <c r="G157" s="7">
        <v>1</v>
      </c>
      <c r="H157" s="22" t="s">
        <v>246</v>
      </c>
      <c r="I157" s="13">
        <v>42705.045335648145</v>
      </c>
      <c r="J157" s="7">
        <v>0</v>
      </c>
      <c r="K157" s="109" t="str">
        <f t="shared" si="48"/>
        <v>4011/4012</v>
      </c>
      <c r="L157" s="22" t="str">
        <f>VLOOKUP(A157,'Trips&amp;Operators'!$C$1:$G$99999,5,FALSE)</f>
        <v>COOLAHAN JOHN</v>
      </c>
      <c r="M157" s="6">
        <f t="shared" si="49"/>
        <v>2.4224537031841464E-2</v>
      </c>
      <c r="N157" s="7">
        <f t="shared" si="62"/>
        <v>34.883333325851709</v>
      </c>
      <c r="O157" s="7"/>
      <c r="P157" s="7"/>
      <c r="Q157" s="23"/>
      <c r="R157" s="23"/>
      <c r="S157" s="35">
        <f t="shared" si="61"/>
        <v>1</v>
      </c>
      <c r="T157" s="50" t="str">
        <f t="shared" si="50"/>
        <v>NorthBound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https://search-rtdc-monitor-bjffxe2xuh6vdkpspy63sjmuny.us-east-1.es.amazonaws.com/_plugin/kibana/#/discover/Steve-Slow-Train-Analysis-(2080s-and-2083s)?_g=(refreshInterval:(display:Off,section:0,value:0),time:(from:'2016-11-30 23:27:13-700',mode:absolute,to:'2016-12-01 02:05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57" s="52" t="str">
        <f t="shared" si="52"/>
        <v>N</v>
      </c>
      <c r="X157" s="177">
        <f t="shared" si="53"/>
        <v>1</v>
      </c>
      <c r="Y157" s="67">
        <f t="shared" si="54"/>
        <v>4.24E-2</v>
      </c>
      <c r="Z157" s="67">
        <f t="shared" si="55"/>
        <v>23.331399999999999</v>
      </c>
      <c r="AA157" s="67">
        <f t="shared" si="56"/>
        <v>23.288999999999998</v>
      </c>
      <c r="AB157" s="64" t="e">
        <f>VLOOKUP(A157,Enforcements!$C$7:$K$20,8,0)</f>
        <v>#N/A</v>
      </c>
      <c r="AC157" s="60" t="e">
        <f>VLOOKUP(A157,Enforcements!$C$7:$E$20,3,0)</f>
        <v>#N/A</v>
      </c>
      <c r="AD157" s="61" t="str">
        <f t="shared" si="57"/>
        <v>0243-30</v>
      </c>
      <c r="AE157" s="91" t="str">
        <f t="shared" si="58"/>
        <v>aws s3 cp s3://rtdc.mdm.uploadarchive.raw/RTDC4011/ "%USERPROFILE%\AppData\Local\Temp\OnboardLogs"\RTDC4011\2016-12-01 --exclude "*" --recursive --include "*20161201*" &amp; "%USERPROFILE%\Documents\GitHub\mrs-test-scripts\Headless Mode &amp; Sideloading\WalkAndUnGZ.bat" "%USERPROFILE%\AppData\Local\Temp\OnboardLogs"\RTDC4011\2016-12-01 &amp; aws s3 cp s3://rtdc.mdm.uploadarchive.raw/RTDC4011/ "%USERPROFILE%\AppData\Local\Temp\OnboardLogs"\RTDC4011\2016-12-02 --exclude "*" --recursive --include "*20161202*" &amp; "%USERPROFILE%\Documents\GitHub\mrs-test-scripts\Headless Mode &amp; Sideloading\WalkAndUnGZ.bat" "%USERPROFILE%\AppData\Local\Temp\OnboardLogs"\RTDC4011\2016-12-02</v>
      </c>
      <c r="AF157" s="88" t="str">
        <f t="shared" si="59"/>
        <v>"C:\Program Files (x86)\AstroGrep\AstroGrep.exe" /spath="%USERPROFILE%\AppData\Local\Temp\OnboardLogs" /stypes="app*4011*20161201*" /stext=" 08:.+((SYSTEM_STATE.+slice.+state.+changed )|(ment ac)|(multiple cpu faults)|(system.+state.+changed )|(\[timeout)|(PRM\|1\|D)|(kpr)|(kdp)|(\|lc)|(penalty))" /e /r /s</v>
      </c>
      <c r="AG157" s="1" t="str">
        <f t="shared" si="60"/>
        <v>EC</v>
      </c>
      <c r="AH157" s="92" t="str">
        <f t="shared" si="46"/>
        <v>"%USERPROFILE%\Documents\GitHub\eaglep3\Utilities\RefineRTDCRunTimes.py" --tripid 243-30 --locoid 4011 --swversion DE.1.0.8.0 --startMP 204:424 --initTime 2016-12-01T00:27:13 --startdatetime 2016-12-01T00:30:24 --delay 1 --endMP 204:233314 --enddatetime 2016-12-01T01:05:17 --enforcementcount 0 &gt;&gt;C:\Users\stu\Documents\GitHub\eaglep3-reporting\EC\2016-11-30-refined-times.txt</v>
      </c>
      <c r="AI157" s="119" t="str">
        <f t="shared" si="47"/>
        <v>echo {"issue":{"subject":"","project_id":79,"tracker_id":40,"status_id":1,"priority_id":2,"assigned_to_id":23,"start_date":"2016-12-01","description":"","custom_fields":[{"id":1,"name":"Subdivision","value":"EC"},{"id":4,"name":"Milepost","value":"23.3314"},{"id":17,"name":"Train ID","value":"243-30"},{"id":16,"name":"Locomotive ID","value":"4011"},{"id":130,"name":"Impact","value":""},{"id":150,"name":"Time of Event (Mountain Time)","value":"01:05:17"},{"id":151,"name":"Denver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743</v>
      </c>
      <c r="B158" s="7">
        <v>4012</v>
      </c>
      <c r="C158" s="22" t="s">
        <v>212</v>
      </c>
      <c r="D158" s="22" t="s">
        <v>239</v>
      </c>
      <c r="E158" s="13">
        <v>42705.054710648146</v>
      </c>
      <c r="F158" s="13">
        <v>42705.06009259259</v>
      </c>
      <c r="G158" s="7">
        <v>1</v>
      </c>
      <c r="H158" s="22" t="s">
        <v>311</v>
      </c>
      <c r="I158" s="13">
        <v>42705.085509259261</v>
      </c>
      <c r="J158" s="7">
        <v>0</v>
      </c>
      <c r="K158" s="109" t="str">
        <f t="shared" si="48"/>
        <v>4011/4012</v>
      </c>
      <c r="L158" s="22" t="str">
        <f>VLOOKUP(A158,'Trips&amp;Operators'!$C$1:$G$99999,5,FALSE)</f>
        <v>COOLAHAN JOHN</v>
      </c>
      <c r="M158" s="6">
        <f t="shared" si="49"/>
        <v>2.5416666670935228E-2</v>
      </c>
      <c r="N158" s="7">
        <f t="shared" si="62"/>
        <v>36.600000006146729</v>
      </c>
      <c r="O158" s="7"/>
      <c r="P158" s="7"/>
      <c r="Q158" s="23"/>
      <c r="R158" s="23"/>
      <c r="S158" s="35">
        <f t="shared" si="61"/>
        <v>1</v>
      </c>
      <c r="T158" s="50" t="str">
        <f t="shared" si="50"/>
        <v>Southbound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https://search-rtdc-monitor-bjffxe2xuh6vdkpspy63sjmuny.us-east-1.es.amazonaws.com/_plugin/kibana/#/discover/Steve-Slow-Train-Analysis-(2080s-and-2083s)?_g=(refreshInterval:(display:Off,section:0,value:0),time:(from:'2016-12-01 00:18:47-700',mode:absolute,to:'2016-12-01 03:03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58" s="52" t="str">
        <f t="shared" si="52"/>
        <v>N</v>
      </c>
      <c r="X158" s="177">
        <f t="shared" si="53"/>
        <v>1</v>
      </c>
      <c r="Y158" s="67">
        <f t="shared" si="54"/>
        <v>23.299399999999999</v>
      </c>
      <c r="Z158" s="67">
        <f t="shared" si="55"/>
        <v>1.6E-2</v>
      </c>
      <c r="AA158" s="67">
        <f t="shared" si="56"/>
        <v>23.2834</v>
      </c>
      <c r="AB158" s="64" t="e">
        <f>VLOOKUP(A158,Enforcements!$C$7:$K$20,8,0)</f>
        <v>#N/A</v>
      </c>
      <c r="AC158" s="60" t="e">
        <f>VLOOKUP(A158,Enforcements!$C$7:$E$20,3,0)</f>
        <v>#N/A</v>
      </c>
      <c r="AD158" s="61" t="str">
        <f t="shared" si="57"/>
        <v>0244-30</v>
      </c>
      <c r="AE158" s="91" t="str">
        <f t="shared" si="58"/>
        <v>aws s3 cp s3://rtdc.mdm.uploadarchive.raw/RTDC4012/ "%USERPROFILE%\AppData\Local\Temp\OnboardLogs"\RTDC4012\2016-12-01 --exclude "*" --recursive --include "*20161201*" &amp; "%USERPROFILE%\Documents\GitHub\mrs-test-scripts\Headless Mode &amp; Sideloading\WalkAndUnGZ.bat" "%USERPROFILE%\AppData\Local\Temp\OnboardLogs"\RTDC4012\2016-12-01 &amp; aws s3 cp s3://rtdc.mdm.uploadarchive.raw/RTDC4012/ "%USERPROFILE%\AppData\Local\Temp\OnboardLogs"\RTDC4012\2016-12-02 --exclude "*" --recursive --include "*20161202*" &amp; "%USERPROFILE%\Documents\GitHub\mrs-test-scripts\Headless Mode &amp; Sideloading\WalkAndUnGZ.bat" "%USERPROFILE%\AppData\Local\Temp\OnboardLogs"\RTDC4012\2016-12-02</v>
      </c>
      <c r="AF158" s="88" t="str">
        <f t="shared" si="59"/>
        <v>"C:\Program Files (x86)\AstroGrep\AstroGrep.exe" /spath="%USERPROFILE%\AppData\Local\Temp\OnboardLogs" /stypes="app*4012*20161201*" /stext=" 09:.+((SYSTEM_STATE.+slice.+state.+changed )|(ment ac)|(multiple cpu faults)|(system.+state.+changed )|(\[timeout)|(PRM\|1\|D)|(kpr)|(kdp)|(\|lc)|(penalty))" /e /r /s</v>
      </c>
      <c r="AG158" s="1" t="str">
        <f t="shared" si="60"/>
        <v>EC</v>
      </c>
      <c r="AH158" s="92" t="str">
        <f t="shared" si="46"/>
        <v>"%USERPROFILE%\Documents\GitHub\eaglep3\Utilities\RefineRTDCRunTimes.py" --tripid 244-30 --locoid 4012 --swversion DE.1.0.8.0 --startMP 204:232994 --initTime 2016-12-01T01:18:47 --startdatetime 2016-12-01T01:26:32 --delay 1 --endMP 204:160 --enddatetime 2016-12-01T02:03:08 --enforcementcount 0 &gt;&gt;C:\Users\stu\Documents\GitHub\eaglep3-reporting\EC\2016-11-30-refined-times.txt</v>
      </c>
      <c r="AI158" s="119" t="str">
        <f t="shared" si="47"/>
        <v>echo {"issue":{"subject":"","project_id":79,"tracker_id":40,"status_id":1,"priority_id":2,"assigned_to_id":23,"start_date":"2016-12-01","description":"","custom_fields":[{"id":1,"name":"Subdivision","value":"EC"},{"id":4,"name":"Milepost","value":"0.016"},{"id":17,"name":"Train ID","value":"244-30"},{"id":16,"name":"Locomotive ID","value":"4012"},{"id":130,"name":"Impact","value":""},{"id":150,"name":"Time of Event (Mountain Time)","value":"02:03:08"},{"id":151,"name":"Denver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7" t="s">
        <v>521</v>
      </c>
      <c r="B159" s="7">
        <v>4026</v>
      </c>
      <c r="C159" s="22" t="s">
        <v>212</v>
      </c>
      <c r="D159" s="22" t="s">
        <v>836</v>
      </c>
      <c r="E159" s="13">
        <v>42704.214907407404</v>
      </c>
      <c r="F159" s="13">
        <v>42704.216481481482</v>
      </c>
      <c r="G159" s="7">
        <v>1</v>
      </c>
      <c r="H159" s="22" t="s">
        <v>837</v>
      </c>
      <c r="I159" s="13">
        <v>42704.226863425924</v>
      </c>
      <c r="J159" s="7">
        <v>0</v>
      </c>
      <c r="K159" s="109" t="str">
        <f t="shared" si="48"/>
        <v>4025/4026</v>
      </c>
      <c r="L159" s="22" t="str">
        <f>VLOOKUP(A159,'Trips&amp;Operators'!$C$1:$G$99999,5,FALSE)</f>
        <v>STARKS ANGELINA</v>
      </c>
      <c r="M159" s="6">
        <f t="shared" si="49"/>
        <v>1.0381944441178348E-2</v>
      </c>
      <c r="N159" s="7">
        <f t="shared" si="62"/>
        <v>14.949999995296821</v>
      </c>
      <c r="O159" s="7"/>
      <c r="P159" s="7"/>
      <c r="Q159" s="23"/>
      <c r="R159" s="23"/>
      <c r="S159" s="35">
        <f t="shared" si="61"/>
        <v>1</v>
      </c>
      <c r="T159" s="50" t="str">
        <f t="shared" si="50"/>
        <v>Southbound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https://search-rtdc-monitor-bjffxe2xuh6vdkpspy63sjmuny.us-east-1.es.amazonaws.com/_plugin/kibana/#/discover/Steve-Slow-Train-Analysis-(2080s-and-2083s)?_g=(refreshInterval:(display:Off,section:0,value:0),time:(from:'2016-11-30 04:09:28-700',mode:absolute,to:'2016-11-30 06:26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59" s="52" t="str">
        <f t="shared" si="52"/>
        <v>N</v>
      </c>
      <c r="X159" s="177">
        <f t="shared" si="53"/>
        <v>556</v>
      </c>
      <c r="Y159" s="67">
        <f t="shared" si="54"/>
        <v>5.8643000000000001</v>
      </c>
      <c r="Z159" s="67">
        <f t="shared" si="55"/>
        <v>7.5499999999999998E-2</v>
      </c>
      <c r="AA159" s="67">
        <f t="shared" si="56"/>
        <v>5.7888000000000002</v>
      </c>
      <c r="AB159" s="64" t="e">
        <f>VLOOKUP(A159,Enforcements!$C$7:$K$20,8,0)</f>
        <v>#N/A</v>
      </c>
      <c r="AC159" s="60" t="e">
        <f>VLOOKUP(A159,Enforcements!$C$7:$E$20,3,0)</f>
        <v>#N/A</v>
      </c>
      <c r="AD159" s="61" t="str">
        <f t="shared" si="57"/>
        <v>0800-30</v>
      </c>
      <c r="AE159" s="91" t="str">
        <f t="shared" si="58"/>
        <v>aws s3 cp s3://rtdc.mdm.uploadarchive.raw/RTDC4026/ "%USERPROFILE%\AppData\Local\Temp\OnboardLogs"\RTDC4026\2016-11-30 --exclude "*" --recursive --include "*20161130*" &amp; "%USERPROFILE%\Documents\GitHub\mrs-test-scripts\Headless Mode &amp; Sideloading\WalkAndUnGZ.bat" "%USERPROFILE%\AppData\Local\Temp\OnboardLogs"\RTDC4026\2016-11-30 &amp; aws s3 cp s3://rtdc.mdm.uploadarchive.raw/RTDC4026/ "%USERPROFILE%\AppData\Local\Temp\OnboardLogs"\RTDC4026\2016-12-01 --exclude "*" --recursive --include "*20161201*" &amp; "%USERPROFILE%\Documents\GitHub\mrs-test-scripts\Headless Mode &amp; Sideloading\WalkAndUnGZ.bat" "%USERPROFILE%\AppData\Local\Temp\OnboardLogs"\RTDC4026\2016-12-01</v>
      </c>
      <c r="AF159" s="88" t="str">
        <f t="shared" si="59"/>
        <v>"C:\Program Files (x86)\AstroGrep\AstroGrep.exe" /spath="%USERPROFILE%\AppData\Local\Temp\OnboardLogs" /stypes="app*4026*20161130*" /stext=" 12:.+((SYSTEM_STATE.+slice.+state.+changed )|(ment ac)|(multiple cpu faults)|(system.+state.+changed )|(\[timeout)|(PRM\|1\|D)|(kpr)|(kdp)|(\|lc)|(penalty))" /e /r /s</v>
      </c>
      <c r="AG159" s="1" t="str">
        <f t="shared" si="60"/>
        <v>NW</v>
      </c>
      <c r="AH159" s="92" t="str">
        <f t="shared" si="46"/>
        <v>"%USERPROFILE%\Documents\GitHub\eaglep3\Utilities\RefineRTDCRunTimes.py" --tripid 800-30 --locoid 4026 --swversion DE.1.0.8.0 --startMP 300:58643 --initTime 2016-11-30T05:09:28 --startdatetime 2016-11-30T05:11:44 --delay 1 --endMP 204:755 --enddatetime 2016-11-30T05:26:41 --enforcementcount 0 &gt;&gt;C:\Users\stu\Documents\GitHub\eaglep3-reporting\EC\2016-11-30-refined-times.txt</v>
      </c>
      <c r="AI159" s="119" t="str">
        <f t="shared" si="47"/>
        <v>echo {"issue":{"subject":"","project_id":79,"tracker_id":40,"status_id":1,"priority_id":2,"assigned_to_id":23,"start_date":"2016-11-30","description":"","custom_fields":[{"id":1,"name":"Subdivision","value":"NW"},{"id":4,"name":"Milepost","value":"0.0755"},{"id":17,"name":"Train ID","value":"800-30"},{"id":16,"name":"Locomotive ID","value":"4026"},{"id":130,"name":"Impact","value":""},{"id":150,"name":"Time of Event (Mountain Time)","value":"05:26:41"},{"id":151,"name":"Denver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7" t="s">
        <v>566</v>
      </c>
      <c r="B160" s="7">
        <v>4025</v>
      </c>
      <c r="C160" s="22" t="s">
        <v>212</v>
      </c>
      <c r="D160" s="22" t="s">
        <v>838</v>
      </c>
      <c r="E160" s="13">
        <v>42704.241319444445</v>
      </c>
      <c r="F160" s="13">
        <v>42704.243958333333</v>
      </c>
      <c r="G160" s="7">
        <v>1</v>
      </c>
      <c r="H160" s="22" t="s">
        <v>839</v>
      </c>
      <c r="I160" s="13">
        <v>42704.253877314812</v>
      </c>
      <c r="J160" s="7">
        <v>0</v>
      </c>
      <c r="K160" s="109" t="str">
        <f t="shared" si="48"/>
        <v>4025/4026</v>
      </c>
      <c r="L160" s="22" t="str">
        <f>VLOOKUP(A160,'Trips&amp;Operators'!$C$1:$G$99999,5,FALSE)</f>
        <v>STARKS ANGELINA</v>
      </c>
      <c r="M160" s="6">
        <f t="shared" si="49"/>
        <v>9.9189814791316167E-3</v>
      </c>
      <c r="N160" s="7">
        <f t="shared" si="62"/>
        <v>14.283333329949528</v>
      </c>
      <c r="O160" s="7"/>
      <c r="P160" s="7"/>
      <c r="Q160" s="23"/>
      <c r="R160" s="23"/>
      <c r="S160" s="35">
        <f t="shared" si="61"/>
        <v>1</v>
      </c>
      <c r="T160" s="50" t="str">
        <f t="shared" si="50"/>
        <v>NorthBound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https://search-rtdc-monitor-bjffxe2xuh6vdkpspy63sjmuny.us-east-1.es.amazonaws.com/_plugin/kibana/#/discover/Steve-Slow-Train-Analysis-(2080s-and-2083s)?_g=(refreshInterval:(display:Off,section:0,value:0),time:(from:'2016-11-30 04:47:30-700',mode:absolute,to:'2016-11-30 07:05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60" s="52" t="str">
        <f t="shared" si="52"/>
        <v>N</v>
      </c>
      <c r="X160" s="177">
        <f t="shared" si="53"/>
        <v>1</v>
      </c>
      <c r="Y160" s="67">
        <f t="shared" si="54"/>
        <v>0.10349999999999999</v>
      </c>
      <c r="Z160" s="67">
        <f t="shared" si="55"/>
        <v>5.8954000000000004</v>
      </c>
      <c r="AA160" s="67">
        <f t="shared" si="56"/>
        <v>5.7919</v>
      </c>
      <c r="AB160" s="64" t="e">
        <f>VLOOKUP(A160,Enforcements!$C$7:$K$20,8,0)</f>
        <v>#N/A</v>
      </c>
      <c r="AC160" s="60" t="e">
        <f>VLOOKUP(A160,Enforcements!$C$7:$E$20,3,0)</f>
        <v>#N/A</v>
      </c>
      <c r="AD160" s="61" t="str">
        <f t="shared" si="57"/>
        <v>0801-30</v>
      </c>
      <c r="AE160" s="91" t="str">
        <f t="shared" si="58"/>
        <v>aws s3 cp s3://rtdc.mdm.uploadarchive.raw/RTDC4025/ "%USERPROFILE%\AppData\Local\Temp\OnboardLogs"\RTDC4025\2016-11-30 --exclude "*" --recursive --include "*20161130*" &amp; "%USERPROFILE%\Documents\GitHub\mrs-test-scripts\Headless Mode &amp; Sideloading\WalkAndUnGZ.bat" "%USERPROFILE%\AppData\Local\Temp\OnboardLogs"\RTDC4025\2016-11-30 &amp; aws s3 cp s3://rtdc.mdm.uploadarchive.raw/RTDC4025/ "%USERPROFILE%\AppData\Local\Temp\OnboardLogs"\RTDC4025\2016-12-01 --exclude "*" --recursive --include "*20161201*" &amp; "%USERPROFILE%\Documents\GitHub\mrs-test-scripts\Headless Mode &amp; Sideloading\WalkAndUnGZ.bat" "%USERPROFILE%\AppData\Local\Temp\OnboardLogs"\RTDC4025\2016-12-01</v>
      </c>
      <c r="AF160" s="88" t="str">
        <f t="shared" si="59"/>
        <v>"C:\Program Files (x86)\AstroGrep\AstroGrep.exe" /spath="%USERPROFILE%\AppData\Local\Temp\OnboardLogs" /stypes="app*4025*20161130*" /stext=" 13:.+((SYSTEM_STATE.+slice.+state.+changed )|(ment ac)|(multiple cpu faults)|(system.+state.+changed )|(\[timeout)|(PRM\|1\|D)|(kpr)|(kdp)|(\|lc)|(penalty))" /e /r /s</v>
      </c>
      <c r="AG160" s="1" t="str">
        <f t="shared" si="60"/>
        <v>NW</v>
      </c>
      <c r="AH160" s="92" t="str">
        <f t="shared" si="46"/>
        <v>"%USERPROFILE%\Documents\GitHub\eaglep3\Utilities\RefineRTDCRunTimes.py" --tripid 801-30 --locoid 4025 --swversion DE.1.0.8.0 --startMP 204:1035 --initTime 2016-11-30T05:47:30 --startdatetime 2016-11-30T05:51:18 --delay 1 --endMP 300:58954 --enddatetime 2016-11-30T06:05:35 --enforcementcount 0 &gt;&gt;C:\Users\stu\Documents\GitHub\eaglep3-reporting\EC\2016-11-30-refined-times.txt</v>
      </c>
      <c r="AI160" s="119" t="str">
        <f t="shared" si="47"/>
        <v>echo {"issue":{"subject":"","project_id":79,"tracker_id":40,"status_id":1,"priority_id":2,"assigned_to_id":23,"start_date":"2016-11-30","description":"","custom_fields":[{"id":1,"name":"Subdivision","value":"NW"},{"id":4,"name":"Milepost","value":"5.8954"},{"id":17,"name":"Train ID","value":"801-30"},{"id":16,"name":"Locomotive ID","value":"4025"},{"id":130,"name":"Impact","value":""},{"id":150,"name":"Time of Event (Mountain Time)","value":"06:05:35"},{"id":151,"name":"Denver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7" t="s">
        <v>571</v>
      </c>
      <c r="B161" s="7">
        <v>4026</v>
      </c>
      <c r="C161" s="22" t="s">
        <v>212</v>
      </c>
      <c r="D161" s="22" t="s">
        <v>836</v>
      </c>
      <c r="E161" s="13">
        <v>42704.255173611113</v>
      </c>
      <c r="F161" s="13">
        <v>42704.256585648145</v>
      </c>
      <c r="G161" s="7">
        <v>1</v>
      </c>
      <c r="H161" s="22" t="s">
        <v>840</v>
      </c>
      <c r="I161" s="13">
        <v>42704.268587962964</v>
      </c>
      <c r="J161" s="7">
        <v>0</v>
      </c>
      <c r="K161" s="109" t="str">
        <f t="shared" si="48"/>
        <v>4025/4026</v>
      </c>
      <c r="L161" s="22" t="str">
        <f>VLOOKUP(A161,'Trips&amp;Operators'!$C$1:$G$99999,5,FALSE)</f>
        <v>STARKS ANGELINA</v>
      </c>
      <c r="M161" s="6">
        <f t="shared" si="49"/>
        <v>1.2002314819255844E-2</v>
      </c>
      <c r="N161" s="7">
        <f t="shared" si="62"/>
        <v>17.283333339728415</v>
      </c>
      <c r="O161" s="7"/>
      <c r="P161" s="7"/>
      <c r="Q161" s="23"/>
      <c r="R161" s="23"/>
      <c r="S161" s="35">
        <f t="shared" si="61"/>
        <v>1</v>
      </c>
      <c r="T161" s="50" t="str">
        <f t="shared" si="50"/>
        <v>Southbound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https://search-rtdc-monitor-bjffxe2xuh6vdkpspy63sjmuny.us-east-1.es.amazonaws.com/_plugin/kibana/#/discover/Steve-Slow-Train-Analysis-(2080s-and-2083s)?_g=(refreshInterval:(display:Off,section:0,value:0),time:(from:'2016-11-30 05:07:27-700',mode:absolute,to:'2016-11-30 07:26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61" s="52" t="str">
        <f t="shared" si="52"/>
        <v>N</v>
      </c>
      <c r="X161" s="177">
        <f t="shared" si="53"/>
        <v>1</v>
      </c>
      <c r="Y161" s="67">
        <f t="shared" si="54"/>
        <v>5.8643000000000001</v>
      </c>
      <c r="Z161" s="67">
        <f t="shared" si="55"/>
        <v>7.6899999999999996E-2</v>
      </c>
      <c r="AA161" s="67">
        <f t="shared" si="56"/>
        <v>5.7873999999999999</v>
      </c>
      <c r="AB161" s="64" t="e">
        <f>VLOOKUP(A161,Enforcements!$C$7:$K$20,8,0)</f>
        <v>#N/A</v>
      </c>
      <c r="AC161" s="60" t="e">
        <f>VLOOKUP(A161,Enforcements!$C$7:$E$20,3,0)</f>
        <v>#N/A</v>
      </c>
      <c r="AD161" s="61" t="str">
        <f t="shared" si="57"/>
        <v>0802-30</v>
      </c>
      <c r="AE161" s="91" t="str">
        <f t="shared" si="58"/>
        <v>aws s3 cp s3://rtdc.mdm.uploadarchive.raw/RTDC4026/ "%USERPROFILE%\AppData\Local\Temp\OnboardLogs"\RTDC4026\2016-11-30 --exclude "*" --recursive --include "*20161130*" &amp; "%USERPROFILE%\Documents\GitHub\mrs-test-scripts\Headless Mode &amp; Sideloading\WalkAndUnGZ.bat" "%USERPROFILE%\AppData\Local\Temp\OnboardLogs"\RTDC4026\2016-11-30 &amp; aws s3 cp s3://rtdc.mdm.uploadarchive.raw/RTDC4026/ "%USERPROFILE%\AppData\Local\Temp\OnboardLogs"\RTDC4026\2016-12-01 --exclude "*" --recursive --include "*20161201*" &amp; "%USERPROFILE%\Documents\GitHub\mrs-test-scripts\Headless Mode &amp; Sideloading\WalkAndUnGZ.bat" "%USERPROFILE%\AppData\Local\Temp\OnboardLogs"\RTDC4026\2016-12-01</v>
      </c>
      <c r="AF161" s="88" t="str">
        <f t="shared" si="59"/>
        <v>"C:\Program Files (x86)\AstroGrep\AstroGrep.exe" /spath="%USERPROFILE%\AppData\Local\Temp\OnboardLogs" /stypes="app*4026*20161130*" /stext=" 13:.+((SYSTEM_STATE.+slice.+state.+changed )|(ment ac)|(multiple cpu faults)|(system.+state.+changed )|(\[timeout)|(PRM\|1\|D)|(kpr)|(kdp)|(\|lc)|(penalty))" /e /r /s</v>
      </c>
      <c r="AG161" s="1" t="str">
        <f t="shared" si="60"/>
        <v>NW</v>
      </c>
      <c r="AH161" s="92" t="str">
        <f t="shared" si="46"/>
        <v>"%USERPROFILE%\Documents\GitHub\eaglep3\Utilities\RefineRTDCRunTimes.py" --tripid 802-30 --locoid 4026 --swversion DE.1.0.8.0 --startMP 300:58643 --initTime 2016-11-30T06:07:27 --startdatetime 2016-11-30T06:09:29 --delay 1 --endMP 204:769 --enddatetime 2016-11-30T06:26:46 --enforcementcount 0 &gt;&gt;C:\Users\stu\Documents\GitHub\eaglep3-reporting\EC\2016-11-30-refined-times.txt</v>
      </c>
      <c r="AI161" s="119" t="str">
        <f t="shared" si="47"/>
        <v>echo {"issue":{"subject":"","project_id":79,"tracker_id":40,"status_id":1,"priority_id":2,"assigned_to_id":23,"start_date":"2016-11-30","description":"","custom_fields":[{"id":1,"name":"Subdivision","value":"NW"},{"id":4,"name":"Milepost","value":"0.0769"},{"id":17,"name":"Train ID","value":"802-30"},{"id":16,"name":"Locomotive ID","value":"4026"},{"id":130,"name":"Impact","value":""},{"id":150,"name":"Time of Event (Mountain Time)","value":"06:26:46"},{"id":151,"name":"Denver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7" t="s">
        <v>572</v>
      </c>
      <c r="B162" s="7">
        <v>4042</v>
      </c>
      <c r="C162" s="22" t="s">
        <v>212</v>
      </c>
      <c r="D162" s="22" t="s">
        <v>352</v>
      </c>
      <c r="E162" s="13">
        <v>42704.255856481483</v>
      </c>
      <c r="F162" s="13">
        <v>42704.264780092592</v>
      </c>
      <c r="G162" s="7">
        <v>1</v>
      </c>
      <c r="H162" s="22" t="s">
        <v>841</v>
      </c>
      <c r="I162" s="13">
        <v>42704.274201388886</v>
      </c>
      <c r="J162" s="7">
        <v>0</v>
      </c>
      <c r="K162" s="109" t="str">
        <f t="shared" si="48"/>
        <v>4041/4042</v>
      </c>
      <c r="L162" s="22" t="str">
        <f>VLOOKUP(A162,'Trips&amp;Operators'!$C$1:$G$99999,5,FALSE)</f>
        <v>GEBRETEKLE DAGNEW</v>
      </c>
      <c r="M162" s="6">
        <f t="shared" si="49"/>
        <v>9.4212962940218858E-3</v>
      </c>
      <c r="N162" s="7">
        <f t="shared" si="62"/>
        <v>13.566666663391516</v>
      </c>
      <c r="O162" s="7"/>
      <c r="P162" s="7"/>
      <c r="Q162" s="23"/>
      <c r="R162" s="23"/>
      <c r="S162" s="35">
        <f t="shared" si="61"/>
        <v>1</v>
      </c>
      <c r="T162" s="50" t="str">
        <f t="shared" si="50"/>
        <v>NorthBound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https://search-rtdc-monitor-bjffxe2xuh6vdkpspy63sjmuny.us-east-1.es.amazonaws.com/_plugin/kibana/#/discover/Steve-Slow-Train-Analysis-(2080s-and-2083s)?_g=(refreshInterval:(display:Off,section:0,value:0),time:(from:'2016-11-30 05:08:26-700',mode:absolute,to:'2016-11-30 07:34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62" s="52" t="str">
        <f t="shared" si="52"/>
        <v>N</v>
      </c>
      <c r="X162" s="177">
        <f t="shared" si="53"/>
        <v>1</v>
      </c>
      <c r="Y162" s="67">
        <f t="shared" si="54"/>
        <v>9.7900000000000001E-2</v>
      </c>
      <c r="Z162" s="67">
        <f t="shared" si="55"/>
        <v>5.8993000000000002</v>
      </c>
      <c r="AA162" s="67">
        <f t="shared" si="56"/>
        <v>5.8014000000000001</v>
      </c>
      <c r="AB162" s="64" t="e">
        <f>VLOOKUP(A162,Enforcements!$C$7:$K$20,8,0)</f>
        <v>#N/A</v>
      </c>
      <c r="AC162" s="60" t="e">
        <f>VLOOKUP(A162,Enforcements!$C$7:$E$20,3,0)</f>
        <v>#N/A</v>
      </c>
      <c r="AD162" s="61" t="str">
        <f t="shared" si="57"/>
        <v>0803-30</v>
      </c>
      <c r="AE162" s="91" t="str">
        <f t="shared" si="58"/>
        <v>aws s3 cp s3://rtdc.mdm.uploadarchive.raw/RTDC4042/ "%USERPROFILE%\AppData\Local\Temp\OnboardLogs"\RTDC4042\2016-11-30 --exclude "*" --recursive --include "*20161130*" &amp; "%USERPROFILE%\Documents\GitHub\mrs-test-scripts\Headless Mode &amp; Sideloading\WalkAndUnGZ.bat" "%USERPROFILE%\AppData\Local\Temp\OnboardLogs"\RTDC4042\2016-11-30 &amp; aws s3 cp s3://rtdc.mdm.uploadarchive.raw/RTDC4042/ "%USERPROFILE%\AppData\Local\Temp\OnboardLogs"\RTDC4042\2016-12-01 --exclude "*" --recursive --include "*20161201*" &amp; "%USERPROFILE%\Documents\GitHub\mrs-test-scripts\Headless Mode &amp; Sideloading\WalkAndUnGZ.bat" "%USERPROFILE%\AppData\Local\Temp\OnboardLogs"\RTDC4042\2016-12-01</v>
      </c>
      <c r="AF162" s="88" t="str">
        <f t="shared" si="59"/>
        <v>"C:\Program Files (x86)\AstroGrep\AstroGrep.exe" /spath="%USERPROFILE%\AppData\Local\Temp\OnboardLogs" /stypes="app*4042*20161130*" /stext=" 13:.+((SYSTEM_STATE.+slice.+state.+changed )|(ment ac)|(multiple cpu faults)|(system.+state.+changed )|(\[timeout)|(PRM\|1\|D)|(kpr)|(kdp)|(\|lc)|(penalty))" /e /r /s</v>
      </c>
      <c r="AG162" s="1" t="str">
        <f t="shared" si="60"/>
        <v>NW</v>
      </c>
      <c r="AH162" s="92" t="str">
        <f t="shared" si="46"/>
        <v>"%USERPROFILE%\Documents\GitHub\eaglep3\Utilities\RefineRTDCRunTimes.py" --tripid 803-30 --locoid 4042 --swversion DE.1.0.8.0 --startMP 204:979 --initTime 2016-11-30T06:08:26 --startdatetime 2016-11-30T06:21:17 --delay 1 --endMP 300:58993 --enddatetime 2016-11-30T06:34:51 --enforcementcount 0 &gt;&gt;C:\Users\stu\Documents\GitHub\eaglep3-reporting\EC\2016-11-30-refined-times.txt</v>
      </c>
      <c r="AI162" s="119" t="str">
        <f t="shared" si="47"/>
        <v>echo {"issue":{"subject":"","project_id":79,"tracker_id":40,"status_id":1,"priority_id":2,"assigned_to_id":23,"start_date":"2016-11-30","description":"","custom_fields":[{"id":1,"name":"Subdivision","value":"NW"},{"id":4,"name":"Milepost","value":"5.8993"},{"id":17,"name":"Train ID","value":"803-30"},{"id":16,"name":"Locomotive ID","value":"4042"},{"id":130,"name":"Impact","value":""},{"id":150,"name":"Time of Event (Mountain Time)","value":"06:34:51"},{"id":151,"name":"Denver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7" t="s">
        <v>575</v>
      </c>
      <c r="B163" s="7">
        <v>4041</v>
      </c>
      <c r="C163" s="22" t="s">
        <v>212</v>
      </c>
      <c r="D163" s="22" t="s">
        <v>842</v>
      </c>
      <c r="E163" s="13">
        <v>42704.275821759256</v>
      </c>
      <c r="F163" s="13">
        <v>42704.277337962965</v>
      </c>
      <c r="G163" s="7">
        <v>1</v>
      </c>
      <c r="H163" s="22" t="s">
        <v>512</v>
      </c>
      <c r="I163" s="13">
        <v>42704.289050925923</v>
      </c>
      <c r="J163" s="7">
        <v>0</v>
      </c>
      <c r="K163" s="109" t="str">
        <f t="shared" si="48"/>
        <v>4041/4042</v>
      </c>
      <c r="L163" s="22" t="str">
        <f>VLOOKUP(A163,'Trips&amp;Operators'!$C$1:$G$99999,5,FALSE)</f>
        <v>GEBRETEKLE DAGNEW</v>
      </c>
      <c r="M163" s="6">
        <f t="shared" si="49"/>
        <v>1.1712962957972195E-2</v>
      </c>
      <c r="N163" s="7">
        <f t="shared" si="62"/>
        <v>16.866666659479961</v>
      </c>
      <c r="O163" s="7"/>
      <c r="P163" s="7"/>
      <c r="Q163" s="23"/>
      <c r="R163" s="23"/>
      <c r="S163" s="35">
        <f t="shared" si="61"/>
        <v>1</v>
      </c>
      <c r="T163" s="50" t="str">
        <f t="shared" si="50"/>
        <v>Southbound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https://search-rtdc-monitor-bjffxe2xuh6vdkpspy63sjmuny.us-east-1.es.amazonaws.com/_plugin/kibana/#/discover/Steve-Slow-Train-Analysis-(2080s-and-2083s)?_g=(refreshInterval:(display:Off,section:0,value:0),time:(from:'2016-11-30 05:37:11-700',mode:absolute,to:'2016-11-30 07:56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63" s="52" t="str">
        <f t="shared" si="52"/>
        <v>N</v>
      </c>
      <c r="X163" s="177">
        <f t="shared" si="53"/>
        <v>1</v>
      </c>
      <c r="Y163" s="67">
        <f t="shared" si="54"/>
        <v>5.8673000000000002</v>
      </c>
      <c r="Z163" s="67">
        <f t="shared" si="55"/>
        <v>6.9199999999999998E-2</v>
      </c>
      <c r="AA163" s="67">
        <f t="shared" si="56"/>
        <v>5.7980999999999998</v>
      </c>
      <c r="AB163" s="64" t="e">
        <f>VLOOKUP(A163,Enforcements!$C$7:$K$20,8,0)</f>
        <v>#N/A</v>
      </c>
      <c r="AC163" s="60" t="e">
        <f>VLOOKUP(A163,Enforcements!$C$7:$E$20,3,0)</f>
        <v>#N/A</v>
      </c>
      <c r="AD163" s="61" t="str">
        <f t="shared" si="57"/>
        <v>0804-30</v>
      </c>
      <c r="AE163" s="91" t="str">
        <f t="shared" si="58"/>
        <v>aws s3 cp s3://rtdc.mdm.uploadarchive.raw/RTDC4041/ "%USERPROFILE%\AppData\Local\Temp\OnboardLogs"\RTDC4041\2016-11-30 --exclude "*" --recursive --include "*20161130*" &amp; "%USERPROFILE%\Documents\GitHub\mrs-test-scripts\Headless Mode &amp; Sideloading\WalkAndUnGZ.bat" "%USERPROFILE%\AppData\Local\Temp\OnboardLogs"\RTDC4041\2016-11-30 &amp; aws s3 cp s3://rtdc.mdm.uploadarchive.raw/RTDC4041/ "%USERPROFILE%\AppData\Local\Temp\OnboardLogs"\RTDC4041\2016-12-01 --exclude "*" --recursive --include "*20161201*" &amp; "%USERPROFILE%\Documents\GitHub\mrs-test-scripts\Headless Mode &amp; Sideloading\WalkAndUnGZ.bat" "%USERPROFILE%\AppData\Local\Temp\OnboardLogs"\RTDC4041\2016-12-01</v>
      </c>
      <c r="AF163" s="88" t="str">
        <f t="shared" si="59"/>
        <v>"C:\Program Files (x86)\AstroGrep\AstroGrep.exe" /spath="%USERPROFILE%\AppData\Local\Temp\OnboardLogs" /stypes="app*4041*20161130*" /stext=" 13:.+((SYSTEM_STATE.+slice.+state.+changed )|(ment ac)|(multiple cpu faults)|(system.+state.+changed )|(\[timeout)|(PRM\|1\|D)|(kpr)|(kdp)|(\|lc)|(penalty))" /e /r /s</v>
      </c>
      <c r="AG163" s="1" t="str">
        <f t="shared" si="60"/>
        <v>NW</v>
      </c>
      <c r="AH163" s="92" t="str">
        <f t="shared" si="46"/>
        <v>"%USERPROFILE%\Documents\GitHub\eaglep3\Utilities\RefineRTDCRunTimes.py" --tripid 804-30 --locoid 4041 --swversion DE.1.0.8.0 --startMP 300:58673 --initTime 2016-11-30T06:37:11 --startdatetime 2016-11-30T06:39:22 --delay 1 --endMP 204:692 --enddatetime 2016-11-30T06:56:14 --enforcementcount 0 &gt;&gt;C:\Users\stu\Documents\GitHub\eaglep3-reporting\EC\2016-11-30-refined-times.txt</v>
      </c>
      <c r="AI163" s="119" t="str">
        <f t="shared" si="47"/>
        <v>echo {"issue":{"subject":"","project_id":79,"tracker_id":40,"status_id":1,"priority_id":2,"assigned_to_id":23,"start_date":"2016-11-30","description":"","custom_fields":[{"id":1,"name":"Subdivision","value":"NW"},{"id":4,"name":"Milepost","value":"0.0692"},{"id":17,"name":"Train ID","value":"804-30"},{"id":16,"name":"Locomotive ID","value":"4041"},{"id":130,"name":"Impact","value":""},{"id":150,"name":"Time of Event (Mountain Time)","value":"06:56:14"},{"id":151,"name":"Denver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7" t="s">
        <v>576</v>
      </c>
      <c r="B164" s="7">
        <v>4025</v>
      </c>
      <c r="C164" s="22" t="s">
        <v>212</v>
      </c>
      <c r="D164" s="22" t="s">
        <v>843</v>
      </c>
      <c r="E164" s="13">
        <v>42704.279814814814</v>
      </c>
      <c r="F164" s="13">
        <v>42704.285925925928</v>
      </c>
      <c r="G164" s="7">
        <v>1</v>
      </c>
      <c r="H164" s="22" t="s">
        <v>844</v>
      </c>
      <c r="I164" s="13">
        <v>42704.295636574076</v>
      </c>
      <c r="J164" s="7">
        <v>0</v>
      </c>
      <c r="K164" s="109" t="str">
        <f t="shared" si="48"/>
        <v>4025/4026</v>
      </c>
      <c r="L164" s="22" t="str">
        <f>VLOOKUP(A164,'Trips&amp;Operators'!$C$1:$G$99999,5,FALSE)</f>
        <v>STARKS ANGELINA</v>
      </c>
      <c r="M164" s="6">
        <f t="shared" si="49"/>
        <v>9.710648148029577E-3</v>
      </c>
      <c r="N164" s="7">
        <f t="shared" si="62"/>
        <v>13.983333333162591</v>
      </c>
      <c r="O164" s="7"/>
      <c r="P164" s="7"/>
      <c r="Q164" s="23"/>
      <c r="R164" s="23"/>
      <c r="S164" s="35">
        <f t="shared" si="61"/>
        <v>1</v>
      </c>
      <c r="T164" s="50" t="str">
        <f t="shared" si="50"/>
        <v>NorthBound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https://search-rtdc-monitor-bjffxe2xuh6vdkpspy63sjmuny.us-east-1.es.amazonaws.com/_plugin/kibana/#/discover/Steve-Slow-Train-Analysis-(2080s-and-2083s)?_g=(refreshInterval:(display:Off,section:0,value:0),time:(from:'2016-11-30 05:42:56-700',mode:absolute,to:'2016-11-30 08:05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64" s="52" t="str">
        <f t="shared" si="52"/>
        <v>N</v>
      </c>
      <c r="X164" s="177">
        <f t="shared" si="53"/>
        <v>1</v>
      </c>
      <c r="Y164" s="67">
        <f t="shared" si="54"/>
        <v>0.10489999999999999</v>
      </c>
      <c r="Z164" s="67">
        <f t="shared" si="55"/>
        <v>5.8939000000000004</v>
      </c>
      <c r="AA164" s="67">
        <f t="shared" si="56"/>
        <v>5.7890000000000006</v>
      </c>
      <c r="AB164" s="64" t="e">
        <f>VLOOKUP(A164,Enforcements!$C$7:$K$20,8,0)</f>
        <v>#N/A</v>
      </c>
      <c r="AC164" s="60" t="e">
        <f>VLOOKUP(A164,Enforcements!$C$7:$E$20,3,0)</f>
        <v>#N/A</v>
      </c>
      <c r="AD164" s="61" t="str">
        <f t="shared" si="57"/>
        <v>0805-30</v>
      </c>
      <c r="AE164" s="91" t="str">
        <f t="shared" si="58"/>
        <v>aws s3 cp s3://rtdc.mdm.uploadarchive.raw/RTDC4025/ "%USERPROFILE%\AppData\Local\Temp\OnboardLogs"\RTDC4025\2016-11-30 --exclude "*" --recursive --include "*20161130*" &amp; "%USERPROFILE%\Documents\GitHub\mrs-test-scripts\Headless Mode &amp; Sideloading\WalkAndUnGZ.bat" "%USERPROFILE%\AppData\Local\Temp\OnboardLogs"\RTDC4025\2016-11-30 &amp; aws s3 cp s3://rtdc.mdm.uploadarchive.raw/RTDC4025/ "%USERPROFILE%\AppData\Local\Temp\OnboardLogs"\RTDC4025\2016-12-01 --exclude "*" --recursive --include "*20161201*" &amp; "%USERPROFILE%\Documents\GitHub\mrs-test-scripts\Headless Mode &amp; Sideloading\WalkAndUnGZ.bat" "%USERPROFILE%\AppData\Local\Temp\OnboardLogs"\RTDC4025\2016-12-01</v>
      </c>
      <c r="AF164" s="88" t="str">
        <f t="shared" si="59"/>
        <v>"C:\Program Files (x86)\AstroGrep\AstroGrep.exe" /spath="%USERPROFILE%\AppData\Local\Temp\OnboardLogs" /stypes="app*4025*20161130*" /stext=" 14:.+((SYSTEM_STATE.+slice.+state.+changed )|(ment ac)|(multiple cpu faults)|(system.+state.+changed )|(\[timeout)|(PRM\|1\|D)|(kpr)|(kdp)|(\|lc)|(penalty))" /e /r /s</v>
      </c>
      <c r="AG164" s="1" t="str">
        <f t="shared" si="60"/>
        <v>NW</v>
      </c>
      <c r="AH164" s="92" t="str">
        <f t="shared" si="46"/>
        <v>"%USERPROFILE%\Documents\GitHub\eaglep3\Utilities\RefineRTDCRunTimes.py" --tripid 805-30 --locoid 4025 --swversion DE.1.0.8.0 --startMP 204:1049 --initTime 2016-11-30T06:42:56 --startdatetime 2016-11-30T06:51:44 --delay 1 --endMP 300:58939 --enddatetime 2016-11-30T07:05:43 --enforcementcount 0 &gt;&gt;C:\Users\stu\Documents\GitHub\eaglep3-reporting\EC\2016-11-30-refined-times.txt</v>
      </c>
      <c r="AI164" s="119" t="str">
        <f t="shared" si="47"/>
        <v>echo {"issue":{"subject":"","project_id":79,"tracker_id":40,"status_id":1,"priority_id":2,"assigned_to_id":23,"start_date":"2016-11-30","description":"","custom_fields":[{"id":1,"name":"Subdivision","value":"NW"},{"id":4,"name":"Milepost","value":"5.8939"},{"id":17,"name":"Train ID","value":"805-30"},{"id":16,"name":"Locomotive ID","value":"4025"},{"id":130,"name":"Impact","value":""},{"id":150,"name":"Time of Event (Mountain Time)","value":"07:05:43"},{"id":151,"name":"Denver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7" t="s">
        <v>580</v>
      </c>
      <c r="B165" s="7">
        <v>4026</v>
      </c>
      <c r="C165" s="22" t="s">
        <v>212</v>
      </c>
      <c r="D165" s="22" t="s">
        <v>358</v>
      </c>
      <c r="E165" s="13">
        <v>42704.2971412037</v>
      </c>
      <c r="F165" s="13">
        <v>42704.298344907409</v>
      </c>
      <c r="G165" s="7">
        <v>1</v>
      </c>
      <c r="H165" s="22" t="s">
        <v>845</v>
      </c>
      <c r="I165" s="13">
        <v>42704.309814814813</v>
      </c>
      <c r="J165" s="7">
        <v>0</v>
      </c>
      <c r="K165" s="109" t="str">
        <f t="shared" si="48"/>
        <v>4025/4026</v>
      </c>
      <c r="L165" s="22" t="str">
        <f>VLOOKUP(A165,'Trips&amp;Operators'!$C$1:$G$99999,5,FALSE)</f>
        <v>STARKS ANGELINA</v>
      </c>
      <c r="M165" s="6">
        <f t="shared" si="49"/>
        <v>1.1469907403807156E-2</v>
      </c>
      <c r="N165" s="7">
        <f t="shared" si="62"/>
        <v>16.516666661482304</v>
      </c>
      <c r="O165" s="7"/>
      <c r="P165" s="7"/>
      <c r="Q165" s="23"/>
      <c r="R165" s="23"/>
      <c r="S165" s="35">
        <f t="shared" si="61"/>
        <v>1</v>
      </c>
      <c r="T165" s="50" t="str">
        <f t="shared" si="50"/>
        <v>Southbound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https://search-rtdc-monitor-bjffxe2xuh6vdkpspy63sjmuny.us-east-1.es.amazonaws.com/_plugin/kibana/#/discover/Steve-Slow-Train-Analysis-(2080s-and-2083s)?_g=(refreshInterval:(display:Off,section:0,value:0),time:(from:'2016-11-30 06:07:53-700',mode:absolute,to:'2016-11-30 08:26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65" s="52" t="str">
        <f t="shared" si="52"/>
        <v>N</v>
      </c>
      <c r="X165" s="177">
        <f t="shared" si="53"/>
        <v>1</v>
      </c>
      <c r="Y165" s="67">
        <f t="shared" si="54"/>
        <v>5.8623000000000003</v>
      </c>
      <c r="Z165" s="67">
        <f t="shared" si="55"/>
        <v>8.1500000000000003E-2</v>
      </c>
      <c r="AA165" s="67">
        <f t="shared" si="56"/>
        <v>5.7808000000000002</v>
      </c>
      <c r="AB165" s="64" t="e">
        <f>VLOOKUP(A165,Enforcements!$C$7:$K$20,8,0)</f>
        <v>#N/A</v>
      </c>
      <c r="AC165" s="60" t="e">
        <f>VLOOKUP(A165,Enforcements!$C$7:$E$20,3,0)</f>
        <v>#N/A</v>
      </c>
      <c r="AD165" s="61" t="str">
        <f t="shared" si="57"/>
        <v>0806-30</v>
      </c>
      <c r="AE165" s="91" t="str">
        <f t="shared" si="58"/>
        <v>aws s3 cp s3://rtdc.mdm.uploadarchive.raw/RTDC4026/ "%USERPROFILE%\AppData\Local\Temp\OnboardLogs"\RTDC4026\2016-11-30 --exclude "*" --recursive --include "*20161130*" &amp; "%USERPROFILE%\Documents\GitHub\mrs-test-scripts\Headless Mode &amp; Sideloading\WalkAndUnGZ.bat" "%USERPROFILE%\AppData\Local\Temp\OnboardLogs"\RTDC4026\2016-11-30 &amp; aws s3 cp s3://rtdc.mdm.uploadarchive.raw/RTDC4026/ "%USERPROFILE%\AppData\Local\Temp\OnboardLogs"\RTDC4026\2016-12-01 --exclude "*" --recursive --include "*20161201*" &amp; "%USERPROFILE%\Documents\GitHub\mrs-test-scripts\Headless Mode &amp; Sideloading\WalkAndUnGZ.bat" "%USERPROFILE%\AppData\Local\Temp\OnboardLogs"\RTDC4026\2016-12-01</v>
      </c>
      <c r="AF165" s="88" t="str">
        <f t="shared" si="59"/>
        <v>"C:\Program Files (x86)\AstroGrep\AstroGrep.exe" /spath="%USERPROFILE%\AppData\Local\Temp\OnboardLogs" /stypes="app*4026*20161130*" /stext=" 14:.+((SYSTEM_STATE.+slice.+state.+changed )|(ment ac)|(multiple cpu faults)|(system.+state.+changed )|(\[timeout)|(PRM\|1\|D)|(kpr)|(kdp)|(\|lc)|(penalty))" /e /r /s</v>
      </c>
      <c r="AG165" s="1" t="str">
        <f t="shared" si="60"/>
        <v>NW</v>
      </c>
      <c r="AH165" s="92" t="str">
        <f t="shared" si="46"/>
        <v>"%USERPROFILE%\Documents\GitHub\eaglep3\Utilities\RefineRTDCRunTimes.py" --tripid 806-30 --locoid 4026 --swversion DE.1.0.8.0 --startMP 300:58623 --initTime 2016-11-30T07:07:53 --startdatetime 2016-11-30T07:09:37 --delay 1 --endMP 204:815 --enddatetime 2016-11-30T07:26:08 --enforcementcount 0 &gt;&gt;C:\Users\stu\Documents\GitHub\eaglep3-reporting\EC\2016-11-30-refined-times.txt</v>
      </c>
      <c r="AI165" s="119" t="str">
        <f t="shared" si="47"/>
        <v>echo {"issue":{"subject":"","project_id":79,"tracker_id":40,"status_id":1,"priority_id":2,"assigned_to_id":23,"start_date":"2016-11-30","description":"","custom_fields":[{"id":1,"name":"Subdivision","value":"NW"},{"id":4,"name":"Milepost","value":"0.0815"},{"id":17,"name":"Train ID","value":"806-30"},{"id":16,"name":"Locomotive ID","value":"4026"},{"id":130,"name":"Impact","value":""},{"id":150,"name":"Time of Event (Mountain Time)","value":"07:26:08"},{"id":151,"name":"Denver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</row>
    <row r="166" spans="1:91" s="21" customFormat="1" x14ac:dyDescent="0.25">
      <c r="A166" s="37" t="s">
        <v>527</v>
      </c>
      <c r="B166" s="7">
        <v>4042</v>
      </c>
      <c r="C166" s="22" t="s">
        <v>212</v>
      </c>
      <c r="D166" s="22" t="s">
        <v>506</v>
      </c>
      <c r="E166" s="13">
        <v>42704.299953703703</v>
      </c>
      <c r="F166" s="13">
        <v>42704.30667824074</v>
      </c>
      <c r="G166" s="7">
        <v>1</v>
      </c>
      <c r="H166" s="22" t="s">
        <v>846</v>
      </c>
      <c r="I166" s="13">
        <v>42704.317384259259</v>
      </c>
      <c r="J166" s="7">
        <v>0</v>
      </c>
      <c r="K166" s="109" t="str">
        <f t="shared" si="48"/>
        <v>4041/4042</v>
      </c>
      <c r="L166" s="22" t="str">
        <f>VLOOKUP(A166,'Trips&amp;Operators'!$C$1:$G$99999,5,FALSE)</f>
        <v>CUSHING HARRY</v>
      </c>
      <c r="M166" s="6">
        <f t="shared" si="49"/>
        <v>1.0706018518249039E-2</v>
      </c>
      <c r="N166" s="7">
        <f t="shared" si="62"/>
        <v>15.416666666278616</v>
      </c>
      <c r="O166" s="7"/>
      <c r="P166" s="7"/>
      <c r="Q166" s="23"/>
      <c r="R166" s="23"/>
      <c r="S166" s="35">
        <f t="shared" si="61"/>
        <v>1</v>
      </c>
      <c r="T166" s="50" t="str">
        <f t="shared" si="50"/>
        <v>NorthBound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https://search-rtdc-monitor-bjffxe2xuh6vdkpspy63sjmuny.us-east-1.es.amazonaws.com/_plugin/kibana/#/discover/Steve-Slow-Train-Analysis-(2080s-and-2083s)?_g=(refreshInterval:(display:Off,section:0,value:0),time:(from:'2016-11-30 06:11:56-700',mode:absolute,to:'2016-11-30 08:37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66" s="52" t="str">
        <f t="shared" si="52"/>
        <v>N</v>
      </c>
      <c r="X166" s="177">
        <f t="shared" si="53"/>
        <v>1</v>
      </c>
      <c r="Y166" s="67">
        <f t="shared" si="54"/>
        <v>9.8100000000000007E-2</v>
      </c>
      <c r="Z166" s="67">
        <f t="shared" si="55"/>
        <v>5.8986000000000001</v>
      </c>
      <c r="AA166" s="67">
        <f t="shared" si="56"/>
        <v>5.8005000000000004</v>
      </c>
      <c r="AB166" s="64" t="e">
        <f>VLOOKUP(A166,Enforcements!$C$7:$K$20,8,0)</f>
        <v>#N/A</v>
      </c>
      <c r="AC166" s="60" t="e">
        <f>VLOOKUP(A166,Enforcements!$C$7:$E$20,3,0)</f>
        <v>#N/A</v>
      </c>
      <c r="AD166" s="61" t="str">
        <f t="shared" si="57"/>
        <v>0807-30</v>
      </c>
      <c r="AE166" s="91" t="str">
        <f t="shared" si="58"/>
        <v>aws s3 cp s3://rtdc.mdm.uploadarchive.raw/RTDC4042/ "%USERPROFILE%\AppData\Local\Temp\OnboardLogs"\RTDC4042\2016-11-30 --exclude "*" --recursive --include "*20161130*" &amp; "%USERPROFILE%\Documents\GitHub\mrs-test-scripts\Headless Mode &amp; Sideloading\WalkAndUnGZ.bat" "%USERPROFILE%\AppData\Local\Temp\OnboardLogs"\RTDC4042\2016-11-30 &amp; aws s3 cp s3://rtdc.mdm.uploadarchive.raw/RTDC4042/ "%USERPROFILE%\AppData\Local\Temp\OnboardLogs"\RTDC4042\2016-12-01 --exclude "*" --recursive --include "*20161201*" &amp; "%USERPROFILE%\Documents\GitHub\mrs-test-scripts\Headless Mode &amp; Sideloading\WalkAndUnGZ.bat" "%USERPROFILE%\AppData\Local\Temp\OnboardLogs"\RTDC4042\2016-12-01</v>
      </c>
      <c r="AF166" s="88" t="str">
        <f t="shared" si="59"/>
        <v>"C:\Program Files (x86)\AstroGrep\AstroGrep.exe" /spath="%USERPROFILE%\AppData\Local\Temp\OnboardLogs" /stypes="app*4042*20161130*" /stext=" 14:.+((SYSTEM_STATE.+slice.+state.+changed )|(ment ac)|(multiple cpu faults)|(system.+state.+changed )|(\[timeout)|(PRM\|1\|D)|(kpr)|(kdp)|(\|lc)|(penalty))" /e /r /s</v>
      </c>
      <c r="AG166" s="1" t="str">
        <f t="shared" si="60"/>
        <v>NW</v>
      </c>
      <c r="AH166" s="92" t="str">
        <f t="shared" si="46"/>
        <v>"%USERPROFILE%\Documents\GitHub\eaglep3\Utilities\RefineRTDCRunTimes.py" --tripid 807-30 --locoid 4042 --swversion DE.1.0.8.0 --startMP 204:981 --initTime 2016-11-30T07:11:56 --startdatetime 2016-11-30T07:21:37 --delay 1 --endMP 300:58986 --enddatetime 2016-11-30T07:37:02 --enforcementcount 0 &gt;&gt;C:\Users\stu\Documents\GitHub\eaglep3-reporting\EC\2016-11-30-refined-times.txt</v>
      </c>
      <c r="AI166" s="119" t="str">
        <f t="shared" si="47"/>
        <v>echo {"issue":{"subject":"","project_id":79,"tracker_id":40,"status_id":1,"priority_id":2,"assigned_to_id":23,"start_date":"2016-11-30","description":"","custom_fields":[{"id":1,"name":"Subdivision","value":"NW"},{"id":4,"name":"Milepost","value":"5.8986"},{"id":17,"name":"Train ID","value":"807-30"},{"id":16,"name":"Locomotive ID","value":"4042"},{"id":130,"name":"Impact","value":""},{"id":150,"name":"Time of Event (Mountain Time)","value":"07:37:02"},{"id":151,"name":"Denver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7" t="s">
        <v>585</v>
      </c>
      <c r="B167" s="7">
        <v>4041</v>
      </c>
      <c r="C167" s="22" t="s">
        <v>212</v>
      </c>
      <c r="D167" s="22" t="s">
        <v>847</v>
      </c>
      <c r="E167" s="13">
        <v>42704.318831018521</v>
      </c>
      <c r="F167" s="13">
        <v>42704.320324074077</v>
      </c>
      <c r="G167" s="7">
        <v>1</v>
      </c>
      <c r="H167" s="22" t="s">
        <v>510</v>
      </c>
      <c r="I167" s="13">
        <v>42704.331493055557</v>
      </c>
      <c r="J167" s="7">
        <v>0</v>
      </c>
      <c r="K167" s="109" t="str">
        <f t="shared" si="48"/>
        <v>4041/4042</v>
      </c>
      <c r="L167" s="22" t="str">
        <f>VLOOKUP(A167,'Trips&amp;Operators'!$C$1:$G$99999,5,FALSE)</f>
        <v>CUSHING HARRY</v>
      </c>
      <c r="M167" s="6">
        <f t="shared" si="49"/>
        <v>1.116898148029577E-2</v>
      </c>
      <c r="N167" s="7">
        <f t="shared" si="62"/>
        <v>16.083333331625909</v>
      </c>
      <c r="O167" s="7"/>
      <c r="P167" s="7"/>
      <c r="Q167" s="23"/>
      <c r="R167" s="23"/>
      <c r="S167" s="35">
        <f t="shared" si="61"/>
        <v>1</v>
      </c>
      <c r="T167" s="50" t="str">
        <f t="shared" si="50"/>
        <v>Southbound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https://search-rtdc-monitor-bjffxe2xuh6vdkpspy63sjmuny.us-east-1.es.amazonaws.com/_plugin/kibana/#/discover/Steve-Slow-Train-Analysis-(2080s-and-2083s)?_g=(refreshInterval:(display:Off,section:0,value:0),time:(from:'2016-11-30 06:39:07-700',mode:absolute,to:'2016-11-30 08:57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67" s="52" t="str">
        <f t="shared" si="52"/>
        <v>N</v>
      </c>
      <c r="X167" s="177">
        <f t="shared" si="53"/>
        <v>1</v>
      </c>
      <c r="Y167" s="67">
        <f t="shared" si="54"/>
        <v>5.8678999999999997</v>
      </c>
      <c r="Z167" s="67">
        <f t="shared" si="55"/>
        <v>6.8000000000000005E-2</v>
      </c>
      <c r="AA167" s="67">
        <f t="shared" si="56"/>
        <v>5.7999000000000001</v>
      </c>
      <c r="AB167" s="64" t="e">
        <f>VLOOKUP(A167,Enforcements!$C$7:$K$20,8,0)</f>
        <v>#N/A</v>
      </c>
      <c r="AC167" s="60" t="e">
        <f>VLOOKUP(A167,Enforcements!$C$7:$E$20,3,0)</f>
        <v>#N/A</v>
      </c>
      <c r="AD167" s="61" t="str">
        <f t="shared" si="57"/>
        <v>0808-30</v>
      </c>
      <c r="AE167" s="91" t="str">
        <f t="shared" si="58"/>
        <v>aws s3 cp s3://rtdc.mdm.uploadarchive.raw/RTDC4041/ "%USERPROFILE%\AppData\Local\Temp\OnboardLogs"\RTDC4041\2016-11-30 --exclude "*" --recursive --include "*20161130*" &amp; "%USERPROFILE%\Documents\GitHub\mrs-test-scripts\Headless Mode &amp; Sideloading\WalkAndUnGZ.bat" "%USERPROFILE%\AppData\Local\Temp\OnboardLogs"\RTDC4041\2016-11-30 &amp; aws s3 cp s3://rtdc.mdm.uploadarchive.raw/RTDC4041/ "%USERPROFILE%\AppData\Local\Temp\OnboardLogs"\RTDC4041\2016-12-01 --exclude "*" --recursive --include "*20161201*" &amp; "%USERPROFILE%\Documents\GitHub\mrs-test-scripts\Headless Mode &amp; Sideloading\WalkAndUnGZ.bat" "%USERPROFILE%\AppData\Local\Temp\OnboardLogs"\RTDC4041\2016-12-01</v>
      </c>
      <c r="AF167" s="88" t="str">
        <f t="shared" si="59"/>
        <v>"C:\Program Files (x86)\AstroGrep\AstroGrep.exe" /spath="%USERPROFILE%\AppData\Local\Temp\OnboardLogs" /stypes="app*4041*20161130*" /stext=" 14:.+((SYSTEM_STATE.+slice.+state.+changed )|(ment ac)|(multiple cpu faults)|(system.+state.+changed )|(\[timeout)|(PRM\|1\|D)|(kpr)|(kdp)|(\|lc)|(penalty))" /e /r /s</v>
      </c>
      <c r="AG167" s="1" t="str">
        <f t="shared" si="60"/>
        <v>NW</v>
      </c>
      <c r="AH167" s="92" t="str">
        <f t="shared" si="46"/>
        <v>"%USERPROFILE%\Documents\GitHub\eaglep3\Utilities\RefineRTDCRunTimes.py" --tripid 808-30 --locoid 4041 --swversion DE.1.0.8.0 --startMP 300:58679 --initTime 2016-11-30T07:39:07 --startdatetime 2016-11-30T07:41:16 --delay 1 --endMP 204:680 --enddatetime 2016-11-30T07:57:21 --enforcementcount 0 &gt;&gt;C:\Users\stu\Documents\GitHub\eaglep3-reporting\EC\2016-11-30-refined-times.txt</v>
      </c>
      <c r="AI167" s="119" t="str">
        <f t="shared" si="47"/>
        <v>echo {"issue":{"subject":"","project_id":79,"tracker_id":40,"status_id":1,"priority_id":2,"assigned_to_id":23,"start_date":"2016-11-30","description":"","custom_fields":[{"id":1,"name":"Subdivision","value":"NW"},{"id":4,"name":"Milepost","value":"0.068"},{"id":17,"name":"Train ID","value":"808-30"},{"id":16,"name":"Locomotive ID","value":"4041"},{"id":130,"name":"Impact","value":""},{"id":150,"name":"Time of Event (Mountain Time)","value":"07:57:21"},{"id":151,"name":"Denver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</row>
    <row r="168" spans="1:91" x14ac:dyDescent="0.25">
      <c r="A168" s="37" t="s">
        <v>528</v>
      </c>
      <c r="B168" s="7">
        <v>4025</v>
      </c>
      <c r="C168" s="22" t="s">
        <v>212</v>
      </c>
      <c r="D168" s="22" t="s">
        <v>848</v>
      </c>
      <c r="E168" s="13">
        <v>42704.311307870368</v>
      </c>
      <c r="F168" s="13">
        <v>42704.32744212963</v>
      </c>
      <c r="G168" s="7">
        <v>1</v>
      </c>
      <c r="H168" s="22" t="s">
        <v>844</v>
      </c>
      <c r="I168" s="13">
        <v>42704.339456018519</v>
      </c>
      <c r="J168" s="7">
        <v>0</v>
      </c>
      <c r="K168" s="109" t="str">
        <f t="shared" si="48"/>
        <v>4025/4026</v>
      </c>
      <c r="L168" s="22" t="str">
        <f>VLOOKUP(A168,'Trips&amp;Operators'!$C$1:$G$99999,5,FALSE)</f>
        <v>STARKS ANGELINA</v>
      </c>
      <c r="M168" s="6">
        <f t="shared" si="49"/>
        <v>1.2013888888759539E-2</v>
      </c>
      <c r="N168" s="7">
        <f t="shared" si="62"/>
        <v>17.299999999813735</v>
      </c>
      <c r="O168" s="7"/>
      <c r="P168" s="7"/>
      <c r="Q168" s="23"/>
      <c r="R168" s="23"/>
      <c r="S168" s="35">
        <f t="shared" si="61"/>
        <v>1</v>
      </c>
      <c r="T168" s="50" t="str">
        <f t="shared" si="50"/>
        <v>NorthBound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https://search-rtdc-monitor-bjffxe2xuh6vdkpspy63sjmuny.us-east-1.es.amazonaws.com/_plugin/kibana/#/discover/Steve-Slow-Train-Analysis-(2080s-and-2083s)?_g=(refreshInterval:(display:Off,section:0,value:0),time:(from:'2016-11-30 06:28:17-700',mode:absolute,to:'2016-11-30 09:08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68" s="52" t="str">
        <f t="shared" si="52"/>
        <v>N</v>
      </c>
      <c r="X168" s="177">
        <f t="shared" ref="X168:X170" si="63">VALUE(LEFT(AD168,4))-VALUE(LEFT(AD167,4))</f>
        <v>1</v>
      </c>
      <c r="Y168" s="67">
        <f t="shared" si="54"/>
        <v>0.1111</v>
      </c>
      <c r="Z168" s="67">
        <f t="shared" si="55"/>
        <v>5.8939000000000004</v>
      </c>
      <c r="AA168" s="67">
        <f t="shared" si="56"/>
        <v>5.7827999999999999</v>
      </c>
      <c r="AB168" s="64" t="e">
        <f>VLOOKUP(A168,Enforcements!$C$7:$K$20,8,0)</f>
        <v>#N/A</v>
      </c>
      <c r="AC168" s="60" t="e">
        <f>VLOOKUP(A168,Enforcements!$C$7:$E$20,3,0)</f>
        <v>#N/A</v>
      </c>
      <c r="AD168" s="61" t="str">
        <f t="shared" si="57"/>
        <v>0809-30</v>
      </c>
      <c r="AE168" s="91" t="str">
        <f t="shared" si="58"/>
        <v>aws s3 cp s3://rtdc.mdm.uploadarchive.raw/RTDC4025/ "%USERPROFILE%\AppData\Local\Temp\OnboardLogs"\RTDC4025\2016-11-30 --exclude "*" --recursive --include "*20161130*" &amp; "%USERPROFILE%\Documents\GitHub\mrs-test-scripts\Headless Mode &amp; Sideloading\WalkAndUnGZ.bat" "%USERPROFILE%\AppData\Local\Temp\OnboardLogs"\RTDC4025\2016-11-30 &amp; aws s3 cp s3://rtdc.mdm.uploadarchive.raw/RTDC4025/ "%USERPROFILE%\AppData\Local\Temp\OnboardLogs"\RTDC4025\2016-12-01 --exclude "*" --recursive --include "*20161201*" &amp; "%USERPROFILE%\Documents\GitHub\mrs-test-scripts\Headless Mode &amp; Sideloading\WalkAndUnGZ.bat" "%USERPROFILE%\AppData\Local\Temp\OnboardLogs"\RTDC4025\2016-12-01</v>
      </c>
      <c r="AF168" s="88" t="str">
        <f t="shared" si="59"/>
        <v>"C:\Program Files (x86)\AstroGrep\AstroGrep.exe" /spath="%USERPROFILE%\AppData\Local\Temp\OnboardLogs" /stypes="app*4025*20161130*" /stext=" 15:.+((SYSTEM_STATE.+slice.+state.+changed )|(ment ac)|(multiple cpu faults)|(system.+state.+changed )|(\[timeout)|(PRM\|1\|D)|(kpr)|(kdp)|(\|lc)|(penalty))" /e /r /s</v>
      </c>
      <c r="AG168" s="1" t="str">
        <f t="shared" si="60"/>
        <v>NW</v>
      </c>
      <c r="AH168" s="92" t="str">
        <f t="shared" si="46"/>
        <v>"%USERPROFILE%\Documents\GitHub\eaglep3\Utilities\RefineRTDCRunTimes.py" --tripid 809-30 --locoid 4025 --swversion DE.1.0.8.0 --startMP 204:1111 --initTime 2016-11-30T07:28:17 --startdatetime 2016-11-30T07:51:31 --delay 1 --endMP 300:58939 --enddatetime 2016-11-30T08:08:49 --enforcementcount 0 &gt;&gt;C:\Users\stu\Documents\GitHub\eaglep3-reporting\EC\2016-11-30-refined-times.txt</v>
      </c>
      <c r="AI168" s="119" t="str">
        <f t="shared" si="47"/>
        <v>echo {"issue":{"subject":"","project_id":79,"tracker_id":40,"status_id":1,"priority_id":2,"assigned_to_id":23,"start_date":"2016-11-30","description":"","custom_fields":[{"id":1,"name":"Subdivision","value":"NW"},{"id":4,"name":"Milepost","value":"5.8939"},{"id":17,"name":"Train ID","value":"809-30"},{"id":16,"name":"Locomotive ID","value":"4025"},{"id":130,"name":"Impact","value":""},{"id":150,"name":"Time of Event (Mountain Time)","value":"08:08:49"},{"id":151,"name":"Denver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</row>
    <row r="169" spans="1:91" s="21" customFormat="1" x14ac:dyDescent="0.25">
      <c r="A169" s="37" t="s">
        <v>529</v>
      </c>
      <c r="B169" s="7">
        <v>4026</v>
      </c>
      <c r="C169" s="22" t="s">
        <v>212</v>
      </c>
      <c r="D169" s="22" t="s">
        <v>850</v>
      </c>
      <c r="E169" s="13">
        <v>42704.340775462966</v>
      </c>
      <c r="F169" s="13">
        <v>42704.341932870368</v>
      </c>
      <c r="G169" s="7">
        <v>1</v>
      </c>
      <c r="H169" s="22" t="s">
        <v>851</v>
      </c>
      <c r="I169" s="13">
        <v>42704.351759259262</v>
      </c>
      <c r="J169" s="7">
        <v>0</v>
      </c>
      <c r="K169" s="109" t="str">
        <f t="shared" si="48"/>
        <v>4025/4026</v>
      </c>
      <c r="L169" s="22" t="str">
        <f>VLOOKUP(A169,'Trips&amp;Operators'!$C$1:$G$99999,5,FALSE)</f>
        <v>STARKS ANGELINA</v>
      </c>
      <c r="M169" s="6">
        <f t="shared" si="49"/>
        <v>9.826388893998228E-3</v>
      </c>
      <c r="N169" s="7">
        <f t="shared" si="62"/>
        <v>14.150000007357448</v>
      </c>
      <c r="O169" s="7"/>
      <c r="P169" s="7"/>
      <c r="Q169" s="23"/>
      <c r="R169" s="23"/>
      <c r="S169" s="35">
        <f t="shared" si="61"/>
        <v>1</v>
      </c>
      <c r="T169" s="50" t="str">
        <f t="shared" si="50"/>
        <v>Southbound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https://search-rtdc-monitor-bjffxe2xuh6vdkpspy63sjmuny.us-east-1.es.amazonaws.com/_plugin/kibana/#/discover/Steve-Slow-Train-Analysis-(2080s-and-2083s)?_g=(refreshInterval:(display:Off,section:0,value:0),time:(from:'2016-11-30 07:10:43-700',mode:absolute,to:'2016-11-30 09:26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69" s="52" t="str">
        <f t="shared" si="52"/>
        <v>N</v>
      </c>
      <c r="X169" s="177">
        <f t="shared" si="63"/>
        <v>1</v>
      </c>
      <c r="Y169" s="67">
        <f t="shared" si="54"/>
        <v>5.8628</v>
      </c>
      <c r="Z169" s="67">
        <f t="shared" si="55"/>
        <v>6.6400000000000001E-2</v>
      </c>
      <c r="AA169" s="67">
        <f t="shared" si="56"/>
        <v>5.7964000000000002</v>
      </c>
      <c r="AB169" s="64" t="e">
        <f>VLOOKUP(A169,Enforcements!$C$7:$K$20,8,0)</f>
        <v>#N/A</v>
      </c>
      <c r="AC169" s="60" t="e">
        <f>VLOOKUP(A169,Enforcements!$C$7:$E$20,3,0)</f>
        <v>#N/A</v>
      </c>
      <c r="AD169" s="61" t="str">
        <f t="shared" si="57"/>
        <v>0810-30</v>
      </c>
      <c r="AE169" s="91" t="str">
        <f t="shared" si="58"/>
        <v>aws s3 cp s3://rtdc.mdm.uploadarchive.raw/RTDC4026/ "%USERPROFILE%\AppData\Local\Temp\OnboardLogs"\RTDC4026\2016-11-30 --exclude "*" --recursive --include "*20161130*" &amp; "%USERPROFILE%\Documents\GitHub\mrs-test-scripts\Headless Mode &amp; Sideloading\WalkAndUnGZ.bat" "%USERPROFILE%\AppData\Local\Temp\OnboardLogs"\RTDC4026\2016-11-30 &amp; aws s3 cp s3://rtdc.mdm.uploadarchive.raw/RTDC4026/ "%USERPROFILE%\AppData\Local\Temp\OnboardLogs"\RTDC4026\2016-12-01 --exclude "*" --recursive --include "*20161201*" &amp; "%USERPROFILE%\Documents\GitHub\mrs-test-scripts\Headless Mode &amp; Sideloading\WalkAndUnGZ.bat" "%USERPROFILE%\AppData\Local\Temp\OnboardLogs"\RTDC4026\2016-12-01</v>
      </c>
      <c r="AF169" s="88" t="str">
        <f t="shared" si="59"/>
        <v>"C:\Program Files (x86)\AstroGrep\AstroGrep.exe" /spath="%USERPROFILE%\AppData\Local\Temp\OnboardLogs" /stypes="app*4026*20161130*" /stext=" 15:.+((SYSTEM_STATE.+slice.+state.+changed )|(ment ac)|(multiple cpu faults)|(system.+state.+changed )|(\[timeout)|(PRM\|1\|D)|(kpr)|(kdp)|(\|lc)|(penalty))" /e /r /s</v>
      </c>
      <c r="AG169" s="1" t="str">
        <f t="shared" si="60"/>
        <v>NW</v>
      </c>
      <c r="AH169" s="92" t="str">
        <f t="shared" si="46"/>
        <v>"%USERPROFILE%\Documents\GitHub\eaglep3\Utilities\RefineRTDCRunTimes.py" --tripid 810-30 --locoid 4026 --swversion DE.1.0.8.0 --startMP 300:58628 --initTime 2016-11-30T08:10:43 --startdatetime 2016-11-30T08:12:23 --delay 1 --endMP 204:664 --enddatetime 2016-11-30T08:26:32 --enforcementcount 0 &gt;&gt;C:\Users\stu\Documents\GitHub\eaglep3-reporting\EC\2016-11-30-refined-times.txt</v>
      </c>
      <c r="AI169" s="119" t="str">
        <f t="shared" si="47"/>
        <v>echo {"issue":{"subject":"","project_id":79,"tracker_id":40,"status_id":1,"priority_id":2,"assigned_to_id":23,"start_date":"2016-11-30","description":"","custom_fields":[{"id":1,"name":"Subdivision","value":"NW"},{"id":4,"name":"Milepost","value":"0.0664"},{"id":17,"name":"Train ID","value":"810-30"},{"id":16,"name":"Locomotive ID","value":"4026"},{"id":130,"name":"Impact","value":""},{"id":150,"name":"Time of Event (Mountain Time)","value":"08:26:32"},{"id":151,"name":"Denver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7" t="s">
        <v>591</v>
      </c>
      <c r="B170" s="7">
        <v>4042</v>
      </c>
      <c r="C170" s="22" t="s">
        <v>212</v>
      </c>
      <c r="D170" s="22" t="s">
        <v>357</v>
      </c>
      <c r="E170" s="13">
        <v>42704.34302083333</v>
      </c>
      <c r="F170" s="13">
        <v>42704.348090277781</v>
      </c>
      <c r="G170" s="7">
        <v>1</v>
      </c>
      <c r="H170" s="22" t="s">
        <v>852</v>
      </c>
      <c r="I170" s="13">
        <v>42704.358819444446</v>
      </c>
      <c r="J170" s="7">
        <v>0</v>
      </c>
      <c r="K170" s="109" t="str">
        <f t="shared" si="48"/>
        <v>4041/4042</v>
      </c>
      <c r="L170" s="22" t="str">
        <f>VLOOKUP(A170,'Trips&amp;Operators'!$C$1:$G$99999,5,FALSE)</f>
        <v>BEAM ROSS</v>
      </c>
      <c r="M170" s="6">
        <f t="shared" si="49"/>
        <v>1.0729166664532386E-2</v>
      </c>
      <c r="N170" s="7">
        <f t="shared" si="62"/>
        <v>15.449999996926636</v>
      </c>
      <c r="O170" s="7"/>
      <c r="P170" s="7"/>
      <c r="Q170" s="23"/>
      <c r="R170" s="23"/>
      <c r="S170" s="35">
        <f t="shared" si="61"/>
        <v>1</v>
      </c>
      <c r="T170" s="50" t="str">
        <f t="shared" si="50"/>
        <v>NorthBound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https://search-rtdc-monitor-bjffxe2xuh6vdkpspy63sjmuny.us-east-1.es.amazonaws.com/_plugin/kibana/#/discover/Steve-Slow-Train-Analysis-(2080s-and-2083s)?_g=(refreshInterval:(display:Off,section:0,value:0),time:(from:'2016-11-30 07:13:57-700',mode:absolute,to:'2016-11-30 09:36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70" s="52" t="str">
        <f t="shared" si="52"/>
        <v>N</v>
      </c>
      <c r="X170" s="177">
        <f t="shared" si="63"/>
        <v>1</v>
      </c>
      <c r="Y170" s="67">
        <f t="shared" si="54"/>
        <v>9.7100000000000006E-2</v>
      </c>
      <c r="Z170" s="67">
        <f t="shared" si="55"/>
        <v>5.9002999999999997</v>
      </c>
      <c r="AA170" s="67">
        <f t="shared" si="56"/>
        <v>5.8031999999999995</v>
      </c>
      <c r="AB170" s="64" t="e">
        <f>VLOOKUP(A170,Enforcements!$C$7:$K$20,8,0)</f>
        <v>#N/A</v>
      </c>
      <c r="AC170" s="60" t="e">
        <f>VLOOKUP(A170,Enforcements!$C$7:$E$20,3,0)</f>
        <v>#N/A</v>
      </c>
      <c r="AD170" s="61" t="str">
        <f t="shared" si="57"/>
        <v>0811-30</v>
      </c>
      <c r="AE170" s="91" t="str">
        <f t="shared" si="58"/>
        <v>aws s3 cp s3://rtdc.mdm.uploadarchive.raw/RTDC4042/ "%USERPROFILE%\AppData\Local\Temp\OnboardLogs"\RTDC4042\2016-11-30 --exclude "*" --recursive --include "*20161130*" &amp; "%USERPROFILE%\Documents\GitHub\mrs-test-scripts\Headless Mode &amp; Sideloading\WalkAndUnGZ.bat" "%USERPROFILE%\AppData\Local\Temp\OnboardLogs"\RTDC4042\2016-11-30 &amp; aws s3 cp s3://rtdc.mdm.uploadarchive.raw/RTDC4042/ "%USERPROFILE%\AppData\Local\Temp\OnboardLogs"\RTDC4042\2016-12-01 --exclude "*" --recursive --include "*20161201*" &amp; "%USERPROFILE%\Documents\GitHub\mrs-test-scripts\Headless Mode &amp; Sideloading\WalkAndUnGZ.bat" "%USERPROFILE%\AppData\Local\Temp\OnboardLogs"\RTDC4042\2016-12-01</v>
      </c>
      <c r="AF170" s="88" t="str">
        <f t="shared" si="59"/>
        <v>"C:\Program Files (x86)\AstroGrep\AstroGrep.exe" /spath="%USERPROFILE%\AppData\Local\Temp\OnboardLogs" /stypes="app*4042*20161130*" /stext=" 15:.+((SYSTEM_STATE.+slice.+state.+changed )|(ment ac)|(multiple cpu faults)|(system.+state.+changed )|(\[timeout)|(PRM\|1\|D)|(kpr)|(kdp)|(\|lc)|(penalty))" /e /r /s</v>
      </c>
      <c r="AG170" s="1" t="str">
        <f t="shared" si="60"/>
        <v>NW</v>
      </c>
      <c r="AH170" s="92" t="str">
        <f t="shared" si="46"/>
        <v>"%USERPROFILE%\Documents\GitHub\eaglep3\Utilities\RefineRTDCRunTimes.py" --tripid 811-30 --locoid 4042 --swversion DE.1.0.8.0 --startMP 204:971 --initTime 2016-11-30T08:13:57 --startdatetime 2016-11-30T08:21:15 --delay 1 --endMP 300:59003 --enddatetime 2016-11-30T08:36:42 --enforcementcount 0 &gt;&gt;C:\Users\stu\Documents\GitHub\eaglep3-reporting\EC\2016-11-30-refined-times.txt</v>
      </c>
      <c r="AI170" s="119" t="str">
        <f t="shared" si="47"/>
        <v>echo {"issue":{"subject":"","project_id":79,"tracker_id":40,"status_id":1,"priority_id":2,"assigned_to_id":23,"start_date":"2016-11-30","description":"","custom_fields":[{"id":1,"name":"Subdivision","value":"NW"},{"id":4,"name":"Milepost","value":"5.9003"},{"id":17,"name":"Train ID","value":"811-30"},{"id":16,"name":"Locomotive ID","value":"4042"},{"id":130,"name":"Impact","value":""},{"id":150,"name":"Time of Event (Mountain Time)","value":"08:36:42"},{"id":151,"name":"Denver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7" t="s">
        <v>596</v>
      </c>
      <c r="B171" s="7">
        <v>4041</v>
      </c>
      <c r="C171" s="22" t="s">
        <v>212</v>
      </c>
      <c r="D171" s="22" t="s">
        <v>853</v>
      </c>
      <c r="E171" s="13">
        <v>42704.359849537039</v>
      </c>
      <c r="F171" s="13">
        <v>42704.361064814817</v>
      </c>
      <c r="G171" s="7">
        <v>1</v>
      </c>
      <c r="H171" s="22" t="s">
        <v>854</v>
      </c>
      <c r="I171" s="13">
        <v>42704.372094907405</v>
      </c>
      <c r="J171" s="7">
        <v>0</v>
      </c>
      <c r="K171" s="109" t="str">
        <f t="shared" si="48"/>
        <v>4041/4042</v>
      </c>
      <c r="L171" s="22" t="str">
        <f>VLOOKUP(A171,'Trips&amp;Operators'!$C$1:$G$99999,5,FALSE)</f>
        <v>BEAM ROSS</v>
      </c>
      <c r="M171" s="6">
        <f t="shared" si="49"/>
        <v>1.1030092588043772E-2</v>
      </c>
      <c r="N171" s="7">
        <f t="shared" si="62"/>
        <v>15.883333326783031</v>
      </c>
      <c r="O171" s="7"/>
      <c r="P171" s="7"/>
      <c r="Q171" s="23"/>
      <c r="R171" s="23"/>
      <c r="S171" s="35">
        <f t="shared" si="61"/>
        <v>1</v>
      </c>
      <c r="T171" s="50" t="str">
        <f t="shared" si="50"/>
        <v>Southbound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https://search-rtdc-monitor-bjffxe2xuh6vdkpspy63sjmuny.us-east-1.es.amazonaws.com/_plugin/kibana/#/discover/Steve-Slow-Train-Analysis-(2080s-and-2083s)?_g=(refreshInterval:(display:Off,section:0,value:0),time:(from:'2016-11-30 07:38:11-700',mode:absolute,to:'2016-11-30 09:55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71" s="52" t="str">
        <f t="shared" si="52"/>
        <v>N</v>
      </c>
      <c r="X171" s="177">
        <f t="shared" ref="X171:X202" si="64">VALUE(LEFT(AD171,4))-VALUE(LEFT(AD170,4))</f>
        <v>1</v>
      </c>
      <c r="Y171" s="67">
        <f t="shared" si="54"/>
        <v>5.8688000000000002</v>
      </c>
      <c r="Z171" s="67">
        <f t="shared" si="55"/>
        <v>7.7799999999999994E-2</v>
      </c>
      <c r="AA171" s="67">
        <f t="shared" si="56"/>
        <v>5.7910000000000004</v>
      </c>
      <c r="AB171" s="64" t="e">
        <f>VLOOKUP(A171,Enforcements!$C$7:$K$20,8,0)</f>
        <v>#N/A</v>
      </c>
      <c r="AC171" s="60" t="e">
        <f>VLOOKUP(A171,Enforcements!$C$7:$E$20,3,0)</f>
        <v>#N/A</v>
      </c>
      <c r="AD171" s="61" t="str">
        <f t="shared" si="57"/>
        <v>0812-30</v>
      </c>
      <c r="AE171" s="91" t="str">
        <f t="shared" si="58"/>
        <v>aws s3 cp s3://rtdc.mdm.uploadarchive.raw/RTDC4041/ "%USERPROFILE%\AppData\Local\Temp\OnboardLogs"\RTDC4041\2016-11-30 --exclude "*" --recursive --include "*20161130*" &amp; "%USERPROFILE%\Documents\GitHub\mrs-test-scripts\Headless Mode &amp; Sideloading\WalkAndUnGZ.bat" "%USERPROFILE%\AppData\Local\Temp\OnboardLogs"\RTDC4041\2016-11-30 &amp; aws s3 cp s3://rtdc.mdm.uploadarchive.raw/RTDC4041/ "%USERPROFILE%\AppData\Local\Temp\OnboardLogs"\RTDC4041\2016-12-01 --exclude "*" --recursive --include "*20161201*" &amp; "%USERPROFILE%\Documents\GitHub\mrs-test-scripts\Headless Mode &amp; Sideloading\WalkAndUnGZ.bat" "%USERPROFILE%\AppData\Local\Temp\OnboardLogs"\RTDC4041\2016-12-01</v>
      </c>
      <c r="AF171" s="88" t="str">
        <f t="shared" si="59"/>
        <v>"C:\Program Files (x86)\AstroGrep\AstroGrep.exe" /spath="%USERPROFILE%\AppData\Local\Temp\OnboardLogs" /stypes="app*4041*20161130*" /stext=" 15:.+((SYSTEM_STATE.+slice.+state.+changed )|(ment ac)|(multiple cpu faults)|(system.+state.+changed )|(\[timeout)|(PRM\|1\|D)|(kpr)|(kdp)|(\|lc)|(penalty))" /e /r /s</v>
      </c>
      <c r="AG171" s="1" t="str">
        <f t="shared" si="60"/>
        <v>NW</v>
      </c>
      <c r="AH171" s="92" t="str">
        <f t="shared" si="46"/>
        <v>"%USERPROFILE%\Documents\GitHub\eaglep3\Utilities\RefineRTDCRunTimes.py" --tripid 812-30 --locoid 4041 --swversion DE.1.0.8.0 --startMP 300:58688 --initTime 2016-11-30T08:38:11 --startdatetime 2016-11-30T08:39:56 --delay 1 --endMP 204:778 --enddatetime 2016-11-30T08:55:49 --enforcementcount 0 &gt;&gt;C:\Users\stu\Documents\GitHub\eaglep3-reporting\EC\2016-11-30-refined-times.txt</v>
      </c>
      <c r="AI171" s="119" t="str">
        <f t="shared" si="47"/>
        <v>echo {"issue":{"subject":"","project_id":79,"tracker_id":40,"status_id":1,"priority_id":2,"assigned_to_id":23,"start_date":"2016-11-30","description":"","custom_fields":[{"id":1,"name":"Subdivision","value":"NW"},{"id":4,"name":"Milepost","value":"0.0778"},{"id":17,"name":"Train ID","value":"812-30"},{"id":16,"name":"Locomotive ID","value":"4041"},{"id":130,"name":"Impact","value":""},{"id":150,"name":"Time of Event (Mountain Time)","value":"08:55:49"},{"id":151,"name":"Denver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x14ac:dyDescent="0.25">
      <c r="A172" s="37" t="s">
        <v>600</v>
      </c>
      <c r="B172" s="7">
        <v>4042</v>
      </c>
      <c r="C172" s="22" t="s">
        <v>212</v>
      </c>
      <c r="D172" s="22" t="s">
        <v>855</v>
      </c>
      <c r="E172" s="13">
        <v>42704.377800925926</v>
      </c>
      <c r="F172" s="13">
        <v>42704.389756944445</v>
      </c>
      <c r="G172" s="7">
        <v>1</v>
      </c>
      <c r="H172" s="22" t="s">
        <v>856</v>
      </c>
      <c r="I172" s="13">
        <v>42704.398969907408</v>
      </c>
      <c r="J172" s="7">
        <v>0</v>
      </c>
      <c r="K172" s="109" t="str">
        <f t="shared" si="48"/>
        <v>4041/4042</v>
      </c>
      <c r="L172" s="22" t="str">
        <f>VLOOKUP(A172,'Trips&amp;Operators'!$C$1:$G$99999,5,FALSE)</f>
        <v>GEBRETEKLE DAGNEW</v>
      </c>
      <c r="M172" s="6">
        <f t="shared" si="49"/>
        <v>9.2129629629198462E-3</v>
      </c>
      <c r="N172" s="7">
        <f t="shared" si="62"/>
        <v>13.266666666604578</v>
      </c>
      <c r="O172" s="7"/>
      <c r="P172" s="7"/>
      <c r="Q172" s="23"/>
      <c r="R172" s="23"/>
      <c r="S172" s="35">
        <f t="shared" si="61"/>
        <v>1</v>
      </c>
      <c r="T172" s="50" t="str">
        <f t="shared" si="50"/>
        <v>NorthBound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https://search-rtdc-monitor-bjffxe2xuh6vdkpspy63sjmuny.us-east-1.es.amazonaws.com/_plugin/kibana/#/discover/Steve-Slow-Train-Analysis-(2080s-and-2083s)?_g=(refreshInterval:(display:Off,section:0,value:0),time:(from:'2016-11-30 08:04:02-700',mode:absolute,to:'2016-11-30 10:34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72" s="52" t="str">
        <f t="shared" si="52"/>
        <v>N</v>
      </c>
      <c r="X172" s="177">
        <f t="shared" si="64"/>
        <v>1</v>
      </c>
      <c r="Y172" s="67">
        <f t="shared" si="54"/>
        <v>0.1065</v>
      </c>
      <c r="Z172" s="67">
        <f t="shared" si="55"/>
        <v>5.8994999999999997</v>
      </c>
      <c r="AA172" s="67">
        <f t="shared" si="56"/>
        <v>5.7930000000000001</v>
      </c>
      <c r="AB172" s="64" t="e">
        <f>VLOOKUP(A172,Enforcements!$C$7:$K$20,8,0)</f>
        <v>#N/A</v>
      </c>
      <c r="AC172" s="60" t="e">
        <f>VLOOKUP(A172,Enforcements!$C$7:$E$20,3,0)</f>
        <v>#N/A</v>
      </c>
      <c r="AD172" s="61" t="str">
        <f t="shared" si="57"/>
        <v>0813-30</v>
      </c>
      <c r="AE172" s="91" t="str">
        <f t="shared" si="58"/>
        <v>aws s3 cp s3://rtdc.mdm.uploadarchive.raw/RTDC4042/ "%USERPROFILE%\AppData\Local\Temp\OnboardLogs"\RTDC4042\2016-11-30 --exclude "*" --recursive --include "*20161130*" &amp; "%USERPROFILE%\Documents\GitHub\mrs-test-scripts\Headless Mode &amp; Sideloading\WalkAndUnGZ.bat" "%USERPROFILE%\AppData\Local\Temp\OnboardLogs"\RTDC4042\2016-11-30 &amp; aws s3 cp s3://rtdc.mdm.uploadarchive.raw/RTDC4042/ "%USERPROFILE%\AppData\Local\Temp\OnboardLogs"\RTDC4042\2016-12-01 --exclude "*" --recursive --include "*20161201*" &amp; "%USERPROFILE%\Documents\GitHub\mrs-test-scripts\Headless Mode &amp; Sideloading\WalkAndUnGZ.bat" "%USERPROFILE%\AppData\Local\Temp\OnboardLogs"\RTDC4042\2016-12-01</v>
      </c>
      <c r="AF172" s="88" t="str">
        <f t="shared" si="59"/>
        <v>"C:\Program Files (x86)\AstroGrep\AstroGrep.exe" /spath="%USERPROFILE%\AppData\Local\Temp\OnboardLogs" /stypes="app*4042*20161130*" /stext=" 16:.+((SYSTEM_STATE.+slice.+state.+changed )|(ment ac)|(multiple cpu faults)|(system.+state.+changed )|(\[timeout)|(PRM\|1\|D)|(kpr)|(kdp)|(\|lc)|(penalty))" /e /r /s</v>
      </c>
      <c r="AG172" s="1" t="str">
        <f t="shared" si="60"/>
        <v>NW</v>
      </c>
      <c r="AH172" s="92" t="str">
        <f t="shared" si="46"/>
        <v>"%USERPROFILE%\Documents\GitHub\eaglep3\Utilities\RefineRTDCRunTimes.py" --tripid 813-30 --locoid 4042 --swversion DE.1.0.8.0 --startMP 204:1065 --initTime 2016-11-30T09:04:02 --startdatetime 2016-11-30T09:21:15 --delay 1 --endMP 300:58995 --enddatetime 2016-11-30T09:34:31 --enforcementcount 0 &gt;&gt;C:\Users\stu\Documents\GitHub\eaglep3-reporting\EC\2016-11-30-refined-times.txt</v>
      </c>
      <c r="AI172" s="119" t="str">
        <f t="shared" si="47"/>
        <v>echo {"issue":{"subject":"","project_id":79,"tracker_id":40,"status_id":1,"priority_id":2,"assigned_to_id":23,"start_date":"2016-11-30","description":"","custom_fields":[{"id":1,"name":"Subdivision","value":"NW"},{"id":4,"name":"Milepost","value":"5.8995"},{"id":17,"name":"Train ID","value":"813-30"},{"id":16,"name":"Locomotive ID","value":"4042"},{"id":130,"name":"Impact","value":""},{"id":150,"name":"Time of Event (Mountain Time)","value":"09:34:31"},{"id":151,"name":"Denver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</row>
    <row r="173" spans="1:91" x14ac:dyDescent="0.25">
      <c r="A173" s="37" t="s">
        <v>605</v>
      </c>
      <c r="B173" s="7">
        <v>4041</v>
      </c>
      <c r="C173" s="22" t="s">
        <v>212</v>
      </c>
      <c r="D173" s="22" t="s">
        <v>842</v>
      </c>
      <c r="E173" s="13">
        <v>42704.400358796294</v>
      </c>
      <c r="F173" s="13">
        <v>42704.40216435185</v>
      </c>
      <c r="G173" s="7">
        <v>1</v>
      </c>
      <c r="H173" s="22" t="s">
        <v>758</v>
      </c>
      <c r="I173" s="13">
        <v>42704.41302083333</v>
      </c>
      <c r="J173" s="7">
        <v>0</v>
      </c>
      <c r="K173" s="109" t="str">
        <f t="shared" si="48"/>
        <v>4041/4042</v>
      </c>
      <c r="L173" s="22" t="str">
        <f>VLOOKUP(A173,'Trips&amp;Operators'!$C$1:$G$99999,5,FALSE)</f>
        <v>GEBRETEKLE DAGNEW</v>
      </c>
      <c r="M173" s="6">
        <f t="shared" si="49"/>
        <v>1.0856481480004732E-2</v>
      </c>
      <c r="N173" s="7">
        <f t="shared" si="62"/>
        <v>15.633333331206813</v>
      </c>
      <c r="O173" s="7"/>
      <c r="P173" s="7"/>
      <c r="Q173" s="23"/>
      <c r="R173" s="23"/>
      <c r="S173" s="35">
        <f t="shared" si="61"/>
        <v>1</v>
      </c>
      <c r="T173" s="50" t="str">
        <f t="shared" si="50"/>
        <v>Southbound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https://search-rtdc-monitor-bjffxe2xuh6vdkpspy63sjmuny.us-east-1.es.amazonaws.com/_plugin/kibana/#/discover/Steve-Slow-Train-Analysis-(2080s-and-2083s)?_g=(refreshInterval:(display:Off,section:0,value:0),time:(from:'2016-11-30 08:36:31-700',mode:absolute,to:'2016-11-30 10:54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73" s="52" t="str">
        <f t="shared" si="52"/>
        <v>N</v>
      </c>
      <c r="X173" s="177">
        <f t="shared" si="64"/>
        <v>1</v>
      </c>
      <c r="Y173" s="67">
        <f t="shared" si="54"/>
        <v>5.8673000000000002</v>
      </c>
      <c r="Z173" s="67">
        <f t="shared" si="55"/>
        <v>7.0300000000000001E-2</v>
      </c>
      <c r="AA173" s="67">
        <f t="shared" si="56"/>
        <v>5.7970000000000006</v>
      </c>
      <c r="AB173" s="64" t="e">
        <f>VLOOKUP(A173,Enforcements!$C$7:$K$20,8,0)</f>
        <v>#N/A</v>
      </c>
      <c r="AC173" s="60" t="e">
        <f>VLOOKUP(A173,Enforcements!$C$7:$E$20,3,0)</f>
        <v>#N/A</v>
      </c>
      <c r="AD173" s="61" t="str">
        <f t="shared" si="57"/>
        <v>0814-30</v>
      </c>
      <c r="AE173" s="91" t="str">
        <f t="shared" si="58"/>
        <v>aws s3 cp s3://rtdc.mdm.uploadarchive.raw/RTDC4041/ "%USERPROFILE%\AppData\Local\Temp\OnboardLogs"\RTDC4041\2016-11-30 --exclude "*" --recursive --include "*20161130*" &amp; "%USERPROFILE%\Documents\GitHub\mrs-test-scripts\Headless Mode &amp; Sideloading\WalkAndUnGZ.bat" "%USERPROFILE%\AppData\Local\Temp\OnboardLogs"\RTDC4041\2016-11-30 &amp; aws s3 cp s3://rtdc.mdm.uploadarchive.raw/RTDC4041/ "%USERPROFILE%\AppData\Local\Temp\OnboardLogs"\RTDC4041\2016-12-01 --exclude "*" --recursive --include "*20161201*" &amp; "%USERPROFILE%\Documents\GitHub\mrs-test-scripts\Headless Mode &amp; Sideloading\WalkAndUnGZ.bat" "%USERPROFILE%\AppData\Local\Temp\OnboardLogs"\RTDC4041\2016-12-01</v>
      </c>
      <c r="AF173" s="88" t="str">
        <f t="shared" si="59"/>
        <v>"C:\Program Files (x86)\AstroGrep\AstroGrep.exe" /spath="%USERPROFILE%\AppData\Local\Temp\OnboardLogs" /stypes="app*4041*20161130*" /stext=" 16:.+((SYSTEM_STATE.+slice.+state.+changed )|(ment ac)|(multiple cpu faults)|(system.+state.+changed )|(\[timeout)|(PRM\|1\|D)|(kpr)|(kdp)|(\|lc)|(penalty))" /e /r /s</v>
      </c>
      <c r="AG173" s="1" t="str">
        <f t="shared" si="60"/>
        <v>NW</v>
      </c>
      <c r="AH173" s="92" t="str">
        <f t="shared" si="46"/>
        <v>"%USERPROFILE%\Documents\GitHub\eaglep3\Utilities\RefineRTDCRunTimes.py" --tripid 814-30 --locoid 4041 --swversion DE.1.0.8.0 --startMP 300:58673 --initTime 2016-11-30T09:36:31 --startdatetime 2016-11-30T09:39:07 --delay 1 --endMP 204:703 --enddatetime 2016-11-30T09:54:45 --enforcementcount 0 &gt;&gt;C:\Users\stu\Documents\GitHub\eaglep3-reporting\EC\2016-11-30-refined-times.txt</v>
      </c>
      <c r="AI173" s="119" t="str">
        <f t="shared" si="47"/>
        <v>echo {"issue":{"subject":"","project_id":79,"tracker_id":40,"status_id":1,"priority_id":2,"assigned_to_id":23,"start_date":"2016-11-30","description":"","custom_fields":[{"id":1,"name":"Subdivision","value":"NW"},{"id":4,"name":"Milepost","value":"0.0703"},{"id":17,"name":"Train ID","value":"814-30"},{"id":16,"name":"Locomotive ID","value":"4041"},{"id":130,"name":"Impact","value":""},{"id":150,"name":"Time of Event (Mountain Time)","value":"09:54:45"},{"id":151,"name":"Denver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</row>
    <row r="174" spans="1:91" s="21" customFormat="1" x14ac:dyDescent="0.25">
      <c r="A174" s="37" t="s">
        <v>608</v>
      </c>
      <c r="B174" s="7">
        <v>4042</v>
      </c>
      <c r="C174" s="22" t="s">
        <v>212</v>
      </c>
      <c r="D174" s="22" t="s">
        <v>357</v>
      </c>
      <c r="E174" s="13">
        <v>42704.416944444441</v>
      </c>
      <c r="F174" s="13">
        <v>42704.431805555556</v>
      </c>
      <c r="G174" s="7">
        <v>1</v>
      </c>
      <c r="H174" s="22" t="s">
        <v>857</v>
      </c>
      <c r="I174" s="13">
        <v>42704.44122685185</v>
      </c>
      <c r="J174" s="7">
        <v>0</v>
      </c>
      <c r="K174" s="109" t="str">
        <f t="shared" si="48"/>
        <v>4041/4042</v>
      </c>
      <c r="L174" s="22" t="str">
        <f>VLOOKUP(A174,'Trips&amp;Operators'!$C$1:$G$99999,5,FALSE)</f>
        <v>GEBRETEKLE DAGNEW</v>
      </c>
      <c r="M174" s="6">
        <f t="shared" si="49"/>
        <v>9.4212962940218858E-3</v>
      </c>
      <c r="N174" s="7">
        <f t="shared" si="62"/>
        <v>13.566666663391516</v>
      </c>
      <c r="O174" s="7"/>
      <c r="P174" s="7"/>
      <c r="Q174" s="23"/>
      <c r="R174" s="23"/>
      <c r="S174" s="35">
        <f t="shared" si="61"/>
        <v>1</v>
      </c>
      <c r="T174" s="50" t="str">
        <f t="shared" si="50"/>
        <v>NorthBound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https://search-rtdc-monitor-bjffxe2xuh6vdkpspy63sjmuny.us-east-1.es.amazonaws.com/_plugin/kibana/#/discover/Steve-Slow-Train-Analysis-(2080s-and-2083s)?_g=(refreshInterval:(display:Off,section:0,value:0),time:(from:'2016-11-30 09:00:24-700',mode:absolute,to:'2016-11-30 11:35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74" s="52" t="str">
        <f t="shared" si="52"/>
        <v>N</v>
      </c>
      <c r="X174" s="177">
        <f t="shared" si="64"/>
        <v>1</v>
      </c>
      <c r="Y174" s="67">
        <f t="shared" si="54"/>
        <v>9.7100000000000006E-2</v>
      </c>
      <c r="Z174" s="67">
        <f t="shared" si="55"/>
        <v>5.8987999999999996</v>
      </c>
      <c r="AA174" s="67">
        <f t="shared" si="56"/>
        <v>5.8016999999999994</v>
      </c>
      <c r="AB174" s="64" t="e">
        <f>VLOOKUP(A174,Enforcements!$C$7:$K$20,8,0)</f>
        <v>#N/A</v>
      </c>
      <c r="AC174" s="60" t="e">
        <f>VLOOKUP(A174,Enforcements!$C$7:$E$20,3,0)</f>
        <v>#N/A</v>
      </c>
      <c r="AD174" s="61" t="str">
        <f t="shared" si="57"/>
        <v>0815-30</v>
      </c>
      <c r="AE174" s="91" t="str">
        <f t="shared" si="58"/>
        <v>aws s3 cp s3://rtdc.mdm.uploadarchive.raw/RTDC4042/ "%USERPROFILE%\AppData\Local\Temp\OnboardLogs"\RTDC4042\2016-11-30 --exclude "*" --recursive --include "*20161130*" &amp; "%USERPROFILE%\Documents\GitHub\mrs-test-scripts\Headless Mode &amp; Sideloading\WalkAndUnGZ.bat" "%USERPROFILE%\AppData\Local\Temp\OnboardLogs"\RTDC4042\2016-11-30 &amp; aws s3 cp s3://rtdc.mdm.uploadarchive.raw/RTDC4042/ "%USERPROFILE%\AppData\Local\Temp\OnboardLogs"\RTDC4042\2016-12-01 --exclude "*" --recursive --include "*20161201*" &amp; "%USERPROFILE%\Documents\GitHub\mrs-test-scripts\Headless Mode &amp; Sideloading\WalkAndUnGZ.bat" "%USERPROFILE%\AppData\Local\Temp\OnboardLogs"\RTDC4042\2016-12-01</v>
      </c>
      <c r="AF174" s="88" t="str">
        <f t="shared" si="59"/>
        <v>"C:\Program Files (x86)\AstroGrep\AstroGrep.exe" /spath="%USERPROFILE%\AppData\Local\Temp\OnboardLogs" /stypes="app*4042*20161130*" /stext=" 17:.+((SYSTEM_STATE.+slice.+state.+changed )|(ment ac)|(multiple cpu faults)|(system.+state.+changed )|(\[timeout)|(PRM\|1\|D)|(kpr)|(kdp)|(\|lc)|(penalty))" /e /r /s</v>
      </c>
      <c r="AG174" s="1" t="str">
        <f t="shared" si="60"/>
        <v>NW</v>
      </c>
      <c r="AH174" s="92" t="str">
        <f t="shared" si="46"/>
        <v>"%USERPROFILE%\Documents\GitHub\eaglep3\Utilities\RefineRTDCRunTimes.py" --tripid 815-30 --locoid 4042 --swversion DE.1.0.8.0 --startMP 204:971 --initTime 2016-11-30T10:00:24 --startdatetime 2016-11-30T10:21:48 --delay 1 --endMP 300:58988 --enddatetime 2016-11-30T10:35:22 --enforcementcount 0 &gt;&gt;C:\Users\stu\Documents\GitHub\eaglep3-reporting\EC\2016-11-30-refined-times.txt</v>
      </c>
      <c r="AI174" s="119" t="str">
        <f t="shared" si="47"/>
        <v>echo {"issue":{"subject":"","project_id":79,"tracker_id":40,"status_id":1,"priority_id":2,"assigned_to_id":23,"start_date":"2016-11-30","description":"","custom_fields":[{"id":1,"name":"Subdivision","value":"NW"},{"id":4,"name":"Milepost","value":"5.8988"},{"id":17,"name":"Train ID","value":"815-30"},{"id":16,"name":"Locomotive ID","value":"4042"},{"id":130,"name":"Impact","value":""},{"id":150,"name":"Time of Event (Mountain Time)","value":"10:35:22"},{"id":151,"name":"Denver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7" t="s">
        <v>613</v>
      </c>
      <c r="B175" s="7">
        <v>4041</v>
      </c>
      <c r="C175" s="22" t="s">
        <v>212</v>
      </c>
      <c r="D175" s="22" t="s">
        <v>842</v>
      </c>
      <c r="E175" s="13">
        <v>42704.442777777775</v>
      </c>
      <c r="F175" s="13">
        <v>42704.444351851853</v>
      </c>
      <c r="G175" s="7">
        <v>1</v>
      </c>
      <c r="H175" s="22" t="s">
        <v>508</v>
      </c>
      <c r="I175" s="13">
        <v>42704.454571759263</v>
      </c>
      <c r="J175" s="7">
        <v>0</v>
      </c>
      <c r="K175" s="109" t="str">
        <f t="shared" si="48"/>
        <v>4041/4042</v>
      </c>
      <c r="L175" s="22" t="str">
        <f>VLOOKUP(A175,'Trips&amp;Operators'!$C$1:$G$99999,5,FALSE)</f>
        <v>GEBRETEKLE DAGNEW</v>
      </c>
      <c r="M175" s="6">
        <f t="shared" si="49"/>
        <v>1.021990740991896E-2</v>
      </c>
      <c r="N175" s="7">
        <f t="shared" si="62"/>
        <v>14.716666670283303</v>
      </c>
      <c r="O175" s="7"/>
      <c r="P175" s="7"/>
      <c r="Q175" s="23"/>
      <c r="R175" s="23"/>
      <c r="S175" s="35">
        <f t="shared" si="61"/>
        <v>1</v>
      </c>
      <c r="T175" s="50" t="str">
        <f t="shared" si="50"/>
        <v>Southbound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https://search-rtdc-monitor-bjffxe2xuh6vdkpspy63sjmuny.us-east-1.es.amazonaws.com/_plugin/kibana/#/discover/Steve-Slow-Train-Analysis-(2080s-and-2083s)?_g=(refreshInterval:(display:Off,section:0,value:0),time:(from:'2016-11-30 09:37:36-700',mode:absolute,to:'2016-11-30 11:54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75" s="52" t="str">
        <f t="shared" si="52"/>
        <v>N</v>
      </c>
      <c r="X175" s="177">
        <f t="shared" si="64"/>
        <v>1</v>
      </c>
      <c r="Y175" s="67">
        <f t="shared" si="54"/>
        <v>5.8673000000000002</v>
      </c>
      <c r="Z175" s="67">
        <f t="shared" si="55"/>
        <v>6.9400000000000003E-2</v>
      </c>
      <c r="AA175" s="67">
        <f t="shared" si="56"/>
        <v>5.7979000000000003</v>
      </c>
      <c r="AB175" s="64" t="e">
        <f>VLOOKUP(A175,Enforcements!$C$7:$K$20,8,0)</f>
        <v>#N/A</v>
      </c>
      <c r="AC175" s="60" t="e">
        <f>VLOOKUP(A175,Enforcements!$C$7:$E$20,3,0)</f>
        <v>#N/A</v>
      </c>
      <c r="AD175" s="61" t="str">
        <f t="shared" si="57"/>
        <v>0816-30</v>
      </c>
      <c r="AE175" s="91" t="str">
        <f t="shared" si="58"/>
        <v>aws s3 cp s3://rtdc.mdm.uploadarchive.raw/RTDC4041/ "%USERPROFILE%\AppData\Local\Temp\OnboardLogs"\RTDC4041\2016-11-30 --exclude "*" --recursive --include "*20161130*" &amp; "%USERPROFILE%\Documents\GitHub\mrs-test-scripts\Headless Mode &amp; Sideloading\WalkAndUnGZ.bat" "%USERPROFILE%\AppData\Local\Temp\OnboardLogs"\RTDC4041\2016-11-30 &amp; aws s3 cp s3://rtdc.mdm.uploadarchive.raw/RTDC4041/ "%USERPROFILE%\AppData\Local\Temp\OnboardLogs"\RTDC4041\2016-12-01 --exclude "*" --recursive --include "*20161201*" &amp; "%USERPROFILE%\Documents\GitHub\mrs-test-scripts\Headless Mode &amp; Sideloading\WalkAndUnGZ.bat" "%USERPROFILE%\AppData\Local\Temp\OnboardLogs"\RTDC4041\2016-12-01</v>
      </c>
      <c r="AF175" s="88" t="str">
        <f t="shared" si="59"/>
        <v>"C:\Program Files (x86)\AstroGrep\AstroGrep.exe" /spath="%USERPROFILE%\AppData\Local\Temp\OnboardLogs" /stypes="app*4041*20161130*" /stext=" 17:.+((SYSTEM_STATE.+slice.+state.+changed )|(ment ac)|(multiple cpu faults)|(system.+state.+changed )|(\[timeout)|(PRM\|1\|D)|(kpr)|(kdp)|(\|lc)|(penalty))" /e /r /s</v>
      </c>
      <c r="AG175" s="1" t="str">
        <f t="shared" si="60"/>
        <v>NW</v>
      </c>
      <c r="AH175" s="92" t="str">
        <f t="shared" si="46"/>
        <v>"%USERPROFILE%\Documents\GitHub\eaglep3\Utilities\RefineRTDCRunTimes.py" --tripid 816-30 --locoid 4041 --swversion DE.1.0.8.0 --startMP 300:58673 --initTime 2016-11-30T10:37:36 --startdatetime 2016-11-30T10:39:52 --delay 1 --endMP 204:694 --enddatetime 2016-11-30T10:54:35 --enforcementcount 0 &gt;&gt;C:\Users\stu\Documents\GitHub\eaglep3-reporting\EC\2016-11-30-refined-times.txt</v>
      </c>
      <c r="AI175" s="119" t="str">
        <f t="shared" si="47"/>
        <v>echo {"issue":{"subject":"","project_id":79,"tracker_id":40,"status_id":1,"priority_id":2,"assigned_to_id":23,"start_date":"2016-11-30","description":"","custom_fields":[{"id":1,"name":"Subdivision","value":"NW"},{"id":4,"name":"Milepost","value":"0.0694"},{"id":17,"name":"Train ID","value":"816-30"},{"id":16,"name":"Locomotive ID","value":"4041"},{"id":130,"name":"Impact","value":""},{"id":150,"name":"Time of Event (Mountain Time)","value":"10:54:35"},{"id":151,"name":"Denver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7" t="s">
        <v>537</v>
      </c>
      <c r="B176" s="7">
        <v>4042</v>
      </c>
      <c r="C176" s="22" t="s">
        <v>212</v>
      </c>
      <c r="D176" s="22" t="s">
        <v>858</v>
      </c>
      <c r="E176" s="13">
        <v>42704.456782407404</v>
      </c>
      <c r="F176" s="13">
        <v>42704.473090277781</v>
      </c>
      <c r="G176" s="7">
        <v>1</v>
      </c>
      <c r="H176" s="22" t="s">
        <v>857</v>
      </c>
      <c r="I176" s="13">
        <v>42704.482557870368</v>
      </c>
      <c r="J176" s="7">
        <v>0</v>
      </c>
      <c r="K176" s="109" t="str">
        <f t="shared" si="48"/>
        <v>4041/4042</v>
      </c>
      <c r="L176" s="22" t="str">
        <f>VLOOKUP(A176,'Trips&amp;Operators'!$C$1:$G$99999,5,FALSE)</f>
        <v>GEBRETEKLE DAGNEW</v>
      </c>
      <c r="M176" s="6">
        <f t="shared" si="49"/>
        <v>9.4675925865885802E-3</v>
      </c>
      <c r="N176" s="7">
        <f t="shared" si="62"/>
        <v>13.633333324687555</v>
      </c>
      <c r="O176" s="7"/>
      <c r="P176" s="7"/>
      <c r="Q176" s="23"/>
      <c r="R176" s="23"/>
      <c r="S176" s="35">
        <f t="shared" si="61"/>
        <v>1</v>
      </c>
      <c r="T176" s="50" t="str">
        <f t="shared" si="50"/>
        <v>NorthBound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https://search-rtdc-monitor-bjffxe2xuh6vdkpspy63sjmuny.us-east-1.es.amazonaws.com/_plugin/kibana/#/discover/Steve-Slow-Train-Analysis-(2080s-and-2083s)?_g=(refreshInterval:(display:Off,section:0,value:0),time:(from:'2016-11-30 09:57:46-700',mode:absolute,to:'2016-11-30 12:34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76" s="52" t="str">
        <f t="shared" si="52"/>
        <v>N</v>
      </c>
      <c r="X176" s="177">
        <f t="shared" si="64"/>
        <v>1</v>
      </c>
      <c r="Y176" s="67">
        <f t="shared" si="54"/>
        <v>9.9699999999999997E-2</v>
      </c>
      <c r="Z176" s="67">
        <f t="shared" si="55"/>
        <v>5.8987999999999996</v>
      </c>
      <c r="AA176" s="67">
        <f t="shared" si="56"/>
        <v>5.7990999999999993</v>
      </c>
      <c r="AB176" s="64" t="e">
        <f>VLOOKUP(A176,Enforcements!$C$7:$K$20,8,0)</f>
        <v>#N/A</v>
      </c>
      <c r="AC176" s="60" t="e">
        <f>VLOOKUP(A176,Enforcements!$C$7:$E$20,3,0)</f>
        <v>#N/A</v>
      </c>
      <c r="AD176" s="61" t="str">
        <f t="shared" si="57"/>
        <v>0817-30</v>
      </c>
      <c r="AE176" s="91" t="str">
        <f t="shared" si="58"/>
        <v>aws s3 cp s3://rtdc.mdm.uploadarchive.raw/RTDC4042/ "%USERPROFILE%\AppData\Local\Temp\OnboardLogs"\RTDC4042\2016-11-30 --exclude "*" --recursive --include "*20161130*" &amp; "%USERPROFILE%\Documents\GitHub\mrs-test-scripts\Headless Mode &amp; Sideloading\WalkAndUnGZ.bat" "%USERPROFILE%\AppData\Local\Temp\OnboardLogs"\RTDC4042\2016-11-30 &amp; aws s3 cp s3://rtdc.mdm.uploadarchive.raw/RTDC4042/ "%USERPROFILE%\AppData\Local\Temp\OnboardLogs"\RTDC4042\2016-12-01 --exclude "*" --recursive --include "*20161201*" &amp; "%USERPROFILE%\Documents\GitHub\mrs-test-scripts\Headless Mode &amp; Sideloading\WalkAndUnGZ.bat" "%USERPROFILE%\AppData\Local\Temp\OnboardLogs"\RTDC4042\2016-12-01</v>
      </c>
      <c r="AF176" s="88" t="str">
        <f t="shared" si="59"/>
        <v>"C:\Program Files (x86)\AstroGrep\AstroGrep.exe" /spath="%USERPROFILE%\AppData\Local\Temp\OnboardLogs" /stypes="app*4042*20161130*" /stext=" 18:.+((SYSTEM_STATE.+slice.+state.+changed )|(ment ac)|(multiple cpu faults)|(system.+state.+changed )|(\[timeout)|(PRM\|1\|D)|(kpr)|(kdp)|(\|lc)|(penalty))" /e /r /s</v>
      </c>
      <c r="AG176" s="1" t="str">
        <f t="shared" si="60"/>
        <v>NW</v>
      </c>
      <c r="AH176" s="92" t="str">
        <f t="shared" si="46"/>
        <v>"%USERPROFILE%\Documents\GitHub\eaglep3\Utilities\RefineRTDCRunTimes.py" --tripid 817-30 --locoid 4042 --swversion DE.1.0.8.0 --startMP 204:997 --initTime 2016-11-30T10:57:46 --startdatetime 2016-11-30T11:21:15 --delay 1 --endMP 300:58988 --enddatetime 2016-11-30T11:34:53 --enforcementcount 0 &gt;&gt;C:\Users\stu\Documents\GitHub\eaglep3-reporting\EC\2016-11-30-refined-times.txt</v>
      </c>
      <c r="AI176" s="119" t="str">
        <f t="shared" si="47"/>
        <v>echo {"issue":{"subject":"","project_id":79,"tracker_id":40,"status_id":1,"priority_id":2,"assigned_to_id":23,"start_date":"2016-11-30","description":"","custom_fields":[{"id":1,"name":"Subdivision","value":"NW"},{"id":4,"name":"Milepost","value":"5.8988"},{"id":17,"name":"Train ID","value":"817-30"},{"id":16,"name":"Locomotive ID","value":"4042"},{"id":130,"name":"Impact","value":""},{"id":150,"name":"Time of Event (Mountain Time)","value":"11:34:53"},{"id":151,"name":"Denver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7" t="s">
        <v>622</v>
      </c>
      <c r="B177" s="7">
        <v>4041</v>
      </c>
      <c r="C177" s="22" t="s">
        <v>212</v>
      </c>
      <c r="D177" s="22" t="s">
        <v>859</v>
      </c>
      <c r="E177" s="13">
        <v>42704.484074074076</v>
      </c>
      <c r="F177" s="13">
        <v>42704.485601851855</v>
      </c>
      <c r="G177" s="7">
        <v>1</v>
      </c>
      <c r="H177" s="22" t="s">
        <v>860</v>
      </c>
      <c r="I177" s="13">
        <v>42704.497256944444</v>
      </c>
      <c r="J177" s="7">
        <v>0</v>
      </c>
      <c r="K177" s="109" t="str">
        <f t="shared" si="48"/>
        <v>4041/4042</v>
      </c>
      <c r="L177" s="22" t="str">
        <f>VLOOKUP(A177,'Trips&amp;Operators'!$C$1:$G$99999,5,FALSE)</f>
        <v>GEBRETEKLE DAGNEW</v>
      </c>
      <c r="M177" s="6">
        <f t="shared" si="49"/>
        <v>1.1655092588625848E-2</v>
      </c>
      <c r="N177" s="7">
        <f t="shared" si="62"/>
        <v>16.783333327621222</v>
      </c>
      <c r="O177" s="7"/>
      <c r="P177" s="7"/>
      <c r="Q177" s="23"/>
      <c r="R177" s="23"/>
      <c r="S177" s="35">
        <f t="shared" ref="S177:S208" si="65">SUM(U177:U177)/IF(AG177="EC",12,1)</f>
        <v>1</v>
      </c>
      <c r="T177" s="50" t="str">
        <f t="shared" si="50"/>
        <v>Southbound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https://search-rtdc-monitor-bjffxe2xuh6vdkpspy63sjmuny.us-east-1.es.amazonaws.com/_plugin/kibana/#/discover/Steve-Slow-Train-Analysis-(2080s-and-2083s)?_g=(refreshInterval:(display:Off,section:0,value:0),time:(from:'2016-11-30 10:37:04-700',mode:absolute,to:'2016-11-30 12:56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77" s="52" t="str">
        <f t="shared" si="52"/>
        <v>N</v>
      </c>
      <c r="X177" s="177">
        <f t="shared" si="64"/>
        <v>1</v>
      </c>
      <c r="Y177" s="67">
        <f t="shared" si="54"/>
        <v>5.867</v>
      </c>
      <c r="Z177" s="67">
        <f t="shared" si="55"/>
        <v>7.0499999999999993E-2</v>
      </c>
      <c r="AA177" s="67">
        <f t="shared" si="56"/>
        <v>5.7965</v>
      </c>
      <c r="AB177" s="64" t="e">
        <f>VLOOKUP(A177,Enforcements!$C$7:$K$20,8,0)</f>
        <v>#N/A</v>
      </c>
      <c r="AC177" s="60" t="e">
        <f>VLOOKUP(A177,Enforcements!$C$7:$E$20,3,0)</f>
        <v>#N/A</v>
      </c>
      <c r="AD177" s="61" t="str">
        <f t="shared" si="57"/>
        <v>0818-30</v>
      </c>
      <c r="AE177" s="91" t="str">
        <f t="shared" si="58"/>
        <v>aws s3 cp s3://rtdc.mdm.uploadarchive.raw/RTDC4041/ "%USERPROFILE%\AppData\Local\Temp\OnboardLogs"\RTDC4041\2016-11-30 --exclude "*" --recursive --include "*20161130*" &amp; "%USERPROFILE%\Documents\GitHub\mrs-test-scripts\Headless Mode &amp; Sideloading\WalkAndUnGZ.bat" "%USERPROFILE%\AppData\Local\Temp\OnboardLogs"\RTDC4041\2016-11-30 &amp; aws s3 cp s3://rtdc.mdm.uploadarchive.raw/RTDC4041/ "%USERPROFILE%\AppData\Local\Temp\OnboardLogs"\RTDC4041\2016-12-01 --exclude "*" --recursive --include "*20161201*" &amp; "%USERPROFILE%\Documents\GitHub\mrs-test-scripts\Headless Mode &amp; Sideloading\WalkAndUnGZ.bat" "%USERPROFILE%\AppData\Local\Temp\OnboardLogs"\RTDC4041\2016-12-01</v>
      </c>
      <c r="AF177" s="88" t="str">
        <f t="shared" si="59"/>
        <v>"C:\Program Files (x86)\AstroGrep\AstroGrep.exe" /spath="%USERPROFILE%\AppData\Local\Temp\OnboardLogs" /stypes="app*4041*20161130*" /stext=" 18:.+((SYSTEM_STATE.+slice.+state.+changed )|(ment ac)|(multiple cpu faults)|(system.+state.+changed )|(\[timeout)|(PRM\|1\|D)|(kpr)|(kdp)|(\|lc)|(penalty))" /e /r /s</v>
      </c>
      <c r="AG177" s="1" t="str">
        <f t="shared" si="60"/>
        <v>NW</v>
      </c>
      <c r="AH177" s="92" t="str">
        <f t="shared" si="46"/>
        <v>"%USERPROFILE%\Documents\GitHub\eaglep3\Utilities\RefineRTDCRunTimes.py" --tripid 818-30 --locoid 4041 --swversion DE.1.0.8.0 --startMP 300:58670 --initTime 2016-11-30T11:37:04 --startdatetime 2016-11-30T11:39:16 --delay 1 --endMP 204:705 --enddatetime 2016-11-30T11:56:03 --enforcementcount 0 &gt;&gt;C:\Users\stu\Documents\GitHub\eaglep3-reporting\EC\2016-11-30-refined-times.txt</v>
      </c>
      <c r="AI177" s="119" t="str">
        <f t="shared" si="47"/>
        <v>echo {"issue":{"subject":"","project_id":79,"tracker_id":40,"status_id":1,"priority_id":2,"assigned_to_id":23,"start_date":"2016-11-30","description":"","custom_fields":[{"id":1,"name":"Subdivision","value":"NW"},{"id":4,"name":"Milepost","value":"0.0705"},{"id":17,"name":"Train ID","value":"818-30"},{"id":16,"name":"Locomotive ID","value":"4041"},{"id":130,"name":"Impact","value":""},{"id":150,"name":"Time of Event (Mountain Time)","value":"11:56:03"},{"id":151,"name":"Denver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91" s="21" customFormat="1" x14ac:dyDescent="0.25">
      <c r="A178" s="37" t="s">
        <v>539</v>
      </c>
      <c r="B178" s="7">
        <v>4042</v>
      </c>
      <c r="C178" s="22" t="s">
        <v>212</v>
      </c>
      <c r="D178" s="22" t="s">
        <v>858</v>
      </c>
      <c r="E178" s="13">
        <v>42704.500277777777</v>
      </c>
      <c r="F178" s="13">
        <v>42704.514756944445</v>
      </c>
      <c r="G178" s="7">
        <v>1</v>
      </c>
      <c r="H178" s="22" t="s">
        <v>861</v>
      </c>
      <c r="I178" s="13">
        <v>42704.523900462962</v>
      </c>
      <c r="J178" s="7">
        <v>0</v>
      </c>
      <c r="K178" s="109" t="str">
        <f t="shared" si="48"/>
        <v>4041/4042</v>
      </c>
      <c r="L178" s="22" t="str">
        <f>VLOOKUP(A178,'Trips&amp;Operators'!$C$1:$G$99999,5,FALSE)</f>
        <v>GEBRETEKLE DAGNEW</v>
      </c>
      <c r="M178" s="6">
        <f t="shared" si="49"/>
        <v>9.1435185167938471E-3</v>
      </c>
      <c r="N178" s="7">
        <f t="shared" ref="N178:N209" si="66">24*60*SUM($M178:$M178)</f>
        <v>13.16666666418314</v>
      </c>
      <c r="O178" s="7"/>
      <c r="P178" s="7"/>
      <c r="Q178" s="23"/>
      <c r="R178" s="23"/>
      <c r="S178" s="35">
        <f t="shared" si="65"/>
        <v>1</v>
      </c>
      <c r="T178" s="50" t="str">
        <f t="shared" si="50"/>
        <v>NorthBound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https://search-rtdc-monitor-bjffxe2xuh6vdkpspy63sjmuny.us-east-1.es.amazonaws.com/_plugin/kibana/#/discover/Steve-Slow-Train-Analysis-(2080s-and-2083s)?_g=(refreshInterval:(display:Off,section:0,value:0),time:(from:'2016-11-30 11:00:24-700',mode:absolute,to:'2016-11-30 13:34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78" s="52" t="str">
        <f t="shared" si="52"/>
        <v>N</v>
      </c>
      <c r="X178" s="177">
        <f t="shared" si="64"/>
        <v>1</v>
      </c>
      <c r="Y178" s="67">
        <f t="shared" si="54"/>
        <v>9.9699999999999997E-2</v>
      </c>
      <c r="Z178" s="67">
        <f t="shared" si="55"/>
        <v>5.9006999999999996</v>
      </c>
      <c r="AA178" s="67">
        <f t="shared" si="56"/>
        <v>5.8009999999999993</v>
      </c>
      <c r="AB178" s="64" t="e">
        <f>VLOOKUP(A178,Enforcements!$C$7:$K$20,8,0)</f>
        <v>#N/A</v>
      </c>
      <c r="AC178" s="60" t="e">
        <f>VLOOKUP(A178,Enforcements!$C$7:$E$20,3,0)</f>
        <v>#N/A</v>
      </c>
      <c r="AD178" s="61" t="str">
        <f t="shared" si="57"/>
        <v>0819-30</v>
      </c>
      <c r="AE178" s="91" t="str">
        <f t="shared" si="58"/>
        <v>aws s3 cp s3://rtdc.mdm.uploadarchive.raw/RTDC4042/ "%USERPROFILE%\AppData\Local\Temp\OnboardLogs"\RTDC4042\2016-11-30 --exclude "*" --recursive --include "*20161130*" &amp; "%USERPROFILE%\Documents\GitHub\mrs-test-scripts\Headless Mode &amp; Sideloading\WalkAndUnGZ.bat" "%USERPROFILE%\AppData\Local\Temp\OnboardLogs"\RTDC4042\2016-11-30 &amp; aws s3 cp s3://rtdc.mdm.uploadarchive.raw/RTDC4042/ "%USERPROFILE%\AppData\Local\Temp\OnboardLogs"\RTDC4042\2016-12-01 --exclude "*" --recursive --include "*20161201*" &amp; "%USERPROFILE%\Documents\GitHub\mrs-test-scripts\Headless Mode &amp; Sideloading\WalkAndUnGZ.bat" "%USERPROFILE%\AppData\Local\Temp\OnboardLogs"\RTDC4042\2016-12-01</v>
      </c>
      <c r="AF178" s="88" t="str">
        <f t="shared" si="59"/>
        <v>"C:\Program Files (x86)\AstroGrep\AstroGrep.exe" /spath="%USERPROFILE%\AppData\Local\Temp\OnboardLogs" /stypes="app*4042*20161130*" /stext=" 19:.+((SYSTEM_STATE.+slice.+state.+changed )|(ment ac)|(multiple cpu faults)|(system.+state.+changed )|(\[timeout)|(PRM\|1\|D)|(kpr)|(kdp)|(\|lc)|(penalty))" /e /r /s</v>
      </c>
      <c r="AG178" s="1" t="str">
        <f t="shared" si="60"/>
        <v>NW</v>
      </c>
      <c r="AH178" s="92" t="str">
        <f t="shared" si="46"/>
        <v>"%USERPROFILE%\Documents\GitHub\eaglep3\Utilities\RefineRTDCRunTimes.py" --tripid 819-30 --locoid 4042 --swversion DE.1.0.8.0 --startMP 204:997 --initTime 2016-11-30T12:00:24 --startdatetime 2016-11-30T12:21:15 --delay 1 --endMP 300:59007 --enddatetime 2016-11-30T12:34:25 --enforcementcount 0 &gt;&gt;C:\Users\stu\Documents\GitHub\eaglep3-reporting\EC\2016-11-30-refined-times.txt</v>
      </c>
      <c r="AI178" s="119" t="str">
        <f t="shared" si="47"/>
        <v>echo {"issue":{"subject":"","project_id":79,"tracker_id":40,"status_id":1,"priority_id":2,"assigned_to_id":23,"start_date":"2016-11-30","description":"","custom_fields":[{"id":1,"name":"Subdivision","value":"NW"},{"id":4,"name":"Milepost","value":"5.9007"},{"id":17,"name":"Train ID","value":"819-30"},{"id":16,"name":"Locomotive ID","value":"4042"},{"id":130,"name":"Impact","value":""},{"id":150,"name":"Time of Event (Mountain Time)","value":"12:34:25"},{"id":151,"name":"Denver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1" customFormat="1" x14ac:dyDescent="0.25">
      <c r="A179" s="37" t="s">
        <v>633</v>
      </c>
      <c r="B179" s="7">
        <v>4041</v>
      </c>
      <c r="C179" s="22" t="s">
        <v>212</v>
      </c>
      <c r="D179" s="22" t="s">
        <v>862</v>
      </c>
      <c r="E179" s="13">
        <v>42704.525416666664</v>
      </c>
      <c r="F179" s="13">
        <v>42704.52685185185</v>
      </c>
      <c r="G179" s="7">
        <v>1</v>
      </c>
      <c r="H179" s="22" t="s">
        <v>512</v>
      </c>
      <c r="I179" s="13">
        <v>42704.537928240738</v>
      </c>
      <c r="J179" s="7">
        <v>0</v>
      </c>
      <c r="K179" s="109" t="str">
        <f t="shared" si="48"/>
        <v>4041/4042</v>
      </c>
      <c r="L179" s="22" t="str">
        <f>VLOOKUP(A179,'Trips&amp;Operators'!$C$1:$G$99999,5,FALSE)</f>
        <v>GEBRETEKLE DAGNEW</v>
      </c>
      <c r="M179" s="6">
        <f t="shared" si="49"/>
        <v>1.1076388887886424E-2</v>
      </c>
      <c r="N179" s="7">
        <f t="shared" si="66"/>
        <v>15.94999999855645</v>
      </c>
      <c r="O179" s="7"/>
      <c r="P179" s="7"/>
      <c r="Q179" s="23"/>
      <c r="R179" s="23"/>
      <c r="S179" s="35">
        <f t="shared" si="65"/>
        <v>1</v>
      </c>
      <c r="T179" s="50" t="str">
        <f t="shared" si="50"/>
        <v>Southbound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https://search-rtdc-monitor-bjffxe2xuh6vdkpspy63sjmuny.us-east-1.es.amazonaws.com/_plugin/kibana/#/discover/Steve-Slow-Train-Analysis-(2080s-and-2083s)?_g=(refreshInterval:(display:Off,section:0,value:0),time:(from:'2016-11-30 11:36:36-700',mode:absolute,to:'2016-11-30 13:54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79" s="52" t="str">
        <f t="shared" si="52"/>
        <v>N</v>
      </c>
      <c r="X179" s="177">
        <f t="shared" si="64"/>
        <v>1</v>
      </c>
      <c r="Y179" s="67">
        <f t="shared" si="54"/>
        <v>5.8677000000000001</v>
      </c>
      <c r="Z179" s="67">
        <f t="shared" si="55"/>
        <v>6.9199999999999998E-2</v>
      </c>
      <c r="AA179" s="67">
        <f t="shared" si="56"/>
        <v>5.7984999999999998</v>
      </c>
      <c r="AB179" s="64" t="e">
        <f>VLOOKUP(A179,Enforcements!$C$7:$K$20,8,0)</f>
        <v>#N/A</v>
      </c>
      <c r="AC179" s="60" t="e">
        <f>VLOOKUP(A179,Enforcements!$C$7:$E$20,3,0)</f>
        <v>#N/A</v>
      </c>
      <c r="AD179" s="61" t="str">
        <f t="shared" si="57"/>
        <v>0820-30</v>
      </c>
      <c r="AE179" s="91" t="str">
        <f t="shared" si="58"/>
        <v>aws s3 cp s3://rtdc.mdm.uploadarchive.raw/RTDC4041/ "%USERPROFILE%\AppData\Local\Temp\OnboardLogs"\RTDC4041\2016-11-30 --exclude "*" --recursive --include "*20161130*" &amp; "%USERPROFILE%\Documents\GitHub\mrs-test-scripts\Headless Mode &amp; Sideloading\WalkAndUnGZ.bat" "%USERPROFILE%\AppData\Local\Temp\OnboardLogs"\RTDC4041\2016-11-30 &amp; aws s3 cp s3://rtdc.mdm.uploadarchive.raw/RTDC4041/ "%USERPROFILE%\AppData\Local\Temp\OnboardLogs"\RTDC4041\2016-12-01 --exclude "*" --recursive --include "*20161201*" &amp; "%USERPROFILE%\Documents\GitHub\mrs-test-scripts\Headless Mode &amp; Sideloading\WalkAndUnGZ.bat" "%USERPROFILE%\AppData\Local\Temp\OnboardLogs"\RTDC4041\2016-12-01</v>
      </c>
      <c r="AF179" s="88" t="str">
        <f t="shared" si="59"/>
        <v>"C:\Program Files (x86)\AstroGrep\AstroGrep.exe" /spath="%USERPROFILE%\AppData\Local\Temp\OnboardLogs" /stypes="app*4041*20161130*" /stext=" 19:.+((SYSTEM_STATE.+slice.+state.+changed )|(ment ac)|(multiple cpu faults)|(system.+state.+changed )|(\[timeout)|(PRM\|1\|D)|(kpr)|(kdp)|(\|lc)|(penalty))" /e /r /s</v>
      </c>
      <c r="AG179" s="1" t="str">
        <f t="shared" si="60"/>
        <v>NW</v>
      </c>
      <c r="AH179" s="92" t="str">
        <f t="shared" si="46"/>
        <v>"%USERPROFILE%\Documents\GitHub\eaglep3\Utilities\RefineRTDCRunTimes.py" --tripid 820-30 --locoid 4041 --swversion DE.1.0.8.0 --startMP 300:58677 --initTime 2016-11-30T12:36:36 --startdatetime 2016-11-30T12:38:40 --delay 1 --endMP 204:692 --enddatetime 2016-11-30T12:54:37 --enforcementcount 0 &gt;&gt;C:\Users\stu\Documents\GitHub\eaglep3-reporting\EC\2016-11-30-refined-times.txt</v>
      </c>
      <c r="AI179" s="119" t="str">
        <f t="shared" si="47"/>
        <v>echo {"issue":{"subject":"","project_id":79,"tracker_id":40,"status_id":1,"priority_id":2,"assigned_to_id":23,"start_date":"2016-11-30","description":"","custom_fields":[{"id":1,"name":"Subdivision","value":"NW"},{"id":4,"name":"Milepost","value":"0.0692"},{"id":17,"name":"Train ID","value":"820-30"},{"id":16,"name":"Locomotive ID","value":"4041"},{"id":130,"name":"Impact","value":""},{"id":150,"name":"Time of Event (Mountain Time)","value":"12:54:37"},{"id":151,"name":"Denver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1" customFormat="1" x14ac:dyDescent="0.25">
      <c r="A180" s="37" t="s">
        <v>541</v>
      </c>
      <c r="B180" s="7">
        <v>4042</v>
      </c>
      <c r="C180" s="22" t="s">
        <v>212</v>
      </c>
      <c r="D180" s="22" t="s">
        <v>863</v>
      </c>
      <c r="E180" s="13">
        <v>42704.552604166667</v>
      </c>
      <c r="F180" s="13">
        <v>42704.556597222225</v>
      </c>
      <c r="G180" s="7">
        <v>2</v>
      </c>
      <c r="H180" s="22" t="s">
        <v>864</v>
      </c>
      <c r="I180" s="13">
        <v>42704.567152777781</v>
      </c>
      <c r="J180" s="7">
        <v>0</v>
      </c>
      <c r="K180" s="109" t="str">
        <f t="shared" si="48"/>
        <v>4041/4042</v>
      </c>
      <c r="L180" s="22" t="str">
        <f>VLOOKUP(A180,'Trips&amp;Operators'!$C$1:$G$99999,5,FALSE)</f>
        <v>MOSES BRADLEY</v>
      </c>
      <c r="M180" s="6">
        <f t="shared" si="49"/>
        <v>1.0555555556493346E-2</v>
      </c>
      <c r="N180" s="7">
        <f t="shared" si="66"/>
        <v>15.200000001350418</v>
      </c>
      <c r="O180" s="7"/>
      <c r="P180" s="7"/>
      <c r="Q180" s="23"/>
      <c r="R180" s="23"/>
      <c r="S180" s="35">
        <f t="shared" si="65"/>
        <v>1</v>
      </c>
      <c r="T180" s="50" t="str">
        <f t="shared" si="50"/>
        <v>NorthBound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https://search-rtdc-monitor-bjffxe2xuh6vdkpspy63sjmuny.us-east-1.es.amazonaws.com/_plugin/kibana/#/discover/Steve-Slow-Train-Analysis-(2080s-and-2083s)?_g=(refreshInterval:(display:Off,section:0,value:0),time:(from:'2016-11-30 12:15:45-700',mode:absolute,to:'2016-11-30 14:36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80" s="52" t="str">
        <f t="shared" si="52"/>
        <v>N</v>
      </c>
      <c r="X180" s="177">
        <f t="shared" si="64"/>
        <v>1</v>
      </c>
      <c r="Y180" s="67">
        <f t="shared" si="54"/>
        <v>9.8799999999999999E-2</v>
      </c>
      <c r="Z180" s="67">
        <f t="shared" si="55"/>
        <v>5.8979999999999997</v>
      </c>
      <c r="AA180" s="67">
        <f t="shared" si="56"/>
        <v>5.7991999999999999</v>
      </c>
      <c r="AB180" s="64" t="e">
        <f>VLOOKUP(A180,Enforcements!$C$7:$K$20,8,0)</f>
        <v>#N/A</v>
      </c>
      <c r="AC180" s="60" t="e">
        <f>VLOOKUP(A180,Enforcements!$C$7:$E$20,3,0)</f>
        <v>#N/A</v>
      </c>
      <c r="AD180" s="61" t="str">
        <f t="shared" si="57"/>
        <v>0821-30</v>
      </c>
      <c r="AE180" s="91" t="str">
        <f t="shared" si="58"/>
        <v>aws s3 cp s3://rtdc.mdm.uploadarchive.raw/RTDC4042/ "%USERPROFILE%\AppData\Local\Temp\OnboardLogs"\RTDC4042\2016-11-30 --exclude "*" --recursive --include "*20161130*" &amp; "%USERPROFILE%\Documents\GitHub\mrs-test-scripts\Headless Mode &amp; Sideloading\WalkAndUnGZ.bat" "%USERPROFILE%\AppData\Local\Temp\OnboardLogs"\RTDC4042\2016-11-30 &amp; aws s3 cp s3://rtdc.mdm.uploadarchive.raw/RTDC4042/ "%USERPROFILE%\AppData\Local\Temp\OnboardLogs"\RTDC4042\2016-12-01 --exclude "*" --recursive --include "*20161201*" &amp; "%USERPROFILE%\Documents\GitHub\mrs-test-scripts\Headless Mode &amp; Sideloading\WalkAndUnGZ.bat" "%USERPROFILE%\AppData\Local\Temp\OnboardLogs"\RTDC4042\2016-12-01</v>
      </c>
      <c r="AF180" s="88" t="str">
        <f t="shared" si="59"/>
        <v>"C:\Program Files (x86)\AstroGrep\AstroGrep.exe" /spath="%USERPROFILE%\AppData\Local\Temp\OnboardLogs" /stypes="app*4042*20161130*" /stext=" 20:.+((SYSTEM_STATE.+slice.+state.+changed )|(ment ac)|(multiple cpu faults)|(system.+state.+changed )|(\[timeout)|(PRM\|1\|D)|(kpr)|(kdp)|(\|lc)|(penalty))" /e /r /s</v>
      </c>
      <c r="AG180" s="1" t="str">
        <f t="shared" si="60"/>
        <v>NW</v>
      </c>
      <c r="AH180" s="92" t="str">
        <f t="shared" si="46"/>
        <v>"%USERPROFILE%\Documents\GitHub\eaglep3\Utilities\RefineRTDCRunTimes.py" --tripid 821-30 --locoid 4042 --swversion DE.1.0.8.0 --startMP 204:988 --initTime 2016-11-30T13:15:45 --startdatetime 2016-11-30T13:21:30 --delay 2 --endMP 300:58980 --enddatetime 2016-11-30T13:36:42 --enforcementcount 0 &gt;&gt;C:\Users\stu\Documents\GitHub\eaglep3-reporting\EC\2016-11-30-refined-times.txt</v>
      </c>
      <c r="AI180" s="119" t="str">
        <f t="shared" si="47"/>
        <v>echo {"issue":{"subject":"","project_id":79,"tracker_id":40,"status_id":1,"priority_id":2,"assigned_to_id":23,"start_date":"2016-11-30","description":"","custom_fields":[{"id":1,"name":"Subdivision","value":"NW"},{"id":4,"name":"Milepost","value":"5.898"},{"id":17,"name":"Train ID","value":"821-30"},{"id":16,"name":"Locomotive ID","value":"4042"},{"id":130,"name":"Impact","value":""},{"id":150,"name":"Time of Event (Mountain Time)","value":"13:36:42"},{"id":151,"name":"Denver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1" customFormat="1" x14ac:dyDescent="0.25">
      <c r="A181" s="37" t="s">
        <v>642</v>
      </c>
      <c r="B181" s="7">
        <v>4041</v>
      </c>
      <c r="C181" s="22" t="s">
        <v>212</v>
      </c>
      <c r="D181" s="22" t="s">
        <v>865</v>
      </c>
      <c r="E181" s="13">
        <v>42704.569328703707</v>
      </c>
      <c r="F181" s="13">
        <v>42704.571018518516</v>
      </c>
      <c r="G181" s="7">
        <v>1</v>
      </c>
      <c r="H181" s="22" t="s">
        <v>509</v>
      </c>
      <c r="I181" s="13">
        <v>42704.580613425926</v>
      </c>
      <c r="J181" s="7">
        <v>0</v>
      </c>
      <c r="K181" s="109" t="str">
        <f t="shared" si="48"/>
        <v>4041/4042</v>
      </c>
      <c r="L181" s="22" t="str">
        <f>VLOOKUP(A181,'Trips&amp;Operators'!$C$1:$G$99999,5,FALSE)</f>
        <v>MOSES BRADLEY</v>
      </c>
      <c r="M181" s="6">
        <f t="shared" si="49"/>
        <v>9.5949074093368836E-3</v>
      </c>
      <c r="N181" s="7">
        <f t="shared" si="66"/>
        <v>13.816666669445112</v>
      </c>
      <c r="O181" s="7"/>
      <c r="P181" s="7"/>
      <c r="Q181" s="23"/>
      <c r="R181" s="23"/>
      <c r="S181" s="35">
        <f t="shared" si="65"/>
        <v>1</v>
      </c>
      <c r="T181" s="50" t="str">
        <f t="shared" si="50"/>
        <v>Southbound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https://search-rtdc-monitor-bjffxe2xuh6vdkpspy63sjmuny.us-east-1.es.amazonaws.com/_plugin/kibana/#/discover/Steve-Slow-Train-Analysis-(2080s-and-2083s)?_g=(refreshInterval:(display:Off,section:0,value:0),time:(from:'2016-11-30 12:39:50-700',mode:absolute,to:'2016-11-30 14:56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81" s="52" t="str">
        <f t="shared" si="52"/>
        <v>N</v>
      </c>
      <c r="X181" s="177">
        <f t="shared" si="64"/>
        <v>1</v>
      </c>
      <c r="Y181" s="67">
        <f t="shared" si="54"/>
        <v>5.8658000000000001</v>
      </c>
      <c r="Z181" s="67">
        <f t="shared" si="55"/>
        <v>6.6600000000000006E-2</v>
      </c>
      <c r="AA181" s="67">
        <f t="shared" si="56"/>
        <v>5.7991999999999999</v>
      </c>
      <c r="AB181" s="64" t="e">
        <f>VLOOKUP(A181,Enforcements!$C$7:$K$20,8,0)</f>
        <v>#N/A</v>
      </c>
      <c r="AC181" s="60" t="e">
        <f>VLOOKUP(A181,Enforcements!$C$7:$E$20,3,0)</f>
        <v>#N/A</v>
      </c>
      <c r="AD181" s="61" t="str">
        <f t="shared" si="57"/>
        <v>0822-30</v>
      </c>
      <c r="AE181" s="91" t="str">
        <f t="shared" si="58"/>
        <v>aws s3 cp s3://rtdc.mdm.uploadarchive.raw/RTDC4041/ "%USERPROFILE%\AppData\Local\Temp\OnboardLogs"\RTDC4041\2016-11-30 --exclude "*" --recursive --include "*20161130*" &amp; "%USERPROFILE%\Documents\GitHub\mrs-test-scripts\Headless Mode &amp; Sideloading\WalkAndUnGZ.bat" "%USERPROFILE%\AppData\Local\Temp\OnboardLogs"\RTDC4041\2016-11-30 &amp; aws s3 cp s3://rtdc.mdm.uploadarchive.raw/RTDC4041/ "%USERPROFILE%\AppData\Local\Temp\OnboardLogs"\RTDC4041\2016-12-01 --exclude "*" --recursive --include "*20161201*" &amp; "%USERPROFILE%\Documents\GitHub\mrs-test-scripts\Headless Mode &amp; Sideloading\WalkAndUnGZ.bat" "%USERPROFILE%\AppData\Local\Temp\OnboardLogs"\RTDC4041\2016-12-01</v>
      </c>
      <c r="AF181" s="88" t="str">
        <f t="shared" si="59"/>
        <v>"C:\Program Files (x86)\AstroGrep\AstroGrep.exe" /spath="%USERPROFILE%\AppData\Local\Temp\OnboardLogs" /stypes="app*4041*20161130*" /stext=" 20:.+((SYSTEM_STATE.+slice.+state.+changed )|(ment ac)|(multiple cpu faults)|(system.+state.+changed )|(\[timeout)|(PRM\|1\|D)|(kpr)|(kdp)|(\|lc)|(penalty))" /e /r /s</v>
      </c>
      <c r="AG181" s="1" t="str">
        <f t="shared" si="60"/>
        <v>NW</v>
      </c>
      <c r="AH181" s="92" t="str">
        <f t="shared" si="46"/>
        <v>"%USERPROFILE%\Documents\GitHub\eaglep3\Utilities\RefineRTDCRunTimes.py" --tripid 822-30 --locoid 4041 --swversion DE.1.0.8.0 --startMP 300:58658 --initTime 2016-11-30T13:39:50 --startdatetime 2016-11-30T13:42:16 --delay 1 --endMP 204:666 --enddatetime 2016-11-30T13:56:05 --enforcementcount 0 &gt;&gt;C:\Users\stu\Documents\GitHub\eaglep3-reporting\EC\2016-11-30-refined-times.txt</v>
      </c>
      <c r="AI181" s="119" t="str">
        <f t="shared" si="47"/>
        <v>echo {"issue":{"subject":"","project_id":79,"tracker_id":40,"status_id":1,"priority_id":2,"assigned_to_id":23,"start_date":"2016-11-30","description":"","custom_fields":[{"id":1,"name":"Subdivision","value":"NW"},{"id":4,"name":"Milepost","value":"0.0666"},{"id":17,"name":"Train ID","value":"822-30"},{"id":16,"name":"Locomotive ID","value":"4041"},{"id":130,"name":"Impact","value":""},{"id":150,"name":"Time of Event (Mountain Time)","value":"13:56:05"},{"id":151,"name":"Denver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1" customFormat="1" x14ac:dyDescent="0.25">
      <c r="A182" s="37" t="s">
        <v>647</v>
      </c>
      <c r="B182" s="7">
        <v>4042</v>
      </c>
      <c r="C182" s="22" t="s">
        <v>212</v>
      </c>
      <c r="D182" s="22" t="s">
        <v>866</v>
      </c>
      <c r="E182" s="13">
        <v>42704.592743055553</v>
      </c>
      <c r="F182" s="13">
        <v>42704.598321759258</v>
      </c>
      <c r="G182" s="7">
        <v>1</v>
      </c>
      <c r="H182" s="22" t="s">
        <v>867</v>
      </c>
      <c r="I182" s="13">
        <v>42704.608877314815</v>
      </c>
      <c r="J182" s="7">
        <v>0</v>
      </c>
      <c r="K182" s="109" t="str">
        <f t="shared" si="48"/>
        <v>4041/4042</v>
      </c>
      <c r="L182" s="22" t="str">
        <f>VLOOKUP(A182,'Trips&amp;Operators'!$C$1:$G$99999,5,FALSE)</f>
        <v>MOSES BRADLEY</v>
      </c>
      <c r="M182" s="6">
        <f t="shared" si="49"/>
        <v>1.0555555556493346E-2</v>
      </c>
      <c r="N182" s="7">
        <f t="shared" si="66"/>
        <v>15.200000001350418</v>
      </c>
      <c r="O182" s="7"/>
      <c r="P182" s="7"/>
      <c r="Q182" s="23"/>
      <c r="R182" s="23"/>
      <c r="S182" s="35">
        <f t="shared" si="65"/>
        <v>1</v>
      </c>
      <c r="T182" s="50" t="str">
        <f t="shared" si="50"/>
        <v>NorthBound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https://search-rtdc-monitor-bjffxe2xuh6vdkpspy63sjmuny.us-east-1.es.amazonaws.com/_plugin/kibana/#/discover/Steve-Slow-Train-Analysis-(2080s-and-2083s)?_g=(refreshInterval:(display:Off,section:0,value:0),time:(from:'2016-11-30 13:13:33-700',mode:absolute,to:'2016-11-30 15:36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82" s="52" t="str">
        <f t="shared" si="52"/>
        <v>N</v>
      </c>
      <c r="X182" s="177">
        <f t="shared" si="64"/>
        <v>1</v>
      </c>
      <c r="Y182" s="67">
        <f t="shared" si="54"/>
        <v>9.5299999999999996E-2</v>
      </c>
      <c r="Z182" s="67">
        <f t="shared" si="55"/>
        <v>5.8982000000000001</v>
      </c>
      <c r="AA182" s="67">
        <f t="shared" si="56"/>
        <v>5.8029000000000002</v>
      </c>
      <c r="AB182" s="64" t="e">
        <f>VLOOKUP(A182,Enforcements!$C$7:$K$20,8,0)</f>
        <v>#N/A</v>
      </c>
      <c r="AC182" s="60" t="e">
        <f>VLOOKUP(A182,Enforcements!$C$7:$E$20,3,0)</f>
        <v>#N/A</v>
      </c>
      <c r="AD182" s="61" t="str">
        <f t="shared" si="57"/>
        <v>0823-30</v>
      </c>
      <c r="AE182" s="91" t="str">
        <f t="shared" si="58"/>
        <v>aws s3 cp s3://rtdc.mdm.uploadarchive.raw/RTDC4042/ "%USERPROFILE%\AppData\Local\Temp\OnboardLogs"\RTDC4042\2016-11-30 --exclude "*" --recursive --include "*20161130*" &amp; "%USERPROFILE%\Documents\GitHub\mrs-test-scripts\Headless Mode &amp; Sideloading\WalkAndUnGZ.bat" "%USERPROFILE%\AppData\Local\Temp\OnboardLogs"\RTDC4042\2016-11-30 &amp; aws s3 cp s3://rtdc.mdm.uploadarchive.raw/RTDC4042/ "%USERPROFILE%\AppData\Local\Temp\OnboardLogs"\RTDC4042\2016-12-01 --exclude "*" --recursive --include "*20161201*" &amp; "%USERPROFILE%\Documents\GitHub\mrs-test-scripts\Headless Mode &amp; Sideloading\WalkAndUnGZ.bat" "%USERPROFILE%\AppData\Local\Temp\OnboardLogs"\RTDC4042\2016-12-01</v>
      </c>
      <c r="AF182" s="88" t="str">
        <f t="shared" si="59"/>
        <v>"C:\Program Files (x86)\AstroGrep\AstroGrep.exe" /spath="%USERPROFILE%\AppData\Local\Temp\OnboardLogs" /stypes="app*4042*20161130*" /stext=" 21:.+((SYSTEM_STATE.+slice.+state.+changed )|(ment ac)|(multiple cpu faults)|(system.+state.+changed )|(\[timeout)|(PRM\|1\|D)|(kpr)|(kdp)|(\|lc)|(penalty))" /e /r /s</v>
      </c>
      <c r="AG182" s="1" t="str">
        <f t="shared" si="60"/>
        <v>NW</v>
      </c>
      <c r="AH182" s="92" t="str">
        <f t="shared" si="46"/>
        <v>"%USERPROFILE%\Documents\GitHub\eaglep3\Utilities\RefineRTDCRunTimes.py" --tripid 823-30 --locoid 4042 --swversion DE.1.0.8.0 --startMP 204:953 --initTime 2016-11-30T14:13:33 --startdatetime 2016-11-30T14:21:35 --delay 1 --endMP 300:58982 --enddatetime 2016-11-30T14:36:47 --enforcementcount 0 &gt;&gt;C:\Users\stu\Documents\GitHub\eaglep3-reporting\EC\2016-11-30-refined-times.txt</v>
      </c>
      <c r="AI182" s="119" t="str">
        <f t="shared" si="47"/>
        <v>echo {"issue":{"subject":"","project_id":79,"tracker_id":40,"status_id":1,"priority_id":2,"assigned_to_id":23,"start_date":"2016-11-30","description":"","custom_fields":[{"id":1,"name":"Subdivision","value":"NW"},{"id":4,"name":"Milepost","value":"5.8982"},{"id":17,"name":"Train ID","value":"823-30"},{"id":16,"name":"Locomotive ID","value":"4042"},{"id":130,"name":"Impact","value":""},{"id":150,"name":"Time of Event (Mountain Time)","value":"14:36:47"},{"id":151,"name":"Denver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7" t="s">
        <v>651</v>
      </c>
      <c r="B183" s="7">
        <v>4041</v>
      </c>
      <c r="C183" s="22" t="s">
        <v>212</v>
      </c>
      <c r="D183" s="22" t="s">
        <v>868</v>
      </c>
      <c r="E183" s="13">
        <v>42704.610069444447</v>
      </c>
      <c r="F183" s="13">
        <v>42704.611805555556</v>
      </c>
      <c r="G183" s="7">
        <v>1</v>
      </c>
      <c r="H183" s="22" t="s">
        <v>869</v>
      </c>
      <c r="I183" s="13">
        <v>42704.622025462966</v>
      </c>
      <c r="J183" s="7">
        <v>0</v>
      </c>
      <c r="K183" s="109" t="str">
        <f t="shared" si="48"/>
        <v>4041/4042</v>
      </c>
      <c r="L183" s="22" t="str">
        <f>VLOOKUP(A183,'Trips&amp;Operators'!$C$1:$G$99999,5,FALSE)</f>
        <v>MOSES BRADLEY</v>
      </c>
      <c r="M183" s="6">
        <f t="shared" si="49"/>
        <v>1.021990740991896E-2</v>
      </c>
      <c r="N183" s="7">
        <f t="shared" si="66"/>
        <v>14.716666670283303</v>
      </c>
      <c r="O183" s="7"/>
      <c r="P183" s="7"/>
      <c r="Q183" s="23"/>
      <c r="R183" s="23"/>
      <c r="S183" s="35">
        <f t="shared" si="65"/>
        <v>1</v>
      </c>
      <c r="T183" s="50" t="str">
        <f t="shared" si="50"/>
        <v>Southbound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https://search-rtdc-monitor-bjffxe2xuh6vdkpspy63sjmuny.us-east-1.es.amazonaws.com/_plugin/kibana/#/discover/Steve-Slow-Train-Analysis-(2080s-and-2083s)?_g=(refreshInterval:(display:Off,section:0,value:0),time:(from:'2016-11-30 13:38:30-700',mode:absolute,to:'2016-11-30 15:55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83" s="52" t="str">
        <f t="shared" si="52"/>
        <v>N</v>
      </c>
      <c r="X183" s="177">
        <f t="shared" si="64"/>
        <v>1</v>
      </c>
      <c r="Y183" s="67">
        <f t="shared" si="54"/>
        <v>5.8666</v>
      </c>
      <c r="Z183" s="67">
        <f t="shared" si="55"/>
        <v>7.0999999999999994E-2</v>
      </c>
      <c r="AA183" s="67">
        <f t="shared" si="56"/>
        <v>5.7956000000000003</v>
      </c>
      <c r="AB183" s="64" t="e">
        <f>VLOOKUP(A183,Enforcements!$C$7:$K$20,8,0)</f>
        <v>#N/A</v>
      </c>
      <c r="AC183" s="60" t="e">
        <f>VLOOKUP(A183,Enforcements!$C$7:$E$20,3,0)</f>
        <v>#N/A</v>
      </c>
      <c r="AD183" s="61" t="str">
        <f t="shared" si="57"/>
        <v>0824-30</v>
      </c>
      <c r="AE183" s="91" t="str">
        <f t="shared" si="58"/>
        <v>aws s3 cp s3://rtdc.mdm.uploadarchive.raw/RTDC4041/ "%USERPROFILE%\AppData\Local\Temp\OnboardLogs"\RTDC4041\2016-11-30 --exclude "*" --recursive --include "*20161130*" &amp; "%USERPROFILE%\Documents\GitHub\mrs-test-scripts\Headless Mode &amp; Sideloading\WalkAndUnGZ.bat" "%USERPROFILE%\AppData\Local\Temp\OnboardLogs"\RTDC4041\2016-11-30 &amp; aws s3 cp s3://rtdc.mdm.uploadarchive.raw/RTDC4041/ "%USERPROFILE%\AppData\Local\Temp\OnboardLogs"\RTDC4041\2016-12-01 --exclude "*" --recursive --include "*20161201*" &amp; "%USERPROFILE%\Documents\GitHub\mrs-test-scripts\Headless Mode &amp; Sideloading\WalkAndUnGZ.bat" "%USERPROFILE%\AppData\Local\Temp\OnboardLogs"\RTDC4041\2016-12-01</v>
      </c>
      <c r="AF183" s="88" t="str">
        <f t="shared" si="59"/>
        <v>"C:\Program Files (x86)\AstroGrep\AstroGrep.exe" /spath="%USERPROFILE%\AppData\Local\Temp\OnboardLogs" /stypes="app*4041*20161130*" /stext=" 21:.+((SYSTEM_STATE.+slice.+state.+changed )|(ment ac)|(multiple cpu faults)|(system.+state.+changed )|(\[timeout)|(PRM\|1\|D)|(kpr)|(kdp)|(\|lc)|(penalty))" /e /r /s</v>
      </c>
      <c r="AG183" s="1" t="str">
        <f t="shared" si="60"/>
        <v>NW</v>
      </c>
      <c r="AH183" s="92" t="str">
        <f t="shared" si="46"/>
        <v>"%USERPROFILE%\Documents\GitHub\eaglep3\Utilities\RefineRTDCRunTimes.py" --tripid 824-30 --locoid 4041 --swversion DE.1.0.8.0 --startMP 300:58666 --initTime 2016-11-30T14:38:30 --startdatetime 2016-11-30T14:41:00 --delay 1 --endMP 204:710 --enddatetime 2016-11-30T14:55:43 --enforcementcount 0 &gt;&gt;C:\Users\stu\Documents\GitHub\eaglep3-reporting\EC\2016-11-30-refined-times.txt</v>
      </c>
      <c r="AI183" s="119" t="str">
        <f t="shared" si="47"/>
        <v>echo {"issue":{"subject":"","project_id":79,"tracker_id":40,"status_id":1,"priority_id":2,"assigned_to_id":23,"start_date":"2016-11-30","description":"","custom_fields":[{"id":1,"name":"Subdivision","value":"NW"},{"id":4,"name":"Milepost","value":"0.071"},{"id":17,"name":"Train ID","value":"824-30"},{"id":16,"name":"Locomotive ID","value":"4041"},{"id":130,"name":"Impact","value":""},{"id":150,"name":"Time of Event (Mountain Time)","value":"14:55:43"},{"id":151,"name":"Denver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</row>
    <row r="184" spans="1:91" x14ac:dyDescent="0.25">
      <c r="A184" s="37" t="s">
        <v>657</v>
      </c>
      <c r="B184" s="7">
        <v>4042</v>
      </c>
      <c r="C184" s="22" t="s">
        <v>212</v>
      </c>
      <c r="D184" s="22" t="s">
        <v>505</v>
      </c>
      <c r="E184" s="13">
        <v>42704.636736111112</v>
      </c>
      <c r="F184" s="13">
        <v>42704.639872685184</v>
      </c>
      <c r="G184" s="7">
        <v>1</v>
      </c>
      <c r="H184" s="22" t="s">
        <v>354</v>
      </c>
      <c r="I184" s="13">
        <v>42704.650347222225</v>
      </c>
      <c r="J184" s="7">
        <v>0</v>
      </c>
      <c r="K184" s="109" t="str">
        <f t="shared" si="48"/>
        <v>4041/4042</v>
      </c>
      <c r="L184" s="22" t="str">
        <f>VLOOKUP(A184,'Trips&amp;Operators'!$C$1:$G$99999,5,FALSE)</f>
        <v>MOSES BRADLEY</v>
      </c>
      <c r="M184" s="6">
        <f t="shared" si="49"/>
        <v>1.0474537040863652E-2</v>
      </c>
      <c r="N184" s="7">
        <f t="shared" si="66"/>
        <v>15.083333338843659</v>
      </c>
      <c r="O184" s="7"/>
      <c r="P184" s="7"/>
      <c r="Q184" s="23"/>
      <c r="R184" s="23"/>
      <c r="S184" s="35">
        <f t="shared" si="65"/>
        <v>1</v>
      </c>
      <c r="T184" s="50" t="str">
        <f t="shared" si="50"/>
        <v>NorthBound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https://search-rtdc-monitor-bjffxe2xuh6vdkpspy63sjmuny.us-east-1.es.amazonaws.com/_plugin/kibana/#/discover/Steve-Slow-Train-Analysis-(2080s-and-2083s)?_g=(refreshInterval:(display:Off,section:0,value:0),time:(from:'2016-11-30 14:16:54-700',mode:absolute,to:'2016-11-30 16:36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84" s="52" t="str">
        <f t="shared" si="52"/>
        <v>N</v>
      </c>
      <c r="X184" s="177">
        <f t="shared" si="64"/>
        <v>1</v>
      </c>
      <c r="Y184" s="67">
        <f t="shared" si="54"/>
        <v>9.7600000000000006E-2</v>
      </c>
      <c r="Z184" s="67">
        <f t="shared" si="55"/>
        <v>5.8935000000000004</v>
      </c>
      <c r="AA184" s="67">
        <f t="shared" si="56"/>
        <v>5.7959000000000005</v>
      </c>
      <c r="AB184" s="64" t="e">
        <f>VLOOKUP(A184,Enforcements!$C$7:$K$20,8,0)</f>
        <v>#N/A</v>
      </c>
      <c r="AC184" s="60" t="e">
        <f>VLOOKUP(A184,Enforcements!$C$7:$E$20,3,0)</f>
        <v>#N/A</v>
      </c>
      <c r="AD184" s="61" t="str">
        <f t="shared" si="57"/>
        <v>0825-30</v>
      </c>
      <c r="AE184" s="91" t="str">
        <f t="shared" si="58"/>
        <v>aws s3 cp s3://rtdc.mdm.uploadarchive.raw/RTDC4042/ "%USERPROFILE%\AppData\Local\Temp\OnboardLogs"\RTDC4042\2016-11-30 --exclude "*" --recursive --include "*20161130*" &amp; "%USERPROFILE%\Documents\GitHub\mrs-test-scripts\Headless Mode &amp; Sideloading\WalkAndUnGZ.bat" "%USERPROFILE%\AppData\Local\Temp\OnboardLogs"\RTDC4042\2016-11-30 &amp; aws s3 cp s3://rtdc.mdm.uploadarchive.raw/RTDC4042/ "%USERPROFILE%\AppData\Local\Temp\OnboardLogs"\RTDC4042\2016-12-01 --exclude "*" --recursive --include "*20161201*" &amp; "%USERPROFILE%\Documents\GitHub\mrs-test-scripts\Headless Mode &amp; Sideloading\WalkAndUnGZ.bat" "%USERPROFILE%\AppData\Local\Temp\OnboardLogs"\RTDC4042\2016-12-01</v>
      </c>
      <c r="AF184" s="88" t="str">
        <f t="shared" si="59"/>
        <v>"C:\Program Files (x86)\AstroGrep\AstroGrep.exe" /spath="%USERPROFILE%\AppData\Local\Temp\OnboardLogs" /stypes="app*4042*20161130*" /stext=" 22:.+((SYSTEM_STATE.+slice.+state.+changed )|(ment ac)|(multiple cpu faults)|(system.+state.+changed )|(\[timeout)|(PRM\|1\|D)|(kpr)|(kdp)|(\|lc)|(penalty))" /e /r /s</v>
      </c>
      <c r="AG184" s="1" t="str">
        <f t="shared" si="60"/>
        <v>NW</v>
      </c>
      <c r="AH184" s="92" t="str">
        <f t="shared" si="46"/>
        <v>"%USERPROFILE%\Documents\GitHub\eaglep3\Utilities\RefineRTDCRunTimes.py" --tripid 825-30 --locoid 4042 --swversion DE.1.0.8.0 --startMP 204:976 --initTime 2016-11-30T15:16:54 --startdatetime 2016-11-30T15:21:25 --delay 1 --endMP 300:58935 --enddatetime 2016-11-30T15:36:30 --enforcementcount 0 &gt;&gt;C:\Users\stu\Documents\GitHub\eaglep3-reporting\EC\2016-11-30-refined-times.txt</v>
      </c>
      <c r="AI184" s="119" t="str">
        <f t="shared" si="47"/>
        <v>echo {"issue":{"subject":"","project_id":79,"tracker_id":40,"status_id":1,"priority_id":2,"assigned_to_id":23,"start_date":"2016-11-30","description":"","custom_fields":[{"id":1,"name":"Subdivision","value":"NW"},{"id":4,"name":"Milepost","value":"5.8935"},{"id":17,"name":"Train ID","value":"825-30"},{"id":16,"name":"Locomotive ID","value":"4042"},{"id":130,"name":"Impact","value":""},{"id":150,"name":"Time of Event (Mountain Time)","value":"15:36:30"},{"id":151,"name":"Denver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</row>
    <row r="185" spans="1:91" x14ac:dyDescent="0.25">
      <c r="A185" s="37" t="s">
        <v>662</v>
      </c>
      <c r="B185" s="7">
        <v>4041</v>
      </c>
      <c r="C185" s="22" t="s">
        <v>212</v>
      </c>
      <c r="D185" s="22" t="s">
        <v>278</v>
      </c>
      <c r="E185" s="13">
        <v>42704.651944444442</v>
      </c>
      <c r="F185" s="13">
        <v>42704.654178240744</v>
      </c>
      <c r="G185" s="7">
        <v>1</v>
      </c>
      <c r="H185" s="22" t="s">
        <v>748</v>
      </c>
      <c r="I185" s="13">
        <v>42704.664537037039</v>
      </c>
      <c r="J185" s="7">
        <v>0</v>
      </c>
      <c r="K185" s="109" t="str">
        <f t="shared" si="48"/>
        <v>4041/4042</v>
      </c>
      <c r="L185" s="22" t="str">
        <f>VLOOKUP(A185,'Trips&amp;Operators'!$C$1:$G$99999,5,FALSE)</f>
        <v>MOSES BRADLEY</v>
      </c>
      <c r="M185" s="6">
        <f t="shared" si="49"/>
        <v>1.0358796294895001E-2</v>
      </c>
      <c r="N185" s="7">
        <f t="shared" si="66"/>
        <v>14.916666664648801</v>
      </c>
      <c r="O185" s="7"/>
      <c r="P185" s="7"/>
      <c r="Q185" s="23"/>
      <c r="R185" s="23"/>
      <c r="S185" s="35">
        <f t="shared" si="65"/>
        <v>1</v>
      </c>
      <c r="T185" s="50" t="str">
        <f t="shared" si="50"/>
        <v>Southbound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https://search-rtdc-monitor-bjffxe2xuh6vdkpspy63sjmuny.us-east-1.es.amazonaws.com/_plugin/kibana/#/discover/Steve-Slow-Train-Analysis-(2080s-and-2083s)?_g=(refreshInterval:(display:Off,section:0,value:0),time:(from:'2016-11-30 14:38:48-700',mode:absolute,to:'2016-11-30 16:56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85" s="52" t="str">
        <f t="shared" si="52"/>
        <v>N</v>
      </c>
      <c r="X185" s="177">
        <f t="shared" si="64"/>
        <v>1</v>
      </c>
      <c r="Y185" s="67">
        <f t="shared" si="54"/>
        <v>5.8611000000000004</v>
      </c>
      <c r="Z185" s="67">
        <f t="shared" si="55"/>
        <v>7.1900000000000006E-2</v>
      </c>
      <c r="AA185" s="67">
        <f t="shared" si="56"/>
        <v>5.7892000000000001</v>
      </c>
      <c r="AB185" s="64" t="e">
        <f>VLOOKUP(A185,Enforcements!$C$7:$K$20,8,0)</f>
        <v>#N/A</v>
      </c>
      <c r="AC185" s="60" t="e">
        <f>VLOOKUP(A185,Enforcements!$C$7:$E$20,3,0)</f>
        <v>#N/A</v>
      </c>
      <c r="AD185" s="61" t="str">
        <f t="shared" si="57"/>
        <v>0826-30</v>
      </c>
      <c r="AE185" s="91" t="str">
        <f t="shared" si="58"/>
        <v>aws s3 cp s3://rtdc.mdm.uploadarchive.raw/RTDC4041/ "%USERPROFILE%\AppData\Local\Temp\OnboardLogs"\RTDC4041\2016-11-30 --exclude "*" --recursive --include "*20161130*" &amp; "%USERPROFILE%\Documents\GitHub\mrs-test-scripts\Headless Mode &amp; Sideloading\WalkAndUnGZ.bat" "%USERPROFILE%\AppData\Local\Temp\OnboardLogs"\RTDC4041\2016-11-30 &amp; aws s3 cp s3://rtdc.mdm.uploadarchive.raw/RTDC4041/ "%USERPROFILE%\AppData\Local\Temp\OnboardLogs"\RTDC4041\2016-12-01 --exclude "*" --recursive --include "*20161201*" &amp; "%USERPROFILE%\Documents\GitHub\mrs-test-scripts\Headless Mode &amp; Sideloading\WalkAndUnGZ.bat" "%USERPROFILE%\AppData\Local\Temp\OnboardLogs"\RTDC4041\2016-12-01</v>
      </c>
      <c r="AF185" s="88" t="str">
        <f t="shared" si="59"/>
        <v>"C:\Program Files (x86)\AstroGrep\AstroGrep.exe" /spath="%USERPROFILE%\AppData\Local\Temp\OnboardLogs" /stypes="app*4041*20161130*" /stext=" 22:.+((SYSTEM_STATE.+slice.+state.+changed )|(ment ac)|(multiple cpu faults)|(system.+state.+changed )|(\[timeout)|(PRM\|1\|D)|(kpr)|(kdp)|(\|lc)|(penalty))" /e /r /s</v>
      </c>
      <c r="AG185" s="1" t="str">
        <f t="shared" si="60"/>
        <v>NW</v>
      </c>
      <c r="AH185" s="92" t="str">
        <f t="shared" si="46"/>
        <v>"%USERPROFILE%\Documents\GitHub\eaglep3\Utilities\RefineRTDCRunTimes.py" --tripid 826-30 --locoid 4041 --swversion DE.1.0.8.0 --startMP 300:58611 --initTime 2016-11-30T15:38:48 --startdatetime 2016-11-30T15:42:01 --delay 1 --endMP 204:719 --enddatetime 2016-11-30T15:56:56 --enforcementcount 0 &gt;&gt;C:\Users\stu\Documents\GitHub\eaglep3-reporting\EC\2016-11-30-refined-times.txt</v>
      </c>
      <c r="AI185" s="119" t="str">
        <f t="shared" si="47"/>
        <v>echo {"issue":{"subject":"","project_id":79,"tracker_id":40,"status_id":1,"priority_id":2,"assigned_to_id":23,"start_date":"2016-11-30","description":"","custom_fields":[{"id":1,"name":"Subdivision","value":"NW"},{"id":4,"name":"Milepost","value":"0.0719"},{"id":17,"name":"Train ID","value":"826-30"},{"id":16,"name":"Locomotive ID","value":"4041"},{"id":130,"name":"Impact","value":""},{"id":150,"name":"Time of Event (Mountain Time)","value":"15:56:56"},{"id":151,"name":"Denver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</row>
    <row r="186" spans="1:91" x14ac:dyDescent="0.25">
      <c r="A186" s="37" t="s">
        <v>663</v>
      </c>
      <c r="B186" s="7">
        <v>4025</v>
      </c>
      <c r="C186" s="22" t="s">
        <v>212</v>
      </c>
      <c r="D186" s="22" t="s">
        <v>870</v>
      </c>
      <c r="E186" s="13">
        <v>42704.65247685185</v>
      </c>
      <c r="F186" s="13">
        <v>42704.660624999997</v>
      </c>
      <c r="G186" s="7">
        <v>1</v>
      </c>
      <c r="H186" s="22" t="s">
        <v>871</v>
      </c>
      <c r="I186" s="13">
        <v>42704.67050925926</v>
      </c>
      <c r="J186" s="7">
        <v>0</v>
      </c>
      <c r="K186" s="109" t="str">
        <f t="shared" si="48"/>
        <v>4025/4026</v>
      </c>
      <c r="L186" s="22" t="str">
        <f>VLOOKUP(A186,'Trips&amp;Operators'!$C$1:$G$99999,5,FALSE)</f>
        <v>LEVERE CRAIG</v>
      </c>
      <c r="M186" s="6">
        <f t="shared" si="49"/>
        <v>9.8842592633445747E-3</v>
      </c>
      <c r="N186" s="7">
        <f t="shared" si="66"/>
        <v>14.233333339216188</v>
      </c>
      <c r="O186" s="7"/>
      <c r="P186" s="7"/>
      <c r="Q186" s="23"/>
      <c r="R186" s="23"/>
      <c r="S186" s="35">
        <f t="shared" si="65"/>
        <v>1</v>
      </c>
      <c r="T186" s="50" t="str">
        <f t="shared" si="50"/>
        <v>NorthBound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https://search-rtdc-monitor-bjffxe2xuh6vdkpspy63sjmuny.us-east-1.es.amazonaws.com/_plugin/kibana/#/discover/Steve-Slow-Train-Analysis-(2080s-and-2083s)?_g=(refreshInterval:(display:Off,section:0,value:0),time:(from:'2016-11-30 14:39:34-700',mode:absolute,to:'2016-11-30 17:05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86" s="52" t="str">
        <f t="shared" si="52"/>
        <v>N</v>
      </c>
      <c r="X186" s="177">
        <f t="shared" si="64"/>
        <v>1</v>
      </c>
      <c r="Y186" s="67">
        <f t="shared" si="54"/>
        <v>9.7199999999999995E-2</v>
      </c>
      <c r="Z186" s="67">
        <f t="shared" si="55"/>
        <v>5.8958000000000004</v>
      </c>
      <c r="AA186" s="67">
        <f t="shared" si="56"/>
        <v>5.7986000000000004</v>
      </c>
      <c r="AB186" s="64" t="e">
        <f>VLOOKUP(A186,Enforcements!$C$7:$K$20,8,0)</f>
        <v>#N/A</v>
      </c>
      <c r="AC186" s="60" t="e">
        <f>VLOOKUP(A186,Enforcements!$C$7:$E$20,3,0)</f>
        <v>#N/A</v>
      </c>
      <c r="AD186" s="61" t="str">
        <f t="shared" si="57"/>
        <v>0827-30</v>
      </c>
      <c r="AE186" s="91" t="str">
        <f t="shared" si="58"/>
        <v>aws s3 cp s3://rtdc.mdm.uploadarchive.raw/RTDC4025/ "%USERPROFILE%\AppData\Local\Temp\OnboardLogs"\RTDC4025\2016-11-30 --exclude "*" --recursive --include "*20161130*" &amp; "%USERPROFILE%\Documents\GitHub\mrs-test-scripts\Headless Mode &amp; Sideloading\WalkAndUnGZ.bat" "%USERPROFILE%\AppData\Local\Temp\OnboardLogs"\RTDC4025\2016-11-30 &amp; aws s3 cp s3://rtdc.mdm.uploadarchive.raw/RTDC4025/ "%USERPROFILE%\AppData\Local\Temp\OnboardLogs"\RTDC4025\2016-12-01 --exclude "*" --recursive --include "*20161201*" &amp; "%USERPROFILE%\Documents\GitHub\mrs-test-scripts\Headless Mode &amp; Sideloading\WalkAndUnGZ.bat" "%USERPROFILE%\AppData\Local\Temp\OnboardLogs"\RTDC4025\2016-12-01</v>
      </c>
      <c r="AF186" s="88" t="str">
        <f t="shared" si="59"/>
        <v>"C:\Program Files (x86)\AstroGrep\AstroGrep.exe" /spath="%USERPROFILE%\AppData\Local\Temp\OnboardLogs" /stypes="app*4025*20161130*" /stext=" 23:.+((SYSTEM_STATE.+slice.+state.+changed )|(ment ac)|(multiple cpu faults)|(system.+state.+changed )|(\[timeout)|(PRM\|1\|D)|(kpr)|(kdp)|(\|lc)|(penalty))" /e /r /s</v>
      </c>
      <c r="AG186" s="1" t="str">
        <f t="shared" si="60"/>
        <v>NW</v>
      </c>
      <c r="AH186" s="92" t="str">
        <f t="shared" si="46"/>
        <v>"%USERPROFILE%\Documents\GitHub\eaglep3\Utilities\RefineRTDCRunTimes.py" --tripid 827-30 --locoid 4025 --swversion DE.1.0.8.0 --startMP 204:972 --initTime 2016-11-30T15:39:34 --startdatetime 2016-11-30T15:51:18 --delay 1 --endMP 300:58958 --enddatetime 2016-11-30T16:05:32 --enforcementcount 0 &gt;&gt;C:\Users\stu\Documents\GitHub\eaglep3-reporting\EC\2016-11-30-refined-times.txt</v>
      </c>
      <c r="AI186" s="119" t="str">
        <f t="shared" si="47"/>
        <v>echo {"issue":{"subject":"","project_id":79,"tracker_id":40,"status_id":1,"priority_id":2,"assigned_to_id":23,"start_date":"2016-11-30","description":"","custom_fields":[{"id":1,"name":"Subdivision","value":"NW"},{"id":4,"name":"Milepost","value":"5.8958"},{"id":17,"name":"Train ID","value":"827-30"},{"id":16,"name":"Locomotive ID","value":"4025"},{"id":130,"name":"Impact","value":""},{"id":150,"name":"Time of Event (Mountain Time)","value":"16:05:32"},{"id":151,"name":"Denver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</row>
    <row r="187" spans="1:91" x14ac:dyDescent="0.25">
      <c r="A187" s="37" t="s">
        <v>667</v>
      </c>
      <c r="B187" s="7">
        <v>4026</v>
      </c>
      <c r="C187" s="22" t="s">
        <v>212</v>
      </c>
      <c r="D187" s="22" t="s">
        <v>872</v>
      </c>
      <c r="E187" s="13">
        <v>42704.671666666669</v>
      </c>
      <c r="F187" s="13">
        <v>42704.672986111109</v>
      </c>
      <c r="G187" s="7">
        <v>1</v>
      </c>
      <c r="H187" s="22" t="s">
        <v>873</v>
      </c>
      <c r="I187" s="13">
        <v>42704.685162037036</v>
      </c>
      <c r="J187" s="7">
        <v>0</v>
      </c>
      <c r="K187" s="109" t="str">
        <f t="shared" si="48"/>
        <v>4025/4026</v>
      </c>
      <c r="L187" s="22" t="str">
        <f>VLOOKUP(A187,'Trips&amp;Operators'!$C$1:$G$99999,5,FALSE)</f>
        <v>LEVERE CRAIG</v>
      </c>
      <c r="M187" s="6">
        <f t="shared" si="49"/>
        <v>1.2175925927294884E-2</v>
      </c>
      <c r="N187" s="7">
        <f t="shared" si="66"/>
        <v>17.533333335304633</v>
      </c>
      <c r="O187" s="7"/>
      <c r="P187" s="7"/>
      <c r="Q187" s="23"/>
      <c r="R187" s="23"/>
      <c r="S187" s="35">
        <f t="shared" si="65"/>
        <v>1</v>
      </c>
      <c r="T187" s="50" t="str">
        <f t="shared" si="50"/>
        <v>Southbound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https://search-rtdc-monitor-bjffxe2xuh6vdkpspy63sjmuny.us-east-1.es.amazonaws.com/_plugin/kibana/#/discover/Steve-Slow-Train-Analysis-(2080s-and-2083s)?_g=(refreshInterval:(display:Off,section:0,value:0),time:(from:'2016-11-30 15:07:12-700',mode:absolute,to:'2016-11-30 17:26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87" s="52" t="str">
        <f t="shared" si="52"/>
        <v>N</v>
      </c>
      <c r="X187" s="177">
        <f t="shared" si="64"/>
        <v>1</v>
      </c>
      <c r="Y187" s="67">
        <f t="shared" si="54"/>
        <v>5.8639999999999999</v>
      </c>
      <c r="Z187" s="67">
        <f t="shared" si="55"/>
        <v>6.8500000000000005E-2</v>
      </c>
      <c r="AA187" s="67">
        <f t="shared" si="56"/>
        <v>5.7954999999999997</v>
      </c>
      <c r="AB187" s="64" t="e">
        <f>VLOOKUP(A187,Enforcements!$C$7:$K$20,8,0)</f>
        <v>#N/A</v>
      </c>
      <c r="AC187" s="60" t="e">
        <f>VLOOKUP(A187,Enforcements!$C$7:$E$20,3,0)</f>
        <v>#N/A</v>
      </c>
      <c r="AD187" s="61" t="str">
        <f t="shared" si="57"/>
        <v>0828-30</v>
      </c>
      <c r="AE187" s="91" t="str">
        <f t="shared" si="58"/>
        <v>aws s3 cp s3://rtdc.mdm.uploadarchive.raw/RTDC4026/ "%USERPROFILE%\AppData\Local\Temp\OnboardLogs"\RTDC4026\2016-11-30 --exclude "*" --recursive --include "*20161130*" &amp; "%USERPROFILE%\Documents\GitHub\mrs-test-scripts\Headless Mode &amp; Sideloading\WalkAndUnGZ.bat" "%USERPROFILE%\AppData\Local\Temp\OnboardLogs"\RTDC4026\2016-11-30 &amp; aws s3 cp s3://rtdc.mdm.uploadarchive.raw/RTDC4026/ "%USERPROFILE%\AppData\Local\Temp\OnboardLogs"\RTDC4026\2016-12-01 --exclude "*" --recursive --include "*20161201*" &amp; "%USERPROFILE%\Documents\GitHub\mrs-test-scripts\Headless Mode &amp; Sideloading\WalkAndUnGZ.bat" "%USERPROFILE%\AppData\Local\Temp\OnboardLogs"\RTDC4026\2016-12-01</v>
      </c>
      <c r="AF187" s="88" t="str">
        <f t="shared" si="59"/>
        <v>"C:\Program Files (x86)\AstroGrep\AstroGrep.exe" /spath="%USERPROFILE%\AppData\Local\Temp\OnboardLogs" /stypes="app*4026*20161130*" /stext=" 23:.+((SYSTEM_STATE.+slice.+state.+changed )|(ment ac)|(multiple cpu faults)|(system.+state.+changed )|(\[timeout)|(PRM\|1\|D)|(kpr)|(kdp)|(\|lc)|(penalty))" /e /r /s</v>
      </c>
      <c r="AG187" s="1" t="str">
        <f t="shared" si="60"/>
        <v>NW</v>
      </c>
      <c r="AH187" s="92" t="str">
        <f t="shared" si="46"/>
        <v>"%USERPROFILE%\Documents\GitHub\eaglep3\Utilities\RefineRTDCRunTimes.py" --tripid 828-30 --locoid 4026 --swversion DE.1.0.8.0 --startMP 300:58640 --initTime 2016-11-30T16:07:12 --startdatetime 2016-11-30T16:09:06 --delay 1 --endMP 204:685 --enddatetime 2016-11-30T16:26:38 --enforcementcount 0 &gt;&gt;C:\Users\stu\Documents\GitHub\eaglep3-reporting\EC\2016-11-30-refined-times.txt</v>
      </c>
      <c r="AI187" s="119" t="str">
        <f t="shared" si="47"/>
        <v>echo {"issue":{"subject":"","project_id":79,"tracker_id":40,"status_id":1,"priority_id":2,"assigned_to_id":23,"start_date":"2016-11-30","description":"","custom_fields":[{"id":1,"name":"Subdivision","value":"NW"},{"id":4,"name":"Milepost","value":"0.0685"},{"id":17,"name":"Train ID","value":"828-30"},{"id":16,"name":"Locomotive ID","value":"4026"},{"id":130,"name":"Impact","value":""},{"id":150,"name":"Time of Event (Mountain Time)","value":"16:26:38"},{"id":151,"name":"Denver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</row>
    <row r="188" spans="1:91" s="21" customFormat="1" x14ac:dyDescent="0.25">
      <c r="A188" s="37" t="s">
        <v>669</v>
      </c>
      <c r="B188" s="7">
        <v>4042</v>
      </c>
      <c r="C188" s="22" t="s">
        <v>212</v>
      </c>
      <c r="D188" s="22" t="s">
        <v>874</v>
      </c>
      <c r="E188" s="13">
        <v>42704.677939814814</v>
      </c>
      <c r="F188" s="13">
        <v>42704.681562500002</v>
      </c>
      <c r="G188" s="7">
        <v>2</v>
      </c>
      <c r="H188" s="22" t="s">
        <v>875</v>
      </c>
      <c r="I188" s="13">
        <v>42704.691979166666</v>
      </c>
      <c r="J188" s="7">
        <v>0</v>
      </c>
      <c r="K188" s="109" t="str">
        <f t="shared" si="48"/>
        <v>4041/4042</v>
      </c>
      <c r="L188" s="22" t="str">
        <f>VLOOKUP(A188,'Trips&amp;Operators'!$C$1:$G$99999,5,FALSE)</f>
        <v>MOSES BRADLEY</v>
      </c>
      <c r="M188" s="6">
        <f t="shared" si="49"/>
        <v>1.0416666664241347E-2</v>
      </c>
      <c r="N188" s="7">
        <f t="shared" si="66"/>
        <v>14.99999999650754</v>
      </c>
      <c r="O188" s="7"/>
      <c r="P188" s="7"/>
      <c r="Q188" s="23"/>
      <c r="R188" s="23"/>
      <c r="S188" s="35">
        <f t="shared" si="65"/>
        <v>1</v>
      </c>
      <c r="T188" s="50" t="str">
        <f t="shared" si="50"/>
        <v>NorthBound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https://search-rtdc-monitor-bjffxe2xuh6vdkpspy63sjmuny.us-east-1.es.amazonaws.com/_plugin/kibana/#/discover/Steve-Slow-Train-Analysis-(2080s-and-2083s)?_g=(refreshInterval:(display:Off,section:0,value:0),time:(from:'2016-11-30 15:16:14-700',mode:absolute,to:'2016-11-30 17:36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88" s="52" t="str">
        <f t="shared" si="52"/>
        <v>N</v>
      </c>
      <c r="X188" s="177">
        <f t="shared" si="64"/>
        <v>1</v>
      </c>
      <c r="Y188" s="67">
        <f t="shared" si="54"/>
        <v>0.1004</v>
      </c>
      <c r="Z188" s="67">
        <f t="shared" si="55"/>
        <v>5.8917999999999999</v>
      </c>
      <c r="AA188" s="67">
        <f t="shared" si="56"/>
        <v>5.7914000000000003</v>
      </c>
      <c r="AB188" s="64" t="e">
        <f>VLOOKUP(A188,Enforcements!$C$7:$K$20,8,0)</f>
        <v>#N/A</v>
      </c>
      <c r="AC188" s="60" t="e">
        <f>VLOOKUP(A188,Enforcements!$C$7:$E$20,3,0)</f>
        <v>#N/A</v>
      </c>
      <c r="AD188" s="61" t="str">
        <f t="shared" si="57"/>
        <v>0829-30</v>
      </c>
      <c r="AE188" s="91" t="str">
        <f t="shared" si="58"/>
        <v>aws s3 cp s3://rtdc.mdm.uploadarchive.raw/RTDC4042/ "%USERPROFILE%\AppData\Local\Temp\OnboardLogs"\RTDC4042\2016-11-30 --exclude "*" --recursive --include "*20161130*" &amp; "%USERPROFILE%\Documents\GitHub\mrs-test-scripts\Headless Mode &amp; Sideloading\WalkAndUnGZ.bat" "%USERPROFILE%\AppData\Local\Temp\OnboardLogs"\RTDC4042\2016-11-30 &amp; aws s3 cp s3://rtdc.mdm.uploadarchive.raw/RTDC4042/ "%USERPROFILE%\AppData\Local\Temp\OnboardLogs"\RTDC4042\2016-12-01 --exclude "*" --recursive --include "*20161201*" &amp; "%USERPROFILE%\Documents\GitHub\mrs-test-scripts\Headless Mode &amp; Sideloading\WalkAndUnGZ.bat" "%USERPROFILE%\AppData\Local\Temp\OnboardLogs"\RTDC4042\2016-12-01</v>
      </c>
      <c r="AF188" s="88" t="str">
        <f t="shared" si="59"/>
        <v>"C:\Program Files (x86)\AstroGrep\AstroGrep.exe" /spath="%USERPROFILE%\AppData\Local\Temp\OnboardLogs" /stypes="app*4042*20161130*" /stext=" 23:.+((SYSTEM_STATE.+slice.+state.+changed )|(ment ac)|(multiple cpu faults)|(system.+state.+changed )|(\[timeout)|(PRM\|1\|D)|(kpr)|(kdp)|(\|lc)|(penalty))" /e /r /s</v>
      </c>
      <c r="AG188" s="1" t="str">
        <f t="shared" si="60"/>
        <v>NW</v>
      </c>
      <c r="AH188" s="92" t="str">
        <f t="shared" si="46"/>
        <v>"%USERPROFILE%\Documents\GitHub\eaglep3\Utilities\RefineRTDCRunTimes.py" --tripid 829-30 --locoid 4042 --swversion DE.1.0.8.0 --startMP 204:1004 --initTime 2016-11-30T16:16:14 --startdatetime 2016-11-30T16:21:27 --delay 2 --endMP 300:58918 --enddatetime 2016-11-30T16:36:27 --enforcementcount 0 &gt;&gt;C:\Users\stu\Documents\GitHub\eaglep3-reporting\EC\2016-11-30-refined-times.txt</v>
      </c>
      <c r="AI188" s="119" t="str">
        <f t="shared" si="47"/>
        <v>echo {"issue":{"subject":"","project_id":79,"tracker_id":40,"status_id":1,"priority_id":2,"assigned_to_id":23,"start_date":"2016-11-30","description":"","custom_fields":[{"id":1,"name":"Subdivision","value":"NW"},{"id":4,"name":"Milepost","value":"5.8918"},{"id":17,"name":"Train ID","value":"829-30"},{"id":16,"name":"Locomotive ID","value":"4042"},{"id":130,"name":"Impact","value":""},{"id":150,"name":"Time of Event (Mountain Time)","value":"16:36:27"},{"id":151,"name":"Denver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7" t="s">
        <v>674</v>
      </c>
      <c r="B189" s="7">
        <v>4041</v>
      </c>
      <c r="C189" s="22" t="s">
        <v>212</v>
      </c>
      <c r="D189" s="22" t="s">
        <v>278</v>
      </c>
      <c r="E189" s="13">
        <v>42704.694039351853</v>
      </c>
      <c r="F189" s="13">
        <v>42704.696412037039</v>
      </c>
      <c r="G189" s="7">
        <v>1</v>
      </c>
      <c r="H189" s="22" t="s">
        <v>860</v>
      </c>
      <c r="I189" s="13">
        <v>42704.705671296295</v>
      </c>
      <c r="J189" s="7">
        <v>0</v>
      </c>
      <c r="K189" s="109" t="str">
        <f t="shared" si="48"/>
        <v>4041/4042</v>
      </c>
      <c r="L189" s="22" t="str">
        <f>VLOOKUP(A189,'Trips&amp;Operators'!$C$1:$G$99999,5,FALSE)</f>
        <v>MOSES BRADLEY</v>
      </c>
      <c r="M189" s="6">
        <f t="shared" si="49"/>
        <v>9.2592592554865405E-3</v>
      </c>
      <c r="N189" s="7">
        <f t="shared" si="66"/>
        <v>13.333333327900618</v>
      </c>
      <c r="O189" s="7"/>
      <c r="P189" s="7"/>
      <c r="Q189" s="23"/>
      <c r="R189" s="23"/>
      <c r="S189" s="35">
        <f t="shared" si="65"/>
        <v>1</v>
      </c>
      <c r="T189" s="50" t="str">
        <f t="shared" si="50"/>
        <v>Southbound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https://search-rtdc-monitor-bjffxe2xuh6vdkpspy63sjmuny.us-east-1.es.amazonaws.com/_plugin/kibana/#/discover/Steve-Slow-Train-Analysis-(2080s-and-2083s)?_g=(refreshInterval:(display:Off,section:0,value:0),time:(from:'2016-11-30 15:39:25-700',mode:absolute,to:'2016-11-30 17:56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89" s="52" t="str">
        <f t="shared" si="52"/>
        <v>N</v>
      </c>
      <c r="X189" s="177">
        <f t="shared" si="64"/>
        <v>1</v>
      </c>
      <c r="Y189" s="67">
        <f t="shared" si="54"/>
        <v>5.8611000000000004</v>
      </c>
      <c r="Z189" s="67">
        <f t="shared" si="55"/>
        <v>7.0499999999999993E-2</v>
      </c>
      <c r="AA189" s="67">
        <f t="shared" si="56"/>
        <v>5.7906000000000004</v>
      </c>
      <c r="AB189" s="64" t="e">
        <f>VLOOKUP(A189,Enforcements!$C$7:$K$20,8,0)</f>
        <v>#N/A</v>
      </c>
      <c r="AC189" s="60" t="e">
        <f>VLOOKUP(A189,Enforcements!$C$7:$E$20,3,0)</f>
        <v>#N/A</v>
      </c>
      <c r="AD189" s="61" t="str">
        <f t="shared" si="57"/>
        <v>0830-30</v>
      </c>
      <c r="AE189" s="91" t="str">
        <f t="shared" si="58"/>
        <v>aws s3 cp s3://rtdc.mdm.uploadarchive.raw/RTDC4041/ "%USERPROFILE%\AppData\Local\Temp\OnboardLogs"\RTDC4041\2016-11-30 --exclude "*" --recursive --include "*20161130*" &amp; "%USERPROFILE%\Documents\GitHub\mrs-test-scripts\Headless Mode &amp; Sideloading\WalkAndUnGZ.bat" "%USERPROFILE%\AppData\Local\Temp\OnboardLogs"\RTDC4041\2016-11-30 &amp; aws s3 cp s3://rtdc.mdm.uploadarchive.raw/RTDC4041/ "%USERPROFILE%\AppData\Local\Temp\OnboardLogs"\RTDC4041\2016-12-01 --exclude "*" --recursive --include "*20161201*" &amp; "%USERPROFILE%\Documents\GitHub\mrs-test-scripts\Headless Mode &amp; Sideloading\WalkAndUnGZ.bat" "%USERPROFILE%\AppData\Local\Temp\OnboardLogs"\RTDC4041\2016-12-01</v>
      </c>
      <c r="AF189" s="88" t="str">
        <f t="shared" si="59"/>
        <v>"C:\Program Files (x86)\AstroGrep\AstroGrep.exe" /spath="%USERPROFILE%\AppData\Local\Temp\OnboardLogs" /stypes="app*4041*20161130*" /stext=" 23:.+((SYSTEM_STATE.+slice.+state.+changed )|(ment ac)|(multiple cpu faults)|(system.+state.+changed )|(\[timeout)|(PRM\|1\|D)|(kpr)|(kdp)|(\|lc)|(penalty))" /e /r /s</v>
      </c>
      <c r="AG189" s="1" t="str">
        <f t="shared" si="60"/>
        <v>NW</v>
      </c>
      <c r="AH189" s="92" t="str">
        <f t="shared" si="46"/>
        <v>"%USERPROFILE%\Documents\GitHub\eaglep3\Utilities\RefineRTDCRunTimes.py" --tripid 830-30 --locoid 4041 --swversion DE.1.0.8.0 --startMP 300:58611 --initTime 2016-11-30T16:39:25 --startdatetime 2016-11-30T16:42:50 --delay 1 --endMP 204:705 --enddatetime 2016-11-30T16:56:10 --enforcementcount 0 &gt;&gt;C:\Users\stu\Documents\GitHub\eaglep3-reporting\EC\2016-11-30-refined-times.txt</v>
      </c>
      <c r="AI189" s="119" t="str">
        <f t="shared" si="47"/>
        <v>echo {"issue":{"subject":"","project_id":79,"tracker_id":40,"status_id":1,"priority_id":2,"assigned_to_id":23,"start_date":"2016-11-30","description":"","custom_fields":[{"id":1,"name":"Subdivision","value":"NW"},{"id":4,"name":"Milepost","value":"0.0705"},{"id":17,"name":"Train ID","value":"830-30"},{"id":16,"name":"Locomotive ID","value":"4041"},{"id":130,"name":"Impact","value":""},{"id":150,"name":"Time of Event (Mountain Time)","value":"16:56:10"},{"id":151,"name":"Denver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</row>
    <row r="190" spans="1:91" x14ac:dyDescent="0.25">
      <c r="A190" s="37" t="s">
        <v>675</v>
      </c>
      <c r="B190" s="7">
        <v>4025</v>
      </c>
      <c r="C190" s="22" t="s">
        <v>212</v>
      </c>
      <c r="D190" s="22" t="s">
        <v>357</v>
      </c>
      <c r="E190" s="13">
        <v>42704.696921296294</v>
      </c>
      <c r="F190" s="13">
        <v>42704.702268518522</v>
      </c>
      <c r="G190" s="7">
        <v>1</v>
      </c>
      <c r="H190" s="22" t="s">
        <v>513</v>
      </c>
      <c r="I190" s="13">
        <v>42704.712002314816</v>
      </c>
      <c r="J190" s="7">
        <v>0</v>
      </c>
      <c r="K190" s="109" t="str">
        <f t="shared" si="48"/>
        <v>4025/4026</v>
      </c>
      <c r="L190" s="22" t="str">
        <f>VLOOKUP(A190,'Trips&amp;Operators'!$C$1:$G$99999,5,FALSE)</f>
        <v>LEVERE CRAIG</v>
      </c>
      <c r="M190" s="6">
        <f t="shared" si="49"/>
        <v>9.7337962943129241E-3</v>
      </c>
      <c r="N190" s="7">
        <f t="shared" si="66"/>
        <v>14.016666663810611</v>
      </c>
      <c r="O190" s="7"/>
      <c r="P190" s="7"/>
      <c r="Q190" s="23"/>
      <c r="R190" s="23"/>
      <c r="S190" s="35">
        <f t="shared" si="65"/>
        <v>1</v>
      </c>
      <c r="T190" s="50" t="str">
        <f t="shared" si="50"/>
        <v>NorthBound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https://search-rtdc-monitor-bjffxe2xuh6vdkpspy63sjmuny.us-east-1.es.amazonaws.com/_plugin/kibana/#/discover/Steve-Slow-Train-Analysis-(2080s-and-2083s)?_g=(refreshInterval:(display:Off,section:0,value:0),time:(from:'2016-11-30 15:43:34-700',mode:absolute,to:'2016-11-30 18:05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90" s="52" t="str">
        <f t="shared" si="52"/>
        <v>N</v>
      </c>
      <c r="X190" s="177">
        <f t="shared" si="64"/>
        <v>1</v>
      </c>
      <c r="Y190" s="67">
        <f t="shared" si="54"/>
        <v>9.7100000000000006E-2</v>
      </c>
      <c r="Z190" s="67">
        <f t="shared" si="55"/>
        <v>5.8960999999999997</v>
      </c>
      <c r="AA190" s="67">
        <f t="shared" si="56"/>
        <v>5.7989999999999995</v>
      </c>
      <c r="AB190" s="64" t="e">
        <f>VLOOKUP(A190,Enforcements!$C$7:$K$20,8,0)</f>
        <v>#N/A</v>
      </c>
      <c r="AC190" s="60" t="e">
        <f>VLOOKUP(A190,Enforcements!$C$7:$E$20,3,0)</f>
        <v>#N/A</v>
      </c>
      <c r="AD190" s="61" t="str">
        <f t="shared" si="57"/>
        <v>0831-30</v>
      </c>
      <c r="AE190" s="91" t="str">
        <f t="shared" si="58"/>
        <v>aws s3 cp s3://rtdc.mdm.uploadarchive.raw/RTDC4025/ "%USERPROFILE%\AppData\Local\Temp\OnboardLogs"\RTDC4025\2016-11-30 --exclude "*" --recursive --include "*20161130*" &amp; "%USERPROFILE%\Documents\GitHub\mrs-test-scripts\Headless Mode &amp; Sideloading\WalkAndUnGZ.bat" "%USERPROFILE%\AppData\Local\Temp\OnboardLogs"\RTDC4025\2016-11-30 &amp; aws s3 cp s3://rtdc.mdm.uploadarchive.raw/RTDC4025/ "%USERPROFILE%\AppData\Local\Temp\OnboardLogs"\RTDC4025\2016-12-01 --exclude "*" --recursive --include "*20161201*" &amp; "%USERPROFILE%\Documents\GitHub\mrs-test-scripts\Headless Mode &amp; Sideloading\WalkAndUnGZ.bat" "%USERPROFILE%\AppData\Local\Temp\OnboardLogs"\RTDC4025\2016-12-01</v>
      </c>
      <c r="AF190" s="88" t="str">
        <f t="shared" si="59"/>
        <v>"C:\Program Files (x86)\AstroGrep\AstroGrep.exe" /spath="%USERPROFILE%\AppData\Local\Temp\OnboardLogs" /stypes="app*4025*20161201*" /stext=" 00:.+((SYSTEM_STATE.+slice.+state.+changed )|(ment ac)|(multiple cpu faults)|(system.+state.+changed )|(\[timeout)|(PRM\|1\|D)|(kpr)|(kdp)|(\|lc)|(penalty))" /e /r /s</v>
      </c>
      <c r="AG190" s="1" t="str">
        <f t="shared" si="60"/>
        <v>NW</v>
      </c>
      <c r="AH190" s="92" t="str">
        <f t="shared" si="46"/>
        <v>"%USERPROFILE%\Documents\GitHub\eaglep3\Utilities\RefineRTDCRunTimes.py" --tripid 831-30 --locoid 4025 --swversion DE.1.0.8.0 --startMP 204:971 --initTime 2016-11-30T16:43:34 --startdatetime 2016-11-30T16:51:16 --delay 1 --endMP 300:58961 --enddatetime 2016-11-30T17:05:17 --enforcementcount 0 &gt;&gt;C:\Users\stu\Documents\GitHub\eaglep3-reporting\EC\2016-11-30-refined-times.txt</v>
      </c>
      <c r="AI190" s="119" t="str">
        <f t="shared" si="47"/>
        <v>echo {"issue":{"subject":"","project_id":79,"tracker_id":40,"status_id":1,"priority_id":2,"assigned_to_id":23,"start_date":"2016-11-30","description":"","custom_fields":[{"id":1,"name":"Subdivision","value":"NW"},{"id":4,"name":"Milepost","value":"5.8961"},{"id":17,"name":"Train ID","value":"831-30"},{"id":16,"name":"Locomotive ID","value":"4025"},{"id":130,"name":"Impact","value":""},{"id":150,"name":"Time of Event (Mountain Time)","value":"17:05:17"},{"id":151,"name":"Denver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</row>
    <row r="191" spans="1:91" x14ac:dyDescent="0.25">
      <c r="A191" s="37" t="s">
        <v>679</v>
      </c>
      <c r="B191" s="7">
        <v>4026</v>
      </c>
      <c r="C191" s="22" t="s">
        <v>212</v>
      </c>
      <c r="D191" s="22" t="s">
        <v>876</v>
      </c>
      <c r="E191" s="13">
        <v>42704.71298611111</v>
      </c>
      <c r="F191" s="13">
        <v>42704.714479166665</v>
      </c>
      <c r="G191" s="7">
        <v>1</v>
      </c>
      <c r="H191" s="22" t="s">
        <v>510</v>
      </c>
      <c r="I191" s="13">
        <v>42704.727152777778</v>
      </c>
      <c r="J191" s="7">
        <v>0</v>
      </c>
      <c r="K191" s="109" t="str">
        <f t="shared" si="48"/>
        <v>4025/4026</v>
      </c>
      <c r="L191" s="22" t="str">
        <f>VLOOKUP(A191,'Trips&amp;Operators'!$C$1:$G$99999,5,FALSE)</f>
        <v>LEVERE CRAIG</v>
      </c>
      <c r="M191" s="6">
        <f t="shared" si="49"/>
        <v>1.2673611112404615E-2</v>
      </c>
      <c r="N191" s="7">
        <f t="shared" si="66"/>
        <v>18.250000001862645</v>
      </c>
      <c r="O191" s="7"/>
      <c r="P191" s="7"/>
      <c r="Q191" s="23"/>
      <c r="R191" s="23"/>
      <c r="S191" s="35">
        <f t="shared" si="65"/>
        <v>1</v>
      </c>
      <c r="T191" s="50" t="str">
        <f t="shared" si="50"/>
        <v>Southbound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https://search-rtdc-monitor-bjffxe2xuh6vdkpspy63sjmuny.us-east-1.es.amazonaws.com/_plugin/kibana/#/discover/Steve-Slow-Train-Analysis-(2080s-and-2083s)?_g=(refreshInterval:(display:Off,section:0,value:0),time:(from:'2016-11-30 16:06:42-700',mode:absolute,to:'2016-11-30 18:27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91" s="52" t="str">
        <f t="shared" si="52"/>
        <v>N</v>
      </c>
      <c r="X191" s="177">
        <f t="shared" si="64"/>
        <v>1</v>
      </c>
      <c r="Y191" s="67">
        <f t="shared" si="54"/>
        <v>5.8638000000000003</v>
      </c>
      <c r="Z191" s="67">
        <f t="shared" si="55"/>
        <v>6.8000000000000005E-2</v>
      </c>
      <c r="AA191" s="67">
        <f t="shared" si="56"/>
        <v>5.7958000000000007</v>
      </c>
      <c r="AB191" s="64" t="e">
        <f>VLOOKUP(A191,Enforcements!$C$7:$K$20,8,0)</f>
        <v>#N/A</v>
      </c>
      <c r="AC191" s="60" t="e">
        <f>VLOOKUP(A191,Enforcements!$C$7:$E$20,3,0)</f>
        <v>#N/A</v>
      </c>
      <c r="AD191" s="61" t="str">
        <f t="shared" si="57"/>
        <v>0832-30</v>
      </c>
      <c r="AE191" s="91" t="str">
        <f t="shared" si="58"/>
        <v>aws s3 cp s3://rtdc.mdm.uploadarchive.raw/RTDC4026/ "%USERPROFILE%\AppData\Local\Temp\OnboardLogs"\RTDC4026\2016-11-30 --exclude "*" --recursive --include "*20161130*" &amp; "%USERPROFILE%\Documents\GitHub\mrs-test-scripts\Headless Mode &amp; Sideloading\WalkAndUnGZ.bat" "%USERPROFILE%\AppData\Local\Temp\OnboardLogs"\RTDC4026\2016-11-30 &amp; aws s3 cp s3://rtdc.mdm.uploadarchive.raw/RTDC4026/ "%USERPROFILE%\AppData\Local\Temp\OnboardLogs"\RTDC4026\2016-12-01 --exclude "*" --recursive --include "*20161201*" &amp; "%USERPROFILE%\Documents\GitHub\mrs-test-scripts\Headless Mode &amp; Sideloading\WalkAndUnGZ.bat" "%USERPROFILE%\AppData\Local\Temp\OnboardLogs"\RTDC4026\2016-12-01</v>
      </c>
      <c r="AF191" s="88" t="str">
        <f t="shared" si="59"/>
        <v>"C:\Program Files (x86)\AstroGrep\AstroGrep.exe" /spath="%USERPROFILE%\AppData\Local\Temp\OnboardLogs" /stypes="app*4026*20161201*" /stext=" 00:.+((SYSTEM_STATE.+slice.+state.+changed )|(ment ac)|(multiple cpu faults)|(system.+state.+changed )|(\[timeout)|(PRM\|1\|D)|(kpr)|(kdp)|(\|lc)|(penalty))" /e /r /s</v>
      </c>
      <c r="AG191" s="1" t="str">
        <f t="shared" si="60"/>
        <v>NW</v>
      </c>
      <c r="AH191" s="92" t="str">
        <f t="shared" si="46"/>
        <v>"%USERPROFILE%\Documents\GitHub\eaglep3\Utilities\RefineRTDCRunTimes.py" --tripid 832-30 --locoid 4026 --swversion DE.1.0.8.0 --startMP 300:58638 --initTime 2016-11-30T17:06:42 --startdatetime 2016-11-30T17:08:51 --delay 1 --endMP 204:680 --enddatetime 2016-11-30T17:27:06 --enforcementcount 0 &gt;&gt;C:\Users\stu\Documents\GitHub\eaglep3-reporting\EC\2016-11-30-refined-times.txt</v>
      </c>
      <c r="AI191" s="119" t="str">
        <f t="shared" si="47"/>
        <v>echo {"issue":{"subject":"","project_id":79,"tracker_id":40,"status_id":1,"priority_id":2,"assigned_to_id":23,"start_date":"2016-11-30","description":"","custom_fields":[{"id":1,"name":"Subdivision","value":"NW"},{"id":4,"name":"Milepost","value":"0.068"},{"id":17,"name":"Train ID","value":"832-30"},{"id":16,"name":"Locomotive ID","value":"4026"},{"id":130,"name":"Impact","value":""},{"id":150,"name":"Time of Event (Mountain Time)","value":"17:27:06"},{"id":151,"name":"Denver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</row>
    <row r="192" spans="1:91" x14ac:dyDescent="0.25">
      <c r="A192" s="37" t="s">
        <v>682</v>
      </c>
      <c r="B192" s="7">
        <v>4042</v>
      </c>
      <c r="C192" s="22" t="s">
        <v>212</v>
      </c>
      <c r="D192" s="22" t="s">
        <v>506</v>
      </c>
      <c r="E192" s="13">
        <v>42704.717268518521</v>
      </c>
      <c r="F192" s="13">
        <v>42704.723402777781</v>
      </c>
      <c r="G192" s="7">
        <v>2</v>
      </c>
      <c r="H192" s="22" t="s">
        <v>877</v>
      </c>
      <c r="I192" s="13">
        <v>42704.733680555553</v>
      </c>
      <c r="J192" s="7">
        <v>0</v>
      </c>
      <c r="K192" s="109" t="str">
        <f t="shared" si="48"/>
        <v>4041/4042</v>
      </c>
      <c r="L192" s="22" t="str">
        <f>VLOOKUP(A192,'Trips&amp;Operators'!$C$1:$G$99999,5,FALSE)</f>
        <v>MOSES BRADLEY</v>
      </c>
      <c r="M192" s="6">
        <f t="shared" si="49"/>
        <v>1.0277777771989349E-2</v>
      </c>
      <c r="N192" s="7">
        <f t="shared" si="66"/>
        <v>14.799999991664663</v>
      </c>
      <c r="O192" s="7"/>
      <c r="P192" s="7"/>
      <c r="Q192" s="23"/>
      <c r="R192" s="23"/>
      <c r="S192" s="35">
        <f t="shared" si="65"/>
        <v>1</v>
      </c>
      <c r="T192" s="50" t="str">
        <f t="shared" si="50"/>
        <v>NorthBound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https://search-rtdc-monitor-bjffxe2xuh6vdkpspy63sjmuny.us-east-1.es.amazonaws.com/_plugin/kibana/#/discover/Steve-Slow-Train-Analysis-(2080s-and-2083s)?_g=(refreshInterval:(display:Off,section:0,value:0),time:(from:'2016-11-30 16:12:52-700',mode:absolute,to:'2016-11-30 18:36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92" s="52" t="str">
        <f t="shared" si="52"/>
        <v>N</v>
      </c>
      <c r="X192" s="177">
        <f t="shared" si="64"/>
        <v>1</v>
      </c>
      <c r="Y192" s="67">
        <f t="shared" si="54"/>
        <v>9.8100000000000007E-2</v>
      </c>
      <c r="Z192" s="67">
        <f t="shared" si="55"/>
        <v>5.8948</v>
      </c>
      <c r="AA192" s="67">
        <f t="shared" si="56"/>
        <v>5.7967000000000004</v>
      </c>
      <c r="AB192" s="64" t="e">
        <f>VLOOKUP(A192,Enforcements!$C$7:$K$20,8,0)</f>
        <v>#N/A</v>
      </c>
      <c r="AC192" s="60" t="e">
        <f>VLOOKUP(A192,Enforcements!$C$7:$E$20,3,0)</f>
        <v>#N/A</v>
      </c>
      <c r="AD192" s="61" t="str">
        <f t="shared" si="57"/>
        <v>0833-30</v>
      </c>
      <c r="AE192" s="91" t="str">
        <f t="shared" si="58"/>
        <v>aws s3 cp s3://rtdc.mdm.uploadarchive.raw/RTDC4042/ "%USERPROFILE%\AppData\Local\Temp\OnboardLogs"\RTDC4042\2016-11-30 --exclude "*" --recursive --include "*20161130*" &amp; "%USERPROFILE%\Documents\GitHub\mrs-test-scripts\Headless Mode &amp; Sideloading\WalkAndUnGZ.bat" "%USERPROFILE%\AppData\Local\Temp\OnboardLogs"\RTDC4042\2016-11-30 &amp; aws s3 cp s3://rtdc.mdm.uploadarchive.raw/RTDC4042/ "%USERPROFILE%\AppData\Local\Temp\OnboardLogs"\RTDC4042\2016-12-01 --exclude "*" --recursive --include "*20161201*" &amp; "%USERPROFILE%\Documents\GitHub\mrs-test-scripts\Headless Mode &amp; Sideloading\WalkAndUnGZ.bat" "%USERPROFILE%\AppData\Local\Temp\OnboardLogs"\RTDC4042\2016-12-01</v>
      </c>
      <c r="AF192" s="88" t="str">
        <f t="shared" si="59"/>
        <v>"C:\Program Files (x86)\AstroGrep\AstroGrep.exe" /spath="%USERPROFILE%\AppData\Local\Temp\OnboardLogs" /stypes="app*4042*20161201*" /stext=" 00:.+((SYSTEM_STATE.+slice.+state.+changed )|(ment ac)|(multiple cpu faults)|(system.+state.+changed )|(\[timeout)|(PRM\|1\|D)|(kpr)|(kdp)|(\|lc)|(penalty))" /e /r /s</v>
      </c>
      <c r="AG192" s="1" t="str">
        <f t="shared" si="60"/>
        <v>NW</v>
      </c>
      <c r="AH192" s="92" t="str">
        <f t="shared" si="46"/>
        <v>"%USERPROFILE%\Documents\GitHub\eaglep3\Utilities\RefineRTDCRunTimes.py" --tripid 833-30 --locoid 4042 --swversion DE.1.0.8.0 --startMP 204:981 --initTime 2016-11-30T17:12:52 --startdatetime 2016-11-30T17:21:42 --delay 2 --endMP 300:58948 --enddatetime 2016-11-30T17:36:30 --enforcementcount 0 &gt;&gt;C:\Users\stu\Documents\GitHub\eaglep3-reporting\EC\2016-11-30-refined-times.txt</v>
      </c>
      <c r="AI192" s="119" t="str">
        <f t="shared" si="47"/>
        <v>echo {"issue":{"subject":"","project_id":79,"tracker_id":40,"status_id":1,"priority_id":2,"assigned_to_id":23,"start_date":"2016-11-30","description":"","custom_fields":[{"id":1,"name":"Subdivision","value":"NW"},{"id":4,"name":"Milepost","value":"5.8948"},{"id":17,"name":"Train ID","value":"833-30"},{"id":16,"name":"Locomotive ID","value":"4042"},{"id":130,"name":"Impact","value":""},{"id":150,"name":"Time of Event (Mountain Time)","value":"17:36:30"},{"id":151,"name":"Denver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</row>
    <row r="193" spans="1:91" x14ac:dyDescent="0.25">
      <c r="A193" s="37" t="s">
        <v>690</v>
      </c>
      <c r="B193" s="7">
        <v>4041</v>
      </c>
      <c r="C193" s="22" t="s">
        <v>212</v>
      </c>
      <c r="D193" s="22" t="s">
        <v>358</v>
      </c>
      <c r="E193" s="13">
        <v>42704.735312500001</v>
      </c>
      <c r="F193" s="13">
        <v>42704.737395833334</v>
      </c>
      <c r="G193" s="7">
        <v>1</v>
      </c>
      <c r="H193" s="22" t="s">
        <v>878</v>
      </c>
      <c r="I193" s="13">
        <v>42704.74722222222</v>
      </c>
      <c r="J193" s="7">
        <v>0</v>
      </c>
      <c r="K193" s="109" t="str">
        <f t="shared" si="48"/>
        <v>4041/4042</v>
      </c>
      <c r="L193" s="22" t="str">
        <f>VLOOKUP(A193,'Trips&amp;Operators'!$C$1:$G$99999,5,FALSE)</f>
        <v>MOSES BRADLEY</v>
      </c>
      <c r="M193" s="6">
        <f t="shared" si="49"/>
        <v>9.8263888867222704E-3</v>
      </c>
      <c r="N193" s="7">
        <f t="shared" si="66"/>
        <v>14.149999996880069</v>
      </c>
      <c r="O193" s="7"/>
      <c r="P193" s="7"/>
      <c r="Q193" s="23"/>
      <c r="R193" s="23"/>
      <c r="S193" s="35">
        <f t="shared" si="65"/>
        <v>1</v>
      </c>
      <c r="T193" s="50" t="str">
        <f t="shared" si="50"/>
        <v>Southbound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https://search-rtdc-monitor-bjffxe2xuh6vdkpspy63sjmuny.us-east-1.es.amazonaws.com/_plugin/kibana/#/discover/Steve-Slow-Train-Analysis-(2080s-and-2083s)?_g=(refreshInterval:(display:Off,section:0,value:0),time:(from:'2016-11-30 16:38:51-700',mode:absolute,to:'2016-11-30 18:56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93" s="52" t="str">
        <f t="shared" si="52"/>
        <v>N</v>
      </c>
      <c r="X193" s="177">
        <f t="shared" si="64"/>
        <v>1</v>
      </c>
      <c r="Y193" s="67">
        <f t="shared" si="54"/>
        <v>5.8623000000000003</v>
      </c>
      <c r="Z193" s="67">
        <f t="shared" si="55"/>
        <v>7.4999999999999997E-2</v>
      </c>
      <c r="AA193" s="67">
        <f t="shared" si="56"/>
        <v>5.7873000000000001</v>
      </c>
      <c r="AB193" s="64" t="e">
        <f>VLOOKUP(A193,Enforcements!$C$7:$K$20,8,0)</f>
        <v>#N/A</v>
      </c>
      <c r="AC193" s="60" t="e">
        <f>VLOOKUP(A193,Enforcements!$C$7:$E$20,3,0)</f>
        <v>#N/A</v>
      </c>
      <c r="AD193" s="61" t="str">
        <f t="shared" si="57"/>
        <v>0834-30</v>
      </c>
      <c r="AE193" s="91" t="str">
        <f t="shared" si="58"/>
        <v>aws s3 cp s3://rtdc.mdm.uploadarchive.raw/RTDC4041/ "%USERPROFILE%\AppData\Local\Temp\OnboardLogs"\RTDC4041\2016-11-30 --exclude "*" --recursive --include "*20161130*" &amp; "%USERPROFILE%\Documents\GitHub\mrs-test-scripts\Headless Mode &amp; Sideloading\WalkAndUnGZ.bat" "%USERPROFILE%\AppData\Local\Temp\OnboardLogs"\RTDC4041\2016-11-30 &amp; aws s3 cp s3://rtdc.mdm.uploadarchive.raw/RTDC4041/ "%USERPROFILE%\AppData\Local\Temp\OnboardLogs"\RTDC4041\2016-12-01 --exclude "*" --recursive --include "*20161201*" &amp; "%USERPROFILE%\Documents\GitHub\mrs-test-scripts\Headless Mode &amp; Sideloading\WalkAndUnGZ.bat" "%USERPROFILE%\AppData\Local\Temp\OnboardLogs"\RTDC4041\2016-12-01</v>
      </c>
      <c r="AF193" s="88" t="str">
        <f t="shared" si="59"/>
        <v>"C:\Program Files (x86)\AstroGrep\AstroGrep.exe" /spath="%USERPROFILE%\AppData\Local\Temp\OnboardLogs" /stypes="app*4041*20161201*" /stext=" 00:.+((SYSTEM_STATE.+slice.+state.+changed )|(ment ac)|(multiple cpu faults)|(system.+state.+changed )|(\[timeout)|(PRM\|1\|D)|(kpr)|(kdp)|(\|lc)|(penalty))" /e /r /s</v>
      </c>
      <c r="AG193" s="1" t="str">
        <f t="shared" si="60"/>
        <v>NW</v>
      </c>
      <c r="AH193" s="92" t="str">
        <f t="shared" si="46"/>
        <v>"%USERPROFILE%\Documents\GitHub\eaglep3\Utilities\RefineRTDCRunTimes.py" --tripid 834-30 --locoid 4041 --swversion DE.1.0.8.0 --startMP 300:58623 --initTime 2016-11-30T17:38:51 --startdatetime 2016-11-30T17:41:51 --delay 1 --endMP 204:750 --enddatetime 2016-11-30T17:56:00 --enforcementcount 0 &gt;&gt;C:\Users\stu\Documents\GitHub\eaglep3-reporting\EC\2016-11-30-refined-times.txt</v>
      </c>
      <c r="AI193" s="119" t="str">
        <f t="shared" si="47"/>
        <v>echo {"issue":{"subject":"","project_id":79,"tracker_id":40,"status_id":1,"priority_id":2,"assigned_to_id":23,"start_date":"2016-11-30","description":"","custom_fields":[{"id":1,"name":"Subdivision","value":"NW"},{"id":4,"name":"Milepost","value":"0.075"},{"id":17,"name":"Train ID","value":"834-30"},{"id":16,"name":"Locomotive ID","value":"4041"},{"id":130,"name":"Impact","value":""},{"id":150,"name":"Time of Event (Mountain Time)","value":"17:56:00"},{"id":151,"name":"Denver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</row>
    <row r="194" spans="1:91" s="21" customFormat="1" x14ac:dyDescent="0.25">
      <c r="A194" s="37" t="s">
        <v>692</v>
      </c>
      <c r="B194" s="7">
        <v>4025</v>
      </c>
      <c r="C194" s="22" t="s">
        <v>212</v>
      </c>
      <c r="D194" s="22" t="s">
        <v>870</v>
      </c>
      <c r="E194" s="13">
        <v>42704.739421296297</v>
      </c>
      <c r="F194" s="13">
        <v>42704.743993055556</v>
      </c>
      <c r="G194" s="7">
        <v>1</v>
      </c>
      <c r="H194" s="22" t="s">
        <v>879</v>
      </c>
      <c r="I194" s="13">
        <v>42704.754074074073</v>
      </c>
      <c r="J194" s="7">
        <v>0</v>
      </c>
      <c r="K194" s="109" t="str">
        <f t="shared" si="48"/>
        <v>4025/4026</v>
      </c>
      <c r="L194" s="22" t="str">
        <f>VLOOKUP(A194,'Trips&amp;Operators'!$C$1:$G$99999,5,FALSE)</f>
        <v>LEVERE CRAIG</v>
      </c>
      <c r="M194" s="6">
        <f t="shared" si="49"/>
        <v>1.0081018517666962E-2</v>
      </c>
      <c r="N194" s="7">
        <f t="shared" si="66"/>
        <v>14.516666665440425</v>
      </c>
      <c r="O194" s="7"/>
      <c r="P194" s="7"/>
      <c r="Q194" s="23"/>
      <c r="R194" s="23"/>
      <c r="S194" s="35">
        <f t="shared" si="65"/>
        <v>1</v>
      </c>
      <c r="T194" s="50" t="str">
        <f t="shared" si="50"/>
        <v>NorthBound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https://search-rtdc-monitor-bjffxe2xuh6vdkpspy63sjmuny.us-east-1.es.amazonaws.com/_plugin/kibana/#/discover/Steve-Slow-Train-Analysis-(2080s-and-2083s)?_g=(refreshInterval:(display:Off,section:0,value:0),time:(from:'2016-11-30 16:44:46-700',mode:absolute,to:'2016-11-30 19:05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94" s="52" t="str">
        <f t="shared" si="52"/>
        <v>N</v>
      </c>
      <c r="X194" s="177">
        <f t="shared" si="64"/>
        <v>1</v>
      </c>
      <c r="Y194" s="67">
        <f t="shared" si="54"/>
        <v>9.7199999999999995E-2</v>
      </c>
      <c r="Z194" s="67">
        <f t="shared" si="55"/>
        <v>5.8973000000000004</v>
      </c>
      <c r="AA194" s="67">
        <f t="shared" si="56"/>
        <v>5.8001000000000005</v>
      </c>
      <c r="AB194" s="64" t="e">
        <f>VLOOKUP(A194,Enforcements!$C$7:$K$20,8,0)</f>
        <v>#N/A</v>
      </c>
      <c r="AC194" s="60" t="e">
        <f>VLOOKUP(A194,Enforcements!$C$7:$E$20,3,0)</f>
        <v>#N/A</v>
      </c>
      <c r="AD194" s="61" t="str">
        <f t="shared" si="57"/>
        <v>0835-30</v>
      </c>
      <c r="AE194" s="91" t="str">
        <f t="shared" si="58"/>
        <v>aws s3 cp s3://rtdc.mdm.uploadarchive.raw/RTDC4025/ "%USERPROFILE%\AppData\Local\Temp\OnboardLogs"\RTDC4025\2016-11-30 --exclude "*" --recursive --include "*20161130*" &amp; "%USERPROFILE%\Documents\GitHub\mrs-test-scripts\Headless Mode &amp; Sideloading\WalkAndUnGZ.bat" "%USERPROFILE%\AppData\Local\Temp\OnboardLogs"\RTDC4025\2016-11-30 &amp; aws s3 cp s3://rtdc.mdm.uploadarchive.raw/RTDC4025/ "%USERPROFILE%\AppData\Local\Temp\OnboardLogs"\RTDC4025\2016-12-01 --exclude "*" --recursive --include "*20161201*" &amp; "%USERPROFILE%\Documents\GitHub\mrs-test-scripts\Headless Mode &amp; Sideloading\WalkAndUnGZ.bat" "%USERPROFILE%\AppData\Local\Temp\OnboardLogs"\RTDC4025\2016-12-01</v>
      </c>
      <c r="AF194" s="88" t="str">
        <f t="shared" si="59"/>
        <v>"C:\Program Files (x86)\AstroGrep\AstroGrep.exe" /spath="%USERPROFILE%\AppData\Local\Temp\OnboardLogs" /stypes="app*4025*20161201*" /stext=" 01:.+((SYSTEM_STATE.+slice.+state.+changed )|(ment ac)|(multiple cpu faults)|(system.+state.+changed )|(\[timeout)|(PRM\|1\|D)|(kpr)|(kdp)|(\|lc)|(penalty))" /e /r /s</v>
      </c>
      <c r="AG194" s="1" t="str">
        <f t="shared" si="60"/>
        <v>NW</v>
      </c>
      <c r="AH194" s="92" t="str">
        <f t="shared" si="46"/>
        <v>"%USERPROFILE%\Documents\GitHub\eaglep3\Utilities\RefineRTDCRunTimes.py" --tripid 835-30 --locoid 4025 --swversion DE.1.0.8.0 --startMP 204:972 --initTime 2016-11-30T17:44:46 --startdatetime 2016-11-30T17:51:21 --delay 1 --endMP 300:58973 --enddatetime 2016-11-30T18:05:52 --enforcementcount 0 &gt;&gt;C:\Users\stu\Documents\GitHub\eaglep3-reporting\EC\2016-11-30-refined-times.txt</v>
      </c>
      <c r="AI194" s="119" t="str">
        <f t="shared" si="47"/>
        <v>echo {"issue":{"subject":"","project_id":79,"tracker_id":40,"status_id":1,"priority_id":2,"assigned_to_id":23,"start_date":"2016-11-30","description":"","custom_fields":[{"id":1,"name":"Subdivision","value":"NW"},{"id":4,"name":"Milepost","value":"5.8973"},{"id":17,"name":"Train ID","value":"835-30"},{"id":16,"name":"Locomotive ID","value":"4025"},{"id":130,"name":"Impact","value":""},{"id":150,"name":"Time of Event (Mountain Time)","value":"18:05:52"},{"id":151,"name":"Denver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1" customFormat="1" x14ac:dyDescent="0.25">
      <c r="A195" s="37" t="s">
        <v>546</v>
      </c>
      <c r="B195" s="7">
        <v>4026</v>
      </c>
      <c r="C195" s="22" t="s">
        <v>212</v>
      </c>
      <c r="D195" s="22" t="s">
        <v>880</v>
      </c>
      <c r="E195" s="13">
        <v>42704.755902777775</v>
      </c>
      <c r="F195" s="13">
        <v>42704.757418981484</v>
      </c>
      <c r="G195" s="7">
        <v>1</v>
      </c>
      <c r="H195" s="22" t="s">
        <v>751</v>
      </c>
      <c r="I195" s="13">
        <v>42704.770775462966</v>
      </c>
      <c r="J195" s="7">
        <v>0</v>
      </c>
      <c r="K195" s="109" t="str">
        <f t="shared" si="48"/>
        <v>4025/4026</v>
      </c>
      <c r="L195" s="22" t="str">
        <f>VLOOKUP(A195,'Trips&amp;Operators'!$C$1:$G$99999,5,FALSE)</f>
        <v>LEVERE CRAIG</v>
      </c>
      <c r="M195" s="6">
        <f t="shared" si="49"/>
        <v>1.3356481482333038E-2</v>
      </c>
      <c r="N195" s="7">
        <f t="shared" si="66"/>
        <v>19.233333334559575</v>
      </c>
      <c r="O195" s="7"/>
      <c r="P195" s="7"/>
      <c r="Q195" s="23"/>
      <c r="R195" s="23"/>
      <c r="S195" s="35">
        <f t="shared" si="65"/>
        <v>1</v>
      </c>
      <c r="T195" s="50" t="str">
        <f t="shared" si="50"/>
        <v>Southbound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https://search-rtdc-monitor-bjffxe2xuh6vdkpspy63sjmuny.us-east-1.es.amazonaws.com/_plugin/kibana/#/discover/Steve-Slow-Train-Analysis-(2080s-and-2083s)?_g=(refreshInterval:(display:Off,section:0,value:0),time:(from:'2016-11-30 17:08:30-700',mode:absolute,to:'2016-11-30 19:29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95" s="52" t="str">
        <f t="shared" si="52"/>
        <v>N</v>
      </c>
      <c r="X195" s="177">
        <f t="shared" si="64"/>
        <v>1</v>
      </c>
      <c r="Y195" s="67">
        <f t="shared" si="54"/>
        <v>5.8653000000000004</v>
      </c>
      <c r="Z195" s="67">
        <f t="shared" si="55"/>
        <v>6.7299999999999999E-2</v>
      </c>
      <c r="AA195" s="67">
        <f t="shared" si="56"/>
        <v>5.798</v>
      </c>
      <c r="AB195" s="64" t="e">
        <f>VLOOKUP(A195,Enforcements!$C$7:$K$20,8,0)</f>
        <v>#N/A</v>
      </c>
      <c r="AC195" s="60" t="e">
        <f>VLOOKUP(A195,Enforcements!$C$7:$E$20,3,0)</f>
        <v>#N/A</v>
      </c>
      <c r="AD195" s="61" t="str">
        <f t="shared" si="57"/>
        <v>0836-30</v>
      </c>
      <c r="AE195" s="91" t="str">
        <f t="shared" si="58"/>
        <v>aws s3 cp s3://rtdc.mdm.uploadarchive.raw/RTDC4026/ "%USERPROFILE%\AppData\Local\Temp\OnboardLogs"\RTDC4026\2016-11-30 --exclude "*" --recursive --include "*20161130*" &amp; "%USERPROFILE%\Documents\GitHub\mrs-test-scripts\Headless Mode &amp; Sideloading\WalkAndUnGZ.bat" "%USERPROFILE%\AppData\Local\Temp\OnboardLogs"\RTDC4026\2016-11-30 &amp; aws s3 cp s3://rtdc.mdm.uploadarchive.raw/RTDC4026/ "%USERPROFILE%\AppData\Local\Temp\OnboardLogs"\RTDC4026\2016-12-01 --exclude "*" --recursive --include "*20161201*" &amp; "%USERPROFILE%\Documents\GitHub\mrs-test-scripts\Headless Mode &amp; Sideloading\WalkAndUnGZ.bat" "%USERPROFILE%\AppData\Local\Temp\OnboardLogs"\RTDC4026\2016-12-01</v>
      </c>
      <c r="AF195" s="88" t="str">
        <f t="shared" si="59"/>
        <v>"C:\Program Files (x86)\AstroGrep\AstroGrep.exe" /spath="%USERPROFILE%\AppData\Local\Temp\OnboardLogs" /stypes="app*4026*20161201*" /stext=" 01:.+((SYSTEM_STATE.+slice.+state.+changed )|(ment ac)|(multiple cpu faults)|(system.+state.+changed )|(\[timeout)|(PRM\|1\|D)|(kpr)|(kdp)|(\|lc)|(penalty))" /e /r /s</v>
      </c>
      <c r="AG195" s="1" t="str">
        <f t="shared" si="60"/>
        <v>NW</v>
      </c>
      <c r="AH195" s="92" t="str">
        <f t="shared" si="46"/>
        <v>"%USERPROFILE%\Documents\GitHub\eaglep3\Utilities\RefineRTDCRunTimes.py" --tripid 836-30 --locoid 4026 --swversion DE.1.0.8.0 --startMP 300:58653 --initTime 2016-11-30T18:08:30 --startdatetime 2016-11-30T18:10:41 --delay 1 --endMP 204:673 --enddatetime 2016-11-30T18:29:55 --enforcementcount 0 &gt;&gt;C:\Users\stu\Documents\GitHub\eaglep3-reporting\EC\2016-11-30-refined-times.txt</v>
      </c>
      <c r="AI195" s="119" t="str">
        <f t="shared" si="47"/>
        <v>echo {"issue":{"subject":"","project_id":79,"tracker_id":40,"status_id":1,"priority_id":2,"assigned_to_id":23,"start_date":"2016-11-30","description":"","custom_fields":[{"id":1,"name":"Subdivision","value":"NW"},{"id":4,"name":"Milepost","value":"0.0673"},{"id":17,"name":"Train ID","value":"836-30"},{"id":16,"name":"Locomotive ID","value":"4026"},{"id":130,"name":"Impact","value":""},{"id":150,"name":"Time of Event (Mountain Time)","value":"18:29:55"},{"id":151,"name":"Denver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1" customFormat="1" x14ac:dyDescent="0.25">
      <c r="A196" s="37" t="s">
        <v>698</v>
      </c>
      <c r="B196" s="7">
        <v>4042</v>
      </c>
      <c r="C196" s="22" t="s">
        <v>212</v>
      </c>
      <c r="D196" s="22" t="s">
        <v>881</v>
      </c>
      <c r="E196" s="13">
        <v>42704.760243055556</v>
      </c>
      <c r="F196" s="13">
        <v>42704.764988425923</v>
      </c>
      <c r="G196" s="7">
        <v>1</v>
      </c>
      <c r="H196" s="22" t="s">
        <v>326</v>
      </c>
      <c r="I196" s="13">
        <v>42704.77547453704</v>
      </c>
      <c r="J196" s="7">
        <v>0</v>
      </c>
      <c r="K196" s="109" t="str">
        <f t="shared" si="48"/>
        <v>4041/4042</v>
      </c>
      <c r="L196" s="22" t="str">
        <f>VLOOKUP(A196,'Trips&amp;Operators'!$C$1:$G$99999,5,FALSE)</f>
        <v>MOSES BRADLEY</v>
      </c>
      <c r="M196" s="6">
        <f t="shared" si="49"/>
        <v>1.0486111117643304E-2</v>
      </c>
      <c r="N196" s="7">
        <f t="shared" si="66"/>
        <v>15.100000009406358</v>
      </c>
      <c r="O196" s="7"/>
      <c r="P196" s="7"/>
      <c r="Q196" s="23"/>
      <c r="R196" s="23"/>
      <c r="S196" s="35">
        <f t="shared" si="65"/>
        <v>1</v>
      </c>
      <c r="T196" s="50" t="str">
        <f t="shared" si="50"/>
        <v>NorthBound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https://search-rtdc-monitor-bjffxe2xuh6vdkpspy63sjmuny.us-east-1.es.amazonaws.com/_plugin/kibana/#/discover/Steve-Slow-Train-Analysis-(2080s-and-2083s)?_g=(refreshInterval:(display:Off,section:0,value:0),time:(from:'2016-11-30 17:14:45-700',mode:absolute,to:'2016-11-30 19:36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96" s="52" t="str">
        <f t="shared" si="52"/>
        <v>N</v>
      </c>
      <c r="X196" s="177">
        <f t="shared" si="64"/>
        <v>1</v>
      </c>
      <c r="Y196" s="67">
        <f t="shared" si="54"/>
        <v>0.1014</v>
      </c>
      <c r="Z196" s="67">
        <f t="shared" si="55"/>
        <v>5.8949999999999996</v>
      </c>
      <c r="AA196" s="67">
        <f t="shared" si="56"/>
        <v>5.7935999999999996</v>
      </c>
      <c r="AB196" s="64" t="e">
        <f>VLOOKUP(A196,Enforcements!$C$7:$K$20,8,0)</f>
        <v>#N/A</v>
      </c>
      <c r="AC196" s="60" t="e">
        <f>VLOOKUP(A196,Enforcements!$C$7:$E$20,3,0)</f>
        <v>#N/A</v>
      </c>
      <c r="AD196" s="61" t="str">
        <f t="shared" si="57"/>
        <v>0837-30</v>
      </c>
      <c r="AE196" s="91" t="str">
        <f t="shared" si="58"/>
        <v>aws s3 cp s3://rtdc.mdm.uploadarchive.raw/RTDC4042/ "%USERPROFILE%\AppData\Local\Temp\OnboardLogs"\RTDC4042\2016-11-30 --exclude "*" --recursive --include "*20161130*" &amp; "%USERPROFILE%\Documents\GitHub\mrs-test-scripts\Headless Mode &amp; Sideloading\WalkAndUnGZ.bat" "%USERPROFILE%\AppData\Local\Temp\OnboardLogs"\RTDC4042\2016-11-30 &amp; aws s3 cp s3://rtdc.mdm.uploadarchive.raw/RTDC4042/ "%USERPROFILE%\AppData\Local\Temp\OnboardLogs"\RTDC4042\2016-12-01 --exclude "*" --recursive --include "*20161201*" &amp; "%USERPROFILE%\Documents\GitHub\mrs-test-scripts\Headless Mode &amp; Sideloading\WalkAndUnGZ.bat" "%USERPROFILE%\AppData\Local\Temp\OnboardLogs"\RTDC4042\2016-12-01</v>
      </c>
      <c r="AF196" s="88" t="str">
        <f t="shared" si="59"/>
        <v>"C:\Program Files (x86)\AstroGrep\AstroGrep.exe" /spath="%USERPROFILE%\AppData\Local\Temp\OnboardLogs" /stypes="app*4042*20161201*" /stext=" 01:.+((SYSTEM_STATE.+slice.+state.+changed )|(ment ac)|(multiple cpu faults)|(system.+state.+changed )|(\[timeout)|(PRM\|1\|D)|(kpr)|(kdp)|(\|lc)|(penalty))" /e /r /s</v>
      </c>
      <c r="AG196" s="1" t="str">
        <f t="shared" si="60"/>
        <v>NW</v>
      </c>
      <c r="AH196" s="92" t="str">
        <f t="shared" si="46"/>
        <v>"%USERPROFILE%\Documents\GitHub\eaglep3\Utilities\RefineRTDCRunTimes.py" --tripid 837-30 --locoid 4042 --swversion DE.1.0.8.0 --startMP 204:1014 --initTime 2016-11-30T18:14:45 --startdatetime 2016-11-30T18:21:35 --delay 1 --endMP 300:58950 --enddatetime 2016-11-30T18:36:41 --enforcementcount 0 &gt;&gt;C:\Users\stu\Documents\GitHub\eaglep3-reporting\EC\2016-11-30-refined-times.txt</v>
      </c>
      <c r="AI196" s="119" t="str">
        <f t="shared" si="47"/>
        <v>echo {"issue":{"subject":"","project_id":79,"tracker_id":40,"status_id":1,"priority_id":2,"assigned_to_id":23,"start_date":"2016-11-30","description":"","custom_fields":[{"id":1,"name":"Subdivision","value":"NW"},{"id":4,"name":"Milepost","value":"5.895"},{"id":17,"name":"Train ID","value":"837-30"},{"id":16,"name":"Locomotive ID","value":"4042"},{"id":130,"name":"Impact","value":""},{"id":150,"name":"Time of Event (Mountain Time)","value":"18:36:41"},{"id":151,"name":"Denver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7" t="s">
        <v>703</v>
      </c>
      <c r="B197" s="7">
        <v>4041</v>
      </c>
      <c r="C197" s="22" t="s">
        <v>212</v>
      </c>
      <c r="D197" s="22" t="s">
        <v>882</v>
      </c>
      <c r="E197" s="13">
        <v>42704.777905092589</v>
      </c>
      <c r="F197" s="13">
        <v>42704.779594907406</v>
      </c>
      <c r="G197" s="7">
        <v>1</v>
      </c>
      <c r="H197" s="22" t="s">
        <v>748</v>
      </c>
      <c r="I197" s="13">
        <v>42704.789340277777</v>
      </c>
      <c r="J197" s="7">
        <v>0</v>
      </c>
      <c r="K197" s="109" t="str">
        <f t="shared" si="48"/>
        <v>4041/4042</v>
      </c>
      <c r="L197" s="22" t="str">
        <f>VLOOKUP(A197,'Trips&amp;Operators'!$C$1:$G$99999,5,FALSE)</f>
        <v>MOSES BRADLEY</v>
      </c>
      <c r="M197" s="6">
        <f t="shared" si="49"/>
        <v>9.7453703710925765E-3</v>
      </c>
      <c r="N197" s="7">
        <f t="shared" si="66"/>
        <v>14.03333333437331</v>
      </c>
      <c r="O197" s="7"/>
      <c r="P197" s="7"/>
      <c r="Q197" s="23"/>
      <c r="R197" s="23"/>
      <c r="S197" s="35">
        <f t="shared" si="65"/>
        <v>1</v>
      </c>
      <c r="T197" s="50" t="str">
        <f t="shared" si="50"/>
        <v>Southbound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https://search-rtdc-monitor-bjffxe2xuh6vdkpspy63sjmuny.us-east-1.es.amazonaws.com/_plugin/kibana/#/discover/Steve-Slow-Train-Analysis-(2080s-and-2083s)?_g=(refreshInterval:(display:Off,section:0,value:0),time:(from:'2016-11-30 17:40:11-700',mode:absolute,to:'2016-11-30 19:56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97" s="52" t="str">
        <f t="shared" si="52"/>
        <v>N</v>
      </c>
      <c r="X197" s="177">
        <f t="shared" si="64"/>
        <v>1</v>
      </c>
      <c r="Y197" s="67">
        <f t="shared" si="54"/>
        <v>5.8640999999999996</v>
      </c>
      <c r="Z197" s="67">
        <f t="shared" si="55"/>
        <v>7.1900000000000006E-2</v>
      </c>
      <c r="AA197" s="67">
        <f t="shared" si="56"/>
        <v>5.7921999999999993</v>
      </c>
      <c r="AB197" s="64" t="e">
        <f>VLOOKUP(A197,Enforcements!$C$7:$K$20,8,0)</f>
        <v>#N/A</v>
      </c>
      <c r="AC197" s="60" t="e">
        <f>VLOOKUP(A197,Enforcements!$C$7:$E$20,3,0)</f>
        <v>#N/A</v>
      </c>
      <c r="AD197" s="61" t="str">
        <f t="shared" si="57"/>
        <v>0838-30</v>
      </c>
      <c r="AE197" s="91" t="str">
        <f t="shared" si="58"/>
        <v>aws s3 cp s3://rtdc.mdm.uploadarchive.raw/RTDC4041/ "%USERPROFILE%\AppData\Local\Temp\OnboardLogs"\RTDC4041\2016-11-30 --exclude "*" --recursive --include "*20161130*" &amp; "%USERPROFILE%\Documents\GitHub\mrs-test-scripts\Headless Mode &amp; Sideloading\WalkAndUnGZ.bat" "%USERPROFILE%\AppData\Local\Temp\OnboardLogs"\RTDC4041\2016-11-30 &amp; aws s3 cp s3://rtdc.mdm.uploadarchive.raw/RTDC4041/ "%USERPROFILE%\AppData\Local\Temp\OnboardLogs"\RTDC4041\2016-12-01 --exclude "*" --recursive --include "*20161201*" &amp; "%USERPROFILE%\Documents\GitHub\mrs-test-scripts\Headless Mode &amp; Sideloading\WalkAndUnGZ.bat" "%USERPROFILE%\AppData\Local\Temp\OnboardLogs"\RTDC4041\2016-12-01</v>
      </c>
      <c r="AF197" s="88" t="str">
        <f t="shared" si="59"/>
        <v>"C:\Program Files (x86)\AstroGrep\AstroGrep.exe" /spath="%USERPROFILE%\AppData\Local\Temp\OnboardLogs" /stypes="app*4041*20161201*" /stext=" 01:.+((SYSTEM_STATE.+slice.+state.+changed )|(ment ac)|(multiple cpu faults)|(system.+state.+changed )|(\[timeout)|(PRM\|1\|D)|(kpr)|(kdp)|(\|lc)|(penalty))" /e /r /s</v>
      </c>
      <c r="AG197" s="1" t="str">
        <f t="shared" si="60"/>
        <v>NW</v>
      </c>
      <c r="AH197" s="92" t="str">
        <f t="shared" si="46"/>
        <v>"%USERPROFILE%\Documents\GitHub\eaglep3\Utilities\RefineRTDCRunTimes.py" --tripid 838-30 --locoid 4041 --swversion DE.1.0.8.0 --startMP 300:58641 --initTime 2016-11-30T18:40:11 --startdatetime 2016-11-30T18:42:37 --delay 1 --endMP 204:719 --enddatetime 2016-11-30T18:56:39 --enforcementcount 0 &gt;&gt;C:\Users\stu\Documents\GitHub\eaglep3-reporting\EC\2016-11-30-refined-times.txt</v>
      </c>
      <c r="AI197" s="119" t="str">
        <f t="shared" si="47"/>
        <v>echo {"issue":{"subject":"","project_id":79,"tracker_id":40,"status_id":1,"priority_id":2,"assigned_to_id":23,"start_date":"2016-11-30","description":"","custom_fields":[{"id":1,"name":"Subdivision","value":"NW"},{"id":4,"name":"Milepost","value":"0.0719"},{"id":17,"name":"Train ID","value":"838-30"},{"id":16,"name":"Locomotive ID","value":"4041"},{"id":130,"name":"Impact","value":""},{"id":150,"name":"Time of Event (Mountain Time)","value":"18:56:39"},{"id":151,"name":"Denver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91" x14ac:dyDescent="0.25">
      <c r="A198" s="37" t="s">
        <v>704</v>
      </c>
      <c r="B198" s="7">
        <v>4025</v>
      </c>
      <c r="C198" s="22" t="s">
        <v>212</v>
      </c>
      <c r="D198" s="22" t="s">
        <v>870</v>
      </c>
      <c r="E198" s="13">
        <v>42704.778622685182</v>
      </c>
      <c r="F198" s="13">
        <v>42704.785601851851</v>
      </c>
      <c r="G198" s="7">
        <v>1</v>
      </c>
      <c r="H198" s="22" t="s">
        <v>871</v>
      </c>
      <c r="I198" s="13">
        <v>42704.79582175926</v>
      </c>
      <c r="J198" s="7">
        <v>0</v>
      </c>
      <c r="K198" s="109" t="str">
        <f t="shared" si="48"/>
        <v>4025/4026</v>
      </c>
      <c r="L198" s="22" t="str">
        <f>VLOOKUP(A198,'Trips&amp;Operators'!$C$1:$G$99999,5,FALSE)</f>
        <v>LEVERE CRAIG</v>
      </c>
      <c r="M198" s="6">
        <f t="shared" si="49"/>
        <v>1.021990740991896E-2</v>
      </c>
      <c r="N198" s="7">
        <f t="shared" si="66"/>
        <v>14.716666670283303</v>
      </c>
      <c r="O198" s="7"/>
      <c r="P198" s="7"/>
      <c r="Q198" s="23"/>
      <c r="R198" s="23"/>
      <c r="S198" s="35">
        <f t="shared" si="65"/>
        <v>1</v>
      </c>
      <c r="T198" s="50" t="str">
        <f t="shared" si="50"/>
        <v>NorthBound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https://search-rtdc-monitor-bjffxe2xuh6vdkpspy63sjmuny.us-east-1.es.amazonaws.com/_plugin/kibana/#/discover/Steve-Slow-Train-Analysis-(2080s-and-2083s)?_g=(refreshInterval:(display:Off,section:0,value:0),time:(from:'2016-11-30 17:41:13-700',mode:absolute,to:'2016-11-30 20:05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98" s="52" t="str">
        <f t="shared" si="52"/>
        <v>N</v>
      </c>
      <c r="X198" s="177">
        <f t="shared" si="64"/>
        <v>1</v>
      </c>
      <c r="Y198" s="67">
        <f t="shared" si="54"/>
        <v>9.7199999999999995E-2</v>
      </c>
      <c r="Z198" s="67">
        <f t="shared" si="55"/>
        <v>5.8958000000000004</v>
      </c>
      <c r="AA198" s="67">
        <f t="shared" si="56"/>
        <v>5.7986000000000004</v>
      </c>
      <c r="AB198" s="64" t="e">
        <f>VLOOKUP(A198,Enforcements!$C$7:$K$20,8,0)</f>
        <v>#N/A</v>
      </c>
      <c r="AC198" s="60" t="e">
        <f>VLOOKUP(A198,Enforcements!$C$7:$E$20,3,0)</f>
        <v>#N/A</v>
      </c>
      <c r="AD198" s="61" t="str">
        <f t="shared" si="57"/>
        <v>0839-30</v>
      </c>
      <c r="AE198" s="91" t="str">
        <f t="shared" si="58"/>
        <v>aws s3 cp s3://rtdc.mdm.uploadarchive.raw/RTDC4025/ "%USERPROFILE%\AppData\Local\Temp\OnboardLogs"\RTDC4025\2016-11-30 --exclude "*" --recursive --include "*20161130*" &amp; "%USERPROFILE%\Documents\GitHub\mrs-test-scripts\Headless Mode &amp; Sideloading\WalkAndUnGZ.bat" "%USERPROFILE%\AppData\Local\Temp\OnboardLogs"\RTDC4025\2016-11-30 &amp; aws s3 cp s3://rtdc.mdm.uploadarchive.raw/RTDC4025/ "%USERPROFILE%\AppData\Local\Temp\OnboardLogs"\RTDC4025\2016-12-01 --exclude "*" --recursive --include "*20161201*" &amp; "%USERPROFILE%\Documents\GitHub\mrs-test-scripts\Headless Mode &amp; Sideloading\WalkAndUnGZ.bat" "%USERPROFILE%\AppData\Local\Temp\OnboardLogs"\RTDC4025\2016-12-01</v>
      </c>
      <c r="AF198" s="88" t="str">
        <f t="shared" si="59"/>
        <v>"C:\Program Files (x86)\AstroGrep\AstroGrep.exe" /spath="%USERPROFILE%\AppData\Local\Temp\OnboardLogs" /stypes="app*4025*20161201*" /stext=" 02:.+((SYSTEM_STATE.+slice.+state.+changed )|(ment ac)|(multiple cpu faults)|(system.+state.+changed )|(\[timeout)|(PRM\|1\|D)|(kpr)|(kdp)|(\|lc)|(penalty))" /e /r /s</v>
      </c>
      <c r="AG198" s="1" t="str">
        <f t="shared" si="60"/>
        <v>NW</v>
      </c>
      <c r="AH198" s="92" t="str">
        <f t="shared" si="46"/>
        <v>"%USERPROFILE%\Documents\GitHub\eaglep3\Utilities\RefineRTDCRunTimes.py" --tripid 839-30 --locoid 4025 --swversion DE.1.0.8.0 --startMP 204:972 --initTime 2016-11-30T18:41:13 --startdatetime 2016-11-30T18:51:16 --delay 1 --endMP 300:58958 --enddatetime 2016-11-30T19:05:59 --enforcementcount 0 &gt;&gt;C:\Users\stu\Documents\GitHub\eaglep3-reporting\EC\2016-11-30-refined-times.txt</v>
      </c>
      <c r="AI198" s="119" t="str">
        <f t="shared" si="47"/>
        <v>echo {"issue":{"subject":"","project_id":79,"tracker_id":40,"status_id":1,"priority_id":2,"assigned_to_id":23,"start_date":"2016-11-30","description":"","custom_fields":[{"id":1,"name":"Subdivision","value":"NW"},{"id":4,"name":"Milepost","value":"5.8958"},{"id":17,"name":"Train ID","value":"839-30"},{"id":16,"name":"Locomotive ID","value":"4025"},{"id":130,"name":"Impact","value":""},{"id":150,"name":"Time of Event (Mountain Time)","value":"19:05:59"},{"id":151,"name":"Denver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</row>
    <row r="199" spans="1:91" x14ac:dyDescent="0.25">
      <c r="A199" s="37" t="s">
        <v>714</v>
      </c>
      <c r="B199" s="7">
        <v>4041</v>
      </c>
      <c r="C199" s="22" t="s">
        <v>212</v>
      </c>
      <c r="D199" s="22" t="s">
        <v>358</v>
      </c>
      <c r="E199" s="13">
        <v>42704.821087962962</v>
      </c>
      <c r="F199" s="13">
        <v>42704.822870370372</v>
      </c>
      <c r="G199" s="7">
        <v>1</v>
      </c>
      <c r="H199" s="22" t="s">
        <v>758</v>
      </c>
      <c r="I199" s="13">
        <v>42704.833182870374</v>
      </c>
      <c r="J199" s="7">
        <v>0</v>
      </c>
      <c r="K199" s="109" t="str">
        <f t="shared" si="48"/>
        <v>4041/4042</v>
      </c>
      <c r="L199" s="22" t="str">
        <f>VLOOKUP(A199,'Trips&amp;Operators'!$C$1:$G$99999,5,FALSE)</f>
        <v>MOSES BRADLEY</v>
      </c>
      <c r="M199" s="6">
        <f t="shared" si="49"/>
        <v>1.0312500002328306E-2</v>
      </c>
      <c r="N199" s="7">
        <f t="shared" si="66"/>
        <v>14.850000003352761</v>
      </c>
      <c r="O199" s="7"/>
      <c r="P199" s="7"/>
      <c r="Q199" s="23"/>
      <c r="R199" s="23"/>
      <c r="S199" s="35">
        <f t="shared" si="65"/>
        <v>1</v>
      </c>
      <c r="T199" s="50" t="str">
        <f t="shared" si="50"/>
        <v>Southbound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https://search-rtdc-monitor-bjffxe2xuh6vdkpspy63sjmuny.us-east-1.es.amazonaws.com/_plugin/kibana/#/discover/Steve-Slow-Train-Analysis-(2080s-and-2083s)?_g=(refreshInterval:(display:Off,section:0,value:0),time:(from:'2016-11-30 18:42:22-700',mode:absolute,to:'2016-11-30 20:59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99" s="52" t="str">
        <f t="shared" si="52"/>
        <v>N</v>
      </c>
      <c r="X199" s="177">
        <f t="shared" si="64"/>
        <v>1</v>
      </c>
      <c r="Y199" s="67">
        <f t="shared" si="54"/>
        <v>5.8623000000000003</v>
      </c>
      <c r="Z199" s="67">
        <f t="shared" si="55"/>
        <v>7.0300000000000001E-2</v>
      </c>
      <c r="AA199" s="67">
        <f t="shared" si="56"/>
        <v>5.7920000000000007</v>
      </c>
      <c r="AB199" s="64" t="e">
        <f>VLOOKUP(A199,Enforcements!$C$7:$K$20,8,0)</f>
        <v>#N/A</v>
      </c>
      <c r="AC199" s="60" t="e">
        <f>VLOOKUP(A199,Enforcements!$C$7:$E$20,3,0)</f>
        <v>#N/A</v>
      </c>
      <c r="AD199" s="61" t="str">
        <f t="shared" si="57"/>
        <v>0840-30</v>
      </c>
      <c r="AE199" s="91" t="str">
        <f t="shared" si="58"/>
        <v>aws s3 cp s3://rtdc.mdm.uploadarchive.raw/RTDC4041/ "%USERPROFILE%\AppData\Local\Temp\OnboardLogs"\RTDC4041\2016-11-30 --exclude "*" --recursive --include "*20161130*" &amp; "%USERPROFILE%\Documents\GitHub\mrs-test-scripts\Headless Mode &amp; Sideloading\WalkAndUnGZ.bat" "%USERPROFILE%\AppData\Local\Temp\OnboardLogs"\RTDC4041\2016-11-30 &amp; aws s3 cp s3://rtdc.mdm.uploadarchive.raw/RTDC4041/ "%USERPROFILE%\AppData\Local\Temp\OnboardLogs"\RTDC4041\2016-12-01 --exclude "*" --recursive --include "*20161201*" &amp; "%USERPROFILE%\Documents\GitHub\mrs-test-scripts\Headless Mode &amp; Sideloading\WalkAndUnGZ.bat" "%USERPROFILE%\AppData\Local\Temp\OnboardLogs"\RTDC4041\2016-12-01</v>
      </c>
      <c r="AF199" s="88" t="str">
        <f t="shared" si="59"/>
        <v>"C:\Program Files (x86)\AstroGrep\AstroGrep.exe" /spath="%USERPROFILE%\AppData\Local\Temp\OnboardLogs" /stypes="app*4041*20161201*" /stext=" 02:.+((SYSTEM_STATE.+slice.+state.+changed )|(ment ac)|(multiple cpu faults)|(system.+state.+changed )|(\[timeout)|(PRM\|1\|D)|(kpr)|(kdp)|(\|lc)|(penalty))" /e /r /s</v>
      </c>
      <c r="AG199" s="1" t="str">
        <f t="shared" si="60"/>
        <v>NW</v>
      </c>
      <c r="AH199" s="92" t="str">
        <f t="shared" si="46"/>
        <v>"%USERPROFILE%\Documents\GitHub\eaglep3\Utilities\RefineRTDCRunTimes.py" --tripid 840-30 --locoid 4041 --swversion DE.1.0.8.0 --startMP 300:58623 --initTime 2016-11-30T19:42:22 --startdatetime 2016-11-30T19:44:56 --delay 1 --endMP 204:703 --enddatetime 2016-11-30T19:59:47 --enforcementcount 0 &gt;&gt;C:\Users\stu\Documents\GitHub\eaglep3-reporting\EC\2016-11-30-refined-times.txt</v>
      </c>
      <c r="AI199" s="119" t="str">
        <f t="shared" si="47"/>
        <v>echo {"issue":{"subject":"","project_id":79,"tracker_id":40,"status_id":1,"priority_id":2,"assigned_to_id":23,"start_date":"2016-11-30","description":"","custom_fields":[{"id":1,"name":"Subdivision","value":"NW"},{"id":4,"name":"Milepost","value":"0.0703"},{"id":17,"name":"Train ID","value":"840-30"},{"id":16,"name":"Locomotive ID","value":"4041"},{"id":130,"name":"Impact","value":""},{"id":150,"name":"Time of Event (Mountain Time)","value":"19:59:47"},{"id":151,"name":"Denver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91" x14ac:dyDescent="0.25">
      <c r="A200" s="37" t="s">
        <v>710</v>
      </c>
      <c r="B200" s="7">
        <v>4042</v>
      </c>
      <c r="C200" s="22" t="s">
        <v>212</v>
      </c>
      <c r="D200" s="22" t="s">
        <v>883</v>
      </c>
      <c r="E200" s="13">
        <v>42704.803541666668</v>
      </c>
      <c r="F200" s="13">
        <v>42704.806770833333</v>
      </c>
      <c r="G200" s="7">
        <v>2</v>
      </c>
      <c r="H200" s="22" t="s">
        <v>884</v>
      </c>
      <c r="I200" s="13">
        <v>42704.817164351851</v>
      </c>
      <c r="J200" s="7">
        <v>0</v>
      </c>
      <c r="K200" s="109" t="str">
        <f t="shared" si="48"/>
        <v>4041/4042</v>
      </c>
      <c r="L200" s="22" t="str">
        <f>VLOOKUP(A200,'Trips&amp;Operators'!$C$1:$G$99999,5,FALSE)</f>
        <v>MOSES BRADLEY</v>
      </c>
      <c r="M200" s="6">
        <f t="shared" si="49"/>
        <v>1.0393518517958E-2</v>
      </c>
      <c r="N200" s="7">
        <f t="shared" si="66"/>
        <v>14.96666666585952</v>
      </c>
      <c r="O200" s="7"/>
      <c r="P200" s="7"/>
      <c r="Q200" s="23"/>
      <c r="R200" s="23"/>
      <c r="S200" s="35">
        <f t="shared" si="65"/>
        <v>1</v>
      </c>
      <c r="T200" s="50" t="str">
        <f t="shared" si="50"/>
        <v>NorthBound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https://search-rtdc-monitor-bjffxe2xuh6vdkpspy63sjmuny.us-east-1.es.amazonaws.com/_plugin/kibana/#/discover/Steve-Slow-Train-Analysis-(2080s-and-2083s)?_g=(refreshInterval:(display:Off,section:0,value:0),time:(from:'2016-11-30 18:17:06-700',mode:absolute,to:'2016-11-30 20:36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00" s="52" t="str">
        <f t="shared" si="52"/>
        <v>N</v>
      </c>
      <c r="X200" s="177">
        <f t="shared" si="64"/>
        <v>1</v>
      </c>
      <c r="Y200" s="67">
        <f t="shared" si="54"/>
        <v>0.1007</v>
      </c>
      <c r="Z200" s="67">
        <f t="shared" si="55"/>
        <v>5.8945999999999996</v>
      </c>
      <c r="AA200" s="67">
        <f t="shared" si="56"/>
        <v>5.7938999999999998</v>
      </c>
      <c r="AB200" s="64" t="e">
        <f>VLOOKUP(A200,Enforcements!$C$7:$K$20,8,0)</f>
        <v>#N/A</v>
      </c>
      <c r="AC200" s="60" t="e">
        <f>VLOOKUP(A200,Enforcements!$C$7:$E$20,3,0)</f>
        <v>#N/A</v>
      </c>
      <c r="AD200" s="61" t="str">
        <f t="shared" si="57"/>
        <v>0841-30</v>
      </c>
      <c r="AE200" s="91" t="str">
        <f t="shared" si="58"/>
        <v>aws s3 cp s3://rtdc.mdm.uploadarchive.raw/RTDC4042/ "%USERPROFILE%\AppData\Local\Temp\OnboardLogs"\RTDC4042\2016-11-30 --exclude "*" --recursive --include "*20161130*" &amp; "%USERPROFILE%\Documents\GitHub\mrs-test-scripts\Headless Mode &amp; Sideloading\WalkAndUnGZ.bat" "%USERPROFILE%\AppData\Local\Temp\OnboardLogs"\RTDC4042\2016-11-30 &amp; aws s3 cp s3://rtdc.mdm.uploadarchive.raw/RTDC4042/ "%USERPROFILE%\AppData\Local\Temp\OnboardLogs"\RTDC4042\2016-12-01 --exclude "*" --recursive --include "*20161201*" &amp; "%USERPROFILE%\Documents\GitHub\mrs-test-scripts\Headless Mode &amp; Sideloading\WalkAndUnGZ.bat" "%USERPROFILE%\AppData\Local\Temp\OnboardLogs"\RTDC4042\2016-12-01</v>
      </c>
      <c r="AF200" s="88" t="str">
        <f t="shared" si="59"/>
        <v>"C:\Program Files (x86)\AstroGrep\AstroGrep.exe" /spath="%USERPROFILE%\AppData\Local\Temp\OnboardLogs" /stypes="app*4042*20161201*" /stext=" 02:.+((SYSTEM_STATE.+slice.+state.+changed )|(ment ac)|(multiple cpu faults)|(system.+state.+changed )|(\[timeout)|(PRM\|1\|D)|(kpr)|(kdp)|(\|lc)|(penalty))" /e /r /s</v>
      </c>
      <c r="AG200" s="1" t="str">
        <f t="shared" si="60"/>
        <v>NW</v>
      </c>
      <c r="AH200" s="92" t="str">
        <f t="shared" si="46"/>
        <v>"%USERPROFILE%\Documents\GitHub\eaglep3\Utilities\RefineRTDCRunTimes.py" --tripid 841-30 --locoid 4042 --swversion DE.1.0.8.0 --startMP 204:1007 --initTime 2016-11-30T19:17:06 --startdatetime 2016-11-30T19:21:45 --delay 2 --endMP 300:58946 --enddatetime 2016-11-30T19:36:43 --enforcementcount 0 &gt;&gt;C:\Users\stu\Documents\GitHub\eaglep3-reporting\EC\2016-11-30-refined-times.txt</v>
      </c>
      <c r="AI200" s="119" t="str">
        <f t="shared" si="47"/>
        <v>echo {"issue":{"subject":"","project_id":79,"tracker_id":40,"status_id":1,"priority_id":2,"assigned_to_id":23,"start_date":"2016-11-30","description":"","custom_fields":[{"id":1,"name":"Subdivision","value":"NW"},{"id":4,"name":"Milepost","value":"5.8946"},{"id":17,"name":"Train ID","value":"841-30"},{"id":16,"name":"Locomotive ID","value":"4042"},{"id":130,"name":"Impact","value":""},{"id":150,"name":"Time of Event (Mountain Time)","value":"19:36:43"},{"id":151,"name":"Denver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91" x14ac:dyDescent="0.25">
      <c r="A201" s="37" t="s">
        <v>720</v>
      </c>
      <c r="B201" s="7">
        <v>4041</v>
      </c>
      <c r="C201" s="22" t="s">
        <v>212</v>
      </c>
      <c r="D201" s="22" t="s">
        <v>355</v>
      </c>
      <c r="E201" s="13">
        <v>42704.860115740739</v>
      </c>
      <c r="F201" s="13">
        <v>42704.862453703703</v>
      </c>
      <c r="G201" s="7">
        <v>1</v>
      </c>
      <c r="H201" s="22" t="s">
        <v>748</v>
      </c>
      <c r="I201" s="13">
        <v>42704.872291666667</v>
      </c>
      <c r="J201" s="7">
        <v>0</v>
      </c>
      <c r="K201" s="109" t="str">
        <f t="shared" si="48"/>
        <v>4041/4042</v>
      </c>
      <c r="L201" s="22" t="str">
        <f>VLOOKUP(A201,'Trips&amp;Operators'!$C$1:$G$99999,5,FALSE)</f>
        <v>MOSES BRADLEY</v>
      </c>
      <c r="M201" s="6">
        <f t="shared" si="49"/>
        <v>9.8379629635019228E-3</v>
      </c>
      <c r="N201" s="7">
        <f t="shared" si="66"/>
        <v>14.166666667442769</v>
      </c>
      <c r="O201" s="7"/>
      <c r="P201" s="7"/>
      <c r="Q201" s="23"/>
      <c r="R201" s="23"/>
      <c r="S201" s="35">
        <f t="shared" si="65"/>
        <v>1</v>
      </c>
      <c r="T201" s="50" t="str">
        <f t="shared" si="50"/>
        <v>Southbound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https://search-rtdc-monitor-bjffxe2xuh6vdkpspy63sjmuny.us-east-1.es.amazonaws.com/_plugin/kibana/#/discover/Steve-Slow-Train-Analysis-(2080s-and-2083s)?_g=(refreshInterval:(display:Off,section:0,value:0),time:(from:'2016-11-30 19:38:34-700',mode:absolute,to:'2016-11-30 21:56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01" s="52" t="str">
        <f t="shared" si="52"/>
        <v>N</v>
      </c>
      <c r="X201" s="177">
        <f t="shared" si="64"/>
        <v>1</v>
      </c>
      <c r="Y201" s="67">
        <f t="shared" si="54"/>
        <v>5.8635999999999999</v>
      </c>
      <c r="Z201" s="67">
        <f t="shared" si="55"/>
        <v>7.1900000000000006E-2</v>
      </c>
      <c r="AA201" s="67">
        <f t="shared" si="56"/>
        <v>5.7916999999999996</v>
      </c>
      <c r="AB201" s="64" t="e">
        <f>VLOOKUP(A201,Enforcements!$C$7:$K$20,8,0)</f>
        <v>#N/A</v>
      </c>
      <c r="AC201" s="60" t="e">
        <f>VLOOKUP(A201,Enforcements!$C$7:$E$20,3,0)</f>
        <v>#N/A</v>
      </c>
      <c r="AD201" s="61" t="str">
        <f t="shared" si="57"/>
        <v>0842-30</v>
      </c>
      <c r="AE201" s="91" t="str">
        <f t="shared" si="58"/>
        <v>aws s3 cp s3://rtdc.mdm.uploadarchive.raw/RTDC4041/ "%USERPROFILE%\AppData\Local\Temp\OnboardLogs"\RTDC4041\2016-11-30 --exclude "*" --recursive --include "*20161130*" &amp; "%USERPROFILE%\Documents\GitHub\mrs-test-scripts\Headless Mode &amp; Sideloading\WalkAndUnGZ.bat" "%USERPROFILE%\AppData\Local\Temp\OnboardLogs"\RTDC4041\2016-11-30 &amp; aws s3 cp s3://rtdc.mdm.uploadarchive.raw/RTDC4041/ "%USERPROFILE%\AppData\Local\Temp\OnboardLogs"\RTDC4041\2016-12-01 --exclude "*" --recursive --include "*20161201*" &amp; "%USERPROFILE%\Documents\GitHub\mrs-test-scripts\Headless Mode &amp; Sideloading\WalkAndUnGZ.bat" "%USERPROFILE%\AppData\Local\Temp\OnboardLogs"\RTDC4041\2016-12-01</v>
      </c>
      <c r="AF201" s="88" t="str">
        <f t="shared" si="59"/>
        <v>"C:\Program Files (x86)\AstroGrep\AstroGrep.exe" /spath="%USERPROFILE%\AppData\Local\Temp\OnboardLogs" /stypes="app*4041*20161201*" /stext=" 03:.+((SYSTEM_STATE.+slice.+state.+changed )|(ment ac)|(multiple cpu faults)|(system.+state.+changed )|(\[timeout)|(PRM\|1\|D)|(kpr)|(kdp)|(\|lc)|(penalty))" /e /r /s</v>
      </c>
      <c r="AG201" s="1" t="str">
        <f t="shared" si="60"/>
        <v>NW</v>
      </c>
      <c r="AH201" s="92" t="str">
        <f t="shared" si="46"/>
        <v>"%USERPROFILE%\Documents\GitHub\eaglep3\Utilities\RefineRTDCRunTimes.py" --tripid 842-30 --locoid 4041 --swversion DE.1.0.8.0 --startMP 300:58636 --initTime 2016-11-30T20:38:34 --startdatetime 2016-11-30T20:41:56 --delay 1 --endMP 204:719 --enddatetime 2016-11-30T20:56:06 --enforcementcount 0 &gt;&gt;C:\Users\stu\Documents\GitHub\eaglep3-reporting\EC\2016-11-30-refined-times.txt</v>
      </c>
      <c r="AI201" s="119" t="str">
        <f t="shared" si="47"/>
        <v>echo {"issue":{"subject":"","project_id":79,"tracker_id":40,"status_id":1,"priority_id":2,"assigned_to_id":23,"start_date":"2016-11-30","description":"","custom_fields":[{"id":1,"name":"Subdivision","value":"NW"},{"id":4,"name":"Milepost","value":"0.0719"},{"id":17,"name":"Train ID","value":"842-30"},{"id":16,"name":"Locomotive ID","value":"4041"},{"id":130,"name":"Impact","value":""},{"id":150,"name":"Time of Event (Mountain Time)","value":"20:56:06"},{"id":151,"name":"Denver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91" x14ac:dyDescent="0.25">
      <c r="A202" s="37" t="s">
        <v>718</v>
      </c>
      <c r="B202" s="7">
        <v>4042</v>
      </c>
      <c r="C202" s="22" t="s">
        <v>212</v>
      </c>
      <c r="D202" s="22" t="s">
        <v>885</v>
      </c>
      <c r="E202" s="13">
        <v>42704.841817129629</v>
      </c>
      <c r="F202" s="13">
        <v>42704.848287037035</v>
      </c>
      <c r="G202" s="7">
        <v>1</v>
      </c>
      <c r="H202" s="22" t="s">
        <v>513</v>
      </c>
      <c r="I202" s="13">
        <v>42704.858587962961</v>
      </c>
      <c r="J202" s="7">
        <v>0</v>
      </c>
      <c r="K202" s="109" t="str">
        <f t="shared" si="48"/>
        <v>4041/4042</v>
      </c>
      <c r="L202" s="22" t="str">
        <f>VLOOKUP(A202,'Trips&amp;Operators'!$C$1:$G$99999,5,FALSE)</f>
        <v>MOSES BRADLEY</v>
      </c>
      <c r="M202" s="6">
        <f t="shared" si="49"/>
        <v>1.0300925925548654E-2</v>
      </c>
      <c r="N202" s="7">
        <f t="shared" si="66"/>
        <v>14.833333332790062</v>
      </c>
      <c r="O202" s="7"/>
      <c r="P202" s="7"/>
      <c r="Q202" s="23"/>
      <c r="R202" s="23"/>
      <c r="S202" s="35">
        <f t="shared" si="65"/>
        <v>1</v>
      </c>
      <c r="T202" s="50" t="str">
        <f t="shared" si="50"/>
        <v>NorthBound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https://search-rtdc-monitor-bjffxe2xuh6vdkpspy63sjmuny.us-east-1.es.amazonaws.com/_plugin/kibana/#/discover/Steve-Slow-Train-Analysis-(2080s-and-2083s)?_g=(refreshInterval:(display:Off,section:0,value:0),time:(from:'2016-11-30 19:12:13-700',mode:absolute,to:'2016-11-30 21:36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02" s="52" t="str">
        <f t="shared" si="52"/>
        <v>N</v>
      </c>
      <c r="X202" s="177">
        <f t="shared" si="64"/>
        <v>1</v>
      </c>
      <c r="Y202" s="67">
        <f t="shared" si="54"/>
        <v>9.9500000000000005E-2</v>
      </c>
      <c r="Z202" s="67">
        <f t="shared" si="55"/>
        <v>5.8960999999999997</v>
      </c>
      <c r="AA202" s="67">
        <f t="shared" si="56"/>
        <v>5.7965999999999998</v>
      </c>
      <c r="AB202" s="64" t="e">
        <f>VLOOKUP(A202,Enforcements!$C$7:$K$20,8,0)</f>
        <v>#N/A</v>
      </c>
      <c r="AC202" s="60" t="e">
        <f>VLOOKUP(A202,Enforcements!$C$7:$E$20,3,0)</f>
        <v>#N/A</v>
      </c>
      <c r="AD202" s="61" t="str">
        <f t="shared" si="57"/>
        <v>0843-30</v>
      </c>
      <c r="AE202" s="91" t="str">
        <f t="shared" si="58"/>
        <v>aws s3 cp s3://rtdc.mdm.uploadarchive.raw/RTDC4042/ "%USERPROFILE%\AppData\Local\Temp\OnboardLogs"\RTDC4042\2016-11-30 --exclude "*" --recursive --include "*20161130*" &amp; "%USERPROFILE%\Documents\GitHub\mrs-test-scripts\Headless Mode &amp; Sideloading\WalkAndUnGZ.bat" "%USERPROFILE%\AppData\Local\Temp\OnboardLogs"\RTDC4042\2016-11-30 &amp; aws s3 cp s3://rtdc.mdm.uploadarchive.raw/RTDC4042/ "%USERPROFILE%\AppData\Local\Temp\OnboardLogs"\RTDC4042\2016-12-01 --exclude "*" --recursive --include "*20161201*" &amp; "%USERPROFILE%\Documents\GitHub\mrs-test-scripts\Headless Mode &amp; Sideloading\WalkAndUnGZ.bat" "%USERPROFILE%\AppData\Local\Temp\OnboardLogs"\RTDC4042\2016-12-01</v>
      </c>
      <c r="AF202" s="88" t="str">
        <f t="shared" si="59"/>
        <v>"C:\Program Files (x86)\AstroGrep\AstroGrep.exe" /spath="%USERPROFILE%\AppData\Local\Temp\OnboardLogs" /stypes="app*4042*20161201*" /stext=" 03:.+((SYSTEM_STATE.+slice.+state.+changed )|(ment ac)|(multiple cpu faults)|(system.+state.+changed )|(\[timeout)|(PRM\|1\|D)|(kpr)|(kdp)|(\|lc)|(penalty))" /e /r /s</v>
      </c>
      <c r="AG202" s="1" t="str">
        <f t="shared" si="60"/>
        <v>NW</v>
      </c>
      <c r="AH202" s="92" t="str">
        <f t="shared" si="46"/>
        <v>"%USERPROFILE%\Documents\GitHub\eaglep3\Utilities\RefineRTDCRunTimes.py" --tripid 843-30 --locoid 4042 --swversion DE.1.0.8.0 --startMP 204:995 --initTime 2016-11-30T20:12:13 --startdatetime 2016-11-30T20:21:32 --delay 1 --endMP 300:58961 --enddatetime 2016-11-30T20:36:22 --enforcementcount 0 &gt;&gt;C:\Users\stu\Documents\GitHub\eaglep3-reporting\EC\2016-11-30-refined-times.txt</v>
      </c>
      <c r="AI202" s="119" t="str">
        <f t="shared" si="47"/>
        <v>echo {"issue":{"subject":"","project_id":79,"tracker_id":40,"status_id":1,"priority_id":2,"assigned_to_id":23,"start_date":"2016-11-30","description":"","custom_fields":[{"id":1,"name":"Subdivision","value":"NW"},{"id":4,"name":"Milepost","value":"5.8961"},{"id":17,"name":"Train ID","value":"843-30"},{"id":16,"name":"Locomotive ID","value":"4042"},{"id":130,"name":"Impact","value":""},{"id":150,"name":"Time of Event (Mountain Time)","value":"20:36:22"},{"id":151,"name":"Denver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91" x14ac:dyDescent="0.25">
      <c r="A203" s="37" t="s">
        <v>726</v>
      </c>
      <c r="B203" s="7">
        <v>4041</v>
      </c>
      <c r="C203" s="22" t="s">
        <v>212</v>
      </c>
      <c r="D203" s="22" t="s">
        <v>511</v>
      </c>
      <c r="E203" s="13">
        <v>42704.901331018518</v>
      </c>
      <c r="F203" s="13">
        <v>42704.903055555558</v>
      </c>
      <c r="G203" s="7">
        <v>1</v>
      </c>
      <c r="H203" s="22" t="s">
        <v>359</v>
      </c>
      <c r="I203" s="13">
        <v>42704.9141087963</v>
      </c>
      <c r="J203" s="7">
        <v>0</v>
      </c>
      <c r="K203" s="109" t="str">
        <f t="shared" si="48"/>
        <v>4041/4042</v>
      </c>
      <c r="L203" s="22" t="str">
        <f>VLOOKUP(A203,'Trips&amp;Operators'!$C$1:$G$99999,5,FALSE)</f>
        <v>LEVERE CRAIG</v>
      </c>
      <c r="M203" s="6">
        <f t="shared" si="49"/>
        <v>1.1053240741603076E-2</v>
      </c>
      <c r="N203" s="7">
        <f t="shared" si="66"/>
        <v>15.91666666790843</v>
      </c>
      <c r="O203" s="7"/>
      <c r="P203" s="7"/>
      <c r="Q203" s="23"/>
      <c r="R203" s="23"/>
      <c r="S203" s="35">
        <f t="shared" si="65"/>
        <v>1</v>
      </c>
      <c r="T203" s="50" t="str">
        <f t="shared" si="50"/>
        <v>Southbound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https://search-rtdc-monitor-bjffxe2xuh6vdkpspy63sjmuny.us-east-1.es.amazonaws.com/_plugin/kibana/#/discover/Steve-Slow-Train-Analysis-(2080s-and-2083s)?_g=(refreshInterval:(display:Off,section:0,value:0),time:(from:'2016-11-30 20:37:55-700',mode:absolute,to:'2016-11-30 22:56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03" s="52" t="str">
        <f t="shared" si="52"/>
        <v>N</v>
      </c>
      <c r="X203" s="177">
        <f t="shared" ref="X203:X232" si="67">VALUE(LEFT(AD203,4))-VALUE(LEFT(AD202,4))</f>
        <v>1</v>
      </c>
      <c r="Y203" s="67">
        <f t="shared" si="54"/>
        <v>5.8647</v>
      </c>
      <c r="Z203" s="67">
        <f t="shared" si="55"/>
        <v>6.8900000000000003E-2</v>
      </c>
      <c r="AA203" s="67">
        <f t="shared" si="56"/>
        <v>5.7957999999999998</v>
      </c>
      <c r="AB203" s="64" t="e">
        <f>VLOOKUP(A203,Enforcements!$C$7:$K$20,8,0)</f>
        <v>#N/A</v>
      </c>
      <c r="AC203" s="60" t="e">
        <f>VLOOKUP(A203,Enforcements!$C$7:$E$20,3,0)</f>
        <v>#N/A</v>
      </c>
      <c r="AD203" s="61" t="str">
        <f t="shared" si="57"/>
        <v>0844-30</v>
      </c>
      <c r="AE203" s="91" t="str">
        <f t="shared" si="58"/>
        <v>aws s3 cp s3://rtdc.mdm.uploadarchive.raw/RTDC4041/ "%USERPROFILE%\AppData\Local\Temp\OnboardLogs"\RTDC4041\2016-11-30 --exclude "*" --recursive --include "*20161130*" &amp; "%USERPROFILE%\Documents\GitHub\mrs-test-scripts\Headless Mode &amp; Sideloading\WalkAndUnGZ.bat" "%USERPROFILE%\AppData\Local\Temp\OnboardLogs"\RTDC4041\2016-11-30 &amp; aws s3 cp s3://rtdc.mdm.uploadarchive.raw/RTDC4041/ "%USERPROFILE%\AppData\Local\Temp\OnboardLogs"\RTDC4041\2016-12-01 --exclude "*" --recursive --include "*20161201*" &amp; "%USERPROFILE%\Documents\GitHub\mrs-test-scripts\Headless Mode &amp; Sideloading\WalkAndUnGZ.bat" "%USERPROFILE%\AppData\Local\Temp\OnboardLogs"\RTDC4041\2016-12-01</v>
      </c>
      <c r="AF203" s="88" t="str">
        <f t="shared" si="59"/>
        <v>"C:\Program Files (x86)\AstroGrep\AstroGrep.exe" /spath="%USERPROFILE%\AppData\Local\Temp\OnboardLogs" /stypes="app*4041*20161201*" /stext=" 04:.+((SYSTEM_STATE.+slice.+state.+changed )|(ment ac)|(multiple cpu faults)|(system.+state.+changed )|(\[timeout)|(PRM\|1\|D)|(kpr)|(kdp)|(\|lc)|(penalty))" /e /r /s</v>
      </c>
      <c r="AG203" s="1" t="str">
        <f t="shared" si="60"/>
        <v>NW</v>
      </c>
      <c r="AH203" s="92" t="str">
        <f t="shared" ref="AH203:AH232" si="68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844-30 --locoid 4041 --swversion DE.1.0.8.0 --startMP 300:58647 --initTime 2016-11-30T21:37:55 --startdatetime 2016-11-30T21:40:24 --delay 1 --endMP 204:689 --enddatetime 2016-11-30T21:56:19 --enforcementcount 0 &gt;&gt;C:\Users\stu\Documents\GitHub\eaglep3-reporting\EC\2016-11-30-refined-times.txt</v>
      </c>
      <c r="AI203" s="119" t="str">
        <f t="shared" ref="AI203:AI232" si="69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Z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{"issue":{"subject":"","project_id":79,"tracker_id":40,"status_id":1,"priority_id":2,"assigned_to_id":23,"start_date":"2016-11-30","description":"","custom_fields":[{"id":1,"name":"Subdivision","value":"NW"},{"id":4,"name":"Milepost","value":"0.0689"},{"id":17,"name":"Train ID","value":"844-30"},{"id":16,"name":"Locomotive ID","value":"4041"},{"id":130,"name":"Impact","value":""},{"id":150,"name":"Time of Event (Mountain Time)","value":"21:56:19"},{"id":151,"name":"Denver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91" x14ac:dyDescent="0.25">
      <c r="A204" s="37" t="s">
        <v>724</v>
      </c>
      <c r="B204" s="7">
        <v>4042</v>
      </c>
      <c r="C204" s="22" t="s">
        <v>212</v>
      </c>
      <c r="D204" s="22" t="s">
        <v>886</v>
      </c>
      <c r="E204" s="13">
        <v>42704.878206018519</v>
      </c>
      <c r="F204" s="13">
        <v>42704.889768518522</v>
      </c>
      <c r="G204" s="7">
        <v>1</v>
      </c>
      <c r="H204" s="22" t="s">
        <v>887</v>
      </c>
      <c r="I204" s="13">
        <v>42704.900266203702</v>
      </c>
      <c r="J204" s="7">
        <v>0</v>
      </c>
      <c r="K204" s="109" t="str">
        <f t="shared" si="48"/>
        <v>4041/4042</v>
      </c>
      <c r="L204" s="22" t="str">
        <f>VLOOKUP(A204,'Trips&amp;Operators'!$C$1:$G$99999,5,FALSE)</f>
        <v>LEVERE CRAIG</v>
      </c>
      <c r="M204" s="6">
        <f t="shared" si="49"/>
        <v>1.0497685179871041E-2</v>
      </c>
      <c r="N204" s="7">
        <f t="shared" si="66"/>
        <v>15.1166666590143</v>
      </c>
      <c r="O204" s="7"/>
      <c r="P204" s="7"/>
      <c r="Q204" s="23"/>
      <c r="R204" s="23"/>
      <c r="S204" s="35">
        <f t="shared" si="65"/>
        <v>1</v>
      </c>
      <c r="T204" s="50" t="str">
        <f t="shared" si="50"/>
        <v>NorthBound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51"/>
        <v>https://search-rtdc-monitor-bjffxe2xuh6vdkpspy63sjmuny.us-east-1.es.amazonaws.com/_plugin/kibana/#/discover/Steve-Slow-Train-Analysis-(2080s-and-2083s)?_g=(refreshInterval:(display:Off,section:0,value:0),time:(from:'2016-11-30 20:04:37-700',mode:absolute,to:'2016-11-30 22:36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04" s="52" t="str">
        <f t="shared" si="52"/>
        <v>N</v>
      </c>
      <c r="X204" s="177">
        <f t="shared" si="67"/>
        <v>1</v>
      </c>
      <c r="Y204" s="67">
        <f t="shared" si="54"/>
        <v>0.1037</v>
      </c>
      <c r="Z204" s="67">
        <f t="shared" si="55"/>
        <v>5.8967000000000001</v>
      </c>
      <c r="AA204" s="67">
        <f t="shared" si="56"/>
        <v>5.7930000000000001</v>
      </c>
      <c r="AB204" s="64" t="e">
        <f>VLOOKUP(A204,Enforcements!$C$7:$K$20,8,0)</f>
        <v>#N/A</v>
      </c>
      <c r="AC204" s="60" t="e">
        <f>VLOOKUP(A204,Enforcements!$C$7:$E$20,3,0)</f>
        <v>#N/A</v>
      </c>
      <c r="AD204" s="61" t="str">
        <f t="shared" si="57"/>
        <v>0845-30</v>
      </c>
      <c r="AE204" s="91" t="str">
        <f t="shared" si="58"/>
        <v>aws s3 cp s3://rtdc.mdm.uploadarchive.raw/RTDC4042/ "%USERPROFILE%\AppData\Local\Temp\OnboardLogs"\RTDC4042\2016-11-30 --exclude "*" --recursive --include "*20161130*" &amp; "%USERPROFILE%\Documents\GitHub\mrs-test-scripts\Headless Mode &amp; Sideloading\WalkAndUnGZ.bat" "%USERPROFILE%\AppData\Local\Temp\OnboardLogs"\RTDC4042\2016-11-30 &amp; aws s3 cp s3://rtdc.mdm.uploadarchive.raw/RTDC4042/ "%USERPROFILE%\AppData\Local\Temp\OnboardLogs"\RTDC4042\2016-12-01 --exclude "*" --recursive --include "*20161201*" &amp; "%USERPROFILE%\Documents\GitHub\mrs-test-scripts\Headless Mode &amp; Sideloading\WalkAndUnGZ.bat" "%USERPROFILE%\AppData\Local\Temp\OnboardLogs"\RTDC4042\2016-12-01</v>
      </c>
      <c r="AF204" s="88" t="str">
        <f t="shared" si="59"/>
        <v>"C:\Program Files (x86)\AstroGrep\AstroGrep.exe" /spath="%USERPROFILE%\AppData\Local\Temp\OnboardLogs" /stypes="app*4042*20161201*" /stext=" 04:.+((SYSTEM_STATE.+slice.+state.+changed )|(ment ac)|(multiple cpu faults)|(system.+state.+changed )|(\[timeout)|(PRM\|1\|D)|(kpr)|(kdp)|(\|lc)|(penalty))" /e /r /s</v>
      </c>
      <c r="AG204" s="1" t="str">
        <f t="shared" si="60"/>
        <v>NW</v>
      </c>
      <c r="AH204" s="92" t="str">
        <f t="shared" si="68"/>
        <v>"%USERPROFILE%\Documents\GitHub\eaglep3\Utilities\RefineRTDCRunTimes.py" --tripid 845-30 --locoid 4042 --swversion DE.1.0.8.0 --startMP 204:1037 --initTime 2016-11-30T21:04:37 --startdatetime 2016-11-30T21:21:16 --delay 1 --endMP 300:58967 --enddatetime 2016-11-30T21:36:23 --enforcementcount 0 &gt;&gt;C:\Users\stu\Documents\GitHub\eaglep3-reporting\EC\2016-11-30-refined-times.txt</v>
      </c>
      <c r="AI204" s="119" t="str">
        <f t="shared" si="69"/>
        <v>echo {"issue":{"subject":"","project_id":79,"tracker_id":40,"status_id":1,"priority_id":2,"assigned_to_id":23,"start_date":"2016-11-30","description":"","custom_fields":[{"id":1,"name":"Subdivision","value":"NW"},{"id":4,"name":"Milepost","value":"5.8967"},{"id":17,"name":"Train ID","value":"845-30"},{"id":16,"name":"Locomotive ID","value":"4042"},{"id":130,"name":"Impact","value":""},{"id":150,"name":"Time of Event (Mountain Time)","value":"21:36:23"},{"id":151,"name":"Denver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91" x14ac:dyDescent="0.25">
      <c r="A205" s="37" t="s">
        <v>730</v>
      </c>
      <c r="B205" s="7">
        <v>4042</v>
      </c>
      <c r="C205" s="22" t="s">
        <v>212</v>
      </c>
      <c r="D205" s="22" t="s">
        <v>353</v>
      </c>
      <c r="E205" s="13">
        <v>42704.924537037034</v>
      </c>
      <c r="F205" s="13">
        <v>42704.931435185186</v>
      </c>
      <c r="G205" s="7">
        <v>1</v>
      </c>
      <c r="H205" s="22" t="s">
        <v>846</v>
      </c>
      <c r="I205" s="13">
        <v>42704.941793981481</v>
      </c>
      <c r="J205" s="7">
        <v>0</v>
      </c>
      <c r="K205" s="109" t="str">
        <f t="shared" ref="K205:K232" si="70">IF(ISEVEN(B205),(B205-1)&amp;"/"&amp;B205,B205&amp;"/"&amp;(B205+1))</f>
        <v>4041/4042</v>
      </c>
      <c r="L205" s="22" t="str">
        <f>VLOOKUP(A205,'Trips&amp;Operators'!$C$1:$G$99999,5,FALSE)</f>
        <v>LEVERE CRAIG</v>
      </c>
      <c r="M205" s="6">
        <f t="shared" ref="M205:M232" si="71">I205-F205</f>
        <v>1.0358796294895001E-2</v>
      </c>
      <c r="N205" s="7">
        <f t="shared" si="66"/>
        <v>14.916666664648801</v>
      </c>
      <c r="O205" s="7"/>
      <c r="P205" s="7"/>
      <c r="Q205" s="23"/>
      <c r="R205" s="23"/>
      <c r="S205" s="35">
        <f t="shared" si="65"/>
        <v>1</v>
      </c>
      <c r="T205" s="50" t="str">
        <f t="shared" ref="T205:T232" si="72">IF(ISEVEN(LEFT(AD205,4)),"Southbound","NorthBound")</f>
        <v>NorthBound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ref="V205:V232" si="73">"https://search-rtdc-monitor-bjffxe2xuh6vdkpspy63sjmuny.us-east-1.es.amazonaws.com/_plugin/kibana/#/discover/Steve-Slow-Train-Analysis-(2080s-and-2083s)?_g=(refreshInterval:(display:Off,section:0,value:0),time:(from:'"&amp;TEXT(E205-1/24,"yyyy-MM-DD hh:mm:ss")&amp;utc_offset&amp;"00',mode:absolute,to:'"&amp;TEXT(I205+1/24,"yyyy-MM-DD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https://search-rtdc-monitor-bjffxe2xuh6vdkpspy63sjmuny.us-east-1.es.amazonaws.com/_plugin/kibana/#/discover/Steve-Slow-Train-Analysis-(2080s-and-2083s)?_g=(refreshInterval:(display:Off,section:0,value:0),time:(from:'2016-11-30 21:11:20-700',mode:absolute,to:'2016-11-30 23:36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05" s="52" t="str">
        <f t="shared" ref="W205:W232" si="74">IF(AA205&lt;IF(AG205="EC",23,5.65),"Y","N")</f>
        <v>N</v>
      </c>
      <c r="X205" s="177">
        <f t="shared" si="67"/>
        <v>2</v>
      </c>
      <c r="Y205" s="67">
        <f t="shared" ref="Y205:Y232" si="75">RIGHT(D205,LEN(D205)-4)/10000</f>
        <v>9.7799999999999998E-2</v>
      </c>
      <c r="Z205" s="67">
        <f t="shared" ref="Z205:Z232" si="76">RIGHT(H205,LEN(H205)-4)/10000</f>
        <v>5.8986000000000001</v>
      </c>
      <c r="AA205" s="67">
        <f t="shared" ref="AA205:AA268" si="77">ABS(Z205-Y205)</f>
        <v>5.8007999999999997</v>
      </c>
      <c r="AB205" s="64" t="e">
        <f>VLOOKUP(A205,Enforcements!$C$7:$K$20,8,0)</f>
        <v>#N/A</v>
      </c>
      <c r="AC205" s="60" t="e">
        <f>VLOOKUP(A205,Enforcements!$C$7:$E$20,3,0)</f>
        <v>#N/A</v>
      </c>
      <c r="AD205" s="61" t="str">
        <f t="shared" ref="AD205:AD232" si="78">IF(LEN(A205)=6,"0"&amp;A205,A205)</f>
        <v>0847-30</v>
      </c>
      <c r="AE205" s="91" t="str">
        <f t="shared" ref="AE205:AE232" si="79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s3://rtdc.mdm.uploadarchive.raw/RTDC4042/ "%USERPROFILE%\AppData\Local\Temp\OnboardLogs"\RTDC4042\2016-11-30 --exclude "*" --recursive --include "*20161130*" &amp; "%USERPROFILE%\Documents\GitHub\mrs-test-scripts\Headless Mode &amp; Sideloading\WalkAndUnGZ.bat" "%USERPROFILE%\AppData\Local\Temp\OnboardLogs"\RTDC4042\2016-11-30 &amp; aws s3 cp s3://rtdc.mdm.uploadarchive.raw/RTDC4042/ "%USERPROFILE%\AppData\Local\Temp\OnboardLogs"\RTDC4042\2016-12-01 --exclude "*" --recursive --include "*20161201*" &amp; "%USERPROFILE%\Documents\GitHub\mrs-test-scripts\Headless Mode &amp; Sideloading\WalkAndUnGZ.bat" "%USERPROFILE%\AppData\Local\Temp\OnboardLogs"\RTDC4042\2016-12-01</v>
      </c>
      <c r="AF205" s="88" t="str">
        <f t="shared" ref="AF205:AF232" si="80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/stypes="app*4042*20161201*" /stext=" 05:.+((SYSTEM_STATE.+slice.+state.+changed )|(ment ac)|(multiple cpu faults)|(system.+state.+changed )|(\[timeout)|(PRM\|1\|D)|(kpr)|(kdp)|(\|lc)|(penalty))" /e /r /s</v>
      </c>
      <c r="AG205" s="1" t="str">
        <f t="shared" ref="AG205:AG232" si="81">IFERROR(IF(VALUE(LEFT(AD205,2))&lt;=2,"EC",IF(OR(VALUE(LEFT(AD205,2))=8,VALUE(LEFT(AD205,2))=18),"NW","Other")),"Other")</f>
        <v>NW</v>
      </c>
      <c r="AH205" s="92" t="str">
        <f t="shared" si="68"/>
        <v>"%USERPROFILE%\Documents\GitHub\eaglep3\Utilities\RefineRTDCRunTimes.py" --tripid 847-30 --locoid 4042 --swversion DE.1.0.8.0 --startMP 204:978 --initTime 2016-11-30T22:11:20 --startdatetime 2016-11-30T22:21:16 --delay 1 --endMP 300:58986 --enddatetime 2016-11-30T22:36:11 --enforcementcount 0 &gt;&gt;C:\Users\stu\Documents\GitHub\eaglep3-reporting\EC\2016-11-30-refined-times.txt</v>
      </c>
      <c r="AI205" s="119" t="str">
        <f t="shared" si="69"/>
        <v>echo {"issue":{"subject":"","project_id":79,"tracker_id":40,"status_id":1,"priority_id":2,"assigned_to_id":23,"start_date":"2016-11-30","description":"","custom_fields":[{"id":1,"name":"Subdivision","value":"NW"},{"id":4,"name":"Milepost","value":"5.8986"},{"id":17,"name":"Train ID","value":"847-30"},{"id":16,"name":"Locomotive ID","value":"4042"},{"id":130,"name":"Impact","value":""},{"id":150,"name":"Time of Event (Mountain Time)","value":"22:36:11"},{"id":151,"name":"Denver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91" x14ac:dyDescent="0.25">
      <c r="A206" s="37" t="s">
        <v>702</v>
      </c>
      <c r="B206" s="7">
        <v>4003</v>
      </c>
      <c r="C206" s="22" t="s">
        <v>212</v>
      </c>
      <c r="D206" s="22" t="s">
        <v>313</v>
      </c>
      <c r="E206" s="13">
        <v>42704.775625000002</v>
      </c>
      <c r="F206" s="13">
        <v>25568.708333333332</v>
      </c>
      <c r="G206" s="7">
        <v>1</v>
      </c>
      <c r="H206" s="22" t="s">
        <v>814</v>
      </c>
      <c r="I206" s="13">
        <v>25568.708333333332</v>
      </c>
      <c r="J206" s="7">
        <v>0</v>
      </c>
      <c r="K206" s="109" t="str">
        <f t="shared" si="70"/>
        <v>4003/4004</v>
      </c>
      <c r="L206" s="22" t="str">
        <f>VLOOKUP(A206,'Trips&amp;Operators'!$C$1:$G$99999,5,FALSE)</f>
        <v>ADANE ELSHADAY</v>
      </c>
      <c r="M206" s="6">
        <f t="shared" si="71"/>
        <v>0</v>
      </c>
      <c r="N206" s="7">
        <f t="shared" si="66"/>
        <v>0</v>
      </c>
      <c r="O206" s="7"/>
      <c r="P206" s="7"/>
      <c r="Q206" s="23"/>
      <c r="R206" s="23"/>
      <c r="S206" s="35">
        <f t="shared" si="65"/>
        <v>1</v>
      </c>
      <c r="T206" s="50" t="str">
        <f t="shared" si="72"/>
        <v>NorthBound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https://search-rtdc-monitor-bjffxe2xuh6vdkpspy63sjmuny.us-east-1.es.amazonaws.com/_plugin/kibana/#/discover/Steve-Slow-Train-Analysis-(2080s-and-2083s)?_g=(refreshInterval:(display:Off,section:0,value:0),time:(from:'2016-11-30 17:36:54-700',mode:absolute,to:'1969-12-31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06" s="52" t="str">
        <f t="shared" si="74"/>
        <v>Y</v>
      </c>
      <c r="X206" s="177">
        <f t="shared" si="67"/>
        <v>-544</v>
      </c>
      <c r="Y206" s="67">
        <f t="shared" si="75"/>
        <v>4.58E-2</v>
      </c>
      <c r="Z206" s="67">
        <f t="shared" si="76"/>
        <v>2.3285</v>
      </c>
      <c r="AA206" s="67">
        <f t="shared" si="77"/>
        <v>2.2827000000000002</v>
      </c>
      <c r="AB206" s="64" t="e">
        <f>VLOOKUP(A206,Enforcements!$C$7:$K$20,8,0)</f>
        <v>#N/A</v>
      </c>
      <c r="AC206" s="60" t="e">
        <f>VLOOKUP(A206,Enforcements!$C$7:$E$20,3,0)</f>
        <v>#N/A</v>
      </c>
      <c r="AD206" s="61" t="str">
        <f t="shared" si="78"/>
        <v>0303-30</v>
      </c>
      <c r="AE206" s="91" t="str">
        <f t="shared" si="79"/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AF206" s="88" t="str">
        <f t="shared" si="80"/>
        <v>"C:\Program Files (x86)\AstroGrep\AstroGrep.exe" /spath="%USERPROFILE%\AppData\Local\Temp\OnboardLogs" /stypes="app*4003*19700101*" /stext=" 00:.+((SYSTEM_STATE.+slice.+state.+changed )|(ment ac)|(multiple cpu faults)|(system.+state.+changed )|(\[timeout)|(PRM\|1\|D)|(kpr)|(kdp)|(\|lc)|(penalty))" /e /r /s</v>
      </c>
      <c r="AG206" s="1" t="str">
        <f t="shared" si="81"/>
        <v>Other</v>
      </c>
      <c r="AH206" s="92" t="str">
        <f t="shared" si="68"/>
        <v>"%USERPROFILE%\Documents\GitHub\eaglep3\Utilities\RefineRTDCRunTimes.py" --tripid 303-30 --locoid 4003 --swversion DE.1.0.8.0 --startMP 204:458 --initTime 2016-11-30T18:36:54 --startdatetime 1969-12-31T17:00:00 --delay 1 --endMP 300:23285 --enddatetime 1969-12-31T17:00:00 --enforcementcount 0 &gt;&gt;C:\Users\stu\Documents\GitHub\eaglep3-reporting\EC\2016-11-30-refined-times.txt</v>
      </c>
      <c r="AI206" s="119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{"issue":{"subject":"","project_id":79,"tracker_id":40,"status_id":1,"priority_id":2,"assigned_to_id":23,"start_date":"1969-12-31","description":"","custom_fields":[{"id":1,"name":"Subdivision","value":"Other"},{"id":4,"name":"Milepost","value":"2.3285"},{"id":17,"name":"Train ID","value":"303-30"},{"id":16,"name":"Locomotive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91" x14ac:dyDescent="0.25">
      <c r="A207" s="37" t="s">
        <v>517</v>
      </c>
      <c r="B207" s="7">
        <v>4045</v>
      </c>
      <c r="C207" s="22" t="s">
        <v>212</v>
      </c>
      <c r="D207" s="22" t="s">
        <v>502</v>
      </c>
      <c r="E207" s="13">
        <v>42704.143113425926</v>
      </c>
      <c r="F207" s="13">
        <v>42704.144270833334</v>
      </c>
      <c r="G207" s="7">
        <v>1</v>
      </c>
      <c r="H207" s="22" t="s">
        <v>815</v>
      </c>
      <c r="I207" s="13">
        <v>42704.150370370371</v>
      </c>
      <c r="J207" s="7">
        <v>0</v>
      </c>
      <c r="K207" s="109" t="str">
        <f t="shared" si="70"/>
        <v>4045/4046</v>
      </c>
      <c r="L207" s="22" t="str">
        <f>VLOOKUP(A207,'Trips&amp;Operators'!$C$1:$G$99999,5,FALSE)</f>
        <v>ACKERMAN JARED</v>
      </c>
      <c r="M207" s="6">
        <f t="shared" si="71"/>
        <v>6.0995370367891155E-3</v>
      </c>
      <c r="N207" s="7">
        <f t="shared" si="66"/>
        <v>8.7833333329763263</v>
      </c>
      <c r="O207" s="7"/>
      <c r="P207" s="7"/>
      <c r="Q207" s="23"/>
      <c r="R207" s="23"/>
      <c r="S207" s="35">
        <f t="shared" si="65"/>
        <v>1</v>
      </c>
      <c r="T207" s="50" t="str">
        <f t="shared" si="72"/>
        <v>Southbound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https://search-rtdc-monitor-bjffxe2xuh6vdkpspy63sjmuny.us-east-1.es.amazonaws.com/_plugin/kibana/#/discover/Steve-Slow-Train-Analysis-(2080s-and-2083s)?_g=(refreshInterval:(display:Off,section:0,value:0),time:(from:'2016-11-30 02:26:05-700',mode:absolute,to:'2016-11-30 04:36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07" s="52" t="str">
        <f t="shared" si="74"/>
        <v>Y</v>
      </c>
      <c r="X207" s="177">
        <f t="shared" si="67"/>
        <v>1</v>
      </c>
      <c r="Y207" s="67">
        <f t="shared" si="75"/>
        <v>2.2326999999999999</v>
      </c>
      <c r="Z207" s="67">
        <f t="shared" si="76"/>
        <v>8.0999999999999996E-3</v>
      </c>
      <c r="AA207" s="67">
        <f t="shared" si="77"/>
        <v>2.2245999999999997</v>
      </c>
      <c r="AB207" s="64" t="e">
        <f>VLOOKUP(A207,Enforcements!$C$7:$K$20,8,0)</f>
        <v>#N/A</v>
      </c>
      <c r="AC207" s="60" t="e">
        <f>VLOOKUP(A207,Enforcements!$C$7:$E$20,3,0)</f>
        <v>#N/A</v>
      </c>
      <c r="AD207" s="61" t="str">
        <f t="shared" si="78"/>
        <v>0304-30</v>
      </c>
      <c r="AE207" s="91" t="str">
        <f t="shared" si="79"/>
        <v>aws s3 cp s3://rtdc.mdm.uploadarchive.raw/RTDC4045/ "%USERPROFILE%\AppData\Local\Temp\OnboardLogs"\RTDC4045\2016-11-30 --exclude "*" --recursive --include "*20161130*" &amp; "%USERPROFILE%\Documents\GitHub\mrs-test-scripts\Headless Mode &amp; Sideloading\WalkAndUnGZ.bat" "%USERPROFILE%\AppData\Local\Temp\OnboardLogs"\RTDC4045\2016-11-30 &amp; aws s3 cp s3://rtdc.mdm.uploadarchive.raw/RTDC4045/ "%USERPROFILE%\AppData\Local\Temp\OnboardLogs"\RTDC4045\2016-12-01 --exclude "*" --recursive --include "*20161201*" &amp; "%USERPROFILE%\Documents\GitHub\mrs-test-scripts\Headless Mode &amp; Sideloading\WalkAndUnGZ.bat" "%USERPROFILE%\AppData\Local\Temp\OnboardLogs"\RTDC4045\2016-12-01</v>
      </c>
      <c r="AF207" s="88" t="str">
        <f t="shared" si="80"/>
        <v>"C:\Program Files (x86)\AstroGrep\AstroGrep.exe" /spath="%USERPROFILE%\AppData\Local\Temp\OnboardLogs" /stypes="app*4045*20161130*" /stext=" 10:.+((SYSTEM_STATE.+slice.+state.+changed )|(ment ac)|(multiple cpu faults)|(system.+state.+changed )|(\[timeout)|(PRM\|1\|D)|(kpr)|(kdp)|(\|lc)|(penalty))" /e /r /s</v>
      </c>
      <c r="AG207" s="1" t="str">
        <f t="shared" si="81"/>
        <v>Other</v>
      </c>
      <c r="AH207" s="92" t="str">
        <f t="shared" si="68"/>
        <v>"%USERPROFILE%\Documents\GitHub\eaglep3\Utilities\RefineRTDCRunTimes.py" --tripid 304-30 --locoid 4045 --swversion DE.1.0.8.0 --startMP 300:22327 --initTime 2016-11-30T03:26:05 --startdatetime 2016-11-30T03:27:45 --delay 1 --endMP 204:81 --enddatetime 2016-11-30T03:36:32 --enforcementcount 0 &gt;&gt;C:\Users\stu\Documents\GitHub\eaglep3-reporting\EC\2016-11-30-refined-times.txt</v>
      </c>
      <c r="AI207" s="119" t="str">
        <f t="shared" si="69"/>
        <v>echo {"issue":{"subject":"","project_id":79,"tracker_id":40,"status_id":1,"priority_id":2,"assigned_to_id":23,"start_date":"2016-11-30","description":"","custom_fields":[{"id":1,"name":"Subdivision","value":"Other"},{"id":4,"name":"Milepost","value":"0.0081"},{"id":17,"name":"Train ID","value":"304-30"},{"id":16,"name":"Locomotive ID","value":"4045"},{"id":130,"name":"Impact","value":""},{"id":150,"name":"Time of Event (Mountain Time)","value":"03:36:32"},{"id":151,"name":"Denver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x14ac:dyDescent="0.25">
      <c r="A208" s="37" t="s">
        <v>709</v>
      </c>
      <c r="B208" s="7">
        <v>4044</v>
      </c>
      <c r="C208" s="22" t="s">
        <v>212</v>
      </c>
      <c r="D208" s="22" t="s">
        <v>211</v>
      </c>
      <c r="E208" s="13">
        <v>42704.798298611109</v>
      </c>
      <c r="F208" s="13">
        <v>25568.708333333332</v>
      </c>
      <c r="G208" s="7">
        <v>1</v>
      </c>
      <c r="H208" s="22" t="s">
        <v>504</v>
      </c>
      <c r="I208" s="13">
        <v>25568.708333333332</v>
      </c>
      <c r="J208" s="7">
        <v>0</v>
      </c>
      <c r="K208" s="109" t="str">
        <f t="shared" si="70"/>
        <v>4043/4044</v>
      </c>
      <c r="L208" s="22" t="str">
        <f>VLOOKUP(A208,'Trips&amp;Operators'!$C$1:$G$99999,5,FALSE)</f>
        <v>BERLING GARY</v>
      </c>
      <c r="M208" s="6">
        <f t="shared" si="71"/>
        <v>0</v>
      </c>
      <c r="N208" s="7">
        <f t="shared" si="66"/>
        <v>0</v>
      </c>
      <c r="O208" s="7"/>
      <c r="P208" s="7"/>
      <c r="Q208" s="23"/>
      <c r="R208" s="23"/>
      <c r="S208" s="35">
        <f t="shared" si="65"/>
        <v>1</v>
      </c>
      <c r="T208" s="50" t="str">
        <f t="shared" si="72"/>
        <v>NorthBound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https://search-rtdc-monitor-bjffxe2xuh6vdkpspy63sjmuny.us-east-1.es.amazonaws.com/_plugin/kibana/#/discover/Steve-Slow-Train-Analysis-(2080s-and-2083s)?_g=(refreshInterval:(display:Off,section:0,value:0),time:(from:'2016-11-30 18:09:33-700',mode:absolute,to:'1969-12-31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08" s="52" t="str">
        <f t="shared" si="74"/>
        <v>Y</v>
      </c>
      <c r="X208" s="177">
        <f t="shared" si="67"/>
        <v>1</v>
      </c>
      <c r="Y208" s="67">
        <f t="shared" si="75"/>
        <v>4.6399999999999997E-2</v>
      </c>
      <c r="Z208" s="67">
        <f t="shared" si="76"/>
        <v>2.3302</v>
      </c>
      <c r="AA208" s="67">
        <f t="shared" si="77"/>
        <v>2.2838000000000003</v>
      </c>
      <c r="AB208" s="64" t="e">
        <f>VLOOKUP(A208,Enforcements!$C$7:$K$20,8,0)</f>
        <v>#N/A</v>
      </c>
      <c r="AC208" s="60" t="e">
        <f>VLOOKUP(A208,Enforcements!$C$7:$E$20,3,0)</f>
        <v>#N/A</v>
      </c>
      <c r="AD208" s="61" t="str">
        <f t="shared" si="78"/>
        <v>0305-30</v>
      </c>
      <c r="AE208" s="91" t="str">
        <f t="shared" si="79"/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08" s="88" t="str">
        <f t="shared" si="80"/>
        <v>"C:\Program Files (x86)\AstroGrep\AstroGrep.exe" /spath="%USERPROFILE%\AppData\Local\Temp\OnboardLogs" /stypes="app*4044*19700101*" /stext=" 00:.+((SYSTEM_STATE.+slice.+state.+changed )|(ment ac)|(multiple cpu faults)|(system.+state.+changed )|(\[timeout)|(PRM\|1\|D)|(kpr)|(kdp)|(\|lc)|(penalty))" /e /r /s</v>
      </c>
      <c r="AG208" s="1" t="str">
        <f t="shared" si="81"/>
        <v>Other</v>
      </c>
      <c r="AH208" s="92" t="str">
        <f t="shared" si="68"/>
        <v>"%USERPROFILE%\Documents\GitHub\eaglep3\Utilities\RefineRTDCRunTimes.py" --tripid 305-30 --locoid 4044 --swversion DE.1.0.8.0 --startMP 204:464 --initTime 2016-11-30T19:09:33 --startdatetime 1969-12-31T17:00:00 --delay 1 --endMP 300:23302 --enddatetime 1969-12-31T17:00:00 --enforcementcount 0 &gt;&gt;C:\Users\stu\Documents\GitHub\eaglep3-reporting\EC\2016-11-30-refined-times.txt</v>
      </c>
      <c r="AI208" s="119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ID","value":"305-30"},{"id":16,"name":"Locomotive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38" x14ac:dyDescent="0.25">
      <c r="A209" s="37" t="s">
        <v>551</v>
      </c>
      <c r="B209" s="7">
        <v>4010</v>
      </c>
      <c r="C209" s="22" t="s">
        <v>212</v>
      </c>
      <c r="D209" s="22" t="s">
        <v>816</v>
      </c>
      <c r="E209" s="13">
        <v>42704.157222222224</v>
      </c>
      <c r="F209" s="13">
        <v>42704.158587962964</v>
      </c>
      <c r="G209" s="7">
        <v>1</v>
      </c>
      <c r="H209" s="22" t="s">
        <v>252</v>
      </c>
      <c r="I209" s="13">
        <v>42704.164479166669</v>
      </c>
      <c r="J209" s="7">
        <v>0</v>
      </c>
      <c r="K209" s="109" t="str">
        <f t="shared" si="70"/>
        <v>4009/4010</v>
      </c>
      <c r="L209" s="22" t="str">
        <f>VLOOKUP(A209,'Trips&amp;Operators'!$C$1:$G$99999,5,FALSE)</f>
        <v>DE LA ROSA ALEX</v>
      </c>
      <c r="M209" s="6">
        <f t="shared" si="71"/>
        <v>5.8912037056870759E-3</v>
      </c>
      <c r="N209" s="7">
        <f t="shared" si="66"/>
        <v>8.4833333361893892</v>
      </c>
      <c r="O209" s="7"/>
      <c r="P209" s="7"/>
      <c r="Q209" s="23"/>
      <c r="R209" s="23"/>
      <c r="S209" s="35">
        <f t="shared" ref="S209:S232" si="82">SUM(U209:U209)/IF(AG209="EC",12,1)</f>
        <v>1</v>
      </c>
      <c r="T209" s="50" t="str">
        <f t="shared" si="72"/>
        <v>Southbound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https://search-rtdc-monitor-bjffxe2xuh6vdkpspy63sjmuny.us-east-1.es.amazonaws.com/_plugin/kibana/#/discover/Steve-Slow-Train-Analysis-(2080s-and-2083s)?_g=(refreshInterval:(display:Off,section:0,value:0),time:(from:'2016-11-30 02:46:24-700',mode:absolute,to:'2016-11-30 04:56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09" s="52" t="str">
        <f t="shared" si="74"/>
        <v>Y</v>
      </c>
      <c r="X209" s="177">
        <f t="shared" si="67"/>
        <v>1</v>
      </c>
      <c r="Y209" s="67">
        <f t="shared" si="75"/>
        <v>2.3125</v>
      </c>
      <c r="Z209" s="67">
        <f t="shared" si="76"/>
        <v>1.61E-2</v>
      </c>
      <c r="AA209" s="67">
        <f t="shared" si="77"/>
        <v>2.2964000000000002</v>
      </c>
      <c r="AB209" s="64" t="e">
        <f>VLOOKUP(A209,Enforcements!$C$7:$K$20,8,0)</f>
        <v>#N/A</v>
      </c>
      <c r="AC209" s="60" t="e">
        <f>VLOOKUP(A209,Enforcements!$C$7:$E$20,3,0)</f>
        <v>#N/A</v>
      </c>
      <c r="AD209" s="61" t="str">
        <f t="shared" si="78"/>
        <v>0306-30</v>
      </c>
      <c r="AE209" s="91" t="str">
        <f t="shared" si="79"/>
        <v>aws s3 cp s3://rtdc.mdm.uploadarchive.raw/RTDC4010/ "%USERPROFILE%\AppData\Local\Temp\OnboardLogs"\RTDC4010\2016-11-30 --exclude "*" --recursive --include "*20161130*" &amp; "%USERPROFILE%\Documents\GitHub\mrs-test-scripts\Headless Mode &amp; Sideloading\WalkAndUnGZ.bat" "%USERPROFILE%\AppData\Local\Temp\OnboardLogs"\RTDC4010\2016-11-30 &amp; aws s3 cp s3://rtdc.mdm.uploadarchive.raw/RTDC4010/ "%USERPROFILE%\AppData\Local\Temp\OnboardLogs"\RTDC4010\2016-12-01 --exclude "*" --recursive --include "*20161201*" &amp; "%USERPROFILE%\Documents\GitHub\mrs-test-scripts\Headless Mode &amp; Sideloading\WalkAndUnGZ.bat" "%USERPROFILE%\AppData\Local\Temp\OnboardLogs"\RTDC4010\2016-12-01</v>
      </c>
      <c r="AF209" s="88" t="str">
        <f t="shared" si="80"/>
        <v>"C:\Program Files (x86)\AstroGrep\AstroGrep.exe" /spath="%USERPROFILE%\AppData\Local\Temp\OnboardLogs" /stypes="app*4010*20161130*" /stext=" 10:.+((SYSTEM_STATE.+slice.+state.+changed )|(ment ac)|(multiple cpu faults)|(system.+state.+changed )|(\[timeout)|(PRM\|1\|D)|(kpr)|(kdp)|(\|lc)|(penalty))" /e /r /s</v>
      </c>
      <c r="AG209" s="1" t="str">
        <f t="shared" si="81"/>
        <v>Other</v>
      </c>
      <c r="AH209" s="92" t="str">
        <f t="shared" si="68"/>
        <v>"%USERPROFILE%\Documents\GitHub\eaglep3\Utilities\RefineRTDCRunTimes.py" --tripid 306-30 --locoid 4010 --swversion DE.1.0.8.0 --startMP 300:23125 --initTime 2016-11-30T03:46:24 --startdatetime 2016-11-30T03:48:22 --delay 1 --endMP 204:161 --enddatetime 2016-11-30T03:56:51 --enforcementcount 0 &gt;&gt;C:\Users\stu\Documents\GitHub\eaglep3-reporting\EC\2016-11-30-refined-times.txt</v>
      </c>
      <c r="AI209" s="119" t="str">
        <f t="shared" si="69"/>
        <v>echo {"issue":{"subject":"","project_id":79,"tracker_id":40,"status_id":1,"priority_id":2,"assigned_to_id":23,"start_date":"2016-11-30","description":"","custom_fields":[{"id":1,"name":"Subdivision","value":"Other"},{"id":4,"name":"Milepost","value":"0.0161"},{"id":17,"name":"Train ID","value":"306-30"},{"id":16,"name":"Locomotive ID","value":"4010"},{"id":130,"name":"Impact","value":""},{"id":150,"name":"Time of Event (Mountain Time)","value":"03:56:51"},{"id":151,"name":"Denver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38" x14ac:dyDescent="0.25">
      <c r="A210" s="37" t="s">
        <v>713</v>
      </c>
      <c r="B210" s="7">
        <v>4046</v>
      </c>
      <c r="C210" s="22" t="s">
        <v>212</v>
      </c>
      <c r="D210" s="22" t="s">
        <v>323</v>
      </c>
      <c r="E210" s="13">
        <v>42704.817939814813</v>
      </c>
      <c r="F210" s="13">
        <v>25568.708333333332</v>
      </c>
      <c r="G210" s="7">
        <v>1</v>
      </c>
      <c r="H210" s="22" t="s">
        <v>817</v>
      </c>
      <c r="I210" s="13">
        <v>25568.708333333332</v>
      </c>
      <c r="J210" s="7">
        <v>0</v>
      </c>
      <c r="K210" s="109" t="str">
        <f t="shared" si="70"/>
        <v>4045/4046</v>
      </c>
      <c r="L210" s="22" t="str">
        <f>VLOOKUP(A210,'Trips&amp;Operators'!$C$1:$G$99999,5,FALSE)</f>
        <v>STORY SAMANTHA</v>
      </c>
      <c r="M210" s="6">
        <f t="shared" si="71"/>
        <v>0</v>
      </c>
      <c r="N210" s="7">
        <f t="shared" ref="N210:N232" si="83">24*60*SUM($M210:$M210)</f>
        <v>0</v>
      </c>
      <c r="O210" s="7"/>
      <c r="P210" s="7"/>
      <c r="Q210" s="23"/>
      <c r="R210" s="23"/>
      <c r="S210" s="35">
        <f t="shared" si="82"/>
        <v>1</v>
      </c>
      <c r="T210" s="50" t="str">
        <f t="shared" si="72"/>
        <v>NorthBound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https://search-rtdc-monitor-bjffxe2xuh6vdkpspy63sjmuny.us-east-1.es.amazonaws.com/_plugin/kibana/#/discover/Steve-Slow-Train-Analysis-(2080s-and-2083s)?_g=(refreshInterval:(display:Off,section:0,value:0),time:(from:'2016-11-30 18:37:50-700',mode:absolute,to:'1969-12-31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10" s="52" t="str">
        <f t="shared" si="74"/>
        <v>Y</v>
      </c>
      <c r="X210" s="177">
        <f t="shared" si="67"/>
        <v>1</v>
      </c>
      <c r="Y210" s="67">
        <f t="shared" si="75"/>
        <v>4.8599999999999997E-2</v>
      </c>
      <c r="Z210" s="67">
        <f t="shared" si="76"/>
        <v>2.3313999999999999</v>
      </c>
      <c r="AA210" s="67">
        <f t="shared" si="77"/>
        <v>2.2827999999999999</v>
      </c>
      <c r="AB210" s="64" t="e">
        <f>VLOOKUP(A210,Enforcements!$C$7:$K$20,8,0)</f>
        <v>#N/A</v>
      </c>
      <c r="AC210" s="60" t="e">
        <f>VLOOKUP(A210,Enforcements!$C$7:$E$20,3,0)</f>
        <v>#N/A</v>
      </c>
      <c r="AD210" s="61" t="str">
        <f t="shared" si="78"/>
        <v>0307-30</v>
      </c>
      <c r="AE210" s="91" t="str">
        <f t="shared" si="79"/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10" s="88" t="str">
        <f t="shared" si="80"/>
        <v>"C:\Program Files (x86)\AstroGrep\AstroGrep.exe" /spath="%USERPROFILE%\AppData\Local\Temp\OnboardLogs" /stypes="app*4046*19700101*" /stext=" 00:.+((SYSTEM_STATE.+slice.+state.+changed )|(ment ac)|(multiple cpu faults)|(system.+state.+changed )|(\[timeout)|(PRM\|1\|D)|(kpr)|(kdp)|(\|lc)|(penalty))" /e /r /s</v>
      </c>
      <c r="AG210" s="1" t="str">
        <f t="shared" si="81"/>
        <v>Other</v>
      </c>
      <c r="AH210" s="92" t="str">
        <f t="shared" si="68"/>
        <v>"%USERPROFILE%\Documents\GitHub\eaglep3\Utilities\RefineRTDCRunTimes.py" --tripid 307-30 --locoid 4046 --swversion DE.1.0.8.0 --startMP 204:486 --initTime 2016-11-30T19:37:50 --startdatetime 1969-12-31T17:00:00 --delay 1 --endMP 300:23314 --enddatetime 1969-12-31T17:00:00 --enforcementcount 0 &gt;&gt;C:\Users\stu\Documents\GitHub\eaglep3-reporting\EC\2016-11-30-refined-times.txt</v>
      </c>
      <c r="AI210" s="119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{"issue":{"subject":"","project_id":79,"tracker_id":40,"status_id":1,"priority_id":2,"assigned_to_id":23,"start_date":"1969-12-31","description":"","custom_fields":[{"id":1,"name":"Subdivision","value":"Other"},{"id":4,"name":"Milepost","value":"2.3314"},{"id":17,"name":"Train ID","value":"307-30"},{"id":16,"name":"Locomotive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38" x14ac:dyDescent="0.25">
      <c r="A211" s="37" t="s">
        <v>518</v>
      </c>
      <c r="B211" s="7">
        <v>4012</v>
      </c>
      <c r="C211" s="22" t="s">
        <v>212</v>
      </c>
      <c r="D211" s="22" t="s">
        <v>818</v>
      </c>
      <c r="E211" s="13">
        <v>42704.169328703705</v>
      </c>
      <c r="F211" s="13">
        <v>42704.170810185184</v>
      </c>
      <c r="G211" s="7">
        <v>1</v>
      </c>
      <c r="H211" s="22" t="s">
        <v>219</v>
      </c>
      <c r="I211" s="13">
        <v>42704.176458333335</v>
      </c>
      <c r="J211" s="7">
        <v>0</v>
      </c>
      <c r="K211" s="109" t="str">
        <f t="shared" si="70"/>
        <v>4011/4012</v>
      </c>
      <c r="L211" s="22" t="str">
        <f>VLOOKUP(A211,'Trips&amp;Operators'!$C$1:$G$99999,5,FALSE)</f>
        <v>SPECTOR MICHAEL</v>
      </c>
      <c r="M211" s="6">
        <f t="shared" si="71"/>
        <v>5.6481481515220366E-3</v>
      </c>
      <c r="N211" s="7">
        <f t="shared" si="83"/>
        <v>8.1333333381917328</v>
      </c>
      <c r="O211" s="7"/>
      <c r="P211" s="7"/>
      <c r="Q211" s="23"/>
      <c r="R211" s="23"/>
      <c r="S211" s="35">
        <f t="shared" si="82"/>
        <v>1</v>
      </c>
      <c r="T211" s="50" t="str">
        <f t="shared" si="72"/>
        <v>Southbound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https://search-rtdc-monitor-bjffxe2xuh6vdkpspy63sjmuny.us-east-1.es.amazonaws.com/_plugin/kibana/#/discover/Steve-Slow-Train-Analysis-(2080s-and-2083s)?_g=(refreshInterval:(display:Off,section:0,value:0),time:(from:'2016-11-30 03:03:50-700',mode:absolute,to:'2016-11-30 05:14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11" s="52" t="str">
        <f t="shared" si="74"/>
        <v>Y</v>
      </c>
      <c r="X211" s="177">
        <f t="shared" si="67"/>
        <v>1</v>
      </c>
      <c r="Y211" s="67">
        <f t="shared" si="75"/>
        <v>2.3260000000000001</v>
      </c>
      <c r="Z211" s="67">
        <f t="shared" si="76"/>
        <v>1.4999999999999999E-2</v>
      </c>
      <c r="AA211" s="67">
        <f t="shared" si="77"/>
        <v>2.3109999999999999</v>
      </c>
      <c r="AB211" s="64" t="e">
        <f>VLOOKUP(A211,Enforcements!$C$7:$K$20,8,0)</f>
        <v>#N/A</v>
      </c>
      <c r="AC211" s="60" t="e">
        <f>VLOOKUP(A211,Enforcements!$C$7:$E$20,3,0)</f>
        <v>#N/A</v>
      </c>
      <c r="AD211" s="61" t="str">
        <f t="shared" si="78"/>
        <v>0308-30</v>
      </c>
      <c r="AE211" s="91" t="str">
        <f t="shared" si="79"/>
        <v>aws s3 cp s3://rtdc.mdm.uploadarchive.raw/RTDC4012/ "%USERPROFILE%\AppData\Local\Temp\OnboardLogs"\RTDC4012\2016-11-30 --exclude "*" --recursive --include "*20161130*" &amp; "%USERPROFILE%\Documents\GitHub\mrs-test-scripts\Headless Mode &amp; Sideloading\WalkAndUnGZ.bat" "%USERPROFILE%\AppData\Local\Temp\OnboardLogs"\RTDC4012\2016-11-30 &amp; aws s3 cp s3://rtdc.mdm.uploadarchive.raw/RTDC4012/ "%USERPROFILE%\AppData\Local\Temp\OnboardLogs"\RTDC4012\2016-12-01 --exclude "*" --recursive --include "*20161201*" &amp; "%USERPROFILE%\Documents\GitHub\mrs-test-scripts\Headless Mode &amp; Sideloading\WalkAndUnGZ.bat" "%USERPROFILE%\AppData\Local\Temp\OnboardLogs"\RTDC4012\2016-12-01</v>
      </c>
      <c r="AF211" s="88" t="str">
        <f t="shared" si="80"/>
        <v>"C:\Program Files (x86)\AstroGrep\AstroGrep.exe" /spath="%USERPROFILE%\AppData\Local\Temp\OnboardLogs" /stypes="app*4012*20161130*" /stext=" 11:.+((SYSTEM_STATE.+slice.+state.+changed )|(ment ac)|(multiple cpu faults)|(system.+state.+changed )|(\[timeout)|(PRM\|1\|D)|(kpr)|(kdp)|(\|lc)|(penalty))" /e /r /s</v>
      </c>
      <c r="AG211" s="1" t="str">
        <f t="shared" si="81"/>
        <v>Other</v>
      </c>
      <c r="AH211" s="92" t="str">
        <f t="shared" si="68"/>
        <v>"%USERPROFILE%\Documents\GitHub\eaglep3\Utilities\RefineRTDCRunTimes.py" --tripid 308-30 --locoid 4012 --swversion DE.1.0.8.0 --startMP 300:23260 --initTime 2016-11-30T04:03:50 --startdatetime 2016-11-30T04:05:58 --delay 1 --endMP 204:150 --enddatetime 2016-11-30T04:14:06 --enforcementcount 0 &gt;&gt;C:\Users\stu\Documents\GitHub\eaglep3-reporting\EC\2016-11-30-refined-times.txt</v>
      </c>
      <c r="AI211" s="119" t="str">
        <f t="shared" si="69"/>
        <v>echo {"issue":{"subject":"","project_id":79,"tracker_id":40,"status_id":1,"priority_id":2,"assigned_to_id":23,"start_date":"2016-11-30","description":"","custom_fields":[{"id":1,"name":"Subdivision","value":"Other"},{"id":4,"name":"Milepost","value":"0.015"},{"id":17,"name":"Train ID","value":"308-30"},{"id":16,"name":"Locomotive ID","value":"4012"},{"id":130,"name":"Impact","value":""},{"id":150,"name":"Time of Event (Mountain Time)","value":"04:14:06"},{"id":151,"name":"Denver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38" x14ac:dyDescent="0.25">
      <c r="A212" s="37" t="s">
        <v>740</v>
      </c>
      <c r="B212" s="7">
        <v>4038</v>
      </c>
      <c r="C212" s="22" t="s">
        <v>212</v>
      </c>
      <c r="D212" s="22" t="s">
        <v>819</v>
      </c>
      <c r="E212" s="13">
        <v>42705.026064814818</v>
      </c>
      <c r="F212" s="13">
        <v>25568.708333333332</v>
      </c>
      <c r="G212" s="7">
        <v>1</v>
      </c>
      <c r="H212" s="22" t="s">
        <v>503</v>
      </c>
      <c r="I212" s="13">
        <v>25568.708333333332</v>
      </c>
      <c r="J212" s="7">
        <v>0</v>
      </c>
      <c r="K212" s="109" t="str">
        <f t="shared" si="70"/>
        <v>4037/4038</v>
      </c>
      <c r="L212" s="22" t="str">
        <f>VLOOKUP(A212,'Trips&amp;Operators'!$C$1:$G$99999,5,FALSE)</f>
        <v>STAMBAUGH JAMES</v>
      </c>
      <c r="M212" s="6">
        <f t="shared" si="71"/>
        <v>0</v>
      </c>
      <c r="N212" s="7">
        <f t="shared" si="83"/>
        <v>0</v>
      </c>
      <c r="O212" s="7"/>
      <c r="P212" s="7"/>
      <c r="Q212" s="23"/>
      <c r="R212" s="23"/>
      <c r="S212" s="35">
        <f t="shared" si="82"/>
        <v>1</v>
      </c>
      <c r="T212" s="50" t="str">
        <f t="shared" si="72"/>
        <v>NorthBound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https://search-rtdc-monitor-bjffxe2xuh6vdkpspy63sjmuny.us-east-1.es.amazonaws.com/_plugin/kibana/#/discover/Steve-Slow-Train-Analysis-(2080s-and-2083s)?_g=(refreshInterval:(display:Off,section:0,value:0),time:(from:'2016-11-30 23:37:32-700',mode:absolute,to:'1969-12-31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12" s="52" t="str">
        <f t="shared" si="74"/>
        <v>Y</v>
      </c>
      <c r="X212" s="177">
        <f t="shared" si="67"/>
        <v>1</v>
      </c>
      <c r="Y212" s="67">
        <f t="shared" si="75"/>
        <v>5.1299999999999998E-2</v>
      </c>
      <c r="Z212" s="67">
        <f t="shared" si="76"/>
        <v>2.3304</v>
      </c>
      <c r="AA212" s="67">
        <f t="shared" si="77"/>
        <v>2.2791000000000001</v>
      </c>
      <c r="AB212" s="64" t="e">
        <f>VLOOKUP(A212,Enforcements!$C$7:$K$20,8,0)</f>
        <v>#N/A</v>
      </c>
      <c r="AC212" s="60" t="e">
        <f>VLOOKUP(A212,Enforcements!$C$7:$E$20,3,0)</f>
        <v>#N/A</v>
      </c>
      <c r="AD212" s="61" t="str">
        <f t="shared" si="78"/>
        <v>0309-30</v>
      </c>
      <c r="AE212" s="91" t="str">
        <f t="shared" si="79"/>
        <v>aws s3 cp s3://rtdc.mdm.uploadarchive.raw/RTDC4038/ "%USERPROFILE%\AppData\Local\Temp\OnboardLogs"\RTDC4038\1969-12-31 --exclude "*" --recursive --include "*19691231*" &amp; "%USERPROFILE%\Documents\GitHub\mrs-test-scripts\Headless Mode &amp; Sideloading\WalkAndUnGZ.bat" "%USERPROFILE%\AppData\Local\Temp\OnboardLogs"\RTDC4038\1969-12-31 &amp; aws s3 cp s3://rtdc.mdm.uploadarchive.raw/RTDC4038/ "%USERPROFILE%\AppData\Local\Temp\OnboardLogs"\RTDC4038\1970-01-01 --exclude "*" --recursive --include "*19700101*" &amp; "%USERPROFILE%\Documents\GitHub\mrs-test-scripts\Headless Mode &amp; Sideloading\WalkAndUnGZ.bat" "%USERPROFILE%\AppData\Local\Temp\OnboardLogs"\RTDC4038\1970-01-01</v>
      </c>
      <c r="AF212" s="88" t="str">
        <f t="shared" si="80"/>
        <v>"C:\Program Files (x86)\AstroGrep\AstroGrep.exe" /spath="%USERPROFILE%\AppData\Local\Temp\OnboardLogs" /stypes="app*4038*19700101*" /stext=" 00:.+((SYSTEM_STATE.+slice.+state.+changed )|(ment ac)|(multiple cpu faults)|(system.+state.+changed )|(\[timeout)|(PRM\|1\|D)|(kpr)|(kdp)|(\|lc)|(penalty))" /e /r /s</v>
      </c>
      <c r="AG212" s="1" t="str">
        <f t="shared" si="81"/>
        <v>Other</v>
      </c>
      <c r="AH212" s="92" t="str">
        <f t="shared" si="68"/>
        <v>"%USERPROFILE%\Documents\GitHub\eaglep3\Utilities\RefineRTDCRunTimes.py" --tripid 309-30 --locoid 4038 --swversion DE.1.0.8.0 --startMP 204:513 --initTime 2016-12-01T00:37:32 --startdatetime 1969-12-31T17:00:00 --delay 1 --endMP 300:23304 --enddatetime 1969-12-31T17:00:00 --enforcementcount 0 &gt;&gt;C:\Users\stu\Documents\GitHub\eaglep3-reporting\EC\2016-11-30-refined-times.txt</v>
      </c>
      <c r="AI212" s="119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ID","value":"309-30"},{"id":16,"name":"Locomotive ID","value":"4038"},{"id":130,"name":"Impact","value":""},{"id":150,"name":"Time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38" x14ac:dyDescent="0.25">
      <c r="A213" s="37" t="s">
        <v>556</v>
      </c>
      <c r="B213" s="7">
        <v>4004</v>
      </c>
      <c r="C213" s="22" t="s">
        <v>212</v>
      </c>
      <c r="D213" s="22" t="s">
        <v>820</v>
      </c>
      <c r="E213" s="13">
        <v>42704.179814814815</v>
      </c>
      <c r="F213" s="13">
        <v>42704.181203703702</v>
      </c>
      <c r="G213" s="7">
        <v>1</v>
      </c>
      <c r="H213" s="22" t="s">
        <v>219</v>
      </c>
      <c r="I213" s="13">
        <v>42704.187523148146</v>
      </c>
      <c r="J213" s="7">
        <v>0</v>
      </c>
      <c r="K213" s="109" t="str">
        <f t="shared" si="70"/>
        <v>4003/4004</v>
      </c>
      <c r="L213" s="22" t="str">
        <f>VLOOKUP(A213,'Trips&amp;Operators'!$C$1:$G$99999,5,FALSE)</f>
        <v>KILLION DAVID</v>
      </c>
      <c r="M213" s="6">
        <f t="shared" si="71"/>
        <v>6.3194444446708076E-3</v>
      </c>
      <c r="N213" s="7">
        <f t="shared" si="83"/>
        <v>9.1000000003259629</v>
      </c>
      <c r="O213" s="7"/>
      <c r="P213" s="7"/>
      <c r="Q213" s="23"/>
      <c r="R213" s="23"/>
      <c r="S213" s="35">
        <f t="shared" si="82"/>
        <v>1</v>
      </c>
      <c r="T213" s="50" t="str">
        <f t="shared" si="72"/>
        <v>Southbound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https://search-rtdc-monitor-bjffxe2xuh6vdkpspy63sjmuny.us-east-1.es.amazonaws.com/_plugin/kibana/#/discover/Steve-Slow-Train-Analysis-(2080s-and-2083s)?_g=(refreshInterval:(display:Off,section:0,value:0),time:(from:'2016-11-30 03:18:56-700',mode:absolute,to:'2016-11-30 05:30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13" s="52" t="str">
        <f t="shared" si="74"/>
        <v>Y</v>
      </c>
      <c r="X213" s="177">
        <f t="shared" si="67"/>
        <v>1</v>
      </c>
      <c r="Y213" s="67">
        <f t="shared" si="75"/>
        <v>2.3193999999999999</v>
      </c>
      <c r="Z213" s="67">
        <f t="shared" si="76"/>
        <v>1.4999999999999999E-2</v>
      </c>
      <c r="AA213" s="67">
        <f t="shared" si="77"/>
        <v>2.3043999999999998</v>
      </c>
      <c r="AB213" s="64" t="e">
        <f>VLOOKUP(A213,Enforcements!$C$7:$K$20,8,0)</f>
        <v>#N/A</v>
      </c>
      <c r="AC213" s="60" t="e">
        <f>VLOOKUP(A213,Enforcements!$C$7:$E$20,3,0)</f>
        <v>#N/A</v>
      </c>
      <c r="AD213" s="61" t="str">
        <f t="shared" si="78"/>
        <v>0310-30</v>
      </c>
      <c r="AE213" s="91" t="str">
        <f t="shared" si="79"/>
        <v>aws s3 cp s3://rtdc.mdm.uploadarchive.raw/RTDC4004/ "%USERPROFILE%\AppData\Local\Temp\OnboardLogs"\RTDC4004\2016-11-30 --exclude "*" --recursive --include "*20161130*" &amp; "%USERPROFILE%\Documents\GitHub\mrs-test-scripts\Headless Mode &amp; Sideloading\WalkAndUnGZ.bat" "%USERPROFILE%\AppData\Local\Temp\OnboardLogs"\RTDC4004\2016-11-30 &amp; aws s3 cp s3://rtdc.mdm.uploadarchive.raw/RTDC4004/ "%USERPROFILE%\AppData\Local\Temp\OnboardLogs"\RTDC4004\2016-12-01 --exclude "*" --recursive --include "*20161201*" &amp; "%USERPROFILE%\Documents\GitHub\mrs-test-scripts\Headless Mode &amp; Sideloading\WalkAndUnGZ.bat" "%USERPROFILE%\AppData\Local\Temp\OnboardLogs"\RTDC4004\2016-12-01</v>
      </c>
      <c r="AF213" s="88" t="str">
        <f t="shared" si="80"/>
        <v>"C:\Program Files (x86)\AstroGrep\AstroGrep.exe" /spath="%USERPROFILE%\AppData\Local\Temp\OnboardLogs" /stypes="app*4004*20161130*" /stext=" 11:.+((SYSTEM_STATE.+slice.+state.+changed )|(ment ac)|(multiple cpu faults)|(system.+state.+changed )|(\[timeout)|(PRM\|1\|D)|(kpr)|(kdp)|(\|lc)|(penalty))" /e /r /s</v>
      </c>
      <c r="AG213" s="1" t="str">
        <f t="shared" si="81"/>
        <v>Other</v>
      </c>
      <c r="AH213" s="92" t="str">
        <f t="shared" si="68"/>
        <v>"%USERPROFILE%\Documents\GitHub\eaglep3\Utilities\RefineRTDCRunTimes.py" --tripid 310-30 --locoid 4004 --swversion DE.1.0.8.0 --startMP 300:23194 --initTime 2016-11-30T04:18:56 --startdatetime 2016-11-30T04:20:56 --delay 1 --endMP 204:150 --enddatetime 2016-11-30T04:30:02 --enforcementcount 0 &gt;&gt;C:\Users\stu\Documents\GitHub\eaglep3-reporting\EC\2016-11-30-refined-times.txt</v>
      </c>
      <c r="AI213" s="119" t="str">
        <f t="shared" si="69"/>
        <v>echo {"issue":{"subject":"","project_id":79,"tracker_id":40,"status_id":1,"priority_id":2,"assigned_to_id":23,"start_date":"2016-11-30","description":"","custom_fields":[{"id":1,"name":"Subdivision","value":"Other"},{"id":4,"name":"Milepost","value":"0.015"},{"id":17,"name":"Train ID","value":"310-30"},{"id":16,"name":"Locomotive ID","value":"4004"},{"id":130,"name":"Impact","value":""},{"id":150,"name":"Time of Event (Mountain Time)","value":"04:30:02"},{"id":151,"name":"Denver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38" x14ac:dyDescent="0.25">
      <c r="A214" s="37" t="s">
        <v>742</v>
      </c>
      <c r="B214" s="7">
        <v>4002</v>
      </c>
      <c r="C214" s="22" t="s">
        <v>212</v>
      </c>
      <c r="D214" s="22" t="s">
        <v>821</v>
      </c>
      <c r="E214" s="13">
        <v>42705.044560185182</v>
      </c>
      <c r="F214" s="13">
        <v>25568.708333333332</v>
      </c>
      <c r="G214" s="7">
        <v>1</v>
      </c>
      <c r="H214" s="22" t="s">
        <v>504</v>
      </c>
      <c r="I214" s="13">
        <v>25568.708333333332</v>
      </c>
      <c r="J214" s="7">
        <v>0</v>
      </c>
      <c r="K214" s="109" t="str">
        <f t="shared" si="70"/>
        <v>4001/4002</v>
      </c>
      <c r="L214" s="22" t="str">
        <f>VLOOKUP(A214,'Trips&amp;Operators'!$C$1:$G$99999,5,FALSE)</f>
        <v>YANAI IAN</v>
      </c>
      <c r="M214" s="6">
        <f t="shared" si="71"/>
        <v>0</v>
      </c>
      <c r="N214" s="7">
        <f t="shared" si="83"/>
        <v>0</v>
      </c>
      <c r="O214" s="7"/>
      <c r="P214" s="7"/>
      <c r="Q214" s="23"/>
      <c r="R214" s="23"/>
      <c r="S214" s="35">
        <f t="shared" si="82"/>
        <v>1</v>
      </c>
      <c r="T214" s="50" t="str">
        <f t="shared" si="72"/>
        <v>NorthBound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https://search-rtdc-monitor-bjffxe2xuh6vdkpspy63sjmuny.us-east-1.es.amazonaws.com/_plugin/kibana/#/discover/Steve-Slow-Train-Analysis-(2080s-and-2083s)?_g=(refreshInterval:(display:Off,section:0,value:0),time:(from:'2016-12-01 00:04:10-700',mode:absolute,to:'1969-12-31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14" s="52" t="str">
        <f t="shared" si="74"/>
        <v>Y</v>
      </c>
      <c r="X214" s="177">
        <f t="shared" si="67"/>
        <v>1</v>
      </c>
      <c r="Y214" s="67">
        <f t="shared" si="75"/>
        <v>5.3100000000000001E-2</v>
      </c>
      <c r="Z214" s="67">
        <f t="shared" si="76"/>
        <v>2.3302</v>
      </c>
      <c r="AA214" s="67">
        <f t="shared" si="77"/>
        <v>2.2770999999999999</v>
      </c>
      <c r="AB214" s="64" t="e">
        <f>VLOOKUP(A214,Enforcements!$C$7:$K$20,8,0)</f>
        <v>#N/A</v>
      </c>
      <c r="AC214" s="60" t="e">
        <f>VLOOKUP(A214,Enforcements!$C$7:$E$20,3,0)</f>
        <v>#N/A</v>
      </c>
      <c r="AD214" s="61" t="str">
        <f t="shared" si="78"/>
        <v>0311-30</v>
      </c>
      <c r="AE214" s="91" t="str">
        <f t="shared" si="79"/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14" s="88" t="str">
        <f t="shared" si="80"/>
        <v>"C:\Program Files (x86)\AstroGrep\AstroGrep.exe" /spath="%USERPROFILE%\AppData\Local\Temp\OnboardLogs" /stypes="app*4002*19700101*" /stext=" 00:.+((SYSTEM_STATE.+slice.+state.+changed )|(ment ac)|(multiple cpu faults)|(system.+state.+changed )|(\[timeout)|(PRM\|1\|D)|(kpr)|(kdp)|(\|lc)|(penalty))" /e /r /s</v>
      </c>
      <c r="AG214" s="1" t="str">
        <f t="shared" si="81"/>
        <v>Other</v>
      </c>
      <c r="AH214" s="92" t="str">
        <f t="shared" si="68"/>
        <v>"%USERPROFILE%\Documents\GitHub\eaglep3\Utilities\RefineRTDCRunTimes.py" --tripid 311-30 --locoid 4002 --swversion DE.1.0.8.0 --startMP 204:531 --initTime 2016-12-01T01:04:10 --startdatetime 1969-12-31T17:00:00 --delay 1 --endMP 300:23302 --enddatetime 1969-12-31T17:00:00 --enforcementcount 0 &gt;&gt;C:\Users\stu\Documents\GitHub\eaglep3-reporting\EC\2016-11-30-refined-times.txt</v>
      </c>
      <c r="AI214" s="119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ID","value":"311-30"},{"id":16,"name":"Locomotive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38" x14ac:dyDescent="0.25">
      <c r="A215" s="37" t="s">
        <v>742</v>
      </c>
      <c r="B215" s="7">
        <v>4002</v>
      </c>
      <c r="C215" s="22" t="s">
        <v>212</v>
      </c>
      <c r="D215" s="22" t="s">
        <v>822</v>
      </c>
      <c r="E215" s="13">
        <v>42705.046180555553</v>
      </c>
      <c r="F215" s="13">
        <v>25568.708333333332</v>
      </c>
      <c r="G215" s="7">
        <v>1</v>
      </c>
      <c r="H215" s="22" t="s">
        <v>504</v>
      </c>
      <c r="I215" s="13">
        <v>25568.708333333332</v>
      </c>
      <c r="J215" s="7">
        <v>0</v>
      </c>
      <c r="K215" s="109" t="str">
        <f t="shared" si="70"/>
        <v>4001/4002</v>
      </c>
      <c r="L215" s="22" t="str">
        <f>VLOOKUP(A215,'Trips&amp;Operators'!$C$1:$G$99999,5,FALSE)</f>
        <v>YANAI IAN</v>
      </c>
      <c r="M215" s="6">
        <f t="shared" si="71"/>
        <v>0</v>
      </c>
      <c r="N215" s="7">
        <f t="shared" si="83"/>
        <v>0</v>
      </c>
      <c r="O215" s="7"/>
      <c r="P215" s="7"/>
      <c r="Q215" s="23"/>
      <c r="R215" s="23"/>
      <c r="S215" s="35">
        <f t="shared" si="82"/>
        <v>1</v>
      </c>
      <c r="T215" s="50" t="str">
        <f t="shared" si="72"/>
        <v>NorthBound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https://search-rtdc-monitor-bjffxe2xuh6vdkpspy63sjmuny.us-east-1.es.amazonaws.com/_plugin/kibana/#/discover/Steve-Slow-Train-Analysis-(2080s-and-2083s)?_g=(refreshInterval:(display:Off,section:0,value:0),time:(from:'2016-12-01 00:06:30-700',mode:absolute,to:'1969-12-31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15" s="52" t="str">
        <f t="shared" si="74"/>
        <v>Y</v>
      </c>
      <c r="X215" s="177">
        <f t="shared" si="67"/>
        <v>0</v>
      </c>
      <c r="Y215" s="67">
        <f t="shared" si="75"/>
        <v>5.33E-2</v>
      </c>
      <c r="Z215" s="67">
        <f t="shared" si="76"/>
        <v>2.3302</v>
      </c>
      <c r="AA215" s="67">
        <f t="shared" si="77"/>
        <v>2.2768999999999999</v>
      </c>
      <c r="AB215" s="64" t="e">
        <f>VLOOKUP(A215,Enforcements!$C$7:$K$20,8,0)</f>
        <v>#N/A</v>
      </c>
      <c r="AC215" s="60" t="e">
        <f>VLOOKUP(A215,Enforcements!$C$7:$E$20,3,0)</f>
        <v>#N/A</v>
      </c>
      <c r="AD215" s="61" t="str">
        <f t="shared" si="78"/>
        <v>0311-30</v>
      </c>
      <c r="AE215" s="91" t="str">
        <f t="shared" si="79"/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15" s="88" t="str">
        <f t="shared" si="80"/>
        <v>"C:\Program Files (x86)\AstroGrep\AstroGrep.exe" /spath="%USERPROFILE%\AppData\Local\Temp\OnboardLogs" /stypes="app*4002*19700101*" /stext=" 00:.+((SYSTEM_STATE.+slice.+state.+changed )|(ment ac)|(multiple cpu faults)|(system.+state.+changed )|(\[timeout)|(PRM\|1\|D)|(kpr)|(kdp)|(\|lc)|(penalty))" /e /r /s</v>
      </c>
      <c r="AG215" s="1" t="str">
        <f t="shared" si="81"/>
        <v>Other</v>
      </c>
      <c r="AH215" s="92" t="str">
        <f t="shared" si="68"/>
        <v>"%USERPROFILE%\Documents\GitHub\eaglep3\Utilities\RefineRTDCRunTimes.py" --tripid 311-30 --locoid 4002 --swversion DE.1.0.8.0 --startMP 204:533 --initTime 2016-12-01T01:06:30 --startdatetime 1969-12-31T17:00:00 --delay 1 --endMP 300:23302 --enddatetime 1969-12-31T17:00:00 --enforcementcount 0 &gt;&gt;C:\Users\stu\Documents\GitHub\eaglep3-reporting\EC\2016-11-30-refined-times.txt</v>
      </c>
      <c r="AI215" s="119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ID","value":"311-30"},{"id":16,"name":"Locomotive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38" x14ac:dyDescent="0.25">
      <c r="A216" s="37" t="s">
        <v>744</v>
      </c>
      <c r="B216" s="7">
        <v>4022</v>
      </c>
      <c r="C216" s="22" t="s">
        <v>212</v>
      </c>
      <c r="D216" s="22" t="s">
        <v>757</v>
      </c>
      <c r="E216" s="13">
        <v>42705.066967592589</v>
      </c>
      <c r="F216" s="13">
        <v>25568.708333333332</v>
      </c>
      <c r="G216" s="7">
        <v>1</v>
      </c>
      <c r="H216" s="22" t="s">
        <v>823</v>
      </c>
      <c r="I216" s="13">
        <v>25568.708333333332</v>
      </c>
      <c r="J216" s="7">
        <v>0</v>
      </c>
      <c r="K216" s="109" t="str">
        <f t="shared" si="70"/>
        <v>4021/4022</v>
      </c>
      <c r="L216" s="22" t="str">
        <f>VLOOKUP(A216,'Trips&amp;Operators'!$C$1:$G$99999,5,FALSE)</f>
        <v>LEVIN SCOTT</v>
      </c>
      <c r="M216" s="6">
        <f t="shared" si="71"/>
        <v>0</v>
      </c>
      <c r="N216" s="7">
        <f t="shared" si="83"/>
        <v>0</v>
      </c>
      <c r="O216" s="7"/>
      <c r="P216" s="7"/>
      <c r="Q216" s="23"/>
      <c r="R216" s="23"/>
      <c r="S216" s="35">
        <f t="shared" si="82"/>
        <v>1</v>
      </c>
      <c r="T216" s="50" t="str">
        <f t="shared" si="72"/>
        <v>NorthBound</v>
      </c>
      <c r="U216" s="17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https://search-rtdc-monitor-bjffxe2xuh6vdkpspy63sjmuny.us-east-1.es.amazonaws.com/_plugin/kibana/#/discover/Steve-Slow-Train-Analysis-(2080s-and-2083s)?_g=(refreshInterval:(display:Off,section:0,value:0),time:(from:'2016-12-01 00:36:26-700',mode:absolute,to:'1969-12-31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16" s="52" t="str">
        <f t="shared" si="74"/>
        <v>Y</v>
      </c>
      <c r="X216" s="177">
        <f t="shared" si="67"/>
        <v>2</v>
      </c>
      <c r="Y216" s="67">
        <f t="shared" si="75"/>
        <v>4.3499999999999997E-2</v>
      </c>
      <c r="Z216" s="67">
        <f t="shared" si="76"/>
        <v>2.3346</v>
      </c>
      <c r="AA216" s="67">
        <f t="shared" si="77"/>
        <v>2.2911000000000001</v>
      </c>
      <c r="AB216" s="64" t="e">
        <f>VLOOKUP(A216,Enforcements!$C$7:$K$20,8,0)</f>
        <v>#N/A</v>
      </c>
      <c r="AC216" s="60" t="e">
        <f>VLOOKUP(A216,Enforcements!$C$7:$E$20,3,0)</f>
        <v>#N/A</v>
      </c>
      <c r="AD216" s="61" t="str">
        <f t="shared" si="78"/>
        <v>0313-30</v>
      </c>
      <c r="AE216" s="91" t="str">
        <f t="shared" si="79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16" s="88" t="str">
        <f t="shared" si="80"/>
        <v>"C:\Program Files (x86)\AstroGrep\AstroGrep.exe" /spath="%USERPROFILE%\AppData\Local\Temp\OnboardLogs" /stypes="app*4022*19700101*" /stext=" 00:.+((SYSTEM_STATE.+slice.+state.+changed )|(ment ac)|(multiple cpu faults)|(system.+state.+changed )|(\[timeout)|(PRM\|1\|D)|(kpr)|(kdp)|(\|lc)|(penalty))" /e /r /s</v>
      </c>
      <c r="AG216" s="1" t="str">
        <f t="shared" si="81"/>
        <v>Other</v>
      </c>
      <c r="AH216" s="92" t="str">
        <f t="shared" si="68"/>
        <v>"%USERPROFILE%\Documents\GitHub\eaglep3\Utilities\RefineRTDCRunTimes.py" --tripid 313-30 --locoid 4022 --swversion DE.1.0.8.0 --startMP 204:435 --initTime 2016-12-01T01:36:26 --startdatetime 1969-12-31T17:00:00 --delay 1 --endMP 300:23346 --enddatetime 1969-12-31T17:00:00 --enforcementcount 0 &gt;&gt;C:\Users\stu\Documents\GitHub\eaglep3-reporting\EC\2016-11-30-refined-times.txt</v>
      </c>
      <c r="AI216" s="119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ID","value":"313-30"},{"id":16,"name":"Locomotive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38" x14ac:dyDescent="0.25">
      <c r="A217" s="37" t="s">
        <v>744</v>
      </c>
      <c r="B217" s="7">
        <v>4022</v>
      </c>
      <c r="C217" s="22" t="s">
        <v>212</v>
      </c>
      <c r="D217" s="22" t="s">
        <v>823</v>
      </c>
      <c r="E217" s="13">
        <v>42705.066967592589</v>
      </c>
      <c r="F217" s="13">
        <v>25568.708333333332</v>
      </c>
      <c r="G217" s="7">
        <v>18</v>
      </c>
      <c r="H217" s="22" t="s">
        <v>823</v>
      </c>
      <c r="I217" s="13">
        <v>25568.708333333332</v>
      </c>
      <c r="J217" s="7">
        <v>0</v>
      </c>
      <c r="K217" s="109" t="str">
        <f t="shared" si="70"/>
        <v>4021/4022</v>
      </c>
      <c r="L217" s="22" t="str">
        <f>VLOOKUP(A217,'Trips&amp;Operators'!$C$1:$G$99999,5,FALSE)</f>
        <v>LEVIN SCOTT</v>
      </c>
      <c r="M217" s="6">
        <f t="shared" si="71"/>
        <v>0</v>
      </c>
      <c r="N217" s="7">
        <f t="shared" si="83"/>
        <v>0</v>
      </c>
      <c r="O217" s="7"/>
      <c r="P217" s="7"/>
      <c r="Q217" s="23"/>
      <c r="R217" s="23"/>
      <c r="S217" s="35">
        <f t="shared" si="82"/>
        <v>0</v>
      </c>
      <c r="T217" s="50" t="str">
        <f t="shared" si="72"/>
        <v>NorthBound</v>
      </c>
      <c r="U217" s="17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https://search-rtdc-monitor-bjffxe2xuh6vdkpspy63sjmuny.us-east-1.es.amazonaws.com/_plugin/kibana/#/discover/Steve-Slow-Train-Analysis-(2080s-and-2083s)?_g=(refreshInterval:(display:Off,section:0,value:0),time:(from:'2016-12-01 00:36:26-700',mode:absolute,to:'1969-12-31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17" s="52" t="str">
        <f t="shared" si="74"/>
        <v>Y</v>
      </c>
      <c r="X217" s="177">
        <f t="shared" si="67"/>
        <v>0</v>
      </c>
      <c r="Y217" s="67">
        <f t="shared" si="75"/>
        <v>2.3346</v>
      </c>
      <c r="Z217" s="67">
        <f t="shared" si="76"/>
        <v>2.3346</v>
      </c>
      <c r="AA217" s="67">
        <f t="shared" si="77"/>
        <v>0</v>
      </c>
      <c r="AB217" s="64" t="e">
        <f>VLOOKUP(A217,Enforcements!$C$7:$K$20,8,0)</f>
        <v>#N/A</v>
      </c>
      <c r="AC217" s="60" t="e">
        <f>VLOOKUP(A217,Enforcements!$C$7:$E$20,3,0)</f>
        <v>#N/A</v>
      </c>
      <c r="AD217" s="61" t="str">
        <f t="shared" si="78"/>
        <v>0313-30</v>
      </c>
      <c r="AE217" s="91" t="str">
        <f t="shared" si="79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17" s="88" t="str">
        <f t="shared" si="80"/>
        <v>"C:\Program Files (x86)\AstroGrep\AstroGrep.exe" /spath="%USERPROFILE%\AppData\Local\Temp\OnboardLogs" /stypes="app*4022*19700101*" /stext=" 00:.+((SYSTEM_STATE.+slice.+state.+changed )|(ment ac)|(multiple cpu faults)|(system.+state.+changed )|(\[timeout)|(PRM\|1\|D)|(kpr)|(kdp)|(\|lc)|(penalty))" /e /r /s</v>
      </c>
      <c r="AG217" s="1" t="str">
        <f t="shared" si="81"/>
        <v>Other</v>
      </c>
      <c r="AH217" s="92" t="str">
        <f t="shared" si="68"/>
        <v>"%USERPROFILE%\Documents\GitHub\eaglep3\Utilities\RefineRTDCRunTimes.py" --tripid 313-30 --locoid 4022 --swversion DE.1.0.8.0 --startMP 300:23346 --initTime 2016-12-01T01:36:26 --startdatetime 1969-12-31T17:00:00 --delay 18 --endMP 300:23346 --enddatetime 1969-12-31T17:00:00 --enforcementcount 0 &gt;&gt;C:\Users\stu\Documents\GitHub\eaglep3-reporting\EC\2016-11-30-refined-times.txt</v>
      </c>
      <c r="AI217" s="119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ID","value":"313-30"},{"id":16,"name":"Locomotive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</row>
    <row r="218" spans="1:38" x14ac:dyDescent="0.25">
      <c r="A218" s="37" t="s">
        <v>559</v>
      </c>
      <c r="B218" s="7">
        <v>4025</v>
      </c>
      <c r="C218" s="22" t="s">
        <v>212</v>
      </c>
      <c r="D218" s="22" t="s">
        <v>892</v>
      </c>
      <c r="E218" s="13">
        <v>42704.205694444441</v>
      </c>
      <c r="F218" s="13">
        <v>42704.208749999998</v>
      </c>
      <c r="G218" s="7">
        <v>4</v>
      </c>
      <c r="H218" s="22" t="s">
        <v>893</v>
      </c>
      <c r="I218" s="13">
        <v>42704.213738425926</v>
      </c>
      <c r="J218" s="7">
        <v>0</v>
      </c>
      <c r="K218" s="109" t="str">
        <f t="shared" si="70"/>
        <v>4025/4026</v>
      </c>
      <c r="L218" s="22" t="str">
        <f>VLOOKUP(A218,'Trips&amp;Operators'!$C$1:$G$99999,5,FALSE)</f>
        <v>STARKS ANGELINA</v>
      </c>
      <c r="M218" s="6">
        <f t="shared" si="71"/>
        <v>4.9884259278769605E-3</v>
      </c>
      <c r="N218" s="7">
        <f t="shared" si="83"/>
        <v>7.1833333361428231</v>
      </c>
      <c r="O218" s="7"/>
      <c r="P218" s="7"/>
      <c r="Q218" s="23"/>
      <c r="R218" s="23"/>
      <c r="S218" s="35">
        <f t="shared" si="82"/>
        <v>0</v>
      </c>
      <c r="T218" s="50" t="str">
        <f t="shared" si="72"/>
        <v>NorthBound</v>
      </c>
      <c r="U218" s="17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https://search-rtdc-monitor-bjffxe2xuh6vdkpspy63sjmuny.us-east-1.es.amazonaws.com/_plugin/kibana/#/discover/Steve-Slow-Train-Analysis-(2080s-and-2083s)?_g=(refreshInterval:(display:Off,section:0,value:0),time:(from:'2016-11-30 03:56:12-700',mode:absolute,to:'2016-11-30 06:07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18" s="52" t="str">
        <f t="shared" si="74"/>
        <v>Y</v>
      </c>
      <c r="X218" s="177">
        <f t="shared" si="67"/>
        <v>588</v>
      </c>
      <c r="Y218" s="67">
        <f t="shared" si="75"/>
        <v>2.9767000000000001</v>
      </c>
      <c r="Z218" s="67">
        <f t="shared" si="76"/>
        <v>5.8952</v>
      </c>
      <c r="AA218" s="67">
        <f t="shared" si="77"/>
        <v>2.9184999999999999</v>
      </c>
      <c r="AB218" s="64" t="e">
        <f>VLOOKUP(A218,Enforcements!$C$7:$K$20,8,0)</f>
        <v>#N/A</v>
      </c>
      <c r="AC218" s="60" t="e">
        <f>VLOOKUP(A218,Enforcements!$C$7:$E$20,3,0)</f>
        <v>#N/A</v>
      </c>
      <c r="AD218" s="61" t="str">
        <f t="shared" si="78"/>
        <v>0901-30</v>
      </c>
      <c r="AE218" s="91" t="str">
        <f t="shared" si="79"/>
        <v>aws s3 cp s3://rtdc.mdm.uploadarchive.raw/RTDC4025/ "%USERPROFILE%\AppData\Local\Temp\OnboardLogs"\RTDC4025\2016-11-30 --exclude "*" --recursive --include "*20161130*" &amp; "%USERPROFILE%\Documents\GitHub\mrs-test-scripts\Headless Mode &amp; Sideloading\WalkAndUnGZ.bat" "%USERPROFILE%\AppData\Local\Temp\OnboardLogs"\RTDC4025\2016-11-30 &amp; aws s3 cp s3://rtdc.mdm.uploadarchive.raw/RTDC4025/ "%USERPROFILE%\AppData\Local\Temp\OnboardLogs"\RTDC4025\2016-12-01 --exclude "*" --recursive --include "*20161201*" &amp; "%USERPROFILE%\Documents\GitHub\mrs-test-scripts\Headless Mode &amp; Sideloading\WalkAndUnGZ.bat" "%USERPROFILE%\AppData\Local\Temp\OnboardLogs"\RTDC4025\2016-12-01</v>
      </c>
      <c r="AF218" s="88" t="str">
        <f t="shared" si="80"/>
        <v>"C:\Program Files (x86)\AstroGrep\AstroGrep.exe" /spath="%USERPROFILE%\AppData\Local\Temp\OnboardLogs" /stypes="app*4025*20161130*" /stext=" 12:.+((SYSTEM_STATE.+slice.+state.+changed )|(ment ac)|(multiple cpu faults)|(system.+state.+changed )|(\[timeout)|(PRM\|1\|D)|(kpr)|(kdp)|(\|lc)|(penalty))" /e /r /s</v>
      </c>
      <c r="AG218" s="1" t="str">
        <f t="shared" si="81"/>
        <v>Other</v>
      </c>
      <c r="AH218" s="92" t="str">
        <f t="shared" si="68"/>
        <v>"%USERPROFILE%\Documents\GitHub\eaglep3\Utilities\RefineRTDCRunTimes.py" --tripid 901-30 --locoid 4025 --swversion DE.1.0.8.0 --startMP 300:29767 --initTime 2016-11-30T04:56:12 --startdatetime 2016-11-30T05:00:36 --delay 4 --endMP 300:58952 --enddatetime 2016-11-30T05:07:47 --enforcementcount 0 &gt;&gt;C:\Users\stu\Documents\GitHub\eaglep3-reporting\EC\2016-11-30-refined-times.txt</v>
      </c>
      <c r="AI218" s="119" t="str">
        <f t="shared" si="69"/>
        <v>echo {"issue":{"subject":"","project_id":79,"tracker_id":40,"status_id":1,"priority_id":2,"assigned_to_id":23,"start_date":"2016-11-30","description":"","custom_fields":[{"id":1,"name":"Subdivision","value":"Other"},{"id":4,"name":"Milepost","value":"5.8952"},{"id":17,"name":"Train ID","value":"901-30"},{"id":16,"name":"Locomotive ID","value":"4025"},{"id":130,"name":"Impact","value":""},{"id":150,"name":"Time of Event (Mountain Time)","value":"05:07:47"},{"id":151,"name":"Denver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38" x14ac:dyDescent="0.25">
      <c r="A219" s="37" t="s">
        <v>569</v>
      </c>
      <c r="B219" s="7">
        <v>4041</v>
      </c>
      <c r="C219" s="22" t="s">
        <v>212</v>
      </c>
      <c r="D219" s="22" t="s">
        <v>894</v>
      </c>
      <c r="E219" s="13">
        <v>42704.247349537036</v>
      </c>
      <c r="F219" s="13">
        <v>42704.248796296299</v>
      </c>
      <c r="G219" s="7">
        <v>1</v>
      </c>
      <c r="H219" s="22" t="s">
        <v>508</v>
      </c>
      <c r="I219" s="13">
        <v>42704.254178240742</v>
      </c>
      <c r="J219" s="7">
        <v>0</v>
      </c>
      <c r="K219" s="109" t="str">
        <f t="shared" si="70"/>
        <v>4041/4042</v>
      </c>
      <c r="L219" s="22" t="str">
        <f>VLOOKUP(A219,'Trips&amp;Operators'!$C$1:$G$99999,5,FALSE)</f>
        <v>GEBRETEKLE DAGNEW</v>
      </c>
      <c r="M219" s="6">
        <f t="shared" si="71"/>
        <v>5.3819444437976927E-3</v>
      </c>
      <c r="N219" s="7">
        <f t="shared" si="83"/>
        <v>7.7499999990686774</v>
      </c>
      <c r="O219" s="7"/>
      <c r="P219" s="7"/>
      <c r="Q219" s="23"/>
      <c r="R219" s="23"/>
      <c r="S219" s="35">
        <f t="shared" si="82"/>
        <v>1</v>
      </c>
      <c r="T219" s="50" t="str">
        <f t="shared" si="72"/>
        <v>Southbound</v>
      </c>
      <c r="U219" s="17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https://search-rtdc-monitor-bjffxe2xuh6vdkpspy63sjmuny.us-east-1.es.amazonaws.com/_plugin/kibana/#/discover/Steve-Slow-Train-Analysis-(2080s-and-2083s)?_g=(refreshInterval:(display:Off,section:0,value:0),time:(from:'2016-11-30 04:56:11-700',mode:absolute,to:'2016-11-30 07:06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19" s="52" t="str">
        <f t="shared" si="74"/>
        <v>Y</v>
      </c>
      <c r="X219" s="177">
        <f t="shared" si="67"/>
        <v>1</v>
      </c>
      <c r="Y219" s="67">
        <f t="shared" si="75"/>
        <v>2.3532999999999999</v>
      </c>
      <c r="Z219" s="67">
        <f t="shared" si="76"/>
        <v>6.9400000000000003E-2</v>
      </c>
      <c r="AA219" s="67">
        <f t="shared" si="77"/>
        <v>2.2839</v>
      </c>
      <c r="AB219" s="64" t="e">
        <f>VLOOKUP(A219,Enforcements!$C$7:$K$20,8,0)</f>
        <v>#N/A</v>
      </c>
      <c r="AC219" s="60" t="e">
        <f>VLOOKUP(A219,Enforcements!$C$7:$E$20,3,0)</f>
        <v>#N/A</v>
      </c>
      <c r="AD219" s="61" t="str">
        <f t="shared" si="78"/>
        <v>0902-30</v>
      </c>
      <c r="AE219" s="91" t="str">
        <f t="shared" si="79"/>
        <v>aws s3 cp s3://rtdc.mdm.uploadarchive.raw/RTDC4041/ "%USERPROFILE%\AppData\Local\Temp\OnboardLogs"\RTDC4041\2016-11-30 --exclude "*" --recursive --include "*20161130*" &amp; "%USERPROFILE%\Documents\GitHub\mrs-test-scripts\Headless Mode &amp; Sideloading\WalkAndUnGZ.bat" "%USERPROFILE%\AppData\Local\Temp\OnboardLogs"\RTDC4041\2016-11-30 &amp; aws s3 cp s3://rtdc.mdm.uploadarchive.raw/RTDC4041/ "%USERPROFILE%\AppData\Local\Temp\OnboardLogs"\RTDC4041\2016-12-01 --exclude "*" --recursive --include "*20161201*" &amp; "%USERPROFILE%\Documents\GitHub\mrs-test-scripts\Headless Mode &amp; Sideloading\WalkAndUnGZ.bat" "%USERPROFILE%\AppData\Local\Temp\OnboardLogs"\RTDC4041\2016-12-01</v>
      </c>
      <c r="AF219" s="88" t="str">
        <f t="shared" si="80"/>
        <v>"C:\Program Files (x86)\AstroGrep\AstroGrep.exe" /spath="%USERPROFILE%\AppData\Local\Temp\OnboardLogs" /stypes="app*4041*20161130*" /stext=" 13:.+((SYSTEM_STATE.+slice.+state.+changed )|(ment ac)|(multiple cpu faults)|(system.+state.+changed )|(\[timeout)|(PRM\|1\|D)|(kpr)|(kdp)|(\|lc)|(penalty))" /e /r /s</v>
      </c>
      <c r="AG219" s="1" t="str">
        <f t="shared" si="81"/>
        <v>Other</v>
      </c>
      <c r="AH219" s="92" t="str">
        <f t="shared" si="68"/>
        <v>"%USERPROFILE%\Documents\GitHub\eaglep3\Utilities\RefineRTDCRunTimes.py" --tripid 902-30 --locoid 4041 --swversion DE.1.0.8.0 --startMP 300:23533 --initTime 2016-11-30T05:56:11 --startdatetime 2016-11-30T05:58:16 --delay 1 --endMP 204:694 --enddatetime 2016-11-30T06:06:01 --enforcementcount 0 &gt;&gt;C:\Users\stu\Documents\GitHub\eaglep3-reporting\EC\2016-11-30-refined-times.txt</v>
      </c>
      <c r="AI219" s="119" t="str">
        <f t="shared" si="69"/>
        <v>echo {"issue":{"subject":"","project_id":79,"tracker_id":40,"status_id":1,"priority_id":2,"assigned_to_id":23,"start_date":"2016-11-30","description":"","custom_fields":[{"id":1,"name":"Subdivision","value":"Other"},{"id":4,"name":"Milepost","value":"0.0694"},{"id":17,"name":"Train ID","value":"902-30"},{"id":16,"name":"Locomotive ID","value":"4041"},{"id":130,"name":"Impact","value":""},{"id":150,"name":"Time of Event (Mountain Time)","value":"06:06:01"},{"id":151,"name":"Denver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</row>
    <row r="220" spans="1:38" x14ac:dyDescent="0.25">
      <c r="A220" s="37" t="s">
        <v>595</v>
      </c>
      <c r="B220" s="7">
        <v>4025</v>
      </c>
      <c r="C220" s="22" t="s">
        <v>212</v>
      </c>
      <c r="D220" s="22" t="s">
        <v>895</v>
      </c>
      <c r="E220" s="13">
        <v>42704.356030092589</v>
      </c>
      <c r="F220" s="13">
        <v>42704.358611111114</v>
      </c>
      <c r="G220" s="7">
        <v>1</v>
      </c>
      <c r="H220" s="22" t="s">
        <v>896</v>
      </c>
      <c r="I220" s="13">
        <v>42704.364131944443</v>
      </c>
      <c r="J220" s="7">
        <v>0</v>
      </c>
      <c r="K220" s="109" t="str">
        <f t="shared" si="70"/>
        <v>4025/4026</v>
      </c>
      <c r="L220" s="22" t="str">
        <f>VLOOKUP(A220,'Trips&amp;Operators'!$C$1:$G$99999,5,FALSE)</f>
        <v>STARKS ANGELINA</v>
      </c>
      <c r="M220" s="6">
        <f t="shared" si="71"/>
        <v>5.5208333287737332E-3</v>
      </c>
      <c r="N220" s="7">
        <f t="shared" si="83"/>
        <v>7.9499999934341758</v>
      </c>
      <c r="O220" s="7"/>
      <c r="P220" s="7"/>
      <c r="Q220" s="23"/>
      <c r="R220" s="23"/>
      <c r="S220" s="35">
        <f t="shared" si="82"/>
        <v>1</v>
      </c>
      <c r="T220" s="50" t="str">
        <f t="shared" si="72"/>
        <v>NorthBound</v>
      </c>
      <c r="U220" s="17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https://search-rtdc-monitor-bjffxe2xuh6vdkpspy63sjmuny.us-east-1.es.amazonaws.com/_plugin/kibana/#/discover/Steve-Slow-Train-Analysis-(2080s-and-2083s)?_g=(refreshInterval:(display:Off,section:0,value:0),time:(from:'2016-11-30 07:32:41-700',mode:absolute,to:'2016-11-30 09:44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20" s="52" t="str">
        <f t="shared" si="74"/>
        <v>Y</v>
      </c>
      <c r="X220" s="177">
        <f t="shared" si="67"/>
        <v>1</v>
      </c>
      <c r="Y220" s="67">
        <f t="shared" si="75"/>
        <v>9.3899999999999997E-2</v>
      </c>
      <c r="Z220" s="67">
        <f t="shared" si="76"/>
        <v>2.4270999999999998</v>
      </c>
      <c r="AA220" s="67">
        <f t="shared" si="77"/>
        <v>2.3331999999999997</v>
      </c>
      <c r="AB220" s="64" t="e">
        <f>VLOOKUP(A220,Enforcements!$C$7:$K$20,8,0)</f>
        <v>#N/A</v>
      </c>
      <c r="AC220" s="60" t="e">
        <f>VLOOKUP(A220,Enforcements!$C$7:$E$20,3,0)</f>
        <v>#N/A</v>
      </c>
      <c r="AD220" s="61" t="str">
        <f t="shared" si="78"/>
        <v>0903-30</v>
      </c>
      <c r="AE220" s="91" t="str">
        <f t="shared" si="79"/>
        <v>aws s3 cp s3://rtdc.mdm.uploadarchive.raw/RTDC4025/ "%USERPROFILE%\AppData\Local\Temp\OnboardLogs"\RTDC4025\2016-11-30 --exclude "*" --recursive --include "*20161130*" &amp; "%USERPROFILE%\Documents\GitHub\mrs-test-scripts\Headless Mode &amp; Sideloading\WalkAndUnGZ.bat" "%USERPROFILE%\AppData\Local\Temp\OnboardLogs"\RTDC4025\2016-11-30 &amp; aws s3 cp s3://rtdc.mdm.uploadarchive.raw/RTDC4025/ "%USERPROFILE%\AppData\Local\Temp\OnboardLogs"\RTDC4025\2016-12-01 --exclude "*" --recursive --include "*20161201*" &amp; "%USERPROFILE%\Documents\GitHub\mrs-test-scripts\Headless Mode &amp; Sideloading\WalkAndUnGZ.bat" "%USERPROFILE%\AppData\Local\Temp\OnboardLogs"\RTDC4025\2016-12-01</v>
      </c>
      <c r="AF220" s="88" t="str">
        <f t="shared" si="80"/>
        <v>"C:\Program Files (x86)\AstroGrep\AstroGrep.exe" /spath="%USERPROFILE%\AppData\Local\Temp\OnboardLogs" /stypes="app*4025*20161130*" /stext=" 15:.+((SYSTEM_STATE.+slice.+state.+changed )|(ment ac)|(multiple cpu faults)|(system.+state.+changed )|(\[timeout)|(PRM\|1\|D)|(kpr)|(kdp)|(\|lc)|(penalty))" /e /r /s</v>
      </c>
      <c r="AG220" s="1" t="str">
        <f t="shared" si="81"/>
        <v>Other</v>
      </c>
      <c r="AH220" s="92" t="str">
        <f t="shared" si="68"/>
        <v>"%USERPROFILE%\Documents\GitHub\eaglep3\Utilities\RefineRTDCRunTimes.py" --tripid 903-30 --locoid 4025 --swversion DE.1.0.8.0 --startMP 204:939 --initTime 2016-11-30T08:32:41 --startdatetime 2016-11-30T08:36:24 --delay 1 --endMP 300:24271 --enddatetime 2016-11-30T08:44:21 --enforcementcount 0 &gt;&gt;C:\Users\stu\Documents\GitHub\eaglep3-reporting\EC\2016-11-30-refined-times.txt</v>
      </c>
      <c r="AI220" s="119" t="str">
        <f t="shared" si="69"/>
        <v>echo {"issue":{"subject":"","project_id":79,"tracker_id":40,"status_id":1,"priority_id":2,"assigned_to_id":23,"start_date":"2016-11-30","description":"","custom_fields":[{"id":1,"name":"Subdivision","value":"Other"},{"id":4,"name":"Milepost","value":"2.4271"},{"id":17,"name":"Train ID","value":"903-30"},{"id":16,"name":"Locomotive ID","value":"4025"},{"id":130,"name":"Impact","value":""},{"id":150,"name":"Time of Event (Mountain Time)","value":"08:44:21"},{"id":151,"name":"Denver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</row>
    <row r="221" spans="1:38" x14ac:dyDescent="0.25">
      <c r="A221" s="37" t="s">
        <v>658</v>
      </c>
      <c r="B221" s="7">
        <v>4026</v>
      </c>
      <c r="C221" s="22" t="s">
        <v>212</v>
      </c>
      <c r="D221" s="22" t="s">
        <v>897</v>
      </c>
      <c r="E221" s="13">
        <v>42704.640972222223</v>
      </c>
      <c r="F221" s="13">
        <v>42704.642106481479</v>
      </c>
      <c r="G221" s="7">
        <v>1</v>
      </c>
      <c r="H221" s="22" t="s">
        <v>356</v>
      </c>
      <c r="I221" s="13">
        <v>42704.648148148146</v>
      </c>
      <c r="J221" s="7">
        <v>0</v>
      </c>
      <c r="K221" s="109" t="str">
        <f t="shared" si="70"/>
        <v>4025/4026</v>
      </c>
      <c r="L221" s="22" t="str">
        <f>VLOOKUP(A221,'Trips&amp;Operators'!$C$1:$G$99999,5,FALSE)</f>
        <v>LEVERE CRAIG</v>
      </c>
      <c r="M221" s="6">
        <f t="shared" si="71"/>
        <v>6.0416666674427688E-3</v>
      </c>
      <c r="N221" s="7">
        <f t="shared" si="83"/>
        <v>8.7000000011175871</v>
      </c>
      <c r="O221" s="7"/>
      <c r="P221" s="7"/>
      <c r="Q221" s="23"/>
      <c r="R221" s="23"/>
      <c r="S221" s="35">
        <f t="shared" si="82"/>
        <v>1</v>
      </c>
      <c r="T221" s="50" t="str">
        <f t="shared" si="72"/>
        <v>Southbound</v>
      </c>
      <c r="U221" s="17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https://search-rtdc-monitor-bjffxe2xuh6vdkpspy63sjmuny.us-east-1.es.amazonaws.com/_plugin/kibana/#/discover/Steve-Slow-Train-Analysis-(2080s-and-2083s)?_g=(refreshInterval:(display:Off,section:0,value:0),time:(from:'2016-11-30 14:23:00-700',mode:absolute,to:'2016-11-30 16:33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21" s="52" t="str">
        <f t="shared" si="74"/>
        <v>Y</v>
      </c>
      <c r="X221" s="177">
        <f t="shared" si="67"/>
        <v>1</v>
      </c>
      <c r="Y221" s="67">
        <f t="shared" si="75"/>
        <v>2.3319000000000001</v>
      </c>
      <c r="Z221" s="67">
        <f t="shared" si="76"/>
        <v>6.9099999999999995E-2</v>
      </c>
      <c r="AA221" s="67">
        <f t="shared" si="77"/>
        <v>2.2627999999999999</v>
      </c>
      <c r="AB221" s="64" t="e">
        <f>VLOOKUP(A221,Enforcements!$C$7:$K$20,8,0)</f>
        <v>#N/A</v>
      </c>
      <c r="AC221" s="60" t="e">
        <f>VLOOKUP(A221,Enforcements!$C$7:$E$20,3,0)</f>
        <v>#N/A</v>
      </c>
      <c r="AD221" s="61" t="str">
        <f t="shared" si="78"/>
        <v>0904-30</v>
      </c>
      <c r="AE221" s="91" t="str">
        <f t="shared" si="79"/>
        <v>aws s3 cp s3://rtdc.mdm.uploadarchive.raw/RTDC4026/ "%USERPROFILE%\AppData\Local\Temp\OnboardLogs"\RTDC4026\2016-11-30 --exclude "*" --recursive --include "*20161130*" &amp; "%USERPROFILE%\Documents\GitHub\mrs-test-scripts\Headless Mode &amp; Sideloading\WalkAndUnGZ.bat" "%USERPROFILE%\AppData\Local\Temp\OnboardLogs"\RTDC4026\2016-11-30 &amp; aws s3 cp s3://rtdc.mdm.uploadarchive.raw/RTDC4026/ "%USERPROFILE%\AppData\Local\Temp\OnboardLogs"\RTDC4026\2016-12-01 --exclude "*" --recursive --include "*20161201*" &amp; "%USERPROFILE%\Documents\GitHub\mrs-test-scripts\Headless Mode &amp; Sideloading\WalkAndUnGZ.bat" "%USERPROFILE%\AppData\Local\Temp\OnboardLogs"\RTDC4026\2016-12-01</v>
      </c>
      <c r="AF221" s="88" t="str">
        <f t="shared" si="80"/>
        <v>"C:\Program Files (x86)\AstroGrep\AstroGrep.exe" /spath="%USERPROFILE%\AppData\Local\Temp\OnboardLogs" /stypes="app*4026*20161130*" /stext=" 22:.+((SYSTEM_STATE.+slice.+state.+changed )|(ment ac)|(multiple cpu faults)|(system.+state.+changed )|(\[timeout)|(PRM\|1\|D)|(kpr)|(kdp)|(\|lc)|(penalty))" /e /r /s</v>
      </c>
      <c r="AG221" s="1" t="str">
        <f t="shared" si="81"/>
        <v>Other</v>
      </c>
      <c r="AH221" s="92" t="str">
        <f t="shared" si="68"/>
        <v>"%USERPROFILE%\Documents\GitHub\eaglep3\Utilities\RefineRTDCRunTimes.py" --tripid 904-30 --locoid 4026 --swversion DE.1.0.8.0 --startMP 300:23319 --initTime 2016-11-30T15:23:00 --startdatetime 2016-11-30T15:24:38 --delay 1 --endMP 204:691 --enddatetime 2016-11-30T15:33:20 --enforcementcount 0 &gt;&gt;C:\Users\stu\Documents\GitHub\eaglep3-reporting\EC\2016-11-30-refined-times.txt</v>
      </c>
      <c r="AI221" s="119" t="str">
        <f t="shared" si="69"/>
        <v>echo {"issue":{"subject":"","project_id":79,"tracker_id":40,"status_id":1,"priority_id":2,"assigned_to_id":23,"start_date":"2016-11-30","description":"","custom_fields":[{"id":1,"name":"Subdivision","value":"Other"},{"id":4,"name":"Milepost","value":"0.0691"},{"id":17,"name":"Train ID","value":"904-30"},{"id":16,"name":"Locomotive ID","value":"4026"},{"id":130,"name":"Impact","value":""},{"id":150,"name":"Time of Event (Mountain Time)","value":"15:33:20"},{"id":151,"name":"Denver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</row>
    <row r="222" spans="1:38" x14ac:dyDescent="0.25">
      <c r="A222" s="37" t="s">
        <v>708</v>
      </c>
      <c r="B222" s="7">
        <v>4026</v>
      </c>
      <c r="C222" s="22" t="s">
        <v>212</v>
      </c>
      <c r="D222" s="22" t="s">
        <v>511</v>
      </c>
      <c r="E222" s="13">
        <v>42704.797025462962</v>
      </c>
      <c r="F222" s="13">
        <v>42704.798472222225</v>
      </c>
      <c r="G222" s="7">
        <v>1</v>
      </c>
      <c r="H222" s="22" t="s">
        <v>898</v>
      </c>
      <c r="I222" s="13">
        <v>42704.803715277776</v>
      </c>
      <c r="J222" s="7">
        <v>0</v>
      </c>
      <c r="K222" s="109" t="str">
        <f t="shared" si="70"/>
        <v>4025/4026</v>
      </c>
      <c r="L222" s="22" t="str">
        <f>VLOOKUP(A222,'Trips&amp;Operators'!$C$1:$G$99999,5,FALSE)</f>
        <v>LEVERE CRAIG</v>
      </c>
      <c r="M222" s="6">
        <f t="shared" si="71"/>
        <v>5.2430555515456945E-3</v>
      </c>
      <c r="N222" s="7">
        <f t="shared" si="83"/>
        <v>7.5499999942258</v>
      </c>
      <c r="O222" s="7"/>
      <c r="P222" s="7"/>
      <c r="Q222" s="23"/>
      <c r="R222" s="23"/>
      <c r="S222" s="35">
        <f t="shared" si="82"/>
        <v>0</v>
      </c>
      <c r="T222" s="50" t="str">
        <f t="shared" si="72"/>
        <v>Southbound</v>
      </c>
      <c r="U222" s="17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https://search-rtdc-monitor-bjffxe2xuh6vdkpspy63sjmuny.us-east-1.es.amazonaws.com/_plugin/kibana/#/discover/Steve-Slow-Train-Analysis-(2080s-and-2083s)?_g=(refreshInterval:(display:Off,section:0,value:0),time:(from:'2016-11-30 18:07:43-700',mode:absolute,to:'2016-11-30 20:17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22" s="52" t="str">
        <f t="shared" si="74"/>
        <v>Y</v>
      </c>
      <c r="X222" s="177">
        <f t="shared" si="67"/>
        <v>2</v>
      </c>
      <c r="Y222" s="67">
        <f t="shared" si="75"/>
        <v>5.8647</v>
      </c>
      <c r="Z222" s="67">
        <f t="shared" si="76"/>
        <v>2.8757000000000001</v>
      </c>
      <c r="AA222" s="67">
        <f t="shared" si="77"/>
        <v>2.9889999999999999</v>
      </c>
      <c r="AB222" s="64" t="e">
        <f>VLOOKUP(A222,Enforcements!$C$7:$K$20,8,0)</f>
        <v>#N/A</v>
      </c>
      <c r="AC222" s="60" t="e">
        <f>VLOOKUP(A222,Enforcements!$C$7:$E$20,3,0)</f>
        <v>#N/A</v>
      </c>
      <c r="AD222" s="61" t="str">
        <f t="shared" si="78"/>
        <v>0906-30</v>
      </c>
      <c r="AE222" s="91" t="str">
        <f t="shared" si="79"/>
        <v>aws s3 cp s3://rtdc.mdm.uploadarchive.raw/RTDC4026/ "%USERPROFILE%\AppData\Local\Temp\OnboardLogs"\RTDC4026\2016-11-30 --exclude "*" --recursive --include "*20161130*" &amp; "%USERPROFILE%\Documents\GitHub\mrs-test-scripts\Headless Mode &amp; Sideloading\WalkAndUnGZ.bat" "%USERPROFILE%\AppData\Local\Temp\OnboardLogs"\RTDC4026\2016-11-30 &amp; aws s3 cp s3://rtdc.mdm.uploadarchive.raw/RTDC4026/ "%USERPROFILE%\AppData\Local\Temp\OnboardLogs"\RTDC4026\2016-12-01 --exclude "*" --recursive --include "*20161201*" &amp; "%USERPROFILE%\Documents\GitHub\mrs-test-scripts\Headless Mode &amp; Sideloading\WalkAndUnGZ.bat" "%USERPROFILE%\AppData\Local\Temp\OnboardLogs"\RTDC4026\2016-12-01</v>
      </c>
      <c r="AF222" s="88" t="str">
        <f t="shared" si="80"/>
        <v>"C:\Program Files (x86)\AstroGrep\AstroGrep.exe" /spath="%USERPROFILE%\AppData\Local\Temp\OnboardLogs" /stypes="app*4026*20161201*" /stext=" 02:.+((SYSTEM_STATE.+slice.+state.+changed )|(ment ac)|(multiple cpu faults)|(system.+state.+changed )|(\[timeout)|(PRM\|1\|D)|(kpr)|(kdp)|(\|lc)|(penalty))" /e /r /s</v>
      </c>
      <c r="AG222" s="1" t="str">
        <f t="shared" si="81"/>
        <v>Other</v>
      </c>
      <c r="AH222" s="92" t="str">
        <f t="shared" si="68"/>
        <v>"%USERPROFILE%\Documents\GitHub\eaglep3\Utilities\RefineRTDCRunTimes.py" --tripid 906-30 --locoid 4026 --swversion DE.1.0.8.0 --startMP 300:58647 --initTime 2016-11-30T19:07:43 --startdatetime 2016-11-30T19:09:48 --delay 1 --endMP 300:28757 --enddatetime 2016-11-30T19:17:21 --enforcementcount 0 &gt;&gt;C:\Users\stu\Documents\GitHub\eaglep3-reporting\EC\2016-11-30-refined-times.txt</v>
      </c>
      <c r="AI222" s="119" t="str">
        <f t="shared" si="69"/>
        <v>echo {"issue":{"subject":"","project_id":79,"tracker_id":40,"status_id":1,"priority_id":2,"assigned_to_id":23,"start_date":"2016-11-30","description":"","custom_fields":[{"id":1,"name":"Subdivision","value":"Other"},{"id":4,"name":"Milepost","value":"2.8757"},{"id":17,"name":"Train ID","value":"906-30"},{"id":16,"name":"Locomotive ID","value":"4026"},{"id":130,"name":"Impact","value":""},{"id":150,"name":"Time of Event (Mountain Time)","value":"19:17:21"},{"id":151,"name":"Denver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</row>
    <row r="223" spans="1:38" x14ac:dyDescent="0.25">
      <c r="A223" s="37" t="s">
        <v>732</v>
      </c>
      <c r="B223" s="7">
        <v>4041</v>
      </c>
      <c r="C223" s="22" t="s">
        <v>212</v>
      </c>
      <c r="D223" s="22" t="s">
        <v>899</v>
      </c>
      <c r="E223" s="13">
        <v>42704.943043981482</v>
      </c>
      <c r="F223" s="13">
        <v>42704.94458333333</v>
      </c>
      <c r="G223" s="7">
        <v>1</v>
      </c>
      <c r="H223" s="22" t="s">
        <v>900</v>
      </c>
      <c r="I223" s="13">
        <v>42704.949699074074</v>
      </c>
      <c r="J223" s="7">
        <v>0</v>
      </c>
      <c r="K223" s="109" t="str">
        <f t="shared" si="70"/>
        <v>4041/4042</v>
      </c>
      <c r="L223" s="22" t="str">
        <f>VLOOKUP(A223,'Trips&amp;Operators'!$C$1:$G$99999,5,FALSE)</f>
        <v>LEVERE CRAIG</v>
      </c>
      <c r="M223" s="6">
        <f t="shared" si="71"/>
        <v>5.1157407433493063E-3</v>
      </c>
      <c r="N223" s="7">
        <f t="shared" si="83"/>
        <v>7.3666666704230011</v>
      </c>
      <c r="O223" s="7"/>
      <c r="P223" s="7"/>
      <c r="Q223" s="23"/>
      <c r="R223" s="23"/>
      <c r="S223" s="35">
        <f t="shared" si="82"/>
        <v>0</v>
      </c>
      <c r="T223" s="50" t="str">
        <f t="shared" si="72"/>
        <v>Southbound</v>
      </c>
      <c r="U223" s="17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https://search-rtdc-monitor-bjffxe2xuh6vdkpspy63sjmuny.us-east-1.es.amazonaws.com/_plugin/kibana/#/discover/Steve-Slow-Train-Analysis-(2080s-and-2083s)?_g=(refreshInterval:(display:Off,section:0,value:0),time:(from:'2016-11-30 21:37:59-700',mode:absolute,to:'2016-11-30 23:47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23" s="52" t="str">
        <f t="shared" si="74"/>
        <v>Y</v>
      </c>
      <c r="X223" s="177">
        <f t="shared" si="67"/>
        <v>2</v>
      </c>
      <c r="Y223" s="67">
        <f t="shared" si="75"/>
        <v>5.8662000000000001</v>
      </c>
      <c r="Z223" s="67">
        <f t="shared" si="76"/>
        <v>2.1852</v>
      </c>
      <c r="AA223" s="67">
        <f t="shared" si="77"/>
        <v>3.681</v>
      </c>
      <c r="AB223" s="64" t="e">
        <f>VLOOKUP(A223,Enforcements!$C$7:$K$20,8,0)</f>
        <v>#N/A</v>
      </c>
      <c r="AC223" s="60" t="e">
        <f>VLOOKUP(A223,Enforcements!$C$7:$E$20,3,0)</f>
        <v>#N/A</v>
      </c>
      <c r="AD223" s="61" t="str">
        <f t="shared" si="78"/>
        <v>0908-30</v>
      </c>
      <c r="AE223" s="91" t="str">
        <f t="shared" si="79"/>
        <v>aws s3 cp s3://rtdc.mdm.uploadarchive.raw/RTDC4041/ "%USERPROFILE%\AppData\Local\Temp\OnboardLogs"\RTDC4041\2016-11-30 --exclude "*" --recursive --include "*20161130*" &amp; "%USERPROFILE%\Documents\GitHub\mrs-test-scripts\Headless Mode &amp; Sideloading\WalkAndUnGZ.bat" "%USERPROFILE%\AppData\Local\Temp\OnboardLogs"\RTDC4041\2016-11-30 &amp; aws s3 cp s3://rtdc.mdm.uploadarchive.raw/RTDC4041/ "%USERPROFILE%\AppData\Local\Temp\OnboardLogs"\RTDC4041\2016-12-01 --exclude "*" --recursive --include "*20161201*" &amp; "%USERPROFILE%\Documents\GitHub\mrs-test-scripts\Headless Mode &amp; Sideloading\WalkAndUnGZ.bat" "%USERPROFILE%\AppData\Local\Temp\OnboardLogs"\RTDC4041\2016-12-01</v>
      </c>
      <c r="AF223" s="88" t="str">
        <f t="shared" si="80"/>
        <v>"C:\Program Files (x86)\AstroGrep\AstroGrep.exe" /spath="%USERPROFILE%\AppData\Local\Temp\OnboardLogs" /stypes="app*4041*20161201*" /stext=" 05:.+((SYSTEM_STATE.+slice.+state.+changed )|(ment ac)|(multiple cpu faults)|(system.+state.+changed )|(\[timeout)|(PRM\|1\|D)|(kpr)|(kdp)|(\|lc)|(penalty))" /e /r /s</v>
      </c>
      <c r="AG223" s="1" t="str">
        <f t="shared" si="81"/>
        <v>Other</v>
      </c>
      <c r="AH223" s="92" t="str">
        <f t="shared" si="68"/>
        <v>"%USERPROFILE%\Documents\GitHub\eaglep3\Utilities\RefineRTDCRunTimes.py" --tripid 908-30 --locoid 4041 --swversion DE.1.0.8.0 --startMP 300:58662 --initTime 2016-11-30T22:37:59 --startdatetime 2016-11-30T22:40:12 --delay 1 --endMP 300:21852 --enddatetime 2016-11-30T22:47:34 --enforcementcount 0 &gt;&gt;C:\Users\stu\Documents\GitHub\eaglep3-reporting\EC\2016-11-30-refined-times.txt</v>
      </c>
      <c r="AI223" s="119" t="str">
        <f t="shared" si="69"/>
        <v>echo {"issue":{"subject":"","project_id":79,"tracker_id":40,"status_id":1,"priority_id":2,"assigned_to_id":23,"start_date":"2016-11-30","description":"","custom_fields":[{"id":1,"name":"Subdivision","value":"Other"},{"id":4,"name":"Milepost","value":"2.1852"},{"id":17,"name":"Train ID","value":"908-30"},{"id":16,"name":"Locomotive ID","value":"4041"},{"id":130,"name":"Impact","value":""},{"id":150,"name":"Time of Event (Mountain Time)","value":"22:47:34"},{"id":151,"name":"Denver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38" x14ac:dyDescent="0.25">
      <c r="A224" s="37" t="s">
        <v>533</v>
      </c>
      <c r="B224" s="7">
        <v>4030</v>
      </c>
      <c r="C224" s="22" t="s">
        <v>212</v>
      </c>
      <c r="D224" s="22" t="s">
        <v>824</v>
      </c>
      <c r="E224" s="13">
        <v>42704.436620370368</v>
      </c>
      <c r="F224" s="13">
        <v>42704.437696759262</v>
      </c>
      <c r="G224" s="7">
        <v>1</v>
      </c>
      <c r="H224" s="22" t="s">
        <v>825</v>
      </c>
      <c r="I224" s="13">
        <v>42704.442800925928</v>
      </c>
      <c r="J224" s="7">
        <v>0</v>
      </c>
      <c r="K224" s="109" t="str">
        <f t="shared" si="70"/>
        <v>4029/4030</v>
      </c>
      <c r="L224" s="22" t="str">
        <f>VLOOKUP(A224,'Trips&amp;Operators'!$C$1:$G$99999,5,FALSE)</f>
        <v>BARTLETT KIANDRA</v>
      </c>
      <c r="M224" s="6">
        <f t="shared" si="71"/>
        <v>5.1041666665696539E-3</v>
      </c>
      <c r="N224" s="7">
        <f t="shared" si="83"/>
        <v>7.3499999998603016</v>
      </c>
      <c r="O224" s="7"/>
      <c r="P224" s="7"/>
      <c r="Q224" s="23"/>
      <c r="R224" s="23"/>
      <c r="S224" s="35">
        <f t="shared" si="82"/>
        <v>0</v>
      </c>
      <c r="T224" s="50" t="e">
        <f t="shared" si="72"/>
        <v>#VALUE!</v>
      </c>
      <c r="U224" s="17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https://search-rtdc-monitor-bjffxe2xuh6vdkpspy63sjmuny.us-east-1.es.amazonaws.com/_plugin/kibana/#/discover/Steve-Slow-Train-Analysis-(2080s-and-2083s)?_g=(refreshInterval:(display:Off,section:0,value:0),time:(from:'2016-11-30 09:28:44-700',mode:absolute,to:'2016-11-30 11:37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24" s="52" t="str">
        <f t="shared" si="74"/>
        <v>Y</v>
      </c>
      <c r="X224" s="177" t="e">
        <f t="shared" si="67"/>
        <v>#VALUE!</v>
      </c>
      <c r="Y224" s="67">
        <f t="shared" si="75"/>
        <v>2.2115</v>
      </c>
      <c r="Z224" s="67">
        <f t="shared" si="76"/>
        <v>9.2999999999999992E-3</v>
      </c>
      <c r="AA224" s="67">
        <f t="shared" si="77"/>
        <v>2.2021999999999999</v>
      </c>
      <c r="AB224" s="64" t="e">
        <f>VLOOKUP(A224,Enforcements!$C$7:$K$20,8,0)</f>
        <v>#N/A</v>
      </c>
      <c r="AC224" s="60" t="e">
        <f>VLOOKUP(A224,Enforcements!$C$7:$E$20,3,0)</f>
        <v>#N/A</v>
      </c>
      <c r="AD224" s="61" t="str">
        <f t="shared" si="78"/>
        <v>50-30</v>
      </c>
      <c r="AE224" s="91" t="str">
        <f t="shared" si="79"/>
        <v>aws s3 cp s3://rtdc.mdm.uploadarchive.raw/RTDC4030/ "%USERPROFILE%\AppData\Local\Temp\OnboardLogs"\RTDC4030\2016-11-30 --exclude "*" --recursive --include "*20161130*" &amp; "%USERPROFILE%\Documents\GitHub\mrs-test-scripts\Headless Mode &amp; Sideloading\WalkAndUnGZ.bat" "%USERPROFILE%\AppData\Local\Temp\OnboardLogs"\RTDC4030\2016-11-30 &amp; aws s3 cp s3://rtdc.mdm.uploadarchive.raw/RTDC4030/ "%USERPROFILE%\AppData\Local\Temp\OnboardLogs"\RTDC4030\2016-12-01 --exclude "*" --recursive --include "*20161201*" &amp; "%USERPROFILE%\Documents\GitHub\mrs-test-scripts\Headless Mode &amp; Sideloading\WalkAndUnGZ.bat" "%USERPROFILE%\AppData\Local\Temp\OnboardLogs"\RTDC4030\2016-12-01</v>
      </c>
      <c r="AF224" s="88" t="str">
        <f t="shared" si="80"/>
        <v>"C:\Program Files (x86)\AstroGrep\AstroGrep.exe" /spath="%USERPROFILE%\AppData\Local\Temp\OnboardLogs" /stypes="app*4030*20161130*" /stext=" 17:.+((SYSTEM_STATE.+slice.+state.+changed )|(ment ac)|(multiple cpu faults)|(system.+state.+changed )|(\[timeout)|(PRM\|1\|D)|(kpr)|(kdp)|(\|lc)|(penalty))" /e /r /s</v>
      </c>
      <c r="AG224" s="1" t="str">
        <f t="shared" si="81"/>
        <v>Other</v>
      </c>
      <c r="AH224" s="92" t="str">
        <f t="shared" si="68"/>
        <v>"%USERPROFILE%\Documents\GitHub\eaglep3\Utilities\RefineRTDCRunTimes.py" --tripid 50-30 --locoid 4030 --swversion DE.1.0.8.0 --startMP 300:22115 --initTime 2016-11-30T10:28:44 --startdatetime 2016-11-30T10:30:17 --delay 1 --endMP 204:93 --enddatetime 2016-11-30T10:37:38 --enforcementcount 0 &gt;&gt;C:\Users\stu\Documents\GitHub\eaglep3-reporting\EC\2016-11-30-refined-times.txt</v>
      </c>
      <c r="AI224" s="119" t="str">
        <f t="shared" si="69"/>
        <v>echo {"issue":{"subject":"","project_id":79,"tracker_id":40,"status_id":1,"priority_id":2,"assigned_to_id":23,"start_date":"2016-11-30","description":"","custom_fields":[{"id":1,"name":"Subdivision","value":"Other"},{"id":4,"name":"Milepost","value":"0.0093"},{"id":17,"name":"Train ID","value":"50-30"},{"id":16,"name":"Locomotive ID","value":"4030"},{"id":130,"name":"Impact","value":""},{"id":150,"name":"Time of Event (Mountain Time)","value":"10:37:38"},{"id":151,"name":"Denver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</row>
    <row r="225" spans="1:38" x14ac:dyDescent="0.25">
      <c r="A225" s="37" t="s">
        <v>617</v>
      </c>
      <c r="B225" s="7">
        <v>4008</v>
      </c>
      <c r="C225" s="22" t="s">
        <v>212</v>
      </c>
      <c r="D225" s="22" t="s">
        <v>826</v>
      </c>
      <c r="E225" s="13">
        <v>42704.454525462963</v>
      </c>
      <c r="F225" s="13">
        <v>42704.455925925926</v>
      </c>
      <c r="G225" s="7">
        <v>1</v>
      </c>
      <c r="H225" s="22" t="s">
        <v>827</v>
      </c>
      <c r="I225" s="13">
        <v>42704.461192129631</v>
      </c>
      <c r="J225" s="7">
        <v>0</v>
      </c>
      <c r="K225" s="109" t="str">
        <f t="shared" si="70"/>
        <v>4007/4008</v>
      </c>
      <c r="L225" s="22" t="str">
        <f>VLOOKUP(A225,'Trips&amp;Operators'!$C$1:$G$99999,5,FALSE)</f>
        <v>DAVIDSON DAVID</v>
      </c>
      <c r="M225" s="6">
        <f t="shared" si="71"/>
        <v>5.2662037051049992E-3</v>
      </c>
      <c r="N225" s="7">
        <f t="shared" si="83"/>
        <v>7.5833333353511989</v>
      </c>
      <c r="O225" s="7"/>
      <c r="P225" s="7"/>
      <c r="Q225" s="23"/>
      <c r="R225" s="23"/>
      <c r="S225" s="35">
        <f t="shared" si="82"/>
        <v>0</v>
      </c>
      <c r="T225" s="50" t="e">
        <f t="shared" si="72"/>
        <v>#VALUE!</v>
      </c>
      <c r="U225" s="17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https://search-rtdc-monitor-bjffxe2xuh6vdkpspy63sjmuny.us-east-1.es.amazonaws.com/_plugin/kibana/#/discover/Steve-Slow-Train-Analysis-(2080s-and-2083s)?_g=(refreshInterval:(display:Off,section:0,value:0),time:(from:'2016-11-30 09:54:31-700',mode:absolute,to:'2016-11-30 12:04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25" s="52" t="str">
        <f t="shared" si="74"/>
        <v>Y</v>
      </c>
      <c r="X225" s="177" t="e">
        <f t="shared" si="67"/>
        <v>#VALUE!</v>
      </c>
      <c r="Y225" s="67">
        <f t="shared" si="75"/>
        <v>2.1825000000000001</v>
      </c>
      <c r="Z225" s="67">
        <f t="shared" si="76"/>
        <v>9.2299999999999993E-2</v>
      </c>
      <c r="AA225" s="67">
        <f t="shared" si="77"/>
        <v>2.0902000000000003</v>
      </c>
      <c r="AB225" s="64" t="e">
        <f>VLOOKUP(A225,Enforcements!$C$7:$K$20,8,0)</f>
        <v>#N/A</v>
      </c>
      <c r="AC225" s="60" t="e">
        <f>VLOOKUP(A225,Enforcements!$C$7:$E$20,3,0)</f>
        <v>#N/A</v>
      </c>
      <c r="AD225" s="61" t="str">
        <f t="shared" si="78"/>
        <v>52-30</v>
      </c>
      <c r="AE225" s="91" t="str">
        <f t="shared" si="79"/>
        <v>aws s3 cp s3://rtdc.mdm.uploadarchive.raw/RTDC4008/ "%USERPROFILE%\AppData\Local\Temp\OnboardLogs"\RTDC4008\2016-11-30 --exclude "*" --recursive --include "*20161130*" &amp; "%USERPROFILE%\Documents\GitHub\mrs-test-scripts\Headless Mode &amp; Sideloading\WalkAndUnGZ.bat" "%USERPROFILE%\AppData\Local\Temp\OnboardLogs"\RTDC4008\2016-11-30 &amp; aws s3 cp s3://rtdc.mdm.uploadarchive.raw/RTDC4008/ "%USERPROFILE%\AppData\Local\Temp\OnboardLogs"\RTDC4008\2016-12-01 --exclude "*" --recursive --include "*20161201*" &amp; "%USERPROFILE%\Documents\GitHub\mrs-test-scripts\Headless Mode &amp; Sideloading\WalkAndUnGZ.bat" "%USERPROFILE%\AppData\Local\Temp\OnboardLogs"\RTDC4008\2016-12-01</v>
      </c>
      <c r="AF225" s="88" t="str">
        <f t="shared" si="80"/>
        <v>"C:\Program Files (x86)\AstroGrep\AstroGrep.exe" /spath="%USERPROFILE%\AppData\Local\Temp\OnboardLogs" /stypes="app*4008*20161130*" /stext=" 18:.+((SYSTEM_STATE.+slice.+state.+changed )|(ment ac)|(multiple cpu faults)|(system.+state.+changed )|(\[timeout)|(PRM\|1\|D)|(kpr)|(kdp)|(\|lc)|(penalty))" /e /r /s</v>
      </c>
      <c r="AG225" s="1" t="str">
        <f t="shared" si="81"/>
        <v>Other</v>
      </c>
      <c r="AH225" s="92" t="str">
        <f t="shared" si="68"/>
        <v>"%USERPROFILE%\Documents\GitHub\eaglep3\Utilities\RefineRTDCRunTimes.py" --tripid 52-30 --locoid 4008 --swversion DE.1.0.8.0 --startMP 300:21825 --initTime 2016-11-30T10:54:31 --startdatetime 2016-11-30T10:56:32 --delay 1 --endMP 204:923 --enddatetime 2016-11-30T11:04:07 --enforcementcount 0 &gt;&gt;C:\Users\stu\Documents\GitHub\eaglep3-reporting\EC\2016-11-30-refined-times.txt</v>
      </c>
      <c r="AI225" s="119" t="str">
        <f t="shared" si="69"/>
        <v>echo {"issue":{"subject":"","project_id":79,"tracker_id":40,"status_id":1,"priority_id":2,"assigned_to_id":23,"start_date":"2016-11-30","description":"","custom_fields":[{"id":1,"name":"Subdivision","value":"Other"},{"id":4,"name":"Milepost","value":"0.0923"},{"id":17,"name":"Train ID","value":"52-30"},{"id":16,"name":"Locomotive ID","value":"4008"},{"id":130,"name":"Impact","value":""},{"id":150,"name":"Time of Event (Mountain Time)","value":"11:04:07"},{"id":151,"name":"Denver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</row>
    <row r="226" spans="1:38" x14ac:dyDescent="0.25">
      <c r="A226" s="37" t="s">
        <v>538</v>
      </c>
      <c r="B226" s="7">
        <v>4007</v>
      </c>
      <c r="C226" s="22" t="s">
        <v>212</v>
      </c>
      <c r="D226" s="22" t="s">
        <v>828</v>
      </c>
      <c r="E226" s="13">
        <v>42704.48841435185</v>
      </c>
      <c r="F226" s="13">
        <v>25568.708333333332</v>
      </c>
      <c r="G226" s="7">
        <v>1</v>
      </c>
      <c r="H226" s="22" t="s">
        <v>829</v>
      </c>
      <c r="I226" s="13">
        <v>25568.708333333332</v>
      </c>
      <c r="J226" s="7">
        <v>0</v>
      </c>
      <c r="K226" s="109" t="str">
        <f t="shared" si="70"/>
        <v>4007/4008</v>
      </c>
      <c r="L226" s="22" t="str">
        <f>VLOOKUP(A226,'Trips&amp;Operators'!$C$1:$G$99999,5,FALSE)</f>
        <v>SPECTOR MICHAEL</v>
      </c>
      <c r="M226" s="6">
        <f t="shared" si="71"/>
        <v>0</v>
      </c>
      <c r="N226" s="7">
        <f t="shared" si="83"/>
        <v>0</v>
      </c>
      <c r="O226" s="7"/>
      <c r="P226" s="7"/>
      <c r="Q226" s="23"/>
      <c r="R226" s="23"/>
      <c r="S226" s="35">
        <f t="shared" si="82"/>
        <v>0</v>
      </c>
      <c r="T226" s="50" t="e">
        <f t="shared" si="72"/>
        <v>#VALUE!</v>
      </c>
      <c r="U226" s="17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https://search-rtdc-monitor-bjffxe2xuh6vdkpspy63sjmuny.us-east-1.es.amazonaws.com/_plugin/kibana/#/discover/Steve-Slow-Train-Analysis-(2080s-and-2083s)?_g=(refreshInterval:(display:Off,section:0,value:0),time:(from:'2016-11-30 10:43:19-700',mode:absolute,to:'1969-12-31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26" s="52" t="str">
        <f t="shared" si="74"/>
        <v>Y</v>
      </c>
      <c r="X226" s="177" t="e">
        <f t="shared" si="67"/>
        <v>#VALUE!</v>
      </c>
      <c r="Y226" s="67">
        <f t="shared" si="75"/>
        <v>0.1225</v>
      </c>
      <c r="Z226" s="67">
        <f t="shared" si="76"/>
        <v>2.4214000000000002</v>
      </c>
      <c r="AA226" s="67">
        <f t="shared" si="77"/>
        <v>2.2989000000000002</v>
      </c>
      <c r="AB226" s="64" t="e">
        <f>VLOOKUP(A226,Enforcements!$C$7:$K$20,8,0)</f>
        <v>#N/A</v>
      </c>
      <c r="AC226" s="60" t="e">
        <f>VLOOKUP(A226,Enforcements!$C$7:$E$20,3,0)</f>
        <v>#N/A</v>
      </c>
      <c r="AD226" s="61" t="str">
        <f t="shared" si="78"/>
        <v>53-30</v>
      </c>
      <c r="AE226" s="91" t="str">
        <f t="shared" si="79"/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AF226" s="88" t="str">
        <f t="shared" si="80"/>
        <v>"C:\Program Files (x86)\AstroGrep\AstroGrep.exe" /spath="%USERPROFILE%\AppData\Local\Temp\OnboardLogs" /stypes="app*4007*19700101*" /stext=" 00:.+((SYSTEM_STATE.+slice.+state.+changed )|(ment ac)|(multiple cpu faults)|(system.+state.+changed )|(\[timeout)|(PRM\|1\|D)|(kpr)|(kdp)|(\|lc)|(penalty))" /e /r /s</v>
      </c>
      <c r="AG226" s="1" t="str">
        <f t="shared" si="81"/>
        <v>Other</v>
      </c>
      <c r="AH226" s="92" t="str">
        <f t="shared" si="68"/>
        <v>"%USERPROFILE%\Documents\GitHub\eaglep3\Utilities\RefineRTDCRunTimes.py" --tripid 53-30 --locoid 4007 --swversion DE.1.0.8.0 --startMP 204:1225 --initTime 2016-11-30T11:43:19 --startdatetime 1969-12-31T17:00:00 --delay 1 --endMP 300:24214 --enddatetime 1969-12-31T17:00:00 --enforcementcount 0 &gt;&gt;C:\Users\stu\Documents\GitHub\eaglep3-reporting\EC\2016-11-30-refined-times.txt</v>
      </c>
      <c r="AI226" s="119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{"issue":{"subject":"","project_id":79,"tracker_id":40,"status_id":1,"priority_id":2,"assigned_to_id":23,"start_date":"1969-12-31","description":"","custom_fields":[{"id":1,"name":"Subdivision","value":"Other"},{"id":4,"name":"Milepost","value":"2.4214"},{"id":17,"name":"Train ID","value":"53-30"},{"id":16,"name":"Locomotive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3"/>
      <c r="AK226" s="53"/>
      <c r="AL226" s="53"/>
    </row>
    <row r="227" spans="1:38" x14ac:dyDescent="0.25">
      <c r="A227" s="37" t="s">
        <v>683</v>
      </c>
      <c r="B227" s="7">
        <v>4009</v>
      </c>
      <c r="C227" s="22" t="s">
        <v>212</v>
      </c>
      <c r="D227" s="22" t="s">
        <v>830</v>
      </c>
      <c r="E227" s="13">
        <v>42704.721435185187</v>
      </c>
      <c r="F227" s="13">
        <v>42704.72724537037</v>
      </c>
      <c r="G227" s="7">
        <v>1</v>
      </c>
      <c r="H227" s="22" t="s">
        <v>831</v>
      </c>
      <c r="I227" s="13">
        <v>42704.731469907405</v>
      </c>
      <c r="J227" s="7">
        <v>0</v>
      </c>
      <c r="K227" s="109" t="str">
        <f t="shared" si="70"/>
        <v>4009/4010</v>
      </c>
      <c r="L227" s="22" t="str">
        <f>VLOOKUP(A227,'Trips&amp;Operators'!$C$1:$G$99999,5,FALSE)</f>
        <v>BROWN JACOB</v>
      </c>
      <c r="M227" s="6">
        <f t="shared" si="71"/>
        <v>4.2245370350428857E-3</v>
      </c>
      <c r="N227" s="7">
        <f t="shared" si="83"/>
        <v>6.0833333304617554</v>
      </c>
      <c r="O227" s="7"/>
      <c r="P227" s="7"/>
      <c r="Q227" s="23"/>
      <c r="R227" s="23"/>
      <c r="S227" s="35">
        <f t="shared" si="82"/>
        <v>0</v>
      </c>
      <c r="T227" s="50" t="e">
        <f t="shared" si="72"/>
        <v>#VALUE!</v>
      </c>
      <c r="U227" s="17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https://search-rtdc-monitor-bjffxe2xuh6vdkpspy63sjmuny.us-east-1.es.amazonaws.com/_plugin/kibana/#/discover/Steve-Slow-Train-Analysis-(2080s-and-2083s)?_g=(refreshInterval:(display:Off,section:0,value:0),time:(from:'2016-11-30 16:18:52-700',mode:absolute,to:'2016-11-30 18:33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27" s="52" t="str">
        <f t="shared" si="74"/>
        <v>Y</v>
      </c>
      <c r="X227" s="177" t="e">
        <f t="shared" si="67"/>
        <v>#VALUE!</v>
      </c>
      <c r="Y227" s="67">
        <f t="shared" si="75"/>
        <v>0.14960000000000001</v>
      </c>
      <c r="Z227" s="67">
        <f t="shared" si="76"/>
        <v>2.2111000000000001</v>
      </c>
      <c r="AA227" s="67">
        <f t="shared" si="77"/>
        <v>2.0615000000000001</v>
      </c>
      <c r="AB227" s="64" t="e">
        <f>VLOOKUP(A227,Enforcements!$C$7:$K$20,8,0)</f>
        <v>#N/A</v>
      </c>
      <c r="AC227" s="60" t="e">
        <f>VLOOKUP(A227,Enforcements!$C$7:$E$20,3,0)</f>
        <v>#N/A</v>
      </c>
      <c r="AD227" s="61" t="str">
        <f t="shared" si="78"/>
        <v>71-30</v>
      </c>
      <c r="AE227" s="91" t="str">
        <f t="shared" si="79"/>
        <v>aws s3 cp s3://rtdc.mdm.uploadarchive.raw/RTDC4009/ "%USERPROFILE%\AppData\Local\Temp\OnboardLogs"\RTDC4009\2016-11-30 --exclude "*" --recursive --include "*20161130*" &amp; "%USERPROFILE%\Documents\GitHub\mrs-test-scripts\Headless Mode &amp; Sideloading\WalkAndUnGZ.bat" "%USERPROFILE%\AppData\Local\Temp\OnboardLogs"\RTDC4009\2016-11-30 &amp; aws s3 cp s3://rtdc.mdm.uploadarchive.raw/RTDC4009/ "%USERPROFILE%\AppData\Local\Temp\OnboardLogs"\RTDC4009\2016-12-01 --exclude "*" --recursive --include "*20161201*" &amp; "%USERPROFILE%\Documents\GitHub\mrs-test-scripts\Headless Mode &amp; Sideloading\WalkAndUnGZ.bat" "%USERPROFILE%\AppData\Local\Temp\OnboardLogs"\RTDC4009\2016-12-01</v>
      </c>
      <c r="AF227" s="88" t="str">
        <f t="shared" si="80"/>
        <v>"C:\Program Files (x86)\AstroGrep\AstroGrep.exe" /spath="%USERPROFILE%\AppData\Local\Temp\OnboardLogs" /stypes="app*4009*20161201*" /stext=" 00:.+((SYSTEM_STATE.+slice.+state.+changed )|(ment ac)|(multiple cpu faults)|(system.+state.+changed )|(\[timeout)|(PRM\|1\|D)|(kpr)|(kdp)|(\|lc)|(penalty))" /e /r /s</v>
      </c>
      <c r="AG227" s="1" t="str">
        <f t="shared" si="81"/>
        <v>Other</v>
      </c>
      <c r="AH227" s="92" t="str">
        <f t="shared" si="68"/>
        <v>"%USERPROFILE%\Documents\GitHub\eaglep3\Utilities\RefineRTDCRunTimes.py" --tripid 71-30 --locoid 4009 --swversion DE.1.0.8.0 --startMP 204:1496 --initTime 2016-11-30T17:18:52 --startdatetime 2016-11-30T17:27:14 --delay 1 --endMP 300:22111 --enddatetime 2016-11-30T17:33:19 --enforcementcount 0 &gt;&gt;C:\Users\stu\Documents\GitHub\eaglep3-reporting\EC\2016-11-30-refined-times.txt</v>
      </c>
      <c r="AI227" s="119" t="str">
        <f t="shared" si="69"/>
        <v>echo {"issue":{"subject":"","project_id":79,"tracker_id":40,"status_id":1,"priority_id":2,"assigned_to_id":23,"start_date":"2016-11-30","description":"","custom_fields":[{"id":1,"name":"Subdivision","value":"Other"},{"id":4,"name":"Milepost","value":"2.2111"},{"id":17,"name":"Train ID","value":"71-30"},{"id":16,"name":"Locomotive ID","value":"4009"},{"id":130,"name":"Impact","value":""},{"id":150,"name":"Time of Event (Mountain Time)","value":"17:33:19"},{"id":151,"name":"Denver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3"/>
      <c r="AK227" s="53"/>
      <c r="AL227" s="53"/>
    </row>
    <row r="228" spans="1:38" x14ac:dyDescent="0.25">
      <c r="A228" s="37" t="s">
        <v>685</v>
      </c>
      <c r="B228" s="7">
        <v>4002</v>
      </c>
      <c r="C228" s="22" t="s">
        <v>212</v>
      </c>
      <c r="D228" s="22" t="s">
        <v>832</v>
      </c>
      <c r="E228" s="13">
        <v>42704.721365740741</v>
      </c>
      <c r="F228" s="13">
        <v>42704.732511574075</v>
      </c>
      <c r="G228" s="7">
        <v>1</v>
      </c>
      <c r="H228" s="22" t="s">
        <v>833</v>
      </c>
      <c r="I228" s="13">
        <v>42704.733819444446</v>
      </c>
      <c r="J228" s="7">
        <v>0</v>
      </c>
      <c r="K228" s="109" t="str">
        <f t="shared" si="70"/>
        <v>4001/4002</v>
      </c>
      <c r="L228" s="22" t="str">
        <f>VLOOKUP(A228,'Trips&amp;Operators'!$C$1:$G$99999,5,FALSE)</f>
        <v>MAHAN DUANE</v>
      </c>
      <c r="M228" s="6">
        <f t="shared" si="71"/>
        <v>1.3078703705104999E-3</v>
      </c>
      <c r="N228" s="7">
        <f t="shared" si="83"/>
        <v>1.8833333335351199</v>
      </c>
      <c r="O228" s="7"/>
      <c r="P228" s="7"/>
      <c r="Q228" s="23"/>
      <c r="R228" s="23"/>
      <c r="S228" s="35">
        <f t="shared" si="82"/>
        <v>0</v>
      </c>
      <c r="T228" s="50" t="e">
        <f t="shared" si="72"/>
        <v>#VALUE!</v>
      </c>
      <c r="U228" s="17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https://search-rtdc-monitor-bjffxe2xuh6vdkpspy63sjmuny.us-east-1.es.amazonaws.com/_plugin/kibana/#/discover/Steve-Slow-Train-Analysis-(2080s-and-2083s)?_g=(refreshInterval:(display:Off,section:0,value:0),time:(from:'2016-11-30 16:18:46-700',mode:absolute,to:'2016-11-30 18:36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28" s="52" t="str">
        <f t="shared" si="74"/>
        <v>Y</v>
      </c>
      <c r="X228" s="177" t="e">
        <f t="shared" si="67"/>
        <v>#VALUE!</v>
      </c>
      <c r="Y228" s="67">
        <f t="shared" si="75"/>
        <v>0.1167</v>
      </c>
      <c r="Z228" s="67">
        <f t="shared" si="76"/>
        <v>0.3503</v>
      </c>
      <c r="AA228" s="67">
        <f t="shared" si="77"/>
        <v>0.2336</v>
      </c>
      <c r="AB228" s="64" t="e">
        <f>VLOOKUP(A228,Enforcements!$C$7:$K$20,8,0)</f>
        <v>#N/A</v>
      </c>
      <c r="AC228" s="60" t="e">
        <f>VLOOKUP(A228,Enforcements!$C$7:$E$20,3,0)</f>
        <v>#N/A</v>
      </c>
      <c r="AD228" s="61" t="str">
        <f t="shared" si="78"/>
        <v>73-30</v>
      </c>
      <c r="AE228" s="91" t="str">
        <f t="shared" si="79"/>
        <v>aws s3 cp s3://rtdc.mdm.uploadarchive.raw/RTDC4002/ "%USERPROFILE%\AppData\Local\Temp\OnboardLogs"\RTDC4002\2016-11-30 --exclude "*" --recursive --include "*20161130*" &amp; "%USERPROFILE%\Documents\GitHub\mrs-test-scripts\Headless Mode &amp; Sideloading\WalkAndUnGZ.bat" "%USERPROFILE%\AppData\Local\Temp\OnboardLogs"\RTDC4002\2016-11-30 &amp; aws s3 cp s3://rtdc.mdm.uploadarchive.raw/RTDC4002/ "%USERPROFILE%\AppData\Local\Temp\OnboardLogs"\RTDC4002\2016-12-01 --exclude "*" --recursive --include "*20161201*" &amp; "%USERPROFILE%\Documents\GitHub\mrs-test-scripts\Headless Mode &amp; Sideloading\WalkAndUnGZ.bat" "%USERPROFILE%\AppData\Local\Temp\OnboardLogs"\RTDC4002\2016-12-01</v>
      </c>
      <c r="AF228" s="88" t="str">
        <f t="shared" si="80"/>
        <v>"C:\Program Files (x86)\AstroGrep\AstroGrep.exe" /spath="%USERPROFILE%\AppData\Local\Temp\OnboardLogs" /stypes="app*4002*20161201*" /stext=" 00:.+((SYSTEM_STATE.+slice.+state.+changed )|(ment ac)|(multiple cpu faults)|(system.+state.+changed )|(\[timeout)|(PRM\|1\|D)|(kpr)|(kdp)|(\|lc)|(penalty))" /e /r /s</v>
      </c>
      <c r="AG228" s="1" t="str">
        <f t="shared" si="81"/>
        <v>Other</v>
      </c>
      <c r="AH228" s="92" t="str">
        <f t="shared" si="68"/>
        <v>"%USERPROFILE%\Documents\GitHub\eaglep3\Utilities\RefineRTDCRunTimes.py" --tripid 73-30 --locoid 4002 --swversion DE.1.0.8.0 --startMP 204:1167 --initTime 2016-11-30T17:18:46 --startdatetime 2016-11-30T17:34:49 --delay 1 --endMP 204:3503 --enddatetime 2016-11-30T17:36:42 --enforcementcount 0 &gt;&gt;C:\Users\stu\Documents\GitHub\eaglep3-reporting\EC\2016-11-30-refined-times.txt</v>
      </c>
      <c r="AI228" s="119" t="str">
        <f t="shared" si="69"/>
        <v>echo {"issue":{"subject":"","project_id":79,"tracker_id":40,"status_id":1,"priority_id":2,"assigned_to_id":23,"start_date":"2016-11-30","description":"","custom_fields":[{"id":1,"name":"Subdivision","value":"Other"},{"id":4,"name":"Milepost","value":"0.3503"},{"id":17,"name":"Train ID","value":"73-30"},{"id":16,"name":"Locomotive ID","value":"4002"},{"id":130,"name":"Impact","value":""},{"id":150,"name":"Time of Event (Mountain Time)","value":"17:36:42"},{"id":151,"name":"Denver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3"/>
      <c r="AK228" s="53"/>
      <c r="AL228" s="53"/>
    </row>
    <row r="229" spans="1:38" x14ac:dyDescent="0.25">
      <c r="A229" s="37" t="s">
        <v>687</v>
      </c>
      <c r="B229" s="7">
        <v>4008</v>
      </c>
      <c r="C229" s="22" t="s">
        <v>212</v>
      </c>
      <c r="D229" s="22" t="s">
        <v>834</v>
      </c>
      <c r="E229" s="13">
        <v>42704.73300925926</v>
      </c>
      <c r="F229" s="13">
        <v>42704.734965277778</v>
      </c>
      <c r="G229" s="7">
        <v>2</v>
      </c>
      <c r="H229" s="22" t="s">
        <v>835</v>
      </c>
      <c r="I229" s="13">
        <v>42704.740949074076</v>
      </c>
      <c r="J229" s="7">
        <v>0</v>
      </c>
      <c r="K229" s="109" t="str">
        <f t="shared" si="70"/>
        <v>4007/4008</v>
      </c>
      <c r="L229" s="22" t="str">
        <f>VLOOKUP(A229,'Trips&amp;Operators'!$C$1:$G$99999,5,FALSE)</f>
        <v>LEVIN SCOTT</v>
      </c>
      <c r="M229" s="6">
        <f t="shared" si="71"/>
        <v>5.9837962980964221E-3</v>
      </c>
      <c r="N229" s="7">
        <f t="shared" si="83"/>
        <v>8.6166666692588478</v>
      </c>
      <c r="O229" s="7"/>
      <c r="P229" s="7"/>
      <c r="Q229" s="23"/>
      <c r="R229" s="23"/>
      <c r="S229" s="35">
        <f t="shared" si="82"/>
        <v>0</v>
      </c>
      <c r="T229" s="50" t="e">
        <f t="shared" si="72"/>
        <v>#VALUE!</v>
      </c>
      <c r="U229" s="171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https://search-rtdc-monitor-bjffxe2xuh6vdkpspy63sjmuny.us-east-1.es.amazonaws.com/_plugin/kibana/#/discover/Steve-Slow-Train-Analysis-(2080s-and-2083s)?_g=(refreshInterval:(display:Off,section:0,value:0),time:(from:'2016-11-30 16:35:32-700',mode:absolute,to:'2016-11-30 18:46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29" s="52" t="str">
        <f t="shared" si="74"/>
        <v>Y</v>
      </c>
      <c r="X229" s="177" t="e">
        <f t="shared" si="67"/>
        <v>#VALUE!</v>
      </c>
      <c r="Y229" s="67">
        <f t="shared" si="75"/>
        <v>2.351</v>
      </c>
      <c r="Z229" s="67">
        <f t="shared" si="76"/>
        <v>1.1299999999999999E-2</v>
      </c>
      <c r="AA229" s="67">
        <f t="shared" si="77"/>
        <v>2.3397000000000001</v>
      </c>
      <c r="AB229" s="64" t="e">
        <f>VLOOKUP(A229,Enforcements!$C$7:$K$20,8,0)</f>
        <v>#N/A</v>
      </c>
      <c r="AC229" s="60" t="e">
        <f>VLOOKUP(A229,Enforcements!$C$7:$E$20,3,0)</f>
        <v>#N/A</v>
      </c>
      <c r="AD229" s="61" t="str">
        <f t="shared" si="78"/>
        <v>76-30</v>
      </c>
      <c r="AE229" s="91" t="str">
        <f t="shared" si="79"/>
        <v>aws s3 cp s3://rtdc.mdm.uploadarchive.raw/RTDC4008/ "%USERPROFILE%\AppData\Local\Temp\OnboardLogs"\RTDC4008\2016-11-30 --exclude "*" --recursive --include "*20161130*" &amp; "%USERPROFILE%\Documents\GitHub\mrs-test-scripts\Headless Mode &amp; Sideloading\WalkAndUnGZ.bat" "%USERPROFILE%\AppData\Local\Temp\OnboardLogs"\RTDC4008\2016-11-30 &amp; aws s3 cp s3://rtdc.mdm.uploadarchive.raw/RTDC4008/ "%USERPROFILE%\AppData\Local\Temp\OnboardLogs"\RTDC4008\2016-12-01 --exclude "*" --recursive --include "*20161201*" &amp; "%USERPROFILE%\Documents\GitHub\mrs-test-scripts\Headless Mode &amp; Sideloading\WalkAndUnGZ.bat" "%USERPROFILE%\AppData\Local\Temp\OnboardLogs"\RTDC4008\2016-12-01</v>
      </c>
      <c r="AF229" s="88" t="str">
        <f t="shared" si="80"/>
        <v>"C:\Program Files (x86)\AstroGrep\AstroGrep.exe" /spath="%USERPROFILE%\AppData\Local\Temp\OnboardLogs" /stypes="app*4008*20161201*" /stext=" 00:.+((SYSTEM_STATE.+slice.+state.+changed )|(ment ac)|(multiple cpu faults)|(system.+state.+changed )|(\[timeout)|(PRM\|1\|D)|(kpr)|(kdp)|(\|lc)|(penalty))" /e /r /s</v>
      </c>
      <c r="AG229" s="1" t="str">
        <f t="shared" si="81"/>
        <v>Other</v>
      </c>
      <c r="AH229" s="92" t="str">
        <f t="shared" si="68"/>
        <v>"%USERPROFILE%\Documents\GitHub\eaglep3\Utilities\RefineRTDCRunTimes.py" --tripid 76-30 --locoid 4008 --swversion DE.1.0.8.0 --startMP 300:23510 --initTime 2016-11-30T17:35:32 --startdatetime 2016-11-30T17:38:21 --delay 2 --endMP 204:113 --enddatetime 2016-11-30T17:46:58 --enforcementcount 0 &gt;&gt;C:\Users\stu\Documents\GitHub\eaglep3-reporting\EC\2016-11-30-refined-times.txt</v>
      </c>
      <c r="AI229" s="119" t="str">
        <f t="shared" si="69"/>
        <v>echo {"issue":{"subject":"","project_id":79,"tracker_id":40,"status_id":1,"priority_id":2,"assigned_to_id":23,"start_date":"2016-11-30","description":"","custom_fields":[{"id":1,"name":"Subdivision","value":"Other"},{"id":4,"name":"Milepost","value":"0.0113"},{"id":17,"name":"Train ID","value":"76-30"},{"id":16,"name":"Locomotive ID","value":"4008"},{"id":130,"name":"Impact","value":""},{"id":150,"name":"Time of Event (Mountain Time)","value":"17:46:58"},{"id":151,"name":"Denver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3"/>
      <c r="AK229" s="53"/>
      <c r="AL229" s="53"/>
    </row>
    <row r="230" spans="1:38" x14ac:dyDescent="0.25">
      <c r="A230" s="37" t="s">
        <v>694</v>
      </c>
      <c r="B230" s="7">
        <v>4031</v>
      </c>
      <c r="C230" s="22" t="s">
        <v>212</v>
      </c>
      <c r="D230" s="22" t="s">
        <v>849</v>
      </c>
      <c r="E230" s="13">
        <v>42704.751562500001</v>
      </c>
      <c r="F230" s="13">
        <v>25568.708333333332</v>
      </c>
      <c r="G230" s="7">
        <v>1</v>
      </c>
      <c r="H230" s="22" t="s">
        <v>501</v>
      </c>
      <c r="I230" s="13">
        <v>25568.708333333332</v>
      </c>
      <c r="J230" s="7">
        <v>0</v>
      </c>
      <c r="K230" s="109" t="str">
        <f t="shared" si="70"/>
        <v>4031/4032</v>
      </c>
      <c r="L230" s="22" t="str">
        <f>VLOOKUP(A230,'Trips&amp;Operators'!$C$1:$G$99999,5,FALSE)</f>
        <v>MAHAN DUANE</v>
      </c>
      <c r="M230" s="6">
        <f t="shared" si="71"/>
        <v>0</v>
      </c>
      <c r="N230" s="7">
        <f t="shared" si="83"/>
        <v>0</v>
      </c>
      <c r="O230" s="7"/>
      <c r="P230" s="7"/>
      <c r="Q230" s="23"/>
      <c r="R230" s="23"/>
      <c r="S230" s="35">
        <f t="shared" si="82"/>
        <v>0</v>
      </c>
      <c r="T230" s="50" t="e">
        <f t="shared" si="72"/>
        <v>#VALUE!</v>
      </c>
      <c r="U230" s="171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https://search-rtdc-monitor-bjffxe2xuh6vdkpspy63sjmuny.us-east-1.es.amazonaws.com/_plugin/kibana/#/discover/Steve-Slow-Train-Analysis-(2080s-and-2083s)?_g=(refreshInterval:(display:Off,section:0,value:0),time:(from:'2016-11-30 17:02:15-700',mode:absolute,to:'1969-12-31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30" s="52" t="str">
        <f t="shared" si="74"/>
        <v>Y</v>
      </c>
      <c r="X230" s="177" t="e">
        <f t="shared" si="67"/>
        <v>#VALUE!</v>
      </c>
      <c r="Y230" s="67">
        <f t="shared" si="75"/>
        <v>0.1162</v>
      </c>
      <c r="Z230" s="67">
        <f t="shared" si="76"/>
        <v>2.3300999999999998</v>
      </c>
      <c r="AA230" s="67">
        <f t="shared" si="77"/>
        <v>2.2138999999999998</v>
      </c>
      <c r="AB230" s="64" t="e">
        <f>VLOOKUP(A230,Enforcements!$C$7:$K$20,8,0)</f>
        <v>#N/A</v>
      </c>
      <c r="AC230" s="60" t="e">
        <f>VLOOKUP(A230,Enforcements!$C$7:$E$20,3,0)</f>
        <v>#N/A</v>
      </c>
      <c r="AD230" s="61" t="str">
        <f t="shared" si="78"/>
        <v>81-30</v>
      </c>
      <c r="AE230" s="91" t="str">
        <f t="shared" si="79"/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AF230" s="88" t="str">
        <f t="shared" si="80"/>
        <v>"C:\Program Files (x86)\AstroGrep\AstroGrep.exe" /spath="%USERPROFILE%\AppData\Local\Temp\OnboardLogs" /stypes="app*4031*19700101*" /stext=" 00:.+((SYSTEM_STATE.+slice.+state.+changed )|(ment ac)|(multiple cpu faults)|(system.+state.+changed )|(\[timeout)|(PRM\|1\|D)|(kpr)|(kdp)|(\|lc)|(penalty))" /e /r /s</v>
      </c>
      <c r="AG230" s="1" t="str">
        <f t="shared" si="81"/>
        <v>Other</v>
      </c>
      <c r="AH230" s="92" t="str">
        <f t="shared" si="68"/>
        <v>"%USERPROFILE%\Documents\GitHub\eaglep3\Utilities\RefineRTDCRunTimes.py" --tripid 81-30 --locoid 4031 --swversion DE.1.0.8.0 --startMP 204:1162 --initTime 2016-11-30T18:02:15 --startdatetime 1969-12-31T17:00:00 --delay 1 --endMP 300:23301 --enddatetime 1969-12-31T17:00:00 --enforcementcount 0 &gt;&gt;C:\Users\stu\Documents\GitHub\eaglep3-reporting\EC\2016-11-30-refined-times.txt</v>
      </c>
      <c r="AI230" s="119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ID","value":"81-30"},{"id":16,"name":"Locomotive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3"/>
      <c r="AK230" s="53"/>
      <c r="AL230" s="53"/>
    </row>
    <row r="231" spans="1:38" x14ac:dyDescent="0.25">
      <c r="A231" s="37" t="s">
        <v>545</v>
      </c>
      <c r="B231" s="7">
        <v>4013</v>
      </c>
      <c r="C231" s="22" t="s">
        <v>212</v>
      </c>
      <c r="D231" s="22" t="s">
        <v>888</v>
      </c>
      <c r="E231" s="13">
        <v>42704.747974537036</v>
      </c>
      <c r="F231" s="13">
        <v>42704.749201388891</v>
      </c>
      <c r="G231" s="7">
        <v>1</v>
      </c>
      <c r="H231" s="22" t="s">
        <v>889</v>
      </c>
      <c r="I231" s="13">
        <v>42704.755810185183</v>
      </c>
      <c r="J231" s="7">
        <v>0</v>
      </c>
      <c r="K231" s="109" t="str">
        <f t="shared" si="70"/>
        <v>4013/4014</v>
      </c>
      <c r="L231" s="22" t="str">
        <f>VLOOKUP(A231,'Trips&amp;Operators'!$C$1:$G$99999,5,FALSE)</f>
        <v>BADERTSCHER DIANE</v>
      </c>
      <c r="M231" s="6">
        <f t="shared" si="71"/>
        <v>6.6087962914025411E-3</v>
      </c>
      <c r="N231" s="7">
        <f t="shared" si="83"/>
        <v>9.5166666596196592</v>
      </c>
      <c r="O231" s="7"/>
      <c r="P231" s="7"/>
      <c r="Q231" s="23"/>
      <c r="R231" s="23"/>
      <c r="S231" s="35">
        <f t="shared" si="82"/>
        <v>0</v>
      </c>
      <c r="T231" s="50" t="e">
        <f t="shared" si="72"/>
        <v>#VALUE!</v>
      </c>
      <c r="U231" s="171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https://search-rtdc-monitor-bjffxe2xuh6vdkpspy63sjmuny.us-east-1.es.amazonaws.com/_plugin/kibana/#/discover/Steve-Slow-Train-Analysis-(2080s-and-2083s)?_g=(refreshInterval:(display:Off,section:0,value:0),time:(from:'2016-11-30 16:57:05-700',mode:absolute,to:'2016-11-30 19:08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31" s="52" t="str">
        <f t="shared" si="74"/>
        <v>Y</v>
      </c>
      <c r="X231" s="177" t="e">
        <f t="shared" si="67"/>
        <v>#VALUE!</v>
      </c>
      <c r="Y231" s="67">
        <f t="shared" si="75"/>
        <v>2.2162999999999999</v>
      </c>
      <c r="Z231" s="67">
        <f t="shared" si="76"/>
        <v>8.7999999999999995E-2</v>
      </c>
      <c r="AA231" s="67">
        <f t="shared" si="77"/>
        <v>2.1282999999999999</v>
      </c>
      <c r="AB231" s="64" t="e">
        <f>VLOOKUP(A231,Enforcements!$C$7:$K$20,8,0)</f>
        <v>#N/A</v>
      </c>
      <c r="AC231" s="60" t="e">
        <f>VLOOKUP(A231,Enforcements!$C$7:$E$20,3,0)</f>
        <v>#N/A</v>
      </c>
      <c r="AD231" s="61" t="str">
        <f t="shared" si="78"/>
        <v>88-30</v>
      </c>
      <c r="AE231" s="91" t="str">
        <f t="shared" si="79"/>
        <v>aws s3 cp s3://rtdc.mdm.uploadarchive.raw/RTDC4013/ "%USERPROFILE%\AppData\Local\Temp\OnboardLogs"\RTDC4013\2016-11-30 --exclude "*" --recursive --include "*20161130*" &amp; "%USERPROFILE%\Documents\GitHub\mrs-test-scripts\Headless Mode &amp; Sideloading\WalkAndUnGZ.bat" "%USERPROFILE%\AppData\Local\Temp\OnboardLogs"\RTDC4013\2016-11-30 &amp; aws s3 cp s3://rtdc.mdm.uploadarchive.raw/RTDC4013/ "%USERPROFILE%\AppData\Local\Temp\OnboardLogs"\RTDC4013\2016-12-01 --exclude "*" --recursive --include "*20161201*" &amp; "%USERPROFILE%\Documents\GitHub\mrs-test-scripts\Headless Mode &amp; Sideloading\WalkAndUnGZ.bat" "%USERPROFILE%\AppData\Local\Temp\OnboardLogs"\RTDC4013\2016-12-01</v>
      </c>
      <c r="AF231" s="88" t="str">
        <f t="shared" si="80"/>
        <v>"C:\Program Files (x86)\AstroGrep\AstroGrep.exe" /spath="%USERPROFILE%\AppData\Local\Temp\OnboardLogs" /stypes="app*4013*20161201*" /stext=" 01:.+((SYSTEM_STATE.+slice.+state.+changed )|(ment ac)|(multiple cpu faults)|(system.+state.+changed )|(\[timeout)|(PRM\|1\|D)|(kpr)|(kdp)|(\|lc)|(penalty))" /e /r /s</v>
      </c>
      <c r="AG231" s="1" t="str">
        <f t="shared" si="81"/>
        <v>Other</v>
      </c>
      <c r="AH231" s="92" t="str">
        <f t="shared" si="68"/>
        <v>"%USERPROFILE%\Documents\GitHub\eaglep3\Utilities\RefineRTDCRunTimes.py" --tripid 88-30 --locoid 4013 --swversion DE.1.0.8.0 --startMP 300:22163 --initTime 2016-11-30T17:57:05 --startdatetime 2016-11-30T17:58:51 --delay 1 --endMP 204:880 --enddatetime 2016-11-30T18:08:22 --enforcementcount 0 &gt;&gt;C:\Users\stu\Documents\GitHub\eaglep3-reporting\EC\2016-11-30-refined-times.txt</v>
      </c>
      <c r="AI231" s="119" t="str">
        <f t="shared" si="69"/>
        <v>echo {"issue":{"subject":"","project_id":79,"tracker_id":40,"status_id":1,"priority_id":2,"assigned_to_id":23,"start_date":"2016-11-30","description":"","custom_fields":[{"id":1,"name":"Subdivision","value":"Other"},{"id":4,"name":"Milepost","value":"0.088"},{"id":17,"name":"Train ID","value":"88-30"},{"id":16,"name":"Locomotive ID","value":"4013"},{"id":130,"name":"Impact","value":""},{"id":150,"name":"Time of Event (Mountain Time)","value":"18:08:22"},{"id":151,"name":"Denver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3"/>
      <c r="AK231" s="53"/>
      <c r="AL231" s="53"/>
    </row>
    <row r="232" spans="1:38" x14ac:dyDescent="0.25">
      <c r="A232" s="37" t="s">
        <v>697</v>
      </c>
      <c r="B232" s="7">
        <v>4007</v>
      </c>
      <c r="C232" s="22" t="s">
        <v>212</v>
      </c>
      <c r="D232" s="22" t="s">
        <v>890</v>
      </c>
      <c r="E232" s="13">
        <v>42704.758159722223</v>
      </c>
      <c r="F232" s="13">
        <v>42704.759965277779</v>
      </c>
      <c r="G232" s="7">
        <v>1</v>
      </c>
      <c r="H232" s="22" t="s">
        <v>891</v>
      </c>
      <c r="I232" s="13">
        <v>42704.765648148146</v>
      </c>
      <c r="J232" s="7">
        <v>0</v>
      </c>
      <c r="K232" s="109" t="str">
        <f t="shared" si="70"/>
        <v>4007/4008</v>
      </c>
      <c r="L232" s="22" t="str">
        <f>VLOOKUP(A232,'Trips&amp;Operators'!$C$1:$G$99999,5,FALSE)</f>
        <v>BARTLETT KIANDRA</v>
      </c>
      <c r="M232" s="6">
        <f t="shared" si="71"/>
        <v>5.6828703673090786E-3</v>
      </c>
      <c r="N232" s="7">
        <f t="shared" si="83"/>
        <v>8.1833333289250731</v>
      </c>
      <c r="O232" s="7"/>
      <c r="P232" s="7"/>
      <c r="Q232" s="23"/>
      <c r="R232" s="23"/>
      <c r="S232" s="35">
        <f t="shared" si="82"/>
        <v>0</v>
      </c>
      <c r="T232" s="50" t="e">
        <f t="shared" si="72"/>
        <v>#VALUE!</v>
      </c>
      <c r="U232" s="171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98" t="str">
        <f t="shared" si="73"/>
        <v>https://search-rtdc-monitor-bjffxe2xuh6vdkpspy63sjmuny.us-east-1.es.amazonaws.com/_plugin/kibana/#/discover/Steve-Slow-Train-Analysis-(2080s-and-2083s)?_g=(refreshInterval:(display:Off,section:0,value:0),time:(from:'2016-11-30 17:11:45-700',mode:absolute,to:'2016-11-30 19:22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32" s="52" t="str">
        <f t="shared" si="74"/>
        <v>Y</v>
      </c>
      <c r="X232" s="177" t="e">
        <f t="shared" si="67"/>
        <v>#VALUE!</v>
      </c>
      <c r="Y232" s="67">
        <f t="shared" si="75"/>
        <v>4.0399999999999998E-2</v>
      </c>
      <c r="Z232" s="67">
        <f t="shared" si="76"/>
        <v>2.4228999999999998</v>
      </c>
      <c r="AA232" s="67">
        <f t="shared" si="77"/>
        <v>2.3824999999999998</v>
      </c>
      <c r="AB232" s="64" t="e">
        <f>VLOOKUP(A232,Enforcements!$C$7:$K$20,8,0)</f>
        <v>#N/A</v>
      </c>
      <c r="AC232" s="60" t="e">
        <f>VLOOKUP(A232,Enforcements!$C$7:$E$20,3,0)</f>
        <v>#N/A</v>
      </c>
      <c r="AD232" s="61" t="str">
        <f t="shared" si="78"/>
        <v>89-30</v>
      </c>
      <c r="AE232" s="91" t="str">
        <f t="shared" si="79"/>
        <v>aws s3 cp s3://rtdc.mdm.uploadarchive.raw/RTDC4007/ "%USERPROFILE%\AppData\Local\Temp\OnboardLogs"\RTDC4007\2016-11-30 --exclude "*" --recursive --include "*20161130*" &amp; "%USERPROFILE%\Documents\GitHub\mrs-test-scripts\Headless Mode &amp; Sideloading\WalkAndUnGZ.bat" "%USERPROFILE%\AppData\Local\Temp\OnboardLogs"\RTDC4007\2016-11-30 &amp; aws s3 cp s3://rtdc.mdm.uploadarchive.raw/RTDC4007/ "%USERPROFILE%\AppData\Local\Temp\OnboardLogs"\RTDC4007\2016-12-01 --exclude "*" --recursive --include "*20161201*" &amp; "%USERPROFILE%\Documents\GitHub\mrs-test-scripts\Headless Mode &amp; Sideloading\WalkAndUnGZ.bat" "%USERPROFILE%\AppData\Local\Temp\OnboardLogs"\RTDC4007\2016-12-01</v>
      </c>
      <c r="AF232" s="88" t="str">
        <f t="shared" si="80"/>
        <v>"C:\Program Files (x86)\AstroGrep\AstroGrep.exe" /spath="%USERPROFILE%\AppData\Local\Temp\OnboardLogs" /stypes="app*4007*20161201*" /stext=" 01:.+((SYSTEM_STATE.+slice.+state.+changed )|(ment ac)|(multiple cpu faults)|(system.+state.+changed )|(\[timeout)|(PRM\|1\|D)|(kpr)|(kdp)|(\|lc)|(penalty))" /e /r /s</v>
      </c>
      <c r="AG232" s="1" t="str">
        <f t="shared" si="81"/>
        <v>Other</v>
      </c>
      <c r="AH232" s="92" t="str">
        <f t="shared" si="68"/>
        <v>"%USERPROFILE%\Documents\GitHub\eaglep3\Utilities\RefineRTDCRunTimes.py" --tripid 89-30 --locoid 4007 --swversion DE.1.0.8.0 --startMP 204:404 --initTime 2016-11-30T18:11:45 --startdatetime 2016-11-30T18:14:21 --delay 1 --endMP 300:24229 --enddatetime 2016-11-30T18:22:32 --enforcementcount 0 &gt;&gt;C:\Users\stu\Documents\GitHub\eaglep3-reporting\EC\2016-11-30-refined-times.txt</v>
      </c>
      <c r="AI232" s="119" t="str">
        <f t="shared" si="69"/>
        <v>echo {"issue":{"subject":"","project_id":79,"tracker_id":40,"status_id":1,"priority_id":2,"assigned_to_id":23,"start_date":"2016-11-30","description":"","custom_fields":[{"id":1,"name":"Subdivision","value":"Other"},{"id":4,"name":"Milepost","value":"2.4229"},{"id":17,"name":"Train ID","value":"89-30"},{"id":16,"name":"Locomotive ID","value":"4007"},{"id":130,"name":"Impact","value":""},{"id":150,"name":"Time of Event (Mountain Time)","value":"18:22:32"},{"id":151,"name":"Denver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53"/>
      <c r="AK232" s="53"/>
      <c r="AL232" s="53"/>
    </row>
    <row r="233" spans="1:38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38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8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3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3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3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  <row r="247" spans="1:3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</row>
    <row r="248" spans="1:3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</row>
  </sheetData>
  <autoFilter ref="A12:AG239">
    <sortState ref="A13:AG242">
      <sortCondition ref="AG13:AG235"/>
      <sortCondition ref="AD13:AD235"/>
    </sortState>
  </autoFilter>
  <sortState ref="A13:AH200">
    <sortCondition ref="AG13:AG200"/>
    <sortCondition ref="AD13:AD200"/>
  </sortState>
  <mergeCells count="1">
    <mergeCell ref="A11:P11"/>
  </mergeCells>
  <conditionalFormatting sqref="W11:W12 W249:X1048576 W13:X232">
    <cfRule type="cellIs" dxfId="10" priority="344" operator="equal">
      <formula>"Y"</formula>
    </cfRule>
  </conditionalFormatting>
  <conditionalFormatting sqref="X249:X1048576 X13:X232">
    <cfRule type="cellIs" dxfId="9" priority="327" operator="greaterThan">
      <formula>1</formula>
    </cfRule>
  </conditionalFormatting>
  <conditionalFormatting sqref="X249:X1048576 X12:X232">
    <cfRule type="cellIs" dxfId="8" priority="324" operator="equal">
      <formula>0</formula>
    </cfRule>
  </conditionalFormatting>
  <conditionalFormatting sqref="A13:S232">
    <cfRule type="expression" dxfId="7" priority="318" stopIfTrue="1">
      <formula>$P13&gt;0</formula>
    </cfRule>
    <cfRule type="expression" dxfId="6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A13:S232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AK13:AK232</xm:sqref>
        </x14:dataValidation>
        <x14:dataValidation type="list" allowBlank="1" showInputMessage="1" showErrorMessage="1">
          <x14:formula1>
            <xm:f>'Redmine List Values'!$C$2:$C$15</xm:f>
          </x14:formula1>
          <xm:sqref>AL13:AL232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75"/>
  <sheetViews>
    <sheetView topLeftCell="A2" workbookViewId="0">
      <selection activeCell="N15" sqref="N15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6" customWidth="1"/>
    <col min="5" max="5" width="18.5703125" style="136" customWidth="1"/>
    <col min="6" max="6" width="5.7109375" style="136" customWidth="1"/>
    <col min="7" max="7" width="5.85546875" style="136" customWidth="1"/>
    <col min="8" max="8" width="7.85546875" style="136" customWidth="1"/>
    <col min="9" max="9" width="9" style="136" customWidth="1"/>
    <col min="10" max="10" width="11.5703125" style="136" hidden="1" customWidth="1"/>
    <col min="11" max="11" width="9.140625" style="136" customWidth="1"/>
    <col min="12" max="12" width="7.85546875" style="136" customWidth="1"/>
    <col min="13" max="13" width="7.85546875" style="2" customWidth="1"/>
    <col min="14" max="14" width="12.140625" style="135" customWidth="1"/>
    <col min="15" max="15" width="5.140625" style="165" customWidth="1"/>
    <col min="16" max="16" width="31" style="136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8" customWidth="1"/>
  </cols>
  <sheetData>
    <row r="1" spans="1:30" s="21" customFormat="1" ht="15.75" hidden="1" thickBot="1" x14ac:dyDescent="0.3">
      <c r="A1" s="8"/>
      <c r="D1" s="136"/>
      <c r="E1" s="136"/>
      <c r="F1" s="136"/>
      <c r="G1" s="136"/>
      <c r="H1" s="136"/>
      <c r="I1" s="136"/>
      <c r="J1" s="136"/>
      <c r="K1" s="136"/>
      <c r="L1" s="136"/>
      <c r="M1" s="2"/>
      <c r="N1" s="135"/>
      <c r="O1" s="165"/>
      <c r="P1" s="136"/>
      <c r="R1" s="89"/>
      <c r="S1" s="101"/>
      <c r="T1" s="86"/>
      <c r="V1" s="48"/>
      <c r="AC1" s="138"/>
    </row>
    <row r="2" spans="1:30" s="21" customFormat="1" x14ac:dyDescent="0.25">
      <c r="A2" s="8"/>
      <c r="D2" s="136"/>
      <c r="E2" s="136"/>
      <c r="F2" s="136"/>
      <c r="G2" s="136"/>
      <c r="H2" s="136"/>
      <c r="I2" s="136"/>
      <c r="J2" s="136"/>
      <c r="K2" s="136"/>
      <c r="L2" s="147" t="s">
        <v>80</v>
      </c>
      <c r="M2" s="131"/>
      <c r="N2" s="148"/>
      <c r="O2" s="179">
        <f>COUNTIF($O$7:$O$334,"=Y")</f>
        <v>2</v>
      </c>
      <c r="P2" s="133"/>
      <c r="R2" s="89"/>
      <c r="S2" s="101"/>
      <c r="T2" s="86"/>
      <c r="V2" s="48"/>
      <c r="AC2" s="139"/>
    </row>
    <row r="3" spans="1:30" s="21" customFormat="1" ht="15.75" thickBot="1" x14ac:dyDescent="0.3">
      <c r="A3" s="8"/>
      <c r="D3" s="136"/>
      <c r="E3" s="136"/>
      <c r="F3" s="136"/>
      <c r="G3" s="136"/>
      <c r="H3" s="136"/>
      <c r="I3" s="136"/>
      <c r="J3" s="136"/>
      <c r="K3" s="136"/>
      <c r="L3" s="149" t="s">
        <v>81</v>
      </c>
      <c r="M3" s="132"/>
      <c r="N3" s="150"/>
      <c r="O3" s="180">
        <f>COUNTA($O$7:$O$334)-O2</f>
        <v>32</v>
      </c>
      <c r="P3" s="133"/>
      <c r="R3" s="89"/>
      <c r="S3" s="101"/>
      <c r="T3" s="86"/>
      <c r="V3" s="48"/>
      <c r="AC3" s="139"/>
    </row>
    <row r="4" spans="1:30" s="21" customFormat="1" x14ac:dyDescent="0.25">
      <c r="A4" s="8"/>
      <c r="D4" s="136"/>
      <c r="E4" s="136"/>
      <c r="F4" s="136"/>
      <c r="G4" s="136"/>
      <c r="H4" s="136"/>
      <c r="I4" s="136"/>
      <c r="J4" s="136"/>
      <c r="K4" s="136"/>
      <c r="L4" s="136"/>
      <c r="M4" s="2"/>
      <c r="N4" s="135"/>
      <c r="O4" s="165"/>
      <c r="P4" s="136"/>
      <c r="R4" s="89"/>
      <c r="S4" s="101"/>
      <c r="T4" s="86"/>
      <c r="V4" s="48"/>
      <c r="AC4" s="139"/>
    </row>
    <row r="5" spans="1:30" s="10" customFormat="1" ht="15" customHeight="1" x14ac:dyDescent="0.25">
      <c r="A5" s="183" t="str">
        <f>"Eagle P3 Braking Events - "&amp;TEXT(Variables!$A$2,"YYYY-mm-dd")</f>
        <v>Eagle P3 Braking Events - 2016-11-30</v>
      </c>
      <c r="B5" s="183"/>
      <c r="C5" s="183"/>
      <c r="D5" s="183"/>
      <c r="E5" s="183"/>
      <c r="F5" s="183"/>
      <c r="G5" s="183"/>
      <c r="H5" s="183"/>
      <c r="I5" s="183"/>
      <c r="J5" s="183"/>
      <c r="K5" s="183"/>
      <c r="L5" s="183"/>
      <c r="M5" s="183"/>
      <c r="N5" s="183"/>
      <c r="O5" s="183"/>
      <c r="P5" s="151"/>
      <c r="R5" s="99"/>
      <c r="S5" s="102"/>
      <c r="T5" s="104"/>
      <c r="V5" s="49"/>
      <c r="AC5" s="140"/>
    </row>
    <row r="6" spans="1:30" s="130" customFormat="1" ht="69.75" customHeight="1" x14ac:dyDescent="0.2">
      <c r="A6" s="120" t="s">
        <v>38</v>
      </c>
      <c r="B6" s="121" t="s">
        <v>37</v>
      </c>
      <c r="C6" s="121" t="s">
        <v>36</v>
      </c>
      <c r="D6" s="137" t="s">
        <v>35</v>
      </c>
      <c r="E6" s="137" t="s">
        <v>34</v>
      </c>
      <c r="F6" s="137" t="s">
        <v>33</v>
      </c>
      <c r="G6" s="137" t="s">
        <v>32</v>
      </c>
      <c r="H6" s="137" t="s">
        <v>31</v>
      </c>
      <c r="I6" s="137" t="s">
        <v>156</v>
      </c>
      <c r="J6" s="137" t="s">
        <v>30</v>
      </c>
      <c r="K6" s="137" t="s">
        <v>29</v>
      </c>
      <c r="L6" s="137" t="s">
        <v>28</v>
      </c>
      <c r="M6" s="122" t="s">
        <v>157</v>
      </c>
      <c r="N6" s="152" t="s">
        <v>47</v>
      </c>
      <c r="O6" s="181" t="s">
        <v>27</v>
      </c>
      <c r="P6" s="137" t="s">
        <v>24</v>
      </c>
      <c r="Q6" s="123"/>
      <c r="R6" s="124" t="s">
        <v>89</v>
      </c>
      <c r="S6" s="125" t="s">
        <v>55</v>
      </c>
      <c r="T6" s="126" t="s">
        <v>88</v>
      </c>
      <c r="U6" s="121" t="s">
        <v>83</v>
      </c>
      <c r="V6" s="127" t="s">
        <v>84</v>
      </c>
      <c r="W6" s="123" t="s">
        <v>96</v>
      </c>
      <c r="X6" s="123" t="s">
        <v>97</v>
      </c>
      <c r="Y6" s="128" t="s">
        <v>148</v>
      </c>
      <c r="Z6" s="129" t="s">
        <v>149</v>
      </c>
      <c r="AA6" s="129" t="s">
        <v>122</v>
      </c>
      <c r="AB6" s="129" t="s">
        <v>150</v>
      </c>
      <c r="AC6" s="141" t="s">
        <v>176</v>
      </c>
      <c r="AD6" s="130" t="s">
        <v>240</v>
      </c>
    </row>
    <row r="7" spans="1:30" s="1" customFormat="1" x14ac:dyDescent="0.25">
      <c r="A7" s="36">
        <v>42704.465196759258</v>
      </c>
      <c r="B7" s="31" t="s">
        <v>218</v>
      </c>
      <c r="C7" s="31" t="s">
        <v>535</v>
      </c>
      <c r="D7" s="31" t="s">
        <v>49</v>
      </c>
      <c r="E7" s="31" t="s">
        <v>475</v>
      </c>
      <c r="F7" s="47">
        <v>0</v>
      </c>
      <c r="G7" s="47">
        <v>284</v>
      </c>
      <c r="H7" s="47">
        <v>33501</v>
      </c>
      <c r="I7" s="47">
        <v>32976</v>
      </c>
      <c r="J7" s="31" t="s">
        <v>476</v>
      </c>
      <c r="K7" s="47">
        <v>33257</v>
      </c>
      <c r="L7" s="154" t="s">
        <v>51</v>
      </c>
      <c r="M7" s="155">
        <f t="shared" ref="M7:M40" si="0">CONVERT((I7-K7)/10000,"mi","ft")*IF(L7="Increasing Mileposts (1)",-1,1)</f>
        <v>-148.36799999999999</v>
      </c>
      <c r="N7" s="156" t="str">
        <f>VLOOKUP(C7,'Trips&amp;Operators'!$C$1:$G$99999,5,FALSE)</f>
        <v>SPECTOR MICHAEL</v>
      </c>
      <c r="O7" s="182" t="s">
        <v>198</v>
      </c>
      <c r="P7" s="157" t="s">
        <v>514</v>
      </c>
      <c r="Q7" s="31"/>
      <c r="R7" s="100" t="str">
        <f>VLOOKUP(C7,'Train Runs'!$A$13:$AE$9983,31,0)</f>
        <v>aws s3 cp s3://rtdc.mdm.uploadarchive.raw/RTDC4012/ "%USERPROFILE%\AppData\Local\Temp\OnboardLogs"\RTDC4012\2016-11-30 --exclude "*" --recursive --include "*20161130*" &amp; "%USERPROFILE%\Documents\GitHub\mrs-test-scripts\Headless Mode &amp; Sideloading\WalkAndUnGZ.bat" "%USERPROFILE%\AppData\Local\Temp\OnboardLogs"\RTDC4012\2016-11-30 &amp; aws s3 cp s3://rtdc.mdm.uploadarchive.raw/RTDC4012/ "%USERPROFILE%\AppData\Local\Temp\OnboardLogs"\RTDC4012\2016-12-01 --exclude "*" --recursive --include "*20161201*" &amp; "%USERPROFILE%\Documents\GitHub\mrs-test-scripts\Headless Mode &amp; Sideloading\WalkAndUnGZ.bat" "%USERPROFILE%\AppData\Local\Temp\OnboardLogs"\RTDC4012\2016-12-01</v>
      </c>
      <c r="S7" s="103" t="str">
        <f>VLOOKUP(C7,'Train Runs'!$A$13:$AE$9983,22,0)</f>
        <v>https://search-rtdc-monitor-bjffxe2xuh6vdkpspy63sjmuny.us-east-1.es.amazonaws.com/_plugin/kibana/#/discover/Steve-Slow-Train-Analysis-(2080s-and-2083s)?_g=(refreshInterval:(display:Off,section:0,value:0),time:(from:'2016-11-30 09:36:45-700',mode:absolute,to:'2016-11-30 12:19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7" s="105" t="str">
        <f t="shared" ref="T7:T40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/stypes="*4012*201611301*" /stext=" 18:.+((SYSTEM_STATE.+slice.+state.+changed )|(ment ac)|(multiple cpu faults)|(system.+state.+changed )|(\[timeout)|(PRM\|1\|D)|(kpr)|(kdp)|(\|lc)|(penalty))" /e /r /s</v>
      </c>
      <c r="U7" s="9" t="str">
        <f t="shared" ref="U7:U40" si="2">MID(B7,13,4)</f>
        <v>4012</v>
      </c>
      <c r="V7" s="36">
        <f t="shared" ref="V7:V40" si="3">A7-utc_offset/24</f>
        <v>42704.756863425922</v>
      </c>
      <c r="W7" s="50" t="str">
        <f t="shared" ref="W7:W40" si="4">IF(VALUE(LEFT(IF(LEN(C7)=6,"0"&amp;C7,C7),2))&lt;=2,"EC",IF(OR(VALUE(LEFT(IF(LEN(C7)=6,"0"&amp;C7,C7),2))=8,VALUE(LEFT(IF(LEN(C7)=6,"0"&amp;C7,C7),2))=18),"NW","Other"))</f>
        <v>EC</v>
      </c>
      <c r="X7" s="50" t="str">
        <f t="shared" ref="X7:X40" si="5">IF(AND(E7="TRACK WARRANT AUTHORITY",G7&lt;10),"OMIT","KEEP")</f>
        <v>KEEP</v>
      </c>
      <c r="Y7" s="119" t="str">
        <f t="shared" ref="Y7:Y40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arrival","project_id":79,"tracker_id":40,"status_id":1,"priority_id":2,"assigned_to_id":23,"start_date":"2016-11-30","description":"","custom_fields":[{"id":1,"name":"Subdivision","value":"EC"},{"id":4,"name":"Milepost","value":"3.3257"},{"id":17,"name":"Train ID","value":"150-30"},{"id":16,"name":"Locomotive ID","value":"4012"},{"id":130,"name":"Impact","value":""},{"id":150,"name":"Time of Event (Mountain Time)","value":"11:09:53"},{"id":151,"name":"Denver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8" t="str">
        <f t="shared" ref="AC7:AC40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"%USERPROFILE%\AppData\Local\Temp\OnboardLogs"\RTDC4012\*4012*201611301*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"%USERPROFILE%\AppData\Local\Temp\OnboardLogs"\RTDC4012\*4012*201611301* &gt;&gt; 42704-slicedisagreementcheck.txt</v>
      </c>
    </row>
    <row r="8" spans="1:30" s="1" customFormat="1" x14ac:dyDescent="0.25">
      <c r="A8" s="36">
        <v>42704.470381944448</v>
      </c>
      <c r="B8" s="31" t="s">
        <v>222</v>
      </c>
      <c r="C8" s="31" t="s">
        <v>536</v>
      </c>
      <c r="D8" s="31" t="s">
        <v>98</v>
      </c>
      <c r="E8" s="31" t="s">
        <v>199</v>
      </c>
      <c r="F8" s="47">
        <v>200</v>
      </c>
      <c r="G8" s="47">
        <v>256</v>
      </c>
      <c r="H8" s="47">
        <v>5382</v>
      </c>
      <c r="I8" s="47">
        <v>6084</v>
      </c>
      <c r="J8" s="31" t="s">
        <v>200</v>
      </c>
      <c r="K8" s="47">
        <v>4677</v>
      </c>
      <c r="L8" s="154" t="s">
        <v>50</v>
      </c>
      <c r="M8" s="155">
        <f t="shared" si="0"/>
        <v>-742.89599999999996</v>
      </c>
      <c r="N8" s="156" t="str">
        <f>VLOOKUP(C8,'Trips&amp;Operators'!$C$1:$G$99999,5,FALSE)</f>
        <v>BARTLETT KIANDRA</v>
      </c>
      <c r="O8" s="182" t="s">
        <v>198</v>
      </c>
      <c r="P8" s="157"/>
      <c r="Q8" s="31"/>
      <c r="R8" s="100" t="str">
        <f>VLOOKUP(C8,'Train Runs'!$A$13:$AE$9983,31,0)</f>
        <v>aws s3 cp s3://rtdc.mdm.uploadarchive.raw/RTDC4022/ "%USERPROFILE%\AppData\Local\Temp\OnboardLogs"\RTDC4022\2016-11-30 --exclude "*" --recursive --include "*20161130*" &amp; "%USERPROFILE%\Documents\GitHub\mrs-test-scripts\Headless Mode &amp; Sideloading\WalkAndUnGZ.bat" "%USERPROFILE%\AppData\Local\Temp\OnboardLogs"\RTDC4022\2016-11-30 &amp; aws s3 cp s3://rtdc.mdm.uploadarchive.raw/RTDC4022/ "%USERPROFILE%\AppData\Local\Temp\OnboardLogs"\RTDC4022\2016-12-01 --exclude "*" --recursive --include "*20161201*" &amp; "%USERPROFILE%\Documents\GitHub\mrs-test-scripts\Headless Mode &amp; Sideloading\WalkAndUnGZ.bat" "%USERPROFILE%\AppData\Local\Temp\OnboardLogs"\RTDC4022\2016-12-01</v>
      </c>
      <c r="S8" s="103" t="str">
        <f>VLOOKUP(C8,'Train Runs'!$A$13:$AE$9983,22,0)</f>
        <v>https://search-rtdc-monitor-bjffxe2xuh6vdkpspy63sjmuny.us-east-1.es.amazonaws.com/_plugin/kibana/#/discover/Steve-Slow-Train-Analysis-(2080s-and-2083s)?_g=(refreshInterval:(display:Off,section:0,value:0),time:(from:'2016-11-30 10:07:04-700',mode:absolute,to:'2016-11-30 12:51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8" s="105" t="str">
        <f t="shared" si="1"/>
        <v>"C:\Program Files (x86)\AstroGrep\AstroGrep.exe" /spath="%USERPROFILE%\AppData\Local\Temp\OnboardLogs" /stypes="*4022*201611301*" /stext=" 18:.+((SYSTEM_STATE.+slice.+state.+changed )|(ment ac)|(multiple cpu faults)|(system.+state.+changed )|(\[timeout)|(PRM\|1\|D)|(kpr)|(kdp)|(\|lc)|(penalty))" /e /r /s</v>
      </c>
      <c r="U8" s="9" t="str">
        <f t="shared" si="2"/>
        <v>4022</v>
      </c>
      <c r="V8" s="36">
        <f t="shared" si="3"/>
        <v>42704.762048611112</v>
      </c>
      <c r="W8" s="50" t="str">
        <f t="shared" si="4"/>
        <v>EC</v>
      </c>
      <c r="X8" s="50" t="str">
        <f t="shared" si="5"/>
        <v>KEEP</v>
      </c>
      <c r="Y8" s="119" t="str">
        <f t="shared" si="6"/>
        <v>echo {"issue":{"subject":"","project_id":79,"tracker_id":40,"status_id":1,"priority_id":2,"assigned_to_id":23,"start_date":"2016-11-30","description":"","custom_fields":[{"id":1,"name":"Subdivision","value":"EC"},{"id":4,"name":"Milepost","value":"0.4677"},{"id":17,"name":"Train ID","value":"161-30"},{"id":16,"name":"Locomotive ID","value":"4022"},{"id":130,"name":"Impact","value":""},{"id":150,"name":"Time of Event (Mountain Time)","value":"11:17:21"},{"id":151,"name":"Denver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8" t="str">
        <f t="shared" si="7"/>
        <v>grep -hSE -A100 "Enforcement Action" "%USERPROFILE%\AppData\Local\Temp\OnboardLogs"\RTDC4022\*4022*201611301*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"%USERPROFILE%\AppData\Local\Temp\OnboardLogs"\RTDC4022\*4022*201611301* &gt;&gt; 42704-slicedisagreementcheck.txt</v>
      </c>
    </row>
    <row r="9" spans="1:30" s="1" customFormat="1" x14ac:dyDescent="0.25">
      <c r="A9" s="36">
        <v>42704.604108796295</v>
      </c>
      <c r="B9" s="31" t="s">
        <v>479</v>
      </c>
      <c r="C9" s="31" t="s">
        <v>544</v>
      </c>
      <c r="D9" s="31" t="s">
        <v>98</v>
      </c>
      <c r="E9" s="31" t="s">
        <v>199</v>
      </c>
      <c r="F9" s="47">
        <v>400</v>
      </c>
      <c r="G9" s="47">
        <v>450</v>
      </c>
      <c r="H9" s="47">
        <v>17835</v>
      </c>
      <c r="I9" s="47">
        <v>15162</v>
      </c>
      <c r="J9" s="31" t="s">
        <v>200</v>
      </c>
      <c r="K9" s="47">
        <v>20309</v>
      </c>
      <c r="L9" s="154" t="s">
        <v>51</v>
      </c>
      <c r="M9" s="155">
        <f t="shared" si="0"/>
        <v>-2717.6160000000004</v>
      </c>
      <c r="N9" s="156" t="str">
        <f>VLOOKUP(C9,'Trips&amp;Operators'!$C$1:$G$99999,5,FALSE)</f>
        <v>BARTLETT KIANDRA</v>
      </c>
      <c r="O9" s="182" t="s">
        <v>198</v>
      </c>
      <c r="P9" s="157"/>
      <c r="Q9" s="31"/>
      <c r="R9" s="100" t="str">
        <f>VLOOKUP(C9,'Train Runs'!$A$13:$AE$9983,31,0)</f>
        <v>aws s3 cp s3://rtdc.mdm.uploadarchive.raw/RTDC4021/ "%USERPROFILE%\AppData\Local\Temp\OnboardLogs"\RTDC4021\2016-11-30 --exclude "*" --recursive --include "*20161130*" &amp; "%USERPROFILE%\Documents\GitHub\mrs-test-scripts\Headless Mode &amp; Sideloading\WalkAndUnGZ.bat" "%USERPROFILE%\AppData\Local\Temp\OnboardLogs"\RTDC4021\2016-11-30 &amp; aws s3 cp s3://rtdc.mdm.uploadarchive.raw/RTDC4021/ "%USERPROFILE%\AppData\Local\Temp\OnboardLogs"\RTDC4021\2016-12-01 --exclude "*" --recursive --include "*20161201*" &amp; "%USERPROFILE%\Documents\GitHub\mrs-test-scripts\Headless Mode &amp; Sideloading\WalkAndUnGZ.bat" "%USERPROFILE%\AppData\Local\Temp\OnboardLogs"\RTDC4021\2016-12-01</v>
      </c>
      <c r="S9" s="103" t="str">
        <f>VLOOKUP(C9,'Train Runs'!$A$13:$AE$9983,22,0)</f>
        <v>https://search-rtdc-monitor-bjffxe2xuh6vdkpspy63sjmuny.us-east-1.es.amazonaws.com/_plugin/kibana/#/discover/Steve-Slow-Train-Analysis-(2080s-and-2083s)?_g=(refreshInterval:(display:Off,section:0,value:0),time:(from:'2016-11-30 12:39:57-700',mode:absolute,to:'2016-11-30 15:34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9" s="105" t="str">
        <f t="shared" si="1"/>
        <v>"C:\Program Files (x86)\AstroGrep\AstroGrep.exe" /spath="%USERPROFILE%\AppData\Local\Temp\OnboardLogs" /stypes="*4021*201611302*" /stext=" 21:.+((SYSTEM_STATE.+slice.+state.+changed )|(ment ac)|(multiple cpu faults)|(system.+state.+changed )|(\[timeout)|(PRM\|1\|D)|(kpr)|(kdp)|(\|lc)|(penalty))" /e /r /s</v>
      </c>
      <c r="U9" s="9" t="str">
        <f t="shared" si="2"/>
        <v>4021</v>
      </c>
      <c r="V9" s="36">
        <f t="shared" si="3"/>
        <v>42704.895775462959</v>
      </c>
      <c r="W9" s="50" t="str">
        <f t="shared" si="4"/>
        <v>EC</v>
      </c>
      <c r="X9" s="50" t="str">
        <f t="shared" si="5"/>
        <v>KEEP</v>
      </c>
      <c r="Y9" s="119" t="str">
        <f t="shared" si="6"/>
        <v>echo {"issue":{"subject":"","project_id":79,"tracker_id":40,"status_id":1,"priority_id":2,"assigned_to_id":23,"start_date":"2016-11-30","description":"","custom_fields":[{"id":1,"name":"Subdivision","value":"EC"},{"id":4,"name":"Milepost","value":"2.0309"},{"id":17,"name":"Train ID","value":"176-30"},{"id":16,"name":"Locomotive ID","value":"4021"},{"id":130,"name":"Impact","value":""},{"id":150,"name":"Time of Event (Mountain Time)","value":"14:29:55"},{"id":151,"name":"Denver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8" t="str">
        <f t="shared" si="7"/>
        <v>grep -hSE -A100 "Enforcement Action" "%USERPROFILE%\AppData\Local\Temp\OnboardLogs"\RTDC4021\*4021*201611302*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"%USERPROFILE%\AppData\Local\Temp\OnboardLogs"\RTDC4021\*4021*201611302* &gt;&gt; 42704-slicedisagreementcheck.txt</v>
      </c>
    </row>
    <row r="10" spans="1:30" s="1" customFormat="1" x14ac:dyDescent="0.25">
      <c r="A10" s="36">
        <v>42704.572939814818</v>
      </c>
      <c r="B10" s="31" t="s">
        <v>210</v>
      </c>
      <c r="C10" s="31" t="s">
        <v>542</v>
      </c>
      <c r="D10" s="31" t="s">
        <v>98</v>
      </c>
      <c r="E10" s="31" t="s">
        <v>199</v>
      </c>
      <c r="F10" s="47">
        <v>700</v>
      </c>
      <c r="G10" s="47">
        <v>752</v>
      </c>
      <c r="H10" s="47">
        <v>174158</v>
      </c>
      <c r="I10" s="47">
        <v>177157</v>
      </c>
      <c r="J10" s="31" t="s">
        <v>200</v>
      </c>
      <c r="K10" s="47">
        <v>161962</v>
      </c>
      <c r="L10" s="154" t="s">
        <v>50</v>
      </c>
      <c r="M10" s="155">
        <f t="shared" si="0"/>
        <v>-8022.96</v>
      </c>
      <c r="N10" s="156" t="str">
        <f>VLOOKUP(C10,'Trips&amp;Operators'!$C$1:$G$99999,5,FALSE)</f>
        <v>DAVIDSON DAVID</v>
      </c>
      <c r="O10" s="182" t="s">
        <v>198</v>
      </c>
      <c r="P10" s="157"/>
      <c r="Q10" s="31"/>
      <c r="R10" s="100" t="str">
        <f>VLOOKUP(C10,'Train Runs'!$A$13:$AE$9983,31,0)</f>
        <v>aws s3 cp s3://rtdc.mdm.uploadarchive.raw/RTDC4011/ "%USERPROFILE%\AppData\Local\Temp\OnboardLogs"\RTDC4011\2016-11-30 --exclude "*" --recursive --include "*20161130*" &amp; "%USERPROFILE%\Documents\GitHub\mrs-test-scripts\Headless Mode &amp; Sideloading\WalkAndUnGZ.bat" "%USERPROFILE%\AppData\Local\Temp\OnboardLogs"\RTDC4011\2016-11-30 &amp; aws s3 cp s3://rtdc.mdm.uploadarchive.raw/RTDC4011/ "%USERPROFILE%\AppData\Local\Temp\OnboardLogs"\RTDC4011\2016-12-01 --exclude "*" --recursive --include "*20161201*" &amp; "%USERPROFILE%\Documents\GitHub\mrs-test-scripts\Headless Mode &amp; Sideloading\WalkAndUnGZ.bat" "%USERPROFILE%\AppData\Local\Temp\OnboardLogs"\RTDC4011\2016-12-01</v>
      </c>
      <c r="S10" s="103" t="str">
        <f>VLOOKUP(C10,'Train Runs'!$A$13:$AE$9983,22,0)</f>
        <v>https://search-rtdc-monitor-bjffxe2xuh6vdkpspy63sjmuny.us-east-1.es.amazonaws.com/_plugin/kibana/#/discover/Steve-Slow-Train-Analysis-(2080s-and-2083s)?_g=(refreshInterval:(display:Off,section:0,value:0),time:(from:'2016-11-30 12:07:43-700',mode:absolute,to:'2016-11-30 14:53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10" s="105" t="str">
        <f t="shared" si="1"/>
        <v>"C:\Program Files (x86)\AstroGrep\AstroGrep.exe" /spath="%USERPROFILE%\AppData\Local\Temp\OnboardLogs" /stypes="*4011*201611302*" /stext=" 20:.+((SYSTEM_STATE.+slice.+state.+changed )|(ment ac)|(multiple cpu faults)|(system.+state.+changed )|(\[timeout)|(PRM\|1\|D)|(kpr)|(kdp)|(\|lc)|(penalty))" /e /r /s</v>
      </c>
      <c r="U10" s="9" t="str">
        <f t="shared" si="2"/>
        <v>4011</v>
      </c>
      <c r="V10" s="36">
        <f t="shared" si="3"/>
        <v>42704.864606481482</v>
      </c>
      <c r="W10" s="50" t="str">
        <f t="shared" si="4"/>
        <v>EC</v>
      </c>
      <c r="X10" s="50" t="str">
        <f t="shared" si="5"/>
        <v>KEEP</v>
      </c>
      <c r="Y10" s="119" t="str">
        <f t="shared" si="6"/>
        <v>echo {"issue":{"subject":"","project_id":79,"tracker_id":40,"status_id":1,"priority_id":2,"assigned_to_id":23,"start_date":"2016-11-30","description":"","custom_fields":[{"id":1,"name":"Subdivision","value":"EC"},{"id":4,"name":"Milepost","value":"16.1962"},{"id":17,"name":"Train ID","value":"177-30"},{"id":16,"name":"Locomotive ID","value":"4011"},{"id":130,"name":"Impact","value":""},{"id":150,"name":"Time of Event (Mountain Time)","value":"13:45:02"},{"id":151,"name":"Denver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8" t="str">
        <f t="shared" si="7"/>
        <v>grep -hSE -A100 "Enforcement Action" "%USERPROFILE%\AppData\Local\Temp\OnboardLogs"\RTDC4011\*4011*201611302*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"%USERPROFILE%\AppData\Local\Temp\OnboardLogs"\RTDC4011\*4011*201611302* &gt;&gt; 42704-slicedisagreementcheck.txt</v>
      </c>
    </row>
    <row r="11" spans="1:30" s="1" customFormat="1" x14ac:dyDescent="0.25">
      <c r="A11" s="36">
        <v>42704.53361111111</v>
      </c>
      <c r="B11" s="31" t="s">
        <v>267</v>
      </c>
      <c r="C11" s="31" t="s">
        <v>540</v>
      </c>
      <c r="D11" s="31" t="s">
        <v>98</v>
      </c>
      <c r="E11" s="31" t="s">
        <v>199</v>
      </c>
      <c r="F11" s="47">
        <v>600</v>
      </c>
      <c r="G11" s="47">
        <v>652</v>
      </c>
      <c r="H11" s="47">
        <v>184352</v>
      </c>
      <c r="I11" s="47">
        <v>181467</v>
      </c>
      <c r="J11" s="31" t="s">
        <v>200</v>
      </c>
      <c r="K11" s="47">
        <v>190834</v>
      </c>
      <c r="L11" s="154" t="s">
        <v>51</v>
      </c>
      <c r="M11" s="155">
        <f t="shared" si="0"/>
        <v>-4945.7759999999998</v>
      </c>
      <c r="N11" s="156" t="str">
        <f>VLOOKUP(C11,'Trips&amp;Operators'!$C$1:$G$99999,5,FALSE)</f>
        <v>ADANE ELSHADAY</v>
      </c>
      <c r="O11" s="182" t="s">
        <v>198</v>
      </c>
      <c r="P11" s="157"/>
      <c r="Q11" s="31"/>
      <c r="R11" s="100" t="str">
        <f>VLOOKUP(C11,'Train Runs'!$A$13:$AE$9983,31,0)</f>
        <v>aws s3 cp s3://rtdc.mdm.uploadarchive.raw/RTDC4004/ "%USERPROFILE%\AppData\Local\Temp\OnboardLogs"\RTDC4004\2016-11-30 --exclude "*" --recursive --include "*20161130*" &amp; "%USERPROFILE%\Documents\GitHub\mrs-test-scripts\Headless Mode &amp; Sideloading\WalkAndUnGZ.bat" "%USERPROFILE%\AppData\Local\Temp\OnboardLogs"\RTDC4004\2016-11-30 &amp; aws s3 cp s3://rtdc.mdm.uploadarchive.raw/RTDC4004/ "%USERPROFILE%\AppData\Local\Temp\OnboardLogs"\RTDC4004\2016-12-01 --exclude "*" --recursive --include "*20161201*" &amp; "%USERPROFILE%\Documents\GitHub\mrs-test-scripts\Headless Mode &amp; Sideloading\WalkAndUnGZ.bat" "%USERPROFILE%\AppData\Local\Temp\OnboardLogs"\RTDC4004\2016-12-01</v>
      </c>
      <c r="S11" s="103" t="str">
        <f>VLOOKUP(C11,'Train Runs'!$A$13:$AE$9983,22,0)</f>
        <v>https://search-rtdc-monitor-bjffxe2xuh6vdkpspy63sjmuny.us-east-1.es.amazonaws.com/_plugin/kibana/#/discover/Steve-Slow-Train-Analysis-(2080s-and-2083s)?_g=(refreshInterval:(display:Off,section:0,value:0),time:(from:'2016-11-30 11:25:12-700',mode:absolute,to:'2016-11-30 14:18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11" s="105" t="str">
        <f t="shared" si="1"/>
        <v>"C:\Program Files (x86)\AstroGrep\AstroGrep.exe" /spath="%USERPROFILE%\AppData\Local\Temp\OnboardLogs" /stypes="*4004*201611301*" /stext=" 19:.+((SYSTEM_STATE.+slice.+state.+changed )|(ment ac)|(multiple cpu faults)|(system.+state.+changed )|(\[timeout)|(PRM\|1\|D)|(kpr)|(kdp)|(\|lc)|(penalty))" /e /r /s</v>
      </c>
      <c r="U11" s="9" t="str">
        <f t="shared" si="2"/>
        <v>4004</v>
      </c>
      <c r="V11" s="36">
        <f t="shared" si="3"/>
        <v>42704.825277777774</v>
      </c>
      <c r="W11" s="50" t="str">
        <f t="shared" si="4"/>
        <v>EC</v>
      </c>
      <c r="X11" s="50" t="str">
        <f t="shared" si="5"/>
        <v>KEEP</v>
      </c>
      <c r="Y11" s="119" t="str">
        <f t="shared" si="6"/>
        <v>echo {"issue":{"subject":"","project_id":79,"tracker_id":40,"status_id":1,"priority_id":2,"assigned_to_id":23,"start_date":"2016-11-30","description":"","custom_fields":[{"id":1,"name":"Subdivision","value":"EC"},{"id":4,"name":"Milepost","value":"19.0834"},{"id":17,"name":"Train ID","value":"166-30"},{"id":16,"name":"Locomotive ID","value":"4004"},{"id":130,"name":"Impact","value":""},{"id":150,"name":"Time of Event (Mountain Time)","value":"12:48:24"},{"id":151,"name":"Denver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8" t="str">
        <f t="shared" si="7"/>
        <v>grep -hSE -A100 "Enforcement Action" "%USERPROFILE%\AppData\Local\Temp\OnboardLogs"\RTDC4004\*4004*201611301*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"%USERPROFILE%\AppData\Local\Temp\OnboardLogs"\RTDC4004\*4004*201611301* &gt;&gt; 42704-slicedisagreementcheck.txt</v>
      </c>
    </row>
    <row r="12" spans="1:30" s="1" customFormat="1" x14ac:dyDescent="0.25">
      <c r="A12" s="36">
        <v>42704.290266203701</v>
      </c>
      <c r="B12" s="31" t="s">
        <v>279</v>
      </c>
      <c r="C12" s="31" t="s">
        <v>524</v>
      </c>
      <c r="D12" s="31" t="s">
        <v>49</v>
      </c>
      <c r="E12" s="31" t="s">
        <v>201</v>
      </c>
      <c r="F12" s="47">
        <v>0</v>
      </c>
      <c r="G12" s="47">
        <v>297</v>
      </c>
      <c r="H12" s="47">
        <v>21091</v>
      </c>
      <c r="I12" s="47">
        <v>20391</v>
      </c>
      <c r="J12" s="31" t="s">
        <v>202</v>
      </c>
      <c r="K12" s="47">
        <v>20632</v>
      </c>
      <c r="L12" s="154" t="s">
        <v>51</v>
      </c>
      <c r="M12" s="155">
        <f t="shared" si="0"/>
        <v>-127.248</v>
      </c>
      <c r="N12" s="156" t="str">
        <f>VLOOKUP(C12,'Trips&amp;Operators'!$C$1:$G$99999,5,FALSE)</f>
        <v>PERKINS DARREN</v>
      </c>
      <c r="O12" s="182" t="s">
        <v>242</v>
      </c>
      <c r="P12" s="157" t="s">
        <v>918</v>
      </c>
      <c r="Q12" s="31"/>
      <c r="R12" s="100" t="str">
        <f>VLOOKUP(C12,'Train Runs'!$A$13:$AE$9983,31,0)</f>
        <v>aws s3 cp s3://rtdc.mdm.uploadarchive.raw/RTDC4032/ "%USERPROFILE%\AppData\Local\Temp\OnboardLogs"\RTDC4032\2016-11-30 --exclude "*" --recursive --include "*20161130*" &amp; "%USERPROFILE%\Documents\GitHub\mrs-test-scripts\Headless Mode &amp; Sideloading\WalkAndUnGZ.bat" "%USERPROFILE%\AppData\Local\Temp\OnboardLogs"\RTDC4032\2016-11-30 &amp; aws s3 cp s3://rtdc.mdm.uploadarchive.raw/RTDC4032/ "%USERPROFILE%\AppData\Local\Temp\OnboardLogs"\RTDC4032\2016-12-01 --exclude "*" --recursive --include "*20161201*" &amp; "%USERPROFILE%\Documents\GitHub\mrs-test-scripts\Headless Mode &amp; Sideloading\WalkAndUnGZ.bat" "%USERPROFILE%\AppData\Local\Temp\OnboardLogs"\RTDC4032\2016-12-01</v>
      </c>
      <c r="S12" s="103" t="str">
        <f>VLOOKUP(C12,'Train Runs'!$A$13:$AE$9983,22,0)</f>
        <v>https://search-rtdc-monitor-bjffxe2xuh6vdkpspy63sjmuny.us-east-1.es.amazonaws.com/_plugin/kibana/#/discover/Steve-Slow-Train-Analysis-(2080s-and-2083s)?_g=(refreshInterval:(display:Off,section:0,value:0),time:(from:'2016-11-30 05:11:21-700',mode:absolute,to:'2016-11-30 07:57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12" s="105" t="str">
        <f t="shared" si="1"/>
        <v>"C:\Program Files (x86)\AstroGrep\AstroGrep.exe" /spath="%USERPROFILE%\AppData\Local\Temp\OnboardLogs" /stypes="*4032*201611301*" /stext=" 13:.+((SYSTEM_STATE.+slice.+state.+changed )|(ment ac)|(multiple cpu faults)|(system.+state.+changed )|(\[timeout)|(PRM\|1\|D)|(kpr)|(kdp)|(\|lc)|(penalty))" /e /r /s</v>
      </c>
      <c r="U12" s="9" t="str">
        <f t="shared" si="2"/>
        <v>4032</v>
      </c>
      <c r="V12" s="36">
        <f t="shared" si="3"/>
        <v>42704.581932870366</v>
      </c>
      <c r="W12" s="50" t="str">
        <f t="shared" si="4"/>
        <v>EC</v>
      </c>
      <c r="X12" s="50" t="str">
        <f t="shared" si="5"/>
        <v>KEEP</v>
      </c>
      <c r="Y12" s="119" t="str">
        <f t="shared" si="6"/>
        <v>echo {"issue":{"subject":"Premature downgrade at EC0206RH 28-2T 2S","project_id":79,"tracker_id":40,"status_id":1,"priority_id":2,"assigned_to_id":23,"start_date":"2016-11-30","description":"At approx 06:57:43, EC0206RH 28-2T 2S dropped to STOP &amp; PROCEED. Did anything wrong occur around this timeframe?","custom_fields":[{"id":1,"name":"Subdivision","value":"EC"},{"id":4,"name":"Milepost","value":"2.0632"},{"id":17,"name":"Train ID","value":"116-30"},{"id":16,"name":"Locomotive ID","value":"4032"},{"id":130,"name":"Impact","value":"Enforcement"},{"id":150,"name":"Time of Event (Mountain Time)","value":"06:57:59"},{"id":151,"name":"Denver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12" s="53" t="s">
        <v>920</v>
      </c>
      <c r="AA12" s="53" t="s">
        <v>125</v>
      </c>
      <c r="AB12" s="53" t="s">
        <v>130</v>
      </c>
      <c r="AC12" s="138" t="str">
        <f t="shared" si="7"/>
        <v>grep -hSE -A100 "Enforcement Action" "%USERPROFILE%\AppData\Local\Temp\OnboardLogs"\RTDC4032\*4032*201611301*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"%USERPROFILE%\AppData\Local\Temp\OnboardLogs"\RTDC4032\*4032*201611301* &gt;&gt; 42704-slicedisagreementcheck.txt</v>
      </c>
    </row>
    <row r="13" spans="1:30" s="1" customFormat="1" x14ac:dyDescent="0.25">
      <c r="A13" s="36">
        <v>42704.300891203704</v>
      </c>
      <c r="B13" s="31" t="s">
        <v>479</v>
      </c>
      <c r="C13" s="31" t="s">
        <v>525</v>
      </c>
      <c r="D13" s="31" t="s">
        <v>98</v>
      </c>
      <c r="E13" s="31" t="s">
        <v>201</v>
      </c>
      <c r="F13" s="47">
        <v>0</v>
      </c>
      <c r="G13" s="47">
        <v>92</v>
      </c>
      <c r="H13" s="47">
        <v>127527</v>
      </c>
      <c r="I13" s="47">
        <v>127421</v>
      </c>
      <c r="J13" s="31" t="s">
        <v>202</v>
      </c>
      <c r="K13" s="47">
        <v>127587</v>
      </c>
      <c r="L13" s="154" t="s">
        <v>51</v>
      </c>
      <c r="M13" s="155">
        <f t="shared" si="0"/>
        <v>-87.647999999999996</v>
      </c>
      <c r="N13" s="156" t="str">
        <f>VLOOKUP(C13,'Trips&amp;Operators'!$C$1:$G$99999,5,FALSE)</f>
        <v>DE LA ROSA ALEX</v>
      </c>
      <c r="O13" s="182" t="s">
        <v>198</v>
      </c>
      <c r="P13" s="157" t="s">
        <v>917</v>
      </c>
      <c r="Q13" s="31"/>
      <c r="R13" s="100" t="str">
        <f>VLOOKUP(C13,'Train Runs'!$A$13:$AE$9983,31,0)</f>
        <v>aws s3 cp s3://rtdc.mdm.uploadarchive.raw/RTDC4021/ "%USERPROFILE%\AppData\Local\Temp\OnboardLogs"\RTDC4021\2016-11-30 --exclude "*" --recursive --include "*20161130*" &amp; "%USERPROFILE%\Documents\GitHub\mrs-test-scripts\Headless Mode &amp; Sideloading\WalkAndUnGZ.bat" "%USERPROFILE%\AppData\Local\Temp\OnboardLogs"\RTDC4021\2016-11-30 &amp; aws s3 cp s3://rtdc.mdm.uploadarchive.raw/RTDC4021/ "%USERPROFILE%\AppData\Local\Temp\OnboardLogs"\RTDC4021\2016-12-01 --exclude "*" --recursive --include "*20161201*" &amp; "%USERPROFILE%\Documents\GitHub\mrs-test-scripts\Headless Mode &amp; Sideloading\WalkAndUnGZ.bat" "%USERPROFILE%\AppData\Local\Temp\OnboardLogs"\RTDC4021\2016-12-01</v>
      </c>
      <c r="S13" s="103" t="str">
        <f>VLOOKUP(C13,'Train Runs'!$A$13:$AE$9983,22,0)</f>
        <v>https://search-rtdc-monitor-bjffxe2xuh6vdkpspy63sjmuny.us-east-1.es.amazonaws.com/_plugin/kibana/#/discover/Steve-Slow-Train-Analysis-(2080s-and-2083s)?_g=(refreshInterval:(display:Off,section:0,value:0),time:(from:'2016-11-30 05:52:17-700',mode:absolute,to:'2016-11-30 08:14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13" s="105" t="str">
        <f t="shared" si="1"/>
        <v>"C:\Program Files (x86)\AstroGrep\AstroGrep.exe" /spath="%USERPROFILE%\AppData\Local\Temp\OnboardLogs" /stypes="*4021*201611301*" /stext=" 14:.+((SYSTEM_STATE.+slice.+state.+changed )|(ment ac)|(multiple cpu faults)|(system.+state.+changed )|(\[timeout)|(PRM\|1\|D)|(kpr)|(kdp)|(\|lc)|(penalty))" /e /r /s</v>
      </c>
      <c r="U13" s="9" t="str">
        <f t="shared" si="2"/>
        <v>4021</v>
      </c>
      <c r="V13" s="36">
        <f t="shared" si="3"/>
        <v>42704.592557870368</v>
      </c>
      <c r="W13" s="50" t="str">
        <f t="shared" si="4"/>
        <v>EC</v>
      </c>
      <c r="X13" s="50" t="str">
        <f t="shared" si="5"/>
        <v>KEEP</v>
      </c>
      <c r="Y13" s="119" t="str">
        <f t="shared" si="6"/>
        <v>echo {"issue":{"subject":"40th 4S STOP","project_id":79,"tracker_id":40,"status_id":1,"priority_id":2,"assigned_to_id":23,"start_date":"2016-11-30","description":"","custom_fields":[{"id":1,"name":"Subdivision","value":"EC"},{"id":4,"name":"Milepost","value":"12.7587"},{"id":17,"name":"Train ID","value":"120-30"},{"id":16,"name":"Locomotive ID","value":"4021"},{"id":130,"name":"Impact","value":""},{"id":150,"name":"Time of Event (Mountain Time)","value":"07:13:17"},{"id":151,"name":"Denver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38" t="str">
        <f t="shared" si="7"/>
        <v>grep -hSE -A100 "Enforcement Action" "%USERPROFILE%\AppData\Local\Temp\OnboardLogs"\RTDC4021\*4021*201611301*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"%USERPROFILE%\AppData\Local\Temp\OnboardLogs"\RTDC4021\*4021*201611301* &gt;&gt; 42704-slicedisagreementcheck.txt</v>
      </c>
    </row>
    <row r="14" spans="1:30" s="1" customFormat="1" x14ac:dyDescent="0.25">
      <c r="A14" s="36">
        <v>42704.300995370373</v>
      </c>
      <c r="B14" s="31" t="s">
        <v>479</v>
      </c>
      <c r="C14" s="31" t="s">
        <v>525</v>
      </c>
      <c r="D14" s="31" t="s">
        <v>98</v>
      </c>
      <c r="E14" s="31" t="s">
        <v>201</v>
      </c>
      <c r="F14" s="47">
        <v>0</v>
      </c>
      <c r="G14" s="47">
        <v>16</v>
      </c>
      <c r="H14" s="47">
        <v>127414</v>
      </c>
      <c r="I14" s="47">
        <v>127419</v>
      </c>
      <c r="J14" s="31" t="s">
        <v>202</v>
      </c>
      <c r="K14" s="47">
        <v>127587</v>
      </c>
      <c r="L14" s="154" t="s">
        <v>51</v>
      </c>
      <c r="M14" s="155">
        <f t="shared" si="0"/>
        <v>-88.703999999999994</v>
      </c>
      <c r="N14" s="156" t="str">
        <f>VLOOKUP(C14,'Trips&amp;Operators'!$C$1:$G$99999,5,FALSE)</f>
        <v>DE LA ROSA ALEX</v>
      </c>
      <c r="O14" s="182" t="s">
        <v>198</v>
      </c>
      <c r="P14" s="157" t="s">
        <v>917</v>
      </c>
      <c r="Q14" s="31"/>
      <c r="R14" s="100" t="str">
        <f>VLOOKUP(C14,'Train Runs'!$A$13:$AE$9983,31,0)</f>
        <v>aws s3 cp s3://rtdc.mdm.uploadarchive.raw/RTDC4021/ "%USERPROFILE%\AppData\Local\Temp\OnboardLogs"\RTDC4021\2016-11-30 --exclude "*" --recursive --include "*20161130*" &amp; "%USERPROFILE%\Documents\GitHub\mrs-test-scripts\Headless Mode &amp; Sideloading\WalkAndUnGZ.bat" "%USERPROFILE%\AppData\Local\Temp\OnboardLogs"\RTDC4021\2016-11-30 &amp; aws s3 cp s3://rtdc.mdm.uploadarchive.raw/RTDC4021/ "%USERPROFILE%\AppData\Local\Temp\OnboardLogs"\RTDC4021\2016-12-01 --exclude "*" --recursive --include "*20161201*" &amp; "%USERPROFILE%\Documents\GitHub\mrs-test-scripts\Headless Mode &amp; Sideloading\WalkAndUnGZ.bat" "%USERPROFILE%\AppData\Local\Temp\OnboardLogs"\RTDC4021\2016-12-01</v>
      </c>
      <c r="S14" s="103" t="str">
        <f>VLOOKUP(C14,'Train Runs'!$A$13:$AE$9983,22,0)</f>
        <v>https://search-rtdc-monitor-bjffxe2xuh6vdkpspy63sjmuny.us-east-1.es.amazonaws.com/_plugin/kibana/#/discover/Steve-Slow-Train-Analysis-(2080s-and-2083s)?_g=(refreshInterval:(display:Off,section:0,value:0),time:(from:'2016-11-30 05:52:17-700',mode:absolute,to:'2016-11-30 08:14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14" s="105" t="str">
        <f t="shared" si="1"/>
        <v>"C:\Program Files (x86)\AstroGrep\AstroGrep.exe" /spath="%USERPROFILE%\AppData\Local\Temp\OnboardLogs" /stypes="*4021*201611301*" /stext=" 14:.+((SYSTEM_STATE.+slice.+state.+changed )|(ment ac)|(multiple cpu faults)|(system.+state.+changed )|(\[timeout)|(PRM\|1\|D)|(kpr)|(kdp)|(\|lc)|(penalty))" /e /r /s</v>
      </c>
      <c r="U14" s="9" t="str">
        <f t="shared" si="2"/>
        <v>4021</v>
      </c>
      <c r="V14" s="36">
        <f t="shared" si="3"/>
        <v>42704.592662037037</v>
      </c>
      <c r="W14" s="50" t="str">
        <f t="shared" si="4"/>
        <v>EC</v>
      </c>
      <c r="X14" s="50" t="str">
        <f t="shared" si="5"/>
        <v>KEEP</v>
      </c>
      <c r="Y14" s="119" t="str">
        <f t="shared" si="6"/>
        <v>echo {"issue":{"subject":"40th 4S STOP","project_id":79,"tracker_id":40,"status_id":1,"priority_id":2,"assigned_to_id":23,"start_date":"2016-11-30","description":"","custom_fields":[{"id":1,"name":"Subdivision","value":"EC"},{"id":4,"name":"Milepost","value":"12.7587"},{"id":17,"name":"Train ID","value":"120-30"},{"id":16,"name":"Locomotive ID","value":"4021"},{"id":130,"name":"Impact","value":""},{"id":150,"name":"Time of Event (Mountain Time)","value":"07:13:26"},{"id":151,"name":"Denver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38" t="str">
        <f t="shared" si="7"/>
        <v>grep -hSE -A100 "Enforcement Action" "%USERPROFILE%\AppData\Local\Temp\OnboardLogs"\RTDC4021\*4021*201611301*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"%USERPROFILE%\AppData\Local\Temp\OnboardLogs"\RTDC4021\*4021*201611301* &gt;&gt; 42704-slicedisagreementcheck.txt</v>
      </c>
    </row>
    <row r="15" spans="1:30" s="1" customFormat="1" x14ac:dyDescent="0.25">
      <c r="A15" s="36">
        <v>42704.386446759258</v>
      </c>
      <c r="B15" s="31" t="s">
        <v>267</v>
      </c>
      <c r="C15" s="31" t="s">
        <v>531</v>
      </c>
      <c r="D15" s="31" t="s">
        <v>49</v>
      </c>
      <c r="E15" s="31" t="s">
        <v>201</v>
      </c>
      <c r="F15" s="47">
        <v>0</v>
      </c>
      <c r="G15" s="47">
        <v>305</v>
      </c>
      <c r="H15" s="47">
        <v>193015</v>
      </c>
      <c r="I15" s="47">
        <v>192030</v>
      </c>
      <c r="J15" s="31" t="s">
        <v>202</v>
      </c>
      <c r="K15" s="47">
        <v>191723</v>
      </c>
      <c r="L15" s="154" t="s">
        <v>51</v>
      </c>
      <c r="M15" s="155">
        <f t="shared" si="0"/>
        <v>162.096</v>
      </c>
      <c r="N15" s="156" t="str">
        <f>VLOOKUP(C15,'Trips&amp;Operators'!$C$1:$G$99999,5,FALSE)</f>
        <v>KILLION DAVID</v>
      </c>
      <c r="O15" s="182" t="s">
        <v>198</v>
      </c>
      <c r="P15" s="157" t="s">
        <v>515</v>
      </c>
      <c r="Q15" s="31"/>
      <c r="R15" s="100" t="str">
        <f>VLOOKUP(C15,'Train Runs'!$A$13:$AE$9983,31,0)</f>
        <v>aws s3 cp s3://rtdc.mdm.uploadarchive.raw/RTDC4004/ "%USERPROFILE%\AppData\Local\Temp\OnboardLogs"\RTDC4004\2016-11-30 --exclude "*" --recursive --include "*20161130*" &amp; "%USERPROFILE%\Documents\GitHub\mrs-test-scripts\Headless Mode &amp; Sideloading\WalkAndUnGZ.bat" "%USERPROFILE%\AppData\Local\Temp\OnboardLogs"\RTDC4004\2016-11-30 &amp; aws s3 cp s3://rtdc.mdm.uploadarchive.raw/RTDC4004/ "%USERPROFILE%\AppData\Local\Temp\OnboardLogs"\RTDC4004\2016-12-01 --exclude "*" --recursive --include "*20161201*" &amp; "%USERPROFILE%\Documents\GitHub\mrs-test-scripts\Headless Mode &amp; Sideloading\WalkAndUnGZ.bat" "%USERPROFILE%\AppData\Local\Temp\OnboardLogs"\RTDC4004\2016-12-01</v>
      </c>
      <c r="S15" s="103" t="str">
        <f>VLOOKUP(C15,'Train Runs'!$A$13:$AE$9983,22,0)</f>
        <v>https://search-rtdc-monitor-bjffxe2xuh6vdkpspy63sjmuny.us-east-1.es.amazonaws.com/_plugin/kibana/#/discover/Steve-Slow-Train-Analysis-(2080s-and-2083s)?_g=(refreshInterval:(display:Off,section:0,value:0),time:(from:'2016-11-30 08:00:47-700',mode:absolute,to:'2016-11-30 10:49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15" s="105" t="str">
        <f t="shared" si="1"/>
        <v>"C:\Program Files (x86)\AstroGrep\AstroGrep.exe" /spath="%USERPROFILE%\AppData\Local\Temp\OnboardLogs" /stypes="*4004*201611301*" /stext=" 16:.+((SYSTEM_STATE.+slice.+state.+changed )|(ment ac)|(multiple cpu faults)|(system.+state.+changed )|(\[timeout)|(PRM\|1\|D)|(kpr)|(kdp)|(\|lc)|(penalty))" /e /r /s</v>
      </c>
      <c r="U15" s="9" t="str">
        <f t="shared" si="2"/>
        <v>4004</v>
      </c>
      <c r="V15" s="36">
        <f t="shared" si="3"/>
        <v>42704.678113425922</v>
      </c>
      <c r="W15" s="50" t="str">
        <f t="shared" si="4"/>
        <v>EC</v>
      </c>
      <c r="X15" s="50" t="str">
        <f t="shared" si="5"/>
        <v>KEEP</v>
      </c>
      <c r="Y15" s="119" t="str">
        <f t="shared" si="6"/>
        <v>echo {"issue":{"subject":"Pena 4S STOP","project_id":79,"tracker_id":40,"status_id":1,"priority_id":2,"assigned_to_id":23,"start_date":"2016-11-30","description":"","custom_fields":[{"id":1,"name":"Subdivision","value":"EC"},{"id":4,"name":"Milepost","value":"19.1723"},{"id":17,"name":"Train ID","value":"138-30"},{"id":16,"name":"Locomotive ID","value":"4004"},{"id":130,"name":"Impact","value":""},{"id":150,"name":"Time of Event (Mountain Time)","value":"09:16:29"},{"id":151,"name":"Denver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38" t="str">
        <f t="shared" si="7"/>
        <v>grep -hSE -A100 "Enforcement Action" "%USERPROFILE%\AppData\Local\Temp\OnboardLogs"\RTDC4004\*4004*201611301*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"%USERPROFILE%\AppData\Local\Temp\OnboardLogs"\RTDC4004\*4004*201611301* &gt;&gt; 42704-slicedisagreementcheck.txt</v>
      </c>
    </row>
    <row r="16" spans="1:30" s="1" customFormat="1" x14ac:dyDescent="0.25">
      <c r="A16" s="36">
        <v>42704.594722222224</v>
      </c>
      <c r="B16" s="31" t="s">
        <v>218</v>
      </c>
      <c r="C16" s="31" t="s">
        <v>543</v>
      </c>
      <c r="D16" s="31" t="s">
        <v>49</v>
      </c>
      <c r="E16" s="31" t="s">
        <v>201</v>
      </c>
      <c r="F16" s="47">
        <v>0</v>
      </c>
      <c r="G16" s="47">
        <v>406</v>
      </c>
      <c r="H16" s="47">
        <v>194420</v>
      </c>
      <c r="I16" s="47">
        <v>193303</v>
      </c>
      <c r="J16" s="31" t="s">
        <v>202</v>
      </c>
      <c r="K16" s="47">
        <v>191723</v>
      </c>
      <c r="L16" s="154" t="s">
        <v>51</v>
      </c>
      <c r="M16" s="155">
        <f t="shared" si="0"/>
        <v>834.24</v>
      </c>
      <c r="N16" s="156" t="str">
        <f>VLOOKUP(C16,'Trips&amp;Operators'!$C$1:$G$99999,5,FALSE)</f>
        <v>DAVIDSON DAVID</v>
      </c>
      <c r="O16" s="182" t="s">
        <v>198</v>
      </c>
      <c r="P16" s="157" t="s">
        <v>515</v>
      </c>
      <c r="Q16" s="31"/>
      <c r="R16" s="100" t="str">
        <f>VLOOKUP(C16,'Train Runs'!$A$13:$AE$9983,31,0)</f>
        <v>aws s3 cp s3://rtdc.mdm.uploadarchive.raw/RTDC4012/ "%USERPROFILE%\AppData\Local\Temp\OnboardLogs"\RTDC4012\2016-11-30 --exclude "*" --recursive --include "*20161130*" &amp; "%USERPROFILE%\Documents\GitHub\mrs-test-scripts\Headless Mode &amp; Sideloading\WalkAndUnGZ.bat" "%USERPROFILE%\AppData\Local\Temp\OnboardLogs"\RTDC4012\2016-11-30 &amp; aws s3 cp s3://rtdc.mdm.uploadarchive.raw/RTDC4012/ "%USERPROFILE%\AppData\Local\Temp\OnboardLogs"\RTDC4012\2016-12-01 --exclude "*" --recursive --include "*20161201*" &amp; "%USERPROFILE%\Documents\GitHub\mrs-test-scripts\Headless Mode &amp; Sideloading\WalkAndUnGZ.bat" "%USERPROFILE%\AppData\Local\Temp\OnboardLogs"\RTDC4012\2016-12-01</v>
      </c>
      <c r="S16" s="103" t="str">
        <f>VLOOKUP(C16,'Train Runs'!$A$13:$AE$9983,22,0)</f>
        <v>https://search-rtdc-monitor-bjffxe2xuh6vdkpspy63sjmuny.us-east-1.es.amazonaws.com/_plugin/kibana/#/discover/Steve-Slow-Train-Analysis-(2080s-and-2083s)?_g=(refreshInterval:(display:Off,section:0,value:0),time:(from:'2016-11-30 13:01:05-700',mode:absolute,to:'2016-11-30 15:50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16" s="105" t="str">
        <f t="shared" si="1"/>
        <v>"C:\Program Files (x86)\AstroGrep\AstroGrep.exe" /spath="%USERPROFILE%\AppData\Local\Temp\OnboardLogs" /stypes="*4012*201611302*" /stext=" 21:.+((SYSTEM_STATE.+slice.+state.+changed )|(ment ac)|(multiple cpu faults)|(system.+state.+changed )|(\[timeout)|(PRM\|1\|D)|(kpr)|(kdp)|(\|lc)|(penalty))" /e /r /s</v>
      </c>
      <c r="U16" s="9" t="str">
        <f t="shared" si="2"/>
        <v>4012</v>
      </c>
      <c r="V16" s="36">
        <f t="shared" si="3"/>
        <v>42704.886388888888</v>
      </c>
      <c r="W16" s="50" t="str">
        <f t="shared" si="4"/>
        <v>EC</v>
      </c>
      <c r="X16" s="50" t="str">
        <f t="shared" si="5"/>
        <v>KEEP</v>
      </c>
      <c r="Y16" s="119" t="str">
        <f t="shared" si="6"/>
        <v>echo {"issue":{"subject":"Pena 4S STOP","project_id":79,"tracker_id":40,"status_id":1,"priority_id":2,"assigned_to_id":23,"start_date":"2016-11-30","description":"","custom_fields":[{"id":1,"name":"Subdivision","value":"EC"},{"id":4,"name":"Milepost","value":"19.1723"},{"id":17,"name":"Train ID","value":"178-30"},{"id":16,"name":"Locomotive ID","value":"4012"},{"id":130,"name":"Impact","value":""},{"id":150,"name":"Time of Event (Mountain Time)","value":"14:16:24"},{"id":151,"name":"Denver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38" t="str">
        <f t="shared" si="7"/>
        <v>grep -hSE -A100 "Enforcement Action" "%USERPROFILE%\AppData\Local\Temp\OnboardLogs"\RTDC4012\*4012*201611302*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"%USERPROFILE%\AppData\Local\Temp\OnboardLogs"\RTDC4012\*4012*201611302* &gt;&gt; 42704-slicedisagreementcheck.txt</v>
      </c>
    </row>
    <row r="17" spans="1:30" s="1" customFormat="1" x14ac:dyDescent="0.25">
      <c r="A17" s="36">
        <v>42704.348449074074</v>
      </c>
      <c r="B17" s="31" t="s">
        <v>266</v>
      </c>
      <c r="C17" s="31" t="s">
        <v>530</v>
      </c>
      <c r="D17" s="31" t="s">
        <v>49</v>
      </c>
      <c r="E17" s="31" t="s">
        <v>478</v>
      </c>
      <c r="F17" s="47">
        <v>150</v>
      </c>
      <c r="G17" s="47">
        <v>251</v>
      </c>
      <c r="H17" s="47">
        <v>26547</v>
      </c>
      <c r="I17" s="47">
        <v>26976</v>
      </c>
      <c r="J17" s="31" t="s">
        <v>476</v>
      </c>
      <c r="K17" s="47">
        <v>27000</v>
      </c>
      <c r="L17" s="154" t="s">
        <v>50</v>
      </c>
      <c r="M17" s="155">
        <f t="shared" si="0"/>
        <v>12.672000000000001</v>
      </c>
      <c r="N17" s="156" t="str">
        <f>VLOOKUP(C17,'Trips&amp;Operators'!$C$1:$G$99999,5,FALSE)</f>
        <v>KILLION DAVID</v>
      </c>
      <c r="O17" s="182" t="s">
        <v>198</v>
      </c>
      <c r="P17" s="157"/>
      <c r="Q17" s="31"/>
      <c r="R17" s="100" t="str">
        <f>VLOOKUP(C17,'Train Runs'!$A$13:$AE$9983,31,0)</f>
        <v>aws s3 cp s3://rtdc.mdm.uploadarchive.raw/RTDC4003/ "%USERPROFILE%\AppData\Local\Temp\OnboardLogs"\RTDC4003\2016-11-30 --exclude "*" --recursive --include "*20161130*" &amp; "%USERPROFILE%\Documents\GitHub\mrs-test-scripts\Headless Mode &amp; Sideloading\WalkAndUnGZ.bat" "%USERPROFILE%\AppData\Local\Temp\OnboardLogs"\RTDC4003\2016-11-30 &amp; aws s3 cp s3://rtdc.mdm.uploadarchive.raw/RTDC4003/ "%USERPROFILE%\AppData\Local\Temp\OnboardLogs"\RTDC4003\2016-12-01 --exclude "*" --recursive --include "*20161201*" &amp; "%USERPROFILE%\Documents\GitHub\mrs-test-scripts\Headless Mode &amp; Sideloading\WalkAndUnGZ.bat" "%USERPROFILE%\AppData\Local\Temp\OnboardLogs"\RTDC4003\2016-12-01</v>
      </c>
      <c r="S17" s="103" t="str">
        <f>VLOOKUP(C17,'Train Runs'!$A$13:$AE$9983,22,0)</f>
        <v>https://search-rtdc-monitor-bjffxe2xuh6vdkpspy63sjmuny.us-east-1.es.amazonaws.com/_plugin/kibana/#/discover/Steve-Slow-Train-Analysis-(2080s-and-2083s)?_g=(refreshInterval:(display:Off,section:0,value:0),time:(from:'2016-11-30 07:08:30-700',mode:absolute,to:'2016-11-30 09:51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17" s="105" t="str">
        <f t="shared" si="1"/>
        <v>"C:\Program Files (x86)\AstroGrep\AstroGrep.exe" /spath="%USERPROFILE%\AppData\Local\Temp\OnboardLogs" /stypes="*4003*201611301*" /stext=" 15:.+((SYSTEM_STATE.+slice.+state.+changed )|(ment ac)|(multiple cpu faults)|(system.+state.+changed )|(\[timeout)|(PRM\|1\|D)|(kpr)|(kdp)|(\|lc)|(penalty))" /e /r /s</v>
      </c>
      <c r="U17" s="9" t="str">
        <f t="shared" si="2"/>
        <v>4003</v>
      </c>
      <c r="V17" s="36">
        <f t="shared" si="3"/>
        <v>42704.640115740738</v>
      </c>
      <c r="W17" s="50" t="str">
        <f t="shared" si="4"/>
        <v>EC</v>
      </c>
      <c r="X17" s="50" t="str">
        <f t="shared" si="5"/>
        <v>KEEP</v>
      </c>
      <c r="Y17" s="119" t="str">
        <f t="shared" si="6"/>
        <v>echo {"issue":{"subject":"","project_id":79,"tracker_id":40,"status_id":1,"priority_id":2,"assigned_to_id":23,"start_date":"2016-11-30","description":"","custom_fields":[{"id":1,"name":"Subdivision","value":"EC"},{"id":4,"name":"Milepost","value":"2.7"},{"id":17,"name":"Train ID","value":"137-30"},{"id":16,"name":"Locomotive ID","value":"4003"},{"id":130,"name":"Impact","value":""},{"id":150,"name":"Time of Event (Mountain Time)","value":"08:21:46"},{"id":151,"name":"Denver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38" t="str">
        <f t="shared" si="7"/>
        <v>grep -hSE -A100 "Enforcement Action" "%USERPROFILE%\AppData\Local\Temp\OnboardLogs"\RTDC4003\*4003*201611301*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"%USERPROFILE%\AppData\Local\Temp\OnboardLogs"\RTDC4003\*4003*201611301* &gt;&gt; 42704-slicedisagreementcheck.txt</v>
      </c>
    </row>
    <row r="18" spans="1:30" s="1" customFormat="1" x14ac:dyDescent="0.25">
      <c r="A18" s="36">
        <v>42704.305381944447</v>
      </c>
      <c r="B18" s="31" t="s">
        <v>250</v>
      </c>
      <c r="C18" s="31" t="s">
        <v>526</v>
      </c>
      <c r="D18" s="31" t="s">
        <v>49</v>
      </c>
      <c r="E18" s="31" t="s">
        <v>203</v>
      </c>
      <c r="F18" s="47">
        <v>0</v>
      </c>
      <c r="G18" s="47">
        <v>56</v>
      </c>
      <c r="H18" s="47">
        <v>172</v>
      </c>
      <c r="I18" s="47">
        <v>119</v>
      </c>
      <c r="J18" s="31" t="s">
        <v>204</v>
      </c>
      <c r="K18" s="47">
        <v>1</v>
      </c>
      <c r="L18" s="154" t="s">
        <v>51</v>
      </c>
      <c r="M18" s="155">
        <f t="shared" si="0"/>
        <v>62.304000000000002</v>
      </c>
      <c r="N18" s="156" t="str">
        <f>VLOOKUP(C18,'Trips&amp;Operators'!$C$1:$G$99999,5,FALSE)</f>
        <v>ACKERMAN JARED</v>
      </c>
      <c r="O18" s="182" t="s">
        <v>198</v>
      </c>
      <c r="P18" s="157"/>
      <c r="Q18" s="31"/>
      <c r="R18" s="100" t="str">
        <f>VLOOKUP(C18,'Train Runs'!$A$13:$AE$9983,31,0)</f>
        <v>aws s3 cp s3://rtdc.mdm.uploadarchive.raw/RTDC4045/ "%USERPROFILE%\AppData\Local\Temp\OnboardLogs"\RTDC4045\2016-11-30 --exclude "*" --recursive --include "*20161130*" &amp; "%USERPROFILE%\Documents\GitHub\mrs-test-scripts\Headless Mode &amp; Sideloading\WalkAndUnGZ.bat" "%USERPROFILE%\AppData\Local\Temp\OnboardLogs"\RTDC4045\2016-11-30 &amp; aws s3 cp s3://rtdc.mdm.uploadarchive.raw/RTDC4045/ "%USERPROFILE%\AppData\Local\Temp\OnboardLogs"\RTDC4045\2016-12-01 --exclude "*" --recursive --include "*20161201*" &amp; "%USERPROFILE%\Documents\GitHub\mrs-test-scripts\Headless Mode &amp; Sideloading\WalkAndUnGZ.bat" "%USERPROFILE%\AppData\Local\Temp\OnboardLogs"\RTDC4045\2016-12-01</v>
      </c>
      <c r="S18" s="103" t="str">
        <f>VLOOKUP(C18,'Train Runs'!$A$13:$AE$9983,22,0)</f>
        <v>https://search-rtdc-monitor-bjffxe2xuh6vdkpspy63sjmuny.us-east-1.es.amazonaws.com/_plugin/kibana/#/discover/Steve-Slow-Train-Analysis-(2080s-and-2083s)?_g=(refreshInterval:(display:Off,section:0,value:0),time:(from:'2016-11-30 05:32:09-700',mode:absolute,to:'2016-11-30 08:19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18" s="105" t="str">
        <f t="shared" si="1"/>
        <v>"C:\Program Files (x86)\AstroGrep\AstroGrep.exe" /spath="%USERPROFILE%\AppData\Local\Temp\OnboardLogs" /stypes="*4045*201611301*" /stext=" 14:.+((SYSTEM_STATE.+slice.+state.+changed )|(ment ac)|(multiple cpu faults)|(system.+state.+changed )|(\[timeout)|(PRM\|1\|D)|(kpr)|(kdp)|(\|lc)|(penalty))" /e /r /s</v>
      </c>
      <c r="U18" s="9" t="str">
        <f t="shared" si="2"/>
        <v>4045</v>
      </c>
      <c r="V18" s="36">
        <f t="shared" si="3"/>
        <v>42704.597048611111</v>
      </c>
      <c r="W18" s="50" t="str">
        <f t="shared" si="4"/>
        <v>EC</v>
      </c>
      <c r="X18" s="50" t="str">
        <f t="shared" si="5"/>
        <v>KEEP</v>
      </c>
      <c r="Y18" s="119" t="str">
        <f t="shared" si="6"/>
        <v>echo {"issue":{"subject":"","project_id":79,"tracker_id":40,"status_id":1,"priority_id":2,"assigned_to_id":23,"start_date":"2016-11-30","description":"","custom_fields":[{"id":1,"name":"Subdivision","value":"EC"},{"id":4,"name":"Milepost","value":"0.0001"},{"id":17,"name":"Train ID","value":"118-30"},{"id":16,"name":"Locomotive ID","value":"4045"},{"id":130,"name":"Impact","value":""},{"id":150,"name":"Time of Event (Mountain Time)","value":"07:19:45"},{"id":151,"name":"Denver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38" t="str">
        <f t="shared" si="7"/>
        <v>grep -hSE -A100 "Enforcement Action" "%USERPROFILE%\AppData\Local\Temp\OnboardLogs"\RTDC4045\*4045*201611301*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"%USERPROFILE%\AppData\Local\Temp\OnboardLogs"\RTDC4045\*4045*201611301* &gt;&gt; 42704-slicedisagreementcheck.txt</v>
      </c>
    </row>
    <row r="19" spans="1:30" s="1" customFormat="1" x14ac:dyDescent="0.25">
      <c r="A19" s="36">
        <v>42704.440925925926</v>
      </c>
      <c r="B19" s="31" t="s">
        <v>279</v>
      </c>
      <c r="C19" s="31" t="s">
        <v>532</v>
      </c>
      <c r="D19" s="31" t="s">
        <v>49</v>
      </c>
      <c r="E19" s="31" t="s">
        <v>203</v>
      </c>
      <c r="F19" s="47">
        <v>0</v>
      </c>
      <c r="G19" s="47">
        <v>32</v>
      </c>
      <c r="H19" s="47">
        <v>130</v>
      </c>
      <c r="I19" s="47">
        <v>112</v>
      </c>
      <c r="J19" s="31" t="s">
        <v>204</v>
      </c>
      <c r="K19" s="47">
        <v>1</v>
      </c>
      <c r="L19" s="154" t="s">
        <v>51</v>
      </c>
      <c r="M19" s="155">
        <f t="shared" si="0"/>
        <v>58.607999999999997</v>
      </c>
      <c r="N19" s="156" t="str">
        <f>VLOOKUP(C19,'Trips&amp;Operators'!$C$1:$G$99999,5,FALSE)</f>
        <v>PERKINS DARREN</v>
      </c>
      <c r="O19" s="182" t="s">
        <v>198</v>
      </c>
      <c r="P19" s="157"/>
      <c r="Q19" s="31"/>
      <c r="R19" s="100" t="str">
        <f>VLOOKUP(C19,'Train Runs'!$A$13:$AE$9983,31,0)</f>
        <v>aws s3 cp s3://rtdc.mdm.uploadarchive.raw/RTDC4032/ "%USERPROFILE%\AppData\Local\Temp\OnboardLogs"\RTDC4032\2016-11-30 --exclude "*" --recursive --include "*20161130*" &amp; "%USERPROFILE%\Documents\GitHub\mrs-test-scripts\Headless Mode &amp; Sideloading\WalkAndUnGZ.bat" "%USERPROFILE%\AppData\Local\Temp\OnboardLogs"\RTDC4032\2016-11-30 &amp; aws s3 cp s3://rtdc.mdm.uploadarchive.raw/RTDC4032/ "%USERPROFILE%\AppData\Local\Temp\OnboardLogs"\RTDC4032\2016-12-01 --exclude "*" --recursive --include "*20161201*" &amp; "%USERPROFILE%\Documents\GitHub\mrs-test-scripts\Headless Mode &amp; Sideloading\WalkAndUnGZ.bat" "%USERPROFILE%\AppData\Local\Temp\OnboardLogs"\RTDC4032\2016-12-01</v>
      </c>
      <c r="S19" s="103" t="str">
        <f>VLOOKUP(C19,'Train Runs'!$A$13:$AE$9983,22,0)</f>
        <v>https://search-rtdc-monitor-bjffxe2xuh6vdkpspy63sjmuny.us-east-1.es.amazonaws.com/_plugin/kibana/#/discover/Steve-Slow-Train-Analysis-(2080s-and-2083s)?_g=(refreshInterval:(display:Off,section:0,value:0),time:(from:'2016-11-30 08:42:33-700',mode:absolute,to:'2016-11-30 11:34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19" s="105" t="str">
        <f t="shared" si="1"/>
        <v>"C:\Program Files (x86)\AstroGrep\AstroGrep.exe" /spath="%USERPROFILE%\AppData\Local\Temp\OnboardLogs" /stypes="*4032*201611301*" /stext=" 17:.+((SYSTEM_STATE.+slice.+state.+changed )|(ment ac)|(multiple cpu faults)|(system.+state.+changed )|(\[timeout)|(PRM\|1\|D)|(kpr)|(kdp)|(\|lc)|(penalty))" /e /r /s</v>
      </c>
      <c r="U19" s="9" t="str">
        <f t="shared" si="2"/>
        <v>4032</v>
      </c>
      <c r="V19" s="36">
        <f t="shared" si="3"/>
        <v>42704.732592592591</v>
      </c>
      <c r="W19" s="50" t="str">
        <f t="shared" si="4"/>
        <v>EC</v>
      </c>
      <c r="X19" s="50" t="str">
        <f t="shared" si="5"/>
        <v>KEEP</v>
      </c>
      <c r="Y19" s="119" t="str">
        <f t="shared" si="6"/>
        <v>echo {"issue":{"subject":"","project_id":79,"tracker_id":40,"status_id":1,"priority_id":2,"assigned_to_id":23,"start_date":"2016-11-30","description":"","custom_fields":[{"id":1,"name":"Subdivision","value":"EC"},{"id":4,"name":"Milepost","value":"0.0001"},{"id":17,"name":"Train ID","value":"144-30"},{"id":16,"name":"Locomotive ID","value":"4032"},{"id":130,"name":"Impact","value":""},{"id":150,"name":"Time of Event (Mountain Time)","value":"10:34:56"},{"id":151,"name":"Denver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38" t="str">
        <f t="shared" si="7"/>
        <v>grep -hSE -A100 "Enforcement Action" "%USERPROFILE%\AppData\Local\Temp\OnboardLogs"\RTDC4032\*4032*201611301*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"%USERPROFILE%\AppData\Local\Temp\OnboardLogs"\RTDC4032\*4032*201611301* &gt;&gt; 42704-slicedisagreementcheck.txt</v>
      </c>
    </row>
    <row r="20" spans="1:30" s="1" customFormat="1" x14ac:dyDescent="0.25">
      <c r="A20" s="36">
        <v>42704.450995370367</v>
      </c>
      <c r="B20" s="31" t="s">
        <v>250</v>
      </c>
      <c r="C20" s="31" t="s">
        <v>534</v>
      </c>
      <c r="D20" s="31" t="s">
        <v>49</v>
      </c>
      <c r="E20" s="31" t="s">
        <v>203</v>
      </c>
      <c r="F20" s="47">
        <v>0</v>
      </c>
      <c r="G20" s="47">
        <v>77</v>
      </c>
      <c r="H20" s="47">
        <v>252</v>
      </c>
      <c r="I20" s="47">
        <v>178</v>
      </c>
      <c r="J20" s="31" t="s">
        <v>204</v>
      </c>
      <c r="K20" s="47">
        <v>1</v>
      </c>
      <c r="L20" s="154" t="s">
        <v>51</v>
      </c>
      <c r="M20" s="155">
        <f t="shared" si="0"/>
        <v>93.456000000000003</v>
      </c>
      <c r="N20" s="156" t="str">
        <f>VLOOKUP(C20,'Trips&amp;Operators'!$C$1:$G$99999,5,FALSE)</f>
        <v>ACKERMAN JARED</v>
      </c>
      <c r="O20" s="182" t="s">
        <v>198</v>
      </c>
      <c r="P20" s="157"/>
      <c r="Q20" s="31"/>
      <c r="R20" s="100" t="str">
        <f>VLOOKUP(C20,'Train Runs'!$A$13:$AE$9983,31,0)</f>
        <v>aws s3 cp s3://rtdc.mdm.uploadarchive.raw/RTDC4045/ "%USERPROFILE%\AppData\Local\Temp\OnboardLogs"\RTDC4045\2016-11-30 --exclude "*" --recursive --include "*20161130*" &amp; "%USERPROFILE%\Documents\GitHub\mrs-test-scripts\Headless Mode &amp; Sideloading\WalkAndUnGZ.bat" "%USERPROFILE%\AppData\Local\Temp\OnboardLogs"\RTDC4045\2016-11-30 &amp; aws s3 cp s3://rtdc.mdm.uploadarchive.raw/RTDC4045/ "%USERPROFILE%\AppData\Local\Temp\OnboardLogs"\RTDC4045\2016-12-01 --exclude "*" --recursive --include "*20161201*" &amp; "%USERPROFILE%\Documents\GitHub\mrs-test-scripts\Headless Mode &amp; Sideloading\WalkAndUnGZ.bat" "%USERPROFILE%\AppData\Local\Temp\OnboardLogs"\RTDC4045\2016-12-01</v>
      </c>
      <c r="S20" s="103" t="str">
        <f>VLOOKUP(C20,'Train Runs'!$A$13:$AE$9983,22,0)</f>
        <v>https://search-rtdc-monitor-bjffxe2xuh6vdkpspy63sjmuny.us-east-1.es.amazonaws.com/_plugin/kibana/#/discover/Steve-Slow-Train-Analysis-(2080s-and-2083s)?_g=(refreshInterval:(display:Off,section:0,value:0),time:(from:'2016-11-30 09:00:55-700',mode:absolute,to:'2016-11-30 11:49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20" s="105" t="str">
        <f t="shared" si="1"/>
        <v>"C:\Program Files (x86)\AstroGrep\AstroGrep.exe" /spath="%USERPROFILE%\AppData\Local\Temp\OnboardLogs" /stypes="*4045*201611301*" /stext=" 17:.+((SYSTEM_STATE.+slice.+state.+changed )|(ment ac)|(multiple cpu faults)|(system.+state.+changed )|(\[timeout)|(PRM\|1\|D)|(kpr)|(kdp)|(\|lc)|(penalty))" /e /r /s</v>
      </c>
      <c r="U20" s="9" t="str">
        <f t="shared" si="2"/>
        <v>4045</v>
      </c>
      <c r="V20" s="36">
        <f t="shared" si="3"/>
        <v>42704.742662037032</v>
      </c>
      <c r="W20" s="50" t="str">
        <f t="shared" si="4"/>
        <v>EC</v>
      </c>
      <c r="X20" s="50" t="str">
        <f t="shared" si="5"/>
        <v>KEEP</v>
      </c>
      <c r="Y20" s="119" t="str">
        <f t="shared" si="6"/>
        <v>echo {"issue":{"subject":"","project_id":79,"tracker_id":40,"status_id":1,"priority_id":2,"assigned_to_id":23,"start_date":"2016-11-30","description":"","custom_fields":[{"id":1,"name":"Subdivision","value":"EC"},{"id":4,"name":"Milepost","value":"0.0001"},{"id":17,"name":"Train ID","value":"146-30"},{"id":16,"name":"Locomotive ID","value":"4045"},{"id":130,"name":"Impact","value":""},{"id":150,"name":"Time of Event (Mountain Time)","value":"10:49:26"},{"id":151,"name":"Denver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38" t="str">
        <f t="shared" si="7"/>
        <v>grep -hSE -A100 "Enforcement Action" "%USERPROFILE%\AppData\Local\Temp\OnboardLogs"\RTDC4045\*4045*201611301*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"%USERPROFILE%\AppData\Local\Temp\OnboardLogs"\RTDC4045\*4045*201611301* &gt;&gt; 42704-slicedisagreementcheck.txt</v>
      </c>
    </row>
    <row r="21" spans="1:30" x14ac:dyDescent="0.25">
      <c r="A21" s="36">
        <v>42704.607210648152</v>
      </c>
      <c r="B21" s="31" t="s">
        <v>479</v>
      </c>
      <c r="C21" s="31" t="s">
        <v>544</v>
      </c>
      <c r="D21" s="31" t="s">
        <v>49</v>
      </c>
      <c r="E21" s="31" t="s">
        <v>203</v>
      </c>
      <c r="F21" s="47">
        <v>0</v>
      </c>
      <c r="G21" s="47">
        <v>66</v>
      </c>
      <c r="H21" s="47">
        <v>243</v>
      </c>
      <c r="I21" s="47">
        <v>180</v>
      </c>
      <c r="J21" s="31" t="s">
        <v>204</v>
      </c>
      <c r="K21" s="47">
        <v>1</v>
      </c>
      <c r="L21" s="154" t="s">
        <v>51</v>
      </c>
      <c r="M21" s="155">
        <f t="shared" si="0"/>
        <v>94.512</v>
      </c>
      <c r="N21" s="156" t="str">
        <f>VLOOKUP(C21,'Trips&amp;Operators'!$C$1:$G$99999,5,FALSE)</f>
        <v>BARTLETT KIANDRA</v>
      </c>
      <c r="O21" s="182" t="s">
        <v>198</v>
      </c>
      <c r="P21" s="157"/>
      <c r="Q21" s="31"/>
      <c r="R21" s="100" t="str">
        <f>VLOOKUP(C21,'Train Runs'!$A$13:$AE$9983,31,0)</f>
        <v>aws s3 cp s3://rtdc.mdm.uploadarchive.raw/RTDC4021/ "%USERPROFILE%\AppData\Local\Temp\OnboardLogs"\RTDC4021\2016-11-30 --exclude "*" --recursive --include "*20161130*" &amp; "%USERPROFILE%\Documents\GitHub\mrs-test-scripts\Headless Mode &amp; Sideloading\WalkAndUnGZ.bat" "%USERPROFILE%\AppData\Local\Temp\OnboardLogs"\RTDC4021\2016-11-30 &amp; aws s3 cp s3://rtdc.mdm.uploadarchive.raw/RTDC4021/ "%USERPROFILE%\AppData\Local\Temp\OnboardLogs"\RTDC4021\2016-12-01 --exclude "*" --recursive --include "*20161201*" &amp; "%USERPROFILE%\Documents\GitHub\mrs-test-scripts\Headless Mode &amp; Sideloading\WalkAndUnGZ.bat" "%USERPROFILE%\AppData\Local\Temp\OnboardLogs"\RTDC4021\2016-12-01</v>
      </c>
      <c r="S21" s="103" t="str">
        <f>VLOOKUP(C21,'Train Runs'!$A$13:$AE$9983,22,0)</f>
        <v>https://search-rtdc-monitor-bjffxe2xuh6vdkpspy63sjmuny.us-east-1.es.amazonaws.com/_plugin/kibana/#/discover/Steve-Slow-Train-Analysis-(2080s-and-2083s)?_g=(refreshInterval:(display:Off,section:0,value:0),time:(from:'2016-11-30 12:39:57-700',mode:absolute,to:'2016-11-30 15:34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21" s="105" t="str">
        <f t="shared" si="1"/>
        <v>"C:\Program Files (x86)\AstroGrep\AstroGrep.exe" /spath="%USERPROFILE%\AppData\Local\Temp\OnboardLogs" /stypes="*4021*201611302*" /stext=" 21:.+((SYSTEM_STATE.+slice.+state.+changed )|(ment ac)|(multiple cpu faults)|(system.+state.+changed )|(\[timeout)|(PRM\|1\|D)|(kpr)|(kdp)|(\|lc)|(penalty))" /e /r /s</v>
      </c>
      <c r="U21" s="9" t="str">
        <f t="shared" si="2"/>
        <v>4021</v>
      </c>
      <c r="V21" s="36">
        <f t="shared" si="3"/>
        <v>42704.898877314816</v>
      </c>
      <c r="W21" s="50" t="str">
        <f t="shared" si="4"/>
        <v>EC</v>
      </c>
      <c r="X21" s="50" t="str">
        <f t="shared" si="5"/>
        <v>KEEP</v>
      </c>
      <c r="Y21" s="119" t="str">
        <f t="shared" si="6"/>
        <v>echo {"issue":{"subject":"","project_id":79,"tracker_id":40,"status_id":1,"priority_id":2,"assigned_to_id":23,"start_date":"2016-11-30","description":"","custom_fields":[{"id":1,"name":"Subdivision","value":"EC"},{"id":4,"name":"Milepost","value":"0.0001"},{"id":17,"name":"Train ID","value":"176-30"},{"id":16,"name":"Locomotive ID","value":"4021"},{"id":130,"name":"Impact","value":""},{"id":150,"name":"Time of Event (Mountain Time)","value":"14:34:23"},{"id":151,"name":"Denver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38" t="str">
        <f t="shared" si="7"/>
        <v>grep -hSE -A100 "Enforcement Action" "%USERPROFILE%\AppData\Local\Temp\OnboardLogs"\RTDC4021\*4021*201611302*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"%USERPROFILE%\AppData\Local\Temp\OnboardLogs"\RTDC4021\*4021*201611302* &gt;&gt; 42704-slicedisagreementcheck.txt</v>
      </c>
    </row>
    <row r="22" spans="1:30" x14ac:dyDescent="0.25">
      <c r="A22" s="36">
        <v>42704.181643518517</v>
      </c>
      <c r="B22" s="31" t="s">
        <v>248</v>
      </c>
      <c r="C22" s="31" t="s">
        <v>519</v>
      </c>
      <c r="D22" s="31" t="s">
        <v>49</v>
      </c>
      <c r="E22" s="31" t="s">
        <v>203</v>
      </c>
      <c r="F22" s="47">
        <v>0</v>
      </c>
      <c r="G22" s="47">
        <v>56</v>
      </c>
      <c r="H22" s="47">
        <v>233276</v>
      </c>
      <c r="I22" s="47">
        <v>233332</v>
      </c>
      <c r="J22" s="31" t="s">
        <v>204</v>
      </c>
      <c r="K22" s="47">
        <v>233491</v>
      </c>
      <c r="L22" s="154" t="s">
        <v>50</v>
      </c>
      <c r="M22" s="155">
        <f t="shared" si="0"/>
        <v>83.951999999999998</v>
      </c>
      <c r="N22" s="156" t="str">
        <f>VLOOKUP(C22,'Trips&amp;Operators'!$C$1:$G$99999,5,FALSE)</f>
        <v>ACKERMAN JARED</v>
      </c>
      <c r="O22" s="182" t="s">
        <v>198</v>
      </c>
      <c r="P22" s="157"/>
      <c r="Q22" s="31"/>
      <c r="R22" s="100" t="str">
        <f>VLOOKUP(C22,'Train Runs'!$A$13:$AE$9983,31,0)</f>
        <v>aws s3 cp s3://rtdc.mdm.uploadarchive.raw/RTDC4031/ "%USERPROFILE%\AppData\Local\Temp\OnboardLogs"\RTDC4031\2016-11-30 --exclude "*" --recursive --include "*20161130*" &amp; "%USERPROFILE%\Documents\GitHub\mrs-test-scripts\Headless Mode &amp; Sideloading\WalkAndUnGZ.bat" "%USERPROFILE%\AppData\Local\Temp\OnboardLogs"\RTDC4031\2016-11-30 &amp; aws s3 cp s3://rtdc.mdm.uploadarchive.raw/RTDC4031/ "%USERPROFILE%\AppData\Local\Temp\OnboardLogs"\RTDC4031\2016-12-01 --exclude "*" --recursive --include "*20161201*" &amp; "%USERPROFILE%\Documents\GitHub\mrs-test-scripts\Headless Mode &amp; Sideloading\WalkAndUnGZ.bat" "%USERPROFILE%\AppData\Local\Temp\OnboardLogs"\RTDC4031\2016-12-01</v>
      </c>
      <c r="S22" s="103" t="str">
        <f>VLOOKUP(C22,'Train Runs'!$A$13:$AE$9983,22,0)</f>
        <v>https://search-rtdc-monitor-bjffxe2xuh6vdkpspy63sjmuny.us-east-1.es.amazonaws.com/_plugin/kibana/#/discover/Steve-Slow-Train-Analysis-(2080s-and-2083s)?_g=(refreshInterval:(display:Off,section:0,value:0),time:(from:'2016-11-30 02:39:38-700',mode:absolute,to:'2016-11-30 05:21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22" s="105" t="str">
        <f t="shared" si="1"/>
        <v>"C:\Program Files (x86)\AstroGrep\AstroGrep.exe" /spath="%USERPROFILE%\AppData\Local\Temp\OnboardLogs" /stypes="*4031*201611301*" /stext=" 11:.+((SYSTEM_STATE.+slice.+state.+changed )|(ment ac)|(multiple cpu faults)|(system.+state.+changed )|(\[timeout)|(PRM\|1\|D)|(kpr)|(kdp)|(\|lc)|(penalty))" /e /r /s</v>
      </c>
      <c r="U22" s="9" t="str">
        <f t="shared" si="2"/>
        <v>4031</v>
      </c>
      <c r="V22" s="36">
        <f t="shared" si="3"/>
        <v>42704.473310185182</v>
      </c>
      <c r="W22" s="50" t="str">
        <f t="shared" si="4"/>
        <v>EC</v>
      </c>
      <c r="X22" s="50" t="str">
        <f t="shared" si="5"/>
        <v>KEEP</v>
      </c>
      <c r="Y22" s="119" t="str">
        <f t="shared" si="6"/>
        <v>echo {"issue":{"subject":"","project_id":79,"tracker_id":40,"status_id":1,"priority_id":2,"assigned_to_id":23,"start_date":"2016-11-30","description":"","custom_fields":[{"id":1,"name":"Subdivision","value":"EC"},{"id":4,"name":"Milepost","value":"23.3491"},{"id":17,"name":"Train ID","value":"103-30"},{"id":16,"name":"Locomotive ID","value":"4031"},{"id":130,"name":"Impact","value":""},{"id":150,"name":"Time of Event (Mountain Time)","value":"04:21:34"},{"id":151,"name":"Denver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38" t="str">
        <f t="shared" si="7"/>
        <v>grep -hSE -A100 "Enforcement Action" "%USERPROFILE%\AppData\Local\Temp\OnboardLogs"\RTDC4031\*4031*201611301*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"%USERPROFILE%\AppData\Local\Temp\OnboardLogs"\RTDC4031\*4031*201611301* &gt;&gt; 42704-slicedisagreementcheck.txt</v>
      </c>
    </row>
    <row r="23" spans="1:30" x14ac:dyDescent="0.25">
      <c r="A23" s="36">
        <v>42704.244120370371</v>
      </c>
      <c r="B23" s="31" t="s">
        <v>184</v>
      </c>
      <c r="C23" s="31" t="s">
        <v>522</v>
      </c>
      <c r="D23" s="31" t="s">
        <v>49</v>
      </c>
      <c r="E23" s="31" t="s">
        <v>203</v>
      </c>
      <c r="F23" s="47">
        <v>0</v>
      </c>
      <c r="G23" s="47">
        <v>141</v>
      </c>
      <c r="H23" s="47">
        <v>232422</v>
      </c>
      <c r="I23" s="47">
        <v>232664</v>
      </c>
      <c r="J23" s="31" t="s">
        <v>204</v>
      </c>
      <c r="K23" s="47">
        <v>233491</v>
      </c>
      <c r="L23" s="154" t="s">
        <v>50</v>
      </c>
      <c r="M23" s="155">
        <f t="shared" si="0"/>
        <v>436.65600000000001</v>
      </c>
      <c r="N23" s="156" t="str">
        <f>VLOOKUP(C23,'Trips&amp;Operators'!$C$1:$G$99999,5,FALSE)</f>
        <v>MAELZER KURT</v>
      </c>
      <c r="O23" s="182" t="s">
        <v>198</v>
      </c>
      <c r="P23" s="157"/>
      <c r="Q23" s="31"/>
      <c r="R23" s="100" t="str">
        <f>VLOOKUP(C23,'Train Runs'!$A$13:$AE$9983,31,0)</f>
        <v>aws s3 cp s3://rtdc.mdm.uploadarchive.raw/RTDC4044/ "%USERPROFILE%\AppData\Local\Temp\OnboardLogs"\RTDC4044\2016-11-30 --exclude "*" --recursive --include "*20161130*" &amp; "%USERPROFILE%\Documents\GitHub\mrs-test-scripts\Headless Mode &amp; Sideloading\WalkAndUnGZ.bat" "%USERPROFILE%\AppData\Local\Temp\OnboardLogs"\RTDC4044\2016-11-30 &amp; aws s3 cp s3://rtdc.mdm.uploadarchive.raw/RTDC4044/ "%USERPROFILE%\AppData\Local\Temp\OnboardLogs"\RTDC4044\2016-12-01 --exclude "*" --recursive --include "*20161201*" &amp; "%USERPROFILE%\Documents\GitHub\mrs-test-scripts\Headless Mode &amp; Sideloading\WalkAndUnGZ.bat" "%USERPROFILE%\AppData\Local\Temp\OnboardLogs"\RTDC4044\2016-12-01</v>
      </c>
      <c r="S23" s="103" t="str">
        <f>VLOOKUP(C23,'Train Runs'!$A$13:$AE$9983,22,0)</f>
        <v>https://search-rtdc-monitor-bjffxe2xuh6vdkpspy63sjmuny.us-east-1.es.amazonaws.com/_plugin/kibana/#/discover/Steve-Slow-Train-Analysis-(2080s-and-2083s)?_g=(refreshInterval:(display:Off,section:0,value:0),time:(from:'2016-11-30 04:08:35-700',mode:absolute,to:'2016-11-30 06:54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23" s="105" t="str">
        <f t="shared" si="1"/>
        <v>"C:\Program Files (x86)\AstroGrep\AstroGrep.exe" /spath="%USERPROFILE%\AppData\Local\Temp\OnboardLogs" /stypes="*4044*201611301*" /stext=" 12:.+((SYSTEM_STATE.+slice.+state.+changed )|(ment ac)|(multiple cpu faults)|(system.+state.+changed )|(\[timeout)|(PRM\|1\|D)|(kpr)|(kdp)|(\|lc)|(penalty))" /e /r /s</v>
      </c>
      <c r="U23" s="9" t="str">
        <f t="shared" si="2"/>
        <v>4044</v>
      </c>
      <c r="V23" s="36">
        <f t="shared" si="3"/>
        <v>42704.535787037035</v>
      </c>
      <c r="W23" s="50" t="str">
        <f t="shared" si="4"/>
        <v>EC</v>
      </c>
      <c r="X23" s="50" t="str">
        <f t="shared" si="5"/>
        <v>KEEP</v>
      </c>
      <c r="Y23" s="119" t="str">
        <f t="shared" si="6"/>
        <v>echo {"issue":{"subject":"","project_id":79,"tracker_id":40,"status_id":1,"priority_id":2,"assigned_to_id":23,"start_date":"2016-11-30","description":"","custom_fields":[{"id":1,"name":"Subdivision","value":"EC"},{"id":4,"name":"Milepost","value":"23.3491"},{"id":17,"name":"Train ID","value":"113-30"},{"id":16,"name":"Locomotive ID","value":"4044"},{"id":130,"name":"Impact","value":""},{"id":150,"name":"Time of Event (Mountain Time)","value":"05:51:32"},{"id":151,"name":"Denver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8" t="str">
        <f t="shared" si="7"/>
        <v>grep -hSE -A100 "Enforcement Action" "%USERPROFILE%\AppData\Local\Temp\OnboardLogs"\RTDC4044\*4044*201611301*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"%USERPROFILE%\AppData\Local\Temp\OnboardLogs"\RTDC4044\*4044*201611301* &gt;&gt; 42704-slicedisagreementcheck.txt</v>
      </c>
    </row>
    <row r="24" spans="1:30" ht="15" customHeight="1" x14ac:dyDescent="0.25">
      <c r="A24" s="36">
        <v>42704.285624999997</v>
      </c>
      <c r="B24" s="31" t="s">
        <v>210</v>
      </c>
      <c r="C24" s="31" t="s">
        <v>523</v>
      </c>
      <c r="D24" s="31" t="s">
        <v>49</v>
      </c>
      <c r="E24" s="31" t="s">
        <v>203</v>
      </c>
      <c r="F24" s="47">
        <v>0</v>
      </c>
      <c r="G24" s="47">
        <v>78</v>
      </c>
      <c r="H24" s="47">
        <v>233229</v>
      </c>
      <c r="I24" s="47">
        <v>233310</v>
      </c>
      <c r="J24" s="31" t="s">
        <v>204</v>
      </c>
      <c r="K24" s="47">
        <v>233491</v>
      </c>
      <c r="L24" s="154" t="s">
        <v>50</v>
      </c>
      <c r="M24" s="155">
        <f t="shared" si="0"/>
        <v>95.567999999999998</v>
      </c>
      <c r="N24" s="156" t="str">
        <f>VLOOKUP(C24,'Trips&amp;Operators'!$C$1:$G$99999,5,FALSE)</f>
        <v>SPECTOR MICHAEL</v>
      </c>
      <c r="O24" s="182" t="s">
        <v>198</v>
      </c>
      <c r="P24" s="157"/>
      <c r="Q24" s="31"/>
      <c r="R24" s="100" t="str">
        <f>VLOOKUP(C24,'Train Runs'!$A$13:$AE$9983,31,0)</f>
        <v>aws s3 cp s3://rtdc.mdm.uploadarchive.raw/RTDC4011/ "%USERPROFILE%\AppData\Local\Temp\OnboardLogs"\RTDC4011\2016-11-30 --exclude "*" --recursive --include "*20161130*" &amp; "%USERPROFILE%\Documents\GitHub\mrs-test-scripts\Headless Mode &amp; Sideloading\WalkAndUnGZ.bat" "%USERPROFILE%\AppData\Local\Temp\OnboardLogs"\RTDC4011\2016-11-30 &amp; aws s3 cp s3://rtdc.mdm.uploadarchive.raw/RTDC4011/ "%USERPROFILE%\AppData\Local\Temp\OnboardLogs"\RTDC4011\2016-12-01 --exclude "*" --recursive --include "*20161201*" &amp; "%USERPROFILE%\Documents\GitHub\mrs-test-scripts\Headless Mode &amp; Sideloading\WalkAndUnGZ.bat" "%USERPROFILE%\AppData\Local\Temp\OnboardLogs"\RTDC4011\2016-12-01</v>
      </c>
      <c r="S24" s="103" t="str">
        <f>VLOOKUP(C24,'Train Runs'!$A$13:$AE$9983,22,0)</f>
        <v>https://search-rtdc-monitor-bjffxe2xuh6vdkpspy63sjmuny.us-east-1.es.amazonaws.com/_plugin/kibana/#/discover/Steve-Slow-Train-Analysis-(2080s-and-2083s)?_g=(refreshInterval:(display:Off,section:0,value:0),time:(from:'2016-11-30 05:07:49-700',mode:absolute,to:'2016-11-30 07:51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24" s="105" t="str">
        <f t="shared" si="1"/>
        <v>"C:\Program Files (x86)\AstroGrep\AstroGrep.exe" /spath="%USERPROFILE%\AppData\Local\Temp\OnboardLogs" /stypes="*4011*201611301*" /stext=" 13:.+((SYSTEM_STATE.+slice.+state.+changed )|(ment ac)|(multiple cpu faults)|(system.+state.+changed )|(\[timeout)|(PRM\|1\|D)|(kpr)|(kdp)|(\|lc)|(penalty))" /e /r /s</v>
      </c>
      <c r="U24" s="9" t="str">
        <f t="shared" si="2"/>
        <v>4011</v>
      </c>
      <c r="V24" s="36">
        <f t="shared" si="3"/>
        <v>42704.577291666661</v>
      </c>
      <c r="W24" s="50" t="str">
        <f t="shared" si="4"/>
        <v>EC</v>
      </c>
      <c r="X24" s="50" t="str">
        <f t="shared" si="5"/>
        <v>KEEP</v>
      </c>
      <c r="Y24" s="119" t="str">
        <f t="shared" si="6"/>
        <v>echo {"issue":{"subject":"","project_id":79,"tracker_id":40,"status_id":1,"priority_id":2,"assigned_to_id":23,"start_date":"2016-11-30","description":"","custom_fields":[{"id":1,"name":"Subdivision","value":"EC"},{"id":4,"name":"Milepost","value":"23.3491"},{"id":17,"name":"Train ID","value":"121-30"},{"id":16,"name":"Locomotive ID","value":"4011"},{"id":130,"name":"Impact","value":""},{"id":150,"name":"Time of Event (Mountain Time)","value":"06:51:18"},{"id":151,"name":"Denver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38" t="str">
        <f t="shared" si="7"/>
        <v>grep -hSE -A100 "Enforcement Action" "%USERPROFILE%\AppData\Local\Temp\OnboardLogs"\RTDC4011\*4011*201611301*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"%USERPROFILE%\AppData\Local\Temp\OnboardLogs"\RTDC4011\*4011*201611301* &gt;&gt; 42704-slicedisagreementcheck.txt</v>
      </c>
    </row>
    <row r="25" spans="1:30" x14ac:dyDescent="0.25">
      <c r="A25" s="36">
        <v>42704.982604166667</v>
      </c>
      <c r="B25" s="31" t="s">
        <v>224</v>
      </c>
      <c r="C25" s="31" t="s">
        <v>547</v>
      </c>
      <c r="D25" s="31" t="s">
        <v>49</v>
      </c>
      <c r="E25" s="31" t="s">
        <v>203</v>
      </c>
      <c r="F25" s="47">
        <v>0</v>
      </c>
      <c r="G25" s="47">
        <v>169</v>
      </c>
      <c r="H25" s="47">
        <v>232660</v>
      </c>
      <c r="I25" s="47">
        <v>232930</v>
      </c>
      <c r="J25" s="31" t="s">
        <v>204</v>
      </c>
      <c r="K25" s="47">
        <v>233491</v>
      </c>
      <c r="L25" s="154" t="s">
        <v>50</v>
      </c>
      <c r="M25" s="155">
        <f t="shared" si="0"/>
        <v>296.20800000000003</v>
      </c>
      <c r="N25" s="156" t="str">
        <f>VLOOKUP(C25,'Trips&amp;Operators'!$C$1:$G$99999,5,FALSE)</f>
        <v>STAMBAUGH JAMES</v>
      </c>
      <c r="O25" s="182" t="s">
        <v>198</v>
      </c>
      <c r="P25" s="157"/>
      <c r="Q25" s="31"/>
      <c r="R25" s="100" t="str">
        <f>VLOOKUP(C25,'Train Runs'!$A$13:$AE$9983,31,0)</f>
        <v>aws s3 cp s3://rtdc.mdm.uploadarchive.raw/RTDC4038/ "%USERPROFILE%\AppData\Local\Temp\OnboardLogs"\RTDC4038\2016-11-30 --exclude "*" --recursive --include "*20161130*" &amp; "%USERPROFILE%\Documents\GitHub\mrs-test-scripts\Headless Mode &amp; Sideloading\WalkAndUnGZ.bat" "%USERPROFILE%\AppData\Local\Temp\OnboardLogs"\RTDC4038\2016-11-30 &amp; aws s3 cp s3://rtdc.mdm.uploadarchive.raw/RTDC4038/ "%USERPROFILE%\AppData\Local\Temp\OnboardLogs"\RTDC4038\2016-12-01 --exclude "*" --recursive --include "*20161201*" &amp; "%USERPROFILE%\Documents\GitHub\mrs-test-scripts\Headless Mode &amp; Sideloading\WalkAndUnGZ.bat" "%USERPROFILE%\AppData\Local\Temp\OnboardLogs"\RTDC4038\2016-12-01</v>
      </c>
      <c r="S25" s="103" t="str">
        <f>VLOOKUP(C25,'Train Runs'!$A$13:$AE$9983,22,0)</f>
        <v>https://search-rtdc-monitor-bjffxe2xuh6vdkpspy63sjmuny.us-east-1.es.amazonaws.com/_plugin/kibana/#/discover/Steve-Slow-Train-Analysis-(2080s-and-2083s)?_g=(refreshInterval:(display:Off,section:0,value:0),time:(from:'2016-11-30 21:49:52-700',mode:absolute,to:'2016-12-01 00:35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25" s="105" t="str">
        <f t="shared" si="1"/>
        <v>"C:\Program Files (x86)\AstroGrep\AstroGrep.exe" /spath="%USERPROFILE%\AppData\Local\Temp\OnboardLogs" /stypes="*4038*201612010*" /stext=" 06:.+((SYSTEM_STATE.+slice.+state.+changed )|(ment ac)|(multiple cpu faults)|(system.+state.+changed )|(\[timeout)|(PRM\|1\|D)|(kpr)|(kdp)|(\|lc)|(penalty))" /e /r /s</v>
      </c>
      <c r="U25" s="9" t="str">
        <f t="shared" si="2"/>
        <v>4038</v>
      </c>
      <c r="V25" s="36">
        <f t="shared" si="3"/>
        <v>42705.274270833332</v>
      </c>
      <c r="W25" s="50" t="str">
        <f t="shared" si="4"/>
        <v>EC</v>
      </c>
      <c r="X25" s="50" t="str">
        <f t="shared" si="5"/>
        <v>KEEP</v>
      </c>
      <c r="Y25" s="119" t="str">
        <f t="shared" si="6"/>
        <v>echo {"issue":{"subject":"","project_id":79,"tracker_id":40,"status_id":1,"priority_id":2,"assigned_to_id":23,"start_date":"2016-11-30","description":"","custom_fields":[{"id":1,"name":"Subdivision","value":"EC"},{"id":4,"name":"Milepost","value":"23.3491"},{"id":17,"name":"Train ID","value":"237-30"},{"id":16,"name":"Locomotive ID","value":"4038"},{"id":130,"name":"Impact","value":""},{"id":150,"name":"Time of Event (Mountain Time)","value":"23:34:57"},{"id":151,"name":"Denver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38" t="str">
        <f t="shared" si="7"/>
        <v>grep -hSE -A100 "Enforcement Action" "%USERPROFILE%\AppData\Local\Temp\OnboardLogs"\RTDC4038\*4038*201612010*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"%USERPROFILE%\AppData\Local\Temp\OnboardLogs"\RTDC4038\*4038*201612010* &gt;&gt; 42704-slicedisagreementcheck.txt</v>
      </c>
    </row>
    <row r="26" spans="1:30" x14ac:dyDescent="0.25">
      <c r="A26" s="36">
        <v>42704.983020833337</v>
      </c>
      <c r="B26" s="31" t="s">
        <v>224</v>
      </c>
      <c r="C26" s="31" t="s">
        <v>547</v>
      </c>
      <c r="D26" s="31" t="s">
        <v>49</v>
      </c>
      <c r="E26" s="31" t="s">
        <v>203</v>
      </c>
      <c r="F26" s="47">
        <v>0</v>
      </c>
      <c r="G26" s="47">
        <v>78</v>
      </c>
      <c r="H26" s="47">
        <v>233040</v>
      </c>
      <c r="I26" s="47">
        <v>233100</v>
      </c>
      <c r="J26" s="31" t="s">
        <v>204</v>
      </c>
      <c r="K26" s="47">
        <v>233491</v>
      </c>
      <c r="L26" s="154" t="s">
        <v>50</v>
      </c>
      <c r="M26" s="155">
        <f t="shared" si="0"/>
        <v>206.44800000000001</v>
      </c>
      <c r="N26" s="156" t="str">
        <f>VLOOKUP(C26,'Trips&amp;Operators'!$C$1:$G$99999,5,FALSE)</f>
        <v>STAMBAUGH JAMES</v>
      </c>
      <c r="O26" s="182" t="s">
        <v>198</v>
      </c>
      <c r="P26" s="157"/>
      <c r="Q26" s="31"/>
      <c r="R26" s="100" t="str">
        <f>VLOOKUP(C26,'Train Runs'!$A$13:$AE$9983,31,0)</f>
        <v>aws s3 cp s3://rtdc.mdm.uploadarchive.raw/RTDC4038/ "%USERPROFILE%\AppData\Local\Temp\OnboardLogs"\RTDC4038\2016-11-30 --exclude "*" --recursive --include "*20161130*" &amp; "%USERPROFILE%\Documents\GitHub\mrs-test-scripts\Headless Mode &amp; Sideloading\WalkAndUnGZ.bat" "%USERPROFILE%\AppData\Local\Temp\OnboardLogs"\RTDC4038\2016-11-30 &amp; aws s3 cp s3://rtdc.mdm.uploadarchive.raw/RTDC4038/ "%USERPROFILE%\AppData\Local\Temp\OnboardLogs"\RTDC4038\2016-12-01 --exclude "*" --recursive --include "*20161201*" &amp; "%USERPROFILE%\Documents\GitHub\mrs-test-scripts\Headless Mode &amp; Sideloading\WalkAndUnGZ.bat" "%USERPROFILE%\AppData\Local\Temp\OnboardLogs"\RTDC4038\2016-12-01</v>
      </c>
      <c r="S26" s="103" t="str">
        <f>VLOOKUP(C26,'Train Runs'!$A$13:$AE$9983,22,0)</f>
        <v>https://search-rtdc-monitor-bjffxe2xuh6vdkpspy63sjmuny.us-east-1.es.amazonaws.com/_plugin/kibana/#/discover/Steve-Slow-Train-Analysis-(2080s-and-2083s)?_g=(refreshInterval:(display:Off,section:0,value:0),time:(from:'2016-11-30 21:49:52-700',mode:absolute,to:'2016-12-01 00:35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26" s="105" t="str">
        <f t="shared" si="1"/>
        <v>"C:\Program Files (x86)\AstroGrep\AstroGrep.exe" /spath="%USERPROFILE%\AppData\Local\Temp\OnboardLogs" /stypes="*4038*201612010*" /stext=" 06:.+((SYSTEM_STATE.+slice.+state.+changed )|(ment ac)|(multiple cpu faults)|(system.+state.+changed )|(\[timeout)|(PRM\|1\|D)|(kpr)|(kdp)|(\|lc)|(penalty))" /e /r /s</v>
      </c>
      <c r="U26" s="9" t="str">
        <f t="shared" si="2"/>
        <v>4038</v>
      </c>
      <c r="V26" s="36">
        <f t="shared" si="3"/>
        <v>42705.274687500001</v>
      </c>
      <c r="W26" s="50" t="str">
        <f t="shared" si="4"/>
        <v>EC</v>
      </c>
      <c r="X26" s="50" t="str">
        <f t="shared" si="5"/>
        <v>KEEP</v>
      </c>
      <c r="Y26" s="119" t="str">
        <f t="shared" si="6"/>
        <v>echo {"issue":{"subject":"","project_id":79,"tracker_id":40,"status_id":1,"priority_id":2,"assigned_to_id":23,"start_date":"2016-11-30","description":"","custom_fields":[{"id":1,"name":"Subdivision","value":"EC"},{"id":4,"name":"Milepost","value":"23.3491"},{"id":17,"name":"Train ID","value":"237-30"},{"id":16,"name":"Locomotive ID","value":"4038"},{"id":130,"name":"Impact","value":""},{"id":150,"name":"Time of Event (Mountain Time)","value":"23:35:33"},{"id":151,"name":"Denver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38" t="str">
        <f t="shared" si="7"/>
        <v>grep -hSE -A100 "Enforcement Action" "%USERPROFILE%\AppData\Local\Temp\OnboardLogs"\RTDC4038\*4038*201612010*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"%USERPROFILE%\AppData\Local\Temp\OnboardLogs"\RTDC4038\*4038*201612010* &gt;&gt; 42704-slicedisagreementcheck.txt</v>
      </c>
    </row>
    <row r="27" spans="1:30" x14ac:dyDescent="0.25">
      <c r="A27" s="36">
        <v>42704.223368055558</v>
      </c>
      <c r="B27" s="31" t="s">
        <v>520</v>
      </c>
      <c r="C27" s="31" t="s">
        <v>521</v>
      </c>
      <c r="D27" s="31" t="s">
        <v>49</v>
      </c>
      <c r="E27" s="31" t="s">
        <v>475</v>
      </c>
      <c r="F27" s="47">
        <v>90</v>
      </c>
      <c r="G27" s="47">
        <v>198</v>
      </c>
      <c r="H27" s="47">
        <v>12117</v>
      </c>
      <c r="I27" s="47">
        <v>11753</v>
      </c>
      <c r="J27" s="31" t="s">
        <v>476</v>
      </c>
      <c r="K27" s="47">
        <v>10988</v>
      </c>
      <c r="L27" s="154" t="s">
        <v>51</v>
      </c>
      <c r="M27" s="155">
        <f t="shared" si="0"/>
        <v>403.92</v>
      </c>
      <c r="N27" s="156" t="str">
        <f>VLOOKUP(C27,'Trips&amp;Operators'!$C$1:$G$99999,5,FALSE)</f>
        <v>STARKS ANGELINA</v>
      </c>
      <c r="O27" s="182" t="s">
        <v>198</v>
      </c>
      <c r="P27" s="157" t="s">
        <v>514</v>
      </c>
      <c r="Q27" s="31"/>
      <c r="R27" s="100" t="str">
        <f>VLOOKUP(C27,'Train Runs'!$A$13:$AE$9983,31,0)</f>
        <v>aws s3 cp s3://rtdc.mdm.uploadarchive.raw/RTDC4026/ "%USERPROFILE%\AppData\Local\Temp\OnboardLogs"\RTDC4026\2016-11-30 --exclude "*" --recursive --include "*20161130*" &amp; "%USERPROFILE%\Documents\GitHub\mrs-test-scripts\Headless Mode &amp; Sideloading\WalkAndUnGZ.bat" "%USERPROFILE%\AppData\Local\Temp\OnboardLogs"\RTDC4026\2016-11-30 &amp; aws s3 cp s3://rtdc.mdm.uploadarchive.raw/RTDC4026/ "%USERPROFILE%\AppData\Local\Temp\OnboardLogs"\RTDC4026\2016-12-01 --exclude "*" --recursive --include "*20161201*" &amp; "%USERPROFILE%\Documents\GitHub\mrs-test-scripts\Headless Mode &amp; Sideloading\WalkAndUnGZ.bat" "%USERPROFILE%\AppData\Local\Temp\OnboardLogs"\RTDC4026\2016-12-01</v>
      </c>
      <c r="S27" s="103" t="str">
        <f>VLOOKUP(C27,'Train Runs'!$A$13:$AE$9983,22,0)</f>
        <v>https://search-rtdc-monitor-bjffxe2xuh6vdkpspy63sjmuny.us-east-1.es.amazonaws.com/_plugin/kibana/#/discover/Steve-Slow-Train-Analysis-(2080s-and-2083s)?_g=(refreshInterval:(display:Off,section:0,value:0),time:(from:'2016-11-30 04:09:28-700',mode:absolute,to:'2016-11-30 06:26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27" s="105" t="str">
        <f t="shared" si="1"/>
        <v>"C:\Program Files (x86)\AstroGrep\AstroGrep.exe" /spath="%USERPROFILE%\AppData\Local\Temp\OnboardLogs" /stypes="*4026*201611301*" /stext=" 12:.+((SYSTEM_STATE.+slice.+state.+changed )|(ment ac)|(multiple cpu faults)|(system.+state.+changed )|(\[timeout)|(PRM\|1\|D)|(kpr)|(kdp)|(\|lc)|(penalty))" /e /r /s</v>
      </c>
      <c r="U27" s="9" t="str">
        <f t="shared" si="2"/>
        <v>4026</v>
      </c>
      <c r="V27" s="36">
        <f t="shared" si="3"/>
        <v>42704.515034722222</v>
      </c>
      <c r="W27" s="50" t="str">
        <f t="shared" si="4"/>
        <v>NW</v>
      </c>
      <c r="X27" s="50" t="str">
        <f t="shared" si="5"/>
        <v>KEEP</v>
      </c>
      <c r="Y27" s="119" t="str">
        <f t="shared" si="6"/>
        <v>echo {"issue":{"subject":"Early arrival","project_id":79,"tracker_id":40,"status_id":1,"priority_id":2,"assigned_to_id":23,"start_date":"2016-11-30","description":"","custom_fields":[{"id":1,"name":"Subdivision","value":"NW"},{"id":4,"name":"Milepost","value":"1.0988"},{"id":17,"name":"Train ID","value":"800-30"},{"id":16,"name":"Locomotive ID","value":"4026"},{"id":130,"name":"Impact","value":""},{"id":150,"name":"Time of Event (Mountain Time)","value":"05:21:39"},{"id":151,"name":"Denver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38" t="str">
        <f t="shared" si="7"/>
        <v>grep -hSE -A100 "Enforcement Action" "%USERPROFILE%\AppData\Local\Temp\OnboardLogs"\RTDC4026\*4026*201611301*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"%USERPROFILE%\AppData\Local\Temp\OnboardLogs"\RTDC4026\*4026*201611301* &gt;&gt; 42704-slicedisagreementcheck.txt</v>
      </c>
    </row>
    <row r="28" spans="1:30" x14ac:dyDescent="0.25">
      <c r="A28" s="36">
        <v>42704.347962962966</v>
      </c>
      <c r="B28" s="31" t="s">
        <v>520</v>
      </c>
      <c r="C28" s="31" t="s">
        <v>529</v>
      </c>
      <c r="D28" s="31" t="s">
        <v>49</v>
      </c>
      <c r="E28" s="31" t="s">
        <v>475</v>
      </c>
      <c r="F28" s="47">
        <v>90</v>
      </c>
      <c r="G28" s="47">
        <v>141</v>
      </c>
      <c r="H28" s="47">
        <v>11261</v>
      </c>
      <c r="I28" s="47">
        <v>11123</v>
      </c>
      <c r="J28" s="31" t="s">
        <v>476</v>
      </c>
      <c r="K28" s="47">
        <v>10988</v>
      </c>
      <c r="L28" s="154" t="s">
        <v>51</v>
      </c>
      <c r="M28" s="155">
        <f t="shared" si="0"/>
        <v>71.28</v>
      </c>
      <c r="N28" s="156" t="str">
        <f>VLOOKUP(C28,'Trips&amp;Operators'!$C$1:$G$99999,5,FALSE)</f>
        <v>STARKS ANGELINA</v>
      </c>
      <c r="O28" s="182" t="s">
        <v>198</v>
      </c>
      <c r="P28" s="157" t="s">
        <v>514</v>
      </c>
      <c r="Q28" s="31"/>
      <c r="R28" s="100" t="str">
        <f>VLOOKUP(C28,'Train Runs'!$A$13:$AE$9983,31,0)</f>
        <v>aws s3 cp s3://rtdc.mdm.uploadarchive.raw/RTDC4026/ "%USERPROFILE%\AppData\Local\Temp\OnboardLogs"\RTDC4026\2016-11-30 --exclude "*" --recursive --include "*20161130*" &amp; "%USERPROFILE%\Documents\GitHub\mrs-test-scripts\Headless Mode &amp; Sideloading\WalkAndUnGZ.bat" "%USERPROFILE%\AppData\Local\Temp\OnboardLogs"\RTDC4026\2016-11-30 &amp; aws s3 cp s3://rtdc.mdm.uploadarchive.raw/RTDC4026/ "%USERPROFILE%\AppData\Local\Temp\OnboardLogs"\RTDC4026\2016-12-01 --exclude "*" --recursive --include "*20161201*" &amp; "%USERPROFILE%\Documents\GitHub\mrs-test-scripts\Headless Mode &amp; Sideloading\WalkAndUnGZ.bat" "%USERPROFILE%\AppData\Local\Temp\OnboardLogs"\RTDC4026\2016-12-01</v>
      </c>
      <c r="S28" s="103" t="str">
        <f>VLOOKUP(C28,'Train Runs'!$A$13:$AE$9983,22,0)</f>
        <v>https://search-rtdc-monitor-bjffxe2xuh6vdkpspy63sjmuny.us-east-1.es.amazonaws.com/_plugin/kibana/#/discover/Steve-Slow-Train-Analysis-(2080s-and-2083s)?_g=(refreshInterval:(display:Off,section:0,value:0),time:(from:'2016-11-30 07:10:43-700',mode:absolute,to:'2016-11-30 09:26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28" s="105" t="str">
        <f t="shared" si="1"/>
        <v>"C:\Program Files (x86)\AstroGrep\AstroGrep.exe" /spath="%USERPROFILE%\AppData\Local\Temp\OnboardLogs" /stypes="*4026*201611301*" /stext=" 15:.+((SYSTEM_STATE.+slice.+state.+changed )|(ment ac)|(multiple cpu faults)|(system.+state.+changed )|(\[timeout)|(PRM\|1\|D)|(kpr)|(kdp)|(\|lc)|(penalty))" /e /r /s</v>
      </c>
      <c r="U28" s="9" t="str">
        <f t="shared" si="2"/>
        <v>4026</v>
      </c>
      <c r="V28" s="36">
        <f t="shared" si="3"/>
        <v>42704.63962962963</v>
      </c>
      <c r="W28" s="50" t="str">
        <f t="shared" si="4"/>
        <v>NW</v>
      </c>
      <c r="X28" s="50" t="str">
        <f t="shared" si="5"/>
        <v>KEEP</v>
      </c>
      <c r="Y28" s="119" t="str">
        <f t="shared" si="6"/>
        <v>echo {"issue":{"subject":"Early arrival","project_id":79,"tracker_id":40,"status_id":1,"priority_id":2,"assigned_to_id":23,"start_date":"2016-11-30","description":"","custom_fields":[{"id":1,"name":"Subdivision","value":"NW"},{"id":4,"name":"Milepost","value":"1.0988"},{"id":17,"name":"Train ID","value":"810-30"},{"id":16,"name":"Locomotive ID","value":"4026"},{"id":130,"name":"Impact","value":""},{"id":150,"name":"Time of Event (Mountain Time)","value":"08:21:04"},{"id":151,"name":"Denver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38" t="str">
        <f t="shared" si="7"/>
        <v>grep -hSE -A100 "Enforcement Action" "%USERPROFILE%\AppData\Local\Temp\OnboardLogs"\RTDC4026\*4026*201611301*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"%USERPROFILE%\AppData\Local\Temp\OnboardLogs"\RTDC4026\*4026*201611301* &gt;&gt; 42704-slicedisagreementcheck.txt</v>
      </c>
    </row>
    <row r="29" spans="1:30" x14ac:dyDescent="0.25">
      <c r="A29" s="36">
        <v>42704.314768518518</v>
      </c>
      <c r="B29" s="31" t="s">
        <v>259</v>
      </c>
      <c r="C29" s="31" t="s">
        <v>527</v>
      </c>
      <c r="D29" s="31" t="s">
        <v>49</v>
      </c>
      <c r="E29" s="31" t="s">
        <v>199</v>
      </c>
      <c r="F29" s="47">
        <v>150</v>
      </c>
      <c r="G29" s="47">
        <v>419</v>
      </c>
      <c r="H29" s="47">
        <v>54958</v>
      </c>
      <c r="I29" s="47">
        <v>56135</v>
      </c>
      <c r="J29" s="31" t="s">
        <v>200</v>
      </c>
      <c r="K29" s="47">
        <v>57008</v>
      </c>
      <c r="L29" s="154" t="s">
        <v>50</v>
      </c>
      <c r="M29" s="155">
        <f t="shared" si="0"/>
        <v>460.94400000000002</v>
      </c>
      <c r="N29" s="156" t="str">
        <f>VLOOKUP(C29,'Trips&amp;Operators'!$C$1:$G$99999,5,FALSE)</f>
        <v>CUSHING HARRY</v>
      </c>
      <c r="O29" s="182" t="s">
        <v>198</v>
      </c>
      <c r="P29" s="157"/>
      <c r="Q29" s="31"/>
      <c r="R29" s="100" t="str">
        <f>VLOOKUP(C29,'Train Runs'!$A$13:$AE$9983,31,0)</f>
        <v>aws s3 cp s3://rtdc.mdm.uploadarchive.raw/RTDC4042/ "%USERPROFILE%\AppData\Local\Temp\OnboardLogs"\RTDC4042\2016-11-30 --exclude "*" --recursive --include "*20161130*" &amp; "%USERPROFILE%\Documents\GitHub\mrs-test-scripts\Headless Mode &amp; Sideloading\WalkAndUnGZ.bat" "%USERPROFILE%\AppData\Local\Temp\OnboardLogs"\RTDC4042\2016-11-30 &amp; aws s3 cp s3://rtdc.mdm.uploadarchive.raw/RTDC4042/ "%USERPROFILE%\AppData\Local\Temp\OnboardLogs"\RTDC4042\2016-12-01 --exclude "*" --recursive --include "*20161201*" &amp; "%USERPROFILE%\Documents\GitHub\mrs-test-scripts\Headless Mode &amp; Sideloading\WalkAndUnGZ.bat" "%USERPROFILE%\AppData\Local\Temp\OnboardLogs"\RTDC4042\2016-12-01</v>
      </c>
      <c r="S29" s="103" t="str">
        <f>VLOOKUP(C29,'Train Runs'!$A$13:$AE$9983,22,0)</f>
        <v>https://search-rtdc-monitor-bjffxe2xuh6vdkpspy63sjmuny.us-east-1.es.amazonaws.com/_plugin/kibana/#/discover/Steve-Slow-Train-Analysis-(2080s-and-2083s)?_g=(refreshInterval:(display:Off,section:0,value:0),time:(from:'2016-11-30 06:11:56-700',mode:absolute,to:'2016-11-30 08:37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29" s="105" t="str">
        <f t="shared" si="1"/>
        <v>"C:\Program Files (x86)\AstroGrep\AstroGrep.exe" /spath="%USERPROFILE%\AppData\Local\Temp\OnboardLogs" /stypes="*4042*201611301*" /stext=" 14:.+((SYSTEM_STATE.+slice.+state.+changed )|(ment ac)|(multiple cpu faults)|(system.+state.+changed )|(\[timeout)|(PRM\|1\|D)|(kpr)|(kdp)|(\|lc)|(penalty))" /e /r /s</v>
      </c>
      <c r="U29" s="9" t="str">
        <f t="shared" si="2"/>
        <v>4042</v>
      </c>
      <c r="V29" s="36">
        <f t="shared" si="3"/>
        <v>42704.606435185182</v>
      </c>
      <c r="W29" s="50" t="str">
        <f t="shared" si="4"/>
        <v>NW</v>
      </c>
      <c r="X29" s="50" t="str">
        <f t="shared" si="5"/>
        <v>KEEP</v>
      </c>
      <c r="Y29" s="119" t="str">
        <f t="shared" si="6"/>
        <v>echo {"issue":{"subject":"","project_id":79,"tracker_id":40,"status_id":1,"priority_id":2,"assigned_to_id":23,"start_date":"2016-11-30","description":"","custom_fields":[{"id":1,"name":"Subdivision","value":"NW"},{"id":4,"name":"Milepost","value":"5.7008"},{"id":17,"name":"Train ID","value":"807-30"},{"id":16,"name":"Locomotive ID","value":"4042"},{"id":130,"name":"Impact","value":""},{"id":150,"name":"Time of Event (Mountain Time)","value":"07:33:16"},{"id":151,"name":"Denver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38" t="str">
        <f t="shared" si="7"/>
        <v>grep -hSE -A100 "Enforcement Action" "%USERPROFILE%\AppData\Local\Temp\OnboardLogs"\RTDC4042\*4042*201611301*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"%USERPROFILE%\AppData\Local\Temp\OnboardLogs"\RTDC4042\*4042*201611301* &gt;&gt; 42704-slicedisagreementcheck.txt</v>
      </c>
    </row>
    <row r="30" spans="1:30" ht="15" customHeight="1" x14ac:dyDescent="0.25">
      <c r="A30" s="36">
        <v>42704.764490740738</v>
      </c>
      <c r="B30" s="31" t="s">
        <v>520</v>
      </c>
      <c r="C30" s="31" t="s">
        <v>546</v>
      </c>
      <c r="D30" s="31" t="s">
        <v>49</v>
      </c>
      <c r="E30" s="31" t="s">
        <v>201</v>
      </c>
      <c r="F30" s="47">
        <v>0</v>
      </c>
      <c r="G30" s="47">
        <v>131</v>
      </c>
      <c r="H30" s="47">
        <v>19441</v>
      </c>
      <c r="I30" s="47">
        <v>19316</v>
      </c>
      <c r="J30" s="31" t="s">
        <v>202</v>
      </c>
      <c r="K30" s="47">
        <v>19000</v>
      </c>
      <c r="L30" s="154" t="s">
        <v>51</v>
      </c>
      <c r="M30" s="155">
        <f t="shared" si="0"/>
        <v>166.84800000000001</v>
      </c>
      <c r="N30" s="156" t="str">
        <f>VLOOKUP(C30,'Trips&amp;Operators'!$C$1:$G$99999,5,FALSE)</f>
        <v>LEVERE CRAIG</v>
      </c>
      <c r="O30" s="182" t="s">
        <v>242</v>
      </c>
      <c r="P30" s="157" t="s">
        <v>516</v>
      </c>
      <c r="Q30" s="31"/>
      <c r="R30" s="100" t="str">
        <f>VLOOKUP(C30,'Train Runs'!$A$13:$AE$9983,31,0)</f>
        <v>aws s3 cp s3://rtdc.mdm.uploadarchive.raw/RTDC4026/ "%USERPROFILE%\AppData\Local\Temp\OnboardLogs"\RTDC4026\2016-11-30 --exclude "*" --recursive --include "*20161130*" &amp; "%USERPROFILE%\Documents\GitHub\mrs-test-scripts\Headless Mode &amp; Sideloading\WalkAndUnGZ.bat" "%USERPROFILE%\AppData\Local\Temp\OnboardLogs"\RTDC4026\2016-11-30 &amp; aws s3 cp s3://rtdc.mdm.uploadarchive.raw/RTDC4026/ "%USERPROFILE%\AppData\Local\Temp\OnboardLogs"\RTDC4026\2016-12-01 --exclude "*" --recursive --include "*20161201*" &amp; "%USERPROFILE%\Documents\GitHub\mrs-test-scripts\Headless Mode &amp; Sideloading\WalkAndUnGZ.bat" "%USERPROFILE%\AppData\Local\Temp\OnboardLogs"\RTDC4026\2016-12-01</v>
      </c>
      <c r="S30" s="103" t="str">
        <f>VLOOKUP(C30,'Train Runs'!$A$13:$AE$9983,22,0)</f>
        <v>https://search-rtdc-monitor-bjffxe2xuh6vdkpspy63sjmuny.us-east-1.es.amazonaws.com/_plugin/kibana/#/discover/Steve-Slow-Train-Analysis-(2080s-and-2083s)?_g=(refreshInterval:(display:Off,section:0,value:0),time:(from:'2016-11-30 17:08:30-700',mode:absolute,to:'2016-11-30 19:29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30" s="105" t="str">
        <f t="shared" si="1"/>
        <v>"C:\Program Files (x86)\AstroGrep\AstroGrep.exe" /spath="%USERPROFILE%\AppData\Local\Temp\OnboardLogs" /stypes="*4026*201612010*" /stext=" 01:.+((SYSTEM_STATE.+slice.+state.+changed )|(ment ac)|(multiple cpu faults)|(system.+state.+changed )|(\[timeout)|(PRM\|1\|D)|(kpr)|(kdp)|(\|lc)|(penalty))" /e /r /s</v>
      </c>
      <c r="U30" s="9" t="str">
        <f t="shared" si="2"/>
        <v>4026</v>
      </c>
      <c r="V30" s="36">
        <f t="shared" si="3"/>
        <v>42705.056157407402</v>
      </c>
      <c r="W30" s="50" t="str">
        <f t="shared" si="4"/>
        <v>NW</v>
      </c>
      <c r="X30" s="50" t="str">
        <f t="shared" si="5"/>
        <v>KEEP</v>
      </c>
      <c r="Y30" s="119" t="str">
        <f t="shared" si="6"/>
        <v>echo {"issue":{"subject":"Wi-MAX data drop","project_id":79,"tracker_id":40,"status_id":1,"priority_id":2,"assigned_to_id":23,"start_date":"2016-11-30","description":"","custom_fields":[{"id":1,"name":"Subdivision","value":"NW"},{"id":4,"name":"Milepost","value":"1.9"},{"id":17,"name":"Train ID","value":"836-30"},{"id":16,"name":"Locomotive ID","value":"4026"},{"id":130,"name":"Impact","value":""},{"id":150,"name":"Time of Event (Mountain Time)","value":"18:20:52"},{"id":151,"name":"Denver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38" t="str">
        <f t="shared" si="7"/>
        <v>grep -hSE -A100 "Enforcement Action" "%USERPROFILE%\AppData\Local\Temp\OnboardLogs"\RTDC4026\*4026*201612010*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"%USERPROFILE%\AppData\Local\Temp\OnboardLogs"\RTDC4026\*4026*201612010* &gt;&gt; 42704-slicedisagreementcheck.txt</v>
      </c>
    </row>
    <row r="31" spans="1:30" ht="15" customHeight="1" x14ac:dyDescent="0.25">
      <c r="A31" s="36">
        <v>42704.77076388889</v>
      </c>
      <c r="B31" s="31" t="s">
        <v>520</v>
      </c>
      <c r="C31" s="31" t="s">
        <v>546</v>
      </c>
      <c r="D31" s="31" t="s">
        <v>49</v>
      </c>
      <c r="E31" s="31" t="s">
        <v>203</v>
      </c>
      <c r="F31" s="47">
        <v>0</v>
      </c>
      <c r="G31" s="47">
        <v>18</v>
      </c>
      <c r="H31" s="47">
        <v>649</v>
      </c>
      <c r="I31" s="47">
        <v>645</v>
      </c>
      <c r="J31" s="31" t="s">
        <v>204</v>
      </c>
      <c r="K31" s="47">
        <v>575</v>
      </c>
      <c r="L31" s="154" t="s">
        <v>51</v>
      </c>
      <c r="M31" s="155">
        <f t="shared" si="0"/>
        <v>36.96</v>
      </c>
      <c r="N31" s="156" t="str">
        <f>VLOOKUP(C31,'Trips&amp;Operators'!$C$1:$G$99999,5,FALSE)</f>
        <v>LEVERE CRAIG</v>
      </c>
      <c r="O31" s="182" t="s">
        <v>198</v>
      </c>
      <c r="P31" s="157"/>
      <c r="Q31" s="31"/>
      <c r="R31" s="100" t="str">
        <f>VLOOKUP(C31,'Train Runs'!$A$13:$AE$9983,31,0)</f>
        <v>aws s3 cp s3://rtdc.mdm.uploadarchive.raw/RTDC4026/ "%USERPROFILE%\AppData\Local\Temp\OnboardLogs"\RTDC4026\2016-11-30 --exclude "*" --recursive --include "*20161130*" &amp; "%USERPROFILE%\Documents\GitHub\mrs-test-scripts\Headless Mode &amp; Sideloading\WalkAndUnGZ.bat" "%USERPROFILE%\AppData\Local\Temp\OnboardLogs"\RTDC4026\2016-11-30 &amp; aws s3 cp s3://rtdc.mdm.uploadarchive.raw/RTDC4026/ "%USERPROFILE%\AppData\Local\Temp\OnboardLogs"\RTDC4026\2016-12-01 --exclude "*" --recursive --include "*20161201*" &amp; "%USERPROFILE%\Documents\GitHub\mrs-test-scripts\Headless Mode &amp; Sideloading\WalkAndUnGZ.bat" "%USERPROFILE%\AppData\Local\Temp\OnboardLogs"\RTDC4026\2016-12-01</v>
      </c>
      <c r="S31" s="103" t="str">
        <f>VLOOKUP(C31,'Train Runs'!$A$13:$AE$9983,22,0)</f>
        <v>https://search-rtdc-monitor-bjffxe2xuh6vdkpspy63sjmuny.us-east-1.es.amazonaws.com/_plugin/kibana/#/discover/Steve-Slow-Train-Analysis-(2080s-and-2083s)?_g=(refreshInterval:(display:Off,section:0,value:0),time:(from:'2016-11-30 17:08:30-700',mode:absolute,to:'2016-11-30 19:29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31" s="105" t="str">
        <f t="shared" si="1"/>
        <v>"C:\Program Files (x86)\AstroGrep\AstroGrep.exe" /spath="%USERPROFILE%\AppData\Local\Temp\OnboardLogs" /stypes="*4026*201612010*" /stext=" 01:.+((SYSTEM_STATE.+slice.+state.+changed )|(ment ac)|(multiple cpu faults)|(system.+state.+changed )|(\[timeout)|(PRM\|1\|D)|(kpr)|(kdp)|(\|lc)|(penalty))" /e /r /s</v>
      </c>
      <c r="U31" s="9" t="str">
        <f t="shared" si="2"/>
        <v>4026</v>
      </c>
      <c r="V31" s="36">
        <f t="shared" si="3"/>
        <v>42705.062430555554</v>
      </c>
      <c r="W31" s="50" t="str">
        <f t="shared" si="4"/>
        <v>NW</v>
      </c>
      <c r="X31" s="50" t="str">
        <f t="shared" si="5"/>
        <v>KEEP</v>
      </c>
      <c r="Y31" s="119" t="str">
        <f t="shared" si="6"/>
        <v>echo {"issue":{"subject":"","project_id":79,"tracker_id":40,"status_id":1,"priority_id":2,"assigned_to_id":23,"start_date":"2016-11-30","description":"","custom_fields":[{"id":1,"name":"Subdivision","value":"NW"},{"id":4,"name":"Milepost","value":"0.0575"},{"id":17,"name":"Train ID","value":"836-30"},{"id":16,"name":"Locomotive ID","value":"4026"},{"id":130,"name":"Impact","value":""},{"id":150,"name":"Time of Event (Mountain Time)","value":"18:29:54"},{"id":151,"name":"Denver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38" t="str">
        <f t="shared" si="7"/>
        <v>grep -hSE -A100 "Enforcement Action" "%USERPROFILE%\AppData\Local\Temp\OnboardLogs"\RTDC4026\*4026*201612010*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"%USERPROFILE%\AppData\Local\Temp\OnboardLogs"\RTDC4026\*4026*201612010* &gt;&gt; 42704-slicedisagreementcheck.txt</v>
      </c>
    </row>
    <row r="32" spans="1:30" x14ac:dyDescent="0.25">
      <c r="A32" s="36">
        <v>42704.339456018519</v>
      </c>
      <c r="B32" s="31" t="s">
        <v>305</v>
      </c>
      <c r="C32" s="31" t="s">
        <v>528</v>
      </c>
      <c r="D32" s="31" t="s">
        <v>49</v>
      </c>
      <c r="E32" s="31" t="s">
        <v>203</v>
      </c>
      <c r="F32" s="47">
        <v>0</v>
      </c>
      <c r="G32" s="47">
        <v>40</v>
      </c>
      <c r="H32" s="47">
        <v>58944</v>
      </c>
      <c r="I32" s="47">
        <v>58971</v>
      </c>
      <c r="J32" s="31" t="s">
        <v>204</v>
      </c>
      <c r="K32" s="47">
        <v>59048</v>
      </c>
      <c r="L32" s="154" t="s">
        <v>50</v>
      </c>
      <c r="M32" s="155">
        <f t="shared" si="0"/>
        <v>40.655999999999999</v>
      </c>
      <c r="N32" s="156" t="str">
        <f>VLOOKUP(C32,'Trips&amp;Operators'!$C$1:$G$99999,5,FALSE)</f>
        <v>STARKS ANGELINA</v>
      </c>
      <c r="O32" s="182" t="s">
        <v>198</v>
      </c>
      <c r="P32" s="157"/>
      <c r="Q32" s="31"/>
      <c r="R32" s="100" t="str">
        <f>VLOOKUP(C32,'Train Runs'!$A$13:$AE$9983,31,0)</f>
        <v>aws s3 cp s3://rtdc.mdm.uploadarchive.raw/RTDC4025/ "%USERPROFILE%\AppData\Local\Temp\OnboardLogs"\RTDC4025\2016-11-30 --exclude "*" --recursive --include "*20161130*" &amp; "%USERPROFILE%\Documents\GitHub\mrs-test-scripts\Headless Mode &amp; Sideloading\WalkAndUnGZ.bat" "%USERPROFILE%\AppData\Local\Temp\OnboardLogs"\RTDC4025\2016-11-30 &amp; aws s3 cp s3://rtdc.mdm.uploadarchive.raw/RTDC4025/ "%USERPROFILE%\AppData\Local\Temp\OnboardLogs"\RTDC4025\2016-12-01 --exclude "*" --recursive --include "*20161201*" &amp; "%USERPROFILE%\Documents\GitHub\mrs-test-scripts\Headless Mode &amp; Sideloading\WalkAndUnGZ.bat" "%USERPROFILE%\AppData\Local\Temp\OnboardLogs"\RTDC4025\2016-12-01</v>
      </c>
      <c r="S32" s="103" t="str">
        <f>VLOOKUP(C32,'Train Runs'!$A$13:$AE$9983,22,0)</f>
        <v>https://search-rtdc-monitor-bjffxe2xuh6vdkpspy63sjmuny.us-east-1.es.amazonaws.com/_plugin/kibana/#/discover/Steve-Slow-Train-Analysis-(2080s-and-2083s)?_g=(refreshInterval:(display:Off,section:0,value:0),time:(from:'2016-11-30 06:28:17-700',mode:absolute,to:'2016-11-30 09:08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32" s="105" t="str">
        <f t="shared" si="1"/>
        <v>"C:\Program Files (x86)\AstroGrep\AstroGrep.exe" /spath="%USERPROFILE%\AppData\Local\Temp\OnboardLogs" /stypes="*4025*201611301*" /stext=" 15:.+((SYSTEM_STATE.+slice.+state.+changed )|(ment ac)|(multiple cpu faults)|(system.+state.+changed )|(\[timeout)|(PRM\|1\|D)|(kpr)|(kdp)|(\|lc)|(penalty))" /e /r /s</v>
      </c>
      <c r="U32" s="9" t="str">
        <f t="shared" si="2"/>
        <v>4025</v>
      </c>
      <c r="V32" s="36">
        <f t="shared" si="3"/>
        <v>42704.631122685183</v>
      </c>
      <c r="W32" s="50" t="str">
        <f t="shared" si="4"/>
        <v>NW</v>
      </c>
      <c r="X32" s="50" t="str">
        <f t="shared" si="5"/>
        <v>KEEP</v>
      </c>
      <c r="Y32" s="119" t="str">
        <f t="shared" si="6"/>
        <v>echo {"issue":{"subject":"","project_id":79,"tracker_id":40,"status_id":1,"priority_id":2,"assigned_to_id":23,"start_date":"2016-11-30","description":"","custom_fields":[{"id":1,"name":"Subdivision","value":"NW"},{"id":4,"name":"Milepost","value":"5.9048"},{"id":17,"name":"Train ID","value":"809-30"},{"id":16,"name":"Locomotive ID","value":"4025"},{"id":130,"name":"Impact","value":""},{"id":150,"name":"Time of Event (Mountain Time)","value":"08:08:49"},{"id":151,"name":"Denver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38" t="str">
        <f t="shared" si="7"/>
        <v>grep -hSE -A100 "Enforcement Action" "%USERPROFILE%\AppData\Local\Temp\OnboardLogs"\RTDC4025\*4025*201611301*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"%USERPROFILE%\AppData\Local\Temp\OnboardLogs"\RTDC4025\*4025*201611301* &gt;&gt; 42704-slicedisagreementcheck.txt</v>
      </c>
    </row>
    <row r="33" spans="1:30" x14ac:dyDescent="0.25">
      <c r="A33" s="36">
        <v>42704.482557870368</v>
      </c>
      <c r="B33" s="31" t="s">
        <v>259</v>
      </c>
      <c r="C33" s="31" t="s">
        <v>537</v>
      </c>
      <c r="D33" s="31" t="s">
        <v>49</v>
      </c>
      <c r="E33" s="31" t="s">
        <v>203</v>
      </c>
      <c r="F33" s="47">
        <v>0</v>
      </c>
      <c r="G33" s="47">
        <v>11</v>
      </c>
      <c r="H33" s="47">
        <v>59018</v>
      </c>
      <c r="I33" s="47">
        <v>59020</v>
      </c>
      <c r="J33" s="31" t="s">
        <v>204</v>
      </c>
      <c r="K33" s="47">
        <v>59048</v>
      </c>
      <c r="L33" s="154" t="s">
        <v>50</v>
      </c>
      <c r="M33" s="155">
        <f t="shared" si="0"/>
        <v>14.784000000000001</v>
      </c>
      <c r="N33" s="156" t="str">
        <f>VLOOKUP(C33,'Trips&amp;Operators'!$C$1:$G$99999,5,FALSE)</f>
        <v>GEBRETEKLE DAGNEW</v>
      </c>
      <c r="O33" s="182" t="s">
        <v>198</v>
      </c>
      <c r="P33" s="157"/>
      <c r="Q33" s="31"/>
      <c r="R33" s="100" t="str">
        <f>VLOOKUP(C33,'Train Runs'!$A$13:$AE$9983,31,0)</f>
        <v>aws s3 cp s3://rtdc.mdm.uploadarchive.raw/RTDC4042/ "%USERPROFILE%\AppData\Local\Temp\OnboardLogs"\RTDC4042\2016-11-30 --exclude "*" --recursive --include "*20161130*" &amp; "%USERPROFILE%\Documents\GitHub\mrs-test-scripts\Headless Mode &amp; Sideloading\WalkAndUnGZ.bat" "%USERPROFILE%\AppData\Local\Temp\OnboardLogs"\RTDC4042\2016-11-30 &amp; aws s3 cp s3://rtdc.mdm.uploadarchive.raw/RTDC4042/ "%USERPROFILE%\AppData\Local\Temp\OnboardLogs"\RTDC4042\2016-12-01 --exclude "*" --recursive --include "*20161201*" &amp; "%USERPROFILE%\Documents\GitHub\mrs-test-scripts\Headless Mode &amp; Sideloading\WalkAndUnGZ.bat" "%USERPROFILE%\AppData\Local\Temp\OnboardLogs"\RTDC4042\2016-12-01</v>
      </c>
      <c r="S33" s="103" t="str">
        <f>VLOOKUP(C33,'Train Runs'!$A$13:$AE$9983,22,0)</f>
        <v>https://search-rtdc-monitor-bjffxe2xuh6vdkpspy63sjmuny.us-east-1.es.amazonaws.com/_plugin/kibana/#/discover/Steve-Slow-Train-Analysis-(2080s-and-2083s)?_g=(refreshInterval:(display:Off,section:0,value:0),time:(from:'2016-11-30 09:57:46-700',mode:absolute,to:'2016-11-30 12:34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33" s="105" t="str">
        <f t="shared" si="1"/>
        <v>"C:\Program Files (x86)\AstroGrep\AstroGrep.exe" /spath="%USERPROFILE%\AppData\Local\Temp\OnboardLogs" /stypes="*4042*201611301*" /stext=" 18:.+((SYSTEM_STATE.+slice.+state.+changed )|(ment ac)|(multiple cpu faults)|(system.+state.+changed )|(\[timeout)|(PRM\|1\|D)|(kpr)|(kdp)|(\|lc)|(penalty))" /e /r /s</v>
      </c>
      <c r="U33" s="9" t="str">
        <f t="shared" si="2"/>
        <v>4042</v>
      </c>
      <c r="V33" s="36">
        <f t="shared" si="3"/>
        <v>42704.774224537032</v>
      </c>
      <c r="W33" s="50" t="str">
        <f t="shared" si="4"/>
        <v>NW</v>
      </c>
      <c r="X33" s="50" t="str">
        <f t="shared" si="5"/>
        <v>KEEP</v>
      </c>
      <c r="Y33" s="119" t="str">
        <f t="shared" si="6"/>
        <v>echo {"issue":{"subject":"","project_id":79,"tracker_id":40,"status_id":1,"priority_id":2,"assigned_to_id":23,"start_date":"2016-11-30","description":"","custom_fields":[{"id":1,"name":"Subdivision","value":"NW"},{"id":4,"name":"Milepost","value":"5.9048"},{"id":17,"name":"Train ID","value":"817-30"},{"id":16,"name":"Locomotive ID","value":"4042"},{"id":130,"name":"Impact","value":""},{"id":150,"name":"Time of Event (Mountain Time)","value":"11:34:53"},{"id":151,"name":"Denver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38" t="str">
        <f t="shared" si="7"/>
        <v>grep -hSE -A100 "Enforcement Action" "%USERPROFILE%\AppData\Local\Temp\OnboardLogs"\RTDC4042\*4042*201611301*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"%USERPROFILE%\AppData\Local\Temp\OnboardLogs"\RTDC4042\*4042*201611301* &gt;&gt; 42704-slicedisagreementcheck.txt</v>
      </c>
    </row>
    <row r="34" spans="1:30" x14ac:dyDescent="0.25">
      <c r="A34" s="36">
        <v>42704.523900462962</v>
      </c>
      <c r="B34" s="31" t="s">
        <v>259</v>
      </c>
      <c r="C34" s="31" t="s">
        <v>539</v>
      </c>
      <c r="D34" s="31" t="s">
        <v>49</v>
      </c>
      <c r="E34" s="31" t="s">
        <v>203</v>
      </c>
      <c r="F34" s="47">
        <v>0</v>
      </c>
      <c r="G34" s="47">
        <v>17</v>
      </c>
      <c r="H34" s="47">
        <v>59033</v>
      </c>
      <c r="I34" s="47">
        <v>59037</v>
      </c>
      <c r="J34" s="31" t="s">
        <v>204</v>
      </c>
      <c r="K34" s="47">
        <v>59048</v>
      </c>
      <c r="L34" s="154" t="s">
        <v>50</v>
      </c>
      <c r="M34" s="155">
        <f t="shared" si="0"/>
        <v>5.8079999999999998</v>
      </c>
      <c r="N34" s="156" t="str">
        <f>VLOOKUP(C34,'Trips&amp;Operators'!$C$1:$G$99999,5,FALSE)</f>
        <v>GEBRETEKLE DAGNEW</v>
      </c>
      <c r="O34" s="182" t="s">
        <v>198</v>
      </c>
      <c r="P34" s="157"/>
      <c r="Q34" s="31"/>
      <c r="R34" s="100" t="str">
        <f>VLOOKUP(C34,'Train Runs'!$A$13:$AE$9983,31,0)</f>
        <v>aws s3 cp s3://rtdc.mdm.uploadarchive.raw/RTDC4042/ "%USERPROFILE%\AppData\Local\Temp\OnboardLogs"\RTDC4042\2016-11-30 --exclude "*" --recursive --include "*20161130*" &amp; "%USERPROFILE%\Documents\GitHub\mrs-test-scripts\Headless Mode &amp; Sideloading\WalkAndUnGZ.bat" "%USERPROFILE%\AppData\Local\Temp\OnboardLogs"\RTDC4042\2016-11-30 &amp; aws s3 cp s3://rtdc.mdm.uploadarchive.raw/RTDC4042/ "%USERPROFILE%\AppData\Local\Temp\OnboardLogs"\RTDC4042\2016-12-01 --exclude "*" --recursive --include "*20161201*" &amp; "%USERPROFILE%\Documents\GitHub\mrs-test-scripts\Headless Mode &amp; Sideloading\WalkAndUnGZ.bat" "%USERPROFILE%\AppData\Local\Temp\OnboardLogs"\RTDC4042\2016-12-01</v>
      </c>
      <c r="S34" s="103" t="str">
        <f>VLOOKUP(C34,'Train Runs'!$A$13:$AE$9983,22,0)</f>
        <v>https://search-rtdc-monitor-bjffxe2xuh6vdkpspy63sjmuny.us-east-1.es.amazonaws.com/_plugin/kibana/#/discover/Steve-Slow-Train-Analysis-(2080s-and-2083s)?_g=(refreshInterval:(display:Off,section:0,value:0),time:(from:'2016-11-30 11:00:24-700',mode:absolute,to:'2016-11-30 13:34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34" s="105" t="str">
        <f t="shared" si="1"/>
        <v>"C:\Program Files (x86)\AstroGrep\AstroGrep.exe" /spath="%USERPROFILE%\AppData\Local\Temp\OnboardLogs" /stypes="*4042*201611301*" /stext=" 19:.+((SYSTEM_STATE.+slice.+state.+changed )|(ment ac)|(multiple cpu faults)|(system.+state.+changed )|(\[timeout)|(PRM\|1\|D)|(kpr)|(kdp)|(\|lc)|(penalty))" /e /r /s</v>
      </c>
      <c r="U34" s="9" t="str">
        <f t="shared" si="2"/>
        <v>4042</v>
      </c>
      <c r="V34" s="36">
        <f t="shared" si="3"/>
        <v>42704.815567129626</v>
      </c>
      <c r="W34" s="50" t="str">
        <f t="shared" si="4"/>
        <v>NW</v>
      </c>
      <c r="X34" s="50" t="str">
        <f t="shared" si="5"/>
        <v>KEEP</v>
      </c>
      <c r="Y34" s="119" t="str">
        <f t="shared" si="6"/>
        <v>echo {"issue":{"subject":"","project_id":79,"tracker_id":40,"status_id":1,"priority_id":2,"assigned_to_id":23,"start_date":"2016-11-30","description":"","custom_fields":[{"id":1,"name":"Subdivision","value":"NW"},{"id":4,"name":"Milepost","value":"5.9048"},{"id":17,"name":"Train ID","value":"819-30"},{"id":16,"name":"Locomotive ID","value":"4042"},{"id":130,"name":"Impact","value":""},{"id":150,"name":"Time of Event (Mountain Time)","value":"12:34:25"},{"id":151,"name":"Denver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38" t="str">
        <f t="shared" si="7"/>
        <v>grep -hSE -A100 "Enforcement Action" "%USERPROFILE%\AppData\Local\Temp\OnboardLogs"\RTDC4042\*4042*201611301*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"%USERPROFILE%\AppData\Local\Temp\OnboardLogs"\RTDC4042\*4042*201611301* &gt;&gt; 42704-slicedisagreementcheck.txt</v>
      </c>
    </row>
    <row r="35" spans="1:30" x14ac:dyDescent="0.25">
      <c r="A35" s="36">
        <v>42704.567152777781</v>
      </c>
      <c r="B35" s="31" t="s">
        <v>259</v>
      </c>
      <c r="C35" s="31" t="s">
        <v>541</v>
      </c>
      <c r="D35" s="31" t="s">
        <v>49</v>
      </c>
      <c r="E35" s="31" t="s">
        <v>203</v>
      </c>
      <c r="F35" s="47">
        <v>0</v>
      </c>
      <c r="G35" s="47">
        <v>13</v>
      </c>
      <c r="H35" s="47">
        <v>59007</v>
      </c>
      <c r="I35" s="47">
        <v>59010</v>
      </c>
      <c r="J35" s="31" t="s">
        <v>204</v>
      </c>
      <c r="K35" s="47">
        <v>59048</v>
      </c>
      <c r="L35" s="154" t="s">
        <v>50</v>
      </c>
      <c r="M35" s="155">
        <f t="shared" si="0"/>
        <v>20.064</v>
      </c>
      <c r="N35" s="156" t="str">
        <f>VLOOKUP(C35,'Trips&amp;Operators'!$C$1:$G$99999,5,FALSE)</f>
        <v>MOSES BRADLEY</v>
      </c>
      <c r="O35" s="182" t="s">
        <v>198</v>
      </c>
      <c r="P35" s="157"/>
      <c r="Q35" s="31"/>
      <c r="R35" s="100" t="str">
        <f>VLOOKUP(C35,'Train Runs'!$A$13:$AE$9983,31,0)</f>
        <v>aws s3 cp s3://rtdc.mdm.uploadarchive.raw/RTDC4042/ "%USERPROFILE%\AppData\Local\Temp\OnboardLogs"\RTDC4042\2016-11-30 --exclude "*" --recursive --include "*20161130*" &amp; "%USERPROFILE%\Documents\GitHub\mrs-test-scripts\Headless Mode &amp; Sideloading\WalkAndUnGZ.bat" "%USERPROFILE%\AppData\Local\Temp\OnboardLogs"\RTDC4042\2016-11-30 &amp; aws s3 cp s3://rtdc.mdm.uploadarchive.raw/RTDC4042/ "%USERPROFILE%\AppData\Local\Temp\OnboardLogs"\RTDC4042\2016-12-01 --exclude "*" --recursive --include "*20161201*" &amp; "%USERPROFILE%\Documents\GitHub\mrs-test-scripts\Headless Mode &amp; Sideloading\WalkAndUnGZ.bat" "%USERPROFILE%\AppData\Local\Temp\OnboardLogs"\RTDC4042\2016-12-01</v>
      </c>
      <c r="S35" s="103" t="str">
        <f>VLOOKUP(C35,'Train Runs'!$A$13:$AE$9983,22,0)</f>
        <v>https://search-rtdc-monitor-bjffxe2xuh6vdkpspy63sjmuny.us-east-1.es.amazonaws.com/_plugin/kibana/#/discover/Steve-Slow-Train-Analysis-(2080s-and-2083s)?_g=(refreshInterval:(display:Off,section:0,value:0),time:(from:'2016-11-30 12:15:45-700',mode:absolute,to:'2016-11-30 14:36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35" s="105" t="str">
        <f t="shared" si="1"/>
        <v>"C:\Program Files (x86)\AstroGrep\AstroGrep.exe" /spath="%USERPROFILE%\AppData\Local\Temp\OnboardLogs" /stypes="*4042*201611302*" /stext=" 20:.+((SYSTEM_STATE.+slice.+state.+changed )|(ment ac)|(multiple cpu faults)|(system.+state.+changed )|(\[timeout)|(PRM\|1\|D)|(kpr)|(kdp)|(\|lc)|(penalty))" /e /r /s</v>
      </c>
      <c r="U35" s="9" t="str">
        <f t="shared" si="2"/>
        <v>4042</v>
      </c>
      <c r="V35" s="36">
        <f t="shared" si="3"/>
        <v>42704.858819444446</v>
      </c>
      <c r="W35" s="50" t="str">
        <f t="shared" si="4"/>
        <v>NW</v>
      </c>
      <c r="X35" s="50" t="str">
        <f t="shared" si="5"/>
        <v>KEEP</v>
      </c>
      <c r="Y35" s="119" t="str">
        <f t="shared" si="6"/>
        <v>echo {"issue":{"subject":"","project_id":79,"tracker_id":40,"status_id":1,"priority_id":2,"assigned_to_id":23,"start_date":"2016-11-30","description":"","custom_fields":[{"id":1,"name":"Subdivision","value":"NW"},{"id":4,"name":"Milepost","value":"5.9048"},{"id":17,"name":"Train ID","value":"821-30"},{"id":16,"name":"Locomotive ID","value":"4042"},{"id":130,"name":"Impact","value":""},{"id":150,"name":"Time of Event (Mountain Time)","value":"13:36:42"},{"id":151,"name":"Denver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38" t="str">
        <f t="shared" si="7"/>
        <v>grep -hSE -A100 "Enforcement Action" "%USERPROFILE%\AppData\Local\Temp\OnboardLogs"\RTDC4042\*4042*201611302*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"%USERPROFILE%\AppData\Local\Temp\OnboardLogs"\RTDC4042\*4042*201611302* &gt;&gt; 42704-slicedisagreementcheck.txt</v>
      </c>
    </row>
    <row r="36" spans="1:30" x14ac:dyDescent="0.25">
      <c r="A36" s="36">
        <v>42704.493946759256</v>
      </c>
      <c r="B36" s="31" t="s">
        <v>331</v>
      </c>
      <c r="C36" s="31" t="s">
        <v>538</v>
      </c>
      <c r="D36" s="31" t="s">
        <v>49</v>
      </c>
      <c r="E36" s="31" t="s">
        <v>199</v>
      </c>
      <c r="F36" s="47">
        <v>300</v>
      </c>
      <c r="G36" s="47">
        <v>396</v>
      </c>
      <c r="H36" s="47">
        <v>19576</v>
      </c>
      <c r="I36" s="47">
        <v>20869</v>
      </c>
      <c r="J36" s="31" t="s">
        <v>200</v>
      </c>
      <c r="K36" s="47">
        <v>21299</v>
      </c>
      <c r="L36" s="154" t="s">
        <v>50</v>
      </c>
      <c r="M36" s="155">
        <f t="shared" si="0"/>
        <v>227.04</v>
      </c>
      <c r="N36" s="156" t="str">
        <f>VLOOKUP(C36,'Trips&amp;Operators'!$C$1:$G$99999,5,FALSE)</f>
        <v>SPECTOR MICHAEL</v>
      </c>
      <c r="O36" s="182" t="s">
        <v>198</v>
      </c>
      <c r="P36" s="157"/>
      <c r="Q36" s="31"/>
      <c r="R36" s="100" t="str">
        <f>VLOOKUP(C36,'Train Runs'!$A$13:$AE$9983,31,0)</f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S36" s="103" t="str">
        <f>VLOOKUP(C36,'Train Runs'!$A$13:$AE$9983,22,0)</f>
        <v>https://search-rtdc-monitor-bjffxe2xuh6vdkpspy63sjmuny.us-east-1.es.amazonaws.com/_plugin/kibana/#/discover/Steve-Slow-Train-Analysis-(2080s-and-2083s)?_g=(refreshInterval:(display:Off,section:0,value:0),time:(from:'2016-11-30 10:43:19-700',mode:absolute,to:'1969-12-31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36" s="105" t="str">
        <f t="shared" si="1"/>
        <v>"C:\Program Files (x86)\AstroGrep\AstroGrep.exe" /spath="%USERPROFILE%\AppData\Local\Temp\OnboardLogs" /stypes="*4007*201611301*" /stext=" 18:.+((SYSTEM_STATE.+slice.+state.+changed )|(ment ac)|(multiple cpu faults)|(system.+state.+changed )|(\[timeout)|(PRM\|1\|D)|(kpr)|(kdp)|(\|lc)|(penalty))" /e /r /s</v>
      </c>
      <c r="U36" s="9" t="str">
        <f t="shared" si="2"/>
        <v>4007</v>
      </c>
      <c r="V36" s="36">
        <f t="shared" si="3"/>
        <v>42704.78561342592</v>
      </c>
      <c r="W36" s="50" t="str">
        <f t="shared" si="4"/>
        <v>Other</v>
      </c>
      <c r="X36" s="50" t="str">
        <f t="shared" si="5"/>
        <v>KEEP</v>
      </c>
      <c r="Y36" s="119" t="str">
        <f t="shared" si="6"/>
        <v>echo {"issue":{"subject":"","project_id":79,"tracker_id":40,"status_id":1,"priority_id":2,"assigned_to_id":23,"start_date":"2016-11-30","description":"","custom_fields":[{"id":1,"name":"Subdivision","value":"Other"},{"id":4,"name":"Milepost","value":"2.1299"},{"id":17,"name":"Train ID","value":"53-30"},{"id":16,"name":"Locomotive ID","value":"4007"},{"id":130,"name":"Impact","value":""},{"id":150,"name":"Time of Event (Mountain Time)","value":"11:51:17"},{"id":151,"name":"Denver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38" t="str">
        <f t="shared" si="7"/>
        <v>grep -hSE -A100 "Enforcement Action" "%USERPROFILE%\AppData\Local\Temp\OnboardLogs"\RTDC4007\*4007*201611301*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"%USERPROFILE%\AppData\Local\Temp\OnboardLogs"\RTDC4007\*4007*201611301* &gt;&gt; 42704-slicedisagreementcheck.txt</v>
      </c>
    </row>
    <row r="37" spans="1:30" x14ac:dyDescent="0.25">
      <c r="A37" s="36">
        <v>42704.150358796294</v>
      </c>
      <c r="B37" s="31" t="s">
        <v>250</v>
      </c>
      <c r="C37" s="31" t="s">
        <v>517</v>
      </c>
      <c r="D37" s="31" t="s">
        <v>49</v>
      </c>
      <c r="E37" s="31" t="s">
        <v>203</v>
      </c>
      <c r="F37" s="47">
        <v>0</v>
      </c>
      <c r="G37" s="47">
        <v>29</v>
      </c>
      <c r="H37" s="47">
        <v>72</v>
      </c>
      <c r="I37" s="47">
        <v>54</v>
      </c>
      <c r="J37" s="31" t="s">
        <v>204</v>
      </c>
      <c r="K37" s="47">
        <v>1</v>
      </c>
      <c r="L37" s="154" t="s">
        <v>51</v>
      </c>
      <c r="M37" s="155">
        <f t="shared" si="0"/>
        <v>27.984000000000002</v>
      </c>
      <c r="N37" s="156" t="str">
        <f>VLOOKUP(C37,'Trips&amp;Operators'!$C$1:$G$99999,5,FALSE)</f>
        <v>ACKERMAN JARED</v>
      </c>
      <c r="O37" s="182" t="s">
        <v>198</v>
      </c>
      <c r="P37" s="157"/>
      <c r="Q37" s="31"/>
      <c r="R37" s="100" t="str">
        <f>VLOOKUP(C37,'Train Runs'!$A$13:$AE$9983,31,0)</f>
        <v>aws s3 cp s3://rtdc.mdm.uploadarchive.raw/RTDC4045/ "%USERPROFILE%\AppData\Local\Temp\OnboardLogs"\RTDC4045\2016-11-30 --exclude "*" --recursive --include "*20161130*" &amp; "%USERPROFILE%\Documents\GitHub\mrs-test-scripts\Headless Mode &amp; Sideloading\WalkAndUnGZ.bat" "%USERPROFILE%\AppData\Local\Temp\OnboardLogs"\RTDC4045\2016-11-30 &amp; aws s3 cp s3://rtdc.mdm.uploadarchive.raw/RTDC4045/ "%USERPROFILE%\AppData\Local\Temp\OnboardLogs"\RTDC4045\2016-12-01 --exclude "*" --recursive --include "*20161201*" &amp; "%USERPROFILE%\Documents\GitHub\mrs-test-scripts\Headless Mode &amp; Sideloading\WalkAndUnGZ.bat" "%USERPROFILE%\AppData\Local\Temp\OnboardLogs"\RTDC4045\2016-12-01</v>
      </c>
      <c r="S37" s="103" t="str">
        <f>VLOOKUP(C37,'Train Runs'!$A$13:$AE$9983,22,0)</f>
        <v>https://search-rtdc-monitor-bjffxe2xuh6vdkpspy63sjmuny.us-east-1.es.amazonaws.com/_plugin/kibana/#/discover/Steve-Slow-Train-Analysis-(2080s-and-2083s)?_g=(refreshInterval:(display:Off,section:0,value:0),time:(from:'2016-11-30 02:26:05-700',mode:absolute,to:'2016-11-30 04:36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37" s="105" t="str">
        <f t="shared" si="1"/>
        <v>"C:\Program Files (x86)\AstroGrep\AstroGrep.exe" /spath="%USERPROFILE%\AppData\Local\Temp\OnboardLogs" /stypes="*4045*201611301*" /stext=" 10:.+((SYSTEM_STATE.+slice.+state.+changed )|(ment ac)|(multiple cpu faults)|(system.+state.+changed )|(\[timeout)|(PRM\|1\|D)|(kpr)|(kdp)|(\|lc)|(penalty))" /e /r /s</v>
      </c>
      <c r="U37" s="9" t="str">
        <f t="shared" si="2"/>
        <v>4045</v>
      </c>
      <c r="V37" s="36">
        <f t="shared" si="3"/>
        <v>42704.442025462959</v>
      </c>
      <c r="W37" s="50" t="str">
        <f t="shared" si="4"/>
        <v>Other</v>
      </c>
      <c r="X37" s="50" t="str">
        <f t="shared" si="5"/>
        <v>KEEP</v>
      </c>
      <c r="Y37" s="119" t="str">
        <f t="shared" si="6"/>
        <v>echo {"issue":{"subject":"","project_id":79,"tracker_id":40,"status_id":1,"priority_id":2,"assigned_to_id":23,"start_date":"2016-11-30","description":"","custom_fields":[{"id":1,"name":"Subdivision","value":"Other"},{"id":4,"name":"Milepost","value":"0.0001"},{"id":17,"name":"Train ID","value":"304-30"},{"id":16,"name":"Locomotive ID","value":"4045"},{"id":130,"name":"Impact","value":""},{"id":150,"name":"Time of Event (Mountain Time)","value":"03:36:31"},{"id":151,"name":"Denver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38" t="str">
        <f t="shared" si="7"/>
        <v>grep -hSE -A100 "Enforcement Action" "%USERPROFILE%\AppData\Local\Temp\OnboardLogs"\RTDC4045\*4045*201611301*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"%USERPROFILE%\AppData\Local\Temp\OnboardLogs"\RTDC4045\*4045*201611301* &gt;&gt; 42704-slicedisagreementcheck.txt</v>
      </c>
    </row>
    <row r="38" spans="1:30" x14ac:dyDescent="0.25">
      <c r="A38" s="36">
        <v>42704.176458333335</v>
      </c>
      <c r="B38" s="31" t="s">
        <v>218</v>
      </c>
      <c r="C38" s="31" t="s">
        <v>518</v>
      </c>
      <c r="D38" s="31" t="s">
        <v>49</v>
      </c>
      <c r="E38" s="31" t="s">
        <v>203</v>
      </c>
      <c r="F38" s="47">
        <v>0</v>
      </c>
      <c r="G38" s="47">
        <v>46</v>
      </c>
      <c r="H38" s="47">
        <v>167</v>
      </c>
      <c r="I38" s="47">
        <v>119</v>
      </c>
      <c r="J38" s="31" t="s">
        <v>204</v>
      </c>
      <c r="K38" s="47">
        <v>1</v>
      </c>
      <c r="L38" s="154" t="s">
        <v>51</v>
      </c>
      <c r="M38" s="155">
        <f t="shared" si="0"/>
        <v>62.304000000000002</v>
      </c>
      <c r="N38" s="156" t="str">
        <f>VLOOKUP(C38,'Trips&amp;Operators'!$C$1:$G$99999,5,FALSE)</f>
        <v>SPECTOR MICHAEL</v>
      </c>
      <c r="O38" s="182" t="s">
        <v>198</v>
      </c>
      <c r="P38" s="157"/>
      <c r="Q38" s="31"/>
      <c r="R38" s="100" t="str">
        <f>VLOOKUP(C38,'Train Runs'!$A$13:$AE$9983,31,0)</f>
        <v>aws s3 cp s3://rtdc.mdm.uploadarchive.raw/RTDC4012/ "%USERPROFILE%\AppData\Local\Temp\OnboardLogs"\RTDC4012\2016-11-30 --exclude "*" --recursive --include "*20161130*" &amp; "%USERPROFILE%\Documents\GitHub\mrs-test-scripts\Headless Mode &amp; Sideloading\WalkAndUnGZ.bat" "%USERPROFILE%\AppData\Local\Temp\OnboardLogs"\RTDC4012\2016-11-30 &amp; aws s3 cp s3://rtdc.mdm.uploadarchive.raw/RTDC4012/ "%USERPROFILE%\AppData\Local\Temp\OnboardLogs"\RTDC4012\2016-12-01 --exclude "*" --recursive --include "*20161201*" &amp; "%USERPROFILE%\Documents\GitHub\mrs-test-scripts\Headless Mode &amp; Sideloading\WalkAndUnGZ.bat" "%USERPROFILE%\AppData\Local\Temp\OnboardLogs"\RTDC4012\2016-12-01</v>
      </c>
      <c r="S38" s="103" t="str">
        <f>VLOOKUP(C38,'Train Runs'!$A$13:$AE$9983,22,0)</f>
        <v>https://search-rtdc-monitor-bjffxe2xuh6vdkpspy63sjmuny.us-east-1.es.amazonaws.com/_plugin/kibana/#/discover/Steve-Slow-Train-Analysis-(2080s-and-2083s)?_g=(refreshInterval:(display:Off,section:0,value:0),time:(from:'2016-11-30 03:03:50-700',mode:absolute,to:'2016-11-30 05:14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38" s="105" t="str">
        <f t="shared" si="1"/>
        <v>"C:\Program Files (x86)\AstroGrep\AstroGrep.exe" /spath="%USERPROFILE%\AppData\Local\Temp\OnboardLogs" /stypes="*4012*201611301*" /stext=" 11:.+((SYSTEM_STATE.+slice.+state.+changed )|(ment ac)|(multiple cpu faults)|(system.+state.+changed )|(\[timeout)|(PRM\|1\|D)|(kpr)|(kdp)|(\|lc)|(penalty))" /e /r /s</v>
      </c>
      <c r="U38" s="9" t="str">
        <f t="shared" si="2"/>
        <v>4012</v>
      </c>
      <c r="V38" s="36">
        <f t="shared" si="3"/>
        <v>42704.468124999999</v>
      </c>
      <c r="W38" s="50" t="str">
        <f t="shared" si="4"/>
        <v>Other</v>
      </c>
      <c r="X38" s="50" t="str">
        <f t="shared" si="5"/>
        <v>KEEP</v>
      </c>
      <c r="Y38" s="119" t="str">
        <f t="shared" si="6"/>
        <v>echo {"issue":{"subject":"","project_id":79,"tracker_id":40,"status_id":1,"priority_id":2,"assigned_to_id":23,"start_date":"2016-11-30","description":"","custom_fields":[{"id":1,"name":"Subdivision","value":"Other"},{"id":4,"name":"Milepost","value":"0.0001"},{"id":17,"name":"Train ID","value":"308-30"},{"id":16,"name":"Locomotive ID","value":"4012"},{"id":130,"name":"Impact","value":""},{"id":150,"name":"Time of Event (Mountain Time)","value":"04:14:06"},{"id":151,"name":"Denver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38" t="str">
        <f t="shared" si="7"/>
        <v>grep -hSE -A100 "Enforcement Action" "%USERPROFILE%\AppData\Local\Temp\OnboardLogs"\RTDC4012\*4012*201611301*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"&amp;Variables!$A$2&amp;"-slicedisagreementcheck.txt"</f>
        <v>grep -hSE "Enforcement Action" "%USERPROFILE%\AppData\Local\Temp\OnboardLogs"\RTDC4012\*4012*201611301* &gt;&gt; 42704-slicedisagreementcheck.txt</v>
      </c>
    </row>
    <row r="39" spans="1:30" x14ac:dyDescent="0.25">
      <c r="A39" s="36">
        <v>42704.442800925928</v>
      </c>
      <c r="B39" s="31" t="s">
        <v>474</v>
      </c>
      <c r="C39" s="31" t="s">
        <v>533</v>
      </c>
      <c r="D39" s="31" t="s">
        <v>49</v>
      </c>
      <c r="E39" s="31" t="s">
        <v>203</v>
      </c>
      <c r="F39" s="47">
        <v>0</v>
      </c>
      <c r="G39" s="47">
        <v>47</v>
      </c>
      <c r="H39" s="47">
        <v>115</v>
      </c>
      <c r="I39" s="47">
        <v>63</v>
      </c>
      <c r="J39" s="31" t="s">
        <v>204</v>
      </c>
      <c r="K39" s="47">
        <v>1</v>
      </c>
      <c r="L39" s="154" t="s">
        <v>51</v>
      </c>
      <c r="M39" s="155">
        <f t="shared" si="0"/>
        <v>32.735999999999997</v>
      </c>
      <c r="N39" s="156" t="str">
        <f>VLOOKUP(C39,'Trips&amp;Operators'!$C$1:$G$99999,5,FALSE)</f>
        <v>BARTLETT KIANDRA</v>
      </c>
      <c r="O39" s="182" t="s">
        <v>198</v>
      </c>
      <c r="P39" s="157"/>
      <c r="Q39" s="31"/>
      <c r="R39" s="100" t="str">
        <f>VLOOKUP(C39,'Train Runs'!$A$13:$AE$9983,31,0)</f>
        <v>aws s3 cp s3://rtdc.mdm.uploadarchive.raw/RTDC4030/ "%USERPROFILE%\AppData\Local\Temp\OnboardLogs"\RTDC4030\2016-11-30 --exclude "*" --recursive --include "*20161130*" &amp; "%USERPROFILE%\Documents\GitHub\mrs-test-scripts\Headless Mode &amp; Sideloading\WalkAndUnGZ.bat" "%USERPROFILE%\AppData\Local\Temp\OnboardLogs"\RTDC4030\2016-11-30 &amp; aws s3 cp s3://rtdc.mdm.uploadarchive.raw/RTDC4030/ "%USERPROFILE%\AppData\Local\Temp\OnboardLogs"\RTDC4030\2016-12-01 --exclude "*" --recursive --include "*20161201*" &amp; "%USERPROFILE%\Documents\GitHub\mrs-test-scripts\Headless Mode &amp; Sideloading\WalkAndUnGZ.bat" "%USERPROFILE%\AppData\Local\Temp\OnboardLogs"\RTDC4030\2016-12-01</v>
      </c>
      <c r="S39" s="103" t="str">
        <f>VLOOKUP(C39,'Train Runs'!$A$13:$AE$9983,22,0)</f>
        <v>https://search-rtdc-monitor-bjffxe2xuh6vdkpspy63sjmuny.us-east-1.es.amazonaws.com/_plugin/kibana/#/discover/Steve-Slow-Train-Analysis-(2080s-and-2083s)?_g=(refreshInterval:(display:Off,section:0,value:0),time:(from:'2016-11-30 09:28:44-700',mode:absolute,to:'2016-11-30 11:37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39" s="105" t="str">
        <f t="shared" si="1"/>
        <v>"C:\Program Files (x86)\AstroGrep\AstroGrep.exe" /spath="%USERPROFILE%\AppData\Local\Temp\OnboardLogs" /stypes="*4030*201611301*" /stext=" 17:.+((SYSTEM_STATE.+slice.+state.+changed )|(ment ac)|(multiple cpu faults)|(system.+state.+changed )|(\[timeout)|(PRM\|1\|D)|(kpr)|(kdp)|(\|lc)|(penalty))" /e /r /s</v>
      </c>
      <c r="U39" s="9" t="str">
        <f t="shared" si="2"/>
        <v>4030</v>
      </c>
      <c r="V39" s="36">
        <f t="shared" si="3"/>
        <v>42704.734467592592</v>
      </c>
      <c r="W39" s="50" t="str">
        <f t="shared" si="4"/>
        <v>Other</v>
      </c>
      <c r="X39" s="50" t="str">
        <f t="shared" si="5"/>
        <v>KEEP</v>
      </c>
      <c r="Y39" s="119" t="str">
        <f t="shared" si="6"/>
        <v>echo {"issue":{"subject":"","project_id":79,"tracker_id":40,"status_id":1,"priority_id":2,"assigned_to_id":23,"start_date":"2016-11-30","description":"","custom_fields":[{"id":1,"name":"Subdivision","value":"Other"},{"id":4,"name":"Milepost","value":"0.0001"},{"id":17,"name":"Train ID","value":"50-30"},{"id":16,"name":"Locomotive ID","value":"4030"},{"id":130,"name":"Impact","value":""},{"id":150,"name":"Time of Event (Mountain Time)","value":"10:37:38"},{"id":151,"name":"Denver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38" t="str">
        <f t="shared" si="7"/>
        <v>grep -hSE -A100 "Enforcement Action" "%USERPROFILE%\AppData\Local\Temp\OnboardLogs"\RTDC4030\*4030*201611301*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"&amp;Variables!$A$2&amp;"-slicedisagreementcheck.txt"</f>
        <v>grep -hSE "Enforcement Action" "%USERPROFILE%\AppData\Local\Temp\OnboardLogs"\RTDC4030\*4030*201611301* &gt;&gt; 42704-slicedisagreementcheck.txt</v>
      </c>
    </row>
    <row r="40" spans="1:30" x14ac:dyDescent="0.25">
      <c r="A40" s="36">
        <v>42704.755810185183</v>
      </c>
      <c r="B40" s="31" t="s">
        <v>237</v>
      </c>
      <c r="C40" s="31" t="s">
        <v>545</v>
      </c>
      <c r="D40" s="31" t="s">
        <v>49</v>
      </c>
      <c r="E40" s="31" t="s">
        <v>203</v>
      </c>
      <c r="F40" s="47">
        <v>0</v>
      </c>
      <c r="G40" s="47">
        <v>13</v>
      </c>
      <c r="H40" s="47">
        <v>856</v>
      </c>
      <c r="I40" s="47">
        <v>848</v>
      </c>
      <c r="J40" s="31" t="s">
        <v>204</v>
      </c>
      <c r="K40" s="47">
        <v>826</v>
      </c>
      <c r="L40" s="154" t="s">
        <v>51</v>
      </c>
      <c r="M40" s="155">
        <f t="shared" si="0"/>
        <v>11.616</v>
      </c>
      <c r="N40" s="156" t="str">
        <f>VLOOKUP(C40,'Trips&amp;Operators'!$C$1:$G$99999,5,FALSE)</f>
        <v>BADERTSCHER DIANE</v>
      </c>
      <c r="O40" s="182" t="s">
        <v>198</v>
      </c>
      <c r="P40" s="157"/>
      <c r="Q40" s="31"/>
      <c r="R40" s="100" t="str">
        <f>VLOOKUP(C40,'Train Runs'!$A$13:$AE$9983,31,0)</f>
        <v>aws s3 cp s3://rtdc.mdm.uploadarchive.raw/RTDC4013/ "%USERPROFILE%\AppData\Local\Temp\OnboardLogs"\RTDC4013\2016-11-30 --exclude "*" --recursive --include "*20161130*" &amp; "%USERPROFILE%\Documents\GitHub\mrs-test-scripts\Headless Mode &amp; Sideloading\WalkAndUnGZ.bat" "%USERPROFILE%\AppData\Local\Temp\OnboardLogs"\RTDC4013\2016-11-30 &amp; aws s3 cp s3://rtdc.mdm.uploadarchive.raw/RTDC4013/ "%USERPROFILE%\AppData\Local\Temp\OnboardLogs"\RTDC4013\2016-12-01 --exclude "*" --recursive --include "*20161201*" &amp; "%USERPROFILE%\Documents\GitHub\mrs-test-scripts\Headless Mode &amp; Sideloading\WalkAndUnGZ.bat" "%USERPROFILE%\AppData\Local\Temp\OnboardLogs"\RTDC4013\2016-12-01</v>
      </c>
      <c r="S40" s="103" t="str">
        <f>VLOOKUP(C40,'Train Runs'!$A$13:$AE$9983,22,0)</f>
        <v>https://search-rtdc-monitor-bjffxe2xuh6vdkpspy63sjmuny.us-east-1.es.amazonaws.com/_plugin/kibana/#/discover/Steve-Slow-Train-Analysis-(2080s-and-2083s)?_g=(refreshInterval:(display:Off,section:0,value:0),time:(from:'2016-11-30 16:57:05-700',mode:absolute,to:'2016-11-30 19:08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40" s="105" t="str">
        <f t="shared" si="1"/>
        <v>"C:\Program Files (x86)\AstroGrep\AstroGrep.exe" /spath="%USERPROFILE%\AppData\Local\Temp\OnboardLogs" /stypes="*4013*201612010*" /stext=" 01:.+((SYSTEM_STATE.+slice.+state.+changed )|(ment ac)|(multiple cpu faults)|(system.+state.+changed )|(\[timeout)|(PRM\|1\|D)|(kpr)|(kdp)|(\|lc)|(penalty))" /e /r /s</v>
      </c>
      <c r="U40" s="9" t="str">
        <f t="shared" si="2"/>
        <v>4013</v>
      </c>
      <c r="V40" s="36">
        <f t="shared" si="3"/>
        <v>42705.047476851847</v>
      </c>
      <c r="W40" s="50" t="str">
        <f t="shared" si="4"/>
        <v>Other</v>
      </c>
      <c r="X40" s="50" t="str">
        <f t="shared" si="5"/>
        <v>KEEP</v>
      </c>
      <c r="Y40" s="119" t="str">
        <f t="shared" si="6"/>
        <v>echo {"issue":{"subject":"","project_id":79,"tracker_id":40,"status_id":1,"priority_id":2,"assigned_to_id":23,"start_date":"2016-11-30","description":"","custom_fields":[{"id":1,"name":"Subdivision","value":"Other"},{"id":4,"name":"Milepost","value":"0.0826"},{"id":17,"name":"Train ID","value":"88-30"},{"id":16,"name":"Locomotive ID","value":"4013"},{"id":130,"name":"Impact","value":""},{"id":150,"name":"Time of Event (Mountain Time)","value":"18:08:22"},{"id":151,"name":"Denver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38" t="str">
        <f t="shared" si="7"/>
        <v>grep -hSE -A100 "Enforcement Action" "%USERPROFILE%\AppData\Local\Temp\OnboardLogs"\RTDC4013\*4013*201612010*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"&amp;Variables!$A$2&amp;"-slicedisagreementcheck.txt"</f>
        <v>grep -hSE "Enforcement Action" "%USERPROFILE%\AppData\Local\Temp\OnboardLogs"\RTDC4013\*4013*201612010* &gt;&gt; 42704-slicedisagreementcheck.txt</v>
      </c>
    </row>
    <row r="41" spans="1:30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</row>
    <row r="42" spans="1:30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</row>
    <row r="43" spans="1:30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</row>
    <row r="44" spans="1:30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</row>
    <row r="45" spans="1:30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</row>
    <row r="46" spans="1:30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</row>
    <row r="47" spans="1:30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</row>
    <row r="48" spans="1:30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29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29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29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29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29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29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29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29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29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29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29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29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  <row r="68" spans="1:29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</row>
    <row r="69" spans="1:29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AC69"/>
    </row>
    <row r="70" spans="1:29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AC70"/>
    </row>
    <row r="71" spans="1:29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AC71"/>
    </row>
    <row r="72" spans="1:29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AC72"/>
    </row>
    <row r="73" spans="1:29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AC73"/>
    </row>
    <row r="74" spans="1:29" x14ac:dyDescent="0.25">
      <c r="A74"/>
      <c r="D74"/>
      <c r="E74"/>
      <c r="F74"/>
      <c r="G74"/>
      <c r="H74"/>
      <c r="I74"/>
      <c r="J74"/>
      <c r="K74"/>
      <c r="L74"/>
      <c r="M74"/>
      <c r="N74"/>
      <c r="O74"/>
      <c r="P74"/>
      <c r="R74"/>
      <c r="S74"/>
      <c r="T74"/>
      <c r="V74"/>
      <c r="AC74"/>
    </row>
    <row r="75" spans="1:29" x14ac:dyDescent="0.25">
      <c r="A75"/>
      <c r="D75"/>
      <c r="E75"/>
      <c r="F75"/>
      <c r="G75"/>
      <c r="H75"/>
      <c r="I75"/>
      <c r="J75"/>
      <c r="K75"/>
      <c r="L75"/>
      <c r="M75"/>
      <c r="N75"/>
      <c r="O75"/>
      <c r="P75"/>
      <c r="R75"/>
      <c r="S75"/>
      <c r="T75"/>
      <c r="V75"/>
      <c r="AC75"/>
    </row>
  </sheetData>
  <autoFilter ref="A6:AC46">
    <sortState ref="A7:AC46">
      <sortCondition ref="W7:W40"/>
      <sortCondition ref="E7:E40"/>
      <sortCondition ref="K7:K40"/>
      <sortCondition ref="F7:F40"/>
    </sortState>
  </autoFilter>
  <sortState ref="A7:AD53">
    <sortCondition ref="W7:W53"/>
    <sortCondition ref="E7:E53"/>
    <sortCondition ref="K7:K53"/>
    <sortCondition ref="C7:C53"/>
    <sortCondition ref="F7:F53"/>
  </sortState>
  <mergeCells count="1">
    <mergeCell ref="A5:O5"/>
  </mergeCells>
  <conditionalFormatting sqref="O6:P6 R6 O76:O1048576 O7:O40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0">
    <cfRule type="expression" dxfId="1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AA7:AA40</xm:sqref>
        </x14:dataValidation>
        <x14:dataValidation type="list" allowBlank="1" showInputMessage="1" showErrorMessage="1">
          <x14:formula1>
            <xm:f>'Redmine List Values'!$C$2:$C$15</xm:f>
          </x14:formula1>
          <xm:sqref>AB7:AB40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"/>
  <sheetViews>
    <sheetView workbookViewId="0">
      <selection activeCell="A3" sqref="A3"/>
    </sheetView>
  </sheetViews>
  <sheetFormatPr defaultRowHeight="15" x14ac:dyDescent="0.25"/>
  <cols>
    <col min="1" max="1" width="9.140625" style="165"/>
    <col min="2" max="2" width="9.140625" style="2" customWidth="1"/>
    <col min="3" max="3" width="8" style="108" bestFit="1" customWidth="1"/>
    <col min="4" max="4" width="9.85546875" style="16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84" t="str">
        <f>"Trips that did not appear in PTC Data "&amp;TEXT(Variables!$A$2,"YYYY-mm-dd")</f>
        <v>Trips that did not appear in PTC Data 2016-11-30</v>
      </c>
      <c r="C1" s="184"/>
      <c r="D1" s="184"/>
      <c r="E1" s="184"/>
      <c r="F1" s="184"/>
    </row>
    <row r="2" spans="1:11" s="24" customFormat="1" ht="45" x14ac:dyDescent="0.25">
      <c r="A2" s="178" t="s">
        <v>153</v>
      </c>
      <c r="B2" s="110" t="s">
        <v>58</v>
      </c>
      <c r="C2" s="107" t="s">
        <v>59</v>
      </c>
      <c r="D2" s="162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71"/>
      <c r="B3" s="47" t="str">
        <f>A3&amp;"-"&amp;IF(DAY(Variables!$A$2)&lt;10,0,"")&amp;DAY(Variables!$A$2)</f>
        <v>-30</v>
      </c>
      <c r="C3" s="158"/>
      <c r="D3" s="163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5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-30%22)),sort:!(Time,asc))</v>
      </c>
      <c r="J3" s="31" t="e">
        <f>VLOOKUP(B3,'Train Runs'!$A$13:$A$99980,1,FALSE)</f>
        <v>#N/A</v>
      </c>
      <c r="K3" s="31" t="e">
        <f>IF(VLOOKUP(A3,$K$40:$K$63,1,FALSE),"Cancelled")</f>
        <v>#N/A</v>
      </c>
    </row>
    <row r="4" spans="1:11" x14ac:dyDescent="0.25">
      <c r="A4" s="171"/>
      <c r="B4" s="47" t="str">
        <f>A4&amp;"-"&amp;IF(DAY(Variables!$A$2)&lt;10,0,"")&amp;DAY(Variables!$A$2)</f>
        <v>-30</v>
      </c>
      <c r="C4" s="158"/>
      <c r="D4" s="163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-30%22)),sort:!(Time,asc))</v>
      </c>
      <c r="J4" s="31" t="e">
        <f>VLOOKUP(B4,'Train Runs'!$A$13:$A$99980,1,FALSE)</f>
        <v>#N/A</v>
      </c>
      <c r="K4" s="31" t="e">
        <f>IF(VLOOKUP(A4,$K$40:$K$63,1,FALSE),"Cancelled")</f>
        <v>#N/A</v>
      </c>
    </row>
    <row r="5" spans="1:11" x14ac:dyDescent="0.25">
      <c r="A5" s="171"/>
      <c r="B5" s="47" t="str">
        <f>A5&amp;"-"&amp;IF(DAY(Variables!$A$2)&lt;10,0,"")&amp;DAY(Variables!$A$2)</f>
        <v>-30</v>
      </c>
      <c r="C5" s="158"/>
      <c r="D5" s="163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-30%22)),sort:!(Time,asc))</v>
      </c>
      <c r="J5" s="31" t="e">
        <f>VLOOKUP(B5,'Train Runs'!$A$13:$A$99980,1,FALSE)</f>
        <v>#N/A</v>
      </c>
      <c r="K5" s="31" t="e">
        <f>IF(VLOOKUP(A5,$K$40:$K$63,1,FALSE),"Cancelled")</f>
        <v>#N/A</v>
      </c>
    </row>
    <row r="6" spans="1:11" x14ac:dyDescent="0.25">
      <c r="A6" s="171"/>
      <c r="B6" s="47" t="str">
        <f>A6&amp;"-"&amp;IF(DAY(Variables!$A$2)&lt;10,0,"")&amp;DAY(Variables!$A$2)</f>
        <v>-30</v>
      </c>
      <c r="C6" s="158"/>
      <c r="D6" s="163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ref="I6:I10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6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-30%22)),sort:!(Time,asc))</v>
      </c>
      <c r="J6" s="31" t="e">
        <f>VLOOKUP(B6,'Train Runs'!$A$13:$A$99980,1,FALSE)</f>
        <v>#N/A</v>
      </c>
      <c r="K6" s="31" t="e">
        <f t="shared" ref="K6:K10" si="2">IF(VLOOKUP(A6,$K$40:$K$63,1,FALSE),"Cancelled")</f>
        <v>#N/A</v>
      </c>
    </row>
    <row r="7" spans="1:11" x14ac:dyDescent="0.25">
      <c r="A7" s="171"/>
      <c r="B7" s="47" t="str">
        <f>A7&amp;"-"&amp;IF(DAY(Variables!$A$2)&lt;10,0,"")&amp;DAY(Variables!$A$2)</f>
        <v>-30</v>
      </c>
      <c r="C7" s="158"/>
      <c r="D7" s="163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-30%22)),sort:!(Time,asc))</v>
      </c>
      <c r="J7" s="31" t="e">
        <f>VLOOKUP(B7,'Train Runs'!$A$13:$A$99980,1,FALSE)</f>
        <v>#N/A</v>
      </c>
      <c r="K7" s="31" t="e">
        <f t="shared" si="2"/>
        <v>#N/A</v>
      </c>
    </row>
    <row r="8" spans="1:11" x14ac:dyDescent="0.25">
      <c r="A8" s="171"/>
      <c r="B8" s="47" t="str">
        <f>A8&amp;"-"&amp;IF(DAY(Variables!$A$2)&lt;10,0,"")&amp;DAY(Variables!$A$2)</f>
        <v>-30</v>
      </c>
      <c r="C8" s="158"/>
      <c r="D8" s="163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-30%22)),sort:!(Time,asc))</v>
      </c>
      <c r="J8" s="31" t="e">
        <f>VLOOKUP(B8,'Train Runs'!$A$13:$A$99980,1,FALSE)</f>
        <v>#N/A</v>
      </c>
      <c r="K8" s="31" t="e">
        <f t="shared" si="2"/>
        <v>#N/A</v>
      </c>
    </row>
    <row r="9" spans="1:11" x14ac:dyDescent="0.25">
      <c r="A9" s="171"/>
      <c r="B9" s="47" t="str">
        <f>A9&amp;"-"&amp;IF(DAY(Variables!$A$2)&lt;10,0,"")&amp;DAY(Variables!$A$2)</f>
        <v>-30</v>
      </c>
      <c r="C9" s="158"/>
      <c r="D9" s="163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-30%22)),sort:!(Time,asc))</v>
      </c>
      <c r="J9" s="31" t="e">
        <f>VLOOKUP(B9,'Train Runs'!$A$13:$A$99980,1,FALSE)</f>
        <v>#N/A</v>
      </c>
      <c r="K9" s="31" t="e">
        <f t="shared" si="2"/>
        <v>#N/A</v>
      </c>
    </row>
    <row r="10" spans="1:11" x14ac:dyDescent="0.25">
      <c r="A10" s="171"/>
      <c r="B10" s="47" t="str">
        <f>A10&amp;"-"&amp;IF(DAY(Variables!$A$2)&lt;10,0,"")&amp;DAY(Variables!$A$2)</f>
        <v>-30</v>
      </c>
      <c r="C10" s="158"/>
      <c r="D10" s="163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-30%22)),sort:!(Time,asc))</v>
      </c>
      <c r="J10" s="31" t="e">
        <f>VLOOKUP(B10,'Train Runs'!$A$13:$A$99980,1,FALSE)</f>
        <v>#N/A</v>
      </c>
      <c r="K10" s="31" t="e">
        <f t="shared" si="2"/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tabSelected="1" workbookViewId="0">
      <selection activeCell="F2" sqref="F2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65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65" t="s">
        <v>179</v>
      </c>
      <c r="E1" s="21" t="s">
        <v>180</v>
      </c>
      <c r="F1" s="21" t="s">
        <v>957</v>
      </c>
      <c r="G1" s="8" t="s">
        <v>956</v>
      </c>
    </row>
    <row r="2" spans="1:7" x14ac:dyDescent="0.25">
      <c r="A2" s="8">
        <v>42704.046550925923</v>
      </c>
      <c r="B2" s="21" t="s">
        <v>213</v>
      </c>
      <c r="C2" s="21" t="s">
        <v>485</v>
      </c>
      <c r="D2" s="165">
        <v>1290000</v>
      </c>
      <c r="E2" s="21" t="s">
        <v>320</v>
      </c>
      <c r="F2" s="21" t="s">
        <v>928</v>
      </c>
      <c r="G2" s="8" t="str">
        <f>E2&amp;" "&amp;F2</f>
        <v>COOLAHAN JOHN</v>
      </c>
    </row>
    <row r="3" spans="1:7" x14ac:dyDescent="0.25">
      <c r="A3" s="8">
        <v>42704.048726851855</v>
      </c>
      <c r="B3" s="21" t="s">
        <v>213</v>
      </c>
      <c r="C3" s="21" t="s">
        <v>485</v>
      </c>
      <c r="D3" s="165">
        <v>1290000</v>
      </c>
      <c r="E3" s="21" t="s">
        <v>320</v>
      </c>
      <c r="F3" s="21" t="s">
        <v>928</v>
      </c>
      <c r="G3" s="8" t="str">
        <f t="shared" ref="G3:G66" si="0">E3&amp;" "&amp;F3</f>
        <v>COOLAHAN JOHN</v>
      </c>
    </row>
    <row r="4" spans="1:7" x14ac:dyDescent="0.25">
      <c r="A4" s="8">
        <v>42704.056481481479</v>
      </c>
      <c r="B4" s="21" t="s">
        <v>237</v>
      </c>
      <c r="C4" s="21" t="s">
        <v>486</v>
      </c>
      <c r="D4" s="165">
        <v>1800000</v>
      </c>
      <c r="E4" s="21" t="s">
        <v>281</v>
      </c>
      <c r="F4" s="21" t="s">
        <v>929</v>
      </c>
      <c r="G4" s="8" t="str">
        <f t="shared" si="0"/>
        <v>CHANDLER KELVIN</v>
      </c>
    </row>
    <row r="5" spans="1:7" x14ac:dyDescent="0.25">
      <c r="A5" s="8">
        <v>42704.066064814811</v>
      </c>
      <c r="B5" s="21" t="s">
        <v>316</v>
      </c>
      <c r="C5" s="21" t="s">
        <v>487</v>
      </c>
      <c r="D5" s="165">
        <v>1230000</v>
      </c>
      <c r="E5" s="21" t="s">
        <v>336</v>
      </c>
      <c r="F5" s="21" t="s">
        <v>930</v>
      </c>
      <c r="G5" s="8" t="str">
        <f t="shared" si="0"/>
        <v>YANAI IAN</v>
      </c>
    </row>
    <row r="6" spans="1:7" x14ac:dyDescent="0.25">
      <c r="A6" s="8">
        <v>42704.129421296297</v>
      </c>
      <c r="B6" s="21" t="s">
        <v>224</v>
      </c>
      <c r="C6" s="21" t="s">
        <v>548</v>
      </c>
      <c r="D6" s="165">
        <v>2010000</v>
      </c>
      <c r="E6" s="21" t="s">
        <v>549</v>
      </c>
      <c r="F6" s="21" t="s">
        <v>931</v>
      </c>
      <c r="G6" s="8" t="str">
        <f t="shared" si="0"/>
        <v>MAELZER KURT</v>
      </c>
    </row>
    <row r="7" spans="1:7" x14ac:dyDescent="0.25">
      <c r="A7" s="8">
        <v>42704.143634259257</v>
      </c>
      <c r="B7" s="21" t="s">
        <v>250</v>
      </c>
      <c r="C7" s="21" t="s">
        <v>517</v>
      </c>
      <c r="D7" s="165">
        <v>1260000</v>
      </c>
      <c r="E7" s="21" t="s">
        <v>550</v>
      </c>
      <c r="F7" s="21" t="s">
        <v>932</v>
      </c>
      <c r="G7" s="8" t="str">
        <f t="shared" si="0"/>
        <v>ACKERMAN JARED</v>
      </c>
    </row>
    <row r="8" spans="1:7" x14ac:dyDescent="0.25">
      <c r="A8" s="8">
        <v>42704.153298611112</v>
      </c>
      <c r="B8" s="21" t="s">
        <v>248</v>
      </c>
      <c r="C8" s="21" t="s">
        <v>519</v>
      </c>
      <c r="D8" s="165">
        <v>1260000</v>
      </c>
      <c r="E8" s="21" t="s">
        <v>550</v>
      </c>
      <c r="F8" s="21" t="s">
        <v>932</v>
      </c>
      <c r="G8" s="8" t="str">
        <f t="shared" si="0"/>
        <v>ACKERMAN JARED</v>
      </c>
    </row>
    <row r="9" spans="1:7" ht="15.75" thickBot="1" x14ac:dyDescent="0.3">
      <c r="A9" s="25">
        <v>42704.157789351855</v>
      </c>
      <c r="B9" s="21" t="s">
        <v>270</v>
      </c>
      <c r="C9" s="21" t="s">
        <v>551</v>
      </c>
      <c r="D9" s="165">
        <v>1780000</v>
      </c>
      <c r="E9" s="21" t="s">
        <v>552</v>
      </c>
      <c r="F9" s="21" t="s">
        <v>933</v>
      </c>
      <c r="G9" s="8" t="str">
        <f t="shared" si="0"/>
        <v>DE LA ROSA ALEX</v>
      </c>
    </row>
    <row r="10" spans="1:7" x14ac:dyDescent="0.25">
      <c r="A10" s="8">
        <v>42704.16814814815</v>
      </c>
      <c r="B10" s="21" t="s">
        <v>222</v>
      </c>
      <c r="C10" s="21" t="s">
        <v>553</v>
      </c>
      <c r="D10" s="165">
        <v>1780000</v>
      </c>
      <c r="E10" s="21" t="s">
        <v>552</v>
      </c>
      <c r="F10" s="21" t="s">
        <v>933</v>
      </c>
      <c r="G10" s="8" t="str">
        <f t="shared" si="0"/>
        <v>DE LA ROSA ALEX</v>
      </c>
    </row>
    <row r="11" spans="1:7" x14ac:dyDescent="0.25">
      <c r="A11" s="8">
        <v>42704.16982638889</v>
      </c>
      <c r="B11" s="21" t="s">
        <v>218</v>
      </c>
      <c r="C11" s="21" t="s">
        <v>518</v>
      </c>
      <c r="D11" s="165">
        <v>1090000</v>
      </c>
      <c r="E11" s="21" t="s">
        <v>333</v>
      </c>
      <c r="F11" s="21" t="s">
        <v>934</v>
      </c>
      <c r="G11" s="8" t="str">
        <f t="shared" si="0"/>
        <v>SPECTOR MICHAEL</v>
      </c>
    </row>
    <row r="12" spans="1:7" x14ac:dyDescent="0.25">
      <c r="A12" s="8">
        <v>42704.171342592592</v>
      </c>
      <c r="B12" s="21" t="s">
        <v>481</v>
      </c>
      <c r="C12" s="21" t="s">
        <v>554</v>
      </c>
      <c r="D12" s="165">
        <v>2010000</v>
      </c>
      <c r="E12" s="21" t="s">
        <v>549</v>
      </c>
      <c r="F12" s="21" t="s">
        <v>931</v>
      </c>
      <c r="G12" s="8" t="str">
        <f t="shared" si="0"/>
        <v>MAELZER KURT</v>
      </c>
    </row>
    <row r="13" spans="1:7" x14ac:dyDescent="0.25">
      <c r="A13" s="8">
        <v>42704.180462962962</v>
      </c>
      <c r="B13" s="21" t="s">
        <v>210</v>
      </c>
      <c r="C13" s="21" t="s">
        <v>555</v>
      </c>
      <c r="D13" s="165">
        <v>1090000</v>
      </c>
      <c r="E13" s="21" t="s">
        <v>333</v>
      </c>
      <c r="F13" s="21" t="s">
        <v>934</v>
      </c>
      <c r="G13" s="8" t="str">
        <f t="shared" si="0"/>
        <v>SPECTOR MICHAEL</v>
      </c>
    </row>
    <row r="14" spans="1:7" x14ac:dyDescent="0.25">
      <c r="A14" s="8">
        <v>42704.180555555555</v>
      </c>
      <c r="B14" s="21" t="s">
        <v>267</v>
      </c>
      <c r="C14" s="21" t="s">
        <v>556</v>
      </c>
      <c r="D14" s="165">
        <v>2030000</v>
      </c>
      <c r="E14" s="21" t="s">
        <v>303</v>
      </c>
      <c r="F14" s="21" t="s">
        <v>935</v>
      </c>
      <c r="G14" s="8" t="str">
        <f t="shared" si="0"/>
        <v>KILLION DAVID</v>
      </c>
    </row>
    <row r="15" spans="1:7" x14ac:dyDescent="0.25">
      <c r="A15" s="8">
        <v>42704.189641203702</v>
      </c>
      <c r="B15" s="21" t="s">
        <v>266</v>
      </c>
      <c r="C15" s="21" t="s">
        <v>557</v>
      </c>
      <c r="D15" s="165">
        <v>2030000</v>
      </c>
      <c r="E15" s="21" t="s">
        <v>303</v>
      </c>
      <c r="F15" s="21" t="s">
        <v>935</v>
      </c>
      <c r="G15" s="8" t="str">
        <f t="shared" si="0"/>
        <v>KILLION DAVID</v>
      </c>
    </row>
    <row r="16" spans="1:7" x14ac:dyDescent="0.25">
      <c r="A16" s="8">
        <v>42704.18990740741</v>
      </c>
      <c r="B16" s="21" t="s">
        <v>250</v>
      </c>
      <c r="C16" s="21" t="s">
        <v>558</v>
      </c>
      <c r="D16" s="165">
        <v>1260000</v>
      </c>
      <c r="E16" s="21" t="s">
        <v>550</v>
      </c>
      <c r="F16" s="21" t="s">
        <v>932</v>
      </c>
      <c r="G16" s="8" t="str">
        <f t="shared" si="0"/>
        <v>ACKERMAN JARED</v>
      </c>
    </row>
    <row r="17" spans="1:7" x14ac:dyDescent="0.25">
      <c r="A17" s="8">
        <v>42704.202465277776</v>
      </c>
      <c r="B17" s="21" t="s">
        <v>305</v>
      </c>
      <c r="C17" s="21" t="s">
        <v>559</v>
      </c>
      <c r="D17" s="165">
        <v>1110000</v>
      </c>
      <c r="E17" s="21" t="s">
        <v>318</v>
      </c>
      <c r="F17" s="21" t="s">
        <v>936</v>
      </c>
      <c r="G17" s="8" t="str">
        <f t="shared" si="0"/>
        <v>STARKS ANGELINA</v>
      </c>
    </row>
    <row r="18" spans="1:7" x14ac:dyDescent="0.25">
      <c r="A18" s="8">
        <v>42704.203298611108</v>
      </c>
      <c r="B18" s="21" t="s">
        <v>305</v>
      </c>
      <c r="C18" s="21" t="s">
        <v>559</v>
      </c>
      <c r="D18" s="165">
        <v>1110000</v>
      </c>
      <c r="E18" s="21" t="s">
        <v>318</v>
      </c>
      <c r="F18" s="21" t="s">
        <v>936</v>
      </c>
      <c r="G18" s="8" t="str">
        <f t="shared" si="0"/>
        <v>STARKS ANGELINA</v>
      </c>
    </row>
    <row r="19" spans="1:7" x14ac:dyDescent="0.25">
      <c r="A19" s="8">
        <v>42704.205243055556</v>
      </c>
      <c r="B19" s="21" t="s">
        <v>224</v>
      </c>
      <c r="C19" s="21" t="s">
        <v>560</v>
      </c>
      <c r="D19" s="165">
        <v>2630000</v>
      </c>
      <c r="E19" s="21" t="s">
        <v>262</v>
      </c>
      <c r="F19" s="21" t="s">
        <v>937</v>
      </c>
      <c r="G19" s="8" t="str">
        <f t="shared" si="0"/>
        <v>SAFIEF AEIMEN</v>
      </c>
    </row>
    <row r="20" spans="1:7" x14ac:dyDescent="0.25">
      <c r="A20" s="8">
        <v>42704.206192129626</v>
      </c>
      <c r="B20" s="21" t="s">
        <v>305</v>
      </c>
      <c r="C20" s="21" t="s">
        <v>559</v>
      </c>
      <c r="D20" s="165">
        <v>1110000</v>
      </c>
      <c r="E20" s="21" t="s">
        <v>318</v>
      </c>
      <c r="F20" s="21" t="s">
        <v>936</v>
      </c>
      <c r="G20" s="8" t="str">
        <f t="shared" si="0"/>
        <v>STARKS ANGELINA</v>
      </c>
    </row>
    <row r="21" spans="1:7" x14ac:dyDescent="0.25">
      <c r="A21" s="8">
        <v>42704.211006944446</v>
      </c>
      <c r="B21" s="21" t="s">
        <v>270</v>
      </c>
      <c r="C21" s="21" t="s">
        <v>561</v>
      </c>
      <c r="D21" s="165">
        <v>1780000</v>
      </c>
      <c r="E21" s="21" t="s">
        <v>552</v>
      </c>
      <c r="F21" s="21" t="s">
        <v>933</v>
      </c>
      <c r="G21" s="8" t="str">
        <f t="shared" si="0"/>
        <v>DE LA ROSA ALEX</v>
      </c>
    </row>
    <row r="22" spans="1:7" x14ac:dyDescent="0.25">
      <c r="A22" s="27">
        <v>42704.214722222219</v>
      </c>
      <c r="B22" s="21" t="s">
        <v>184</v>
      </c>
      <c r="C22" s="21" t="s">
        <v>522</v>
      </c>
      <c r="D22" s="165">
        <v>2010000</v>
      </c>
      <c r="E22" s="21" t="s">
        <v>549</v>
      </c>
      <c r="F22" s="21" t="s">
        <v>931</v>
      </c>
      <c r="G22" s="8" t="str">
        <f t="shared" si="0"/>
        <v>MAELZER KURT</v>
      </c>
    </row>
    <row r="23" spans="1:7" x14ac:dyDescent="0.25">
      <c r="A23" s="8">
        <v>42704.215717592589</v>
      </c>
      <c r="B23" s="21" t="s">
        <v>520</v>
      </c>
      <c r="C23" s="21" t="s">
        <v>521</v>
      </c>
      <c r="D23" s="165">
        <v>1110000</v>
      </c>
      <c r="E23" s="21" t="s">
        <v>318</v>
      </c>
      <c r="F23" s="21" t="s">
        <v>936</v>
      </c>
      <c r="G23" s="8" t="str">
        <f t="shared" si="0"/>
        <v>STARKS ANGELINA</v>
      </c>
    </row>
    <row r="24" spans="1:7" x14ac:dyDescent="0.25">
      <c r="A24" s="8">
        <v>42704.222013888888</v>
      </c>
      <c r="B24" s="21" t="s">
        <v>218</v>
      </c>
      <c r="C24" s="21" t="s">
        <v>562</v>
      </c>
      <c r="D24" s="165">
        <v>1090000</v>
      </c>
      <c r="E24" s="21" t="s">
        <v>333</v>
      </c>
      <c r="F24" s="21" t="s">
        <v>934</v>
      </c>
      <c r="G24" s="8" t="str">
        <f t="shared" si="0"/>
        <v>SPECTOR MICHAEL</v>
      </c>
    </row>
    <row r="25" spans="1:7" x14ac:dyDescent="0.25">
      <c r="A25" s="8">
        <v>42704.225289351853</v>
      </c>
      <c r="B25" s="21" t="s">
        <v>248</v>
      </c>
      <c r="C25" s="21" t="s">
        <v>563</v>
      </c>
      <c r="D25" s="165">
        <v>2620000</v>
      </c>
      <c r="E25" s="21" t="s">
        <v>332</v>
      </c>
      <c r="F25" s="21" t="s">
        <v>938</v>
      </c>
      <c r="G25" s="8" t="str">
        <f t="shared" si="0"/>
        <v>PERKINS DARREN</v>
      </c>
    </row>
    <row r="26" spans="1:7" x14ac:dyDescent="0.25">
      <c r="A26" s="8">
        <v>42704.232974537037</v>
      </c>
      <c r="B26" s="21" t="s">
        <v>267</v>
      </c>
      <c r="C26" s="21" t="s">
        <v>564</v>
      </c>
      <c r="D26" s="165">
        <v>2030000</v>
      </c>
      <c r="E26" s="21" t="s">
        <v>303</v>
      </c>
      <c r="F26" s="21" t="s">
        <v>935</v>
      </c>
      <c r="G26" s="8" t="str">
        <f t="shared" si="0"/>
        <v>KILLION DAVID</v>
      </c>
    </row>
    <row r="27" spans="1:7" x14ac:dyDescent="0.25">
      <c r="A27" s="8">
        <v>42704.234537037039</v>
      </c>
      <c r="B27" s="21" t="s">
        <v>251</v>
      </c>
      <c r="C27" s="21" t="s">
        <v>565</v>
      </c>
      <c r="D27" s="165">
        <v>1260000</v>
      </c>
      <c r="E27" s="21" t="s">
        <v>550</v>
      </c>
      <c r="F27" s="21" t="s">
        <v>932</v>
      </c>
      <c r="G27" s="8" t="str">
        <f t="shared" si="0"/>
        <v>ACKERMAN JARED</v>
      </c>
    </row>
    <row r="28" spans="1:7" x14ac:dyDescent="0.25">
      <c r="A28" s="8">
        <v>42704.241990740738</v>
      </c>
      <c r="B28" s="21" t="s">
        <v>305</v>
      </c>
      <c r="C28" s="21" t="s">
        <v>566</v>
      </c>
      <c r="D28" s="165">
        <v>1110000</v>
      </c>
      <c r="E28" s="21" t="s">
        <v>318</v>
      </c>
      <c r="F28" s="21" t="s">
        <v>936</v>
      </c>
      <c r="G28" s="8" t="str">
        <f t="shared" si="0"/>
        <v>STARKS ANGELINA</v>
      </c>
    </row>
    <row r="29" spans="1:7" x14ac:dyDescent="0.25">
      <c r="A29" s="8">
        <v>42704.242280092592</v>
      </c>
      <c r="B29" s="21" t="s">
        <v>225</v>
      </c>
      <c r="C29" s="21" t="s">
        <v>567</v>
      </c>
      <c r="D29" s="165">
        <v>2630000</v>
      </c>
      <c r="E29" s="21" t="s">
        <v>262</v>
      </c>
      <c r="F29" s="21" t="s">
        <v>937</v>
      </c>
      <c r="G29" s="8" t="str">
        <f t="shared" si="0"/>
        <v>SAFIEF AEIMEN</v>
      </c>
    </row>
    <row r="30" spans="1:7" x14ac:dyDescent="0.25">
      <c r="A30" s="8">
        <v>42704.247465277775</v>
      </c>
      <c r="B30" s="21" t="s">
        <v>222</v>
      </c>
      <c r="C30" s="21" t="s">
        <v>568</v>
      </c>
      <c r="D30" s="165">
        <v>1780000</v>
      </c>
      <c r="E30" s="21" t="s">
        <v>552</v>
      </c>
      <c r="F30" s="21" t="s">
        <v>933</v>
      </c>
      <c r="G30" s="8" t="str">
        <f t="shared" si="0"/>
        <v>DE LA ROSA ALEX</v>
      </c>
    </row>
    <row r="31" spans="1:7" x14ac:dyDescent="0.25">
      <c r="A31" s="8">
        <v>42704.24800925926</v>
      </c>
      <c r="B31" s="21" t="s">
        <v>260</v>
      </c>
      <c r="C31" s="21" t="s">
        <v>569</v>
      </c>
      <c r="D31" s="165">
        <v>1100000</v>
      </c>
      <c r="E31" s="21" t="s">
        <v>480</v>
      </c>
      <c r="F31" s="21" t="s">
        <v>939</v>
      </c>
      <c r="G31" s="8" t="str">
        <f t="shared" si="0"/>
        <v>GEBRETEKLE DAGNEW</v>
      </c>
    </row>
    <row r="32" spans="1:7" x14ac:dyDescent="0.25">
      <c r="A32" s="8">
        <v>42704.250914351855</v>
      </c>
      <c r="B32" s="21" t="s">
        <v>481</v>
      </c>
      <c r="C32" s="21" t="s">
        <v>570</v>
      </c>
      <c r="D32" s="165">
        <v>2010000</v>
      </c>
      <c r="E32" s="21" t="s">
        <v>549</v>
      </c>
      <c r="F32" s="21" t="s">
        <v>931</v>
      </c>
      <c r="G32" s="8" t="str">
        <f t="shared" si="0"/>
        <v>MAELZER KURT</v>
      </c>
    </row>
    <row r="33" spans="1:7" x14ac:dyDescent="0.25">
      <c r="A33" s="8">
        <v>42704.255567129629</v>
      </c>
      <c r="B33" s="21" t="s">
        <v>520</v>
      </c>
      <c r="C33" s="21" t="s">
        <v>571</v>
      </c>
      <c r="D33" s="165">
        <v>1110000</v>
      </c>
      <c r="E33" s="21" t="s">
        <v>318</v>
      </c>
      <c r="F33" s="21" t="s">
        <v>936</v>
      </c>
      <c r="G33" s="8" t="str">
        <f t="shared" si="0"/>
        <v>STARKS ANGELINA</v>
      </c>
    </row>
    <row r="34" spans="1:7" x14ac:dyDescent="0.25">
      <c r="A34" s="8">
        <v>42704.25582175926</v>
      </c>
      <c r="B34" s="21" t="s">
        <v>210</v>
      </c>
      <c r="C34" s="21" t="s">
        <v>523</v>
      </c>
      <c r="D34" s="165">
        <v>1090000</v>
      </c>
      <c r="E34" s="21" t="s">
        <v>333</v>
      </c>
      <c r="F34" s="21" t="s">
        <v>934</v>
      </c>
      <c r="G34" s="8" t="str">
        <f t="shared" si="0"/>
        <v>SPECTOR MICHAEL</v>
      </c>
    </row>
    <row r="35" spans="1:7" x14ac:dyDescent="0.25">
      <c r="A35" s="8">
        <v>42704.256365740737</v>
      </c>
      <c r="B35" s="21" t="s">
        <v>259</v>
      </c>
      <c r="C35" s="21" t="s">
        <v>572</v>
      </c>
      <c r="D35" s="165">
        <v>1100000</v>
      </c>
      <c r="E35" s="21" t="s">
        <v>480</v>
      </c>
      <c r="F35" s="21" t="s">
        <v>939</v>
      </c>
      <c r="G35" s="8" t="str">
        <f t="shared" si="0"/>
        <v>GEBRETEKLE DAGNEW</v>
      </c>
    </row>
    <row r="36" spans="1:7" x14ac:dyDescent="0.25">
      <c r="A36" s="8">
        <v>42704.259085648147</v>
      </c>
      <c r="B36" s="21" t="s">
        <v>279</v>
      </c>
      <c r="C36" s="21" t="s">
        <v>524</v>
      </c>
      <c r="D36" s="165">
        <v>2620000</v>
      </c>
      <c r="E36" s="21" t="s">
        <v>332</v>
      </c>
      <c r="F36" s="21" t="s">
        <v>938</v>
      </c>
      <c r="G36" s="8" t="str">
        <f t="shared" si="0"/>
        <v>PERKINS DARREN</v>
      </c>
    </row>
    <row r="37" spans="1:7" x14ac:dyDescent="0.25">
      <c r="A37" s="8">
        <v>42704.265150462961</v>
      </c>
      <c r="B37" s="21" t="s">
        <v>266</v>
      </c>
      <c r="C37" s="21" t="s">
        <v>573</v>
      </c>
      <c r="D37" s="165">
        <v>2030000</v>
      </c>
      <c r="E37" s="21" t="s">
        <v>303</v>
      </c>
      <c r="F37" s="21" t="s">
        <v>935</v>
      </c>
      <c r="G37" s="8" t="str">
        <f t="shared" si="0"/>
        <v>KILLION DAVID</v>
      </c>
    </row>
    <row r="38" spans="1:7" x14ac:dyDescent="0.25">
      <c r="A38" s="8">
        <v>42704.27306712963</v>
      </c>
      <c r="B38" s="21" t="s">
        <v>250</v>
      </c>
      <c r="C38" s="21" t="s">
        <v>526</v>
      </c>
      <c r="D38" s="165">
        <v>1260000</v>
      </c>
      <c r="E38" s="21" t="s">
        <v>550</v>
      </c>
      <c r="F38" s="21" t="s">
        <v>932</v>
      </c>
      <c r="G38" s="8" t="str">
        <f t="shared" si="0"/>
        <v>ACKERMAN JARED</v>
      </c>
    </row>
    <row r="39" spans="1:7" x14ac:dyDescent="0.25">
      <c r="A39" s="8">
        <v>42704.275590277779</v>
      </c>
      <c r="B39" s="21" t="s">
        <v>224</v>
      </c>
      <c r="C39" s="21" t="s">
        <v>574</v>
      </c>
      <c r="D39" s="165">
        <v>2630000</v>
      </c>
      <c r="E39" s="21" t="s">
        <v>262</v>
      </c>
      <c r="F39" s="21" t="s">
        <v>937</v>
      </c>
      <c r="G39" s="8" t="str">
        <f t="shared" si="0"/>
        <v>SAFIEF AEIMEN</v>
      </c>
    </row>
    <row r="40" spans="1:7" x14ac:dyDescent="0.25">
      <c r="A40" s="8">
        <v>42704.27615740741</v>
      </c>
      <c r="B40" s="26" t="s">
        <v>260</v>
      </c>
      <c r="C40" s="21" t="s">
        <v>575</v>
      </c>
      <c r="D40" s="165">
        <v>1100000</v>
      </c>
      <c r="E40" s="21" t="s">
        <v>480</v>
      </c>
      <c r="F40" s="21" t="s">
        <v>939</v>
      </c>
      <c r="G40" s="8" t="str">
        <f t="shared" si="0"/>
        <v>GEBRETEKLE DAGNEW</v>
      </c>
    </row>
    <row r="41" spans="1:7" x14ac:dyDescent="0.25">
      <c r="A41" s="8">
        <v>42704.280173611114</v>
      </c>
      <c r="B41" s="21" t="s">
        <v>305</v>
      </c>
      <c r="C41" s="21" t="s">
        <v>576</v>
      </c>
      <c r="D41" s="165">
        <v>1110000</v>
      </c>
      <c r="E41" s="21" t="s">
        <v>318</v>
      </c>
      <c r="F41" s="21" t="s">
        <v>936</v>
      </c>
      <c r="G41" s="8" t="str">
        <f t="shared" si="0"/>
        <v>STARKS ANGELINA</v>
      </c>
    </row>
    <row r="42" spans="1:7" x14ac:dyDescent="0.25">
      <c r="A42" s="8">
        <v>42704.28434027778</v>
      </c>
      <c r="B42" s="21" t="s">
        <v>479</v>
      </c>
      <c r="C42" s="21" t="s">
        <v>525</v>
      </c>
      <c r="D42" s="165">
        <v>1780000</v>
      </c>
      <c r="E42" s="21" t="s">
        <v>552</v>
      </c>
      <c r="F42" s="21" t="s">
        <v>933</v>
      </c>
      <c r="G42" s="8" t="str">
        <f t="shared" si="0"/>
        <v>DE LA ROSA ALEX</v>
      </c>
    </row>
    <row r="43" spans="1:7" x14ac:dyDescent="0.25">
      <c r="A43" s="8">
        <v>42704.285532407404</v>
      </c>
      <c r="B43" s="21" t="s">
        <v>479</v>
      </c>
      <c r="C43" s="21" t="s">
        <v>525</v>
      </c>
      <c r="D43" s="165">
        <v>1780000</v>
      </c>
      <c r="E43" s="21" t="s">
        <v>552</v>
      </c>
      <c r="F43" s="21" t="s">
        <v>933</v>
      </c>
      <c r="G43" s="8" t="str">
        <f t="shared" si="0"/>
        <v>DE LA ROSA ALEX</v>
      </c>
    </row>
    <row r="44" spans="1:7" x14ac:dyDescent="0.25">
      <c r="A44" s="8">
        <v>42704.286643518521</v>
      </c>
      <c r="B44" s="21" t="s">
        <v>479</v>
      </c>
      <c r="C44" s="21" t="s">
        <v>525</v>
      </c>
      <c r="D44" s="165">
        <v>1780000</v>
      </c>
      <c r="E44" s="21" t="s">
        <v>552</v>
      </c>
      <c r="F44" s="21" t="s">
        <v>933</v>
      </c>
      <c r="G44" s="8" t="str">
        <f t="shared" si="0"/>
        <v>DE LA ROSA ALEX</v>
      </c>
    </row>
    <row r="45" spans="1:7" x14ac:dyDescent="0.25">
      <c r="A45" s="8">
        <v>42704.287141203706</v>
      </c>
      <c r="B45" s="21" t="s">
        <v>184</v>
      </c>
      <c r="C45" s="21" t="s">
        <v>577</v>
      </c>
      <c r="D45" s="165">
        <v>2010000</v>
      </c>
      <c r="E45" s="21" t="s">
        <v>549</v>
      </c>
      <c r="F45" s="21" t="s">
        <v>931</v>
      </c>
      <c r="G45" s="8" t="str">
        <f t="shared" si="0"/>
        <v>MAELZER KURT</v>
      </c>
    </row>
    <row r="46" spans="1:7" x14ac:dyDescent="0.25">
      <c r="A46" s="8">
        <v>42704.297152777777</v>
      </c>
      <c r="B46" s="21" t="s">
        <v>248</v>
      </c>
      <c r="C46" s="21" t="s">
        <v>578</v>
      </c>
      <c r="D46" s="165">
        <v>2620000</v>
      </c>
      <c r="E46" s="21" t="s">
        <v>332</v>
      </c>
      <c r="F46" s="21" t="s">
        <v>938</v>
      </c>
      <c r="G46" s="8" t="str">
        <f t="shared" si="0"/>
        <v>PERKINS DARREN</v>
      </c>
    </row>
    <row r="47" spans="1:7" x14ac:dyDescent="0.25">
      <c r="A47" s="8">
        <v>42704.297500000001</v>
      </c>
      <c r="B47" s="21" t="s">
        <v>218</v>
      </c>
      <c r="C47" s="21" t="s">
        <v>579</v>
      </c>
      <c r="D47" s="165">
        <v>1090000</v>
      </c>
      <c r="E47" s="21" t="s">
        <v>333</v>
      </c>
      <c r="F47" s="21" t="s">
        <v>934</v>
      </c>
      <c r="G47" s="8" t="str">
        <f t="shared" si="0"/>
        <v>SPECTOR MICHAEL</v>
      </c>
    </row>
    <row r="48" spans="1:7" x14ac:dyDescent="0.25">
      <c r="A48" s="8">
        <v>42704.297523148147</v>
      </c>
      <c r="B48" s="21" t="s">
        <v>520</v>
      </c>
      <c r="C48" s="21" t="s">
        <v>580</v>
      </c>
      <c r="D48" s="165">
        <v>1110000</v>
      </c>
      <c r="E48" s="21" t="s">
        <v>318</v>
      </c>
      <c r="F48" s="21" t="s">
        <v>936</v>
      </c>
      <c r="G48" s="8" t="str">
        <f t="shared" si="0"/>
        <v>STARKS ANGELINA</v>
      </c>
    </row>
    <row r="49" spans="1:7" x14ac:dyDescent="0.25">
      <c r="A49" s="8">
        <v>42704.3</v>
      </c>
      <c r="B49" s="21" t="s">
        <v>479</v>
      </c>
      <c r="C49" s="21" t="s">
        <v>525</v>
      </c>
      <c r="D49" s="165">
        <v>1780000</v>
      </c>
      <c r="E49" s="21" t="s">
        <v>552</v>
      </c>
      <c r="F49" s="21" t="s">
        <v>933</v>
      </c>
      <c r="G49" s="8" t="str">
        <f t="shared" si="0"/>
        <v>DE LA ROSA ALEX</v>
      </c>
    </row>
    <row r="50" spans="1:7" x14ac:dyDescent="0.25">
      <c r="A50" s="8">
        <v>42704.30059027778</v>
      </c>
      <c r="B50" s="21" t="s">
        <v>259</v>
      </c>
      <c r="C50" s="21" t="s">
        <v>527</v>
      </c>
      <c r="D50" s="165">
        <v>1200000</v>
      </c>
      <c r="E50" s="21" t="s">
        <v>581</v>
      </c>
      <c r="F50" s="21" t="s">
        <v>940</v>
      </c>
      <c r="G50" s="8" t="str">
        <f t="shared" si="0"/>
        <v>CUSHING HARRY</v>
      </c>
    </row>
    <row r="51" spans="1:7" x14ac:dyDescent="0.25">
      <c r="A51" s="8">
        <v>42704.307569444441</v>
      </c>
      <c r="B51" s="21" t="s">
        <v>267</v>
      </c>
      <c r="C51" s="21" t="s">
        <v>582</v>
      </c>
      <c r="D51" s="165">
        <v>2030000</v>
      </c>
      <c r="E51" s="21" t="s">
        <v>303</v>
      </c>
      <c r="F51" s="21" t="s">
        <v>935</v>
      </c>
      <c r="G51" s="8" t="str">
        <f t="shared" si="0"/>
        <v>KILLION DAVID</v>
      </c>
    </row>
    <row r="52" spans="1:7" x14ac:dyDescent="0.25">
      <c r="A52" s="8">
        <v>42704.307708333334</v>
      </c>
      <c r="B52" s="21" t="s">
        <v>251</v>
      </c>
      <c r="C52" s="21" t="s">
        <v>583</v>
      </c>
      <c r="D52" s="165">
        <v>1260000</v>
      </c>
      <c r="E52" s="21" t="s">
        <v>550</v>
      </c>
      <c r="F52" s="21" t="s">
        <v>932</v>
      </c>
      <c r="G52" s="8" t="str">
        <f t="shared" si="0"/>
        <v>ACKERMAN JARED</v>
      </c>
    </row>
    <row r="53" spans="1:7" x14ac:dyDescent="0.25">
      <c r="A53" s="8">
        <v>42704.307800925926</v>
      </c>
      <c r="B53" s="21" t="s">
        <v>479</v>
      </c>
      <c r="C53" s="21" t="s">
        <v>525</v>
      </c>
      <c r="D53" s="165">
        <v>1780000</v>
      </c>
      <c r="E53" s="21" t="s">
        <v>552</v>
      </c>
      <c r="F53" s="21" t="s">
        <v>933</v>
      </c>
      <c r="G53" s="8" t="str">
        <f t="shared" si="0"/>
        <v>DE LA ROSA ALEX</v>
      </c>
    </row>
    <row r="54" spans="1:7" x14ac:dyDescent="0.25">
      <c r="A54" s="8">
        <v>42704.311666666668</v>
      </c>
      <c r="B54" s="21" t="s">
        <v>305</v>
      </c>
      <c r="C54" s="21" t="s">
        <v>528</v>
      </c>
      <c r="D54" s="165">
        <v>1110000</v>
      </c>
      <c r="E54" s="21" t="s">
        <v>318</v>
      </c>
      <c r="F54" s="21" t="s">
        <v>936</v>
      </c>
      <c r="G54" s="8" t="str">
        <f t="shared" si="0"/>
        <v>STARKS ANGELINA</v>
      </c>
    </row>
    <row r="55" spans="1:7" x14ac:dyDescent="0.25">
      <c r="A55" s="8">
        <v>42704.31318287037</v>
      </c>
      <c r="B55" s="21" t="s">
        <v>225</v>
      </c>
      <c r="C55" s="21" t="s">
        <v>584</v>
      </c>
      <c r="D55" s="165">
        <v>2630000</v>
      </c>
      <c r="E55" s="21" t="s">
        <v>262</v>
      </c>
      <c r="F55" s="21" t="s">
        <v>937</v>
      </c>
      <c r="G55" s="8" t="str">
        <f t="shared" si="0"/>
        <v>SAFIEF AEIMEN</v>
      </c>
    </row>
    <row r="56" spans="1:7" x14ac:dyDescent="0.25">
      <c r="A56" s="8">
        <v>42704.319328703707</v>
      </c>
      <c r="B56" s="21" t="s">
        <v>260</v>
      </c>
      <c r="C56" s="21" t="s">
        <v>585</v>
      </c>
      <c r="D56" s="165">
        <v>1200000</v>
      </c>
      <c r="E56" s="21" t="s">
        <v>581</v>
      </c>
      <c r="F56" s="21" t="s">
        <v>940</v>
      </c>
      <c r="G56" s="8" t="str">
        <f t="shared" si="0"/>
        <v>CUSHING HARRY</v>
      </c>
    </row>
    <row r="57" spans="1:7" x14ac:dyDescent="0.25">
      <c r="A57" s="8">
        <v>42704.321400462963</v>
      </c>
      <c r="B57" s="21" t="s">
        <v>222</v>
      </c>
      <c r="C57" s="21" t="s">
        <v>586</v>
      </c>
      <c r="D57" s="165">
        <v>1360000</v>
      </c>
      <c r="E57" s="21" t="s">
        <v>587</v>
      </c>
      <c r="F57" s="21" t="s">
        <v>941</v>
      </c>
      <c r="G57" s="8" t="str">
        <f t="shared" si="0"/>
        <v>SANTIZO D. EDY</v>
      </c>
    </row>
    <row r="58" spans="1:7" x14ac:dyDescent="0.25">
      <c r="A58" s="8">
        <v>42704.323703703703</v>
      </c>
      <c r="B58" s="21" t="s">
        <v>481</v>
      </c>
      <c r="C58" s="21" t="s">
        <v>588</v>
      </c>
      <c r="D58" s="165">
        <v>2010000</v>
      </c>
      <c r="E58" s="21" t="s">
        <v>549</v>
      </c>
      <c r="F58" s="21" t="s">
        <v>931</v>
      </c>
      <c r="G58" s="8" t="str">
        <f t="shared" si="0"/>
        <v>MAELZER KURT</v>
      </c>
    </row>
    <row r="59" spans="1:7" x14ac:dyDescent="0.25">
      <c r="A59" s="8">
        <v>42704.326805555553</v>
      </c>
      <c r="B59" s="21" t="s">
        <v>305</v>
      </c>
      <c r="C59" s="21" t="s">
        <v>528</v>
      </c>
      <c r="D59" s="165">
        <v>1110000</v>
      </c>
      <c r="E59" s="21" t="s">
        <v>318</v>
      </c>
      <c r="F59" s="21" t="s">
        <v>936</v>
      </c>
      <c r="G59" s="8" t="str">
        <f t="shared" si="0"/>
        <v>STARKS ANGELINA</v>
      </c>
    </row>
    <row r="60" spans="1:7" x14ac:dyDescent="0.25">
      <c r="A60" s="8">
        <v>42704.328935185185</v>
      </c>
      <c r="B60" s="21" t="s">
        <v>210</v>
      </c>
      <c r="C60" s="21" t="s">
        <v>589</v>
      </c>
      <c r="D60" s="165">
        <v>1090000</v>
      </c>
      <c r="E60" s="21" t="s">
        <v>333</v>
      </c>
      <c r="F60" s="21" t="s">
        <v>934</v>
      </c>
      <c r="G60" s="8" t="str">
        <f t="shared" si="0"/>
        <v>SPECTOR MICHAEL</v>
      </c>
    </row>
    <row r="61" spans="1:7" x14ac:dyDescent="0.25">
      <c r="A61" s="8">
        <v>42704.333587962959</v>
      </c>
      <c r="B61" s="21" t="s">
        <v>279</v>
      </c>
      <c r="C61" s="21" t="s">
        <v>590</v>
      </c>
      <c r="D61" s="165">
        <v>2620000</v>
      </c>
      <c r="E61" s="21" t="s">
        <v>332</v>
      </c>
      <c r="F61" s="21" t="s">
        <v>938</v>
      </c>
      <c r="G61" s="8" t="str">
        <f t="shared" si="0"/>
        <v>PERKINS DARREN</v>
      </c>
    </row>
    <row r="62" spans="1:7" x14ac:dyDescent="0.25">
      <c r="A62" s="8">
        <v>42704.339606481481</v>
      </c>
      <c r="B62" s="21" t="s">
        <v>266</v>
      </c>
      <c r="C62" s="21" t="s">
        <v>530</v>
      </c>
      <c r="D62" s="165">
        <v>2030000</v>
      </c>
      <c r="E62" s="21" t="s">
        <v>303</v>
      </c>
      <c r="F62" s="21" t="s">
        <v>935</v>
      </c>
      <c r="G62" s="8" t="str">
        <f t="shared" si="0"/>
        <v>KILLION DAVID</v>
      </c>
    </row>
    <row r="63" spans="1:7" x14ac:dyDescent="0.25">
      <c r="A63" s="8">
        <v>42704.341215277775</v>
      </c>
      <c r="B63" s="21" t="s">
        <v>520</v>
      </c>
      <c r="C63" s="21" t="s">
        <v>529</v>
      </c>
      <c r="D63" s="165">
        <v>1110000</v>
      </c>
      <c r="E63" s="21" t="s">
        <v>318</v>
      </c>
      <c r="F63" s="21" t="s">
        <v>936</v>
      </c>
      <c r="G63" s="8" t="str">
        <f t="shared" si="0"/>
        <v>STARKS ANGELINA</v>
      </c>
    </row>
    <row r="64" spans="1:7" x14ac:dyDescent="0.25">
      <c r="A64" s="27">
        <v>42704.343726851854</v>
      </c>
      <c r="B64" s="21" t="s">
        <v>259</v>
      </c>
      <c r="C64" s="21" t="s">
        <v>591</v>
      </c>
      <c r="D64" s="165">
        <v>1340000</v>
      </c>
      <c r="E64" s="21" t="s">
        <v>482</v>
      </c>
      <c r="F64" s="21" t="s">
        <v>942</v>
      </c>
      <c r="G64" s="8" t="str">
        <f t="shared" si="0"/>
        <v>BEAM ROSS</v>
      </c>
    </row>
    <row r="65" spans="1:7" x14ac:dyDescent="0.25">
      <c r="A65" s="8">
        <v>42704.345868055556</v>
      </c>
      <c r="B65" s="21" t="s">
        <v>250</v>
      </c>
      <c r="C65" s="21" t="s">
        <v>592</v>
      </c>
      <c r="D65" s="165">
        <v>1260000</v>
      </c>
      <c r="E65" s="21" t="s">
        <v>550</v>
      </c>
      <c r="F65" s="21" t="s">
        <v>932</v>
      </c>
      <c r="G65" s="8" t="str">
        <f t="shared" si="0"/>
        <v>ACKERMAN JARED</v>
      </c>
    </row>
    <row r="66" spans="1:7" x14ac:dyDescent="0.25">
      <c r="A66" s="8">
        <v>42704.349328703705</v>
      </c>
      <c r="B66" s="21" t="s">
        <v>224</v>
      </c>
      <c r="C66" s="21" t="s">
        <v>593</v>
      </c>
      <c r="D66" s="165">
        <v>2630000</v>
      </c>
      <c r="E66" s="21" t="s">
        <v>262</v>
      </c>
      <c r="F66" s="21" t="s">
        <v>937</v>
      </c>
      <c r="G66" s="8" t="str">
        <f t="shared" si="0"/>
        <v>SAFIEF AEIMEN</v>
      </c>
    </row>
    <row r="67" spans="1:7" x14ac:dyDescent="0.25">
      <c r="A67" s="8">
        <v>42704.350208333337</v>
      </c>
      <c r="B67" s="21" t="s">
        <v>479</v>
      </c>
      <c r="C67" s="21" t="s">
        <v>594</v>
      </c>
      <c r="D67" s="165">
        <v>1360000</v>
      </c>
      <c r="E67" s="21" t="s">
        <v>587</v>
      </c>
      <c r="F67" s="21" t="s">
        <v>941</v>
      </c>
      <c r="G67" s="8" t="str">
        <f t="shared" ref="G67:G130" si="1">E67&amp;" "&amp;F67</f>
        <v>SANTIZO D. EDY</v>
      </c>
    </row>
    <row r="68" spans="1:7" x14ac:dyDescent="0.25">
      <c r="A68" s="8">
        <v>42704.356400462966</v>
      </c>
      <c r="B68" s="21" t="s">
        <v>305</v>
      </c>
      <c r="C68" s="21" t="s">
        <v>595</v>
      </c>
      <c r="D68" s="165">
        <v>1110000</v>
      </c>
      <c r="E68" s="21" t="s">
        <v>318</v>
      </c>
      <c r="F68" s="21" t="s">
        <v>936</v>
      </c>
      <c r="G68" s="8" t="str">
        <f t="shared" si="1"/>
        <v>STARKS ANGELINA</v>
      </c>
    </row>
    <row r="69" spans="1:7" x14ac:dyDescent="0.25">
      <c r="A69" s="8">
        <v>42704.360196759262</v>
      </c>
      <c r="B69" s="21" t="s">
        <v>260</v>
      </c>
      <c r="C69" s="21" t="s">
        <v>596</v>
      </c>
      <c r="D69" s="165">
        <v>1340000</v>
      </c>
      <c r="E69" s="21" t="s">
        <v>482</v>
      </c>
      <c r="F69" s="21" t="s">
        <v>942</v>
      </c>
      <c r="G69" s="8" t="str">
        <f t="shared" si="1"/>
        <v>BEAM ROSS</v>
      </c>
    </row>
    <row r="70" spans="1:7" x14ac:dyDescent="0.25">
      <c r="A70" s="8">
        <v>42704.360636574071</v>
      </c>
      <c r="B70" s="21" t="s">
        <v>184</v>
      </c>
      <c r="C70" s="21" t="s">
        <v>597</v>
      </c>
      <c r="D70" s="165">
        <v>2010000</v>
      </c>
      <c r="E70" s="21" t="s">
        <v>549</v>
      </c>
      <c r="F70" s="21" t="s">
        <v>931</v>
      </c>
      <c r="G70" s="8" t="str">
        <f t="shared" si="1"/>
        <v>MAELZER KURT</v>
      </c>
    </row>
    <row r="71" spans="1:7" x14ac:dyDescent="0.25">
      <c r="A71" s="8">
        <v>42704.368287037039</v>
      </c>
      <c r="B71" s="21" t="s">
        <v>218</v>
      </c>
      <c r="C71" s="21" t="s">
        <v>598</v>
      </c>
      <c r="D71" s="165">
        <v>1090000</v>
      </c>
      <c r="E71" s="21" t="s">
        <v>333</v>
      </c>
      <c r="F71" s="21" t="s">
        <v>934</v>
      </c>
      <c r="G71" s="8" t="str">
        <f t="shared" si="1"/>
        <v>SPECTOR MICHAEL</v>
      </c>
    </row>
    <row r="72" spans="1:7" x14ac:dyDescent="0.25">
      <c r="A72" s="8">
        <v>42704.371574074074</v>
      </c>
      <c r="B72" s="21" t="s">
        <v>248</v>
      </c>
      <c r="C72" s="21" t="s">
        <v>599</v>
      </c>
      <c r="D72" s="165">
        <v>2620000</v>
      </c>
      <c r="E72" s="21" t="s">
        <v>332</v>
      </c>
      <c r="F72" s="21" t="s">
        <v>938</v>
      </c>
      <c r="G72" s="8" t="str">
        <f t="shared" si="1"/>
        <v>PERKINS DARREN</v>
      </c>
    </row>
    <row r="73" spans="1:7" x14ac:dyDescent="0.25">
      <c r="A73" s="8">
        <v>42704.376203703701</v>
      </c>
      <c r="B73" s="21" t="s">
        <v>267</v>
      </c>
      <c r="C73" s="21" t="s">
        <v>531</v>
      </c>
      <c r="D73" s="165">
        <v>2030000</v>
      </c>
      <c r="E73" s="21" t="s">
        <v>303</v>
      </c>
      <c r="F73" s="21" t="s">
        <v>935</v>
      </c>
      <c r="G73" s="8" t="str">
        <f t="shared" si="1"/>
        <v>KILLION DAVID</v>
      </c>
    </row>
    <row r="74" spans="1:7" x14ac:dyDescent="0.25">
      <c r="A74" s="8">
        <v>42704.378495370373</v>
      </c>
      <c r="B74" s="21" t="s">
        <v>259</v>
      </c>
      <c r="C74" s="21" t="s">
        <v>600</v>
      </c>
      <c r="D74" s="165">
        <v>1100000</v>
      </c>
      <c r="E74" s="21" t="s">
        <v>480</v>
      </c>
      <c r="F74" s="21" t="s">
        <v>939</v>
      </c>
      <c r="G74" s="8" t="str">
        <f t="shared" si="1"/>
        <v>GEBRETEKLE DAGNEW</v>
      </c>
    </row>
    <row r="75" spans="1:7" x14ac:dyDescent="0.25">
      <c r="A75" s="8">
        <v>42704.380925925929</v>
      </c>
      <c r="B75" s="21" t="s">
        <v>251</v>
      </c>
      <c r="C75" s="21" t="s">
        <v>601</v>
      </c>
      <c r="D75" s="165">
        <v>1260000</v>
      </c>
      <c r="E75" s="21" t="s">
        <v>550</v>
      </c>
      <c r="F75" s="21" t="s">
        <v>932</v>
      </c>
      <c r="G75" s="8" t="str">
        <f t="shared" si="1"/>
        <v>ACKERMAN JARED</v>
      </c>
    </row>
    <row r="76" spans="1:7" x14ac:dyDescent="0.25">
      <c r="A76" s="8">
        <v>42704.390798611108</v>
      </c>
      <c r="B76" s="21" t="s">
        <v>225</v>
      </c>
      <c r="C76" s="21" t="s">
        <v>602</v>
      </c>
      <c r="D76" s="165">
        <v>2630000</v>
      </c>
      <c r="E76" s="21" t="s">
        <v>262</v>
      </c>
      <c r="F76" s="21" t="s">
        <v>937</v>
      </c>
      <c r="G76" s="8" t="str">
        <f t="shared" si="1"/>
        <v>SAFIEF AEIMEN</v>
      </c>
    </row>
    <row r="77" spans="1:7" x14ac:dyDescent="0.25">
      <c r="A77" s="8">
        <v>42704.390983796293</v>
      </c>
      <c r="B77" s="21" t="s">
        <v>222</v>
      </c>
      <c r="C77" s="21" t="s">
        <v>603</v>
      </c>
      <c r="D77" s="165">
        <v>1780000</v>
      </c>
      <c r="E77" s="21" t="s">
        <v>552</v>
      </c>
      <c r="F77" s="21" t="s">
        <v>933</v>
      </c>
      <c r="G77" s="8" t="str">
        <f t="shared" si="1"/>
        <v>DE LA ROSA ALEX</v>
      </c>
    </row>
    <row r="78" spans="1:7" x14ac:dyDescent="0.25">
      <c r="A78" s="8">
        <v>42704.399328703701</v>
      </c>
      <c r="B78" s="21" t="s">
        <v>481</v>
      </c>
      <c r="C78" s="21" t="s">
        <v>604</v>
      </c>
      <c r="D78" s="165">
        <v>2010000</v>
      </c>
      <c r="E78" s="21" t="s">
        <v>549</v>
      </c>
      <c r="F78" s="21" t="s">
        <v>931</v>
      </c>
      <c r="G78" s="8" t="str">
        <f t="shared" si="1"/>
        <v>MAELZER KURT</v>
      </c>
    </row>
    <row r="79" spans="1:7" x14ac:dyDescent="0.25">
      <c r="A79" s="8">
        <v>42704.400983796295</v>
      </c>
      <c r="B79" s="21" t="s">
        <v>260</v>
      </c>
      <c r="C79" s="21" t="s">
        <v>605</v>
      </c>
      <c r="D79" s="165">
        <v>1100000</v>
      </c>
      <c r="E79" s="21" t="s">
        <v>480</v>
      </c>
      <c r="F79" s="21" t="s">
        <v>939</v>
      </c>
      <c r="G79" s="8" t="str">
        <f t="shared" si="1"/>
        <v>GEBRETEKLE DAGNEW</v>
      </c>
    </row>
    <row r="80" spans="1:7" x14ac:dyDescent="0.25">
      <c r="A80" s="8">
        <v>42704.404907407406</v>
      </c>
      <c r="B80" s="21" t="s">
        <v>279</v>
      </c>
      <c r="C80" s="21" t="s">
        <v>532</v>
      </c>
      <c r="D80" s="165">
        <v>2620000</v>
      </c>
      <c r="E80" s="21" t="s">
        <v>332</v>
      </c>
      <c r="F80" s="21" t="s">
        <v>938</v>
      </c>
      <c r="G80" s="8" t="str">
        <f t="shared" si="1"/>
        <v>PERKINS DARREN</v>
      </c>
    </row>
    <row r="81" spans="1:7" x14ac:dyDescent="0.25">
      <c r="A81" s="8">
        <v>42704.405694444446</v>
      </c>
      <c r="B81" s="21" t="s">
        <v>210</v>
      </c>
      <c r="C81" s="21" t="s">
        <v>606</v>
      </c>
      <c r="D81" s="165">
        <v>1090000</v>
      </c>
      <c r="E81" s="21" t="s">
        <v>333</v>
      </c>
      <c r="F81" s="21" t="s">
        <v>934</v>
      </c>
      <c r="G81" s="8" t="str">
        <f t="shared" si="1"/>
        <v>SPECTOR MICHAEL</v>
      </c>
    </row>
    <row r="82" spans="1:7" x14ac:dyDescent="0.25">
      <c r="A82" s="8">
        <v>42704.41375</v>
      </c>
      <c r="B82" s="21" t="s">
        <v>266</v>
      </c>
      <c r="C82" s="21" t="s">
        <v>607</v>
      </c>
      <c r="D82" s="165">
        <v>2030000</v>
      </c>
      <c r="E82" s="21" t="s">
        <v>303</v>
      </c>
      <c r="F82" s="21" t="s">
        <v>935</v>
      </c>
      <c r="G82" s="8" t="str">
        <f t="shared" si="1"/>
        <v>KILLION DAVID</v>
      </c>
    </row>
    <row r="83" spans="1:7" x14ac:dyDescent="0.25">
      <c r="A83" s="8">
        <v>42704.417673611111</v>
      </c>
      <c r="B83" s="21" t="s">
        <v>259</v>
      </c>
      <c r="C83" s="21" t="s">
        <v>608</v>
      </c>
      <c r="D83" s="165">
        <v>1100000</v>
      </c>
      <c r="E83" s="21" t="s">
        <v>480</v>
      </c>
      <c r="F83" s="21" t="s">
        <v>939</v>
      </c>
      <c r="G83" s="8" t="str">
        <f t="shared" si="1"/>
        <v>GEBRETEKLE DAGNEW</v>
      </c>
    </row>
    <row r="84" spans="1:7" x14ac:dyDescent="0.25">
      <c r="A84" s="8">
        <v>42704.41815972222</v>
      </c>
      <c r="B84" s="21" t="s">
        <v>250</v>
      </c>
      <c r="C84" s="21" t="s">
        <v>534</v>
      </c>
      <c r="D84" s="165">
        <v>1260000</v>
      </c>
      <c r="E84" s="21" t="s">
        <v>550</v>
      </c>
      <c r="F84" s="21" t="s">
        <v>932</v>
      </c>
      <c r="G84" s="8" t="str">
        <f t="shared" si="1"/>
        <v>ACKERMAN JARED</v>
      </c>
    </row>
    <row r="85" spans="1:7" x14ac:dyDescent="0.25">
      <c r="A85" s="8">
        <v>42704.421574074076</v>
      </c>
      <c r="B85" s="21" t="s">
        <v>224</v>
      </c>
      <c r="C85" s="21" t="s">
        <v>609</v>
      </c>
      <c r="D85" s="165">
        <v>2630000</v>
      </c>
      <c r="E85" s="21" t="s">
        <v>262</v>
      </c>
      <c r="F85" s="21" t="s">
        <v>937</v>
      </c>
      <c r="G85" s="8" t="str">
        <f t="shared" si="1"/>
        <v>SAFIEF AEIMEN</v>
      </c>
    </row>
    <row r="86" spans="1:7" x14ac:dyDescent="0.25">
      <c r="A86" s="8">
        <v>42704.431817129633</v>
      </c>
      <c r="B86" s="21" t="s">
        <v>479</v>
      </c>
      <c r="C86" s="21" t="s">
        <v>610</v>
      </c>
      <c r="D86" s="165">
        <v>1780000</v>
      </c>
      <c r="E86" s="21" t="s">
        <v>552</v>
      </c>
      <c r="F86" s="21" t="s">
        <v>933</v>
      </c>
      <c r="G86" s="8" t="str">
        <f t="shared" si="1"/>
        <v>DE LA ROSA ALEX</v>
      </c>
    </row>
    <row r="87" spans="1:7" x14ac:dyDescent="0.25">
      <c r="A87" s="8">
        <v>42704.433912037035</v>
      </c>
      <c r="B87" s="21" t="s">
        <v>184</v>
      </c>
      <c r="C87" s="21" t="s">
        <v>611</v>
      </c>
      <c r="D87" s="165">
        <v>1110000</v>
      </c>
      <c r="E87" s="21" t="s">
        <v>318</v>
      </c>
      <c r="F87" s="21" t="s">
        <v>936</v>
      </c>
      <c r="G87" s="8" t="str">
        <f t="shared" si="1"/>
        <v>STARKS ANGELINA</v>
      </c>
    </row>
    <row r="88" spans="1:7" x14ac:dyDescent="0.25">
      <c r="A88" s="8">
        <v>42704.437118055554</v>
      </c>
      <c r="B88" s="21" t="s">
        <v>474</v>
      </c>
      <c r="C88" s="21" t="s">
        <v>533</v>
      </c>
      <c r="D88" s="165">
        <v>1280000</v>
      </c>
      <c r="E88" s="21" t="s">
        <v>304</v>
      </c>
      <c r="F88" s="21" t="s">
        <v>943</v>
      </c>
      <c r="G88" s="8" t="str">
        <f t="shared" si="1"/>
        <v>BARTLETT KIANDRA</v>
      </c>
    </row>
    <row r="89" spans="1:7" x14ac:dyDescent="0.25">
      <c r="A89" s="8">
        <v>42704.442488425928</v>
      </c>
      <c r="B89" s="21" t="s">
        <v>248</v>
      </c>
      <c r="C89" s="21" t="s">
        <v>612</v>
      </c>
      <c r="D89" s="165">
        <v>2620000</v>
      </c>
      <c r="E89" s="21" t="s">
        <v>332</v>
      </c>
      <c r="F89" s="21" t="s">
        <v>938</v>
      </c>
      <c r="G89" s="8" t="str">
        <f t="shared" si="1"/>
        <v>PERKINS DARREN</v>
      </c>
    </row>
    <row r="90" spans="1:7" x14ac:dyDescent="0.25">
      <c r="A90" s="8">
        <v>42704.442627314813</v>
      </c>
      <c r="B90" s="21" t="s">
        <v>218</v>
      </c>
      <c r="C90" s="21" t="s">
        <v>535</v>
      </c>
      <c r="D90" s="165">
        <v>1090000</v>
      </c>
      <c r="E90" s="21" t="s">
        <v>333</v>
      </c>
      <c r="F90" s="21" t="s">
        <v>934</v>
      </c>
      <c r="G90" s="8" t="str">
        <f t="shared" si="1"/>
        <v>SPECTOR MICHAEL</v>
      </c>
    </row>
    <row r="91" spans="1:7" x14ac:dyDescent="0.25">
      <c r="A91" s="8">
        <v>42704.443240740744</v>
      </c>
      <c r="B91" s="21" t="s">
        <v>260</v>
      </c>
      <c r="C91" s="21" t="s">
        <v>613</v>
      </c>
      <c r="D91" s="165">
        <v>1100000</v>
      </c>
      <c r="E91" s="21" t="s">
        <v>480</v>
      </c>
      <c r="F91" s="21" t="s">
        <v>939</v>
      </c>
      <c r="G91" s="8" t="str">
        <f t="shared" si="1"/>
        <v>GEBRETEKLE DAGNEW</v>
      </c>
    </row>
    <row r="92" spans="1:7" x14ac:dyDescent="0.25">
      <c r="A92" s="8">
        <v>42704.449525462966</v>
      </c>
      <c r="B92" s="21" t="s">
        <v>267</v>
      </c>
      <c r="C92" s="21" t="s">
        <v>614</v>
      </c>
      <c r="D92" s="165">
        <v>2030000</v>
      </c>
      <c r="E92" s="21" t="s">
        <v>303</v>
      </c>
      <c r="F92" s="21" t="s">
        <v>935</v>
      </c>
      <c r="G92" s="8" t="str">
        <f t="shared" si="1"/>
        <v>KILLION DAVID</v>
      </c>
    </row>
    <row r="93" spans="1:7" x14ac:dyDescent="0.25">
      <c r="A93" s="8">
        <v>42704.453726851854</v>
      </c>
      <c r="B93" s="21" t="s">
        <v>251</v>
      </c>
      <c r="C93" s="21" t="s">
        <v>615</v>
      </c>
      <c r="D93" s="165">
        <v>940000</v>
      </c>
      <c r="E93" s="21" t="s">
        <v>335</v>
      </c>
      <c r="F93" s="21" t="s">
        <v>944</v>
      </c>
      <c r="G93" s="8" t="str">
        <f t="shared" si="1"/>
        <v>BONDS REYNALDO</v>
      </c>
    </row>
    <row r="94" spans="1:7" x14ac:dyDescent="0.25">
      <c r="A94" s="8">
        <v>42704.45412037037</v>
      </c>
      <c r="B94" s="21" t="s">
        <v>225</v>
      </c>
      <c r="C94" s="21" t="s">
        <v>616</v>
      </c>
      <c r="D94" s="165">
        <v>2630000</v>
      </c>
      <c r="E94" s="21" t="s">
        <v>262</v>
      </c>
      <c r="F94" s="21" t="s">
        <v>937</v>
      </c>
      <c r="G94" s="8" t="str">
        <f t="shared" si="1"/>
        <v>SAFIEF AEIMEN</v>
      </c>
    </row>
    <row r="95" spans="1:7" x14ac:dyDescent="0.25">
      <c r="A95" s="8">
        <v>42704.455138888887</v>
      </c>
      <c r="B95" s="21" t="s">
        <v>330</v>
      </c>
      <c r="C95" s="21" t="s">
        <v>617</v>
      </c>
      <c r="D95" s="165">
        <v>2600000</v>
      </c>
      <c r="E95" s="21" t="s">
        <v>261</v>
      </c>
      <c r="F95" s="21" t="s">
        <v>935</v>
      </c>
      <c r="G95" s="8" t="str">
        <f t="shared" si="1"/>
        <v>DAVIDSON DAVID</v>
      </c>
    </row>
    <row r="96" spans="1:7" x14ac:dyDescent="0.25">
      <c r="A96" s="8">
        <v>42704.45722222222</v>
      </c>
      <c r="B96" s="21" t="s">
        <v>259</v>
      </c>
      <c r="C96" s="21" t="s">
        <v>537</v>
      </c>
      <c r="D96" s="165">
        <v>1100000</v>
      </c>
      <c r="E96" s="21" t="s">
        <v>480</v>
      </c>
      <c r="F96" s="21" t="s">
        <v>939</v>
      </c>
      <c r="G96" s="8" t="str">
        <f t="shared" si="1"/>
        <v>GEBRETEKLE DAGNEW</v>
      </c>
    </row>
    <row r="97" spans="1:7" x14ac:dyDescent="0.25">
      <c r="A97" s="8">
        <v>42704.464062500003</v>
      </c>
      <c r="B97" s="21" t="s">
        <v>222</v>
      </c>
      <c r="C97" s="21" t="s">
        <v>536</v>
      </c>
      <c r="D97" s="165">
        <v>1280000</v>
      </c>
      <c r="E97" s="21" t="s">
        <v>304</v>
      </c>
      <c r="F97" s="21" t="s">
        <v>943</v>
      </c>
      <c r="G97" s="8" t="str">
        <f t="shared" si="1"/>
        <v>BARTLETT KIANDRA</v>
      </c>
    </row>
    <row r="98" spans="1:7" x14ac:dyDescent="0.25">
      <c r="A98" s="8">
        <v>42704.465902777774</v>
      </c>
      <c r="B98" s="21" t="s">
        <v>477</v>
      </c>
      <c r="C98" s="21" t="s">
        <v>618</v>
      </c>
      <c r="D98" s="165">
        <v>1200000</v>
      </c>
      <c r="E98" s="21" t="s">
        <v>581</v>
      </c>
      <c r="F98" s="21" t="s">
        <v>940</v>
      </c>
      <c r="G98" s="8" t="str">
        <f t="shared" si="1"/>
        <v>CUSHING HARRY</v>
      </c>
    </row>
    <row r="99" spans="1:7" x14ac:dyDescent="0.25">
      <c r="A99" s="8">
        <v>42704.473101851851</v>
      </c>
      <c r="B99" s="21" t="s">
        <v>481</v>
      </c>
      <c r="C99" s="21" t="s">
        <v>619</v>
      </c>
      <c r="D99" s="165">
        <v>1110000</v>
      </c>
      <c r="E99" s="21" t="s">
        <v>318</v>
      </c>
      <c r="F99" s="21" t="s">
        <v>936</v>
      </c>
      <c r="G99" s="8" t="str">
        <f t="shared" si="1"/>
        <v>STARKS ANGELINA</v>
      </c>
    </row>
    <row r="100" spans="1:7" x14ac:dyDescent="0.25">
      <c r="A100" s="8">
        <v>42704.474328703705</v>
      </c>
      <c r="B100" s="21" t="s">
        <v>210</v>
      </c>
      <c r="C100" s="21" t="s">
        <v>620</v>
      </c>
      <c r="D100" s="165">
        <v>2600000</v>
      </c>
      <c r="E100" s="21" t="s">
        <v>261</v>
      </c>
      <c r="F100" s="21" t="s">
        <v>935</v>
      </c>
      <c r="G100" s="8" t="str">
        <f t="shared" si="1"/>
        <v>DAVIDSON DAVID</v>
      </c>
    </row>
    <row r="101" spans="1:7" x14ac:dyDescent="0.25">
      <c r="A101" s="8">
        <v>42704.478750000002</v>
      </c>
      <c r="B101" s="21" t="s">
        <v>279</v>
      </c>
      <c r="C101" s="21" t="s">
        <v>621</v>
      </c>
      <c r="D101" s="165">
        <v>2620000</v>
      </c>
      <c r="E101" s="21" t="s">
        <v>332</v>
      </c>
      <c r="F101" s="21" t="s">
        <v>938</v>
      </c>
      <c r="G101" s="8" t="str">
        <f t="shared" si="1"/>
        <v>PERKINS DARREN</v>
      </c>
    </row>
    <row r="102" spans="1:7" x14ac:dyDescent="0.25">
      <c r="A102" s="8">
        <v>42704.484548611108</v>
      </c>
      <c r="B102" s="21" t="s">
        <v>260</v>
      </c>
      <c r="C102" s="21" t="s">
        <v>622</v>
      </c>
      <c r="D102" s="165">
        <v>1100000</v>
      </c>
      <c r="E102" s="21" t="s">
        <v>480</v>
      </c>
      <c r="F102" s="21" t="s">
        <v>939</v>
      </c>
      <c r="G102" s="8" t="str">
        <f t="shared" si="1"/>
        <v>GEBRETEKLE DAGNEW</v>
      </c>
    </row>
    <row r="103" spans="1:7" x14ac:dyDescent="0.25">
      <c r="A103" s="8">
        <v>42704.48510416667</v>
      </c>
      <c r="B103" s="21" t="s">
        <v>266</v>
      </c>
      <c r="C103" s="21" t="s">
        <v>623</v>
      </c>
      <c r="D103" s="165">
        <v>1820000</v>
      </c>
      <c r="E103" s="21" t="s">
        <v>624</v>
      </c>
      <c r="F103" s="21" t="s">
        <v>945</v>
      </c>
      <c r="G103" s="8" t="str">
        <f t="shared" si="1"/>
        <v>ADANE ELSHADAY</v>
      </c>
    </row>
    <row r="104" spans="1:7" x14ac:dyDescent="0.25">
      <c r="A104" s="8">
        <v>42704.488981481481</v>
      </c>
      <c r="B104" s="21" t="s">
        <v>250</v>
      </c>
      <c r="C104" s="21" t="s">
        <v>625</v>
      </c>
      <c r="D104" s="165">
        <v>940000</v>
      </c>
      <c r="E104" s="21" t="s">
        <v>335</v>
      </c>
      <c r="F104" s="21" t="s">
        <v>944</v>
      </c>
      <c r="G104" s="8" t="str">
        <f t="shared" si="1"/>
        <v>BONDS REYNALDO</v>
      </c>
    </row>
    <row r="105" spans="1:7" x14ac:dyDescent="0.25">
      <c r="A105" s="8">
        <v>42704.489062499997</v>
      </c>
      <c r="B105" s="21" t="s">
        <v>331</v>
      </c>
      <c r="C105" s="21" t="s">
        <v>538</v>
      </c>
      <c r="D105" s="165">
        <v>1090000</v>
      </c>
      <c r="E105" s="21" t="s">
        <v>333</v>
      </c>
      <c r="F105" s="21" t="s">
        <v>934</v>
      </c>
      <c r="G105" s="8" t="str">
        <f t="shared" si="1"/>
        <v>SPECTOR MICHAEL</v>
      </c>
    </row>
    <row r="106" spans="1:7" x14ac:dyDescent="0.25">
      <c r="A106" s="8">
        <v>42704.494814814818</v>
      </c>
      <c r="B106" s="21" t="s">
        <v>224</v>
      </c>
      <c r="C106" s="21" t="s">
        <v>626</v>
      </c>
      <c r="D106" s="165">
        <v>2350000</v>
      </c>
      <c r="E106" s="21" t="s">
        <v>627</v>
      </c>
      <c r="F106" s="21" t="s">
        <v>946</v>
      </c>
      <c r="G106" s="8" t="str">
        <f t="shared" si="1"/>
        <v>BERLING GARY</v>
      </c>
    </row>
    <row r="107" spans="1:7" x14ac:dyDescent="0.25">
      <c r="A107" s="8">
        <v>42704.497928240744</v>
      </c>
      <c r="B107" s="21" t="s">
        <v>479</v>
      </c>
      <c r="C107" s="21" t="s">
        <v>628</v>
      </c>
      <c r="D107" s="165">
        <v>1280000</v>
      </c>
      <c r="E107" s="21" t="s">
        <v>304</v>
      </c>
      <c r="F107" s="21" t="s">
        <v>943</v>
      </c>
      <c r="G107" s="8" t="str">
        <f t="shared" si="1"/>
        <v>BARTLETT KIANDRA</v>
      </c>
    </row>
    <row r="108" spans="1:7" x14ac:dyDescent="0.25">
      <c r="A108" s="8">
        <v>42704.500659722224</v>
      </c>
      <c r="B108" s="21" t="s">
        <v>259</v>
      </c>
      <c r="C108" s="21" t="s">
        <v>539</v>
      </c>
      <c r="D108" s="165">
        <v>1100000</v>
      </c>
      <c r="E108" s="21" t="s">
        <v>480</v>
      </c>
      <c r="F108" s="21" t="s">
        <v>939</v>
      </c>
      <c r="G108" s="8" t="str">
        <f t="shared" si="1"/>
        <v>GEBRETEKLE DAGNEW</v>
      </c>
    </row>
    <row r="109" spans="1:7" x14ac:dyDescent="0.25">
      <c r="A109" s="8">
        <v>42704.509479166663</v>
      </c>
      <c r="B109" s="21" t="s">
        <v>218</v>
      </c>
      <c r="C109" s="21" t="s">
        <v>629</v>
      </c>
      <c r="D109" s="165">
        <v>2600000</v>
      </c>
      <c r="E109" s="21" t="s">
        <v>261</v>
      </c>
      <c r="F109" s="21" t="s">
        <v>935</v>
      </c>
      <c r="G109" s="8" t="str">
        <f t="shared" si="1"/>
        <v>DAVIDSON DAVID</v>
      </c>
    </row>
    <row r="110" spans="1:7" x14ac:dyDescent="0.25">
      <c r="A110" s="8">
        <v>42704.510162037041</v>
      </c>
      <c r="B110" s="21" t="s">
        <v>184</v>
      </c>
      <c r="C110" s="21" t="s">
        <v>630</v>
      </c>
      <c r="D110" s="165">
        <v>1770000</v>
      </c>
      <c r="E110" s="21" t="s">
        <v>631</v>
      </c>
      <c r="F110" s="21" t="s">
        <v>947</v>
      </c>
      <c r="G110" s="8" t="str">
        <f t="shared" si="1"/>
        <v>BRUDER RICHARD</v>
      </c>
    </row>
    <row r="111" spans="1:7" x14ac:dyDescent="0.25">
      <c r="A111" s="8">
        <v>42704.517002314817</v>
      </c>
      <c r="B111" s="21" t="s">
        <v>248</v>
      </c>
      <c r="C111" s="21" t="s">
        <v>632</v>
      </c>
      <c r="D111" s="165">
        <v>1740000</v>
      </c>
      <c r="E111" s="21" t="s">
        <v>484</v>
      </c>
      <c r="F111" s="21" t="s">
        <v>948</v>
      </c>
      <c r="G111" s="8" t="str">
        <f t="shared" si="1"/>
        <v>STORY SAMANTHA</v>
      </c>
    </row>
    <row r="112" spans="1:7" x14ac:dyDescent="0.25">
      <c r="A112" s="8">
        <v>42704.518136574072</v>
      </c>
      <c r="B112" s="21" t="s">
        <v>267</v>
      </c>
      <c r="C112" s="21" t="s">
        <v>540</v>
      </c>
      <c r="D112" s="165">
        <v>1820000</v>
      </c>
      <c r="E112" s="21" t="s">
        <v>624</v>
      </c>
      <c r="F112" s="21" t="s">
        <v>945</v>
      </c>
      <c r="G112" s="8" t="str">
        <f t="shared" si="1"/>
        <v>ADANE ELSHADAY</v>
      </c>
    </row>
    <row r="113" spans="1:7" x14ac:dyDescent="0.25">
      <c r="A113" s="8">
        <v>42704.525763888887</v>
      </c>
      <c r="B113" s="21" t="s">
        <v>260</v>
      </c>
      <c r="C113" s="21" t="s">
        <v>633</v>
      </c>
      <c r="D113" s="165">
        <v>1100000</v>
      </c>
      <c r="E113" s="21" t="s">
        <v>480</v>
      </c>
      <c r="F113" s="21" t="s">
        <v>939</v>
      </c>
      <c r="G113" s="8" t="str">
        <f t="shared" si="1"/>
        <v>GEBRETEKLE DAGNEW</v>
      </c>
    </row>
    <row r="114" spans="1:7" x14ac:dyDescent="0.25">
      <c r="A114" s="8">
        <v>42704.52753472222</v>
      </c>
      <c r="B114" s="21" t="s">
        <v>251</v>
      </c>
      <c r="C114" s="21" t="s">
        <v>634</v>
      </c>
      <c r="D114" s="165">
        <v>940000</v>
      </c>
      <c r="E114" s="21" t="s">
        <v>335</v>
      </c>
      <c r="F114" s="21" t="s">
        <v>944</v>
      </c>
      <c r="G114" s="8" t="str">
        <f t="shared" si="1"/>
        <v>BONDS REYNALDO</v>
      </c>
    </row>
    <row r="115" spans="1:7" x14ac:dyDescent="0.25">
      <c r="A115" s="8">
        <v>42704.533402777779</v>
      </c>
      <c r="B115" s="21" t="s">
        <v>225</v>
      </c>
      <c r="C115" s="21" t="s">
        <v>635</v>
      </c>
      <c r="D115" s="165">
        <v>2350000</v>
      </c>
      <c r="E115" s="21" t="s">
        <v>627</v>
      </c>
      <c r="F115" s="21" t="s">
        <v>946</v>
      </c>
      <c r="G115" s="8" t="str">
        <f t="shared" si="1"/>
        <v>BERLING GARY</v>
      </c>
    </row>
    <row r="116" spans="1:7" x14ac:dyDescent="0.25">
      <c r="A116" s="8">
        <v>42704.537152777775</v>
      </c>
      <c r="B116" s="21" t="s">
        <v>222</v>
      </c>
      <c r="C116" s="21" t="s">
        <v>636</v>
      </c>
      <c r="D116" s="165">
        <v>1280000</v>
      </c>
      <c r="E116" s="21" t="s">
        <v>304</v>
      </c>
      <c r="F116" s="21" t="s">
        <v>943</v>
      </c>
      <c r="G116" s="8" t="str">
        <f t="shared" si="1"/>
        <v>BARTLETT KIANDRA</v>
      </c>
    </row>
    <row r="117" spans="1:7" x14ac:dyDescent="0.25">
      <c r="A117" s="8">
        <v>42704.545381944445</v>
      </c>
      <c r="B117" s="21" t="s">
        <v>481</v>
      </c>
      <c r="C117" s="21" t="s">
        <v>637</v>
      </c>
      <c r="D117" s="165">
        <v>1770000</v>
      </c>
      <c r="E117" s="21" t="s">
        <v>631</v>
      </c>
      <c r="F117" s="21" t="s">
        <v>947</v>
      </c>
      <c r="G117" s="8" t="str">
        <f t="shared" si="1"/>
        <v>BRUDER RICHARD</v>
      </c>
    </row>
    <row r="118" spans="1:7" x14ac:dyDescent="0.25">
      <c r="A118" s="8">
        <v>42704.547418981485</v>
      </c>
      <c r="B118" s="21" t="s">
        <v>210</v>
      </c>
      <c r="C118" s="21" t="s">
        <v>542</v>
      </c>
      <c r="D118" s="165">
        <v>2600000</v>
      </c>
      <c r="E118" s="21" t="s">
        <v>261</v>
      </c>
      <c r="F118" s="21" t="s">
        <v>935</v>
      </c>
      <c r="G118" s="8" t="str">
        <f t="shared" si="1"/>
        <v>DAVIDSON DAVID</v>
      </c>
    </row>
    <row r="119" spans="1:7" x14ac:dyDescent="0.25">
      <c r="A119" s="8">
        <v>42704.553229166668</v>
      </c>
      <c r="B119" s="21" t="s">
        <v>259</v>
      </c>
      <c r="C119" s="21" t="s">
        <v>541</v>
      </c>
      <c r="D119" s="165">
        <v>2040000</v>
      </c>
      <c r="E119" s="21" t="s">
        <v>638</v>
      </c>
      <c r="F119" s="21" t="s">
        <v>949</v>
      </c>
      <c r="G119" s="8" t="str">
        <f t="shared" si="1"/>
        <v>MOSES BRADLEY</v>
      </c>
    </row>
    <row r="120" spans="1:7" x14ac:dyDescent="0.25">
      <c r="A120" s="8">
        <v>42704.55537037037</v>
      </c>
      <c r="B120" s="21" t="s">
        <v>279</v>
      </c>
      <c r="C120" s="21" t="s">
        <v>639</v>
      </c>
      <c r="D120" s="165">
        <v>1740000</v>
      </c>
      <c r="E120" s="21" t="s">
        <v>484</v>
      </c>
      <c r="F120" s="21" t="s">
        <v>948</v>
      </c>
      <c r="G120" s="8" t="str">
        <f t="shared" si="1"/>
        <v>STORY SAMANTHA</v>
      </c>
    </row>
    <row r="121" spans="1:7" x14ac:dyDescent="0.25">
      <c r="A121" s="8">
        <v>42704.557812500003</v>
      </c>
      <c r="B121" s="21" t="s">
        <v>266</v>
      </c>
      <c r="C121" s="21" t="s">
        <v>640</v>
      </c>
      <c r="D121" s="165">
        <v>1820000</v>
      </c>
      <c r="E121" s="21" t="s">
        <v>624</v>
      </c>
      <c r="F121" s="21" t="s">
        <v>945</v>
      </c>
      <c r="G121" s="8" t="str">
        <f t="shared" si="1"/>
        <v>ADANE ELSHADAY</v>
      </c>
    </row>
    <row r="122" spans="1:7" x14ac:dyDescent="0.25">
      <c r="A122" s="8">
        <v>42704.561192129629</v>
      </c>
      <c r="B122" s="26" t="s">
        <v>250</v>
      </c>
      <c r="C122" s="21" t="s">
        <v>641</v>
      </c>
      <c r="D122" s="165">
        <v>940000</v>
      </c>
      <c r="E122" s="21" t="s">
        <v>335</v>
      </c>
      <c r="F122" s="21" t="s">
        <v>944</v>
      </c>
      <c r="G122" s="8" t="str">
        <f t="shared" si="1"/>
        <v>BONDS REYNALDO</v>
      </c>
    </row>
    <row r="123" spans="1:7" x14ac:dyDescent="0.25">
      <c r="A123" s="8">
        <v>42704.569826388892</v>
      </c>
      <c r="B123" s="21" t="s">
        <v>260</v>
      </c>
      <c r="C123" s="21" t="s">
        <v>642</v>
      </c>
      <c r="D123" s="165">
        <v>2040000</v>
      </c>
      <c r="E123" s="21" t="s">
        <v>638</v>
      </c>
      <c r="F123" s="21" t="s">
        <v>949</v>
      </c>
      <c r="G123" s="8" t="str">
        <f t="shared" si="1"/>
        <v>MOSES BRADLEY</v>
      </c>
    </row>
    <row r="124" spans="1:7" x14ac:dyDescent="0.25">
      <c r="A124" s="8">
        <v>42704.570127314815</v>
      </c>
      <c r="B124" s="21" t="s">
        <v>479</v>
      </c>
      <c r="C124" s="21" t="s">
        <v>544</v>
      </c>
      <c r="D124" s="165">
        <v>1280000</v>
      </c>
      <c r="E124" s="21" t="s">
        <v>304</v>
      </c>
      <c r="F124" s="21" t="s">
        <v>943</v>
      </c>
      <c r="G124" s="8" t="str">
        <f t="shared" si="1"/>
        <v>BARTLETT KIANDRA</v>
      </c>
    </row>
    <row r="125" spans="1:7" x14ac:dyDescent="0.25">
      <c r="A125" s="8">
        <v>42704.570231481484</v>
      </c>
      <c r="B125" s="21" t="s">
        <v>224</v>
      </c>
      <c r="C125" s="21" t="s">
        <v>643</v>
      </c>
      <c r="D125" s="165">
        <v>2350000</v>
      </c>
      <c r="E125" s="21" t="s">
        <v>627</v>
      </c>
      <c r="F125" s="21" t="s">
        <v>946</v>
      </c>
      <c r="G125" s="8" t="str">
        <f t="shared" si="1"/>
        <v>BERLING GARY</v>
      </c>
    </row>
    <row r="126" spans="1:7" x14ac:dyDescent="0.25">
      <c r="A126" s="8">
        <v>42704.578611111108</v>
      </c>
      <c r="B126" s="21" t="s">
        <v>184</v>
      </c>
      <c r="C126" s="21" t="s">
        <v>644</v>
      </c>
      <c r="D126" s="165">
        <v>1770000</v>
      </c>
      <c r="E126" s="21" t="s">
        <v>631</v>
      </c>
      <c r="F126" s="21" t="s">
        <v>947</v>
      </c>
      <c r="G126" s="8" t="str">
        <f t="shared" si="1"/>
        <v>BRUDER RICHARD</v>
      </c>
    </row>
    <row r="127" spans="1:7" x14ac:dyDescent="0.25">
      <c r="A127" s="8">
        <v>42704.58452546296</v>
      </c>
      <c r="B127" s="21" t="s">
        <v>218</v>
      </c>
      <c r="C127" s="21" t="s">
        <v>543</v>
      </c>
      <c r="D127" s="165">
        <v>2600000</v>
      </c>
      <c r="E127" s="21" t="s">
        <v>261</v>
      </c>
      <c r="F127" s="21" t="s">
        <v>935</v>
      </c>
      <c r="G127" s="8" t="str">
        <f t="shared" si="1"/>
        <v>DAVIDSON DAVID</v>
      </c>
    </row>
    <row r="128" spans="1:7" x14ac:dyDescent="0.25">
      <c r="A128" s="8">
        <v>42704.588530092595</v>
      </c>
      <c r="B128" s="21" t="s">
        <v>248</v>
      </c>
      <c r="C128" s="21" t="s">
        <v>645</v>
      </c>
      <c r="D128" s="165">
        <v>1740000</v>
      </c>
      <c r="E128" s="21" t="s">
        <v>484</v>
      </c>
      <c r="F128" s="21" t="s">
        <v>948</v>
      </c>
      <c r="G128" s="8" t="str">
        <f t="shared" si="1"/>
        <v>STORY SAMANTHA</v>
      </c>
    </row>
    <row r="129" spans="1:7" x14ac:dyDescent="0.25">
      <c r="A129" s="8">
        <v>42704.589097222219</v>
      </c>
      <c r="B129" s="21" t="s">
        <v>267</v>
      </c>
      <c r="C129" s="21" t="s">
        <v>646</v>
      </c>
      <c r="D129" s="165">
        <v>1820000</v>
      </c>
      <c r="E129" s="21" t="s">
        <v>624</v>
      </c>
      <c r="F129" s="21" t="s">
        <v>945</v>
      </c>
      <c r="G129" s="8" t="str">
        <f t="shared" si="1"/>
        <v>ADANE ELSHADAY</v>
      </c>
    </row>
    <row r="130" spans="1:7" x14ac:dyDescent="0.25">
      <c r="A130" s="8">
        <v>42704.593171296299</v>
      </c>
      <c r="B130" s="21" t="s">
        <v>259</v>
      </c>
      <c r="C130" s="21" t="s">
        <v>647</v>
      </c>
      <c r="D130" s="165">
        <v>2040000</v>
      </c>
      <c r="E130" s="21" t="s">
        <v>638</v>
      </c>
      <c r="F130" s="21" t="s">
        <v>949</v>
      </c>
      <c r="G130" s="8" t="str">
        <f t="shared" si="1"/>
        <v>MOSES BRADLEY</v>
      </c>
    </row>
    <row r="131" spans="1:7" x14ac:dyDescent="0.25">
      <c r="A131" s="8">
        <v>42704.599236111113</v>
      </c>
      <c r="B131" s="21" t="s">
        <v>251</v>
      </c>
      <c r="C131" s="21" t="s">
        <v>648</v>
      </c>
      <c r="D131" s="165">
        <v>940000</v>
      </c>
      <c r="E131" s="21" t="s">
        <v>335</v>
      </c>
      <c r="F131" s="21" t="s">
        <v>944</v>
      </c>
      <c r="G131" s="8" t="str">
        <f t="shared" ref="G131:G194" si="2">E131&amp;" "&amp;F131</f>
        <v>BONDS REYNALDO</v>
      </c>
    </row>
    <row r="132" spans="1:7" x14ac:dyDescent="0.25">
      <c r="A132" s="8">
        <v>42704.606574074074</v>
      </c>
      <c r="B132" s="21" t="s">
        <v>225</v>
      </c>
      <c r="C132" s="21" t="s">
        <v>649</v>
      </c>
      <c r="D132" s="165">
        <v>2350000</v>
      </c>
      <c r="E132" s="21" t="s">
        <v>627</v>
      </c>
      <c r="F132" s="21" t="s">
        <v>946</v>
      </c>
      <c r="G132" s="8" t="str">
        <f t="shared" si="2"/>
        <v>BERLING GARY</v>
      </c>
    </row>
    <row r="133" spans="1:7" x14ac:dyDescent="0.25">
      <c r="A133" s="8">
        <v>42704.610231481478</v>
      </c>
      <c r="B133" s="21" t="s">
        <v>222</v>
      </c>
      <c r="C133" s="21" t="s">
        <v>650</v>
      </c>
      <c r="D133" s="165">
        <v>1280000</v>
      </c>
      <c r="E133" s="21" t="s">
        <v>304</v>
      </c>
      <c r="F133" s="21" t="s">
        <v>943</v>
      </c>
      <c r="G133" s="8" t="str">
        <f t="shared" si="2"/>
        <v>BARTLETT KIANDRA</v>
      </c>
    </row>
    <row r="134" spans="1:7" x14ac:dyDescent="0.25">
      <c r="A134" s="8">
        <v>42704.61042824074</v>
      </c>
      <c r="B134" s="21" t="s">
        <v>260</v>
      </c>
      <c r="C134" s="21" t="s">
        <v>651</v>
      </c>
      <c r="D134" s="165">
        <v>2040000</v>
      </c>
      <c r="E134" s="21" t="s">
        <v>638</v>
      </c>
      <c r="F134" s="21" t="s">
        <v>949</v>
      </c>
      <c r="G134" s="8" t="str">
        <f t="shared" si="2"/>
        <v>MOSES BRADLEY</v>
      </c>
    </row>
    <row r="135" spans="1:7" x14ac:dyDescent="0.25">
      <c r="A135" s="8">
        <v>42704.617106481484</v>
      </c>
      <c r="B135" s="21" t="s">
        <v>481</v>
      </c>
      <c r="C135" s="21" t="s">
        <v>652</v>
      </c>
      <c r="D135" s="165">
        <v>1770000</v>
      </c>
      <c r="E135" s="21" t="s">
        <v>631</v>
      </c>
      <c r="F135" s="21" t="s">
        <v>947</v>
      </c>
      <c r="G135" s="8" t="str">
        <f t="shared" si="2"/>
        <v>BRUDER RICHARD</v>
      </c>
    </row>
    <row r="136" spans="1:7" x14ac:dyDescent="0.25">
      <c r="A136" s="8">
        <v>42704.620439814818</v>
      </c>
      <c r="B136" s="21" t="s">
        <v>210</v>
      </c>
      <c r="C136" s="21" t="s">
        <v>653</v>
      </c>
      <c r="D136" s="165">
        <v>2600000</v>
      </c>
      <c r="E136" s="21" t="s">
        <v>261</v>
      </c>
      <c r="F136" s="21" t="s">
        <v>935</v>
      </c>
      <c r="G136" s="8" t="str">
        <f t="shared" si="2"/>
        <v>DAVIDSON DAVID</v>
      </c>
    </row>
    <row r="137" spans="1:7" x14ac:dyDescent="0.25">
      <c r="A137" s="8">
        <v>42704.630312499998</v>
      </c>
      <c r="B137" s="21" t="s">
        <v>279</v>
      </c>
      <c r="C137" s="21" t="s">
        <v>654</v>
      </c>
      <c r="D137" s="165">
        <v>1740000</v>
      </c>
      <c r="E137" s="21" t="s">
        <v>484</v>
      </c>
      <c r="F137" s="21" t="s">
        <v>948</v>
      </c>
      <c r="G137" s="8" t="str">
        <f t="shared" si="2"/>
        <v>STORY SAMANTHA</v>
      </c>
    </row>
    <row r="138" spans="1:7" x14ac:dyDescent="0.25">
      <c r="A138" s="8">
        <v>42704.631504629629</v>
      </c>
      <c r="B138" s="21" t="s">
        <v>266</v>
      </c>
      <c r="C138" s="21" t="s">
        <v>655</v>
      </c>
      <c r="D138" s="165">
        <v>1820000</v>
      </c>
      <c r="E138" s="21" t="s">
        <v>624</v>
      </c>
      <c r="F138" s="21" t="s">
        <v>945</v>
      </c>
      <c r="G138" s="8" t="str">
        <f t="shared" si="2"/>
        <v>ADANE ELSHADAY</v>
      </c>
    </row>
    <row r="139" spans="1:7" x14ac:dyDescent="0.25">
      <c r="A139" s="8">
        <v>42704.633877314816</v>
      </c>
      <c r="B139" s="21" t="s">
        <v>250</v>
      </c>
      <c r="C139" s="21" t="s">
        <v>656</v>
      </c>
      <c r="D139" s="165">
        <v>940000</v>
      </c>
      <c r="E139" s="21" t="s">
        <v>335</v>
      </c>
      <c r="F139" s="21" t="s">
        <v>944</v>
      </c>
      <c r="G139" s="8" t="str">
        <f t="shared" si="2"/>
        <v>BONDS REYNALDO</v>
      </c>
    </row>
    <row r="140" spans="1:7" x14ac:dyDescent="0.25">
      <c r="A140" s="8">
        <v>42704.637129629627</v>
      </c>
      <c r="B140" s="21" t="s">
        <v>259</v>
      </c>
      <c r="C140" s="21" t="s">
        <v>657</v>
      </c>
      <c r="D140" s="165">
        <v>2040000</v>
      </c>
      <c r="E140" s="21" t="s">
        <v>638</v>
      </c>
      <c r="F140" s="21" t="s">
        <v>949</v>
      </c>
      <c r="G140" s="8" t="str">
        <f t="shared" si="2"/>
        <v>MOSES BRADLEY</v>
      </c>
    </row>
    <row r="141" spans="1:7" x14ac:dyDescent="0.25">
      <c r="A141" s="8">
        <v>42704.640138888892</v>
      </c>
      <c r="B141" s="21" t="s">
        <v>520</v>
      </c>
      <c r="C141" s="21" t="s">
        <v>658</v>
      </c>
      <c r="D141" s="165">
        <v>1180000</v>
      </c>
      <c r="E141" s="21" t="s">
        <v>319</v>
      </c>
      <c r="F141" s="21" t="s">
        <v>950</v>
      </c>
      <c r="G141" s="8" t="str">
        <f t="shared" si="2"/>
        <v>LEVERE CRAIG</v>
      </c>
    </row>
    <row r="142" spans="1:7" x14ac:dyDescent="0.25">
      <c r="A142" s="8">
        <v>42704.64130787037</v>
      </c>
      <c r="B142" s="21" t="s">
        <v>520</v>
      </c>
      <c r="C142" s="21" t="s">
        <v>658</v>
      </c>
      <c r="D142" s="165">
        <v>1180000</v>
      </c>
      <c r="E142" s="21" t="s">
        <v>319</v>
      </c>
      <c r="F142" s="21" t="s">
        <v>950</v>
      </c>
      <c r="G142" s="8" t="str">
        <f t="shared" si="2"/>
        <v>LEVERE CRAIG</v>
      </c>
    </row>
    <row r="143" spans="1:7" x14ac:dyDescent="0.25">
      <c r="A143" s="8">
        <v>42704.643240740741</v>
      </c>
      <c r="B143" s="21" t="s">
        <v>224</v>
      </c>
      <c r="C143" s="21" t="s">
        <v>659</v>
      </c>
      <c r="D143" s="165">
        <v>2350000</v>
      </c>
      <c r="E143" s="21" t="s">
        <v>627</v>
      </c>
      <c r="F143" s="21" t="s">
        <v>946</v>
      </c>
      <c r="G143" s="8" t="str">
        <f t="shared" si="2"/>
        <v>BERLING GARY</v>
      </c>
    </row>
    <row r="144" spans="1:7" x14ac:dyDescent="0.25">
      <c r="A144" s="8">
        <v>42704.648680555554</v>
      </c>
      <c r="B144" s="21" t="s">
        <v>479</v>
      </c>
      <c r="C144" s="21" t="s">
        <v>660</v>
      </c>
      <c r="D144" s="165">
        <v>1280000</v>
      </c>
      <c r="E144" s="21" t="s">
        <v>304</v>
      </c>
      <c r="F144" s="21" t="s">
        <v>943</v>
      </c>
      <c r="G144" s="8" t="str">
        <f t="shared" si="2"/>
        <v>BARTLETT KIANDRA</v>
      </c>
    </row>
    <row r="145" spans="1:7" x14ac:dyDescent="0.25">
      <c r="A145" s="8">
        <v>42704.651747685188</v>
      </c>
      <c r="B145" s="21" t="s">
        <v>184</v>
      </c>
      <c r="C145" s="21" t="s">
        <v>661</v>
      </c>
      <c r="D145" s="165">
        <v>1770000</v>
      </c>
      <c r="E145" s="21" t="s">
        <v>631</v>
      </c>
      <c r="F145" s="21" t="s">
        <v>947</v>
      </c>
      <c r="G145" s="8" t="str">
        <f t="shared" si="2"/>
        <v>BRUDER RICHARD</v>
      </c>
    </row>
    <row r="146" spans="1:7" x14ac:dyDescent="0.25">
      <c r="A146" s="8">
        <v>42704.652465277781</v>
      </c>
      <c r="B146" s="21" t="s">
        <v>260</v>
      </c>
      <c r="C146" s="21" t="s">
        <v>662</v>
      </c>
      <c r="D146" s="165">
        <v>2040000</v>
      </c>
      <c r="E146" s="21" t="s">
        <v>638</v>
      </c>
      <c r="F146" s="21" t="s">
        <v>949</v>
      </c>
      <c r="G146" s="8" t="str">
        <f t="shared" si="2"/>
        <v>MOSES BRADLEY</v>
      </c>
    </row>
    <row r="147" spans="1:7" x14ac:dyDescent="0.25">
      <c r="A147" s="8">
        <v>42704.652974537035</v>
      </c>
      <c r="B147" s="21" t="s">
        <v>305</v>
      </c>
      <c r="C147" s="21" t="s">
        <v>663</v>
      </c>
      <c r="D147" s="165">
        <v>1180000</v>
      </c>
      <c r="E147" s="21" t="s">
        <v>319</v>
      </c>
      <c r="F147" s="21" t="s">
        <v>950</v>
      </c>
      <c r="G147" s="8" t="str">
        <f t="shared" si="2"/>
        <v>LEVERE CRAIG</v>
      </c>
    </row>
    <row r="148" spans="1:7" x14ac:dyDescent="0.25">
      <c r="A148" s="8">
        <v>42704.661354166667</v>
      </c>
      <c r="B148" s="21" t="s">
        <v>218</v>
      </c>
      <c r="C148" s="21" t="s">
        <v>664</v>
      </c>
      <c r="D148" s="165">
        <v>2600000</v>
      </c>
      <c r="E148" s="21" t="s">
        <v>261</v>
      </c>
      <c r="F148" s="21" t="s">
        <v>935</v>
      </c>
      <c r="G148" s="8" t="str">
        <f t="shared" si="2"/>
        <v>DAVIDSON DAVID</v>
      </c>
    </row>
    <row r="149" spans="1:7" x14ac:dyDescent="0.25">
      <c r="A149" s="8">
        <v>42704.662453703706</v>
      </c>
      <c r="B149" s="21" t="s">
        <v>267</v>
      </c>
      <c r="C149" s="21" t="s">
        <v>665</v>
      </c>
      <c r="D149" s="165">
        <v>1820000</v>
      </c>
      <c r="E149" s="21" t="s">
        <v>624</v>
      </c>
      <c r="F149" s="21" t="s">
        <v>945</v>
      </c>
      <c r="G149" s="8" t="str">
        <f t="shared" si="2"/>
        <v>ADANE ELSHADAY</v>
      </c>
    </row>
    <row r="150" spans="1:7" x14ac:dyDescent="0.25">
      <c r="A150" s="8">
        <v>42704.662754629629</v>
      </c>
      <c r="B150" s="21" t="s">
        <v>248</v>
      </c>
      <c r="C150" s="21" t="s">
        <v>666</v>
      </c>
      <c r="D150" s="165">
        <v>1740000</v>
      </c>
      <c r="E150" s="21" t="s">
        <v>484</v>
      </c>
      <c r="F150" s="21" t="s">
        <v>948</v>
      </c>
      <c r="G150" s="8" t="str">
        <f t="shared" si="2"/>
        <v>STORY SAMANTHA</v>
      </c>
    </row>
    <row r="151" spans="1:7" x14ac:dyDescent="0.25">
      <c r="A151" s="8">
        <v>42704.672071759262</v>
      </c>
      <c r="B151" s="21" t="s">
        <v>520</v>
      </c>
      <c r="C151" s="21" t="s">
        <v>667</v>
      </c>
      <c r="D151" s="165">
        <v>1180000</v>
      </c>
      <c r="E151" s="21" t="s">
        <v>319</v>
      </c>
      <c r="F151" s="21" t="s">
        <v>950</v>
      </c>
      <c r="G151" s="8" t="str">
        <f t="shared" si="2"/>
        <v>LEVERE CRAIG</v>
      </c>
    </row>
    <row r="152" spans="1:7" x14ac:dyDescent="0.25">
      <c r="A152" s="8">
        <v>42704.672500000001</v>
      </c>
      <c r="B152" s="21" t="s">
        <v>251</v>
      </c>
      <c r="C152" s="21" t="s">
        <v>668</v>
      </c>
      <c r="D152" s="165">
        <v>940000</v>
      </c>
      <c r="E152" s="21" t="s">
        <v>335</v>
      </c>
      <c r="F152" s="21" t="s">
        <v>944</v>
      </c>
      <c r="G152" s="8" t="str">
        <f t="shared" si="2"/>
        <v>BONDS REYNALDO</v>
      </c>
    </row>
    <row r="153" spans="1:7" x14ac:dyDescent="0.25">
      <c r="A153" s="8">
        <v>42704.678842592592</v>
      </c>
      <c r="B153" s="21" t="s">
        <v>259</v>
      </c>
      <c r="C153" s="21" t="s">
        <v>669</v>
      </c>
      <c r="D153" s="165">
        <v>2040000</v>
      </c>
      <c r="E153" s="21" t="s">
        <v>638</v>
      </c>
      <c r="F153" s="21" t="s">
        <v>949</v>
      </c>
      <c r="G153" s="8" t="str">
        <f t="shared" si="2"/>
        <v>MOSES BRADLEY</v>
      </c>
    </row>
    <row r="154" spans="1:7" x14ac:dyDescent="0.25">
      <c r="A154" s="8">
        <v>42704.678865740738</v>
      </c>
      <c r="B154" s="21" t="s">
        <v>225</v>
      </c>
      <c r="C154" s="21" t="s">
        <v>670</v>
      </c>
      <c r="D154" s="165">
        <v>2350000</v>
      </c>
      <c r="E154" s="21" t="s">
        <v>627</v>
      </c>
      <c r="F154" s="21" t="s">
        <v>946</v>
      </c>
      <c r="G154" s="8" t="str">
        <f t="shared" si="2"/>
        <v>BERLING GARY</v>
      </c>
    </row>
    <row r="155" spans="1:7" x14ac:dyDescent="0.25">
      <c r="A155" s="8">
        <v>42704.683217592596</v>
      </c>
      <c r="B155" s="21" t="s">
        <v>222</v>
      </c>
      <c r="C155" s="21" t="s">
        <v>671</v>
      </c>
      <c r="D155" s="165">
        <v>1280000</v>
      </c>
      <c r="E155" s="21" t="s">
        <v>304</v>
      </c>
      <c r="F155" s="21" t="s">
        <v>943</v>
      </c>
      <c r="G155" s="8" t="str">
        <f t="shared" si="2"/>
        <v>BARTLETT KIANDRA</v>
      </c>
    </row>
    <row r="156" spans="1:7" x14ac:dyDescent="0.25">
      <c r="A156" s="8">
        <v>42704.690578703703</v>
      </c>
      <c r="B156" s="21" t="s">
        <v>481</v>
      </c>
      <c r="C156" s="21" t="s">
        <v>672</v>
      </c>
      <c r="D156" s="165">
        <v>1770000</v>
      </c>
      <c r="E156" s="21" t="s">
        <v>631</v>
      </c>
      <c r="F156" s="21" t="s">
        <v>947</v>
      </c>
      <c r="G156" s="8" t="str">
        <f t="shared" si="2"/>
        <v>BRUDER RICHARD</v>
      </c>
    </row>
    <row r="157" spans="1:7" x14ac:dyDescent="0.25">
      <c r="A157" s="8">
        <v>42704.69226851852</v>
      </c>
      <c r="B157" s="21" t="s">
        <v>210</v>
      </c>
      <c r="C157" s="21" t="s">
        <v>673</v>
      </c>
      <c r="D157" s="165">
        <v>2600000</v>
      </c>
      <c r="E157" s="21" t="s">
        <v>261</v>
      </c>
      <c r="F157" s="21" t="s">
        <v>935</v>
      </c>
      <c r="G157" s="8" t="str">
        <f t="shared" si="2"/>
        <v>DAVIDSON DAVID</v>
      </c>
    </row>
    <row r="158" spans="1:7" x14ac:dyDescent="0.25">
      <c r="A158" s="8">
        <v>42704.694837962961</v>
      </c>
      <c r="B158" s="21" t="s">
        <v>260</v>
      </c>
      <c r="C158" s="21" t="s">
        <v>674</v>
      </c>
      <c r="D158" s="165">
        <v>2040000</v>
      </c>
      <c r="E158" s="21" t="s">
        <v>638</v>
      </c>
      <c r="F158" s="21" t="s">
        <v>949</v>
      </c>
      <c r="G158" s="8" t="str">
        <f t="shared" si="2"/>
        <v>MOSES BRADLEY</v>
      </c>
    </row>
    <row r="159" spans="1:7" x14ac:dyDescent="0.25">
      <c r="A159" s="8">
        <v>42704.69736111111</v>
      </c>
      <c r="B159" s="21" t="s">
        <v>305</v>
      </c>
      <c r="C159" s="21" t="s">
        <v>675</v>
      </c>
      <c r="D159" s="165">
        <v>1180000</v>
      </c>
      <c r="E159" s="21" t="s">
        <v>319</v>
      </c>
      <c r="F159" s="21" t="s">
        <v>950</v>
      </c>
      <c r="G159" s="8" t="str">
        <f t="shared" si="2"/>
        <v>LEVERE CRAIG</v>
      </c>
    </row>
    <row r="160" spans="1:7" x14ac:dyDescent="0.25">
      <c r="A160" s="8">
        <v>42704.698506944442</v>
      </c>
      <c r="B160" s="21" t="s">
        <v>279</v>
      </c>
      <c r="C160" s="21" t="s">
        <v>676</v>
      </c>
      <c r="D160" s="165">
        <v>1740000</v>
      </c>
      <c r="E160" s="21" t="s">
        <v>484</v>
      </c>
      <c r="F160" s="21" t="s">
        <v>948</v>
      </c>
      <c r="G160" s="8" t="str">
        <f t="shared" si="2"/>
        <v>STORY SAMANTHA</v>
      </c>
    </row>
    <row r="161" spans="1:7" x14ac:dyDescent="0.25">
      <c r="A161" s="8">
        <v>42704.702256944445</v>
      </c>
      <c r="B161" s="21" t="s">
        <v>266</v>
      </c>
      <c r="C161" s="21" t="s">
        <v>677</v>
      </c>
      <c r="D161" s="165">
        <v>1820000</v>
      </c>
      <c r="E161" s="21" t="s">
        <v>624</v>
      </c>
      <c r="F161" s="21" t="s">
        <v>945</v>
      </c>
      <c r="G161" s="8" t="str">
        <f t="shared" si="2"/>
        <v>ADANE ELSHADAY</v>
      </c>
    </row>
    <row r="162" spans="1:7" x14ac:dyDescent="0.25">
      <c r="A162" s="8">
        <v>42704.707314814812</v>
      </c>
      <c r="B162" s="21" t="s">
        <v>250</v>
      </c>
      <c r="C162" s="21" t="s">
        <v>678</v>
      </c>
      <c r="D162" s="165">
        <v>940000</v>
      </c>
      <c r="E162" s="21" t="s">
        <v>335</v>
      </c>
      <c r="F162" s="21" t="s">
        <v>944</v>
      </c>
      <c r="G162" s="8" t="str">
        <f t="shared" si="2"/>
        <v>BONDS REYNALDO</v>
      </c>
    </row>
    <row r="163" spans="1:7" x14ac:dyDescent="0.25">
      <c r="A163" s="8">
        <v>42704.713402777779</v>
      </c>
      <c r="B163" s="21" t="s">
        <v>520</v>
      </c>
      <c r="C163" s="21" t="s">
        <v>679</v>
      </c>
      <c r="D163" s="165">
        <v>1180000</v>
      </c>
      <c r="E163" s="21" t="s">
        <v>319</v>
      </c>
      <c r="F163" s="21" t="s">
        <v>950</v>
      </c>
      <c r="G163" s="8" t="str">
        <f t="shared" si="2"/>
        <v>LEVERE CRAIG</v>
      </c>
    </row>
    <row r="164" spans="1:7" x14ac:dyDescent="0.25">
      <c r="A164" s="8">
        <v>42704.716053240743</v>
      </c>
      <c r="B164" s="21" t="s">
        <v>224</v>
      </c>
      <c r="C164" s="21" t="s">
        <v>680</v>
      </c>
      <c r="D164" s="165">
        <v>2090000</v>
      </c>
      <c r="E164" s="21" t="s">
        <v>334</v>
      </c>
      <c r="F164" s="21" t="s">
        <v>934</v>
      </c>
      <c r="G164" s="8" t="str">
        <f t="shared" si="2"/>
        <v>HAITHCOX MICHAEL</v>
      </c>
    </row>
    <row r="165" spans="1:7" x14ac:dyDescent="0.25">
      <c r="A165" s="8">
        <v>42704.716354166667</v>
      </c>
      <c r="B165" s="21" t="s">
        <v>479</v>
      </c>
      <c r="C165" s="21" t="s">
        <v>681</v>
      </c>
      <c r="D165" s="165">
        <v>1280000</v>
      </c>
      <c r="E165" s="21" t="s">
        <v>304</v>
      </c>
      <c r="F165" s="21" t="s">
        <v>943</v>
      </c>
      <c r="G165" s="8" t="str">
        <f t="shared" si="2"/>
        <v>BARTLETT KIANDRA</v>
      </c>
    </row>
    <row r="166" spans="1:7" x14ac:dyDescent="0.25">
      <c r="A166" s="8">
        <v>42704.718333333331</v>
      </c>
      <c r="B166" s="21" t="s">
        <v>259</v>
      </c>
      <c r="C166" s="21" t="s">
        <v>682</v>
      </c>
      <c r="D166" s="165">
        <v>2040000</v>
      </c>
      <c r="E166" s="21" t="s">
        <v>638</v>
      </c>
      <c r="F166" s="21" t="s">
        <v>949</v>
      </c>
      <c r="G166" s="8" t="str">
        <f t="shared" si="2"/>
        <v>MOSES BRADLEY</v>
      </c>
    </row>
    <row r="167" spans="1:7" x14ac:dyDescent="0.25">
      <c r="A167" s="8">
        <v>42704.719976851855</v>
      </c>
      <c r="B167" s="21" t="s">
        <v>183</v>
      </c>
      <c r="C167" s="21" t="s">
        <v>683</v>
      </c>
      <c r="D167" s="165">
        <v>2270000</v>
      </c>
      <c r="E167" s="21" t="s">
        <v>684</v>
      </c>
      <c r="F167" s="21" t="s">
        <v>951</v>
      </c>
      <c r="G167" s="8" t="str">
        <f t="shared" si="2"/>
        <v>BROWN JACOB</v>
      </c>
    </row>
    <row r="168" spans="1:7" x14ac:dyDescent="0.25">
      <c r="A168" s="8">
        <v>42704.720856481479</v>
      </c>
      <c r="B168" s="21" t="s">
        <v>183</v>
      </c>
      <c r="C168" s="21" t="s">
        <v>683</v>
      </c>
      <c r="D168" s="165">
        <v>2270000</v>
      </c>
      <c r="E168" s="21" t="s">
        <v>684</v>
      </c>
      <c r="F168" s="21" t="s">
        <v>951</v>
      </c>
      <c r="G168" s="8" t="str">
        <f t="shared" si="2"/>
        <v>BROWN JACOB</v>
      </c>
    </row>
    <row r="169" spans="1:7" x14ac:dyDescent="0.25">
      <c r="A169" s="8">
        <v>42704.721851851849</v>
      </c>
      <c r="B169" s="21" t="s">
        <v>183</v>
      </c>
      <c r="C169" s="21" t="s">
        <v>683</v>
      </c>
      <c r="D169" s="165">
        <v>2270000</v>
      </c>
      <c r="E169" s="21" t="s">
        <v>684</v>
      </c>
      <c r="F169" s="21" t="s">
        <v>951</v>
      </c>
      <c r="G169" s="8" t="str">
        <f t="shared" si="2"/>
        <v>BROWN JACOB</v>
      </c>
    </row>
    <row r="170" spans="1:7" x14ac:dyDescent="0.25">
      <c r="A170" s="8">
        <v>42704.721932870372</v>
      </c>
      <c r="B170" s="21" t="s">
        <v>220</v>
      </c>
      <c r="C170" s="21" t="s">
        <v>685</v>
      </c>
      <c r="D170" s="165">
        <v>2280000</v>
      </c>
      <c r="E170" s="21" t="s">
        <v>483</v>
      </c>
      <c r="F170" s="21" t="s">
        <v>952</v>
      </c>
      <c r="G170" s="8" t="str">
        <f t="shared" si="2"/>
        <v>MAHAN DUANE</v>
      </c>
    </row>
    <row r="171" spans="1:7" x14ac:dyDescent="0.25">
      <c r="A171" s="8">
        <v>42704.726053240738</v>
      </c>
      <c r="B171" s="21" t="s">
        <v>184</v>
      </c>
      <c r="C171" s="21" t="s">
        <v>686</v>
      </c>
      <c r="D171" s="165">
        <v>2350000</v>
      </c>
      <c r="E171" s="21" t="s">
        <v>627</v>
      </c>
      <c r="F171" s="21" t="s">
        <v>946</v>
      </c>
      <c r="G171" s="8" t="str">
        <f t="shared" si="2"/>
        <v>BERLING GARY</v>
      </c>
    </row>
    <row r="172" spans="1:7" x14ac:dyDescent="0.25">
      <c r="A172" s="8">
        <v>42704.733495370368</v>
      </c>
      <c r="B172" s="21" t="s">
        <v>330</v>
      </c>
      <c r="C172" s="21" t="s">
        <v>687</v>
      </c>
      <c r="D172" s="165">
        <v>1300000</v>
      </c>
      <c r="E172" s="21" t="s">
        <v>113</v>
      </c>
      <c r="F172" s="21" t="s">
        <v>953</v>
      </c>
      <c r="G172" s="8" t="str">
        <f t="shared" si="2"/>
        <v>LEVIN SCOTT</v>
      </c>
    </row>
    <row r="173" spans="1:7" x14ac:dyDescent="0.25">
      <c r="A173" s="8">
        <v>42704.733530092592</v>
      </c>
      <c r="B173" s="21" t="s">
        <v>218</v>
      </c>
      <c r="C173" s="21" t="s">
        <v>688</v>
      </c>
      <c r="D173" s="165">
        <v>2600000</v>
      </c>
      <c r="E173" s="21" t="s">
        <v>261</v>
      </c>
      <c r="F173" s="21" t="s">
        <v>935</v>
      </c>
      <c r="G173" s="8" t="str">
        <f t="shared" si="2"/>
        <v>DAVIDSON DAVID</v>
      </c>
    </row>
    <row r="174" spans="1:7" x14ac:dyDescent="0.25">
      <c r="A174" s="8">
        <v>42704.735335648147</v>
      </c>
      <c r="B174" s="21" t="s">
        <v>267</v>
      </c>
      <c r="C174" s="21" t="s">
        <v>689</v>
      </c>
      <c r="D174" s="165">
        <v>1820000</v>
      </c>
      <c r="E174" s="21" t="s">
        <v>624</v>
      </c>
      <c r="F174" s="21" t="s">
        <v>945</v>
      </c>
      <c r="G174" s="8" t="str">
        <f t="shared" si="2"/>
        <v>ADANE ELSHADAY</v>
      </c>
    </row>
    <row r="175" spans="1:7" x14ac:dyDescent="0.25">
      <c r="A175" s="8">
        <v>42704.73578703704</v>
      </c>
      <c r="B175" s="21" t="s">
        <v>260</v>
      </c>
      <c r="C175" s="21" t="s">
        <v>690</v>
      </c>
      <c r="D175" s="165">
        <v>2040000</v>
      </c>
      <c r="E175" s="21" t="s">
        <v>638</v>
      </c>
      <c r="F175" s="21" t="s">
        <v>949</v>
      </c>
      <c r="G175" s="8" t="str">
        <f t="shared" si="2"/>
        <v>MOSES BRADLEY</v>
      </c>
    </row>
    <row r="176" spans="1:7" x14ac:dyDescent="0.25">
      <c r="A176" s="8">
        <v>42704.739166666666</v>
      </c>
      <c r="B176" s="21" t="s">
        <v>220</v>
      </c>
      <c r="C176" s="21" t="s">
        <v>691</v>
      </c>
      <c r="D176" s="165">
        <v>1230000</v>
      </c>
      <c r="E176" s="21" t="s">
        <v>336</v>
      </c>
      <c r="F176" s="21" t="s">
        <v>930</v>
      </c>
      <c r="G176" s="8" t="str">
        <f t="shared" si="2"/>
        <v>YANAI IAN</v>
      </c>
    </row>
    <row r="177" spans="1:7" x14ac:dyDescent="0.25">
      <c r="A177" s="8">
        <v>42704.739942129629</v>
      </c>
      <c r="B177" s="21" t="s">
        <v>305</v>
      </c>
      <c r="C177" s="21" t="s">
        <v>692</v>
      </c>
      <c r="D177" s="165">
        <v>1180000</v>
      </c>
      <c r="E177" s="21" t="s">
        <v>319</v>
      </c>
      <c r="F177" s="21" t="s">
        <v>950</v>
      </c>
      <c r="G177" s="8" t="str">
        <f t="shared" si="2"/>
        <v>LEVERE CRAIG</v>
      </c>
    </row>
    <row r="178" spans="1:7" x14ac:dyDescent="0.25">
      <c r="A178" s="8">
        <v>42704.743333333332</v>
      </c>
      <c r="B178" s="21" t="s">
        <v>237</v>
      </c>
      <c r="C178" s="21" t="s">
        <v>545</v>
      </c>
      <c r="D178" s="165">
        <v>2550000</v>
      </c>
      <c r="E178" s="21" t="s">
        <v>221</v>
      </c>
      <c r="F178" s="21" t="s">
        <v>954</v>
      </c>
      <c r="G178" s="8" t="str">
        <f t="shared" si="2"/>
        <v>BADERTSCHER DIANE</v>
      </c>
    </row>
    <row r="179" spans="1:7" x14ac:dyDescent="0.25">
      <c r="A179" s="8">
        <v>42704.748425925929</v>
      </c>
      <c r="B179" s="21" t="s">
        <v>237</v>
      </c>
      <c r="C179" s="21" t="s">
        <v>545</v>
      </c>
      <c r="D179" s="165">
        <v>2550000</v>
      </c>
      <c r="E179" s="21" t="s">
        <v>221</v>
      </c>
      <c r="F179" s="21" t="s">
        <v>954</v>
      </c>
      <c r="G179" s="8" t="str">
        <f t="shared" si="2"/>
        <v>BADERTSCHER DIANE</v>
      </c>
    </row>
    <row r="180" spans="1:7" x14ac:dyDescent="0.25">
      <c r="A180" s="8">
        <v>42704.749282407407</v>
      </c>
      <c r="B180" s="21" t="s">
        <v>251</v>
      </c>
      <c r="C180" s="21" t="s">
        <v>693</v>
      </c>
      <c r="D180" s="165">
        <v>1740000</v>
      </c>
      <c r="E180" s="21" t="s">
        <v>484</v>
      </c>
      <c r="F180" s="21" t="s">
        <v>948</v>
      </c>
      <c r="G180" s="8" t="str">
        <f t="shared" si="2"/>
        <v>STORY SAMANTHA</v>
      </c>
    </row>
    <row r="181" spans="1:7" x14ac:dyDescent="0.25">
      <c r="A181" s="8">
        <v>42704.752106481479</v>
      </c>
      <c r="B181" s="21" t="s">
        <v>248</v>
      </c>
      <c r="C181" s="21" t="s">
        <v>694</v>
      </c>
      <c r="D181" s="165">
        <v>2280000</v>
      </c>
      <c r="E181" s="21" t="s">
        <v>483</v>
      </c>
      <c r="F181" s="21" t="s">
        <v>952</v>
      </c>
      <c r="G181" s="8" t="str">
        <f t="shared" si="2"/>
        <v>MAHAN DUANE</v>
      </c>
    </row>
    <row r="182" spans="1:7" x14ac:dyDescent="0.25">
      <c r="A182" s="8">
        <v>42704.754791666666</v>
      </c>
      <c r="B182" s="21" t="s">
        <v>225</v>
      </c>
      <c r="C182" s="21" t="s">
        <v>695</v>
      </c>
      <c r="D182" s="165">
        <v>2000000</v>
      </c>
      <c r="E182" s="21" t="s">
        <v>217</v>
      </c>
      <c r="F182" s="21" t="s">
        <v>955</v>
      </c>
      <c r="G182" s="8" t="str">
        <f t="shared" si="2"/>
        <v>STAMBAUGH JAMES</v>
      </c>
    </row>
    <row r="183" spans="1:7" x14ac:dyDescent="0.25">
      <c r="A183" s="8">
        <v>42704.756331018521</v>
      </c>
      <c r="B183" s="21" t="s">
        <v>520</v>
      </c>
      <c r="C183" s="21" t="s">
        <v>546</v>
      </c>
      <c r="D183" s="165">
        <v>1180000</v>
      </c>
      <c r="E183" s="21" t="s">
        <v>319</v>
      </c>
      <c r="F183" s="21" t="s">
        <v>950</v>
      </c>
      <c r="G183" s="8" t="str">
        <f t="shared" si="2"/>
        <v>LEVERE CRAIG</v>
      </c>
    </row>
    <row r="184" spans="1:7" x14ac:dyDescent="0.25">
      <c r="A184" s="8">
        <v>42704.75675925926</v>
      </c>
      <c r="B184" s="21" t="s">
        <v>222</v>
      </c>
      <c r="C184" s="21" t="s">
        <v>696</v>
      </c>
      <c r="D184" s="165">
        <v>1300000</v>
      </c>
      <c r="E184" s="21" t="s">
        <v>113</v>
      </c>
      <c r="F184" s="21" t="s">
        <v>953</v>
      </c>
      <c r="G184" s="8" t="str">
        <f t="shared" si="2"/>
        <v>LEVIN SCOTT</v>
      </c>
    </row>
    <row r="185" spans="1:7" x14ac:dyDescent="0.25">
      <c r="A185" s="8">
        <v>42704.758645833332</v>
      </c>
      <c r="B185" s="21" t="s">
        <v>331</v>
      </c>
      <c r="C185" s="21" t="s">
        <v>697</v>
      </c>
      <c r="D185" s="165">
        <v>1280000</v>
      </c>
      <c r="E185" s="21" t="s">
        <v>304</v>
      </c>
      <c r="F185" s="21" t="s">
        <v>943</v>
      </c>
      <c r="G185" s="8" t="str">
        <f t="shared" si="2"/>
        <v>BARTLETT KIANDRA</v>
      </c>
    </row>
    <row r="186" spans="1:7" x14ac:dyDescent="0.25">
      <c r="A186" s="8">
        <v>42704.761018518519</v>
      </c>
      <c r="B186" s="21" t="s">
        <v>259</v>
      </c>
      <c r="C186" s="21" t="s">
        <v>698</v>
      </c>
      <c r="D186" s="165">
        <v>2040000</v>
      </c>
      <c r="E186" s="21" t="s">
        <v>638</v>
      </c>
      <c r="F186" s="21" t="s">
        <v>949</v>
      </c>
      <c r="G186" s="8" t="str">
        <f t="shared" si="2"/>
        <v>MOSES BRADLEY</v>
      </c>
    </row>
    <row r="187" spans="1:7" x14ac:dyDescent="0.25">
      <c r="A187" s="8">
        <v>42704.763553240744</v>
      </c>
      <c r="B187" s="21" t="s">
        <v>481</v>
      </c>
      <c r="C187" s="21" t="s">
        <v>699</v>
      </c>
      <c r="D187" s="165">
        <v>2350000</v>
      </c>
      <c r="E187" s="21" t="s">
        <v>627</v>
      </c>
      <c r="F187" s="21" t="s">
        <v>946</v>
      </c>
      <c r="G187" s="8" t="str">
        <f t="shared" si="2"/>
        <v>BERLING GARY</v>
      </c>
    </row>
    <row r="188" spans="1:7" x14ac:dyDescent="0.25">
      <c r="A188" s="8">
        <v>42704.765821759262</v>
      </c>
      <c r="B188" s="21" t="s">
        <v>210</v>
      </c>
      <c r="C188" s="21" t="s">
        <v>700</v>
      </c>
      <c r="D188" s="165">
        <v>1290000</v>
      </c>
      <c r="E188" s="21" t="s">
        <v>320</v>
      </c>
      <c r="F188" s="21" t="s">
        <v>928</v>
      </c>
      <c r="G188" s="8" t="str">
        <f t="shared" si="2"/>
        <v>COOLAHAN JOHN</v>
      </c>
    </row>
    <row r="189" spans="1:7" x14ac:dyDescent="0.25">
      <c r="A189" s="8">
        <v>42704.766817129632</v>
      </c>
      <c r="B189" s="21" t="s">
        <v>317</v>
      </c>
      <c r="C189" s="21" t="s">
        <v>701</v>
      </c>
      <c r="D189" s="165">
        <v>1230000</v>
      </c>
      <c r="E189" s="21" t="s">
        <v>336</v>
      </c>
      <c r="F189" s="21" t="s">
        <v>930</v>
      </c>
      <c r="G189" s="8" t="str">
        <f t="shared" si="2"/>
        <v>YANAI IAN</v>
      </c>
    </row>
    <row r="190" spans="1:7" x14ac:dyDescent="0.25">
      <c r="A190" s="8">
        <v>42704.776018518518</v>
      </c>
      <c r="B190" s="21" t="s">
        <v>266</v>
      </c>
      <c r="C190" s="21" t="s">
        <v>702</v>
      </c>
      <c r="D190" s="165">
        <v>1820000</v>
      </c>
      <c r="E190" s="21" t="s">
        <v>624</v>
      </c>
      <c r="F190" s="21" t="s">
        <v>945</v>
      </c>
      <c r="G190" s="8" t="str">
        <f t="shared" si="2"/>
        <v>ADANE ELSHADAY</v>
      </c>
    </row>
    <row r="191" spans="1:7" x14ac:dyDescent="0.25">
      <c r="A191" s="8">
        <v>42704.778287037036</v>
      </c>
      <c r="B191" s="21" t="s">
        <v>260</v>
      </c>
      <c r="C191" s="21" t="s">
        <v>703</v>
      </c>
      <c r="D191" s="165">
        <v>2040000</v>
      </c>
      <c r="E191" s="21" t="s">
        <v>638</v>
      </c>
      <c r="F191" s="21" t="s">
        <v>949</v>
      </c>
      <c r="G191" s="8" t="str">
        <f t="shared" si="2"/>
        <v>MOSES BRADLEY</v>
      </c>
    </row>
    <row r="192" spans="1:7" x14ac:dyDescent="0.25">
      <c r="A192" s="8">
        <v>42704.779293981483</v>
      </c>
      <c r="B192" s="21" t="s">
        <v>305</v>
      </c>
      <c r="C192" s="21" t="s">
        <v>704</v>
      </c>
      <c r="D192" s="165">
        <v>1180000</v>
      </c>
      <c r="E192" s="21" t="s">
        <v>319</v>
      </c>
      <c r="F192" s="21" t="s">
        <v>950</v>
      </c>
      <c r="G192" s="8" t="str">
        <f t="shared" si="2"/>
        <v>LEVERE CRAIG</v>
      </c>
    </row>
    <row r="193" spans="1:7" x14ac:dyDescent="0.25">
      <c r="A193" s="8">
        <v>42704.786053240743</v>
      </c>
      <c r="B193" s="21" t="s">
        <v>250</v>
      </c>
      <c r="C193" s="21" t="s">
        <v>705</v>
      </c>
      <c r="D193" s="165">
        <v>1740000</v>
      </c>
      <c r="E193" s="21" t="s">
        <v>484</v>
      </c>
      <c r="F193" s="21" t="s">
        <v>948</v>
      </c>
      <c r="G193" s="8" t="str">
        <f t="shared" si="2"/>
        <v>STORY SAMANTHA</v>
      </c>
    </row>
    <row r="194" spans="1:7" x14ac:dyDescent="0.25">
      <c r="A194" s="8">
        <v>42704.786157407405</v>
      </c>
      <c r="B194" s="21" t="s">
        <v>224</v>
      </c>
      <c r="C194" s="21" t="s">
        <v>706</v>
      </c>
      <c r="D194" s="165">
        <v>2000000</v>
      </c>
      <c r="E194" s="21" t="s">
        <v>217</v>
      </c>
      <c r="F194" s="21" t="s">
        <v>955</v>
      </c>
      <c r="G194" s="8" t="str">
        <f t="shared" si="2"/>
        <v>STAMBAUGH JAMES</v>
      </c>
    </row>
    <row r="195" spans="1:7" x14ac:dyDescent="0.25">
      <c r="A195" s="8">
        <v>42704.796377314815</v>
      </c>
      <c r="B195" s="21" t="s">
        <v>479</v>
      </c>
      <c r="C195" s="21" t="s">
        <v>707</v>
      </c>
      <c r="D195" s="165">
        <v>1300000</v>
      </c>
      <c r="E195" s="21" t="s">
        <v>113</v>
      </c>
      <c r="F195" s="21" t="s">
        <v>953</v>
      </c>
      <c r="G195" s="8" t="str">
        <f t="shared" ref="G195:G258" si="3">E195&amp;" "&amp;F195</f>
        <v>LEVIN SCOTT</v>
      </c>
    </row>
    <row r="196" spans="1:7" x14ac:dyDescent="0.25">
      <c r="A196" s="8">
        <v>42704.797488425924</v>
      </c>
      <c r="B196" s="21" t="s">
        <v>520</v>
      </c>
      <c r="C196" s="21" t="s">
        <v>708</v>
      </c>
      <c r="D196" s="165">
        <v>1180000</v>
      </c>
      <c r="E196" s="21" t="s">
        <v>319</v>
      </c>
      <c r="F196" s="21" t="s">
        <v>950</v>
      </c>
      <c r="G196" s="8" t="str">
        <f t="shared" si="3"/>
        <v>LEVERE CRAIG</v>
      </c>
    </row>
    <row r="197" spans="1:7" x14ac:dyDescent="0.25">
      <c r="A197" s="8">
        <v>42704.798761574071</v>
      </c>
      <c r="B197" s="21" t="s">
        <v>184</v>
      </c>
      <c r="C197" s="21" t="s">
        <v>709</v>
      </c>
      <c r="D197" s="165">
        <v>2350000</v>
      </c>
      <c r="E197" s="21" t="s">
        <v>627</v>
      </c>
      <c r="F197" s="21" t="s">
        <v>946</v>
      </c>
      <c r="G197" s="8" t="str">
        <f t="shared" si="3"/>
        <v>BERLING GARY</v>
      </c>
    </row>
    <row r="198" spans="1:7" x14ac:dyDescent="0.25">
      <c r="A198" s="8">
        <v>42704.804560185185</v>
      </c>
      <c r="B198" s="21" t="s">
        <v>259</v>
      </c>
      <c r="C198" s="21" t="s">
        <v>710</v>
      </c>
      <c r="D198" s="165">
        <v>2040000</v>
      </c>
      <c r="E198" s="21" t="s">
        <v>638</v>
      </c>
      <c r="F198" s="21" t="s">
        <v>949</v>
      </c>
      <c r="G198" s="8" t="str">
        <f t="shared" si="3"/>
        <v>MOSES BRADLEY</v>
      </c>
    </row>
    <row r="199" spans="1:7" x14ac:dyDescent="0.25">
      <c r="A199" s="8">
        <v>42704.806284722225</v>
      </c>
      <c r="B199" s="21" t="s">
        <v>218</v>
      </c>
      <c r="C199" s="21" t="s">
        <v>711</v>
      </c>
      <c r="D199" s="165">
        <v>1290000</v>
      </c>
      <c r="E199" s="21" t="s">
        <v>320</v>
      </c>
      <c r="F199" s="21" t="s">
        <v>928</v>
      </c>
      <c r="G199" s="8" t="str">
        <f t="shared" si="3"/>
        <v>COOLAHAN JOHN</v>
      </c>
    </row>
    <row r="200" spans="1:7" x14ac:dyDescent="0.25">
      <c r="A200" s="8">
        <v>42704.807523148149</v>
      </c>
      <c r="B200" s="21" t="s">
        <v>220</v>
      </c>
      <c r="C200" s="21" t="s">
        <v>712</v>
      </c>
      <c r="D200" s="165">
        <v>1230000</v>
      </c>
      <c r="E200" s="21" t="s">
        <v>336</v>
      </c>
      <c r="F200" s="21" t="s">
        <v>930</v>
      </c>
      <c r="G200" s="8" t="str">
        <f t="shared" si="3"/>
        <v>YANAI IAN</v>
      </c>
    </row>
    <row r="201" spans="1:7" x14ac:dyDescent="0.25">
      <c r="A201" s="8">
        <v>42704.818287037036</v>
      </c>
      <c r="B201" s="21" t="s">
        <v>251</v>
      </c>
      <c r="C201" s="21" t="s">
        <v>713</v>
      </c>
      <c r="D201" s="165">
        <v>1740000</v>
      </c>
      <c r="E201" s="21" t="s">
        <v>484</v>
      </c>
      <c r="F201" s="21" t="s">
        <v>948</v>
      </c>
      <c r="G201" s="8" t="str">
        <f t="shared" si="3"/>
        <v>STORY SAMANTHA</v>
      </c>
    </row>
    <row r="202" spans="1:7" x14ac:dyDescent="0.25">
      <c r="A202" s="27">
        <v>42704.821481481478</v>
      </c>
      <c r="B202" s="21" t="s">
        <v>260</v>
      </c>
      <c r="C202" s="21" t="s">
        <v>714</v>
      </c>
      <c r="D202" s="165">
        <v>2040000</v>
      </c>
      <c r="E202" s="21" t="s">
        <v>638</v>
      </c>
      <c r="F202" s="21" t="s">
        <v>949</v>
      </c>
      <c r="G202" s="8" t="str">
        <f t="shared" si="3"/>
        <v>MOSES BRADLEY</v>
      </c>
    </row>
    <row r="203" spans="1:7" x14ac:dyDescent="0.25">
      <c r="A203" s="8">
        <v>42704.827696759261</v>
      </c>
      <c r="B203" s="21" t="s">
        <v>225</v>
      </c>
      <c r="C203" s="21" t="s">
        <v>715</v>
      </c>
      <c r="D203" s="165">
        <v>2000000</v>
      </c>
      <c r="E203" s="21" t="s">
        <v>217</v>
      </c>
      <c r="F203" s="21" t="s">
        <v>955</v>
      </c>
      <c r="G203" s="8" t="str">
        <f t="shared" si="3"/>
        <v>STAMBAUGH JAMES</v>
      </c>
    </row>
    <row r="204" spans="1:7" x14ac:dyDescent="0.25">
      <c r="A204" s="8">
        <v>42704.830266203702</v>
      </c>
      <c r="B204" s="21" t="s">
        <v>222</v>
      </c>
      <c r="C204" s="21" t="s">
        <v>716</v>
      </c>
      <c r="D204" s="165">
        <v>1300000</v>
      </c>
      <c r="E204" s="21" t="s">
        <v>113</v>
      </c>
      <c r="F204" s="21" t="s">
        <v>953</v>
      </c>
      <c r="G204" s="8" t="str">
        <f t="shared" si="3"/>
        <v>LEVIN SCOTT</v>
      </c>
    </row>
    <row r="205" spans="1:7" x14ac:dyDescent="0.25">
      <c r="A205" s="8">
        <v>42704.839328703703</v>
      </c>
      <c r="B205" s="21" t="s">
        <v>317</v>
      </c>
      <c r="C205" s="21" t="s">
        <v>717</v>
      </c>
      <c r="D205" s="165">
        <v>1230000</v>
      </c>
      <c r="E205" s="21" t="s">
        <v>336</v>
      </c>
      <c r="F205" s="21" t="s">
        <v>930</v>
      </c>
      <c r="G205" s="8" t="str">
        <f t="shared" si="3"/>
        <v>YANAI IAN</v>
      </c>
    </row>
    <row r="206" spans="1:7" x14ac:dyDescent="0.25">
      <c r="A206" s="8">
        <v>42704.842430555553</v>
      </c>
      <c r="B206" s="21" t="s">
        <v>259</v>
      </c>
      <c r="C206" s="21" t="s">
        <v>718</v>
      </c>
      <c r="D206" s="165">
        <v>2040000</v>
      </c>
      <c r="E206" s="21" t="s">
        <v>638</v>
      </c>
      <c r="F206" s="21" t="s">
        <v>949</v>
      </c>
      <c r="G206" s="8" t="str">
        <f t="shared" si="3"/>
        <v>MOSES BRADLEY</v>
      </c>
    </row>
    <row r="207" spans="1:7" x14ac:dyDescent="0.25">
      <c r="A207" s="8">
        <v>42704.850162037037</v>
      </c>
      <c r="B207" s="21" t="s">
        <v>317</v>
      </c>
      <c r="C207" s="21" t="s">
        <v>717</v>
      </c>
      <c r="D207" s="165">
        <v>1230000</v>
      </c>
      <c r="E207" s="21" t="s">
        <v>336</v>
      </c>
      <c r="F207" s="21" t="s">
        <v>930</v>
      </c>
      <c r="G207" s="8" t="str">
        <f t="shared" si="3"/>
        <v>YANAI IAN</v>
      </c>
    </row>
    <row r="208" spans="1:7" x14ac:dyDescent="0.25">
      <c r="A208" s="8">
        <v>42704.851643518516</v>
      </c>
      <c r="B208" s="21" t="s">
        <v>210</v>
      </c>
      <c r="C208" s="21" t="s">
        <v>719</v>
      </c>
      <c r="D208" s="165">
        <v>1290000</v>
      </c>
      <c r="E208" s="21" t="s">
        <v>320</v>
      </c>
      <c r="F208" s="21" t="s">
        <v>928</v>
      </c>
      <c r="G208" s="8" t="str">
        <f t="shared" si="3"/>
        <v>COOLAHAN JOHN</v>
      </c>
    </row>
    <row r="209" spans="1:7" x14ac:dyDescent="0.25">
      <c r="A209" s="8">
        <v>42704.860682870371</v>
      </c>
      <c r="B209" s="21" t="s">
        <v>260</v>
      </c>
      <c r="C209" s="21" t="s">
        <v>720</v>
      </c>
      <c r="D209" s="165">
        <v>2040000</v>
      </c>
      <c r="E209" s="21" t="s">
        <v>638</v>
      </c>
      <c r="F209" s="21" t="s">
        <v>949</v>
      </c>
      <c r="G209" s="8" t="str">
        <f t="shared" si="3"/>
        <v>MOSES BRADLEY</v>
      </c>
    </row>
    <row r="210" spans="1:7" x14ac:dyDescent="0.25">
      <c r="A210" s="8">
        <v>42704.862523148149</v>
      </c>
      <c r="B210" s="21" t="s">
        <v>224</v>
      </c>
      <c r="C210" s="21" t="s">
        <v>721</v>
      </c>
      <c r="D210" s="165">
        <v>2000000</v>
      </c>
      <c r="E210" s="21" t="s">
        <v>217</v>
      </c>
      <c r="F210" s="21" t="s">
        <v>955</v>
      </c>
      <c r="G210" s="8" t="str">
        <f t="shared" si="3"/>
        <v>STAMBAUGH JAMES</v>
      </c>
    </row>
    <row r="211" spans="1:7" x14ac:dyDescent="0.25">
      <c r="A211" s="8">
        <v>42704.868807870371</v>
      </c>
      <c r="B211" s="21" t="s">
        <v>479</v>
      </c>
      <c r="C211" s="21" t="s">
        <v>722</v>
      </c>
      <c r="D211" s="165">
        <v>1300000</v>
      </c>
      <c r="E211" s="21" t="s">
        <v>113</v>
      </c>
      <c r="F211" s="21" t="s">
        <v>953</v>
      </c>
      <c r="G211" s="8" t="str">
        <f t="shared" si="3"/>
        <v>LEVIN SCOTT</v>
      </c>
    </row>
    <row r="212" spans="1:7" x14ac:dyDescent="0.25">
      <c r="A212" s="8">
        <v>42704.878703703704</v>
      </c>
      <c r="B212" s="21" t="s">
        <v>220</v>
      </c>
      <c r="C212" s="21" t="s">
        <v>723</v>
      </c>
      <c r="D212" s="165">
        <v>1230000</v>
      </c>
      <c r="E212" s="21" t="s">
        <v>336</v>
      </c>
      <c r="F212" s="21" t="s">
        <v>930</v>
      </c>
      <c r="G212" s="8" t="str">
        <f t="shared" si="3"/>
        <v>YANAI IAN</v>
      </c>
    </row>
    <row r="213" spans="1:7" x14ac:dyDescent="0.25">
      <c r="A213" s="8">
        <v>42704.878750000003</v>
      </c>
      <c r="B213" s="21" t="s">
        <v>259</v>
      </c>
      <c r="C213" s="21" t="s">
        <v>724</v>
      </c>
      <c r="D213" s="165">
        <v>1180000</v>
      </c>
      <c r="E213" s="21" t="s">
        <v>319</v>
      </c>
      <c r="F213" s="21" t="s">
        <v>950</v>
      </c>
      <c r="G213" s="8" t="str">
        <f t="shared" si="3"/>
        <v>LEVERE CRAIG</v>
      </c>
    </row>
    <row r="214" spans="1:7" x14ac:dyDescent="0.25">
      <c r="A214" s="8">
        <v>42704.888611111113</v>
      </c>
      <c r="B214" s="21" t="s">
        <v>218</v>
      </c>
      <c r="C214" s="21" t="s">
        <v>725</v>
      </c>
      <c r="D214" s="165">
        <v>1290000</v>
      </c>
      <c r="E214" s="21" t="s">
        <v>320</v>
      </c>
      <c r="F214" s="21" t="s">
        <v>928</v>
      </c>
      <c r="G214" s="8" t="str">
        <f t="shared" si="3"/>
        <v>COOLAHAN JOHN</v>
      </c>
    </row>
    <row r="215" spans="1:7" x14ac:dyDescent="0.25">
      <c r="A215" s="8">
        <v>42704.901921296296</v>
      </c>
      <c r="B215" s="21" t="s">
        <v>260</v>
      </c>
      <c r="C215" s="21" t="s">
        <v>726</v>
      </c>
      <c r="D215" s="165">
        <v>1180000</v>
      </c>
      <c r="E215" s="21" t="s">
        <v>319</v>
      </c>
      <c r="F215" s="21" t="s">
        <v>950</v>
      </c>
      <c r="G215" s="8" t="str">
        <f t="shared" si="3"/>
        <v>LEVERE CRAIG</v>
      </c>
    </row>
    <row r="216" spans="1:7" x14ac:dyDescent="0.25">
      <c r="A216" s="8">
        <v>42704.910960648151</v>
      </c>
      <c r="B216" s="21" t="s">
        <v>222</v>
      </c>
      <c r="C216" s="21" t="s">
        <v>727</v>
      </c>
      <c r="D216" s="165">
        <v>1300000</v>
      </c>
      <c r="E216" s="21" t="s">
        <v>113</v>
      </c>
      <c r="F216" s="21" t="s">
        <v>953</v>
      </c>
      <c r="G216" s="8" t="str">
        <f t="shared" si="3"/>
        <v>LEVIN SCOTT</v>
      </c>
    </row>
    <row r="217" spans="1:7" x14ac:dyDescent="0.25">
      <c r="A217" s="8">
        <v>42704.911134259259</v>
      </c>
      <c r="B217" s="21" t="s">
        <v>225</v>
      </c>
      <c r="C217" s="21" t="s">
        <v>728</v>
      </c>
      <c r="D217" s="165">
        <v>2000000</v>
      </c>
      <c r="E217" s="21" t="s">
        <v>217</v>
      </c>
      <c r="F217" s="21" t="s">
        <v>955</v>
      </c>
      <c r="G217" s="8" t="str">
        <f t="shared" si="3"/>
        <v>STAMBAUGH JAMES</v>
      </c>
    </row>
    <row r="218" spans="1:7" x14ac:dyDescent="0.25">
      <c r="A218" s="8">
        <v>42704.923483796294</v>
      </c>
      <c r="B218" s="21" t="s">
        <v>317</v>
      </c>
      <c r="C218" s="21" t="s">
        <v>729</v>
      </c>
      <c r="D218" s="165">
        <v>1230000</v>
      </c>
      <c r="E218" s="21" t="s">
        <v>336</v>
      </c>
      <c r="F218" s="21" t="s">
        <v>930</v>
      </c>
      <c r="G218" s="8" t="str">
        <f t="shared" si="3"/>
        <v>YANAI IAN</v>
      </c>
    </row>
    <row r="219" spans="1:7" x14ac:dyDescent="0.25">
      <c r="A219" s="8">
        <v>42704.924907407411</v>
      </c>
      <c r="B219" s="21" t="s">
        <v>259</v>
      </c>
      <c r="C219" s="21" t="s">
        <v>730</v>
      </c>
      <c r="D219" s="165">
        <v>1180000</v>
      </c>
      <c r="E219" s="21" t="s">
        <v>319</v>
      </c>
      <c r="F219" s="21" t="s">
        <v>950</v>
      </c>
      <c r="G219" s="8" t="str">
        <f t="shared" si="3"/>
        <v>LEVERE CRAIG</v>
      </c>
    </row>
    <row r="220" spans="1:7" x14ac:dyDescent="0.25">
      <c r="A220" s="8">
        <v>42704.925752314812</v>
      </c>
      <c r="B220" s="21" t="s">
        <v>225</v>
      </c>
      <c r="C220" s="21" t="s">
        <v>728</v>
      </c>
      <c r="D220" s="165">
        <v>2000000</v>
      </c>
      <c r="E220" s="21" t="s">
        <v>217</v>
      </c>
      <c r="F220" s="21" t="s">
        <v>955</v>
      </c>
      <c r="G220" s="8" t="str">
        <f t="shared" si="3"/>
        <v>STAMBAUGH JAMES</v>
      </c>
    </row>
    <row r="221" spans="1:7" x14ac:dyDescent="0.25">
      <c r="A221" s="8">
        <v>42704.935636574075</v>
      </c>
      <c r="B221" s="21" t="s">
        <v>210</v>
      </c>
      <c r="C221" s="21" t="s">
        <v>731</v>
      </c>
      <c r="D221" s="165">
        <v>1290000</v>
      </c>
      <c r="E221" s="21" t="s">
        <v>320</v>
      </c>
      <c r="F221" s="21" t="s">
        <v>928</v>
      </c>
      <c r="G221" s="8" t="str">
        <f t="shared" si="3"/>
        <v>COOLAHAN JOHN</v>
      </c>
    </row>
    <row r="222" spans="1:7" x14ac:dyDescent="0.25">
      <c r="A222" s="8">
        <v>42704.943460648145</v>
      </c>
      <c r="B222" s="21" t="s">
        <v>260</v>
      </c>
      <c r="C222" s="21" t="s">
        <v>732</v>
      </c>
      <c r="D222" s="165">
        <v>1180000</v>
      </c>
      <c r="E222" s="21" t="s">
        <v>319</v>
      </c>
      <c r="F222" s="21" t="s">
        <v>950</v>
      </c>
      <c r="G222" s="8" t="str">
        <f t="shared" si="3"/>
        <v>LEVERE CRAIG</v>
      </c>
    </row>
    <row r="223" spans="1:7" x14ac:dyDescent="0.25">
      <c r="A223" s="8">
        <v>42704.95107638889</v>
      </c>
      <c r="B223" s="21" t="s">
        <v>479</v>
      </c>
      <c r="C223" s="21" t="s">
        <v>733</v>
      </c>
      <c r="D223" s="165">
        <v>1300000</v>
      </c>
      <c r="E223" s="21" t="s">
        <v>113</v>
      </c>
      <c r="F223" s="21" t="s">
        <v>953</v>
      </c>
      <c r="G223" s="8" t="str">
        <f t="shared" si="3"/>
        <v>LEVIN SCOTT</v>
      </c>
    </row>
    <row r="224" spans="1:7" x14ac:dyDescent="0.25">
      <c r="A224" s="8">
        <v>42704.951921296299</v>
      </c>
      <c r="B224" t="s">
        <v>224</v>
      </c>
      <c r="C224" t="s">
        <v>547</v>
      </c>
      <c r="D224" s="165">
        <v>2000000</v>
      </c>
      <c r="E224" t="s">
        <v>217</v>
      </c>
      <c r="F224" s="21" t="s">
        <v>955</v>
      </c>
      <c r="G224" s="8" t="str">
        <f t="shared" si="3"/>
        <v>STAMBAUGH JAMES</v>
      </c>
    </row>
    <row r="225" spans="1:7" x14ac:dyDescent="0.25">
      <c r="A225" s="8">
        <v>42704.962222222224</v>
      </c>
      <c r="B225" t="s">
        <v>220</v>
      </c>
      <c r="C225" t="s">
        <v>734</v>
      </c>
      <c r="D225" s="165">
        <v>1230000</v>
      </c>
      <c r="E225" t="s">
        <v>336</v>
      </c>
      <c r="F225" s="21" t="s">
        <v>930</v>
      </c>
      <c r="G225" s="8" t="str">
        <f t="shared" si="3"/>
        <v>YANAI IAN</v>
      </c>
    </row>
    <row r="226" spans="1:7" x14ac:dyDescent="0.25">
      <c r="A226" s="8">
        <v>42704.971782407411</v>
      </c>
      <c r="B226" t="s">
        <v>218</v>
      </c>
      <c r="C226" t="s">
        <v>735</v>
      </c>
      <c r="D226" s="165">
        <v>1290000</v>
      </c>
      <c r="E226" t="s">
        <v>320</v>
      </c>
      <c r="F226" s="21" t="s">
        <v>928</v>
      </c>
      <c r="G226" s="8" t="str">
        <f t="shared" si="3"/>
        <v>COOLAHAN JOHN</v>
      </c>
    </row>
    <row r="227" spans="1:7" x14ac:dyDescent="0.25">
      <c r="A227" s="8">
        <v>42704.994606481479</v>
      </c>
      <c r="B227" t="s">
        <v>225</v>
      </c>
      <c r="C227" t="s">
        <v>736</v>
      </c>
      <c r="D227" s="165">
        <v>2000000</v>
      </c>
      <c r="E227" t="s">
        <v>217</v>
      </c>
      <c r="F227" s="21" t="s">
        <v>955</v>
      </c>
      <c r="G227" s="8" t="str">
        <f t="shared" si="3"/>
        <v>STAMBAUGH JAMES</v>
      </c>
    </row>
    <row r="228" spans="1:7" x14ac:dyDescent="0.25">
      <c r="A228" s="8">
        <v>42704.995439814818</v>
      </c>
      <c r="B228" t="s">
        <v>222</v>
      </c>
      <c r="C228" t="s">
        <v>737</v>
      </c>
      <c r="D228" s="165">
        <v>1300000</v>
      </c>
      <c r="E228" t="s">
        <v>113</v>
      </c>
      <c r="F228" s="21" t="s">
        <v>953</v>
      </c>
      <c r="G228" s="8" t="str">
        <f t="shared" si="3"/>
        <v>LEVIN SCOTT</v>
      </c>
    </row>
    <row r="229" spans="1:7" x14ac:dyDescent="0.25">
      <c r="A229" s="8">
        <v>42705.006574074076</v>
      </c>
      <c r="B229" t="s">
        <v>317</v>
      </c>
      <c r="C229" t="s">
        <v>738</v>
      </c>
      <c r="D229" s="165">
        <v>1230000</v>
      </c>
      <c r="E229" t="s">
        <v>336</v>
      </c>
      <c r="F229" s="21" t="s">
        <v>930</v>
      </c>
      <c r="G229" s="8" t="str">
        <f t="shared" si="3"/>
        <v>YANAI IAN</v>
      </c>
    </row>
    <row r="230" spans="1:7" x14ac:dyDescent="0.25">
      <c r="A230" s="8">
        <v>42705.019386574073</v>
      </c>
      <c r="B230" t="s">
        <v>210</v>
      </c>
      <c r="C230" t="s">
        <v>739</v>
      </c>
      <c r="D230" s="165">
        <v>1290000</v>
      </c>
      <c r="E230" t="s">
        <v>320</v>
      </c>
      <c r="F230" s="21" t="s">
        <v>928</v>
      </c>
      <c r="G230" s="8" t="str">
        <f t="shared" si="3"/>
        <v>COOLAHAN JOHN</v>
      </c>
    </row>
    <row r="231" spans="1:7" x14ac:dyDescent="0.25">
      <c r="A231" s="8">
        <v>42705.02553240741</v>
      </c>
      <c r="B231" t="s">
        <v>224</v>
      </c>
      <c r="C231" t="s">
        <v>740</v>
      </c>
      <c r="D231" s="165">
        <v>2000000</v>
      </c>
      <c r="E231" t="s">
        <v>217</v>
      </c>
      <c r="F231" s="21" t="s">
        <v>955</v>
      </c>
      <c r="G231" s="8" t="str">
        <f t="shared" si="3"/>
        <v>STAMBAUGH JAMES</v>
      </c>
    </row>
    <row r="232" spans="1:7" x14ac:dyDescent="0.25">
      <c r="A232" s="8">
        <v>42705.026655092595</v>
      </c>
      <c r="B232" t="s">
        <v>224</v>
      </c>
      <c r="C232" t="s">
        <v>740</v>
      </c>
      <c r="D232" s="165">
        <v>2000000</v>
      </c>
      <c r="E232" t="s">
        <v>217</v>
      </c>
      <c r="F232" s="21" t="s">
        <v>955</v>
      </c>
      <c r="G232" s="8" t="str">
        <f t="shared" si="3"/>
        <v>STAMBAUGH JAMES</v>
      </c>
    </row>
    <row r="233" spans="1:7" x14ac:dyDescent="0.25">
      <c r="A233" s="8">
        <v>42705.033217592594</v>
      </c>
      <c r="B233" t="s">
        <v>479</v>
      </c>
      <c r="C233" t="s">
        <v>741</v>
      </c>
      <c r="D233" s="165">
        <v>1300000</v>
      </c>
      <c r="E233" t="s">
        <v>113</v>
      </c>
      <c r="F233" s="21" t="s">
        <v>953</v>
      </c>
      <c r="G233" s="8" t="str">
        <f t="shared" si="3"/>
        <v>LEVIN SCOTT</v>
      </c>
    </row>
    <row r="234" spans="1:7" x14ac:dyDescent="0.25">
      <c r="A234" s="8">
        <v>42705.044872685183</v>
      </c>
      <c r="B234" t="s">
        <v>220</v>
      </c>
      <c r="C234" t="s">
        <v>742</v>
      </c>
      <c r="D234" s="165">
        <v>1230000</v>
      </c>
      <c r="E234" t="s">
        <v>336</v>
      </c>
      <c r="F234" s="21" t="s">
        <v>930</v>
      </c>
      <c r="G234" s="8" t="str">
        <f t="shared" si="3"/>
        <v>YANAI IAN</v>
      </c>
    </row>
    <row r="235" spans="1:7" x14ac:dyDescent="0.25">
      <c r="A235" s="8">
        <v>42705.046481481484</v>
      </c>
      <c r="B235" t="s">
        <v>220</v>
      </c>
      <c r="C235" t="s">
        <v>742</v>
      </c>
      <c r="D235" s="165">
        <v>1230000</v>
      </c>
      <c r="E235" t="s">
        <v>336</v>
      </c>
      <c r="F235" s="21" t="s">
        <v>930</v>
      </c>
      <c r="G235" s="8" t="str">
        <f t="shared" si="3"/>
        <v>YANAI IAN</v>
      </c>
    </row>
    <row r="236" spans="1:7" x14ac:dyDescent="0.25">
      <c r="A236" s="8">
        <v>42705.055185185185</v>
      </c>
      <c r="B236" t="s">
        <v>218</v>
      </c>
      <c r="C236" t="s">
        <v>743</v>
      </c>
      <c r="D236" s="165">
        <v>1290000</v>
      </c>
      <c r="E236" t="s">
        <v>320</v>
      </c>
      <c r="F236" s="21" t="s">
        <v>928</v>
      </c>
      <c r="G236" s="8" t="str">
        <f t="shared" si="3"/>
        <v>COOLAHAN JOHN</v>
      </c>
    </row>
    <row r="237" spans="1:7" x14ac:dyDescent="0.25">
      <c r="A237" s="8">
        <v>42705.067499999997</v>
      </c>
      <c r="B237" t="s">
        <v>222</v>
      </c>
      <c r="C237" t="s">
        <v>744</v>
      </c>
      <c r="D237" s="165">
        <v>1300000</v>
      </c>
      <c r="E237" t="s">
        <v>113</v>
      </c>
      <c r="F237" s="21" t="s">
        <v>953</v>
      </c>
      <c r="G237" s="8" t="str">
        <f t="shared" si="3"/>
        <v>LEVIN SCOTT</v>
      </c>
    </row>
    <row r="238" spans="1:7" x14ac:dyDescent="0.25">
      <c r="G238" s="8" t="str">
        <f t="shared" si="3"/>
        <v xml:space="preserve"> </v>
      </c>
    </row>
    <row r="239" spans="1:7" x14ac:dyDescent="0.25">
      <c r="A239" s="8">
        <v>42699.951481481483</v>
      </c>
      <c r="B239" t="s">
        <v>237</v>
      </c>
      <c r="C239" t="s">
        <v>285</v>
      </c>
      <c r="D239" s="165">
        <v>1800000</v>
      </c>
      <c r="E239" t="s">
        <v>281</v>
      </c>
      <c r="F239" s="21" t="str">
        <f t="shared" ref="F239:F265" si="4">B239</f>
        <v>rtdc.l.rtdc.4013:itc</v>
      </c>
      <c r="G239" s="8" t="str">
        <f t="shared" si="3"/>
        <v>CHANDLER rtdc.l.rtdc.4013:itc</v>
      </c>
    </row>
    <row r="240" spans="1:7" x14ac:dyDescent="0.25">
      <c r="A240" s="8">
        <v>42699.9528125</v>
      </c>
      <c r="B240" t="s">
        <v>213</v>
      </c>
      <c r="C240" t="s">
        <v>286</v>
      </c>
      <c r="D240" s="165">
        <v>2600000</v>
      </c>
      <c r="E240" t="s">
        <v>261</v>
      </c>
      <c r="F240" s="21" t="str">
        <f t="shared" si="4"/>
        <v>rtdc.l.rtdc.4040:itc</v>
      </c>
      <c r="G240" s="8" t="str">
        <f t="shared" si="3"/>
        <v>DAVIDSON rtdc.l.rtdc.4040:itc</v>
      </c>
    </row>
    <row r="241" spans="1:7" x14ac:dyDescent="0.25">
      <c r="A241" s="8">
        <v>42699.954050925924</v>
      </c>
      <c r="B241" t="s">
        <v>154</v>
      </c>
      <c r="C241" t="s">
        <v>283</v>
      </c>
      <c r="D241" s="165">
        <v>2530000</v>
      </c>
      <c r="E241" t="s">
        <v>282</v>
      </c>
      <c r="F241" s="21" t="str">
        <f t="shared" si="4"/>
        <v>rtdc.l.rtdc.4051:itc</v>
      </c>
      <c r="G241" s="8" t="str">
        <f t="shared" si="3"/>
        <v>LALONDE rtdc.l.rtdc.4051:itc</v>
      </c>
    </row>
    <row r="242" spans="1:7" x14ac:dyDescent="0.25">
      <c r="A242" s="8">
        <v>42699.963761574072</v>
      </c>
      <c r="B242" t="s">
        <v>251</v>
      </c>
      <c r="C242" t="s">
        <v>287</v>
      </c>
      <c r="D242" s="165">
        <v>2630000</v>
      </c>
      <c r="E242" t="s">
        <v>262</v>
      </c>
      <c r="F242" s="21" t="str">
        <f t="shared" si="4"/>
        <v>rtdc.l.rtdc.4046:itc</v>
      </c>
      <c r="G242" s="8" t="str">
        <f t="shared" si="3"/>
        <v>SAFIEF rtdc.l.rtdc.4046:itc</v>
      </c>
    </row>
    <row r="243" spans="1:7" x14ac:dyDescent="0.25">
      <c r="A243" s="8">
        <v>42699.971608796295</v>
      </c>
      <c r="B243" t="s">
        <v>260</v>
      </c>
      <c r="C243" t="s">
        <v>288</v>
      </c>
      <c r="D243" s="165">
        <v>2000000</v>
      </c>
      <c r="E243" t="s">
        <v>217</v>
      </c>
      <c r="F243" s="21" t="str">
        <f t="shared" si="4"/>
        <v>rtdc.l.rtdc.4041:itc</v>
      </c>
      <c r="G243" s="8" t="str">
        <f t="shared" si="3"/>
        <v>STAMBAUGH rtdc.l.rtdc.4041:itc</v>
      </c>
    </row>
    <row r="244" spans="1:7" x14ac:dyDescent="0.25">
      <c r="A244" s="8">
        <v>42699.974247685182</v>
      </c>
      <c r="B244" t="s">
        <v>155</v>
      </c>
      <c r="C244" t="s">
        <v>284</v>
      </c>
      <c r="D244" s="165">
        <v>2530000</v>
      </c>
      <c r="E244" t="s">
        <v>282</v>
      </c>
      <c r="F244" s="21" t="str">
        <f t="shared" si="4"/>
        <v>rtdc.l.rtdc.4052:itc</v>
      </c>
      <c r="G244" s="8" t="str">
        <f t="shared" si="3"/>
        <v>LALONDE rtdc.l.rtdc.4052:itc</v>
      </c>
    </row>
    <row r="245" spans="1:7" x14ac:dyDescent="0.25">
      <c r="A245" s="8">
        <v>42699.978321759256</v>
      </c>
      <c r="B245" t="s">
        <v>251</v>
      </c>
      <c r="C245" t="s">
        <v>287</v>
      </c>
      <c r="D245" s="165">
        <v>2630000</v>
      </c>
      <c r="E245" t="s">
        <v>262</v>
      </c>
      <c r="F245" s="21" t="str">
        <f t="shared" si="4"/>
        <v>rtdc.l.rtdc.4046:itc</v>
      </c>
      <c r="G245" s="8" t="str">
        <f t="shared" si="3"/>
        <v>SAFIEF rtdc.l.rtdc.4046:itc</v>
      </c>
    </row>
    <row r="246" spans="1:7" x14ac:dyDescent="0.25">
      <c r="A246" s="8">
        <v>42699.992013888892</v>
      </c>
      <c r="B246" t="s">
        <v>236</v>
      </c>
      <c r="C246" t="s">
        <v>289</v>
      </c>
      <c r="D246" s="165">
        <v>1800000</v>
      </c>
      <c r="E246" t="s">
        <v>281</v>
      </c>
      <c r="F246" s="21" t="str">
        <f t="shared" si="4"/>
        <v>rtdc.l.rtdc.4014:itc</v>
      </c>
      <c r="G246" s="8" t="str">
        <f t="shared" si="3"/>
        <v>CHANDLER rtdc.l.rtdc.4014:itc</v>
      </c>
    </row>
    <row r="247" spans="1:7" x14ac:dyDescent="0.25">
      <c r="A247" s="8">
        <v>42699.99428240741</v>
      </c>
      <c r="B247" t="s">
        <v>215</v>
      </c>
      <c r="C247" t="s">
        <v>290</v>
      </c>
      <c r="D247" s="165">
        <v>2600000</v>
      </c>
      <c r="E247" t="s">
        <v>261</v>
      </c>
      <c r="F247" s="21" t="str">
        <f t="shared" si="4"/>
        <v>rtdc.l.rtdc.4039:itc</v>
      </c>
      <c r="G247" s="8" t="str">
        <f t="shared" si="3"/>
        <v>DAVIDSON rtdc.l.rtdc.4039:itc</v>
      </c>
    </row>
    <row r="248" spans="1:7" x14ac:dyDescent="0.25">
      <c r="A248" s="8">
        <v>42700.005150462966</v>
      </c>
      <c r="B248" t="s">
        <v>259</v>
      </c>
      <c r="C248" t="s">
        <v>291</v>
      </c>
      <c r="D248" s="165">
        <v>2000000</v>
      </c>
      <c r="E248" t="s">
        <v>217</v>
      </c>
      <c r="F248" s="21" t="str">
        <f t="shared" si="4"/>
        <v>rtdc.l.rtdc.4042:itc</v>
      </c>
      <c r="G248" s="8" t="str">
        <f t="shared" si="3"/>
        <v>STAMBAUGH rtdc.l.rtdc.4042:itc</v>
      </c>
    </row>
    <row r="249" spans="1:7" x14ac:dyDescent="0.25">
      <c r="A249" s="8">
        <v>42700.015486111108</v>
      </c>
      <c r="B249" t="s">
        <v>250</v>
      </c>
      <c r="C249" t="s">
        <v>292</v>
      </c>
      <c r="D249" s="165">
        <v>2630000</v>
      </c>
      <c r="E249" t="s">
        <v>262</v>
      </c>
      <c r="F249" s="21" t="str">
        <f t="shared" si="4"/>
        <v>rtdc.l.rtdc.4045:itc</v>
      </c>
      <c r="G249" s="8" t="str">
        <f t="shared" si="3"/>
        <v>SAFIEF rtdc.l.rtdc.4045:itc</v>
      </c>
    </row>
    <row r="250" spans="1:7" x14ac:dyDescent="0.25">
      <c r="A250" s="8">
        <v>42700.022650462961</v>
      </c>
      <c r="B250" t="s">
        <v>154</v>
      </c>
      <c r="C250" t="s">
        <v>283</v>
      </c>
      <c r="D250" s="165">
        <v>2530000</v>
      </c>
      <c r="E250" t="s">
        <v>282</v>
      </c>
      <c r="F250" s="21" t="str">
        <f t="shared" si="4"/>
        <v>rtdc.l.rtdc.4051:itc</v>
      </c>
      <c r="G250" s="8" t="str">
        <f t="shared" si="3"/>
        <v>LALONDE rtdc.l.rtdc.4051:itc</v>
      </c>
    </row>
    <row r="251" spans="1:7" x14ac:dyDescent="0.25">
      <c r="A251" s="8">
        <v>42700.032500000001</v>
      </c>
      <c r="B251" t="s">
        <v>237</v>
      </c>
      <c r="C251" t="s">
        <v>280</v>
      </c>
      <c r="D251" s="165">
        <v>1800000</v>
      </c>
      <c r="E251" t="s">
        <v>281</v>
      </c>
      <c r="F251" s="21" t="str">
        <f t="shared" si="4"/>
        <v>rtdc.l.rtdc.4013:itc</v>
      </c>
      <c r="G251" s="8" t="str">
        <f t="shared" si="3"/>
        <v>CHANDLER rtdc.l.rtdc.4013:itc</v>
      </c>
    </row>
    <row r="252" spans="1:7" x14ac:dyDescent="0.25">
      <c r="A252" s="8">
        <v>42700.037488425929</v>
      </c>
      <c r="B252" t="s">
        <v>213</v>
      </c>
      <c r="C252" t="s">
        <v>293</v>
      </c>
      <c r="D252" s="165">
        <v>2600000</v>
      </c>
      <c r="E252" t="s">
        <v>261</v>
      </c>
      <c r="F252" s="21" t="str">
        <f t="shared" si="4"/>
        <v>rtdc.l.rtdc.4040:itc</v>
      </c>
      <c r="G252" s="8" t="str">
        <f t="shared" si="3"/>
        <v>DAVIDSON rtdc.l.rtdc.4040:itc</v>
      </c>
    </row>
    <row r="253" spans="1:7" x14ac:dyDescent="0.25">
      <c r="A253" s="8">
        <v>42700.045208333337</v>
      </c>
      <c r="B253" t="s">
        <v>155</v>
      </c>
      <c r="C253" t="s">
        <v>284</v>
      </c>
      <c r="D253" s="165">
        <v>2530000</v>
      </c>
      <c r="E253" t="s">
        <v>282</v>
      </c>
      <c r="F253" s="21" t="str">
        <f t="shared" si="4"/>
        <v>rtdc.l.rtdc.4052:itc</v>
      </c>
      <c r="G253" s="8" t="str">
        <f t="shared" si="3"/>
        <v>LALONDE rtdc.l.rtdc.4052:itc</v>
      </c>
    </row>
    <row r="254" spans="1:7" x14ac:dyDescent="0.25">
      <c r="A254" s="8">
        <v>42700.045347222222</v>
      </c>
      <c r="B254" t="s">
        <v>251</v>
      </c>
      <c r="C254" t="s">
        <v>294</v>
      </c>
      <c r="D254" s="165">
        <v>2630000</v>
      </c>
      <c r="E254" t="s">
        <v>262</v>
      </c>
      <c r="F254" s="21" t="str">
        <f t="shared" si="4"/>
        <v>rtdc.l.rtdc.4046:itc</v>
      </c>
      <c r="G254" s="8" t="str">
        <f t="shared" si="3"/>
        <v>SAFIEF rtdc.l.rtdc.4046:itc</v>
      </c>
    </row>
    <row r="255" spans="1:7" x14ac:dyDescent="0.25">
      <c r="A255" s="8">
        <v>42700.053495370368</v>
      </c>
      <c r="B255" t="s">
        <v>260</v>
      </c>
      <c r="C255" t="s">
        <v>295</v>
      </c>
      <c r="D255" s="165">
        <v>2000000</v>
      </c>
      <c r="E255" t="s">
        <v>217</v>
      </c>
      <c r="F255" s="21" t="str">
        <f t="shared" si="4"/>
        <v>rtdc.l.rtdc.4041:itc</v>
      </c>
      <c r="G255" s="8" t="str">
        <f t="shared" si="3"/>
        <v>STAMBAUGH rtdc.l.rtdc.4041:itc</v>
      </c>
    </row>
    <row r="256" spans="1:7" x14ac:dyDescent="0.25">
      <c r="A256" s="8">
        <v>42700.064895833333</v>
      </c>
      <c r="B256" t="s">
        <v>154</v>
      </c>
      <c r="C256" t="s">
        <v>283</v>
      </c>
      <c r="D256" s="165">
        <v>2530000</v>
      </c>
      <c r="E256" t="s">
        <v>282</v>
      </c>
      <c r="F256" s="21" t="str">
        <f t="shared" si="4"/>
        <v>rtdc.l.rtdc.4051:itc</v>
      </c>
      <c r="G256" s="8" t="str">
        <f t="shared" si="3"/>
        <v>LALONDE rtdc.l.rtdc.4051:itc</v>
      </c>
    </row>
    <row r="257" spans="1:7" x14ac:dyDescent="0.25">
      <c r="A257" s="8">
        <v>42700.072881944441</v>
      </c>
      <c r="B257" t="s">
        <v>236</v>
      </c>
      <c r="C257" t="s">
        <v>296</v>
      </c>
      <c r="D257" s="165">
        <v>1800000</v>
      </c>
      <c r="E257" t="s">
        <v>281</v>
      </c>
      <c r="F257" s="21" t="str">
        <f t="shared" si="4"/>
        <v>rtdc.l.rtdc.4014:itc</v>
      </c>
      <c r="G257" s="8" t="str">
        <f t="shared" si="3"/>
        <v>CHANDLER rtdc.l.rtdc.4014:itc</v>
      </c>
    </row>
    <row r="258" spans="1:7" x14ac:dyDescent="0.25">
      <c r="A258" s="8">
        <v>42700.07576388889</v>
      </c>
      <c r="B258" t="s">
        <v>215</v>
      </c>
      <c r="C258" t="s">
        <v>297</v>
      </c>
      <c r="D258" s="165">
        <v>2600000</v>
      </c>
      <c r="E258" t="s">
        <v>261</v>
      </c>
      <c r="F258" s="21" t="str">
        <f t="shared" si="4"/>
        <v>rtdc.l.rtdc.4039:itc</v>
      </c>
      <c r="G258" s="8" t="str">
        <f t="shared" si="3"/>
        <v>DAVIDSON rtdc.l.rtdc.4039:itc</v>
      </c>
    </row>
    <row r="259" spans="1:7" x14ac:dyDescent="0.25">
      <c r="A259" s="8">
        <v>42700.083275462966</v>
      </c>
      <c r="B259" t="s">
        <v>155</v>
      </c>
      <c r="C259" t="s">
        <v>284</v>
      </c>
      <c r="D259" s="165">
        <v>2530000</v>
      </c>
      <c r="E259" t="s">
        <v>282</v>
      </c>
      <c r="F259" s="21" t="str">
        <f t="shared" si="4"/>
        <v>rtdc.l.rtdc.4052:itc</v>
      </c>
      <c r="G259" s="8" t="str">
        <f t="shared" ref="G259:G322" si="5">E259&amp;" "&amp;F259</f>
        <v>LALONDE rtdc.l.rtdc.4052:itc</v>
      </c>
    </row>
    <row r="260" spans="1:7" x14ac:dyDescent="0.25">
      <c r="A260" s="8">
        <v>42700.08734953704</v>
      </c>
      <c r="B260" t="s">
        <v>259</v>
      </c>
      <c r="C260" t="s">
        <v>298</v>
      </c>
      <c r="D260" s="165">
        <v>2000000</v>
      </c>
      <c r="E260" t="s">
        <v>217</v>
      </c>
      <c r="F260" s="21" t="str">
        <f t="shared" si="4"/>
        <v>rtdc.l.rtdc.4042:itc</v>
      </c>
      <c r="G260" s="8" t="str">
        <f t="shared" si="5"/>
        <v>STAMBAUGH rtdc.l.rtdc.4042:itc</v>
      </c>
    </row>
    <row r="261" spans="1:7" x14ac:dyDescent="0.25">
      <c r="A261" s="8">
        <v>42700.106736111113</v>
      </c>
      <c r="B261" t="s">
        <v>154</v>
      </c>
      <c r="C261" t="s">
        <v>283</v>
      </c>
      <c r="D261" s="165">
        <v>2530000</v>
      </c>
      <c r="E261" t="s">
        <v>282</v>
      </c>
      <c r="F261" s="21" t="str">
        <f t="shared" si="4"/>
        <v>rtdc.l.rtdc.4051:itc</v>
      </c>
      <c r="G261" s="8" t="str">
        <f t="shared" si="5"/>
        <v>LALONDE rtdc.l.rtdc.4051:itc</v>
      </c>
    </row>
    <row r="262" spans="1:7" x14ac:dyDescent="0.25">
      <c r="A262" s="8">
        <v>42700.111076388886</v>
      </c>
      <c r="B262" t="s">
        <v>213</v>
      </c>
      <c r="C262" t="s">
        <v>299</v>
      </c>
      <c r="D262" s="165">
        <v>2600000</v>
      </c>
      <c r="E262" t="s">
        <v>261</v>
      </c>
      <c r="F262" s="21" t="str">
        <f t="shared" si="4"/>
        <v>rtdc.l.rtdc.4040:itc</v>
      </c>
      <c r="G262" s="8" t="str">
        <f t="shared" si="5"/>
        <v>DAVIDSON rtdc.l.rtdc.4040:itc</v>
      </c>
    </row>
    <row r="263" spans="1:7" x14ac:dyDescent="0.25">
      <c r="A263" s="8">
        <v>42685.016226851854</v>
      </c>
      <c r="B263" t="s">
        <v>210</v>
      </c>
      <c r="C263" t="s">
        <v>226</v>
      </c>
      <c r="D263" s="165">
        <v>2000000</v>
      </c>
      <c r="E263" t="s">
        <v>217</v>
      </c>
      <c r="F263" s="21" t="str">
        <f t="shared" si="4"/>
        <v>rtdc.l.rtdc.4011:itc</v>
      </c>
      <c r="G263" s="8" t="str">
        <f t="shared" si="5"/>
        <v>STAMBAUGH rtdc.l.rtdc.4011:itc</v>
      </c>
    </row>
    <row r="264" spans="1:7" x14ac:dyDescent="0.25">
      <c r="A264" s="8">
        <v>42685.029282407406</v>
      </c>
      <c r="B264" t="s">
        <v>222</v>
      </c>
      <c r="C264" t="s">
        <v>227</v>
      </c>
      <c r="D264" s="165">
        <v>2550000</v>
      </c>
      <c r="E264" t="s">
        <v>221</v>
      </c>
      <c r="F264" s="21" t="str">
        <f t="shared" si="4"/>
        <v>rtdc.l.rtdc.4022:itc</v>
      </c>
      <c r="G264" s="8" t="str">
        <f t="shared" si="5"/>
        <v>BADERTSCHER rtdc.l.rtdc.4022:itc</v>
      </c>
    </row>
    <row r="265" spans="1:7" x14ac:dyDescent="0.25">
      <c r="A265" s="8">
        <v>42685.039282407408</v>
      </c>
      <c r="B265" t="s">
        <v>225</v>
      </c>
      <c r="C265" t="s">
        <v>228</v>
      </c>
      <c r="D265" s="165">
        <v>1300000</v>
      </c>
      <c r="E265" t="s">
        <v>113</v>
      </c>
      <c r="F265" s="21" t="str">
        <f t="shared" si="4"/>
        <v>rtdc.l.rtdc.4037:itc</v>
      </c>
      <c r="G265" s="8" t="str">
        <f t="shared" si="5"/>
        <v>LEVIN rtdc.l.rtdc.4037:itc</v>
      </c>
    </row>
    <row r="266" spans="1:7" x14ac:dyDescent="0.25">
      <c r="A266" s="8">
        <v>42685.049375000002</v>
      </c>
      <c r="B266" t="s">
        <v>220</v>
      </c>
      <c r="C266" t="s">
        <v>229</v>
      </c>
      <c r="D266" s="165">
        <v>2420000</v>
      </c>
      <c r="E266" t="s">
        <v>223</v>
      </c>
      <c r="F266" s="21" t="str">
        <f t="shared" ref="F266:F281" si="6">B266</f>
        <v>rtdc.l.rtdc.4002:itc</v>
      </c>
      <c r="G266" s="8" t="str">
        <f t="shared" si="5"/>
        <v>HOLCOMB rtdc.l.rtdc.4002:itc</v>
      </c>
    </row>
    <row r="267" spans="1:7" x14ac:dyDescent="0.25">
      <c r="A267" s="8">
        <v>42685.056481481479</v>
      </c>
      <c r="B267" t="s">
        <v>218</v>
      </c>
      <c r="C267" t="s">
        <v>230</v>
      </c>
      <c r="D267" s="165">
        <v>2000000</v>
      </c>
      <c r="E267" t="s">
        <v>217</v>
      </c>
      <c r="F267" s="21" t="str">
        <f t="shared" si="6"/>
        <v>rtdc.l.rtdc.4012:itc</v>
      </c>
      <c r="G267" s="8" t="str">
        <f t="shared" si="5"/>
        <v>STAMBAUGH rtdc.l.rtdc.4012:itc</v>
      </c>
    </row>
    <row r="268" spans="1:7" x14ac:dyDescent="0.25">
      <c r="A268" s="8">
        <v>42685.071712962963</v>
      </c>
      <c r="B268" t="s">
        <v>224</v>
      </c>
      <c r="C268" t="s">
        <v>231</v>
      </c>
      <c r="D268" s="165">
        <v>1300000</v>
      </c>
      <c r="E268" t="s">
        <v>113</v>
      </c>
      <c r="F268" s="21" t="str">
        <f t="shared" si="6"/>
        <v>rtdc.l.rtdc.4038:itc</v>
      </c>
      <c r="G268" s="8" t="str">
        <f t="shared" si="5"/>
        <v>LEVIN rtdc.l.rtdc.4038:itc</v>
      </c>
    </row>
    <row r="269" spans="1:7" x14ac:dyDescent="0.25">
      <c r="A269" s="8">
        <v>42650.082824074074</v>
      </c>
      <c r="B269" t="s">
        <v>154</v>
      </c>
      <c r="C269" t="s">
        <v>185</v>
      </c>
      <c r="D269" s="165">
        <v>630000</v>
      </c>
      <c r="E269" t="b">
        <v>1</v>
      </c>
      <c r="F269" s="21" t="str">
        <f t="shared" si="6"/>
        <v>rtdc.l.rtdc.4051:itc</v>
      </c>
      <c r="G269" s="8" t="str">
        <f t="shared" si="5"/>
        <v>TRUE rtdc.l.rtdc.4051:itc</v>
      </c>
    </row>
    <row r="270" spans="1:7" x14ac:dyDescent="0.25">
      <c r="A270" s="8">
        <v>42650.090624999997</v>
      </c>
      <c r="B270" t="s">
        <v>183</v>
      </c>
      <c r="C270" t="s">
        <v>186</v>
      </c>
      <c r="D270" s="165">
        <v>1480000</v>
      </c>
      <c r="E270" t="s">
        <v>181</v>
      </c>
      <c r="F270" s="21" t="str">
        <f t="shared" si="6"/>
        <v>rtdc.l.rtdc.4009:itc</v>
      </c>
      <c r="G270" s="8" t="str">
        <f t="shared" si="5"/>
        <v>STURGEON rtdc.l.rtdc.4009:itc</v>
      </c>
    </row>
    <row r="271" spans="1:7" x14ac:dyDescent="0.25">
      <c r="A271" s="8">
        <v>42650.101805555554</v>
      </c>
      <c r="B271" t="s">
        <v>155</v>
      </c>
      <c r="C271" t="s">
        <v>185</v>
      </c>
      <c r="D271" s="165">
        <v>630000</v>
      </c>
      <c r="E271" t="b">
        <v>1</v>
      </c>
      <c r="F271" s="21" t="str">
        <f t="shared" si="6"/>
        <v>rtdc.l.rtdc.4052:itc</v>
      </c>
      <c r="G271" s="8" t="str">
        <f t="shared" si="5"/>
        <v>TRUE rtdc.l.rtdc.4052:itc</v>
      </c>
    </row>
    <row r="272" spans="1:7" x14ac:dyDescent="0.25">
      <c r="A272" s="8">
        <v>42650.102453703701</v>
      </c>
      <c r="B272" t="s">
        <v>155</v>
      </c>
      <c r="C272" t="s">
        <v>185</v>
      </c>
      <c r="D272" s="165">
        <v>630000</v>
      </c>
      <c r="E272" t="b">
        <v>1</v>
      </c>
      <c r="F272" s="21" t="str">
        <f t="shared" si="6"/>
        <v>rtdc.l.rtdc.4052:itc</v>
      </c>
      <c r="G272" s="8" t="str">
        <f t="shared" si="5"/>
        <v>TRUE rtdc.l.rtdc.4052:itc</v>
      </c>
    </row>
    <row r="273" spans="1:7" x14ac:dyDescent="0.25">
      <c r="A273" s="8">
        <v>42650.103645833333</v>
      </c>
      <c r="B273" t="s">
        <v>155</v>
      </c>
      <c r="C273" t="s">
        <v>185</v>
      </c>
      <c r="D273" s="165">
        <v>630000</v>
      </c>
      <c r="E273" t="b">
        <v>1</v>
      </c>
      <c r="F273" s="21" t="str">
        <f t="shared" si="6"/>
        <v>rtdc.l.rtdc.4052:itc</v>
      </c>
      <c r="G273" s="8" t="str">
        <f t="shared" si="5"/>
        <v>TRUE rtdc.l.rtdc.4052:itc</v>
      </c>
    </row>
    <row r="274" spans="1:7" x14ac:dyDescent="0.25">
      <c r="F274" s="21">
        <f t="shared" si="6"/>
        <v>0</v>
      </c>
      <c r="G274" s="8" t="str">
        <f t="shared" si="5"/>
        <v xml:space="preserve"> 0</v>
      </c>
    </row>
    <row r="275" spans="1:7" x14ac:dyDescent="0.25">
      <c r="F275" s="21">
        <f t="shared" si="6"/>
        <v>0</v>
      </c>
      <c r="G275" s="8" t="str">
        <f t="shared" si="5"/>
        <v xml:space="preserve"> 0</v>
      </c>
    </row>
    <row r="276" spans="1:7" x14ac:dyDescent="0.25">
      <c r="F276" s="21">
        <f t="shared" si="6"/>
        <v>0</v>
      </c>
      <c r="G276" s="8" t="str">
        <f t="shared" si="5"/>
        <v xml:space="preserve"> 0</v>
      </c>
    </row>
    <row r="277" spans="1:7" x14ac:dyDescent="0.25">
      <c r="F277" s="21">
        <f t="shared" si="6"/>
        <v>0</v>
      </c>
      <c r="G277" s="8" t="str">
        <f t="shared" si="5"/>
        <v xml:space="preserve"> 0</v>
      </c>
    </row>
    <row r="278" spans="1:7" x14ac:dyDescent="0.25">
      <c r="F278" s="21">
        <f t="shared" si="6"/>
        <v>0</v>
      </c>
      <c r="G278" s="8" t="str">
        <f t="shared" si="5"/>
        <v xml:space="preserve"> 0</v>
      </c>
    </row>
    <row r="279" spans="1:7" x14ac:dyDescent="0.25">
      <c r="F279" s="21">
        <f t="shared" si="6"/>
        <v>0</v>
      </c>
      <c r="G279" s="8" t="str">
        <f t="shared" si="5"/>
        <v xml:space="preserve"> 0</v>
      </c>
    </row>
    <row r="280" spans="1:7" x14ac:dyDescent="0.25">
      <c r="F280" s="21">
        <f t="shared" si="6"/>
        <v>0</v>
      </c>
      <c r="G280" s="8" t="str">
        <f t="shared" si="5"/>
        <v xml:space="preserve"> 0</v>
      </c>
    </row>
    <row r="281" spans="1:7" x14ac:dyDescent="0.25">
      <c r="F281" s="21">
        <f t="shared" si="6"/>
        <v>0</v>
      </c>
      <c r="G281" s="8" t="str">
        <f t="shared" si="5"/>
        <v xml:space="preserve"> 0</v>
      </c>
    </row>
    <row r="282" spans="1:7" x14ac:dyDescent="0.25">
      <c r="F282" s="21">
        <f t="shared" ref="F282:F345" si="7">B282</f>
        <v>0</v>
      </c>
      <c r="G282" s="8" t="str">
        <f t="shared" si="5"/>
        <v xml:space="preserve"> 0</v>
      </c>
    </row>
    <row r="283" spans="1:7" x14ac:dyDescent="0.25">
      <c r="F283" s="21">
        <f t="shared" si="7"/>
        <v>0</v>
      </c>
      <c r="G283" s="8" t="str">
        <f t="shared" si="5"/>
        <v xml:space="preserve"> 0</v>
      </c>
    </row>
    <row r="284" spans="1:7" x14ac:dyDescent="0.25">
      <c r="F284" s="21">
        <f t="shared" si="7"/>
        <v>0</v>
      </c>
      <c r="G284" s="8" t="str">
        <f t="shared" si="5"/>
        <v xml:space="preserve"> 0</v>
      </c>
    </row>
    <row r="285" spans="1:7" x14ac:dyDescent="0.25">
      <c r="F285" s="21">
        <f t="shared" si="7"/>
        <v>0</v>
      </c>
      <c r="G285" s="8" t="str">
        <f t="shared" si="5"/>
        <v xml:space="preserve"> 0</v>
      </c>
    </row>
    <row r="286" spans="1:7" x14ac:dyDescent="0.25">
      <c r="F286" s="21">
        <f t="shared" si="7"/>
        <v>0</v>
      </c>
      <c r="G286" s="8" t="str">
        <f t="shared" si="5"/>
        <v xml:space="preserve"> 0</v>
      </c>
    </row>
    <row r="287" spans="1:7" x14ac:dyDescent="0.25">
      <c r="F287" s="21">
        <f t="shared" si="7"/>
        <v>0</v>
      </c>
      <c r="G287" s="8" t="str">
        <f t="shared" si="5"/>
        <v xml:space="preserve"> 0</v>
      </c>
    </row>
    <row r="288" spans="1:7" x14ac:dyDescent="0.25">
      <c r="F288" s="21">
        <f t="shared" si="7"/>
        <v>0</v>
      </c>
      <c r="G288" s="8" t="str">
        <f t="shared" si="5"/>
        <v xml:space="preserve"> 0</v>
      </c>
    </row>
    <row r="289" spans="6:7" x14ac:dyDescent="0.25">
      <c r="F289" s="21">
        <f t="shared" si="7"/>
        <v>0</v>
      </c>
      <c r="G289" s="8" t="str">
        <f t="shared" si="5"/>
        <v xml:space="preserve"> 0</v>
      </c>
    </row>
    <row r="290" spans="6:7" x14ac:dyDescent="0.25">
      <c r="F290" s="21">
        <f t="shared" si="7"/>
        <v>0</v>
      </c>
      <c r="G290" s="8" t="str">
        <f t="shared" si="5"/>
        <v xml:space="preserve"> 0</v>
      </c>
    </row>
    <row r="291" spans="6:7" x14ac:dyDescent="0.25">
      <c r="F291" s="21">
        <f t="shared" si="7"/>
        <v>0</v>
      </c>
      <c r="G291" s="8" t="str">
        <f t="shared" si="5"/>
        <v xml:space="preserve"> 0</v>
      </c>
    </row>
    <row r="292" spans="6:7" x14ac:dyDescent="0.25">
      <c r="F292" s="21">
        <f t="shared" si="7"/>
        <v>0</v>
      </c>
      <c r="G292" s="8" t="str">
        <f t="shared" si="5"/>
        <v xml:space="preserve"> 0</v>
      </c>
    </row>
    <row r="293" spans="6:7" x14ac:dyDescent="0.25">
      <c r="F293" s="21">
        <f t="shared" si="7"/>
        <v>0</v>
      </c>
      <c r="G293" s="8" t="str">
        <f t="shared" si="5"/>
        <v xml:space="preserve"> 0</v>
      </c>
    </row>
    <row r="294" spans="6:7" x14ac:dyDescent="0.25">
      <c r="F294" s="21">
        <f t="shared" si="7"/>
        <v>0</v>
      </c>
      <c r="G294" s="8" t="str">
        <f t="shared" si="5"/>
        <v xml:space="preserve"> 0</v>
      </c>
    </row>
    <row r="295" spans="6:7" x14ac:dyDescent="0.25">
      <c r="F295" s="21">
        <f t="shared" si="7"/>
        <v>0</v>
      </c>
      <c r="G295" s="8" t="str">
        <f t="shared" si="5"/>
        <v xml:space="preserve"> 0</v>
      </c>
    </row>
    <row r="296" spans="6:7" x14ac:dyDescent="0.25">
      <c r="F296" s="21">
        <f t="shared" si="7"/>
        <v>0</v>
      </c>
      <c r="G296" s="8" t="str">
        <f t="shared" si="5"/>
        <v xml:space="preserve"> 0</v>
      </c>
    </row>
    <row r="297" spans="6:7" x14ac:dyDescent="0.25">
      <c r="F297" s="21">
        <f t="shared" si="7"/>
        <v>0</v>
      </c>
      <c r="G297" s="8" t="str">
        <f t="shared" si="5"/>
        <v xml:space="preserve"> 0</v>
      </c>
    </row>
    <row r="298" spans="6:7" x14ac:dyDescent="0.25">
      <c r="F298" s="21">
        <f t="shared" si="7"/>
        <v>0</v>
      </c>
      <c r="G298" s="8" t="str">
        <f t="shared" si="5"/>
        <v xml:space="preserve"> 0</v>
      </c>
    </row>
    <row r="299" spans="6:7" x14ac:dyDescent="0.25">
      <c r="F299" s="21">
        <f t="shared" si="7"/>
        <v>0</v>
      </c>
      <c r="G299" s="8" t="str">
        <f t="shared" si="5"/>
        <v xml:space="preserve"> 0</v>
      </c>
    </row>
    <row r="300" spans="6:7" x14ac:dyDescent="0.25">
      <c r="F300" s="21">
        <f t="shared" si="7"/>
        <v>0</v>
      </c>
      <c r="G300" s="8" t="str">
        <f t="shared" si="5"/>
        <v xml:space="preserve"> 0</v>
      </c>
    </row>
    <row r="301" spans="6:7" x14ac:dyDescent="0.25">
      <c r="F301" s="21">
        <f t="shared" si="7"/>
        <v>0</v>
      </c>
      <c r="G301" s="8" t="str">
        <f t="shared" si="5"/>
        <v xml:space="preserve"> 0</v>
      </c>
    </row>
    <row r="302" spans="6:7" x14ac:dyDescent="0.25">
      <c r="F302" s="21">
        <f t="shared" si="7"/>
        <v>0</v>
      </c>
      <c r="G302" s="8" t="str">
        <f t="shared" si="5"/>
        <v xml:space="preserve"> 0</v>
      </c>
    </row>
    <row r="303" spans="6:7" x14ac:dyDescent="0.25">
      <c r="F303" s="21">
        <f t="shared" si="7"/>
        <v>0</v>
      </c>
      <c r="G303" s="8" t="str">
        <f t="shared" si="5"/>
        <v xml:space="preserve"> 0</v>
      </c>
    </row>
    <row r="304" spans="6:7" x14ac:dyDescent="0.25">
      <c r="F304" s="21">
        <f t="shared" si="7"/>
        <v>0</v>
      </c>
      <c r="G304" s="8" t="str">
        <f t="shared" si="5"/>
        <v xml:space="preserve"> 0</v>
      </c>
    </row>
    <row r="305" spans="6:7" x14ac:dyDescent="0.25">
      <c r="F305" s="21">
        <f t="shared" si="7"/>
        <v>0</v>
      </c>
      <c r="G305" s="8" t="str">
        <f t="shared" si="5"/>
        <v xml:space="preserve"> 0</v>
      </c>
    </row>
    <row r="306" spans="6:7" x14ac:dyDescent="0.25">
      <c r="F306" s="21">
        <f t="shared" si="7"/>
        <v>0</v>
      </c>
      <c r="G306" s="8" t="str">
        <f t="shared" si="5"/>
        <v xml:space="preserve"> 0</v>
      </c>
    </row>
    <row r="307" spans="6:7" x14ac:dyDescent="0.25">
      <c r="F307" s="21">
        <f t="shared" si="7"/>
        <v>0</v>
      </c>
      <c r="G307" s="8" t="str">
        <f t="shared" si="5"/>
        <v xml:space="preserve"> 0</v>
      </c>
    </row>
    <row r="308" spans="6:7" x14ac:dyDescent="0.25">
      <c r="F308" s="21">
        <f t="shared" si="7"/>
        <v>0</v>
      </c>
      <c r="G308" s="8" t="str">
        <f t="shared" si="5"/>
        <v xml:space="preserve"> 0</v>
      </c>
    </row>
    <row r="309" spans="6:7" x14ac:dyDescent="0.25">
      <c r="F309" s="21">
        <f t="shared" si="7"/>
        <v>0</v>
      </c>
      <c r="G309" s="8" t="str">
        <f t="shared" si="5"/>
        <v xml:space="preserve"> 0</v>
      </c>
    </row>
    <row r="310" spans="6:7" x14ac:dyDescent="0.25">
      <c r="F310" s="21">
        <f t="shared" si="7"/>
        <v>0</v>
      </c>
      <c r="G310" s="8" t="str">
        <f t="shared" si="5"/>
        <v xml:space="preserve"> 0</v>
      </c>
    </row>
    <row r="311" spans="6:7" x14ac:dyDescent="0.25">
      <c r="F311" s="21">
        <f t="shared" si="7"/>
        <v>0</v>
      </c>
      <c r="G311" s="8" t="str">
        <f t="shared" si="5"/>
        <v xml:space="preserve"> 0</v>
      </c>
    </row>
    <row r="312" spans="6:7" x14ac:dyDescent="0.25">
      <c r="F312" s="21">
        <f t="shared" si="7"/>
        <v>0</v>
      </c>
      <c r="G312" s="8" t="str">
        <f t="shared" si="5"/>
        <v xml:space="preserve"> 0</v>
      </c>
    </row>
    <row r="313" spans="6:7" x14ac:dyDescent="0.25">
      <c r="F313" s="21">
        <f t="shared" si="7"/>
        <v>0</v>
      </c>
      <c r="G313" s="8" t="str">
        <f t="shared" si="5"/>
        <v xml:space="preserve"> 0</v>
      </c>
    </row>
    <row r="314" spans="6:7" x14ac:dyDescent="0.25">
      <c r="F314" s="21">
        <f t="shared" si="7"/>
        <v>0</v>
      </c>
      <c r="G314" s="8" t="str">
        <f t="shared" si="5"/>
        <v xml:space="preserve"> 0</v>
      </c>
    </row>
    <row r="315" spans="6:7" x14ac:dyDescent="0.25">
      <c r="F315" s="21">
        <f t="shared" si="7"/>
        <v>0</v>
      </c>
      <c r="G315" s="8" t="str">
        <f t="shared" si="5"/>
        <v xml:space="preserve"> 0</v>
      </c>
    </row>
    <row r="316" spans="6:7" x14ac:dyDescent="0.25">
      <c r="F316" s="21">
        <f t="shared" si="7"/>
        <v>0</v>
      </c>
      <c r="G316" s="8" t="str">
        <f t="shared" si="5"/>
        <v xml:space="preserve"> 0</v>
      </c>
    </row>
    <row r="317" spans="6:7" x14ac:dyDescent="0.25">
      <c r="F317" s="21">
        <f t="shared" si="7"/>
        <v>0</v>
      </c>
      <c r="G317" s="8" t="str">
        <f t="shared" si="5"/>
        <v xml:space="preserve"> 0</v>
      </c>
    </row>
    <row r="318" spans="6:7" x14ac:dyDescent="0.25">
      <c r="F318" s="21">
        <f t="shared" si="7"/>
        <v>0</v>
      </c>
      <c r="G318" s="8" t="str">
        <f t="shared" si="5"/>
        <v xml:space="preserve"> 0</v>
      </c>
    </row>
    <row r="319" spans="6:7" x14ac:dyDescent="0.25">
      <c r="F319" s="21">
        <f t="shared" si="7"/>
        <v>0</v>
      </c>
      <c r="G319" s="8" t="str">
        <f t="shared" si="5"/>
        <v xml:space="preserve"> 0</v>
      </c>
    </row>
    <row r="320" spans="6:7" x14ac:dyDescent="0.25">
      <c r="F320" s="21">
        <f t="shared" si="7"/>
        <v>0</v>
      </c>
      <c r="G320" s="8" t="str">
        <f t="shared" si="5"/>
        <v xml:space="preserve"> 0</v>
      </c>
    </row>
    <row r="321" spans="6:7" x14ac:dyDescent="0.25">
      <c r="F321" s="21">
        <f t="shared" si="7"/>
        <v>0</v>
      </c>
      <c r="G321" s="8" t="str">
        <f t="shared" si="5"/>
        <v xml:space="preserve"> 0</v>
      </c>
    </row>
    <row r="322" spans="6:7" x14ac:dyDescent="0.25">
      <c r="F322" s="21">
        <f t="shared" si="7"/>
        <v>0</v>
      </c>
      <c r="G322" s="8" t="str">
        <f t="shared" si="5"/>
        <v xml:space="preserve"> 0</v>
      </c>
    </row>
    <row r="323" spans="6:7" x14ac:dyDescent="0.25">
      <c r="F323" s="21">
        <f t="shared" si="7"/>
        <v>0</v>
      </c>
      <c r="G323" s="8" t="str">
        <f t="shared" ref="G323:G386" si="8">E323&amp;" "&amp;F323</f>
        <v xml:space="preserve"> 0</v>
      </c>
    </row>
    <row r="324" spans="6:7" x14ac:dyDescent="0.25">
      <c r="F324" s="21">
        <f t="shared" si="7"/>
        <v>0</v>
      </c>
      <c r="G324" s="8" t="str">
        <f t="shared" si="8"/>
        <v xml:space="preserve"> 0</v>
      </c>
    </row>
    <row r="325" spans="6:7" x14ac:dyDescent="0.25">
      <c r="F325" s="21">
        <f t="shared" si="7"/>
        <v>0</v>
      </c>
      <c r="G325" s="8" t="str">
        <f t="shared" si="8"/>
        <v xml:space="preserve"> 0</v>
      </c>
    </row>
    <row r="326" spans="6:7" x14ac:dyDescent="0.25">
      <c r="F326" s="21">
        <f t="shared" si="7"/>
        <v>0</v>
      </c>
      <c r="G326" s="8" t="str">
        <f t="shared" si="8"/>
        <v xml:space="preserve"> 0</v>
      </c>
    </row>
    <row r="327" spans="6:7" x14ac:dyDescent="0.25">
      <c r="F327" s="21">
        <f t="shared" si="7"/>
        <v>0</v>
      </c>
      <c r="G327" s="8" t="str">
        <f t="shared" si="8"/>
        <v xml:space="preserve"> 0</v>
      </c>
    </row>
    <row r="328" spans="6:7" x14ac:dyDescent="0.25">
      <c r="F328" s="21">
        <f t="shared" si="7"/>
        <v>0</v>
      </c>
      <c r="G328" s="8" t="str">
        <f t="shared" si="8"/>
        <v xml:space="preserve"> 0</v>
      </c>
    </row>
    <row r="329" spans="6:7" x14ac:dyDescent="0.25">
      <c r="F329" s="21">
        <f t="shared" si="7"/>
        <v>0</v>
      </c>
      <c r="G329" s="8" t="str">
        <f t="shared" si="8"/>
        <v xml:space="preserve"> 0</v>
      </c>
    </row>
    <row r="330" spans="6:7" x14ac:dyDescent="0.25">
      <c r="F330" s="21">
        <f t="shared" si="7"/>
        <v>0</v>
      </c>
      <c r="G330" s="8" t="str">
        <f t="shared" si="8"/>
        <v xml:space="preserve"> 0</v>
      </c>
    </row>
    <row r="331" spans="6:7" x14ac:dyDescent="0.25">
      <c r="F331" s="21">
        <f t="shared" si="7"/>
        <v>0</v>
      </c>
      <c r="G331" s="8" t="str">
        <f t="shared" si="8"/>
        <v xml:space="preserve"> 0</v>
      </c>
    </row>
    <row r="332" spans="6:7" x14ac:dyDescent="0.25">
      <c r="F332" s="21">
        <f t="shared" si="7"/>
        <v>0</v>
      </c>
      <c r="G332" s="8" t="str">
        <f t="shared" si="8"/>
        <v xml:space="preserve"> 0</v>
      </c>
    </row>
    <row r="333" spans="6:7" x14ac:dyDescent="0.25">
      <c r="F333" s="21">
        <f t="shared" si="7"/>
        <v>0</v>
      </c>
      <c r="G333" s="8" t="str">
        <f t="shared" si="8"/>
        <v xml:space="preserve"> 0</v>
      </c>
    </row>
    <row r="334" spans="6:7" x14ac:dyDescent="0.25">
      <c r="F334" s="21">
        <f t="shared" si="7"/>
        <v>0</v>
      </c>
      <c r="G334" s="8" t="str">
        <f t="shared" si="8"/>
        <v xml:space="preserve"> 0</v>
      </c>
    </row>
    <row r="335" spans="6:7" x14ac:dyDescent="0.25">
      <c r="F335" s="21">
        <f t="shared" si="7"/>
        <v>0</v>
      </c>
      <c r="G335" s="8" t="str">
        <f t="shared" si="8"/>
        <v xml:space="preserve"> 0</v>
      </c>
    </row>
    <row r="336" spans="6:7" x14ac:dyDescent="0.25">
      <c r="F336" s="21">
        <f t="shared" si="7"/>
        <v>0</v>
      </c>
      <c r="G336" s="8" t="str">
        <f t="shared" si="8"/>
        <v xml:space="preserve"> 0</v>
      </c>
    </row>
    <row r="337" spans="6:7" x14ac:dyDescent="0.25">
      <c r="F337" s="21">
        <f t="shared" si="7"/>
        <v>0</v>
      </c>
      <c r="G337" s="8" t="str">
        <f t="shared" si="8"/>
        <v xml:space="preserve"> 0</v>
      </c>
    </row>
    <row r="338" spans="6:7" x14ac:dyDescent="0.25">
      <c r="F338" s="21">
        <f t="shared" si="7"/>
        <v>0</v>
      </c>
      <c r="G338" s="8" t="str">
        <f t="shared" si="8"/>
        <v xml:space="preserve"> 0</v>
      </c>
    </row>
    <row r="339" spans="6:7" x14ac:dyDescent="0.25">
      <c r="F339" s="21">
        <f t="shared" si="7"/>
        <v>0</v>
      </c>
      <c r="G339" s="8" t="str">
        <f t="shared" si="8"/>
        <v xml:space="preserve"> 0</v>
      </c>
    </row>
    <row r="340" spans="6:7" x14ac:dyDescent="0.25">
      <c r="F340" s="21">
        <f t="shared" si="7"/>
        <v>0</v>
      </c>
      <c r="G340" s="8" t="str">
        <f t="shared" si="8"/>
        <v xml:space="preserve"> 0</v>
      </c>
    </row>
    <row r="341" spans="6:7" x14ac:dyDescent="0.25">
      <c r="F341" s="21">
        <f t="shared" si="7"/>
        <v>0</v>
      </c>
      <c r="G341" s="8" t="str">
        <f t="shared" si="8"/>
        <v xml:space="preserve"> 0</v>
      </c>
    </row>
    <row r="342" spans="6:7" x14ac:dyDescent="0.25">
      <c r="F342" s="21">
        <f t="shared" si="7"/>
        <v>0</v>
      </c>
      <c r="G342" s="8" t="str">
        <f t="shared" si="8"/>
        <v xml:space="preserve"> 0</v>
      </c>
    </row>
    <row r="343" spans="6:7" x14ac:dyDescent="0.25">
      <c r="F343" s="21">
        <f t="shared" si="7"/>
        <v>0</v>
      </c>
      <c r="G343" s="8" t="str">
        <f t="shared" si="8"/>
        <v xml:space="preserve"> 0</v>
      </c>
    </row>
    <row r="344" spans="6:7" x14ac:dyDescent="0.25">
      <c r="F344" s="21">
        <f t="shared" si="7"/>
        <v>0</v>
      </c>
      <c r="G344" s="8" t="str">
        <f t="shared" si="8"/>
        <v xml:space="preserve"> 0</v>
      </c>
    </row>
    <row r="345" spans="6:7" x14ac:dyDescent="0.25">
      <c r="F345" s="21">
        <f t="shared" si="7"/>
        <v>0</v>
      </c>
      <c r="G345" s="8" t="str">
        <f t="shared" si="8"/>
        <v xml:space="preserve"> 0</v>
      </c>
    </row>
    <row r="346" spans="6:7" x14ac:dyDescent="0.25">
      <c r="F346" s="21">
        <f t="shared" ref="F346:F409" si="9">B346</f>
        <v>0</v>
      </c>
      <c r="G346" s="8" t="str">
        <f t="shared" si="8"/>
        <v xml:space="preserve"> 0</v>
      </c>
    </row>
    <row r="347" spans="6:7" x14ac:dyDescent="0.25">
      <c r="F347" s="21">
        <f t="shared" si="9"/>
        <v>0</v>
      </c>
      <c r="G347" s="8" t="str">
        <f t="shared" si="8"/>
        <v xml:space="preserve"> 0</v>
      </c>
    </row>
    <row r="348" spans="6:7" x14ac:dyDescent="0.25">
      <c r="F348" s="21">
        <f t="shared" si="9"/>
        <v>0</v>
      </c>
      <c r="G348" s="8" t="str">
        <f t="shared" si="8"/>
        <v xml:space="preserve"> 0</v>
      </c>
    </row>
    <row r="349" spans="6:7" x14ac:dyDescent="0.25">
      <c r="F349" s="21">
        <f t="shared" si="9"/>
        <v>0</v>
      </c>
      <c r="G349" s="8" t="str">
        <f t="shared" si="8"/>
        <v xml:space="preserve"> 0</v>
      </c>
    </row>
    <row r="350" spans="6:7" x14ac:dyDescent="0.25">
      <c r="F350" s="21">
        <f t="shared" si="9"/>
        <v>0</v>
      </c>
      <c r="G350" s="8" t="str">
        <f t="shared" si="8"/>
        <v xml:space="preserve"> 0</v>
      </c>
    </row>
    <row r="351" spans="6:7" x14ac:dyDescent="0.25">
      <c r="F351" s="21">
        <f t="shared" si="9"/>
        <v>0</v>
      </c>
      <c r="G351" s="8" t="str">
        <f t="shared" si="8"/>
        <v xml:space="preserve"> 0</v>
      </c>
    </row>
    <row r="352" spans="6:7" x14ac:dyDescent="0.25">
      <c r="F352" s="21">
        <f t="shared" si="9"/>
        <v>0</v>
      </c>
      <c r="G352" s="8" t="str">
        <f t="shared" si="8"/>
        <v xml:space="preserve"> 0</v>
      </c>
    </row>
    <row r="353" spans="6:7" x14ac:dyDescent="0.25">
      <c r="F353" s="21">
        <f t="shared" si="9"/>
        <v>0</v>
      </c>
      <c r="G353" s="8" t="str">
        <f t="shared" si="8"/>
        <v xml:space="preserve"> 0</v>
      </c>
    </row>
    <row r="354" spans="6:7" x14ac:dyDescent="0.25">
      <c r="F354" s="21">
        <f t="shared" si="9"/>
        <v>0</v>
      </c>
      <c r="G354" s="8" t="str">
        <f t="shared" si="8"/>
        <v xml:space="preserve"> 0</v>
      </c>
    </row>
    <row r="355" spans="6:7" x14ac:dyDescent="0.25">
      <c r="F355" s="21">
        <f t="shared" si="9"/>
        <v>0</v>
      </c>
      <c r="G355" s="8" t="str">
        <f t="shared" si="8"/>
        <v xml:space="preserve"> 0</v>
      </c>
    </row>
    <row r="356" spans="6:7" x14ac:dyDescent="0.25">
      <c r="F356" s="21">
        <f t="shared" si="9"/>
        <v>0</v>
      </c>
      <c r="G356" s="8" t="str">
        <f t="shared" si="8"/>
        <v xml:space="preserve"> 0</v>
      </c>
    </row>
    <row r="357" spans="6:7" x14ac:dyDescent="0.25">
      <c r="F357" s="21">
        <f t="shared" si="9"/>
        <v>0</v>
      </c>
      <c r="G357" s="8" t="str">
        <f t="shared" si="8"/>
        <v xml:space="preserve"> 0</v>
      </c>
    </row>
    <row r="358" spans="6:7" x14ac:dyDescent="0.25">
      <c r="F358" s="21">
        <f t="shared" si="9"/>
        <v>0</v>
      </c>
      <c r="G358" s="8" t="str">
        <f t="shared" si="8"/>
        <v xml:space="preserve"> 0</v>
      </c>
    </row>
    <row r="359" spans="6:7" x14ac:dyDescent="0.25">
      <c r="F359" s="21">
        <f t="shared" si="9"/>
        <v>0</v>
      </c>
      <c r="G359" s="8" t="str">
        <f t="shared" si="8"/>
        <v xml:space="preserve"> 0</v>
      </c>
    </row>
    <row r="360" spans="6:7" x14ac:dyDescent="0.25">
      <c r="F360" s="21">
        <f t="shared" si="9"/>
        <v>0</v>
      </c>
      <c r="G360" s="8" t="str">
        <f t="shared" si="8"/>
        <v xml:space="preserve"> 0</v>
      </c>
    </row>
    <row r="361" spans="6:7" x14ac:dyDescent="0.25">
      <c r="F361" s="21">
        <f t="shared" si="9"/>
        <v>0</v>
      </c>
      <c r="G361" s="8" t="str">
        <f t="shared" si="8"/>
        <v xml:space="preserve"> 0</v>
      </c>
    </row>
    <row r="362" spans="6:7" x14ac:dyDescent="0.25">
      <c r="F362" s="21">
        <f t="shared" si="9"/>
        <v>0</v>
      </c>
      <c r="G362" s="8" t="str">
        <f t="shared" si="8"/>
        <v xml:space="preserve"> 0</v>
      </c>
    </row>
    <row r="363" spans="6:7" x14ac:dyDescent="0.25">
      <c r="F363" s="21">
        <f t="shared" si="9"/>
        <v>0</v>
      </c>
      <c r="G363" s="8" t="str">
        <f t="shared" si="8"/>
        <v xml:space="preserve"> 0</v>
      </c>
    </row>
    <row r="364" spans="6:7" x14ac:dyDescent="0.25">
      <c r="F364" s="21">
        <f t="shared" si="9"/>
        <v>0</v>
      </c>
      <c r="G364" s="8" t="str">
        <f t="shared" si="8"/>
        <v xml:space="preserve"> 0</v>
      </c>
    </row>
    <row r="365" spans="6:7" x14ac:dyDescent="0.25">
      <c r="F365" s="21">
        <f t="shared" si="9"/>
        <v>0</v>
      </c>
      <c r="G365" s="8" t="str">
        <f t="shared" si="8"/>
        <v xml:space="preserve"> 0</v>
      </c>
    </row>
    <row r="366" spans="6:7" x14ac:dyDescent="0.25">
      <c r="F366" s="21">
        <f t="shared" si="9"/>
        <v>0</v>
      </c>
      <c r="G366" s="8" t="str">
        <f t="shared" si="8"/>
        <v xml:space="preserve"> 0</v>
      </c>
    </row>
    <row r="367" spans="6:7" x14ac:dyDescent="0.25">
      <c r="F367" s="21">
        <f t="shared" si="9"/>
        <v>0</v>
      </c>
      <c r="G367" s="8" t="str">
        <f t="shared" si="8"/>
        <v xml:space="preserve"> 0</v>
      </c>
    </row>
    <row r="368" spans="6:7" x14ac:dyDescent="0.25">
      <c r="F368" s="21">
        <f t="shared" si="9"/>
        <v>0</v>
      </c>
      <c r="G368" s="8" t="str">
        <f t="shared" si="8"/>
        <v xml:space="preserve"> 0</v>
      </c>
    </row>
    <row r="369" spans="6:7" x14ac:dyDescent="0.25">
      <c r="F369" s="21">
        <f t="shared" si="9"/>
        <v>0</v>
      </c>
      <c r="G369" s="8" t="str">
        <f t="shared" si="8"/>
        <v xml:space="preserve"> 0</v>
      </c>
    </row>
    <row r="370" spans="6:7" x14ac:dyDescent="0.25">
      <c r="F370" s="21">
        <f t="shared" si="9"/>
        <v>0</v>
      </c>
      <c r="G370" s="8" t="str">
        <f t="shared" si="8"/>
        <v xml:space="preserve"> 0</v>
      </c>
    </row>
    <row r="371" spans="6:7" x14ac:dyDescent="0.25">
      <c r="F371" s="21">
        <f t="shared" si="9"/>
        <v>0</v>
      </c>
      <c r="G371" s="8" t="str">
        <f t="shared" si="8"/>
        <v xml:space="preserve"> 0</v>
      </c>
    </row>
    <row r="372" spans="6:7" x14ac:dyDescent="0.25">
      <c r="F372" s="21">
        <f t="shared" si="9"/>
        <v>0</v>
      </c>
      <c r="G372" s="8" t="str">
        <f t="shared" si="8"/>
        <v xml:space="preserve"> 0</v>
      </c>
    </row>
    <row r="373" spans="6:7" x14ac:dyDescent="0.25">
      <c r="F373" s="21">
        <f t="shared" si="9"/>
        <v>0</v>
      </c>
      <c r="G373" s="8" t="str">
        <f t="shared" si="8"/>
        <v xml:space="preserve"> 0</v>
      </c>
    </row>
    <row r="374" spans="6:7" x14ac:dyDescent="0.25">
      <c r="F374" s="21">
        <f t="shared" si="9"/>
        <v>0</v>
      </c>
      <c r="G374" s="8" t="str">
        <f t="shared" si="8"/>
        <v xml:space="preserve"> 0</v>
      </c>
    </row>
    <row r="375" spans="6:7" x14ac:dyDescent="0.25">
      <c r="F375" s="21">
        <f t="shared" si="9"/>
        <v>0</v>
      </c>
      <c r="G375" s="8" t="str">
        <f t="shared" si="8"/>
        <v xml:space="preserve"> 0</v>
      </c>
    </row>
    <row r="376" spans="6:7" x14ac:dyDescent="0.25">
      <c r="F376" s="21">
        <f t="shared" si="9"/>
        <v>0</v>
      </c>
      <c r="G376" s="8" t="str">
        <f t="shared" si="8"/>
        <v xml:space="preserve"> 0</v>
      </c>
    </row>
    <row r="377" spans="6:7" x14ac:dyDescent="0.25">
      <c r="F377" s="21">
        <f t="shared" si="9"/>
        <v>0</v>
      </c>
      <c r="G377" s="8" t="str">
        <f t="shared" si="8"/>
        <v xml:space="preserve"> 0</v>
      </c>
    </row>
    <row r="378" spans="6:7" x14ac:dyDescent="0.25">
      <c r="F378" s="21">
        <f t="shared" si="9"/>
        <v>0</v>
      </c>
      <c r="G378" s="8" t="str">
        <f t="shared" si="8"/>
        <v xml:space="preserve"> 0</v>
      </c>
    </row>
    <row r="379" spans="6:7" x14ac:dyDescent="0.25">
      <c r="F379" s="21">
        <f t="shared" si="9"/>
        <v>0</v>
      </c>
      <c r="G379" s="8" t="str">
        <f t="shared" si="8"/>
        <v xml:space="preserve"> 0</v>
      </c>
    </row>
    <row r="380" spans="6:7" x14ac:dyDescent="0.25">
      <c r="F380" s="21">
        <f t="shared" si="9"/>
        <v>0</v>
      </c>
      <c r="G380" s="8" t="str">
        <f t="shared" si="8"/>
        <v xml:space="preserve"> 0</v>
      </c>
    </row>
    <row r="381" spans="6:7" x14ac:dyDescent="0.25">
      <c r="F381" s="21">
        <f t="shared" si="9"/>
        <v>0</v>
      </c>
      <c r="G381" s="8" t="str">
        <f t="shared" si="8"/>
        <v xml:space="preserve"> 0</v>
      </c>
    </row>
    <row r="382" spans="6:7" x14ac:dyDescent="0.25">
      <c r="F382" s="21">
        <f t="shared" si="9"/>
        <v>0</v>
      </c>
      <c r="G382" s="8" t="str">
        <f t="shared" si="8"/>
        <v xml:space="preserve"> 0</v>
      </c>
    </row>
    <row r="383" spans="6:7" x14ac:dyDescent="0.25">
      <c r="F383" s="21">
        <f t="shared" si="9"/>
        <v>0</v>
      </c>
      <c r="G383" s="8" t="str">
        <f t="shared" si="8"/>
        <v xml:space="preserve"> 0</v>
      </c>
    </row>
    <row r="384" spans="6:7" x14ac:dyDescent="0.25">
      <c r="F384" s="21">
        <f t="shared" si="9"/>
        <v>0</v>
      </c>
      <c r="G384" s="8" t="str">
        <f t="shared" si="8"/>
        <v xml:space="preserve"> 0</v>
      </c>
    </row>
    <row r="385" spans="6:7" x14ac:dyDescent="0.25">
      <c r="F385" s="21">
        <f t="shared" si="9"/>
        <v>0</v>
      </c>
      <c r="G385" s="8" t="str">
        <f t="shared" si="8"/>
        <v xml:space="preserve"> 0</v>
      </c>
    </row>
    <row r="386" spans="6:7" x14ac:dyDescent="0.25">
      <c r="F386" s="21">
        <f t="shared" si="9"/>
        <v>0</v>
      </c>
      <c r="G386" s="8" t="str">
        <f t="shared" si="8"/>
        <v xml:space="preserve"> 0</v>
      </c>
    </row>
    <row r="387" spans="6:7" x14ac:dyDescent="0.25">
      <c r="F387" s="21">
        <f t="shared" si="9"/>
        <v>0</v>
      </c>
      <c r="G387" s="8" t="str">
        <f t="shared" ref="G387:G450" si="10">E387&amp;" "&amp;F387</f>
        <v xml:space="preserve"> 0</v>
      </c>
    </row>
    <row r="388" spans="6:7" x14ac:dyDescent="0.25">
      <c r="F388" s="21">
        <f t="shared" si="9"/>
        <v>0</v>
      </c>
      <c r="G388" s="8" t="str">
        <f t="shared" si="10"/>
        <v xml:space="preserve"> 0</v>
      </c>
    </row>
    <row r="389" spans="6:7" x14ac:dyDescent="0.25">
      <c r="F389" s="21">
        <f t="shared" si="9"/>
        <v>0</v>
      </c>
      <c r="G389" s="8" t="str">
        <f t="shared" si="10"/>
        <v xml:space="preserve"> 0</v>
      </c>
    </row>
    <row r="390" spans="6:7" x14ac:dyDescent="0.25">
      <c r="F390" s="21">
        <f t="shared" si="9"/>
        <v>0</v>
      </c>
      <c r="G390" s="8" t="str">
        <f t="shared" si="10"/>
        <v xml:space="preserve"> 0</v>
      </c>
    </row>
    <row r="391" spans="6:7" x14ac:dyDescent="0.25">
      <c r="F391" s="21">
        <f t="shared" si="9"/>
        <v>0</v>
      </c>
      <c r="G391" s="8" t="str">
        <f t="shared" si="10"/>
        <v xml:space="preserve"> 0</v>
      </c>
    </row>
    <row r="392" spans="6:7" x14ac:dyDescent="0.25">
      <c r="F392" s="21">
        <f t="shared" si="9"/>
        <v>0</v>
      </c>
      <c r="G392" s="8" t="str">
        <f t="shared" si="10"/>
        <v xml:space="preserve"> 0</v>
      </c>
    </row>
    <row r="393" spans="6:7" x14ac:dyDescent="0.25">
      <c r="F393" s="21">
        <f t="shared" si="9"/>
        <v>0</v>
      </c>
      <c r="G393" s="8" t="str">
        <f t="shared" si="10"/>
        <v xml:space="preserve"> 0</v>
      </c>
    </row>
    <row r="394" spans="6:7" x14ac:dyDescent="0.25">
      <c r="F394" s="21">
        <f t="shared" si="9"/>
        <v>0</v>
      </c>
      <c r="G394" s="8" t="str">
        <f t="shared" si="10"/>
        <v xml:space="preserve"> 0</v>
      </c>
    </row>
    <row r="395" spans="6:7" x14ac:dyDescent="0.25">
      <c r="F395" s="21">
        <f t="shared" si="9"/>
        <v>0</v>
      </c>
      <c r="G395" s="8" t="str">
        <f t="shared" si="10"/>
        <v xml:space="preserve"> 0</v>
      </c>
    </row>
    <row r="396" spans="6:7" x14ac:dyDescent="0.25">
      <c r="F396" s="21">
        <f t="shared" si="9"/>
        <v>0</v>
      </c>
      <c r="G396" s="8" t="str">
        <f t="shared" si="10"/>
        <v xml:space="preserve"> 0</v>
      </c>
    </row>
    <row r="397" spans="6:7" x14ac:dyDescent="0.25">
      <c r="F397" s="21">
        <f t="shared" si="9"/>
        <v>0</v>
      </c>
      <c r="G397" s="8" t="str">
        <f t="shared" si="10"/>
        <v xml:space="preserve"> 0</v>
      </c>
    </row>
    <row r="398" spans="6:7" x14ac:dyDescent="0.25">
      <c r="F398" s="21">
        <f t="shared" si="9"/>
        <v>0</v>
      </c>
      <c r="G398" s="8" t="str">
        <f t="shared" si="10"/>
        <v xml:space="preserve"> 0</v>
      </c>
    </row>
    <row r="399" spans="6:7" x14ac:dyDescent="0.25">
      <c r="F399" s="21">
        <f t="shared" si="9"/>
        <v>0</v>
      </c>
      <c r="G399" s="8" t="str">
        <f t="shared" si="10"/>
        <v xml:space="preserve"> 0</v>
      </c>
    </row>
    <row r="400" spans="6:7" x14ac:dyDescent="0.25">
      <c r="F400" s="21">
        <f t="shared" si="9"/>
        <v>0</v>
      </c>
      <c r="G400" s="8" t="str">
        <f t="shared" si="10"/>
        <v xml:space="preserve"> 0</v>
      </c>
    </row>
    <row r="401" spans="6:7" x14ac:dyDescent="0.25">
      <c r="F401" s="21">
        <f t="shared" si="9"/>
        <v>0</v>
      </c>
      <c r="G401" s="8" t="str">
        <f t="shared" si="10"/>
        <v xml:space="preserve"> 0</v>
      </c>
    </row>
    <row r="402" spans="6:7" x14ac:dyDescent="0.25">
      <c r="F402" s="21">
        <f t="shared" si="9"/>
        <v>0</v>
      </c>
      <c r="G402" s="8" t="str">
        <f t="shared" si="10"/>
        <v xml:space="preserve"> 0</v>
      </c>
    </row>
    <row r="403" spans="6:7" x14ac:dyDescent="0.25">
      <c r="F403" s="21">
        <f t="shared" si="9"/>
        <v>0</v>
      </c>
      <c r="G403" s="8" t="str">
        <f t="shared" si="10"/>
        <v xml:space="preserve"> 0</v>
      </c>
    </row>
    <row r="404" spans="6:7" x14ac:dyDescent="0.25">
      <c r="F404" s="21">
        <f t="shared" si="9"/>
        <v>0</v>
      </c>
      <c r="G404" s="8" t="str">
        <f t="shared" si="10"/>
        <v xml:space="preserve"> 0</v>
      </c>
    </row>
    <row r="405" spans="6:7" x14ac:dyDescent="0.25">
      <c r="F405" s="21">
        <f t="shared" si="9"/>
        <v>0</v>
      </c>
      <c r="G405" s="8" t="str">
        <f t="shared" si="10"/>
        <v xml:space="preserve"> 0</v>
      </c>
    </row>
    <row r="406" spans="6:7" x14ac:dyDescent="0.25">
      <c r="F406" s="21">
        <f t="shared" si="9"/>
        <v>0</v>
      </c>
      <c r="G406" s="8" t="str">
        <f t="shared" si="10"/>
        <v xml:space="preserve"> 0</v>
      </c>
    </row>
    <row r="407" spans="6:7" x14ac:dyDescent="0.25">
      <c r="F407" s="21">
        <f t="shared" si="9"/>
        <v>0</v>
      </c>
      <c r="G407" s="8" t="str">
        <f t="shared" si="10"/>
        <v xml:space="preserve"> 0</v>
      </c>
    </row>
    <row r="408" spans="6:7" x14ac:dyDescent="0.25">
      <c r="F408" s="21">
        <f t="shared" si="9"/>
        <v>0</v>
      </c>
      <c r="G408" s="8" t="str">
        <f t="shared" si="10"/>
        <v xml:space="preserve"> 0</v>
      </c>
    </row>
    <row r="409" spans="6:7" x14ac:dyDescent="0.25">
      <c r="F409" s="21">
        <f t="shared" si="9"/>
        <v>0</v>
      </c>
      <c r="G409" s="8" t="str">
        <f t="shared" si="10"/>
        <v xml:space="preserve"> 0</v>
      </c>
    </row>
    <row r="410" spans="6:7" x14ac:dyDescent="0.25">
      <c r="F410" s="21">
        <f t="shared" ref="F410:F473" si="11">B410</f>
        <v>0</v>
      </c>
      <c r="G410" s="8" t="str">
        <f t="shared" si="10"/>
        <v xml:space="preserve"> 0</v>
      </c>
    </row>
    <row r="411" spans="6:7" x14ac:dyDescent="0.25">
      <c r="F411" s="21">
        <f t="shared" si="11"/>
        <v>0</v>
      </c>
      <c r="G411" s="8" t="str">
        <f t="shared" si="10"/>
        <v xml:space="preserve"> 0</v>
      </c>
    </row>
    <row r="412" spans="6:7" x14ac:dyDescent="0.25">
      <c r="F412" s="21">
        <f t="shared" si="11"/>
        <v>0</v>
      </c>
      <c r="G412" s="8" t="str">
        <f t="shared" si="10"/>
        <v xml:space="preserve"> 0</v>
      </c>
    </row>
    <row r="413" spans="6:7" x14ac:dyDescent="0.25">
      <c r="F413" s="21">
        <f t="shared" si="11"/>
        <v>0</v>
      </c>
      <c r="G413" s="8" t="str">
        <f t="shared" si="10"/>
        <v xml:space="preserve"> 0</v>
      </c>
    </row>
    <row r="414" spans="6:7" x14ac:dyDescent="0.25">
      <c r="F414" s="21">
        <f t="shared" si="11"/>
        <v>0</v>
      </c>
      <c r="G414" s="8" t="str">
        <f t="shared" si="10"/>
        <v xml:space="preserve"> 0</v>
      </c>
    </row>
    <row r="415" spans="6:7" x14ac:dyDescent="0.25">
      <c r="F415" s="21">
        <f t="shared" si="11"/>
        <v>0</v>
      </c>
      <c r="G415" s="8" t="str">
        <f t="shared" si="10"/>
        <v xml:space="preserve"> 0</v>
      </c>
    </row>
    <row r="416" spans="6:7" x14ac:dyDescent="0.25">
      <c r="F416" s="21">
        <f t="shared" si="11"/>
        <v>0</v>
      </c>
      <c r="G416" s="8" t="str">
        <f t="shared" si="10"/>
        <v xml:space="preserve"> 0</v>
      </c>
    </row>
    <row r="417" spans="6:7" x14ac:dyDescent="0.25">
      <c r="F417" s="21">
        <f t="shared" si="11"/>
        <v>0</v>
      </c>
      <c r="G417" s="8" t="str">
        <f t="shared" si="10"/>
        <v xml:space="preserve"> 0</v>
      </c>
    </row>
    <row r="418" spans="6:7" x14ac:dyDescent="0.25">
      <c r="F418" s="21">
        <f t="shared" si="11"/>
        <v>0</v>
      </c>
      <c r="G418" s="8" t="str">
        <f t="shared" si="10"/>
        <v xml:space="preserve"> 0</v>
      </c>
    </row>
    <row r="419" spans="6:7" x14ac:dyDescent="0.25">
      <c r="F419" s="21">
        <f t="shared" si="11"/>
        <v>0</v>
      </c>
      <c r="G419" s="8" t="str">
        <f t="shared" si="10"/>
        <v xml:space="preserve"> 0</v>
      </c>
    </row>
    <row r="420" spans="6:7" x14ac:dyDescent="0.25">
      <c r="F420" s="21">
        <f t="shared" si="11"/>
        <v>0</v>
      </c>
      <c r="G420" s="8" t="str">
        <f t="shared" si="10"/>
        <v xml:space="preserve"> 0</v>
      </c>
    </row>
    <row r="421" spans="6:7" x14ac:dyDescent="0.25">
      <c r="F421" s="21">
        <f t="shared" si="11"/>
        <v>0</v>
      </c>
      <c r="G421" s="8" t="str">
        <f t="shared" si="10"/>
        <v xml:space="preserve"> 0</v>
      </c>
    </row>
    <row r="422" spans="6:7" x14ac:dyDescent="0.25">
      <c r="F422" s="21">
        <f t="shared" si="11"/>
        <v>0</v>
      </c>
      <c r="G422" s="8" t="str">
        <f t="shared" si="10"/>
        <v xml:space="preserve"> 0</v>
      </c>
    </row>
    <row r="423" spans="6:7" x14ac:dyDescent="0.25">
      <c r="F423" s="21">
        <f t="shared" si="11"/>
        <v>0</v>
      </c>
      <c r="G423" s="8" t="str">
        <f t="shared" si="10"/>
        <v xml:space="preserve"> 0</v>
      </c>
    </row>
    <row r="424" spans="6:7" x14ac:dyDescent="0.25">
      <c r="F424" s="21">
        <f t="shared" si="11"/>
        <v>0</v>
      </c>
      <c r="G424" s="8" t="str">
        <f t="shared" si="10"/>
        <v xml:space="preserve"> 0</v>
      </c>
    </row>
    <row r="425" spans="6:7" x14ac:dyDescent="0.25">
      <c r="F425" s="21">
        <f t="shared" si="11"/>
        <v>0</v>
      </c>
      <c r="G425" s="8" t="str">
        <f t="shared" si="10"/>
        <v xml:space="preserve"> 0</v>
      </c>
    </row>
    <row r="426" spans="6:7" x14ac:dyDescent="0.25">
      <c r="F426" s="21">
        <f t="shared" si="11"/>
        <v>0</v>
      </c>
      <c r="G426" s="8" t="str">
        <f t="shared" si="10"/>
        <v xml:space="preserve"> 0</v>
      </c>
    </row>
    <row r="427" spans="6:7" x14ac:dyDescent="0.25">
      <c r="F427" s="21">
        <f t="shared" si="11"/>
        <v>0</v>
      </c>
      <c r="G427" s="8" t="str">
        <f t="shared" si="10"/>
        <v xml:space="preserve"> 0</v>
      </c>
    </row>
    <row r="428" spans="6:7" x14ac:dyDescent="0.25">
      <c r="F428" s="21">
        <f t="shared" si="11"/>
        <v>0</v>
      </c>
      <c r="G428" s="8" t="str">
        <f t="shared" si="10"/>
        <v xml:space="preserve"> 0</v>
      </c>
    </row>
    <row r="429" spans="6:7" x14ac:dyDescent="0.25">
      <c r="F429" s="21">
        <f t="shared" si="11"/>
        <v>0</v>
      </c>
      <c r="G429" s="8" t="str">
        <f t="shared" si="10"/>
        <v xml:space="preserve"> 0</v>
      </c>
    </row>
    <row r="430" spans="6:7" x14ac:dyDescent="0.25">
      <c r="F430" s="21">
        <f t="shared" si="11"/>
        <v>0</v>
      </c>
      <c r="G430" s="8" t="str">
        <f t="shared" si="10"/>
        <v xml:space="preserve"> 0</v>
      </c>
    </row>
    <row r="431" spans="6:7" x14ac:dyDescent="0.25">
      <c r="F431" s="21">
        <f t="shared" si="11"/>
        <v>0</v>
      </c>
      <c r="G431" s="8" t="str">
        <f t="shared" si="10"/>
        <v xml:space="preserve"> 0</v>
      </c>
    </row>
    <row r="432" spans="6:7" x14ac:dyDescent="0.25">
      <c r="F432" s="21">
        <f t="shared" si="11"/>
        <v>0</v>
      </c>
      <c r="G432" s="8" t="str">
        <f t="shared" si="10"/>
        <v xml:space="preserve"> 0</v>
      </c>
    </row>
    <row r="433" spans="6:7" x14ac:dyDescent="0.25">
      <c r="F433" s="21">
        <f t="shared" si="11"/>
        <v>0</v>
      </c>
      <c r="G433" s="8" t="str">
        <f t="shared" si="10"/>
        <v xml:space="preserve"> 0</v>
      </c>
    </row>
    <row r="434" spans="6:7" x14ac:dyDescent="0.25">
      <c r="F434" s="21">
        <f t="shared" si="11"/>
        <v>0</v>
      </c>
      <c r="G434" s="8" t="str">
        <f t="shared" si="10"/>
        <v xml:space="preserve"> 0</v>
      </c>
    </row>
    <row r="435" spans="6:7" x14ac:dyDescent="0.25">
      <c r="F435" s="21">
        <f t="shared" si="11"/>
        <v>0</v>
      </c>
      <c r="G435" s="8" t="str">
        <f t="shared" si="10"/>
        <v xml:space="preserve"> 0</v>
      </c>
    </row>
    <row r="436" spans="6:7" x14ac:dyDescent="0.25">
      <c r="F436" s="21">
        <f t="shared" si="11"/>
        <v>0</v>
      </c>
      <c r="G436" s="8" t="str">
        <f t="shared" si="10"/>
        <v xml:space="preserve"> 0</v>
      </c>
    </row>
    <row r="437" spans="6:7" x14ac:dyDescent="0.25">
      <c r="F437" s="21">
        <f t="shared" si="11"/>
        <v>0</v>
      </c>
      <c r="G437" s="8" t="str">
        <f t="shared" si="10"/>
        <v xml:space="preserve"> 0</v>
      </c>
    </row>
    <row r="438" spans="6:7" x14ac:dyDescent="0.25">
      <c r="F438" s="21">
        <f t="shared" si="11"/>
        <v>0</v>
      </c>
      <c r="G438" s="8" t="str">
        <f t="shared" si="10"/>
        <v xml:space="preserve"> 0</v>
      </c>
    </row>
    <row r="439" spans="6:7" x14ac:dyDescent="0.25">
      <c r="F439" s="21">
        <f t="shared" si="11"/>
        <v>0</v>
      </c>
      <c r="G439" s="8" t="str">
        <f t="shared" si="10"/>
        <v xml:space="preserve"> 0</v>
      </c>
    </row>
    <row r="440" spans="6:7" x14ac:dyDescent="0.25">
      <c r="F440" s="21">
        <f t="shared" si="11"/>
        <v>0</v>
      </c>
      <c r="G440" s="8" t="str">
        <f t="shared" si="10"/>
        <v xml:space="preserve"> 0</v>
      </c>
    </row>
    <row r="441" spans="6:7" x14ac:dyDescent="0.25">
      <c r="F441" s="21">
        <f t="shared" si="11"/>
        <v>0</v>
      </c>
      <c r="G441" s="8" t="str">
        <f t="shared" si="10"/>
        <v xml:space="preserve"> 0</v>
      </c>
    </row>
    <row r="442" spans="6:7" x14ac:dyDescent="0.25">
      <c r="F442" s="21">
        <f t="shared" si="11"/>
        <v>0</v>
      </c>
      <c r="G442" s="8" t="str">
        <f t="shared" si="10"/>
        <v xml:space="preserve"> 0</v>
      </c>
    </row>
    <row r="443" spans="6:7" x14ac:dyDescent="0.25">
      <c r="F443" s="21">
        <f t="shared" si="11"/>
        <v>0</v>
      </c>
      <c r="G443" s="8" t="str">
        <f t="shared" si="10"/>
        <v xml:space="preserve"> 0</v>
      </c>
    </row>
    <row r="444" spans="6:7" x14ac:dyDescent="0.25">
      <c r="F444" s="21">
        <f t="shared" si="11"/>
        <v>0</v>
      </c>
      <c r="G444" s="8" t="str">
        <f t="shared" si="10"/>
        <v xml:space="preserve"> 0</v>
      </c>
    </row>
    <row r="445" spans="6:7" x14ac:dyDescent="0.25">
      <c r="F445" s="21">
        <f t="shared" si="11"/>
        <v>0</v>
      </c>
      <c r="G445" s="8" t="str">
        <f t="shared" si="10"/>
        <v xml:space="preserve"> 0</v>
      </c>
    </row>
    <row r="446" spans="6:7" x14ac:dyDescent="0.25">
      <c r="F446" s="21">
        <f t="shared" si="11"/>
        <v>0</v>
      </c>
      <c r="G446" s="8" t="str">
        <f t="shared" si="10"/>
        <v xml:space="preserve"> 0</v>
      </c>
    </row>
    <row r="447" spans="6:7" x14ac:dyDescent="0.25">
      <c r="F447" s="21">
        <f t="shared" si="11"/>
        <v>0</v>
      </c>
      <c r="G447" s="8" t="str">
        <f t="shared" si="10"/>
        <v xml:space="preserve"> 0</v>
      </c>
    </row>
    <row r="448" spans="6:7" x14ac:dyDescent="0.25">
      <c r="F448" s="21">
        <f t="shared" si="11"/>
        <v>0</v>
      </c>
      <c r="G448" s="8" t="str">
        <f t="shared" si="10"/>
        <v xml:space="preserve"> 0</v>
      </c>
    </row>
    <row r="449" spans="6:7" x14ac:dyDescent="0.25">
      <c r="F449" s="21">
        <f t="shared" si="11"/>
        <v>0</v>
      </c>
      <c r="G449" s="8" t="str">
        <f t="shared" si="10"/>
        <v xml:space="preserve"> 0</v>
      </c>
    </row>
    <row r="450" spans="6:7" x14ac:dyDescent="0.25">
      <c r="F450" s="21">
        <f t="shared" si="11"/>
        <v>0</v>
      </c>
      <c r="G450" s="8" t="str">
        <f t="shared" si="10"/>
        <v xml:space="preserve"> 0</v>
      </c>
    </row>
    <row r="451" spans="6:7" x14ac:dyDescent="0.25">
      <c r="F451" s="21">
        <f t="shared" si="11"/>
        <v>0</v>
      </c>
      <c r="G451" s="8" t="str">
        <f t="shared" ref="G451:G514" si="12">E451&amp;" "&amp;F451</f>
        <v xml:space="preserve"> 0</v>
      </c>
    </row>
    <row r="452" spans="6:7" x14ac:dyDescent="0.25">
      <c r="F452" s="21">
        <f t="shared" si="11"/>
        <v>0</v>
      </c>
      <c r="G452" s="8" t="str">
        <f t="shared" si="12"/>
        <v xml:space="preserve"> 0</v>
      </c>
    </row>
    <row r="453" spans="6:7" x14ac:dyDescent="0.25">
      <c r="F453" s="21">
        <f t="shared" si="11"/>
        <v>0</v>
      </c>
      <c r="G453" s="8" t="str">
        <f t="shared" si="12"/>
        <v xml:space="preserve"> 0</v>
      </c>
    </row>
    <row r="454" spans="6:7" x14ac:dyDescent="0.25">
      <c r="F454" s="21">
        <f t="shared" si="11"/>
        <v>0</v>
      </c>
      <c r="G454" s="8" t="str">
        <f t="shared" si="12"/>
        <v xml:space="preserve"> 0</v>
      </c>
    </row>
    <row r="455" spans="6:7" x14ac:dyDescent="0.25">
      <c r="F455" s="21">
        <f t="shared" si="11"/>
        <v>0</v>
      </c>
      <c r="G455" s="8" t="str">
        <f t="shared" si="12"/>
        <v xml:space="preserve"> 0</v>
      </c>
    </row>
    <row r="456" spans="6:7" x14ac:dyDescent="0.25">
      <c r="F456" s="21">
        <f t="shared" si="11"/>
        <v>0</v>
      </c>
      <c r="G456" s="8" t="str">
        <f t="shared" si="12"/>
        <v xml:space="preserve"> 0</v>
      </c>
    </row>
    <row r="457" spans="6:7" x14ac:dyDescent="0.25">
      <c r="F457" s="21">
        <f t="shared" si="11"/>
        <v>0</v>
      </c>
      <c r="G457" s="8" t="str">
        <f t="shared" si="12"/>
        <v xml:space="preserve"> 0</v>
      </c>
    </row>
    <row r="458" spans="6:7" x14ac:dyDescent="0.25">
      <c r="F458" s="21">
        <f t="shared" si="11"/>
        <v>0</v>
      </c>
      <c r="G458" s="8" t="str">
        <f t="shared" si="12"/>
        <v xml:space="preserve"> 0</v>
      </c>
    </row>
    <row r="459" spans="6:7" x14ac:dyDescent="0.25">
      <c r="F459" s="21">
        <f t="shared" si="11"/>
        <v>0</v>
      </c>
      <c r="G459" s="8" t="str">
        <f t="shared" si="12"/>
        <v xml:space="preserve"> 0</v>
      </c>
    </row>
    <row r="460" spans="6:7" x14ac:dyDescent="0.25">
      <c r="F460" s="21">
        <f t="shared" si="11"/>
        <v>0</v>
      </c>
      <c r="G460" s="8" t="str">
        <f t="shared" si="12"/>
        <v xml:space="preserve"> 0</v>
      </c>
    </row>
    <row r="461" spans="6:7" x14ac:dyDescent="0.25">
      <c r="F461" s="21">
        <f t="shared" si="11"/>
        <v>0</v>
      </c>
      <c r="G461" s="8" t="str">
        <f t="shared" si="12"/>
        <v xml:space="preserve"> 0</v>
      </c>
    </row>
    <row r="462" spans="6:7" x14ac:dyDescent="0.25">
      <c r="F462" s="21">
        <f t="shared" si="11"/>
        <v>0</v>
      </c>
      <c r="G462" s="8" t="str">
        <f t="shared" si="12"/>
        <v xml:space="preserve"> 0</v>
      </c>
    </row>
    <row r="463" spans="6:7" x14ac:dyDescent="0.25">
      <c r="F463" s="21">
        <f t="shared" si="11"/>
        <v>0</v>
      </c>
      <c r="G463" s="8" t="str">
        <f t="shared" si="12"/>
        <v xml:space="preserve"> 0</v>
      </c>
    </row>
    <row r="464" spans="6:7" x14ac:dyDescent="0.25">
      <c r="F464" s="21">
        <f t="shared" si="11"/>
        <v>0</v>
      </c>
      <c r="G464" s="8" t="str">
        <f t="shared" si="12"/>
        <v xml:space="preserve"> 0</v>
      </c>
    </row>
    <row r="465" spans="6:7" x14ac:dyDescent="0.25">
      <c r="F465" s="21">
        <f t="shared" si="11"/>
        <v>0</v>
      </c>
      <c r="G465" s="8" t="str">
        <f t="shared" si="12"/>
        <v xml:space="preserve"> 0</v>
      </c>
    </row>
    <row r="466" spans="6:7" x14ac:dyDescent="0.25">
      <c r="F466" s="21">
        <f t="shared" si="11"/>
        <v>0</v>
      </c>
      <c r="G466" s="8" t="str">
        <f t="shared" si="12"/>
        <v xml:space="preserve"> 0</v>
      </c>
    </row>
    <row r="467" spans="6:7" x14ac:dyDescent="0.25">
      <c r="F467" s="21">
        <f t="shared" si="11"/>
        <v>0</v>
      </c>
      <c r="G467" s="8" t="str">
        <f t="shared" si="12"/>
        <v xml:space="preserve"> 0</v>
      </c>
    </row>
    <row r="468" spans="6:7" x14ac:dyDescent="0.25">
      <c r="F468" s="21">
        <f t="shared" si="11"/>
        <v>0</v>
      </c>
      <c r="G468" s="8" t="str">
        <f t="shared" si="12"/>
        <v xml:space="preserve"> 0</v>
      </c>
    </row>
    <row r="469" spans="6:7" x14ac:dyDescent="0.25">
      <c r="F469" s="21">
        <f t="shared" si="11"/>
        <v>0</v>
      </c>
      <c r="G469" s="8" t="str">
        <f t="shared" si="12"/>
        <v xml:space="preserve"> 0</v>
      </c>
    </row>
    <row r="470" spans="6:7" x14ac:dyDescent="0.25">
      <c r="F470" s="21">
        <f t="shared" si="11"/>
        <v>0</v>
      </c>
      <c r="G470" s="8" t="str">
        <f t="shared" si="12"/>
        <v xml:space="preserve"> 0</v>
      </c>
    </row>
    <row r="471" spans="6:7" x14ac:dyDescent="0.25">
      <c r="F471" s="21">
        <f t="shared" si="11"/>
        <v>0</v>
      </c>
      <c r="G471" s="8" t="str">
        <f t="shared" si="12"/>
        <v xml:space="preserve"> 0</v>
      </c>
    </row>
    <row r="472" spans="6:7" x14ac:dyDescent="0.25">
      <c r="F472" s="21">
        <f t="shared" si="11"/>
        <v>0</v>
      </c>
      <c r="G472" s="8" t="str">
        <f t="shared" si="12"/>
        <v xml:space="preserve"> 0</v>
      </c>
    </row>
    <row r="473" spans="6:7" x14ac:dyDescent="0.25">
      <c r="F473" s="21">
        <f t="shared" si="11"/>
        <v>0</v>
      </c>
      <c r="G473" s="8" t="str">
        <f t="shared" si="12"/>
        <v xml:space="preserve"> 0</v>
      </c>
    </row>
    <row r="474" spans="6:7" x14ac:dyDescent="0.25">
      <c r="F474" s="21">
        <f t="shared" ref="F474:F537" si="13">B474</f>
        <v>0</v>
      </c>
      <c r="G474" s="8" t="str">
        <f t="shared" si="12"/>
        <v xml:space="preserve"> 0</v>
      </c>
    </row>
    <row r="475" spans="6:7" x14ac:dyDescent="0.25">
      <c r="F475" s="21">
        <f t="shared" si="13"/>
        <v>0</v>
      </c>
      <c r="G475" s="8" t="str">
        <f t="shared" si="12"/>
        <v xml:space="preserve"> 0</v>
      </c>
    </row>
    <row r="476" spans="6:7" x14ac:dyDescent="0.25">
      <c r="F476" s="21">
        <f t="shared" si="13"/>
        <v>0</v>
      </c>
      <c r="G476" s="8" t="str">
        <f t="shared" si="12"/>
        <v xml:space="preserve"> 0</v>
      </c>
    </row>
    <row r="477" spans="6:7" x14ac:dyDescent="0.25">
      <c r="F477" s="21">
        <f t="shared" si="13"/>
        <v>0</v>
      </c>
      <c r="G477" s="8" t="str">
        <f t="shared" si="12"/>
        <v xml:space="preserve"> 0</v>
      </c>
    </row>
    <row r="478" spans="6:7" x14ac:dyDescent="0.25">
      <c r="F478" s="21">
        <f t="shared" si="13"/>
        <v>0</v>
      </c>
      <c r="G478" s="8" t="str">
        <f t="shared" si="12"/>
        <v xml:space="preserve"> 0</v>
      </c>
    </row>
    <row r="479" spans="6:7" x14ac:dyDescent="0.25">
      <c r="F479" s="21">
        <f t="shared" si="13"/>
        <v>0</v>
      </c>
      <c r="G479" s="8" t="str">
        <f t="shared" si="12"/>
        <v xml:space="preserve"> 0</v>
      </c>
    </row>
    <row r="480" spans="6:7" x14ac:dyDescent="0.25">
      <c r="F480" s="21">
        <f t="shared" si="13"/>
        <v>0</v>
      </c>
      <c r="G480" s="8" t="str">
        <f t="shared" si="12"/>
        <v xml:space="preserve"> 0</v>
      </c>
    </row>
    <row r="481" spans="6:7" x14ac:dyDescent="0.25">
      <c r="F481" s="21">
        <f t="shared" si="13"/>
        <v>0</v>
      </c>
      <c r="G481" s="8" t="str">
        <f t="shared" si="12"/>
        <v xml:space="preserve"> 0</v>
      </c>
    </row>
    <row r="482" spans="6:7" x14ac:dyDescent="0.25">
      <c r="F482" s="21">
        <f t="shared" si="13"/>
        <v>0</v>
      </c>
      <c r="G482" s="8" t="str">
        <f t="shared" si="12"/>
        <v xml:space="preserve"> 0</v>
      </c>
    </row>
    <row r="483" spans="6:7" x14ac:dyDescent="0.25">
      <c r="F483" s="21">
        <f t="shared" si="13"/>
        <v>0</v>
      </c>
      <c r="G483" s="8" t="str">
        <f t="shared" si="12"/>
        <v xml:space="preserve"> 0</v>
      </c>
    </row>
    <row r="484" spans="6:7" x14ac:dyDescent="0.25">
      <c r="F484" s="21">
        <f t="shared" si="13"/>
        <v>0</v>
      </c>
      <c r="G484" s="8" t="str">
        <f t="shared" si="12"/>
        <v xml:space="preserve"> 0</v>
      </c>
    </row>
    <row r="485" spans="6:7" x14ac:dyDescent="0.25">
      <c r="F485" s="21">
        <f t="shared" si="13"/>
        <v>0</v>
      </c>
      <c r="G485" s="8" t="str">
        <f t="shared" si="12"/>
        <v xml:space="preserve"> 0</v>
      </c>
    </row>
    <row r="486" spans="6:7" x14ac:dyDescent="0.25">
      <c r="F486" s="21">
        <f t="shared" si="13"/>
        <v>0</v>
      </c>
      <c r="G486" s="8" t="str">
        <f t="shared" si="12"/>
        <v xml:space="preserve"> 0</v>
      </c>
    </row>
    <row r="487" spans="6:7" x14ac:dyDescent="0.25">
      <c r="F487" s="21">
        <f t="shared" si="13"/>
        <v>0</v>
      </c>
      <c r="G487" s="8" t="str">
        <f t="shared" si="12"/>
        <v xml:space="preserve"> 0</v>
      </c>
    </row>
    <row r="488" spans="6:7" x14ac:dyDescent="0.25">
      <c r="F488" s="21">
        <f t="shared" si="13"/>
        <v>0</v>
      </c>
      <c r="G488" s="8" t="str">
        <f t="shared" si="12"/>
        <v xml:space="preserve"> 0</v>
      </c>
    </row>
    <row r="489" spans="6:7" x14ac:dyDescent="0.25">
      <c r="F489" s="21">
        <f t="shared" si="13"/>
        <v>0</v>
      </c>
      <c r="G489" s="8" t="str">
        <f t="shared" si="12"/>
        <v xml:space="preserve"> 0</v>
      </c>
    </row>
    <row r="490" spans="6:7" x14ac:dyDescent="0.25">
      <c r="F490" s="21">
        <f t="shared" si="13"/>
        <v>0</v>
      </c>
      <c r="G490" s="8" t="str">
        <f t="shared" si="12"/>
        <v xml:space="preserve"> 0</v>
      </c>
    </row>
    <row r="491" spans="6:7" x14ac:dyDescent="0.25">
      <c r="F491" s="21">
        <f t="shared" si="13"/>
        <v>0</v>
      </c>
      <c r="G491" s="8" t="str">
        <f t="shared" si="12"/>
        <v xml:space="preserve"> 0</v>
      </c>
    </row>
    <row r="492" spans="6:7" x14ac:dyDescent="0.25">
      <c r="F492" s="21">
        <f t="shared" si="13"/>
        <v>0</v>
      </c>
      <c r="G492" s="8" t="str">
        <f t="shared" si="12"/>
        <v xml:space="preserve"> 0</v>
      </c>
    </row>
    <row r="493" spans="6:7" x14ac:dyDescent="0.25">
      <c r="F493" s="21">
        <f t="shared" si="13"/>
        <v>0</v>
      </c>
      <c r="G493" s="8" t="str">
        <f t="shared" si="12"/>
        <v xml:space="preserve"> 0</v>
      </c>
    </row>
    <row r="494" spans="6:7" x14ac:dyDescent="0.25">
      <c r="F494" s="21">
        <f t="shared" si="13"/>
        <v>0</v>
      </c>
      <c r="G494" s="8" t="str">
        <f t="shared" si="12"/>
        <v xml:space="preserve"> 0</v>
      </c>
    </row>
    <row r="495" spans="6:7" x14ac:dyDescent="0.25">
      <c r="F495" s="21">
        <f t="shared" si="13"/>
        <v>0</v>
      </c>
      <c r="G495" s="8" t="str">
        <f t="shared" si="12"/>
        <v xml:space="preserve"> 0</v>
      </c>
    </row>
    <row r="496" spans="6:7" x14ac:dyDescent="0.25">
      <c r="F496" s="21">
        <f t="shared" si="13"/>
        <v>0</v>
      </c>
      <c r="G496" s="8" t="str">
        <f t="shared" si="12"/>
        <v xml:space="preserve"> 0</v>
      </c>
    </row>
    <row r="497" spans="6:7" x14ac:dyDescent="0.25">
      <c r="F497" s="21">
        <f t="shared" si="13"/>
        <v>0</v>
      </c>
      <c r="G497" s="8" t="str">
        <f t="shared" si="12"/>
        <v xml:space="preserve"> 0</v>
      </c>
    </row>
    <row r="498" spans="6:7" x14ac:dyDescent="0.25">
      <c r="F498" s="21">
        <f t="shared" si="13"/>
        <v>0</v>
      </c>
      <c r="G498" s="8" t="str">
        <f t="shared" si="12"/>
        <v xml:space="preserve"> 0</v>
      </c>
    </row>
    <row r="499" spans="6:7" x14ac:dyDescent="0.25">
      <c r="F499" s="21">
        <f t="shared" si="13"/>
        <v>0</v>
      </c>
      <c r="G499" s="8" t="str">
        <f t="shared" si="12"/>
        <v xml:space="preserve"> 0</v>
      </c>
    </row>
    <row r="500" spans="6:7" x14ac:dyDescent="0.25">
      <c r="F500" s="21">
        <f t="shared" si="13"/>
        <v>0</v>
      </c>
      <c r="G500" s="8" t="str">
        <f t="shared" si="12"/>
        <v xml:space="preserve"> 0</v>
      </c>
    </row>
    <row r="501" spans="6:7" x14ac:dyDescent="0.25">
      <c r="F501" s="21">
        <f t="shared" si="13"/>
        <v>0</v>
      </c>
      <c r="G501" s="8" t="str">
        <f t="shared" si="12"/>
        <v xml:space="preserve"> 0</v>
      </c>
    </row>
    <row r="502" spans="6:7" x14ac:dyDescent="0.25">
      <c r="F502" s="21">
        <f t="shared" si="13"/>
        <v>0</v>
      </c>
      <c r="G502" s="8" t="str">
        <f t="shared" si="12"/>
        <v xml:space="preserve"> 0</v>
      </c>
    </row>
    <row r="503" spans="6:7" x14ac:dyDescent="0.25">
      <c r="F503" s="21">
        <f t="shared" si="13"/>
        <v>0</v>
      </c>
      <c r="G503" s="8" t="str">
        <f t="shared" si="12"/>
        <v xml:space="preserve"> 0</v>
      </c>
    </row>
    <row r="504" spans="6:7" x14ac:dyDescent="0.25">
      <c r="F504" s="21">
        <f t="shared" si="13"/>
        <v>0</v>
      </c>
      <c r="G504" s="8" t="str">
        <f t="shared" si="12"/>
        <v xml:space="preserve"> 0</v>
      </c>
    </row>
    <row r="505" spans="6:7" x14ac:dyDescent="0.25">
      <c r="F505" s="21">
        <f t="shared" si="13"/>
        <v>0</v>
      </c>
      <c r="G505" s="8" t="str">
        <f t="shared" si="12"/>
        <v xml:space="preserve"> 0</v>
      </c>
    </row>
    <row r="506" spans="6:7" x14ac:dyDescent="0.25">
      <c r="F506" s="21">
        <f t="shared" si="13"/>
        <v>0</v>
      </c>
      <c r="G506" s="8" t="str">
        <f t="shared" si="12"/>
        <v xml:space="preserve"> 0</v>
      </c>
    </row>
    <row r="507" spans="6:7" x14ac:dyDescent="0.25">
      <c r="F507" s="21">
        <f t="shared" si="13"/>
        <v>0</v>
      </c>
      <c r="G507" s="8" t="str">
        <f t="shared" si="12"/>
        <v xml:space="preserve"> 0</v>
      </c>
    </row>
    <row r="508" spans="6:7" x14ac:dyDescent="0.25">
      <c r="F508" s="21">
        <f t="shared" si="13"/>
        <v>0</v>
      </c>
      <c r="G508" s="8" t="str">
        <f t="shared" si="12"/>
        <v xml:space="preserve"> 0</v>
      </c>
    </row>
    <row r="509" spans="6:7" x14ac:dyDescent="0.25">
      <c r="F509" s="21">
        <f t="shared" si="13"/>
        <v>0</v>
      </c>
      <c r="G509" s="8" t="str">
        <f t="shared" si="12"/>
        <v xml:space="preserve"> 0</v>
      </c>
    </row>
    <row r="510" spans="6:7" x14ac:dyDescent="0.25">
      <c r="F510" s="21">
        <f t="shared" si="13"/>
        <v>0</v>
      </c>
      <c r="G510" s="8" t="str">
        <f t="shared" si="12"/>
        <v xml:space="preserve"> 0</v>
      </c>
    </row>
    <row r="511" spans="6:7" x14ac:dyDescent="0.25">
      <c r="F511" s="21">
        <f t="shared" si="13"/>
        <v>0</v>
      </c>
      <c r="G511" s="8" t="str">
        <f t="shared" si="12"/>
        <v xml:space="preserve"> 0</v>
      </c>
    </row>
    <row r="512" spans="6:7" x14ac:dyDescent="0.25">
      <c r="F512" s="21">
        <f t="shared" si="13"/>
        <v>0</v>
      </c>
      <c r="G512" s="8" t="str">
        <f t="shared" si="12"/>
        <v xml:space="preserve"> 0</v>
      </c>
    </row>
    <row r="513" spans="6:7" x14ac:dyDescent="0.25">
      <c r="F513" s="21">
        <f t="shared" si="13"/>
        <v>0</v>
      </c>
      <c r="G513" s="8" t="str">
        <f t="shared" si="12"/>
        <v xml:space="preserve"> 0</v>
      </c>
    </row>
    <row r="514" spans="6:7" x14ac:dyDescent="0.25">
      <c r="F514" s="21">
        <f t="shared" si="13"/>
        <v>0</v>
      </c>
      <c r="G514" s="8" t="str">
        <f t="shared" si="12"/>
        <v xml:space="preserve"> 0</v>
      </c>
    </row>
    <row r="515" spans="6:7" x14ac:dyDescent="0.25">
      <c r="F515" s="21">
        <f t="shared" si="13"/>
        <v>0</v>
      </c>
      <c r="G515" s="8" t="str">
        <f t="shared" ref="G515:G543" si="14">E515&amp;" "&amp;F515</f>
        <v xml:space="preserve"> 0</v>
      </c>
    </row>
    <row r="516" spans="6:7" x14ac:dyDescent="0.25">
      <c r="F516" s="21">
        <f t="shared" si="13"/>
        <v>0</v>
      </c>
      <c r="G516" s="8" t="str">
        <f t="shared" si="14"/>
        <v xml:space="preserve"> 0</v>
      </c>
    </row>
    <row r="517" spans="6:7" x14ac:dyDescent="0.25">
      <c r="F517" s="21">
        <f t="shared" si="13"/>
        <v>0</v>
      </c>
      <c r="G517" s="8" t="str">
        <f t="shared" si="14"/>
        <v xml:space="preserve"> 0</v>
      </c>
    </row>
    <row r="518" spans="6:7" x14ac:dyDescent="0.25">
      <c r="F518" s="21">
        <f t="shared" si="13"/>
        <v>0</v>
      </c>
      <c r="G518" s="8" t="str">
        <f t="shared" si="14"/>
        <v xml:space="preserve"> 0</v>
      </c>
    </row>
    <row r="519" spans="6:7" x14ac:dyDescent="0.25">
      <c r="F519" s="21">
        <f t="shared" si="13"/>
        <v>0</v>
      </c>
      <c r="G519" s="8" t="str">
        <f t="shared" si="14"/>
        <v xml:space="preserve"> 0</v>
      </c>
    </row>
    <row r="520" spans="6:7" x14ac:dyDescent="0.25">
      <c r="F520" s="21">
        <f t="shared" si="13"/>
        <v>0</v>
      </c>
      <c r="G520" s="8" t="str">
        <f t="shared" si="14"/>
        <v xml:space="preserve"> 0</v>
      </c>
    </row>
    <row r="521" spans="6:7" x14ac:dyDescent="0.25">
      <c r="F521" s="21">
        <f t="shared" si="13"/>
        <v>0</v>
      </c>
      <c r="G521" s="8" t="str">
        <f t="shared" si="14"/>
        <v xml:space="preserve"> 0</v>
      </c>
    </row>
    <row r="522" spans="6:7" x14ac:dyDescent="0.25">
      <c r="F522" s="21">
        <f t="shared" si="13"/>
        <v>0</v>
      </c>
      <c r="G522" s="8" t="str">
        <f t="shared" si="14"/>
        <v xml:space="preserve"> 0</v>
      </c>
    </row>
    <row r="523" spans="6:7" x14ac:dyDescent="0.25">
      <c r="F523" s="21">
        <f t="shared" si="13"/>
        <v>0</v>
      </c>
      <c r="G523" s="8" t="str">
        <f t="shared" si="14"/>
        <v xml:space="preserve"> 0</v>
      </c>
    </row>
    <row r="524" spans="6:7" x14ac:dyDescent="0.25">
      <c r="F524" s="21">
        <f t="shared" si="13"/>
        <v>0</v>
      </c>
      <c r="G524" s="8" t="str">
        <f t="shared" si="14"/>
        <v xml:space="preserve"> 0</v>
      </c>
    </row>
    <row r="525" spans="6:7" x14ac:dyDescent="0.25">
      <c r="F525" s="21">
        <f t="shared" si="13"/>
        <v>0</v>
      </c>
      <c r="G525" s="8" t="str">
        <f t="shared" si="14"/>
        <v xml:space="preserve"> 0</v>
      </c>
    </row>
    <row r="526" spans="6:7" x14ac:dyDescent="0.25">
      <c r="F526" s="21">
        <f t="shared" si="13"/>
        <v>0</v>
      </c>
      <c r="G526" s="8" t="str">
        <f t="shared" si="14"/>
        <v xml:space="preserve"> 0</v>
      </c>
    </row>
    <row r="527" spans="6:7" x14ac:dyDescent="0.25">
      <c r="F527" s="21">
        <f t="shared" si="13"/>
        <v>0</v>
      </c>
      <c r="G527" s="8" t="str">
        <f t="shared" si="14"/>
        <v xml:space="preserve"> 0</v>
      </c>
    </row>
    <row r="528" spans="6:7" x14ac:dyDescent="0.25">
      <c r="F528" s="21">
        <f t="shared" si="13"/>
        <v>0</v>
      </c>
      <c r="G528" s="8" t="str">
        <f t="shared" si="14"/>
        <v xml:space="preserve"> 0</v>
      </c>
    </row>
    <row r="529" spans="6:7" x14ac:dyDescent="0.25">
      <c r="F529" s="21">
        <f t="shared" si="13"/>
        <v>0</v>
      </c>
      <c r="G529" s="8" t="str">
        <f t="shared" si="14"/>
        <v xml:space="preserve"> 0</v>
      </c>
    </row>
    <row r="530" spans="6:7" x14ac:dyDescent="0.25">
      <c r="F530" s="21">
        <f t="shared" si="13"/>
        <v>0</v>
      </c>
      <c r="G530" s="8" t="str">
        <f t="shared" si="14"/>
        <v xml:space="preserve"> 0</v>
      </c>
    </row>
    <row r="531" spans="6:7" x14ac:dyDescent="0.25">
      <c r="F531" s="21">
        <f t="shared" si="13"/>
        <v>0</v>
      </c>
      <c r="G531" s="8" t="str">
        <f t="shared" si="14"/>
        <v xml:space="preserve"> 0</v>
      </c>
    </row>
    <row r="532" spans="6:7" x14ac:dyDescent="0.25">
      <c r="F532" s="21">
        <f t="shared" si="13"/>
        <v>0</v>
      </c>
      <c r="G532" s="8" t="str">
        <f t="shared" si="14"/>
        <v xml:space="preserve"> 0</v>
      </c>
    </row>
    <row r="533" spans="6:7" x14ac:dyDescent="0.25">
      <c r="F533" s="21">
        <f t="shared" si="13"/>
        <v>0</v>
      </c>
      <c r="G533" s="8" t="str">
        <f t="shared" si="14"/>
        <v xml:space="preserve"> 0</v>
      </c>
    </row>
    <row r="534" spans="6:7" x14ac:dyDescent="0.25">
      <c r="F534" s="21">
        <f t="shared" si="13"/>
        <v>0</v>
      </c>
      <c r="G534" s="8" t="str">
        <f t="shared" si="14"/>
        <v xml:space="preserve"> 0</v>
      </c>
    </row>
    <row r="535" spans="6:7" x14ac:dyDescent="0.25">
      <c r="F535" s="21">
        <f t="shared" si="13"/>
        <v>0</v>
      </c>
      <c r="G535" s="8" t="str">
        <f t="shared" si="14"/>
        <v xml:space="preserve"> 0</v>
      </c>
    </row>
    <row r="536" spans="6:7" x14ac:dyDescent="0.25">
      <c r="F536" s="21">
        <f t="shared" si="13"/>
        <v>0</v>
      </c>
      <c r="G536" s="8" t="str">
        <f t="shared" si="14"/>
        <v xml:space="preserve"> 0</v>
      </c>
    </row>
    <row r="537" spans="6:7" x14ac:dyDescent="0.25">
      <c r="F537" s="21">
        <f t="shared" si="13"/>
        <v>0</v>
      </c>
      <c r="G537" s="8" t="str">
        <f t="shared" si="14"/>
        <v xml:space="preserve"> 0</v>
      </c>
    </row>
    <row r="538" spans="6:7" x14ac:dyDescent="0.25">
      <c r="F538" s="21">
        <f t="shared" ref="F538:F543" si="15">B538</f>
        <v>0</v>
      </c>
      <c r="G538" s="8" t="str">
        <f t="shared" si="14"/>
        <v xml:space="preserve"> 0</v>
      </c>
    </row>
    <row r="539" spans="6:7" x14ac:dyDescent="0.25">
      <c r="F539" s="21">
        <f t="shared" si="15"/>
        <v>0</v>
      </c>
      <c r="G539" s="8" t="str">
        <f t="shared" si="14"/>
        <v xml:space="preserve"> 0</v>
      </c>
    </row>
    <row r="540" spans="6:7" x14ac:dyDescent="0.25">
      <c r="F540" s="21">
        <f t="shared" si="15"/>
        <v>0</v>
      </c>
      <c r="G540" s="8" t="str">
        <f t="shared" si="14"/>
        <v xml:space="preserve"> 0</v>
      </c>
    </row>
    <row r="541" spans="6:7" x14ac:dyDescent="0.25">
      <c r="F541" s="21">
        <f t="shared" si="15"/>
        <v>0</v>
      </c>
      <c r="G541" s="8" t="str">
        <f t="shared" si="14"/>
        <v xml:space="preserve"> 0</v>
      </c>
    </row>
    <row r="542" spans="6:7" x14ac:dyDescent="0.25">
      <c r="F542" s="21">
        <f t="shared" si="15"/>
        <v>0</v>
      </c>
      <c r="G542" s="8" t="str">
        <f t="shared" si="14"/>
        <v xml:space="preserve"> 0</v>
      </c>
    </row>
    <row r="543" spans="6:7" x14ac:dyDescent="0.25">
      <c r="F543" s="21">
        <f t="shared" si="15"/>
        <v>0</v>
      </c>
      <c r="G543" s="8" t="str">
        <f t="shared" si="14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33" customWidth="1"/>
    <col min="2" max="2" width="8.42578125" style="133" bestFit="1" customWidth="1"/>
    <col min="3" max="3" width="12.5703125" style="133" bestFit="1" customWidth="1"/>
    <col min="4" max="4" width="18.5703125" style="153" bestFit="1" customWidth="1"/>
    <col min="5" max="5" width="9.85546875" style="133" bestFit="1" customWidth="1"/>
    <col min="6" max="6" width="9" style="133" bestFit="1" customWidth="1"/>
    <col min="7" max="7" width="8.85546875" style="133" bestFit="1" customWidth="1"/>
    <col min="8" max="8" width="14" style="133" bestFit="1" customWidth="1"/>
    <col min="9" max="9" width="21.140625" style="133" bestFit="1" customWidth="1"/>
    <col min="10" max="10" width="8.7109375" style="133" bestFit="1" customWidth="1"/>
    <col min="11" max="11" width="11.28515625" style="133" bestFit="1" customWidth="1"/>
    <col min="12" max="12" width="11" style="133" bestFit="1" customWidth="1"/>
    <col min="13" max="13" width="11.28515625" style="133" bestFit="1" customWidth="1"/>
    <col min="14" max="14" width="13.7109375" style="133" bestFit="1" customWidth="1"/>
    <col min="15" max="15" width="14.85546875" style="133" bestFit="1" customWidth="1"/>
    <col min="16" max="16" width="16.7109375" style="133" bestFit="1" customWidth="1"/>
    <col min="17" max="17" width="9.42578125" style="133" bestFit="1" customWidth="1"/>
    <col min="18" max="16384" width="9.140625" style="133"/>
  </cols>
  <sheetData>
    <row r="1" spans="1:18" s="134" customFormat="1" x14ac:dyDescent="0.25">
      <c r="A1" s="164" t="s">
        <v>165</v>
      </c>
      <c r="B1" s="164" t="s">
        <v>168</v>
      </c>
      <c r="C1" s="164" t="s">
        <v>161</v>
      </c>
      <c r="D1" s="159" t="s">
        <v>173</v>
      </c>
      <c r="E1" s="164" t="s">
        <v>162</v>
      </c>
      <c r="F1" s="164" t="s">
        <v>160</v>
      </c>
      <c r="G1" s="164" t="s">
        <v>158</v>
      </c>
      <c r="H1" s="164" t="s">
        <v>171</v>
      </c>
      <c r="I1" s="164" t="s">
        <v>172</v>
      </c>
      <c r="J1" s="164" t="s">
        <v>166</v>
      </c>
      <c r="K1" s="164" t="s">
        <v>164</v>
      </c>
      <c r="L1" s="164" t="s">
        <v>159</v>
      </c>
      <c r="M1" s="164" t="s">
        <v>169</v>
      </c>
      <c r="N1" s="164" t="s">
        <v>163</v>
      </c>
      <c r="O1" s="164" t="s">
        <v>170</v>
      </c>
      <c r="P1" s="164" t="s">
        <v>167</v>
      </c>
      <c r="Q1"/>
      <c r="R1"/>
    </row>
    <row r="2" spans="1:18" x14ac:dyDescent="0.25">
      <c r="A2" s="165">
        <v>26.7</v>
      </c>
      <c r="B2" s="165">
        <v>0.28000000000000003</v>
      </c>
      <c r="C2" s="165">
        <v>9.84</v>
      </c>
      <c r="D2" s="8">
        <v>42704</v>
      </c>
      <c r="E2" s="165">
        <v>0.48</v>
      </c>
      <c r="F2" s="165" t="s">
        <v>306</v>
      </c>
      <c r="G2" s="165">
        <v>299.70999999999998</v>
      </c>
      <c r="H2" s="165">
        <v>0</v>
      </c>
      <c r="I2" s="165">
        <v>0</v>
      </c>
      <c r="J2" s="165">
        <v>1018.71</v>
      </c>
      <c r="K2" s="165" t="s">
        <v>337</v>
      </c>
      <c r="L2" s="165">
        <v>26.7</v>
      </c>
      <c r="M2" s="165">
        <v>1480489200</v>
      </c>
      <c r="N2" s="165">
        <v>5.5</v>
      </c>
      <c r="O2" s="165">
        <v>205</v>
      </c>
      <c r="P2" s="165">
        <v>2.48</v>
      </c>
      <c r="Q2"/>
      <c r="R2"/>
    </row>
    <row r="3" spans="1:18" x14ac:dyDescent="0.25">
      <c r="A3" s="165">
        <v>24.7</v>
      </c>
      <c r="B3" s="165">
        <v>0.25</v>
      </c>
      <c r="C3" s="165">
        <v>8.8800000000000008</v>
      </c>
      <c r="D3" s="8">
        <v>42704.041666666664</v>
      </c>
      <c r="E3" s="165">
        <v>0.5</v>
      </c>
      <c r="F3" s="165" t="s">
        <v>306</v>
      </c>
      <c r="G3" s="165">
        <v>300.67</v>
      </c>
      <c r="H3" s="165">
        <v>0</v>
      </c>
      <c r="I3" s="165">
        <v>0</v>
      </c>
      <c r="J3" s="165">
        <v>1018.72</v>
      </c>
      <c r="K3" s="165" t="s">
        <v>337</v>
      </c>
      <c r="L3" s="165">
        <v>24.7</v>
      </c>
      <c r="M3" s="165">
        <v>1480492800</v>
      </c>
      <c r="N3" s="165">
        <v>5.2</v>
      </c>
      <c r="O3" s="165">
        <v>176</v>
      </c>
      <c r="P3" s="165">
        <v>2.2599999999999998</v>
      </c>
      <c r="Q3"/>
      <c r="R3"/>
    </row>
    <row r="4" spans="1:18" x14ac:dyDescent="0.25">
      <c r="A4" s="165">
        <v>23.39</v>
      </c>
      <c r="B4" s="165">
        <v>0.16</v>
      </c>
      <c r="C4" s="165">
        <v>8.8699999999999992</v>
      </c>
      <c r="D4" s="8">
        <v>42704.083333333336</v>
      </c>
      <c r="E4" s="165">
        <v>0.53</v>
      </c>
      <c r="F4" s="165" t="s">
        <v>745</v>
      </c>
      <c r="G4" s="165">
        <v>301.62</v>
      </c>
      <c r="H4" s="165">
        <v>0</v>
      </c>
      <c r="I4" s="165">
        <v>0</v>
      </c>
      <c r="J4" s="165">
        <v>1018.74</v>
      </c>
      <c r="K4" s="165" t="s">
        <v>746</v>
      </c>
      <c r="L4" s="165">
        <v>23.39</v>
      </c>
      <c r="M4" s="165">
        <v>1480496400</v>
      </c>
      <c r="N4" s="165">
        <v>4.34</v>
      </c>
      <c r="O4" s="165">
        <v>165</v>
      </c>
      <c r="P4" s="165">
        <v>1.6</v>
      </c>
      <c r="Q4"/>
      <c r="R4"/>
    </row>
    <row r="5" spans="1:18" x14ac:dyDescent="0.25">
      <c r="A5" s="165">
        <v>18.77</v>
      </c>
      <c r="B5" s="165">
        <v>0.14000000000000001</v>
      </c>
      <c r="C5" s="165">
        <v>8.59</v>
      </c>
      <c r="D5" s="8">
        <v>42704.125</v>
      </c>
      <c r="E5" s="165">
        <v>0.54</v>
      </c>
      <c r="F5" s="165" t="s">
        <v>745</v>
      </c>
      <c r="G5" s="165">
        <v>302.77</v>
      </c>
      <c r="H5" s="165">
        <v>0</v>
      </c>
      <c r="I5" s="165">
        <v>0</v>
      </c>
      <c r="J5" s="165">
        <v>1018.98</v>
      </c>
      <c r="K5" s="165" t="s">
        <v>746</v>
      </c>
      <c r="L5" s="165">
        <v>22.69</v>
      </c>
      <c r="M5" s="165">
        <v>1480500000</v>
      </c>
      <c r="N5" s="165">
        <v>3.83</v>
      </c>
      <c r="O5" s="165">
        <v>186</v>
      </c>
      <c r="P5" s="165">
        <v>3.01</v>
      </c>
      <c r="Q5"/>
      <c r="R5"/>
    </row>
    <row r="6" spans="1:18" x14ac:dyDescent="0.25">
      <c r="A6" s="165">
        <v>22.14</v>
      </c>
      <c r="B6" s="165">
        <v>0.2</v>
      </c>
      <c r="C6" s="165">
        <v>7.87</v>
      </c>
      <c r="D6" s="8">
        <v>42704.166666666664</v>
      </c>
      <c r="E6" s="165">
        <v>0.54</v>
      </c>
      <c r="F6" s="165" t="s">
        <v>745</v>
      </c>
      <c r="G6" s="165">
        <v>303.93</v>
      </c>
      <c r="H6" s="165">
        <v>0</v>
      </c>
      <c r="I6" s="165">
        <v>0</v>
      </c>
      <c r="J6" s="165">
        <v>1019.37</v>
      </c>
      <c r="K6" s="165" t="s">
        <v>746</v>
      </c>
      <c r="L6" s="165">
        <v>22.14</v>
      </c>
      <c r="M6" s="165">
        <v>1480503600</v>
      </c>
      <c r="N6" s="165">
        <v>4.08</v>
      </c>
      <c r="O6" s="165">
        <v>196</v>
      </c>
      <c r="P6" s="165">
        <v>2.71</v>
      </c>
      <c r="Q6"/>
      <c r="R6"/>
    </row>
    <row r="7" spans="1:18" x14ac:dyDescent="0.25">
      <c r="A7" s="165">
        <v>17.690000000000001</v>
      </c>
      <c r="B7" s="165">
        <v>0.21</v>
      </c>
      <c r="C7" s="165">
        <v>6.42</v>
      </c>
      <c r="D7" s="8">
        <v>42704.208333333336</v>
      </c>
      <c r="E7" s="165">
        <v>0.51</v>
      </c>
      <c r="F7" s="165" t="s">
        <v>745</v>
      </c>
      <c r="G7" s="165">
        <v>304.62</v>
      </c>
      <c r="H7" s="165">
        <v>0</v>
      </c>
      <c r="I7" s="165">
        <v>0</v>
      </c>
      <c r="J7" s="165">
        <v>1019.79</v>
      </c>
      <c r="K7" s="165" t="s">
        <v>746</v>
      </c>
      <c r="L7" s="165">
        <v>21.74</v>
      </c>
      <c r="M7" s="165">
        <v>1480507200</v>
      </c>
      <c r="N7" s="165">
        <v>6.04</v>
      </c>
      <c r="O7" s="165">
        <v>194</v>
      </c>
      <c r="P7" s="165">
        <v>3.01</v>
      </c>
      <c r="Q7"/>
      <c r="R7"/>
    </row>
    <row r="8" spans="1:18" x14ac:dyDescent="0.25">
      <c r="A8" s="165">
        <v>22.04</v>
      </c>
      <c r="B8" s="165">
        <v>0.24</v>
      </c>
      <c r="C8" s="165">
        <v>6.96</v>
      </c>
      <c r="D8" s="8">
        <v>42704.25</v>
      </c>
      <c r="E8" s="165">
        <v>0.52</v>
      </c>
      <c r="F8" s="165" t="s">
        <v>745</v>
      </c>
      <c r="G8" s="165">
        <v>304.75</v>
      </c>
      <c r="H8" s="165">
        <v>0</v>
      </c>
      <c r="I8" s="165">
        <v>0</v>
      </c>
      <c r="J8" s="165">
        <v>1020.02</v>
      </c>
      <c r="K8" s="165" t="s">
        <v>746</v>
      </c>
      <c r="L8" s="165">
        <v>22.04</v>
      </c>
      <c r="M8" s="165">
        <v>1480510800</v>
      </c>
      <c r="N8" s="165">
        <v>4.33</v>
      </c>
      <c r="O8" s="165">
        <v>236</v>
      </c>
      <c r="P8" s="165">
        <v>2.69</v>
      </c>
      <c r="Q8"/>
      <c r="R8"/>
    </row>
    <row r="9" spans="1:18" x14ac:dyDescent="0.25">
      <c r="A9" s="165">
        <v>21.64</v>
      </c>
      <c r="B9" s="165">
        <v>0.22</v>
      </c>
      <c r="C9" s="165">
        <v>7.24</v>
      </c>
      <c r="D9" s="8">
        <v>42704.291666666664</v>
      </c>
      <c r="E9" s="165">
        <v>0.53</v>
      </c>
      <c r="F9" s="165" t="s">
        <v>745</v>
      </c>
      <c r="G9" s="165">
        <v>304.39999999999998</v>
      </c>
      <c r="H9" s="165">
        <v>0</v>
      </c>
      <c r="I9" s="165">
        <v>0</v>
      </c>
      <c r="J9" s="165">
        <v>1020.1</v>
      </c>
      <c r="K9" s="165" t="s">
        <v>746</v>
      </c>
      <c r="L9" s="165">
        <v>21.64</v>
      </c>
      <c r="M9" s="165">
        <v>1480514400</v>
      </c>
      <c r="N9" s="165">
        <v>3.64</v>
      </c>
      <c r="O9" s="165">
        <v>245</v>
      </c>
      <c r="P9" s="165">
        <v>2.5499999999999998</v>
      </c>
      <c r="Q9"/>
      <c r="R9"/>
    </row>
    <row r="10" spans="1:18" x14ac:dyDescent="0.25">
      <c r="A10" s="165">
        <v>22.38</v>
      </c>
      <c r="B10" s="165">
        <v>0.24</v>
      </c>
      <c r="C10" s="165">
        <v>8.1999999999999993</v>
      </c>
      <c r="D10" s="8">
        <v>42704.333333333336</v>
      </c>
      <c r="E10" s="165">
        <v>0.54</v>
      </c>
      <c r="F10" s="165" t="s">
        <v>747</v>
      </c>
      <c r="G10" s="165">
        <v>303.33999999999997</v>
      </c>
      <c r="H10" s="165">
        <v>0</v>
      </c>
      <c r="I10" s="165">
        <v>0</v>
      </c>
      <c r="J10" s="165">
        <v>1019.64</v>
      </c>
      <c r="K10" s="165" t="s">
        <v>746</v>
      </c>
      <c r="L10" s="165">
        <v>22.38</v>
      </c>
      <c r="M10" s="165">
        <v>1480518000</v>
      </c>
      <c r="N10" s="165">
        <v>2.87</v>
      </c>
      <c r="O10" s="165">
        <v>248</v>
      </c>
      <c r="P10" s="165">
        <v>2.25</v>
      </c>
      <c r="Q10"/>
      <c r="R10"/>
    </row>
    <row r="11" spans="1:18" x14ac:dyDescent="0.25">
      <c r="A11" s="165">
        <v>27.07</v>
      </c>
      <c r="B11" s="165">
        <v>0.27</v>
      </c>
      <c r="C11" s="165">
        <v>10.68</v>
      </c>
      <c r="D11" s="8">
        <v>42704.375</v>
      </c>
      <c r="E11" s="165">
        <v>0.49</v>
      </c>
      <c r="F11" s="165" t="s">
        <v>307</v>
      </c>
      <c r="G11" s="165">
        <v>301.86</v>
      </c>
      <c r="H11" s="165">
        <v>0</v>
      </c>
      <c r="I11" s="165">
        <v>0</v>
      </c>
      <c r="J11" s="165">
        <v>1018.39</v>
      </c>
      <c r="K11" s="165" t="s">
        <v>337</v>
      </c>
      <c r="L11" s="165">
        <v>27.07</v>
      </c>
      <c r="M11" s="165">
        <v>1480521600</v>
      </c>
      <c r="N11" s="165">
        <v>2.76</v>
      </c>
      <c r="O11" s="165">
        <v>195</v>
      </c>
      <c r="P11" s="165">
        <v>1.98</v>
      </c>
      <c r="Q11"/>
      <c r="R11"/>
    </row>
    <row r="12" spans="1:18" x14ac:dyDescent="0.25">
      <c r="A12" s="165">
        <v>31.6</v>
      </c>
      <c r="B12" s="165">
        <v>0.27</v>
      </c>
      <c r="C12" s="165">
        <v>11.33</v>
      </c>
      <c r="D12" s="8">
        <v>42704.416666666664</v>
      </c>
      <c r="E12" s="165">
        <v>0.42</v>
      </c>
      <c r="F12" s="165" t="s">
        <v>307</v>
      </c>
      <c r="G12" s="165">
        <v>299.67</v>
      </c>
      <c r="H12" s="165">
        <v>0</v>
      </c>
      <c r="I12" s="165">
        <v>0</v>
      </c>
      <c r="J12" s="165">
        <v>1016.93</v>
      </c>
      <c r="K12" s="165" t="s">
        <v>337</v>
      </c>
      <c r="L12" s="165">
        <v>31.6</v>
      </c>
      <c r="M12" s="165">
        <v>1480525200</v>
      </c>
      <c r="N12" s="165">
        <v>2.73</v>
      </c>
      <c r="O12" s="165">
        <v>294</v>
      </c>
      <c r="P12" s="165">
        <v>0.31</v>
      </c>
      <c r="Q12"/>
      <c r="R12"/>
    </row>
    <row r="13" spans="1:18" x14ac:dyDescent="0.25">
      <c r="A13" s="165">
        <v>36.74</v>
      </c>
      <c r="B13" s="165">
        <v>0.3</v>
      </c>
      <c r="C13" s="165">
        <v>8.32</v>
      </c>
      <c r="D13" s="8">
        <v>42704.458333333336</v>
      </c>
      <c r="E13" s="165">
        <v>0.3</v>
      </c>
      <c r="F13" s="165" t="s">
        <v>307</v>
      </c>
      <c r="G13" s="165">
        <v>295.63</v>
      </c>
      <c r="H13" s="165">
        <v>0</v>
      </c>
      <c r="I13" s="165">
        <v>0</v>
      </c>
      <c r="J13" s="165">
        <v>1015.87</v>
      </c>
      <c r="K13" s="165" t="s">
        <v>337</v>
      </c>
      <c r="L13" s="165">
        <v>36.74</v>
      </c>
      <c r="M13" s="165">
        <v>1480528800</v>
      </c>
      <c r="N13" s="165">
        <v>2.72</v>
      </c>
      <c r="O13" s="165">
        <v>269</v>
      </c>
      <c r="P13" s="165">
        <v>1.76</v>
      </c>
      <c r="Q13"/>
      <c r="R13"/>
    </row>
    <row r="14" spans="1:18" x14ac:dyDescent="0.25">
      <c r="A14" s="165">
        <v>39.700000000000003</v>
      </c>
      <c r="B14" s="165">
        <v>0.3</v>
      </c>
      <c r="C14" s="165">
        <v>6.44</v>
      </c>
      <c r="D14" s="8">
        <v>42704.5</v>
      </c>
      <c r="E14" s="165">
        <v>0.25</v>
      </c>
      <c r="F14" s="165" t="s">
        <v>307</v>
      </c>
      <c r="G14" s="165">
        <v>288.2</v>
      </c>
      <c r="H14" s="165">
        <v>0</v>
      </c>
      <c r="I14" s="165">
        <v>0</v>
      </c>
      <c r="J14" s="165">
        <v>1015.03</v>
      </c>
      <c r="K14" s="165" t="s">
        <v>337</v>
      </c>
      <c r="L14" s="165">
        <v>39.700000000000003</v>
      </c>
      <c r="M14" s="165">
        <v>1480532400</v>
      </c>
      <c r="N14" s="165">
        <v>2.73</v>
      </c>
      <c r="O14" s="165">
        <v>341</v>
      </c>
      <c r="P14" s="165">
        <v>1.53</v>
      </c>
      <c r="Q14"/>
      <c r="R14"/>
    </row>
    <row r="15" spans="1:18" x14ac:dyDescent="0.25">
      <c r="A15" s="165">
        <v>40.630000000000003</v>
      </c>
      <c r="B15" s="165">
        <v>0.3</v>
      </c>
      <c r="C15" s="165">
        <v>6.62</v>
      </c>
      <c r="D15" s="8">
        <v>42704.541666666664</v>
      </c>
      <c r="E15" s="165">
        <v>0.24</v>
      </c>
      <c r="F15" s="165" t="s">
        <v>307</v>
      </c>
      <c r="G15" s="165">
        <v>278.91000000000003</v>
      </c>
      <c r="H15" s="165">
        <v>0</v>
      </c>
      <c r="I15" s="165">
        <v>0</v>
      </c>
      <c r="J15" s="165">
        <v>1014.5</v>
      </c>
      <c r="K15" s="165" t="s">
        <v>337</v>
      </c>
      <c r="L15" s="165">
        <v>40.630000000000003</v>
      </c>
      <c r="M15" s="165">
        <v>1480536000</v>
      </c>
      <c r="N15" s="165">
        <v>2.79</v>
      </c>
      <c r="O15" s="165">
        <v>341</v>
      </c>
      <c r="P15" s="165">
        <v>2.29</v>
      </c>
      <c r="Q15"/>
      <c r="R15"/>
    </row>
    <row r="16" spans="1:18" x14ac:dyDescent="0.25">
      <c r="A16" s="165">
        <v>38.71</v>
      </c>
      <c r="B16" s="165">
        <v>0.3</v>
      </c>
      <c r="C16" s="165">
        <v>6.66</v>
      </c>
      <c r="D16" s="8">
        <v>42704.583333333336</v>
      </c>
      <c r="E16" s="165">
        <v>0.24</v>
      </c>
      <c r="F16" s="165" t="s">
        <v>307</v>
      </c>
      <c r="G16" s="165">
        <v>271.20999999999998</v>
      </c>
      <c r="H16" s="165">
        <v>0</v>
      </c>
      <c r="I16" s="165">
        <v>0</v>
      </c>
      <c r="J16" s="165">
        <v>1014.46</v>
      </c>
      <c r="K16" s="165" t="s">
        <v>337</v>
      </c>
      <c r="L16" s="165">
        <v>41.12</v>
      </c>
      <c r="M16" s="165">
        <v>1480539600</v>
      </c>
      <c r="N16" s="165">
        <v>2.74</v>
      </c>
      <c r="O16" s="165">
        <v>354</v>
      </c>
      <c r="P16" s="165">
        <v>3.89</v>
      </c>
      <c r="Q16"/>
      <c r="R16"/>
    </row>
    <row r="17" spans="1:18" x14ac:dyDescent="0.25">
      <c r="A17" s="165">
        <v>37.409999999999997</v>
      </c>
      <c r="B17" s="165">
        <v>0.3</v>
      </c>
      <c r="C17" s="165">
        <v>6.22</v>
      </c>
      <c r="D17" s="8">
        <v>42704.625</v>
      </c>
      <c r="E17" s="165">
        <v>0.23</v>
      </c>
      <c r="F17" s="165" t="s">
        <v>307</v>
      </c>
      <c r="G17" s="165">
        <v>266.33999999999997</v>
      </c>
      <c r="H17" s="165">
        <v>0</v>
      </c>
      <c r="I17" s="165">
        <v>0</v>
      </c>
      <c r="J17" s="165">
        <v>1014.8</v>
      </c>
      <c r="K17" s="165" t="s">
        <v>337</v>
      </c>
      <c r="L17" s="165">
        <v>40.75</v>
      </c>
      <c r="M17" s="165">
        <v>1480543200</v>
      </c>
      <c r="N17" s="165">
        <v>2.79</v>
      </c>
      <c r="O17" s="165">
        <v>355</v>
      </c>
      <c r="P17" s="165">
        <v>4.92</v>
      </c>
      <c r="Q17"/>
      <c r="R17"/>
    </row>
    <row r="18" spans="1:18" x14ac:dyDescent="0.25">
      <c r="A18" s="165">
        <v>33.72</v>
      </c>
      <c r="B18" s="165">
        <v>0.3</v>
      </c>
      <c r="C18" s="165">
        <v>4.09</v>
      </c>
      <c r="D18" s="8">
        <v>42704.666666666664</v>
      </c>
      <c r="E18" s="165">
        <v>0.24</v>
      </c>
      <c r="F18" s="165" t="s">
        <v>307</v>
      </c>
      <c r="G18" s="165">
        <v>263.06</v>
      </c>
      <c r="H18" s="165">
        <v>0</v>
      </c>
      <c r="I18" s="165">
        <v>0</v>
      </c>
      <c r="J18" s="165">
        <v>1015.13</v>
      </c>
      <c r="K18" s="165" t="s">
        <v>337</v>
      </c>
      <c r="L18" s="165">
        <v>38.07</v>
      </c>
      <c r="M18" s="165">
        <v>1480546800</v>
      </c>
      <c r="N18" s="165">
        <v>5.15</v>
      </c>
      <c r="O18" s="165">
        <v>1</v>
      </c>
      <c r="P18" s="165">
        <v>5.62</v>
      </c>
      <c r="Q18"/>
      <c r="R18"/>
    </row>
    <row r="19" spans="1:18" x14ac:dyDescent="0.25">
      <c r="A19" s="165">
        <v>31.24</v>
      </c>
      <c r="B19" s="165">
        <v>0.24</v>
      </c>
      <c r="C19" s="165">
        <v>3.72</v>
      </c>
      <c r="D19" s="8">
        <v>42704.708333333336</v>
      </c>
      <c r="E19" s="165">
        <v>0.26</v>
      </c>
      <c r="F19" s="165" t="s">
        <v>745</v>
      </c>
      <c r="G19" s="165">
        <v>261.02999999999997</v>
      </c>
      <c r="H19" s="165">
        <v>0</v>
      </c>
      <c r="I19" s="165">
        <v>0</v>
      </c>
      <c r="J19" s="165">
        <v>1015.66</v>
      </c>
      <c r="K19" s="165" t="s">
        <v>746</v>
      </c>
      <c r="L19" s="165">
        <v>34.67</v>
      </c>
      <c r="M19" s="165">
        <v>1480550400</v>
      </c>
      <c r="N19" s="165">
        <v>10</v>
      </c>
      <c r="O19" s="165">
        <v>330</v>
      </c>
      <c r="P19" s="165">
        <v>3.93</v>
      </c>
      <c r="Q19"/>
      <c r="R19"/>
    </row>
    <row r="20" spans="1:18" x14ac:dyDescent="0.25">
      <c r="A20" s="165">
        <v>32.020000000000003</v>
      </c>
      <c r="B20" s="165">
        <v>0.06</v>
      </c>
      <c r="C20" s="165">
        <v>3.6</v>
      </c>
      <c r="D20" s="8">
        <v>42704.75</v>
      </c>
      <c r="E20" s="165">
        <v>0.28999999999999998</v>
      </c>
      <c r="F20" s="165" t="s">
        <v>745</v>
      </c>
      <c r="G20" s="165">
        <v>260.56</v>
      </c>
      <c r="H20" s="165">
        <v>0</v>
      </c>
      <c r="I20" s="165">
        <v>0</v>
      </c>
      <c r="J20" s="165">
        <v>1016.2</v>
      </c>
      <c r="K20" s="165" t="s">
        <v>746</v>
      </c>
      <c r="L20" s="165">
        <v>32.020000000000003</v>
      </c>
      <c r="M20" s="165">
        <v>1480554000</v>
      </c>
      <c r="N20" s="165">
        <v>6.18</v>
      </c>
      <c r="O20" s="165">
        <v>326</v>
      </c>
      <c r="P20" s="165">
        <v>2.06</v>
      </c>
      <c r="Q20"/>
      <c r="R20"/>
    </row>
    <row r="21" spans="1:18" x14ac:dyDescent="0.25">
      <c r="A21" s="165">
        <v>30.81</v>
      </c>
      <c r="B21" s="165">
        <v>0.03</v>
      </c>
      <c r="C21" s="165">
        <v>3.82</v>
      </c>
      <c r="D21" s="8">
        <v>42704.791666666664</v>
      </c>
      <c r="E21" s="165">
        <v>0.31</v>
      </c>
      <c r="F21" s="165" t="s">
        <v>745</v>
      </c>
      <c r="G21" s="165">
        <v>261.33999999999997</v>
      </c>
      <c r="H21" s="165">
        <v>0</v>
      </c>
      <c r="I21" s="165">
        <v>0</v>
      </c>
      <c r="J21" s="165">
        <v>1017.42</v>
      </c>
      <c r="K21" s="165" t="s">
        <v>746</v>
      </c>
      <c r="L21" s="165">
        <v>30.81</v>
      </c>
      <c r="M21" s="165">
        <v>1480557600</v>
      </c>
      <c r="N21" s="165">
        <v>7.36</v>
      </c>
      <c r="O21" s="165">
        <v>304</v>
      </c>
      <c r="P21" s="165">
        <v>1.98</v>
      </c>
      <c r="Q21"/>
      <c r="R21"/>
    </row>
    <row r="22" spans="1:18" x14ac:dyDescent="0.25">
      <c r="A22" s="165">
        <v>29.99</v>
      </c>
      <c r="B22" s="165">
        <v>0.06</v>
      </c>
      <c r="C22" s="165">
        <v>4.4800000000000004</v>
      </c>
      <c r="D22" s="8">
        <v>42704.833333333336</v>
      </c>
      <c r="E22" s="165">
        <v>0.33</v>
      </c>
      <c r="F22" s="165" t="s">
        <v>745</v>
      </c>
      <c r="G22" s="165">
        <v>262.08999999999997</v>
      </c>
      <c r="H22" s="165">
        <v>0</v>
      </c>
      <c r="I22" s="165">
        <v>0</v>
      </c>
      <c r="J22" s="165">
        <v>1018.51</v>
      </c>
      <c r="K22" s="165" t="s">
        <v>746</v>
      </c>
      <c r="L22" s="165">
        <v>29.99</v>
      </c>
      <c r="M22" s="165">
        <v>1480561200</v>
      </c>
      <c r="N22" s="165">
        <v>10</v>
      </c>
      <c r="O22" s="165">
        <v>270</v>
      </c>
      <c r="P22" s="165">
        <v>1.86</v>
      </c>
      <c r="Q22"/>
      <c r="R22"/>
    </row>
    <row r="23" spans="1:18" x14ac:dyDescent="0.25">
      <c r="A23" s="165">
        <v>28.3</v>
      </c>
      <c r="B23" s="165">
        <v>7.0000000000000007E-2</v>
      </c>
      <c r="C23" s="165">
        <v>4.37</v>
      </c>
      <c r="D23" s="8">
        <v>42704.875</v>
      </c>
      <c r="E23" s="165">
        <v>0.35</v>
      </c>
      <c r="F23" s="165" t="s">
        <v>745</v>
      </c>
      <c r="G23" s="165">
        <v>262.33999999999997</v>
      </c>
      <c r="H23" s="165">
        <v>0</v>
      </c>
      <c r="I23" s="165">
        <v>0</v>
      </c>
      <c r="J23" s="165">
        <v>1018.95</v>
      </c>
      <c r="K23" s="165" t="s">
        <v>746</v>
      </c>
      <c r="L23" s="165">
        <v>28.3</v>
      </c>
      <c r="M23" s="165">
        <v>1480564800</v>
      </c>
      <c r="N23" s="165">
        <v>5.85</v>
      </c>
      <c r="O23" s="165">
        <v>253</v>
      </c>
      <c r="P23" s="165">
        <v>1.94</v>
      </c>
      <c r="Q23"/>
      <c r="R23"/>
    </row>
    <row r="24" spans="1:18" x14ac:dyDescent="0.25">
      <c r="A24" s="165">
        <v>26.66</v>
      </c>
      <c r="B24" s="165">
        <v>7.0000000000000007E-2</v>
      </c>
      <c r="C24" s="165">
        <v>4.17</v>
      </c>
      <c r="D24" s="8">
        <v>42704.916666666664</v>
      </c>
      <c r="E24" s="165">
        <v>0.37</v>
      </c>
      <c r="F24" s="165" t="s">
        <v>745</v>
      </c>
      <c r="G24" s="165">
        <v>262.56</v>
      </c>
      <c r="H24" s="165">
        <v>0</v>
      </c>
      <c r="I24" s="165">
        <v>0</v>
      </c>
      <c r="J24" s="165">
        <v>1019.03</v>
      </c>
      <c r="K24" s="165" t="s">
        <v>746</v>
      </c>
      <c r="L24" s="165">
        <v>26.66</v>
      </c>
      <c r="M24" s="165">
        <v>1480568400</v>
      </c>
      <c r="N24" s="165">
        <v>5.96</v>
      </c>
      <c r="O24" s="165">
        <v>239</v>
      </c>
      <c r="P24" s="165">
        <v>2.61</v>
      </c>
      <c r="Q24"/>
      <c r="R24"/>
    </row>
    <row r="25" spans="1:18" x14ac:dyDescent="0.25">
      <c r="A25" s="165">
        <v>21.16</v>
      </c>
      <c r="B25" s="165">
        <v>0.04</v>
      </c>
      <c r="C25" s="165">
        <v>3.05</v>
      </c>
      <c r="D25" s="8">
        <v>42704.958333333336</v>
      </c>
      <c r="E25" s="165">
        <v>0.38</v>
      </c>
      <c r="F25" s="165" t="s">
        <v>745</v>
      </c>
      <c r="G25" s="165">
        <v>262.88</v>
      </c>
      <c r="H25" s="165">
        <v>0</v>
      </c>
      <c r="I25" s="165">
        <v>0</v>
      </c>
      <c r="J25" s="165">
        <v>1019.15</v>
      </c>
      <c r="K25" s="165" t="s">
        <v>746</v>
      </c>
      <c r="L25" s="165">
        <v>25.08</v>
      </c>
      <c r="M25" s="165">
        <v>1480572000</v>
      </c>
      <c r="N25" s="165">
        <v>6.53</v>
      </c>
      <c r="O25" s="165">
        <v>235</v>
      </c>
      <c r="P25" s="165">
        <v>3.21</v>
      </c>
      <c r="Q25"/>
      <c r="R25"/>
    </row>
    <row r="26" spans="1:18" x14ac:dyDescent="0.25">
      <c r="A26" s="165">
        <v>19.82</v>
      </c>
      <c r="B26" s="165">
        <v>7.0000000000000007E-2</v>
      </c>
      <c r="C26" s="165">
        <v>4.6500000000000004</v>
      </c>
      <c r="D26" s="8">
        <v>42705</v>
      </c>
      <c r="E26" s="165">
        <v>0.43</v>
      </c>
      <c r="F26" s="165" t="s">
        <v>745</v>
      </c>
      <c r="G26" s="165">
        <v>263.45</v>
      </c>
      <c r="H26" s="165">
        <v>0</v>
      </c>
      <c r="I26" s="165">
        <v>0</v>
      </c>
      <c r="J26" s="165">
        <v>1019.52</v>
      </c>
      <c r="K26" s="165" t="s">
        <v>746</v>
      </c>
      <c r="L26" s="165">
        <v>23.68</v>
      </c>
      <c r="M26" s="165">
        <v>1480575600</v>
      </c>
      <c r="N26" s="165">
        <v>6.94</v>
      </c>
      <c r="O26" s="165">
        <v>243</v>
      </c>
      <c r="P26" s="165">
        <v>3.05</v>
      </c>
      <c r="Q26"/>
      <c r="R26"/>
    </row>
    <row r="27" spans="1:18" x14ac:dyDescent="0.25">
      <c r="A27" s="165">
        <v>22.84</v>
      </c>
      <c r="B27" s="165">
        <v>0.13</v>
      </c>
      <c r="C27" s="165">
        <v>4.78</v>
      </c>
      <c r="D27" s="8">
        <v>42705.041666666664</v>
      </c>
      <c r="E27" s="165">
        <v>0.45</v>
      </c>
      <c r="F27" s="165" t="s">
        <v>745</v>
      </c>
      <c r="G27" s="165">
        <v>264.02999999999997</v>
      </c>
      <c r="H27" s="165">
        <v>0</v>
      </c>
      <c r="I27" s="165">
        <v>0</v>
      </c>
      <c r="J27" s="165">
        <v>1019.84</v>
      </c>
      <c r="K27" s="165" t="s">
        <v>746</v>
      </c>
      <c r="L27" s="165">
        <v>22.84</v>
      </c>
      <c r="M27" s="165">
        <v>1480579200</v>
      </c>
      <c r="N27" s="165">
        <v>6.78</v>
      </c>
      <c r="O27" s="165">
        <v>238</v>
      </c>
      <c r="P27" s="165">
        <v>2.2400000000000002</v>
      </c>
      <c r="Q27"/>
      <c r="R27"/>
    </row>
    <row r="28" spans="1:18" x14ac:dyDescent="0.25">
      <c r="A28" s="165">
        <v>22.43</v>
      </c>
      <c r="B28" s="165">
        <v>0.31</v>
      </c>
      <c r="C28" s="165">
        <v>5.0199999999999996</v>
      </c>
      <c r="D28" s="8">
        <v>42705.083333333336</v>
      </c>
      <c r="E28" s="165">
        <v>0.46</v>
      </c>
      <c r="F28" s="165" t="s">
        <v>306</v>
      </c>
      <c r="G28" s="165">
        <v>264.60000000000002</v>
      </c>
      <c r="H28" s="165">
        <v>0</v>
      </c>
      <c r="I28" s="165">
        <v>0</v>
      </c>
      <c r="J28" s="165">
        <v>1020.19</v>
      </c>
      <c r="K28" s="165" t="s">
        <v>337</v>
      </c>
      <c r="L28" s="165">
        <v>22.43</v>
      </c>
      <c r="M28" s="165">
        <v>1480582800</v>
      </c>
      <c r="N28" s="165">
        <v>4.75</v>
      </c>
      <c r="O28" s="165">
        <v>248</v>
      </c>
      <c r="P28" s="165">
        <v>1.96</v>
      </c>
      <c r="Q28"/>
      <c r="R28"/>
    </row>
    <row r="29" spans="1:18" x14ac:dyDescent="0.25">
      <c r="A29" s="165">
        <v>19.57</v>
      </c>
      <c r="B29" s="165">
        <v>0.39</v>
      </c>
      <c r="C29" s="165">
        <v>2.95</v>
      </c>
      <c r="D29" s="8">
        <v>42705.125</v>
      </c>
      <c r="E29" s="165">
        <v>0.48</v>
      </c>
      <c r="F29" s="165" t="s">
        <v>306</v>
      </c>
      <c r="G29" s="165">
        <v>265.75</v>
      </c>
      <c r="H29" s="165">
        <v>0</v>
      </c>
      <c r="I29" s="165">
        <v>0</v>
      </c>
      <c r="J29" s="165">
        <v>1020.72</v>
      </c>
      <c r="K29" s="165" t="s">
        <v>337</v>
      </c>
      <c r="L29" s="165">
        <v>19.57</v>
      </c>
      <c r="M29" s="165">
        <v>1480586400</v>
      </c>
      <c r="N29" s="165">
        <v>6.98</v>
      </c>
      <c r="O29" s="165">
        <v>232</v>
      </c>
      <c r="P29" s="165">
        <v>2.44</v>
      </c>
      <c r="Q29"/>
      <c r="R29"/>
    </row>
    <row r="30" spans="1:18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</row>
    <row r="31" spans="1:18" x14ac:dyDescent="0.25">
      <c r="A31" s="133" t="s">
        <v>205</v>
      </c>
    </row>
    <row r="33" spans="1:1" x14ac:dyDescent="0.25">
      <c r="A33" s="133" t="s">
        <v>187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3"/>
  <sheetViews>
    <sheetView workbookViewId="0">
      <selection activeCell="M28" sqref="M28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2" t="s">
        <v>99</v>
      </c>
      <c r="D1" s="143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42704</v>
      </c>
      <c r="B2" s="4"/>
      <c r="C2" s="144">
        <v>50</v>
      </c>
      <c r="D2" s="145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103</v>
      </c>
      <c r="P3" s="68">
        <f>AVERAGE(1.0714,1.1016)</f>
        <v>1.0865</v>
      </c>
    </row>
    <row r="4" spans="1:16" ht="45" x14ac:dyDescent="0.25">
      <c r="C4" s="142" t="s">
        <v>99</v>
      </c>
      <c r="D4" s="143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0" t="s">
        <v>207</v>
      </c>
      <c r="J17" s="33"/>
      <c r="K17" s="34"/>
      <c r="L17" s="34"/>
    </row>
    <row r="18" spans="3:13" x14ac:dyDescent="0.25">
      <c r="C18" t="s">
        <v>901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902</v>
      </c>
      <c r="J19" s="33" t="s">
        <v>86</v>
      </c>
      <c r="K19" s="34"/>
      <c r="L19" s="34"/>
      <c r="M19" s="68" t="s">
        <v>112</v>
      </c>
    </row>
    <row r="20" spans="3:13" x14ac:dyDescent="0.25">
      <c r="C20" t="s">
        <v>903</v>
      </c>
      <c r="J20" t="s">
        <v>87</v>
      </c>
      <c r="M20" s="68" t="s">
        <v>329</v>
      </c>
    </row>
    <row r="21" spans="3:13" x14ac:dyDescent="0.25">
      <c r="C21" t="s">
        <v>904</v>
      </c>
      <c r="J21" s="21" t="s">
        <v>90</v>
      </c>
      <c r="K21" s="21" t="s">
        <v>91</v>
      </c>
      <c r="M21" s="68" t="s">
        <v>182</v>
      </c>
    </row>
    <row r="22" spans="3:13" x14ac:dyDescent="0.25">
      <c r="C22" t="s">
        <v>905</v>
      </c>
      <c r="J22" s="21" t="s">
        <v>92</v>
      </c>
      <c r="K22" s="21" t="s">
        <v>93</v>
      </c>
      <c r="M22" s="68" t="s">
        <v>111</v>
      </c>
    </row>
    <row r="23" spans="3:13" x14ac:dyDescent="0.25">
      <c r="C23" t="s">
        <v>906</v>
      </c>
      <c r="J23" s="29" t="s">
        <v>95</v>
      </c>
      <c r="K23" s="21"/>
      <c r="M23" s="69">
        <v>-7</v>
      </c>
    </row>
    <row r="24" spans="3:13" x14ac:dyDescent="0.25">
      <c r="C24" t="s">
        <v>907</v>
      </c>
      <c r="J24" s="21" t="s">
        <v>108</v>
      </c>
      <c r="K24" s="21"/>
      <c r="M24" s="68" t="s">
        <v>110</v>
      </c>
    </row>
    <row r="25" spans="3:13" x14ac:dyDescent="0.25">
      <c r="C25" t="s">
        <v>908</v>
      </c>
      <c r="J25" t="s">
        <v>151</v>
      </c>
      <c r="M25" s="68" t="b">
        <v>1</v>
      </c>
    </row>
    <row r="26" spans="3:13" x14ac:dyDescent="0.25">
      <c r="C26" t="s">
        <v>909</v>
      </c>
      <c r="J26" t="s">
        <v>152</v>
      </c>
      <c r="M26" s="68" t="str">
        <f>"C:\Users\stu\Documents\GitHub\eaglep3-reporting\EC\"&amp;TEXT(A2,"yyyy-mm-dd")&amp;"-refined-times.txt"</f>
        <v>C:\Users\stu\Documents\GitHub\eaglep3-reporting\EC\2016-11-30-refined-times.txt</v>
      </c>
    </row>
    <row r="27" spans="3:13" x14ac:dyDescent="0.25">
      <c r="C27" t="s">
        <v>910</v>
      </c>
      <c r="J27" t="s">
        <v>188</v>
      </c>
      <c r="M27" s="68" t="str">
        <f>"C:\Users\stu\Documents\GitHub\eaglep3-reporting\EC\"&amp;TEXT(A2,"YYYY-MM-DD")&amp;"-Enforcements.txt"</f>
        <v>C:\Users\stu\Documents\GitHub\eaglep3-reporting\EC\2016-11-30-Enforcements.txt</v>
      </c>
    </row>
    <row r="28" spans="3:13" x14ac:dyDescent="0.25">
      <c r="C28" t="s">
        <v>911</v>
      </c>
      <c r="J28" t="s">
        <v>189</v>
      </c>
      <c r="M28" s="106" t="str">
        <f>"C:\Users\stu\Documents\GitHub\eaglep3-reporting\EC\"&amp;TEXT(A2,"YYYY-MM-DD")&amp;"-Runs-Refined.txt"</f>
        <v>C:\Users\stu\Documents\GitHub\eaglep3-reporting\EC\2016-11-30-Runs-Refined.txt</v>
      </c>
    </row>
    <row r="29" spans="3:13" x14ac:dyDescent="0.25">
      <c r="C29" t="s">
        <v>912</v>
      </c>
      <c r="J29" t="s">
        <v>190</v>
      </c>
      <c r="M29" s="106" t="str">
        <f>"C:\Users\stu\Documents\GitHub\eaglep3-reporting\EC\"&amp;TEXT(A2,"YYYY-MM-DD")&amp;"-Trips.txt"</f>
        <v>C:\Users\stu\Documents\GitHub\eaglep3-reporting\EC\2016-11-30-Trips.txt</v>
      </c>
    </row>
    <row r="30" spans="3:13" x14ac:dyDescent="0.25">
      <c r="C30" t="s">
        <v>913</v>
      </c>
      <c r="J30" t="s">
        <v>191</v>
      </c>
      <c r="M30" s="106" t="str">
        <f>"C:\Users\stu\Documents\GitHub\eaglep3-reporting\EC\"&amp;TEXT(A2,"YYYY-MM-DD")&amp;"-Weather.txt"</f>
        <v>C:\Users\stu\Documents\GitHub\eaglep3-reporting\EC\2016-11-30-Weather.txt</v>
      </c>
    </row>
    <row r="31" spans="3:13" x14ac:dyDescent="0.25">
      <c r="C31" t="s">
        <v>914</v>
      </c>
    </row>
    <row r="32" spans="3:13" x14ac:dyDescent="0.25">
      <c r="C32" t="s">
        <v>915</v>
      </c>
    </row>
    <row r="33" spans="3:3" x14ac:dyDescent="0.25">
      <c r="C33" t="s">
        <v>916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3" bestFit="1" customWidth="1"/>
    <col min="2" max="7" width="9.140625" style="113"/>
    <col min="8" max="8" width="17.7109375" style="113" bestFit="1" customWidth="1"/>
    <col min="9" max="9" width="9.140625" style="115"/>
    <col min="10" max="16384" width="9.140625" style="113"/>
  </cols>
  <sheetData>
    <row r="1" spans="1:11" x14ac:dyDescent="0.25">
      <c r="A1" s="112" t="s">
        <v>122</v>
      </c>
      <c r="B1" s="112" t="s">
        <v>123</v>
      </c>
      <c r="C1" s="113" t="s">
        <v>124</v>
      </c>
      <c r="H1" t="s">
        <v>118</v>
      </c>
      <c r="I1" s="114" t="s">
        <v>120</v>
      </c>
      <c r="J1"/>
    </row>
    <row r="2" spans="1:11" x14ac:dyDescent="0.25">
      <c r="A2" s="113" t="s">
        <v>125</v>
      </c>
      <c r="B2" s="113" t="s">
        <v>126</v>
      </c>
      <c r="C2" s="113" t="s">
        <v>127</v>
      </c>
      <c r="H2" t="s">
        <v>119</v>
      </c>
      <c r="I2" s="106" t="s">
        <v>121</v>
      </c>
      <c r="J2"/>
    </row>
    <row r="3" spans="1:11" x14ac:dyDescent="0.25">
      <c r="A3" s="113" t="s">
        <v>128</v>
      </c>
      <c r="B3" s="113" t="s">
        <v>129</v>
      </c>
      <c r="C3" s="113" t="s">
        <v>130</v>
      </c>
      <c r="H3" t="s">
        <v>144</v>
      </c>
      <c r="I3" s="106">
        <v>1</v>
      </c>
      <c r="J3"/>
      <c r="K3" s="68"/>
    </row>
    <row r="4" spans="1:11" x14ac:dyDescent="0.25">
      <c r="A4" s="113" t="s">
        <v>131</v>
      </c>
      <c r="C4" s="113" t="s">
        <v>132</v>
      </c>
      <c r="H4" t="s">
        <v>145</v>
      </c>
      <c r="I4" s="106">
        <v>2</v>
      </c>
      <c r="J4"/>
      <c r="K4" s="68"/>
    </row>
    <row r="5" spans="1:11" x14ac:dyDescent="0.25">
      <c r="A5" s="113" t="s">
        <v>133</v>
      </c>
      <c r="C5" s="113" t="s">
        <v>134</v>
      </c>
      <c r="H5" t="s">
        <v>146</v>
      </c>
      <c r="I5" s="106">
        <v>23</v>
      </c>
      <c r="J5"/>
      <c r="K5" s="68"/>
    </row>
    <row r="6" spans="1:11" x14ac:dyDescent="0.25">
      <c r="A6" s="113" t="s">
        <v>135</v>
      </c>
      <c r="C6" s="113" t="s">
        <v>136</v>
      </c>
      <c r="H6" s="116" t="s">
        <v>147</v>
      </c>
      <c r="I6" s="117" t="s">
        <v>126</v>
      </c>
    </row>
    <row r="7" spans="1:11" x14ac:dyDescent="0.25">
      <c r="A7" s="113" t="s">
        <v>137</v>
      </c>
      <c r="C7" s="113" t="s">
        <v>138</v>
      </c>
    </row>
    <row r="8" spans="1:11" x14ac:dyDescent="0.25">
      <c r="C8" s="113" t="s">
        <v>139</v>
      </c>
    </row>
    <row r="9" spans="1:11" x14ac:dyDescent="0.25">
      <c r="C9" s="116" t="s">
        <v>174</v>
      </c>
    </row>
    <row r="10" spans="1:11" x14ac:dyDescent="0.25">
      <c r="C10" s="113" t="s">
        <v>140</v>
      </c>
    </row>
    <row r="11" spans="1:11" x14ac:dyDescent="0.25">
      <c r="C11" s="113" t="s">
        <v>141</v>
      </c>
    </row>
    <row r="12" spans="1:11" x14ac:dyDescent="0.25">
      <c r="C12" s="113" t="s">
        <v>142</v>
      </c>
    </row>
    <row r="13" spans="1:11" x14ac:dyDescent="0.25">
      <c r="C13" s="113" t="s">
        <v>143</v>
      </c>
    </row>
    <row r="14" spans="1:11" x14ac:dyDescent="0.25">
      <c r="C14" s="116" t="s">
        <v>175</v>
      </c>
    </row>
    <row r="15" spans="1:11" x14ac:dyDescent="0.25">
      <c r="C15" s="116" t="s">
        <v>216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81"/>
  <sheetViews>
    <sheetView topLeftCell="A7" workbookViewId="0">
      <selection activeCell="B27" sqref="B27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360</v>
      </c>
      <c r="B1" t="str">
        <f t="shared" ref="B1:B64" si="0">MID(A1,6,23)</f>
        <v>2016/11/28 11:15:40.777</v>
      </c>
      <c r="C1" t="e">
        <f>ABS(B1-#REF!)</f>
        <v>#REF!</v>
      </c>
    </row>
    <row r="2" spans="1:3" x14ac:dyDescent="0.25">
      <c r="A2" t="s">
        <v>361</v>
      </c>
      <c r="B2" s="21" t="str">
        <f t="shared" si="0"/>
        <v>2016/11/28 11:15:40.990</v>
      </c>
      <c r="C2">
        <f>ABS(B2-B1)</f>
        <v>2.4652763386256993E-6</v>
      </c>
    </row>
    <row r="3" spans="1:3" x14ac:dyDescent="0.25">
      <c r="A3" t="s">
        <v>362</v>
      </c>
      <c r="B3" s="21" t="str">
        <f t="shared" si="0"/>
        <v>2016/11/28 11:15:41.493</v>
      </c>
      <c r="C3" s="21">
        <f t="shared" ref="C3:C66" si="1">ABS(B3-B2)</f>
        <v>5.8217628975398839E-6</v>
      </c>
    </row>
    <row r="4" spans="1:3" x14ac:dyDescent="0.25">
      <c r="A4" t="s">
        <v>363</v>
      </c>
      <c r="B4" s="21" t="str">
        <f t="shared" si="0"/>
        <v>2016/11/28 12:10:21.877</v>
      </c>
      <c r="C4" s="21">
        <f t="shared" si="1"/>
        <v>3.7967407406540588E-2</v>
      </c>
    </row>
    <row r="5" spans="1:3" x14ac:dyDescent="0.25">
      <c r="A5" t="s">
        <v>364</v>
      </c>
      <c r="B5" s="21" t="str">
        <f t="shared" si="0"/>
        <v>2016/11/28 12:10:22.011</v>
      </c>
      <c r="C5" s="21">
        <f t="shared" si="1"/>
        <v>1.5509285731241107E-6</v>
      </c>
    </row>
    <row r="6" spans="1:3" x14ac:dyDescent="0.25">
      <c r="A6" t="s">
        <v>365</v>
      </c>
      <c r="B6" s="21" t="str">
        <f t="shared" si="0"/>
        <v>2016/11/28 12:10:22.745</v>
      </c>
      <c r="C6" s="21">
        <f t="shared" si="1"/>
        <v>8.4953717305324972E-6</v>
      </c>
    </row>
    <row r="7" spans="1:3" x14ac:dyDescent="0.25">
      <c r="A7" t="s">
        <v>366</v>
      </c>
      <c r="B7" s="21" t="str">
        <f t="shared" si="0"/>
        <v>2016/11/28 12:16:02.064</v>
      </c>
      <c r="C7" s="21">
        <f t="shared" si="1"/>
        <v>3.9273032380151562E-3</v>
      </c>
    </row>
    <row r="8" spans="1:3" x14ac:dyDescent="0.25">
      <c r="A8" t="s">
        <v>367</v>
      </c>
      <c r="B8" s="21" t="str">
        <f t="shared" si="0"/>
        <v>2016/11/28 12:16:02.466</v>
      </c>
      <c r="C8" s="21">
        <f t="shared" si="1"/>
        <v>4.6527784434147179E-6</v>
      </c>
    </row>
    <row r="9" spans="1:3" x14ac:dyDescent="0.25">
      <c r="A9" t="s">
        <v>368</v>
      </c>
      <c r="B9" s="21" t="str">
        <f t="shared" si="0"/>
        <v>2016/11/28 12:16:02.872</v>
      </c>
      <c r="C9" s="21">
        <f t="shared" si="1"/>
        <v>4.6990753617137671E-6</v>
      </c>
    </row>
    <row r="10" spans="1:3" x14ac:dyDescent="0.25">
      <c r="A10" t="s">
        <v>369</v>
      </c>
      <c r="B10" s="21" t="str">
        <f t="shared" si="0"/>
        <v>2016/11/28 12:28:25.435</v>
      </c>
      <c r="C10" s="21">
        <f t="shared" si="1"/>
        <v>8.59447916445788E-3</v>
      </c>
    </row>
    <row r="11" spans="1:3" x14ac:dyDescent="0.25">
      <c r="A11" t="s">
        <v>370</v>
      </c>
      <c r="B11" s="21" t="str">
        <f t="shared" si="0"/>
        <v>2016/11/28 12:28:25.820</v>
      </c>
      <c r="C11" s="21">
        <f t="shared" si="1"/>
        <v>4.4560147216543555E-6</v>
      </c>
    </row>
    <row r="12" spans="1:3" x14ac:dyDescent="0.25">
      <c r="A12" t="s">
        <v>371</v>
      </c>
      <c r="B12" s="21" t="str">
        <f t="shared" si="0"/>
        <v>2016/11/28 12:28:26.025</v>
      </c>
      <c r="C12" s="21">
        <f t="shared" si="1"/>
        <v>2.3726897779852152E-6</v>
      </c>
    </row>
    <row r="13" spans="1:3" x14ac:dyDescent="0.25">
      <c r="A13" t="s">
        <v>372</v>
      </c>
      <c r="B13" s="21" t="str">
        <f t="shared" si="0"/>
        <v>2016/11/28 12:32:06.289</v>
      </c>
      <c r="C13" s="21">
        <f t="shared" si="1"/>
        <v>2.5493518478469923E-3</v>
      </c>
    </row>
    <row r="14" spans="1:3" x14ac:dyDescent="0.25">
      <c r="A14" t="s">
        <v>373</v>
      </c>
      <c r="B14" s="21" t="str">
        <f t="shared" si="0"/>
        <v>2016/11/28 12:32:06.837</v>
      </c>
      <c r="C14" s="21">
        <f t="shared" si="1"/>
        <v>6.342597771435976E-6</v>
      </c>
    </row>
    <row r="15" spans="1:3" x14ac:dyDescent="0.25">
      <c r="A15" t="s">
        <v>374</v>
      </c>
      <c r="B15" s="21" t="str">
        <f t="shared" si="0"/>
        <v>2016/11/28 12:50:08.096</v>
      </c>
      <c r="C15" s="21">
        <f t="shared" si="1"/>
        <v>1.2514571753854398E-2</v>
      </c>
    </row>
    <row r="16" spans="1:3" x14ac:dyDescent="0.25">
      <c r="A16" t="s">
        <v>375</v>
      </c>
      <c r="B16" s="21" t="str">
        <f t="shared" si="0"/>
        <v>2016/11/28 12:50:08.388</v>
      </c>
      <c r="C16" s="21">
        <f t="shared" si="1"/>
        <v>3.379631380084902E-6</v>
      </c>
    </row>
    <row r="17" spans="1:3" x14ac:dyDescent="0.25">
      <c r="A17" t="s">
        <v>376</v>
      </c>
      <c r="B17" s="21" t="str">
        <f t="shared" si="0"/>
        <v>2016/11/28 13:05:57.742</v>
      </c>
      <c r="C17" s="21">
        <f t="shared" si="1"/>
        <v>1.0987893518176861E-2</v>
      </c>
    </row>
    <row r="18" spans="1:3" x14ac:dyDescent="0.25">
      <c r="A18" t="s">
        <v>377</v>
      </c>
      <c r="B18" s="21" t="str">
        <f t="shared" si="0"/>
        <v>2016/11/28 13:05:57.879</v>
      </c>
      <c r="C18" s="21">
        <f t="shared" si="1"/>
        <v>1.585649442858994E-6</v>
      </c>
    </row>
    <row r="19" spans="1:3" x14ac:dyDescent="0.25">
      <c r="A19" t="s">
        <v>378</v>
      </c>
      <c r="B19" s="21" t="str">
        <f t="shared" si="0"/>
        <v>2016/11/28 13:05:58.007</v>
      </c>
      <c r="C19" s="21">
        <f t="shared" si="1"/>
        <v>1.4814795576967299E-6</v>
      </c>
    </row>
    <row r="20" spans="1:3" x14ac:dyDescent="0.25">
      <c r="A20" t="s">
        <v>379</v>
      </c>
      <c r="B20" s="21" t="str">
        <f t="shared" si="0"/>
        <v>2016/11/28 13:06:06.605</v>
      </c>
      <c r="C20" s="21">
        <f t="shared" si="1"/>
        <v>9.9513890745583922E-5</v>
      </c>
    </row>
    <row r="21" spans="1:3" x14ac:dyDescent="0.25">
      <c r="A21" t="s">
        <v>380</v>
      </c>
      <c r="B21" s="21" t="str">
        <f t="shared" si="0"/>
        <v>2016/11/28 13:26:08.014</v>
      </c>
      <c r="C21" s="21">
        <f t="shared" si="1"/>
        <v>1.3905196756240912E-2</v>
      </c>
    </row>
    <row r="22" spans="1:3" x14ac:dyDescent="0.25">
      <c r="A22" t="s">
        <v>381</v>
      </c>
      <c r="B22" s="21" t="str">
        <f t="shared" si="0"/>
        <v>2016/11/28 13:26:08.434</v>
      </c>
      <c r="C22" s="21">
        <f t="shared" si="1"/>
        <v>4.8611109377816319E-6</v>
      </c>
    </row>
    <row r="23" spans="1:3" x14ac:dyDescent="0.25">
      <c r="A23" t="s">
        <v>382</v>
      </c>
      <c r="B23" s="21" t="str">
        <f t="shared" si="0"/>
        <v>2016/11/28 13:26:08.819</v>
      </c>
      <c r="C23" s="21">
        <f t="shared" si="1"/>
        <v>4.4560219976119697E-6</v>
      </c>
    </row>
    <row r="24" spans="1:3" x14ac:dyDescent="0.25">
      <c r="A24" t="s">
        <v>383</v>
      </c>
      <c r="B24" s="21" t="str">
        <f t="shared" si="0"/>
        <v>2016/11/28 14:05:21.873</v>
      </c>
      <c r="C24" s="21">
        <f t="shared" si="1"/>
        <v>2.7234421293542255E-2</v>
      </c>
    </row>
    <row r="25" spans="1:3" x14ac:dyDescent="0.25">
      <c r="A25" t="s">
        <v>384</v>
      </c>
      <c r="B25" s="21" t="str">
        <f t="shared" si="0"/>
        <v>2016/11/28 14:05:22.008</v>
      </c>
      <c r="C25" s="21">
        <f t="shared" si="1"/>
        <v>1.5625046216882765E-6</v>
      </c>
    </row>
    <row r="26" spans="1:3" x14ac:dyDescent="0.25">
      <c r="A26" t="s">
        <v>385</v>
      </c>
      <c r="B26" s="21" t="str">
        <f t="shared" si="0"/>
        <v>2016/11/28 14:05:22.744</v>
      </c>
      <c r="C26" s="21">
        <f t="shared" si="1"/>
        <v>8.5185165517032146E-6</v>
      </c>
    </row>
    <row r="27" spans="1:3" x14ac:dyDescent="0.25">
      <c r="A27" t="s">
        <v>386</v>
      </c>
      <c r="B27" s="21" t="str">
        <f t="shared" si="0"/>
        <v>2016/11/28 14:50:58.279</v>
      </c>
      <c r="C27" s="21">
        <f t="shared" si="1"/>
        <v>3.1661284723668359E-2</v>
      </c>
    </row>
    <row r="28" spans="1:3" x14ac:dyDescent="0.25">
      <c r="A28" t="s">
        <v>387</v>
      </c>
      <c r="B28" s="21" t="str">
        <f t="shared" si="0"/>
        <v>2016/11/28 15:04:22.611</v>
      </c>
      <c r="C28" s="21">
        <f t="shared" si="1"/>
        <v>9.3093981486163102E-3</v>
      </c>
    </row>
    <row r="29" spans="1:3" x14ac:dyDescent="0.25">
      <c r="A29" t="s">
        <v>388</v>
      </c>
      <c r="B29" s="21" t="str">
        <f t="shared" si="0"/>
        <v>2016/11/28 15:04:23.103</v>
      </c>
      <c r="C29" s="21">
        <f t="shared" si="1"/>
        <v>5.6944409152492881E-6</v>
      </c>
    </row>
    <row r="30" spans="1:3" x14ac:dyDescent="0.25">
      <c r="A30" t="s">
        <v>389</v>
      </c>
      <c r="B30" s="21" t="str">
        <f t="shared" si="0"/>
        <v>2016/11/28 15:06:19.006</v>
      </c>
      <c r="C30" s="21">
        <f t="shared" si="1"/>
        <v>1.3414699060376734E-3</v>
      </c>
    </row>
    <row r="31" spans="1:3" x14ac:dyDescent="0.25">
      <c r="A31" t="s">
        <v>390</v>
      </c>
      <c r="B31" s="21" t="str">
        <f t="shared" si="0"/>
        <v>2016/11/28 15:06:19.749</v>
      </c>
      <c r="C31" s="21">
        <f t="shared" si="1"/>
        <v>8.5995416156947613E-6</v>
      </c>
    </row>
    <row r="32" spans="1:3" x14ac:dyDescent="0.25">
      <c r="A32" t="s">
        <v>391</v>
      </c>
      <c r="B32" s="21" t="str">
        <f t="shared" si="0"/>
        <v>2016/11/28 15:06:19.873</v>
      </c>
      <c r="C32" s="21">
        <f t="shared" si="1"/>
        <v>1.4351826393976808E-6</v>
      </c>
    </row>
    <row r="33" spans="1:3" x14ac:dyDescent="0.25">
      <c r="A33" t="s">
        <v>392</v>
      </c>
      <c r="B33" s="21" t="str">
        <f t="shared" si="0"/>
        <v>2016/11/28 15:25:57.012</v>
      </c>
      <c r="C33" s="21">
        <f t="shared" si="1"/>
        <v>1.3624293984321412E-2</v>
      </c>
    </row>
    <row r="34" spans="1:3" x14ac:dyDescent="0.25">
      <c r="A34" t="s">
        <v>393</v>
      </c>
      <c r="B34" s="21" t="str">
        <f t="shared" si="0"/>
        <v>2016/11/28 15:31:07.828</v>
      </c>
      <c r="C34" s="21">
        <f t="shared" si="1"/>
        <v>3.5974074053228833E-3</v>
      </c>
    </row>
    <row r="35" spans="1:3" x14ac:dyDescent="0.25">
      <c r="A35" t="s">
        <v>394</v>
      </c>
      <c r="B35" s="21" t="str">
        <f t="shared" si="0"/>
        <v>2016/11/28 15:31:08.012</v>
      </c>
      <c r="C35" s="21">
        <f t="shared" si="1"/>
        <v>2.1296291379258037E-6</v>
      </c>
    </row>
    <row r="36" spans="1:3" x14ac:dyDescent="0.25">
      <c r="A36" t="s">
        <v>395</v>
      </c>
      <c r="B36" s="21" t="str">
        <f t="shared" si="0"/>
        <v>2016/11/28 15:34:41.579</v>
      </c>
      <c r="C36" s="21">
        <f t="shared" si="1"/>
        <v>2.4718402783037163E-3</v>
      </c>
    </row>
    <row r="37" spans="1:3" x14ac:dyDescent="0.25">
      <c r="A37" t="s">
        <v>396</v>
      </c>
      <c r="B37" s="21" t="str">
        <f t="shared" si="0"/>
        <v>2016/11/28 15:34:42.194</v>
      </c>
      <c r="C37" s="21">
        <f t="shared" si="1"/>
        <v>7.1180547820404172E-6</v>
      </c>
    </row>
    <row r="38" spans="1:3" x14ac:dyDescent="0.25">
      <c r="A38" t="s">
        <v>397</v>
      </c>
      <c r="B38" s="21" t="str">
        <f t="shared" si="0"/>
        <v>2016/11/28 15:34:42.228</v>
      </c>
      <c r="C38" s="21">
        <f t="shared" si="1"/>
        <v>3.9352016756311059E-7</v>
      </c>
    </row>
    <row r="39" spans="1:3" x14ac:dyDescent="0.25">
      <c r="A39" t="s">
        <v>398</v>
      </c>
      <c r="B39" s="21" t="str">
        <f t="shared" si="0"/>
        <v>2016/11/28 16:16:56.839</v>
      </c>
      <c r="C39" s="21">
        <f t="shared" si="1"/>
        <v>2.9335775463550817E-2</v>
      </c>
    </row>
    <row r="40" spans="1:3" x14ac:dyDescent="0.25">
      <c r="A40" t="s">
        <v>399</v>
      </c>
      <c r="B40" s="21" t="str">
        <f t="shared" si="0"/>
        <v>2016/11/28 16:16:57.322</v>
      </c>
      <c r="C40" s="21">
        <f t="shared" si="1"/>
        <v>5.5902783060446382E-6</v>
      </c>
    </row>
    <row r="41" spans="1:3" x14ac:dyDescent="0.25">
      <c r="A41" t="s">
        <v>400</v>
      </c>
      <c r="B41" s="21" t="str">
        <f t="shared" si="0"/>
        <v>2016/11/28 16:46:00.781</v>
      </c>
      <c r="C41" s="21">
        <f t="shared" si="1"/>
        <v>2.0178923608909827E-2</v>
      </c>
    </row>
    <row r="42" spans="1:3" x14ac:dyDescent="0.25">
      <c r="A42" t="s">
        <v>401</v>
      </c>
      <c r="B42" s="21" t="str">
        <f t="shared" si="0"/>
        <v>2016/11/28 16:46:02.040</v>
      </c>
      <c r="C42" s="21">
        <f t="shared" si="1"/>
        <v>1.457175676478073E-5</v>
      </c>
    </row>
    <row r="43" spans="1:3" x14ac:dyDescent="0.25">
      <c r="A43" t="s">
        <v>402</v>
      </c>
      <c r="B43" s="21" t="str">
        <f t="shared" si="0"/>
        <v>2016/11/28 17:21:19.069</v>
      </c>
      <c r="C43" s="21">
        <f t="shared" si="1"/>
        <v>2.4502650463546161E-2</v>
      </c>
    </row>
    <row r="44" spans="1:3" x14ac:dyDescent="0.25">
      <c r="A44" t="s">
        <v>403</v>
      </c>
      <c r="B44" s="21" t="str">
        <f t="shared" si="0"/>
        <v>2016/11/28 17:21:19.321</v>
      </c>
      <c r="C44" s="21">
        <f t="shared" si="1"/>
        <v>2.9166694730520248E-6</v>
      </c>
    </row>
    <row r="45" spans="1:3" x14ac:dyDescent="0.25">
      <c r="A45" t="s">
        <v>404</v>
      </c>
      <c r="B45" s="21" t="str">
        <f t="shared" si="0"/>
        <v>2016/11/28 17:22:10.964</v>
      </c>
      <c r="C45" s="21">
        <f t="shared" si="1"/>
        <v>5.9771991072921082E-4</v>
      </c>
    </row>
    <row r="46" spans="1:3" x14ac:dyDescent="0.25">
      <c r="A46" t="s">
        <v>405</v>
      </c>
      <c r="B46" s="21" t="str">
        <f t="shared" si="0"/>
        <v>2016/11/28 17:22:11.068</v>
      </c>
      <c r="C46" s="21">
        <f t="shared" si="1"/>
        <v>1.2036980479024351E-6</v>
      </c>
    </row>
    <row r="47" spans="1:3" x14ac:dyDescent="0.25">
      <c r="A47" t="s">
        <v>406</v>
      </c>
      <c r="B47" s="21" t="str">
        <f t="shared" si="0"/>
        <v>2016/11/28 17:22:11.321</v>
      </c>
      <c r="C47" s="21">
        <f t="shared" si="1"/>
        <v>2.9282455216161907E-6</v>
      </c>
    </row>
    <row r="48" spans="1:3" x14ac:dyDescent="0.25">
      <c r="A48" t="s">
        <v>407</v>
      </c>
      <c r="B48" s="21" t="str">
        <f t="shared" si="0"/>
        <v>2016/11/28 17:23:53.484</v>
      </c>
      <c r="C48" s="21">
        <f t="shared" si="1"/>
        <v>1.1824421235360205E-3</v>
      </c>
    </row>
    <row r="49" spans="1:3" x14ac:dyDescent="0.25">
      <c r="A49" t="s">
        <v>408</v>
      </c>
      <c r="B49" s="21" t="str">
        <f t="shared" si="0"/>
        <v>2016/11/28 17:23:53.770</v>
      </c>
      <c r="C49" s="21">
        <f t="shared" si="1"/>
        <v>3.3101896406151354E-6</v>
      </c>
    </row>
    <row r="50" spans="1:3" x14ac:dyDescent="0.25">
      <c r="A50" t="s">
        <v>409</v>
      </c>
      <c r="B50" s="21" t="str">
        <f t="shared" si="0"/>
        <v>2016/11/28 18:06:53.404</v>
      </c>
      <c r="C50" s="21">
        <f t="shared" si="1"/>
        <v>2.9856875000405125E-2</v>
      </c>
    </row>
    <row r="51" spans="1:3" x14ac:dyDescent="0.25">
      <c r="A51" t="s">
        <v>410</v>
      </c>
      <c r="B51" s="21" t="str">
        <f t="shared" si="0"/>
        <v>2016/11/28 18:06:54.101</v>
      </c>
      <c r="C51" s="21">
        <f t="shared" si="1"/>
        <v>8.0671306932345033E-6</v>
      </c>
    </row>
    <row r="52" spans="1:3" x14ac:dyDescent="0.25">
      <c r="A52" t="s">
        <v>411</v>
      </c>
      <c r="B52" s="21" t="str">
        <f t="shared" si="0"/>
        <v>2016/11/28 19:48:20.406</v>
      </c>
      <c r="C52" s="21">
        <f t="shared" si="1"/>
        <v>7.0443344906379934E-2</v>
      </c>
    </row>
    <row r="53" spans="1:3" x14ac:dyDescent="0.25">
      <c r="A53" t="s">
        <v>412</v>
      </c>
      <c r="B53" s="21" t="str">
        <f t="shared" si="0"/>
        <v>2016/11/28 19:48:21.101</v>
      </c>
      <c r="C53" s="21">
        <f t="shared" si="1"/>
        <v>8.0439785961061716E-6</v>
      </c>
    </row>
    <row r="54" spans="1:3" x14ac:dyDescent="0.25">
      <c r="A54" t="s">
        <v>413</v>
      </c>
      <c r="B54" s="21" t="str">
        <f t="shared" si="0"/>
        <v>2016/11/28 20:04:33.286</v>
      </c>
      <c r="C54" s="21">
        <f t="shared" si="1"/>
        <v>1.1252141208387911E-2</v>
      </c>
    </row>
    <row r="55" spans="1:3" x14ac:dyDescent="0.25">
      <c r="A55" t="s">
        <v>414</v>
      </c>
      <c r="B55" s="21" t="str">
        <f t="shared" si="0"/>
        <v>2016/11/28 20:49:24.362</v>
      </c>
      <c r="C55" s="21">
        <f t="shared" si="1"/>
        <v>3.1146712957706768E-2</v>
      </c>
    </row>
    <row r="56" spans="1:3" x14ac:dyDescent="0.25">
      <c r="A56" t="s">
        <v>415</v>
      </c>
      <c r="B56" s="21" t="str">
        <f t="shared" si="0"/>
        <v>2016/11/28 20:49:24.484</v>
      </c>
      <c r="C56" s="21">
        <f t="shared" si="1"/>
        <v>1.4120378182269633E-6</v>
      </c>
    </row>
    <row r="57" spans="1:3" x14ac:dyDescent="0.25">
      <c r="A57" t="s">
        <v>416</v>
      </c>
      <c r="B57" s="21" t="str">
        <f t="shared" si="0"/>
        <v>2016/11/28 20:49:25.034</v>
      </c>
      <c r="C57" s="21">
        <f t="shared" si="1"/>
        <v>6.3657425926066935E-6</v>
      </c>
    </row>
    <row r="58" spans="1:3" x14ac:dyDescent="0.25">
      <c r="A58" t="s">
        <v>417</v>
      </c>
      <c r="B58" s="21" t="str">
        <f t="shared" si="0"/>
        <v>2016/11/28 20:54:43.367</v>
      </c>
      <c r="C58" s="21">
        <f t="shared" si="1"/>
        <v>3.6844097194261849E-3</v>
      </c>
    </row>
    <row r="59" spans="1:3" x14ac:dyDescent="0.25">
      <c r="A59" t="s">
        <v>418</v>
      </c>
      <c r="B59" s="21" t="str">
        <f t="shared" si="0"/>
        <v>2016/11/28 20:54:43.497</v>
      </c>
      <c r="C59" s="21">
        <f t="shared" si="1"/>
        <v>1.5046316548250616E-6</v>
      </c>
    </row>
    <row r="60" spans="1:3" x14ac:dyDescent="0.25">
      <c r="A60" t="s">
        <v>419</v>
      </c>
      <c r="B60" s="21" t="str">
        <f t="shared" si="0"/>
        <v>2016/11/28 20:54:43.892</v>
      </c>
      <c r="C60" s="21">
        <f t="shared" si="1"/>
        <v>4.5717606553807855E-6</v>
      </c>
    </row>
    <row r="61" spans="1:3" x14ac:dyDescent="0.25">
      <c r="A61" t="s">
        <v>420</v>
      </c>
      <c r="B61" s="21" t="str">
        <f t="shared" si="0"/>
        <v>2016/11/28 21:30:21.100</v>
      </c>
      <c r="C61" s="21">
        <f t="shared" si="1"/>
        <v>2.4736203704378568E-2</v>
      </c>
    </row>
    <row r="62" spans="1:3" x14ac:dyDescent="0.25">
      <c r="A62" t="s">
        <v>421</v>
      </c>
      <c r="B62" s="21" t="str">
        <f t="shared" si="0"/>
        <v>2016/11/28 21:30:21.402</v>
      </c>
      <c r="C62" s="21">
        <f t="shared" si="1"/>
        <v>3.4953700378537178E-6</v>
      </c>
    </row>
    <row r="63" spans="1:3" x14ac:dyDescent="0.25">
      <c r="A63" t="s">
        <v>422</v>
      </c>
      <c r="B63" s="21" t="str">
        <f t="shared" si="0"/>
        <v>2016/11/28 21:49:38.607</v>
      </c>
      <c r="C63" s="21">
        <f t="shared" si="1"/>
        <v>1.3393576387898065E-2</v>
      </c>
    </row>
    <row r="64" spans="1:3" x14ac:dyDescent="0.25">
      <c r="A64" t="s">
        <v>423</v>
      </c>
      <c r="B64" s="21" t="str">
        <f t="shared" si="0"/>
        <v>2016/11/28 21:49:38.614</v>
      </c>
      <c r="C64" s="21">
        <f t="shared" si="1"/>
        <v>8.1017788033932447E-8</v>
      </c>
    </row>
    <row r="65" spans="1:3" x14ac:dyDescent="0.25">
      <c r="A65" t="s">
        <v>424</v>
      </c>
      <c r="B65" s="21" t="str">
        <f t="shared" ref="B65:B75" si="2">MID(A65,6,23)</f>
        <v>2016/11/28 21:49:39.288</v>
      </c>
      <c r="C65" s="21">
        <f t="shared" si="1"/>
        <v>7.8009252320043743E-6</v>
      </c>
    </row>
    <row r="66" spans="1:3" x14ac:dyDescent="0.25">
      <c r="A66" t="s">
        <v>425</v>
      </c>
      <c r="B66" s="21" t="str">
        <f t="shared" si="2"/>
        <v>2016/11/28 22:06:56.576</v>
      </c>
      <c r="C66" s="21">
        <f t="shared" si="1"/>
        <v>1.2005648146441672E-2</v>
      </c>
    </row>
    <row r="67" spans="1:3" x14ac:dyDescent="0.25">
      <c r="A67" t="s">
        <v>426</v>
      </c>
      <c r="B67" s="21" t="str">
        <f t="shared" si="2"/>
        <v>2016/11/28 22:06:56.900</v>
      </c>
      <c r="C67" s="21">
        <f t="shared" ref="C67:C75" si="3">ABS(B67-B66)</f>
        <v>3.749999450519681E-6</v>
      </c>
    </row>
    <row r="68" spans="1:3" x14ac:dyDescent="0.25">
      <c r="A68" t="s">
        <v>427</v>
      </c>
      <c r="B68" s="21" t="str">
        <f t="shared" si="2"/>
        <v>2016/11/28 22:15:46.156</v>
      </c>
      <c r="C68" s="21">
        <f t="shared" si="3"/>
        <v>6.1256481494638138E-3</v>
      </c>
    </row>
    <row r="69" spans="1:3" x14ac:dyDescent="0.25">
      <c r="A69" t="s">
        <v>428</v>
      </c>
      <c r="B69" s="21" t="str">
        <f t="shared" si="2"/>
        <v>2016/11/28 22:15:46.222</v>
      </c>
      <c r="C69" s="21">
        <f t="shared" si="3"/>
        <v>7.6388823799788952E-7</v>
      </c>
    </row>
    <row r="70" spans="1:3" x14ac:dyDescent="0.25">
      <c r="A70" t="s">
        <v>429</v>
      </c>
      <c r="B70" s="21" t="str">
        <f t="shared" si="2"/>
        <v>2016/11/28 22:15:46.334</v>
      </c>
      <c r="C70" s="21">
        <f t="shared" si="3"/>
        <v>1.2962991604581475E-6</v>
      </c>
    </row>
    <row r="71" spans="1:3" x14ac:dyDescent="0.25">
      <c r="A71" t="s">
        <v>430</v>
      </c>
      <c r="B71" s="21" t="str">
        <f t="shared" si="2"/>
        <v>2016/11/28 22:28:17.223</v>
      </c>
      <c r="C71" s="21">
        <f t="shared" si="3"/>
        <v>8.6908449084148742E-3</v>
      </c>
    </row>
    <row r="72" spans="1:3" x14ac:dyDescent="0.25">
      <c r="A72" t="s">
        <v>431</v>
      </c>
      <c r="B72" s="21" t="str">
        <f t="shared" si="2"/>
        <v>2016/11/28 22:28:17.268</v>
      </c>
      <c r="C72" s="21">
        <f t="shared" si="3"/>
        <v>5.2083487389609218E-7</v>
      </c>
    </row>
    <row r="73" spans="1:3" x14ac:dyDescent="0.25">
      <c r="A73" t="s">
        <v>432</v>
      </c>
      <c r="B73" s="21" t="str">
        <f t="shared" si="2"/>
        <v>2016/11/28 22:28:17.612</v>
      </c>
      <c r="C73" s="21">
        <f t="shared" si="3"/>
        <v>3.9814767660573125E-6</v>
      </c>
    </row>
    <row r="74" spans="1:3" x14ac:dyDescent="0.25">
      <c r="A74" t="s">
        <v>433</v>
      </c>
      <c r="B74" s="21" t="str">
        <f t="shared" si="2"/>
        <v>2016/11/28 22:36:45.159</v>
      </c>
      <c r="C74" s="21">
        <f t="shared" si="3"/>
        <v>5.8743865738506429E-3</v>
      </c>
    </row>
    <row r="75" spans="1:3" x14ac:dyDescent="0.25">
      <c r="A75" t="s">
        <v>434</v>
      </c>
      <c r="B75" s="21" t="str">
        <f t="shared" si="2"/>
        <v>2016/11/28 22:36:45.242</v>
      </c>
      <c r="C75" s="21">
        <f t="shared" si="3"/>
        <v>9.6065195975825191E-7</v>
      </c>
    </row>
    <row r="76" spans="1:3" x14ac:dyDescent="0.25">
      <c r="A76" t="s">
        <v>435</v>
      </c>
      <c r="B76" s="21" t="str">
        <f t="shared" ref="B76:B81" si="4">MID(A76,6,23)</f>
        <v>2016/11/28 22:36:45.344</v>
      </c>
      <c r="C76" s="21">
        <f t="shared" ref="C76:C81" si="5">ABS(B76-B75)</f>
        <v>1.1805532267317176E-6</v>
      </c>
    </row>
    <row r="77" spans="1:3" x14ac:dyDescent="0.25">
      <c r="A77" t="s">
        <v>436</v>
      </c>
      <c r="B77" s="21" t="str">
        <f t="shared" si="4"/>
        <v>2016/11/28 22:38:19.157</v>
      </c>
      <c r="C77" s="21">
        <f t="shared" si="5"/>
        <v>1.0857986126211472E-3</v>
      </c>
    </row>
    <row r="78" spans="1:3" x14ac:dyDescent="0.25">
      <c r="A78" t="s">
        <v>437</v>
      </c>
      <c r="B78" s="21" t="str">
        <f t="shared" si="4"/>
        <v>2016/11/28 22:38:19.210</v>
      </c>
      <c r="C78" s="21">
        <f t="shared" si="5"/>
        <v>6.1342143453657627E-7</v>
      </c>
    </row>
    <row r="79" spans="1:3" x14ac:dyDescent="0.25">
      <c r="A79" t="s">
        <v>438</v>
      </c>
      <c r="B79" s="21" t="str">
        <f t="shared" si="4"/>
        <v>2016/11/28 22:38:19.326</v>
      </c>
      <c r="C79" s="21">
        <f t="shared" si="5"/>
        <v>1.3425960787571967E-6</v>
      </c>
    </row>
    <row r="80" spans="1:3" x14ac:dyDescent="0.25">
      <c r="A80" t="s">
        <v>439</v>
      </c>
      <c r="B80" s="21" t="str">
        <f t="shared" si="4"/>
        <v>2016/11/28 22:39:40.194</v>
      </c>
      <c r="C80" s="21">
        <f t="shared" si="5"/>
        <v>9.3597222439711913E-4</v>
      </c>
    </row>
    <row r="81" spans="1:3" x14ac:dyDescent="0.25">
      <c r="A81" t="s">
        <v>440</v>
      </c>
      <c r="B81" s="21" t="str">
        <f t="shared" si="4"/>
        <v>2016/11/28 22:39:40.233</v>
      </c>
      <c r="C81" s="21">
        <f t="shared" si="5"/>
        <v>4.5138585846871138E-7</v>
      </c>
    </row>
    <row r="82" spans="1:3" x14ac:dyDescent="0.25">
      <c r="A82" t="s">
        <v>441</v>
      </c>
      <c r="B82" s="21" t="str">
        <f t="shared" ref="B82:B114" si="6">MID(A82,6,23)</f>
        <v>2016/11/28 22:39:40.589</v>
      </c>
      <c r="C82" s="21">
        <f t="shared" ref="C82:C114" si="7">ABS(B82-B81)</f>
        <v>4.1203675209544599E-6</v>
      </c>
    </row>
    <row r="83" spans="1:3" x14ac:dyDescent="0.25">
      <c r="A83" t="s">
        <v>442</v>
      </c>
      <c r="B83" s="21" t="str">
        <f t="shared" si="6"/>
        <v>2016/11/28 22:40:23.201</v>
      </c>
      <c r="C83" s="21">
        <f t="shared" si="7"/>
        <v>4.9319444951834157E-4</v>
      </c>
    </row>
    <row r="84" spans="1:3" x14ac:dyDescent="0.25">
      <c r="A84" t="s">
        <v>443</v>
      </c>
      <c r="B84" s="21" t="str">
        <f t="shared" si="6"/>
        <v>2016/11/29 00:14:00.040</v>
      </c>
      <c r="C84" s="21">
        <f t="shared" si="7"/>
        <v>6.5009710648155306E-2</v>
      </c>
    </row>
    <row r="85" spans="1:3" x14ac:dyDescent="0.25">
      <c r="A85" t="s">
        <v>444</v>
      </c>
      <c r="B85" s="21" t="str">
        <f t="shared" si="6"/>
        <v>2016/11/29 00:14:00.372</v>
      </c>
      <c r="C85" s="21">
        <f t="shared" si="7"/>
        <v>3.8425932871177793E-6</v>
      </c>
    </row>
    <row r="86" spans="1:3" x14ac:dyDescent="0.25">
      <c r="A86" t="s">
        <v>445</v>
      </c>
      <c r="B86" s="21" t="str">
        <f t="shared" si="6"/>
        <v>2016/11/29 00:14:00.489</v>
      </c>
      <c r="C86" s="21">
        <f t="shared" si="7"/>
        <v>1.3541648513637483E-6</v>
      </c>
    </row>
    <row r="87" spans="1:3" x14ac:dyDescent="0.25">
      <c r="A87" t="s">
        <v>446</v>
      </c>
      <c r="B87" s="21" t="str">
        <f t="shared" si="6"/>
        <v>2016/11/29 00:25:52.024</v>
      </c>
      <c r="C87" s="21">
        <f t="shared" si="7"/>
        <v>8.235358793172054E-3</v>
      </c>
    </row>
    <row r="88" spans="1:3" x14ac:dyDescent="0.25">
      <c r="A88" t="s">
        <v>447</v>
      </c>
      <c r="B88" s="21" t="str">
        <f t="shared" si="6"/>
        <v>2016/11/29 00:25:52.824</v>
      </c>
      <c r="C88" s="21">
        <f t="shared" si="7"/>
        <v>9.2592599685303867E-6</v>
      </c>
    </row>
    <row r="89" spans="1:3" x14ac:dyDescent="0.25">
      <c r="A89" t="s">
        <v>448</v>
      </c>
      <c r="B89" s="21" t="str">
        <f t="shared" si="6"/>
        <v>2016/11/29 00:25:53.440</v>
      </c>
      <c r="C89" s="21">
        <f t="shared" si="7"/>
        <v>7.129630830604583E-6</v>
      </c>
    </row>
    <row r="90" spans="1:3" x14ac:dyDescent="0.25">
      <c r="A90" t="s">
        <v>449</v>
      </c>
      <c r="B90" s="21" t="str">
        <f t="shared" si="6"/>
        <v>2016/11/29 00:52:10.899</v>
      </c>
      <c r="C90" s="21">
        <f t="shared" si="7"/>
        <v>1.8257627314596903E-2</v>
      </c>
    </row>
    <row r="91" spans="1:3" x14ac:dyDescent="0.25">
      <c r="A91" t="s">
        <v>450</v>
      </c>
      <c r="B91" s="21" t="str">
        <f t="shared" si="6"/>
        <v>2016/11/29 00:52:11.504</v>
      </c>
      <c r="C91" s="21">
        <f t="shared" si="7"/>
        <v>7.0023161242716014E-6</v>
      </c>
    </row>
    <row r="92" spans="1:3" x14ac:dyDescent="0.25">
      <c r="A92" t="s">
        <v>451</v>
      </c>
      <c r="B92" s="21" t="str">
        <f t="shared" si="6"/>
        <v>2016/11/29 00:52:12.372</v>
      </c>
      <c r="C92" s="21">
        <f t="shared" si="7"/>
        <v>1.0046293027698994E-5</v>
      </c>
    </row>
    <row r="93" spans="1:3" x14ac:dyDescent="0.25">
      <c r="A93" t="s">
        <v>452</v>
      </c>
      <c r="B93" s="21" t="str">
        <f t="shared" si="6"/>
        <v>2016/11/29 00:56:32.498</v>
      </c>
      <c r="C93" s="21">
        <f t="shared" si="7"/>
        <v>3.0107175989542156E-3</v>
      </c>
    </row>
    <row r="94" spans="1:3" x14ac:dyDescent="0.25">
      <c r="A94" t="s">
        <v>453</v>
      </c>
      <c r="B94" s="21" t="str">
        <f t="shared" si="6"/>
        <v>2016/11/29 00:56:32.892</v>
      </c>
      <c r="C94" s="21">
        <f t="shared" si="7"/>
        <v>4.5601846068166196E-6</v>
      </c>
    </row>
    <row r="95" spans="1:3" x14ac:dyDescent="0.25">
      <c r="A95" t="s">
        <v>454</v>
      </c>
      <c r="B95" s="21" t="str">
        <f t="shared" si="6"/>
        <v>2016/11/29 00:57:10.361</v>
      </c>
      <c r="C95" s="21">
        <f t="shared" si="7"/>
        <v>4.3366898171370849E-4</v>
      </c>
    </row>
    <row r="96" spans="1:3" x14ac:dyDescent="0.25">
      <c r="A96" t="s">
        <v>455</v>
      </c>
      <c r="B96" s="21" t="str">
        <f t="shared" si="6"/>
        <v>2016/11/29 00:57:10.487</v>
      </c>
      <c r="C96" s="21">
        <f t="shared" si="7"/>
        <v>1.4583274605683982E-6</v>
      </c>
    </row>
    <row r="97" spans="1:3" x14ac:dyDescent="0.25">
      <c r="A97" t="s">
        <v>456</v>
      </c>
      <c r="B97" s="21" t="str">
        <f t="shared" si="6"/>
        <v>2016/11/29 00:57:10.891</v>
      </c>
      <c r="C97" s="21">
        <f t="shared" si="7"/>
        <v>4.6759305405430496E-6</v>
      </c>
    </row>
    <row r="98" spans="1:3" x14ac:dyDescent="0.25">
      <c r="A98" t="s">
        <v>457</v>
      </c>
      <c r="B98" s="21" t="str">
        <f t="shared" si="6"/>
        <v>2016/11/29 01:02:48.829</v>
      </c>
      <c r="C98" s="21">
        <f t="shared" si="7"/>
        <v>3.9113194434321485E-3</v>
      </c>
    </row>
    <row r="99" spans="1:3" x14ac:dyDescent="0.25">
      <c r="A99" t="s">
        <v>458</v>
      </c>
      <c r="B99" s="21" t="str">
        <f t="shared" si="6"/>
        <v>2016/11/29 01:02:48.886</v>
      </c>
      <c r="C99" s="21">
        <f t="shared" si="7"/>
        <v>6.5971835283562541E-7</v>
      </c>
    </row>
    <row r="100" spans="1:3" x14ac:dyDescent="0.25">
      <c r="A100" t="s">
        <v>459</v>
      </c>
      <c r="B100" s="21" t="str">
        <f t="shared" si="6"/>
        <v>2016/11/29 01:02:49.014</v>
      </c>
      <c r="C100" s="21">
        <f t="shared" si="7"/>
        <v>1.4814868336543441E-6</v>
      </c>
    </row>
    <row r="101" spans="1:3" x14ac:dyDescent="0.25">
      <c r="A101" t="s">
        <v>460</v>
      </c>
      <c r="B101" s="21" t="str">
        <f t="shared" si="6"/>
        <v>2016/11/29 01:26:10.016</v>
      </c>
      <c r="C101" s="21">
        <f t="shared" si="7"/>
        <v>1.6215300922340248E-2</v>
      </c>
    </row>
    <row r="102" spans="1:3" x14ac:dyDescent="0.25">
      <c r="A102" t="s">
        <v>461</v>
      </c>
      <c r="B102" s="21" t="str">
        <f t="shared" si="6"/>
        <v>2016/11/29 01:26:10.434</v>
      </c>
      <c r="C102" s="21">
        <f t="shared" si="7"/>
        <v>4.8379661166109145E-6</v>
      </c>
    </row>
    <row r="103" spans="1:3" x14ac:dyDescent="0.25">
      <c r="A103" t="s">
        <v>462</v>
      </c>
      <c r="B103" s="21" t="str">
        <f t="shared" si="6"/>
        <v>2016/11/29 02:06:52.357</v>
      </c>
      <c r="C103" s="21">
        <f t="shared" si="7"/>
        <v>2.8262997686397284E-2</v>
      </c>
    </row>
    <row r="104" spans="1:3" x14ac:dyDescent="0.25">
      <c r="A104" t="s">
        <v>463</v>
      </c>
      <c r="B104" s="21" t="str">
        <f t="shared" si="6"/>
        <v>2016/11/29 02:06:52.478</v>
      </c>
      <c r="C104" s="21">
        <f t="shared" si="7"/>
        <v>1.4004617696627975E-6</v>
      </c>
    </row>
    <row r="105" spans="1:3" x14ac:dyDescent="0.25">
      <c r="A105" t="s">
        <v>464</v>
      </c>
      <c r="B105" s="21" t="str">
        <f t="shared" si="6"/>
        <v>2016/11/29 02:06:53.032</v>
      </c>
      <c r="C105" s="21">
        <f t="shared" si="7"/>
        <v>6.4120322349481285E-6</v>
      </c>
    </row>
    <row r="106" spans="1:3" x14ac:dyDescent="0.25">
      <c r="A106" t="s">
        <v>465</v>
      </c>
      <c r="B106" s="21" t="str">
        <f t="shared" si="6"/>
        <v>2016/11/29 02:34:37.583</v>
      </c>
      <c r="C106" s="21">
        <f t="shared" si="7"/>
        <v>1.9265636576164979E-2</v>
      </c>
    </row>
    <row r="107" spans="1:3" x14ac:dyDescent="0.25">
      <c r="A107" t="s">
        <v>466</v>
      </c>
      <c r="B107" s="21" t="str">
        <f t="shared" si="6"/>
        <v>2016/11/29 02:34:38.195</v>
      </c>
      <c r="C107" s="21">
        <f t="shared" si="7"/>
        <v>7.0833339123055339E-6</v>
      </c>
    </row>
    <row r="108" spans="1:3" x14ac:dyDescent="0.25">
      <c r="A108" t="s">
        <v>467</v>
      </c>
      <c r="B108" s="21" t="str">
        <f t="shared" si="6"/>
        <v>2016/11/29 02:34:38.227</v>
      </c>
      <c r="C108" s="21">
        <f t="shared" si="7"/>
        <v>3.7036807043477893E-7</v>
      </c>
    </row>
    <row r="109" spans="1:3" x14ac:dyDescent="0.25">
      <c r="A109" t="s">
        <v>468</v>
      </c>
      <c r="B109" s="21" t="str">
        <f t="shared" si="6"/>
        <v>2016/11/29 02:35:14.579</v>
      </c>
      <c r="C109" s="21">
        <f t="shared" si="7"/>
        <v>4.2074074008269235E-4</v>
      </c>
    </row>
    <row r="110" spans="1:3" x14ac:dyDescent="0.25">
      <c r="A110" t="s">
        <v>469</v>
      </c>
      <c r="B110" s="21" t="str">
        <f t="shared" si="6"/>
        <v>2016/11/29 02:35:15.195</v>
      </c>
      <c r="C110" s="21">
        <f t="shared" si="7"/>
        <v>7.129630830604583E-6</v>
      </c>
    </row>
    <row r="111" spans="1:3" x14ac:dyDescent="0.25">
      <c r="A111" t="s">
        <v>470</v>
      </c>
      <c r="B111" s="21" t="str">
        <f t="shared" si="6"/>
        <v>2016/11/29 02:35:15.228</v>
      </c>
      <c r="C111" s="21">
        <f t="shared" si="7"/>
        <v>3.8194411899894476E-7</v>
      </c>
    </row>
    <row r="112" spans="1:3" x14ac:dyDescent="0.25">
      <c r="A112" t="s">
        <v>471</v>
      </c>
      <c r="B112" s="21" t="str">
        <f t="shared" si="6"/>
        <v>2016/11/29 02:58:01.677</v>
      </c>
      <c r="C112" s="21">
        <f t="shared" si="7"/>
        <v>1.5815381950233132E-2</v>
      </c>
    </row>
    <row r="113" spans="1:3" x14ac:dyDescent="0.25">
      <c r="A113" t="s">
        <v>472</v>
      </c>
      <c r="B113" s="21" t="str">
        <f t="shared" si="6"/>
        <v>2016/11/29 02:58:01.923</v>
      </c>
      <c r="C113" s="21">
        <f t="shared" si="7"/>
        <v>2.847220457624644E-6</v>
      </c>
    </row>
    <row r="114" spans="1:3" x14ac:dyDescent="0.25">
      <c r="A114" t="s">
        <v>473</v>
      </c>
      <c r="B114" s="21" t="str">
        <f t="shared" si="6"/>
        <v>2016/11/29 02:58:02.235</v>
      </c>
      <c r="C114" s="21">
        <f t="shared" si="7"/>
        <v>3.6111086956225336E-6</v>
      </c>
    </row>
    <row r="115" spans="1:3" x14ac:dyDescent="0.25">
      <c r="B115" s="21"/>
      <c r="C115" s="21"/>
    </row>
    <row r="116" spans="1:3" x14ac:dyDescent="0.25">
      <c r="B116" s="21"/>
      <c r="C116" s="21"/>
    </row>
    <row r="117" spans="1:3" x14ac:dyDescent="0.25">
      <c r="B117" s="21"/>
      <c r="C117" s="21"/>
    </row>
    <row r="118" spans="1:3" x14ac:dyDescent="0.25">
      <c r="B118" s="21"/>
      <c r="C118" s="21"/>
    </row>
    <row r="119" spans="1:3" x14ac:dyDescent="0.25">
      <c r="B119" s="21"/>
      <c r="C119" s="21"/>
    </row>
    <row r="120" spans="1:3" x14ac:dyDescent="0.25">
      <c r="B120" s="21"/>
      <c r="C120" s="21"/>
    </row>
    <row r="121" spans="1:3" x14ac:dyDescent="0.25">
      <c r="B121" s="21"/>
      <c r="C121" s="21"/>
    </row>
    <row r="122" spans="1:3" x14ac:dyDescent="0.25">
      <c r="B122" s="21"/>
      <c r="C122" s="21"/>
    </row>
    <row r="123" spans="1:3" x14ac:dyDescent="0.25">
      <c r="B123" s="21"/>
      <c r="C123" s="21"/>
    </row>
    <row r="124" spans="1:3" x14ac:dyDescent="0.25">
      <c r="B124" s="21"/>
      <c r="C124" s="21"/>
    </row>
    <row r="125" spans="1:3" x14ac:dyDescent="0.25">
      <c r="B125" s="21"/>
      <c r="C125" s="21"/>
    </row>
    <row r="126" spans="1:3" x14ac:dyDescent="0.25">
      <c r="B126" s="21"/>
      <c r="C126" s="21"/>
    </row>
    <row r="127" spans="1:3" x14ac:dyDescent="0.25">
      <c r="B127" s="21"/>
      <c r="C127" s="21"/>
    </row>
    <row r="128" spans="1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2016-12-01T17:47:28Z</dcterms:modified>
</cp:coreProperties>
</file>