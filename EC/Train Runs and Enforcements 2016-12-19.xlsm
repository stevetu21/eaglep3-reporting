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" i="1" l="1"/>
  <c r="X18" i="1"/>
  <c r="X19" i="1"/>
  <c r="X20" i="1"/>
  <c r="K17" i="1"/>
  <c r="L17" i="1"/>
  <c r="M17" i="1"/>
  <c r="V17" i="1"/>
  <c r="AA17" i="1"/>
  <c r="AB17" i="1"/>
  <c r="AC17" i="1"/>
  <c r="AD17" i="1"/>
  <c r="T17" i="1" s="1"/>
  <c r="AE17" i="1"/>
  <c r="AF17" i="1"/>
  <c r="AH17" i="1"/>
  <c r="AG17" i="1" l="1"/>
  <c r="W17" i="1" s="1"/>
  <c r="P203" i="1"/>
  <c r="X157" i="1"/>
  <c r="X158" i="1"/>
  <c r="M140" i="1"/>
  <c r="P140" i="1" s="1"/>
  <c r="M60" i="1"/>
  <c r="P60" i="1" s="1"/>
  <c r="AI17" i="1" l="1"/>
  <c r="U17" i="1"/>
  <c r="S17" i="1" s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G16" i="1"/>
  <c r="AH16" i="1"/>
  <c r="K18" i="1"/>
  <c r="L18" i="1"/>
  <c r="M18" i="1"/>
  <c r="P18" i="1" s="1"/>
  <c r="V18" i="1"/>
  <c r="Y18" i="1"/>
  <c r="Z18" i="1"/>
  <c r="AB18" i="1"/>
  <c r="AC18" i="1"/>
  <c r="AD18" i="1"/>
  <c r="T18" i="1" s="1"/>
  <c r="AE18" i="1"/>
  <c r="R21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T22" i="1"/>
  <c r="V22" i="1"/>
  <c r="Y22" i="1"/>
  <c r="Z22" i="1"/>
  <c r="AB22" i="1"/>
  <c r="AC22" i="1"/>
  <c r="AD22" i="1"/>
  <c r="AE22" i="1"/>
  <c r="AF22" i="1"/>
  <c r="AG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V27" i="1"/>
  <c r="Y27" i="1"/>
  <c r="Z27" i="1"/>
  <c r="AB27" i="1"/>
  <c r="AC27" i="1"/>
  <c r="AD27" i="1"/>
  <c r="T27" i="1" s="1"/>
  <c r="AE27" i="1"/>
  <c r="R15" i="3" s="1"/>
  <c r="AF27" i="1"/>
  <c r="AH27" i="1"/>
  <c r="K28" i="1"/>
  <c r="L28" i="1"/>
  <c r="M28" i="1"/>
  <c r="V28" i="1"/>
  <c r="Y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X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G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P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/>
  <c r="V51" i="1"/>
  <c r="Y51" i="1"/>
  <c r="Z51" i="1"/>
  <c r="AA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A52" i="1" s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S9" i="3" s="1"/>
  <c r="Y59" i="1"/>
  <c r="Z59" i="1"/>
  <c r="AB59" i="1"/>
  <c r="AC59" i="1"/>
  <c r="AD59" i="1"/>
  <c r="AE59" i="1"/>
  <c r="AF59" i="1"/>
  <c r="AH59" i="1"/>
  <c r="K60" i="1"/>
  <c r="L60" i="1"/>
  <c r="V60" i="1"/>
  <c r="S22" i="3" s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S30" i="3" s="1"/>
  <c r="Y61" i="1"/>
  <c r="Z61" i="1"/>
  <c r="AB61" i="1"/>
  <c r="AC61" i="1"/>
  <c r="AD61" i="1"/>
  <c r="AE61" i="1"/>
  <c r="R33" i="3" s="1"/>
  <c r="AF61" i="1"/>
  <c r="AH61" i="1"/>
  <c r="K62" i="1"/>
  <c r="L62" i="1"/>
  <c r="M62" i="1"/>
  <c r="N62" i="1" s="1"/>
  <c r="V62" i="1"/>
  <c r="S25" i="3" s="1"/>
  <c r="Y62" i="1"/>
  <c r="Z62" i="1"/>
  <c r="AB62" i="1"/>
  <c r="AC62" i="1"/>
  <c r="AD62" i="1"/>
  <c r="AE62" i="1"/>
  <c r="R25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S13" i="3" s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S10" i="3" s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S20" i="3" s="1"/>
  <c r="Y69" i="1"/>
  <c r="Z69" i="1"/>
  <c r="AB69" i="1"/>
  <c r="AC69" i="1"/>
  <c r="AD69" i="1"/>
  <c r="T69" i="1" s="1"/>
  <c r="AE69" i="1"/>
  <c r="R20" i="3" s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S14" i="3" s="1"/>
  <c r="Y77" i="1"/>
  <c r="Z77" i="1"/>
  <c r="AB77" i="1"/>
  <c r="AC77" i="1"/>
  <c r="AD77" i="1"/>
  <c r="X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G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G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S26" i="3" s="1"/>
  <c r="Y106" i="1"/>
  <c r="AA106" i="1" s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A108" i="1"/>
  <c r="W108" i="1" s="1"/>
  <c r="AB108" i="1"/>
  <c r="AC108" i="1"/>
  <c r="AD108" i="1"/>
  <c r="T108" i="1" s="1"/>
  <c r="AE108" i="1"/>
  <c r="AF108" i="1"/>
  <c r="AG108" i="1"/>
  <c r="U108" i="1" s="1"/>
  <c r="S108" i="1" s="1"/>
  <c r="AH108" i="1"/>
  <c r="AI108" i="1"/>
  <c r="K109" i="1"/>
  <c r="L109" i="1"/>
  <c r="M109" i="1"/>
  <c r="N109" i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T110" i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S27" i="3" s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I119" i="1" s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P139" i="1" s="1"/>
  <c r="V139" i="1"/>
  <c r="Y139" i="1"/>
  <c r="Z139" i="1"/>
  <c r="AB139" i="1"/>
  <c r="AC139" i="1"/>
  <c r="AD139" i="1"/>
  <c r="AE139" i="1"/>
  <c r="AF139" i="1"/>
  <c r="AH139" i="1"/>
  <c r="K140" i="1"/>
  <c r="L140" i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P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P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P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S23" i="3" s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T155" i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K210" i="1"/>
  <c r="L210" i="1"/>
  <c r="M210" i="1"/>
  <c r="N210" i="1"/>
  <c r="V210" i="1"/>
  <c r="Y210" i="1"/>
  <c r="Z210" i="1"/>
  <c r="AB210" i="1"/>
  <c r="AC210" i="1"/>
  <c r="AD210" i="1"/>
  <c r="AG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K226" i="1"/>
  <c r="L226" i="1"/>
  <c r="M226" i="1"/>
  <c r="N226" i="1" s="1"/>
  <c r="V226" i="1"/>
  <c r="S55" i="3" s="1"/>
  <c r="Y226" i="1"/>
  <c r="Z226" i="1"/>
  <c r="AB226" i="1"/>
  <c r="AC226" i="1"/>
  <c r="AD226" i="1"/>
  <c r="T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9" i="1"/>
  <c r="K161" i="1"/>
  <c r="L161" i="1"/>
  <c r="M161" i="1"/>
  <c r="N161" i="1"/>
  <c r="V161" i="1"/>
  <c r="Y161" i="1"/>
  <c r="Z161" i="1"/>
  <c r="AB161" i="1"/>
  <c r="AC161" i="1"/>
  <c r="AD161" i="1"/>
  <c r="T161" i="1" s="1"/>
  <c r="AE161" i="1"/>
  <c r="AF161" i="1"/>
  <c r="AH18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2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6" i="1"/>
  <c r="K168" i="1"/>
  <c r="L168" i="1"/>
  <c r="M168" i="1"/>
  <c r="N168" i="1" s="1"/>
  <c r="V168" i="1"/>
  <c r="Y168" i="1"/>
  <c r="Z168" i="1"/>
  <c r="AA168" i="1" s="1"/>
  <c r="AB168" i="1"/>
  <c r="AC168" i="1"/>
  <c r="AD168" i="1"/>
  <c r="AG168" i="1" s="1"/>
  <c r="AE168" i="1"/>
  <c r="R38" i="3" s="1"/>
  <c r="AF168" i="1"/>
  <c r="AH187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R41" i="3" s="1"/>
  <c r="AF169" i="1"/>
  <c r="AH188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R50" i="3" s="1"/>
  <c r="AF170" i="1"/>
  <c r="AH189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190" i="1"/>
  <c r="K172" i="1"/>
  <c r="L172" i="1"/>
  <c r="M172" i="1"/>
  <c r="N172" i="1" s="1"/>
  <c r="V172" i="1"/>
  <c r="S52" i="3" s="1"/>
  <c r="Y172" i="1"/>
  <c r="Z172" i="1"/>
  <c r="AB172" i="1"/>
  <c r="AC172" i="1"/>
  <c r="AD172" i="1"/>
  <c r="AG172" i="1" s="1"/>
  <c r="AE172" i="1"/>
  <c r="AF172" i="1"/>
  <c r="AH19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4" i="1"/>
  <c r="K176" i="1"/>
  <c r="L176" i="1"/>
  <c r="M176" i="1"/>
  <c r="N176" i="1" s="1"/>
  <c r="T176" i="1"/>
  <c r="V176" i="1"/>
  <c r="Y176" i="1"/>
  <c r="Z176" i="1"/>
  <c r="AB176" i="1"/>
  <c r="AC176" i="1"/>
  <c r="AD176" i="1"/>
  <c r="AG176" i="1" s="1"/>
  <c r="AE176" i="1"/>
  <c r="AF176" i="1"/>
  <c r="AH19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R35" i="3" s="1"/>
  <c r="AF178" i="1"/>
  <c r="AH19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8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3" i="1"/>
  <c r="K185" i="1"/>
  <c r="L185" i="1"/>
  <c r="M185" i="1"/>
  <c r="N185" i="1" s="1"/>
  <c r="V185" i="1"/>
  <c r="S34" i="3" s="1"/>
  <c r="Y185" i="1"/>
  <c r="Z185" i="1"/>
  <c r="AB185" i="1"/>
  <c r="AC185" i="1"/>
  <c r="AD185" i="1"/>
  <c r="T185" i="1" s="1"/>
  <c r="AE185" i="1"/>
  <c r="AF185" i="1"/>
  <c r="AH20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R44" i="3" s="1"/>
  <c r="AF189" i="1"/>
  <c r="AH20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K194" i="1"/>
  <c r="L194" i="1"/>
  <c r="M194" i="1"/>
  <c r="N194" i="1" s="1"/>
  <c r="V194" i="1"/>
  <c r="S53" i="3" s="1"/>
  <c r="Y194" i="1"/>
  <c r="Z194" i="1"/>
  <c r="AB194" i="1"/>
  <c r="AC194" i="1"/>
  <c r="AD194" i="1"/>
  <c r="T194" i="1" s="1"/>
  <c r="AE194" i="1"/>
  <c r="AF194" i="1"/>
  <c r="AG194" i="1"/>
  <c r="AH21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R37" i="3" s="1"/>
  <c r="AF195" i="1"/>
  <c r="AH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K199" i="1"/>
  <c r="L199" i="1"/>
  <c r="M199" i="1"/>
  <c r="N199" i="1" s="1"/>
  <c r="V199" i="1"/>
  <c r="S45" i="3" s="1"/>
  <c r="Y199" i="1"/>
  <c r="Z199" i="1"/>
  <c r="AB199" i="1"/>
  <c r="AC199" i="1"/>
  <c r="AD199" i="1"/>
  <c r="T199" i="1" s="1"/>
  <c r="AE199" i="1"/>
  <c r="R45" i="3" s="1"/>
  <c r="AF199" i="1"/>
  <c r="AH218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19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20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G202" i="1"/>
  <c r="AH221" i="1"/>
  <c r="K203" i="1"/>
  <c r="L203" i="1"/>
  <c r="M203" i="1"/>
  <c r="V203" i="1"/>
  <c r="Y203" i="1"/>
  <c r="Z203" i="1"/>
  <c r="AB203" i="1"/>
  <c r="AC203" i="1"/>
  <c r="AD203" i="1"/>
  <c r="X203" i="1" s="1"/>
  <c r="AE203" i="1"/>
  <c r="R39" i="3" s="1"/>
  <c r="AF203" i="1"/>
  <c r="AH222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4" i="1"/>
  <c r="K217" i="1"/>
  <c r="L217" i="1"/>
  <c r="M217" i="1"/>
  <c r="N217" i="1" s="1"/>
  <c r="V217" i="1"/>
  <c r="S56" i="3" s="1"/>
  <c r="Y217" i="1"/>
  <c r="Z217" i="1"/>
  <c r="AB217" i="1"/>
  <c r="AC217" i="1"/>
  <c r="AD217" i="1"/>
  <c r="T217" i="1" s="1"/>
  <c r="AE217" i="1"/>
  <c r="R56" i="3" s="1"/>
  <c r="AF217" i="1"/>
  <c r="AH225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9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0" i="1"/>
  <c r="M17" i="3"/>
  <c r="R17" i="3"/>
  <c r="S17" i="3"/>
  <c r="U17" i="3"/>
  <c r="T17" i="3" s="1"/>
  <c r="V17" i="3"/>
  <c r="W17" i="3"/>
  <c r="X17" i="3"/>
  <c r="Y17" i="3"/>
  <c r="M56" i="3"/>
  <c r="U56" i="3"/>
  <c r="T56" i="3" s="1"/>
  <c r="V56" i="3"/>
  <c r="W56" i="3"/>
  <c r="X56" i="3"/>
  <c r="Y56" i="3"/>
  <c r="M21" i="3"/>
  <c r="S21" i="3"/>
  <c r="U21" i="3"/>
  <c r="T21" i="3" s="1"/>
  <c r="V21" i="3"/>
  <c r="W21" i="3"/>
  <c r="Y21" i="3" s="1"/>
  <c r="X21" i="3"/>
  <c r="M19" i="3"/>
  <c r="R19" i="3"/>
  <c r="S19" i="3"/>
  <c r="U19" i="3"/>
  <c r="T19" i="3" s="1"/>
  <c r="V19" i="3"/>
  <c r="W19" i="3"/>
  <c r="Y19" i="3" s="1"/>
  <c r="X19" i="3"/>
  <c r="M15" i="3"/>
  <c r="S15" i="3"/>
  <c r="U15" i="3"/>
  <c r="T15" i="3" s="1"/>
  <c r="V15" i="3"/>
  <c r="W15" i="3"/>
  <c r="Y15" i="3" s="1"/>
  <c r="X15" i="3"/>
  <c r="M16" i="3"/>
  <c r="R16" i="3"/>
  <c r="S16" i="3"/>
  <c r="U16" i="3"/>
  <c r="T16" i="3" s="1"/>
  <c r="V16" i="3"/>
  <c r="W16" i="3"/>
  <c r="Y16" i="3" s="1"/>
  <c r="X16" i="3"/>
  <c r="M24" i="3"/>
  <c r="R24" i="3"/>
  <c r="S24" i="3"/>
  <c r="U24" i="3"/>
  <c r="T24" i="3" s="1"/>
  <c r="V24" i="3"/>
  <c r="W24" i="3"/>
  <c r="X24" i="3"/>
  <c r="M40" i="3"/>
  <c r="R40" i="3"/>
  <c r="S40" i="3"/>
  <c r="U40" i="3"/>
  <c r="T40" i="3" s="1"/>
  <c r="V40" i="3"/>
  <c r="W40" i="3"/>
  <c r="X40" i="3"/>
  <c r="M46" i="3"/>
  <c r="R46" i="3"/>
  <c r="S46" i="3"/>
  <c r="U46" i="3"/>
  <c r="T46" i="3" s="1"/>
  <c r="V46" i="3"/>
  <c r="W46" i="3"/>
  <c r="X46" i="3"/>
  <c r="Y46" i="3"/>
  <c r="M36" i="3"/>
  <c r="R36" i="3"/>
  <c r="S36" i="3"/>
  <c r="U36" i="3"/>
  <c r="T36" i="3" s="1"/>
  <c r="V36" i="3"/>
  <c r="W36" i="3"/>
  <c r="X36" i="3"/>
  <c r="Y36" i="3"/>
  <c r="M47" i="3"/>
  <c r="R47" i="3"/>
  <c r="S47" i="3"/>
  <c r="U47" i="3"/>
  <c r="T47" i="3" s="1"/>
  <c r="V47" i="3"/>
  <c r="W47" i="3"/>
  <c r="Y47" i="3" s="1"/>
  <c r="X47" i="3"/>
  <c r="M38" i="3"/>
  <c r="S38" i="3"/>
  <c r="U38" i="3"/>
  <c r="T38" i="3" s="1"/>
  <c r="V38" i="3"/>
  <c r="W38" i="3"/>
  <c r="Y38" i="3" s="1"/>
  <c r="X38" i="3"/>
  <c r="M48" i="3"/>
  <c r="S48" i="3"/>
  <c r="U48" i="3"/>
  <c r="T48" i="3" s="1"/>
  <c r="V48" i="3"/>
  <c r="W48" i="3"/>
  <c r="Y48" i="3" s="1"/>
  <c r="X48" i="3"/>
  <c r="M12" i="3"/>
  <c r="R12" i="3"/>
  <c r="S12" i="3"/>
  <c r="U12" i="3"/>
  <c r="T12" i="3" s="1"/>
  <c r="V12" i="3"/>
  <c r="W12" i="3"/>
  <c r="Y12" i="3" s="1"/>
  <c r="X12" i="3"/>
  <c r="M49" i="3"/>
  <c r="S49" i="3"/>
  <c r="U49" i="3"/>
  <c r="T49" i="3" s="1"/>
  <c r="V49" i="3"/>
  <c r="W49" i="3"/>
  <c r="X49" i="3"/>
  <c r="M41" i="3"/>
  <c r="S41" i="3"/>
  <c r="U41" i="3"/>
  <c r="T41" i="3" s="1"/>
  <c r="V41" i="3"/>
  <c r="W41" i="3"/>
  <c r="X41" i="3"/>
  <c r="M50" i="3"/>
  <c r="S50" i="3"/>
  <c r="U50" i="3"/>
  <c r="T50" i="3" s="1"/>
  <c r="V50" i="3"/>
  <c r="W50" i="3"/>
  <c r="X50" i="3"/>
  <c r="Y50" i="3"/>
  <c r="M51" i="3"/>
  <c r="S51" i="3"/>
  <c r="U51" i="3"/>
  <c r="T51" i="3" s="1"/>
  <c r="V51" i="3"/>
  <c r="W51" i="3"/>
  <c r="X51" i="3"/>
  <c r="Y51" i="3"/>
  <c r="M52" i="3"/>
  <c r="R52" i="3"/>
  <c r="U52" i="3"/>
  <c r="T52" i="3" s="1"/>
  <c r="V52" i="3"/>
  <c r="W52" i="3"/>
  <c r="Y52" i="3" s="1"/>
  <c r="X52" i="3"/>
  <c r="M9" i="3"/>
  <c r="R9" i="3"/>
  <c r="U9" i="3"/>
  <c r="T9" i="3" s="1"/>
  <c r="V9" i="3"/>
  <c r="W9" i="3"/>
  <c r="Y9" i="3" s="1"/>
  <c r="X9" i="3"/>
  <c r="M8" i="3"/>
  <c r="R8" i="3"/>
  <c r="U8" i="3"/>
  <c r="T8" i="3" s="1"/>
  <c r="V8" i="3"/>
  <c r="W8" i="3"/>
  <c r="Y8" i="3" s="1"/>
  <c r="X8" i="3"/>
  <c r="M30" i="3"/>
  <c r="R30" i="3"/>
  <c r="U30" i="3"/>
  <c r="T30" i="3" s="1"/>
  <c r="V30" i="3"/>
  <c r="W30" i="3"/>
  <c r="Y30" i="3" s="1"/>
  <c r="X30" i="3"/>
  <c r="M31" i="3"/>
  <c r="R31" i="3"/>
  <c r="U31" i="3"/>
  <c r="T31" i="3" s="1"/>
  <c r="V31" i="3"/>
  <c r="W31" i="3"/>
  <c r="X31" i="3"/>
  <c r="M32" i="3"/>
  <c r="R32" i="3"/>
  <c r="S32" i="3"/>
  <c r="U32" i="3"/>
  <c r="T32" i="3" s="1"/>
  <c r="V32" i="3"/>
  <c r="W32" i="3"/>
  <c r="X32" i="3"/>
  <c r="M33" i="3"/>
  <c r="U33" i="3"/>
  <c r="T33" i="3" s="1"/>
  <c r="V33" i="3"/>
  <c r="W33" i="3"/>
  <c r="X33" i="3"/>
  <c r="Y33" i="3"/>
  <c r="M10" i="3"/>
  <c r="R10" i="3"/>
  <c r="U10" i="3"/>
  <c r="T10" i="3" s="1"/>
  <c r="V10" i="3"/>
  <c r="W10" i="3"/>
  <c r="X10" i="3"/>
  <c r="Y10" i="3"/>
  <c r="M22" i="3"/>
  <c r="R22" i="3"/>
  <c r="U22" i="3"/>
  <c r="T22" i="3" s="1"/>
  <c r="V22" i="3"/>
  <c r="W22" i="3"/>
  <c r="Y22" i="3" s="1"/>
  <c r="X22" i="3"/>
  <c r="M13" i="3"/>
  <c r="R13" i="3"/>
  <c r="U13" i="3"/>
  <c r="T13" i="3" s="1"/>
  <c r="V13" i="3"/>
  <c r="W13" i="3"/>
  <c r="Y13" i="3" s="1"/>
  <c r="X13" i="3"/>
  <c r="M20" i="3"/>
  <c r="U20" i="3"/>
  <c r="T20" i="3" s="1"/>
  <c r="V20" i="3"/>
  <c r="W20" i="3"/>
  <c r="Y20" i="3" s="1"/>
  <c r="X20" i="3"/>
  <c r="M25" i="3"/>
  <c r="U25" i="3"/>
  <c r="T25" i="3" s="1"/>
  <c r="V25" i="3"/>
  <c r="W25" i="3"/>
  <c r="Y25" i="3" s="1"/>
  <c r="X25" i="3"/>
  <c r="M7" i="3"/>
  <c r="R7" i="3"/>
  <c r="S7" i="3"/>
  <c r="U7" i="3"/>
  <c r="T7" i="3" s="1"/>
  <c r="V7" i="3"/>
  <c r="W7" i="3"/>
  <c r="X7" i="3"/>
  <c r="M14" i="3"/>
  <c r="R14" i="3"/>
  <c r="U14" i="3"/>
  <c r="T14" i="3" s="1"/>
  <c r="V14" i="3"/>
  <c r="W14" i="3"/>
  <c r="X14" i="3"/>
  <c r="M55" i="3"/>
  <c r="R55" i="3"/>
  <c r="U55" i="3"/>
  <c r="T55" i="3" s="1"/>
  <c r="V55" i="3"/>
  <c r="W55" i="3"/>
  <c r="X55" i="3"/>
  <c r="M35" i="3"/>
  <c r="S35" i="3"/>
  <c r="U35" i="3"/>
  <c r="T35" i="3" s="1"/>
  <c r="V35" i="3"/>
  <c r="W35" i="3"/>
  <c r="X35" i="3"/>
  <c r="M42" i="3"/>
  <c r="R42" i="3"/>
  <c r="S42" i="3"/>
  <c r="U42" i="3"/>
  <c r="T42" i="3" s="1"/>
  <c r="V42" i="3"/>
  <c r="W42" i="3"/>
  <c r="X42" i="3"/>
  <c r="Y42" i="3"/>
  <c r="M43" i="3"/>
  <c r="R43" i="3"/>
  <c r="S43" i="3"/>
  <c r="U43" i="3"/>
  <c r="T43" i="3" s="1"/>
  <c r="V43" i="3"/>
  <c r="W43" i="3"/>
  <c r="Y43" i="3" s="1"/>
  <c r="X43" i="3"/>
  <c r="M34" i="3"/>
  <c r="R34" i="3"/>
  <c r="U34" i="3"/>
  <c r="T34" i="3" s="1"/>
  <c r="V34" i="3"/>
  <c r="W34" i="3"/>
  <c r="Y34" i="3" s="1"/>
  <c r="X34" i="3"/>
  <c r="M11" i="3"/>
  <c r="R11" i="3"/>
  <c r="S11" i="3"/>
  <c r="U11" i="3"/>
  <c r="T11" i="3" s="1"/>
  <c r="V11" i="3"/>
  <c r="W11" i="3"/>
  <c r="Y11" i="3" s="1"/>
  <c r="X11" i="3"/>
  <c r="M26" i="3"/>
  <c r="R26" i="3"/>
  <c r="U26" i="3"/>
  <c r="T26" i="3" s="1"/>
  <c r="V26" i="3"/>
  <c r="W26" i="3"/>
  <c r="Y26" i="3" s="1"/>
  <c r="X26" i="3"/>
  <c r="M44" i="3"/>
  <c r="S44" i="3"/>
  <c r="U44" i="3"/>
  <c r="T44" i="3" s="1"/>
  <c r="V44" i="3"/>
  <c r="W44" i="3"/>
  <c r="X44" i="3"/>
  <c r="M53" i="3"/>
  <c r="R53" i="3"/>
  <c r="U53" i="3"/>
  <c r="T53" i="3" s="1"/>
  <c r="V53" i="3"/>
  <c r="W53" i="3"/>
  <c r="X53" i="3"/>
  <c r="M37" i="3"/>
  <c r="S37" i="3"/>
  <c r="U37" i="3"/>
  <c r="T37" i="3" s="1"/>
  <c r="V37" i="3"/>
  <c r="W37" i="3"/>
  <c r="X37" i="3"/>
  <c r="Y37" i="3"/>
  <c r="M27" i="3"/>
  <c r="R27" i="3"/>
  <c r="U27" i="3"/>
  <c r="T27" i="3" s="1"/>
  <c r="V27" i="3"/>
  <c r="W27" i="3"/>
  <c r="X27" i="3"/>
  <c r="Y27" i="3"/>
  <c r="M28" i="3"/>
  <c r="R28" i="3"/>
  <c r="S28" i="3"/>
  <c r="U28" i="3"/>
  <c r="T28" i="3" s="1"/>
  <c r="V28" i="3"/>
  <c r="W28" i="3"/>
  <c r="Y28" i="3" s="1"/>
  <c r="X28" i="3"/>
  <c r="M45" i="3"/>
  <c r="U45" i="3"/>
  <c r="T45" i="3" s="1"/>
  <c r="V45" i="3"/>
  <c r="W45" i="3"/>
  <c r="Y45" i="3" s="1"/>
  <c r="X45" i="3"/>
  <c r="M39" i="3"/>
  <c r="S39" i="3"/>
  <c r="U39" i="3"/>
  <c r="T39" i="3" s="1"/>
  <c r="V39" i="3"/>
  <c r="W39" i="3"/>
  <c r="Y39" i="3" s="1"/>
  <c r="X39" i="3"/>
  <c r="M29" i="3"/>
  <c r="R29" i="3"/>
  <c r="S29" i="3"/>
  <c r="U29" i="3"/>
  <c r="T29" i="3" s="1"/>
  <c r="V29" i="3"/>
  <c r="W29" i="3"/>
  <c r="Y29" i="3" s="1"/>
  <c r="X29" i="3"/>
  <c r="M23" i="3"/>
  <c r="R23" i="3"/>
  <c r="U23" i="3"/>
  <c r="T23" i="3" s="1"/>
  <c r="V23" i="3"/>
  <c r="W23" i="3"/>
  <c r="X23" i="3"/>
  <c r="M54" i="3"/>
  <c r="R54" i="3"/>
  <c r="S54" i="3"/>
  <c r="U54" i="3"/>
  <c r="T54" i="3" s="1"/>
  <c r="V54" i="3"/>
  <c r="W54" i="3"/>
  <c r="X54" i="3"/>
  <c r="T16" i="1" l="1"/>
  <c r="AA50" i="1"/>
  <c r="AA26" i="1"/>
  <c r="S8" i="3"/>
  <c r="AA66" i="1"/>
  <c r="AA59" i="1"/>
  <c r="AA58" i="1"/>
  <c r="P136" i="1"/>
  <c r="AA82" i="1"/>
  <c r="AG56" i="1"/>
  <c r="W56" i="1" s="1"/>
  <c r="AG198" i="1"/>
  <c r="AG186" i="1"/>
  <c r="AG166" i="1"/>
  <c r="X159" i="1"/>
  <c r="AA228" i="1"/>
  <c r="N147" i="1"/>
  <c r="P145" i="1"/>
  <c r="AG122" i="1"/>
  <c r="X78" i="1"/>
  <c r="X73" i="1"/>
  <c r="AA72" i="1"/>
  <c r="AA70" i="1"/>
  <c r="AI22" i="1"/>
  <c r="X22" i="1"/>
  <c r="AG59" i="1"/>
  <c r="X59" i="1"/>
  <c r="T65" i="1"/>
  <c r="X65" i="1"/>
  <c r="T64" i="1"/>
  <c r="X64" i="1"/>
  <c r="AG63" i="1"/>
  <c r="X63" i="1"/>
  <c r="AG221" i="1"/>
  <c r="AG192" i="1"/>
  <c r="X192" i="1"/>
  <c r="AA178" i="1"/>
  <c r="AA177" i="1"/>
  <c r="AA176" i="1"/>
  <c r="W176" i="1" s="1"/>
  <c r="AG174" i="1"/>
  <c r="X172" i="1"/>
  <c r="AG216" i="1"/>
  <c r="AA209" i="1"/>
  <c r="AG147" i="1"/>
  <c r="X147" i="1"/>
  <c r="X111" i="1"/>
  <c r="AA86" i="1"/>
  <c r="AG72" i="1"/>
  <c r="W72" i="1" s="1"/>
  <c r="AG62" i="1"/>
  <c r="X62" i="1"/>
  <c r="T61" i="1"/>
  <c r="X61" i="1"/>
  <c r="AG60" i="1"/>
  <c r="X60" i="1"/>
  <c r="AG48" i="1"/>
  <c r="S31" i="3"/>
  <c r="R51" i="3"/>
  <c r="R48" i="3"/>
  <c r="AA142" i="1"/>
  <c r="T127" i="1"/>
  <c r="AA116" i="1"/>
  <c r="W116" i="1" s="1"/>
  <c r="AA115" i="1"/>
  <c r="W115" i="1" s="1"/>
  <c r="X82" i="1"/>
  <c r="AG66" i="1"/>
  <c r="AI66" i="1" s="1"/>
  <c r="AA62" i="1"/>
  <c r="W62" i="1" s="1"/>
  <c r="AA57" i="1"/>
  <c r="AG40" i="1"/>
  <c r="X34" i="1"/>
  <c r="AA34" i="1"/>
  <c r="S33" i="3"/>
  <c r="R49" i="3"/>
  <c r="W202" i="1"/>
  <c r="AG196" i="1"/>
  <c r="X196" i="1"/>
  <c r="AG183" i="1"/>
  <c r="AI183" i="1" s="1"/>
  <c r="AG230" i="1"/>
  <c r="AI230" i="1" s="1"/>
  <c r="T158" i="1"/>
  <c r="AG151" i="1"/>
  <c r="X151" i="1"/>
  <c r="T144" i="1"/>
  <c r="U144" i="1" s="1"/>
  <c r="AG127" i="1"/>
  <c r="AA113" i="1"/>
  <c r="T103" i="1"/>
  <c r="AA96" i="1"/>
  <c r="AA95" i="1"/>
  <c r="X90" i="1"/>
  <c r="AA85" i="1"/>
  <c r="AA84" i="1"/>
  <c r="AA76" i="1"/>
  <c r="AA74" i="1"/>
  <c r="X41" i="1"/>
  <c r="AA40" i="1"/>
  <c r="W40" i="1" s="1"/>
  <c r="AA39" i="1"/>
  <c r="AA38" i="1"/>
  <c r="AG33" i="1"/>
  <c r="X33" i="1"/>
  <c r="AG217" i="1"/>
  <c r="W217" i="1" s="1"/>
  <c r="X204" i="1"/>
  <c r="X222" i="1"/>
  <c r="AA221" i="1"/>
  <c r="AA220" i="1"/>
  <c r="AG190" i="1"/>
  <c r="AA186" i="1"/>
  <c r="AA185" i="1"/>
  <c r="AG178" i="1"/>
  <c r="W178" i="1" s="1"/>
  <c r="AG170" i="1"/>
  <c r="AA164" i="1"/>
  <c r="X155" i="1"/>
  <c r="AA154" i="1"/>
  <c r="W154" i="1" s="1"/>
  <c r="AA147" i="1"/>
  <c r="AA146" i="1"/>
  <c r="AA145" i="1"/>
  <c r="AA144" i="1"/>
  <c r="W144" i="1" s="1"/>
  <c r="X123" i="1"/>
  <c r="AA122" i="1"/>
  <c r="T115" i="1"/>
  <c r="AA112" i="1"/>
  <c r="AA105" i="1"/>
  <c r="AA104" i="1"/>
  <c r="AA103" i="1"/>
  <c r="W103" i="1" s="1"/>
  <c r="AI100" i="1"/>
  <c r="X94" i="1"/>
  <c r="AA93" i="1"/>
  <c r="W93" i="1" s="1"/>
  <c r="T81" i="1"/>
  <c r="U81" i="1" s="1"/>
  <c r="P27" i="1"/>
  <c r="AG28" i="1"/>
  <c r="T30" i="1"/>
  <c r="AA25" i="1"/>
  <c r="T25" i="1"/>
  <c r="AA20" i="1"/>
  <c r="AA19" i="1"/>
  <c r="AA219" i="1"/>
  <c r="AA198" i="1"/>
  <c r="AA190" i="1"/>
  <c r="W190" i="1" s="1"/>
  <c r="AA189" i="1"/>
  <c r="AG182" i="1"/>
  <c r="AG163" i="1"/>
  <c r="X163" i="1"/>
  <c r="AG160" i="1"/>
  <c r="X160" i="1"/>
  <c r="AG227" i="1"/>
  <c r="AI227" i="1" s="1"/>
  <c r="X227" i="1"/>
  <c r="AG224" i="1"/>
  <c r="U224" i="1" s="1"/>
  <c r="X224" i="1"/>
  <c r="AG213" i="1"/>
  <c r="X213" i="1"/>
  <c r="AG208" i="1"/>
  <c r="X156" i="1"/>
  <c r="AG143" i="1"/>
  <c r="X143" i="1"/>
  <c r="AG138" i="1"/>
  <c r="U138" i="1" s="1"/>
  <c r="AG134" i="1"/>
  <c r="AG130" i="1"/>
  <c r="X128" i="1"/>
  <c r="AA118" i="1"/>
  <c r="W118" i="1" s="1"/>
  <c r="AG102" i="1"/>
  <c r="AA94" i="1"/>
  <c r="AG88" i="1"/>
  <c r="AG74" i="1"/>
  <c r="AI74" i="1" s="1"/>
  <c r="AG69" i="1"/>
  <c r="AG65" i="1"/>
  <c r="AG61" i="1"/>
  <c r="U61" i="1" s="1"/>
  <c r="S61" i="1" s="1"/>
  <c r="AI52" i="1"/>
  <c r="AG44" i="1"/>
  <c r="X42" i="1"/>
  <c r="AA217" i="1"/>
  <c r="AA205" i="1"/>
  <c r="AA204" i="1"/>
  <c r="W204" i="1" s="1"/>
  <c r="AA196" i="1"/>
  <c r="AA192" i="1"/>
  <c r="W192" i="1" s="1"/>
  <c r="AA188" i="1"/>
  <c r="W188" i="1" s="1"/>
  <c r="AA187" i="1"/>
  <c r="AA174" i="1"/>
  <c r="W174" i="1" s="1"/>
  <c r="AA173" i="1"/>
  <c r="AA172" i="1"/>
  <c r="W172" i="1" s="1"/>
  <c r="X168" i="1"/>
  <c r="AA166" i="1"/>
  <c r="W166" i="1" s="1"/>
  <c r="AA165" i="1"/>
  <c r="AA230" i="1"/>
  <c r="W230" i="1" s="1"/>
  <c r="AA229" i="1"/>
  <c r="AA216" i="1"/>
  <c r="AA215" i="1"/>
  <c r="T206" i="1"/>
  <c r="AG150" i="1"/>
  <c r="AG146" i="1"/>
  <c r="W146" i="1" s="1"/>
  <c r="X144" i="1"/>
  <c r="AA135" i="1"/>
  <c r="AA131" i="1"/>
  <c r="AA123" i="1"/>
  <c r="AG118" i="1"/>
  <c r="AI118" i="1" s="1"/>
  <c r="X118" i="1"/>
  <c r="AA111" i="1"/>
  <c r="T111" i="1"/>
  <c r="U111" i="1" s="1"/>
  <c r="S111" i="1" s="1"/>
  <c r="T106" i="1"/>
  <c r="X103" i="1"/>
  <c r="AA100" i="1"/>
  <c r="W100" i="1" s="1"/>
  <c r="AA99" i="1"/>
  <c r="AA98" i="1"/>
  <c r="AG96" i="1"/>
  <c r="U96" i="1" s="1"/>
  <c r="AG90" i="1"/>
  <c r="AI90" i="1" s="1"/>
  <c r="AG85" i="1"/>
  <c r="U85" i="1" s="1"/>
  <c r="AG82" i="1"/>
  <c r="AI82" i="1" s="1"/>
  <c r="AA80" i="1"/>
  <c r="AA79" i="1"/>
  <c r="AA78" i="1"/>
  <c r="W78" i="1" s="1"/>
  <c r="AG76" i="1"/>
  <c r="U76" i="1" s="1"/>
  <c r="AG70" i="1"/>
  <c r="AI70" i="1" s="1"/>
  <c r="AG57" i="1"/>
  <c r="U57" i="1" s="1"/>
  <c r="AG54" i="1"/>
  <c r="W54" i="1" s="1"/>
  <c r="AG50" i="1"/>
  <c r="AI50" i="1" s="1"/>
  <c r="X49" i="1"/>
  <c r="AA48" i="1"/>
  <c r="AA47" i="1"/>
  <c r="AA46" i="1"/>
  <c r="AA36" i="1"/>
  <c r="W36" i="1" s="1"/>
  <c r="AA35" i="1"/>
  <c r="AG30" i="1"/>
  <c r="AG25" i="1"/>
  <c r="U25" i="1" s="1"/>
  <c r="AG20" i="1"/>
  <c r="AA195" i="1"/>
  <c r="X183" i="1"/>
  <c r="AA182" i="1"/>
  <c r="W182" i="1" s="1"/>
  <c r="AA181" i="1"/>
  <c r="AA180" i="1"/>
  <c r="X164" i="1"/>
  <c r="AA163" i="1"/>
  <c r="AA227" i="1"/>
  <c r="W227" i="1" s="1"/>
  <c r="X209" i="1"/>
  <c r="AA208" i="1"/>
  <c r="AA207" i="1"/>
  <c r="AA206" i="1"/>
  <c r="W206" i="1" s="1"/>
  <c r="AG158" i="1"/>
  <c r="AA157" i="1"/>
  <c r="W157" i="1" s="1"/>
  <c r="AA156" i="1"/>
  <c r="T156" i="1"/>
  <c r="AA151" i="1"/>
  <c r="W151" i="1" s="1"/>
  <c r="X139" i="1"/>
  <c r="AA139" i="1"/>
  <c r="AA138" i="1"/>
  <c r="W138" i="1" s="1"/>
  <c r="AG135" i="1"/>
  <c r="X135" i="1"/>
  <c r="AG131" i="1"/>
  <c r="X131" i="1"/>
  <c r="AA130" i="1"/>
  <c r="W130" i="1" s="1"/>
  <c r="AA129" i="1"/>
  <c r="AA128" i="1"/>
  <c r="T128" i="1"/>
  <c r="AI116" i="1"/>
  <c r="T114" i="1"/>
  <c r="X89" i="1"/>
  <c r="AA88" i="1"/>
  <c r="W88" i="1" s="1"/>
  <c r="AA87" i="1"/>
  <c r="U72" i="1"/>
  <c r="X70" i="1"/>
  <c r="AA69" i="1"/>
  <c r="W69" i="1" s="1"/>
  <c r="AA65" i="1"/>
  <c r="AA44" i="1"/>
  <c r="AA43" i="1"/>
  <c r="AA42" i="1"/>
  <c r="W42" i="1" s="1"/>
  <c r="AA33" i="1"/>
  <c r="W33" i="1" s="1"/>
  <c r="X29" i="1"/>
  <c r="AA28" i="1"/>
  <c r="W28" i="1" s="1"/>
  <c r="AA27" i="1"/>
  <c r="AA222" i="1"/>
  <c r="T222" i="1"/>
  <c r="AG219" i="1"/>
  <c r="AG218" i="1"/>
  <c r="X218" i="1"/>
  <c r="AA203" i="1"/>
  <c r="T203" i="1"/>
  <c r="U203" i="1" s="1"/>
  <c r="S203" i="1" s="1"/>
  <c r="AG200" i="1"/>
  <c r="U200" i="1" s="1"/>
  <c r="S200" i="1" s="1"/>
  <c r="AG199" i="1"/>
  <c r="AI199" i="1" s="1"/>
  <c r="X199" i="1"/>
  <c r="X195" i="1"/>
  <c r="AG195" i="1"/>
  <c r="AI195" i="1" s="1"/>
  <c r="U192" i="1"/>
  <c r="S192" i="1" s="1"/>
  <c r="X188" i="1"/>
  <c r="W180" i="1"/>
  <c r="T180" i="1"/>
  <c r="U176" i="1"/>
  <c r="S176" i="1" s="1"/>
  <c r="W168" i="1"/>
  <c r="X219" i="1"/>
  <c r="T204" i="1"/>
  <c r="U204" i="1" s="1"/>
  <c r="S204" i="1" s="1"/>
  <c r="X200" i="1"/>
  <c r="W198" i="1"/>
  <c r="AA197" i="1"/>
  <c r="AA194" i="1"/>
  <c r="W194" i="1" s="1"/>
  <c r="AA193" i="1"/>
  <c r="X187" i="1"/>
  <c r="AG187" i="1"/>
  <c r="AI187" i="1" s="1"/>
  <c r="AG184" i="1"/>
  <c r="U184" i="1" s="1"/>
  <c r="S184" i="1" s="1"/>
  <c r="X184" i="1"/>
  <c r="U180" i="1"/>
  <c r="S180" i="1" s="1"/>
  <c r="X176" i="1"/>
  <c r="AG222" i="1"/>
  <c r="AA218" i="1"/>
  <c r="T205" i="1"/>
  <c r="X206" i="1"/>
  <c r="AG203" i="1"/>
  <c r="AI203" i="1" s="1"/>
  <c r="AA199" i="1"/>
  <c r="U196" i="1"/>
  <c r="S196" i="1" s="1"/>
  <c r="T188" i="1"/>
  <c r="U188" i="1" s="1"/>
  <c r="S188" i="1" s="1"/>
  <c r="W186" i="1"/>
  <c r="X180" i="1"/>
  <c r="T175" i="1"/>
  <c r="X175" i="1"/>
  <c r="AG175" i="1"/>
  <c r="AI175" i="1" s="1"/>
  <c r="W221" i="1"/>
  <c r="AG191" i="1"/>
  <c r="AI191" i="1" s="1"/>
  <c r="X191" i="1"/>
  <c r="AA184" i="1"/>
  <c r="X179" i="1"/>
  <c r="AG179" i="1"/>
  <c r="AI179" i="1" s="1"/>
  <c r="T179" i="1"/>
  <c r="W170" i="1"/>
  <c r="T168" i="1"/>
  <c r="U168" i="1" s="1"/>
  <c r="S168" i="1" s="1"/>
  <c r="W163" i="1"/>
  <c r="U155" i="1"/>
  <c r="AA153" i="1"/>
  <c r="AA152" i="1"/>
  <c r="W152" i="1" s="1"/>
  <c r="T152" i="1"/>
  <c r="W147" i="1"/>
  <c r="U143" i="1"/>
  <c r="S143" i="1" s="1"/>
  <c r="AA137" i="1"/>
  <c r="AA136" i="1"/>
  <c r="W136" i="1" s="1"/>
  <c r="T136" i="1"/>
  <c r="U136" i="1" s="1"/>
  <c r="S136" i="1" s="1"/>
  <c r="W122" i="1"/>
  <c r="AA121" i="1"/>
  <c r="AA119" i="1"/>
  <c r="W119" i="1" s="1"/>
  <c r="W106" i="1"/>
  <c r="T97" i="1"/>
  <c r="X97" i="1"/>
  <c r="AG97" i="1"/>
  <c r="T86" i="1"/>
  <c r="X86" i="1"/>
  <c r="AG86" i="1"/>
  <c r="AI86" i="1" s="1"/>
  <c r="W52" i="1"/>
  <c r="AI42" i="1"/>
  <c r="AA179" i="1"/>
  <c r="AA171" i="1"/>
  <c r="T171" i="1"/>
  <c r="AG167" i="1"/>
  <c r="AI167" i="1" s="1"/>
  <c r="X167" i="1"/>
  <c r="T164" i="1"/>
  <c r="AG162" i="1"/>
  <c r="AA159" i="1"/>
  <c r="T159" i="1"/>
  <c r="AG228" i="1"/>
  <c r="U228" i="1" s="1"/>
  <c r="S228" i="1" s="1"/>
  <c r="X228" i="1"/>
  <c r="AA226" i="1"/>
  <c r="AA225" i="1"/>
  <c r="AA224" i="1"/>
  <c r="AG223" i="1"/>
  <c r="AI223" i="1" s="1"/>
  <c r="AG214" i="1"/>
  <c r="U214" i="1" s="1"/>
  <c r="S214" i="1" s="1"/>
  <c r="X214" i="1"/>
  <c r="AA212" i="1"/>
  <c r="AA211" i="1"/>
  <c r="AA210" i="1"/>
  <c r="W210" i="1" s="1"/>
  <c r="T210" i="1"/>
  <c r="U210" i="1" s="1"/>
  <c r="S210" i="1" s="1"/>
  <c r="T209" i="1"/>
  <c r="AA158" i="1"/>
  <c r="X148" i="1"/>
  <c r="U147" i="1"/>
  <c r="AA141" i="1"/>
  <c r="AA140" i="1"/>
  <c r="T140" i="1"/>
  <c r="U140" i="1" s="1"/>
  <c r="S140" i="1" s="1"/>
  <c r="T139" i="1"/>
  <c r="X132" i="1"/>
  <c r="U131" i="1"/>
  <c r="S131" i="1" s="1"/>
  <c r="AA125" i="1"/>
  <c r="AA124" i="1"/>
  <c r="T124" i="1"/>
  <c r="U124" i="1" s="1"/>
  <c r="S124" i="1" s="1"/>
  <c r="T123" i="1"/>
  <c r="AA120" i="1"/>
  <c r="AA117" i="1"/>
  <c r="T104" i="1"/>
  <c r="AG104" i="1"/>
  <c r="AI104" i="1" s="1"/>
  <c r="T172" i="1"/>
  <c r="U172" i="1" s="1"/>
  <c r="S172" i="1" s="1"/>
  <c r="X152" i="1"/>
  <c r="U151" i="1"/>
  <c r="X136" i="1"/>
  <c r="T117" i="1"/>
  <c r="X117" i="1"/>
  <c r="AG117" i="1"/>
  <c r="T112" i="1"/>
  <c r="AG112" i="1"/>
  <c r="AA191" i="1"/>
  <c r="W191" i="1" s="1"/>
  <c r="AA183" i="1"/>
  <c r="W183" i="1" s="1"/>
  <c r="AA175" i="1"/>
  <c r="W175" i="1" s="1"/>
  <c r="AG171" i="1"/>
  <c r="AI171" i="1" s="1"/>
  <c r="AA167" i="1"/>
  <c r="AG164" i="1"/>
  <c r="AA162" i="1"/>
  <c r="W162" i="1" s="1"/>
  <c r="AA161" i="1"/>
  <c r="AA160" i="1"/>
  <c r="AG159" i="1"/>
  <c r="AG226" i="1"/>
  <c r="AA223" i="1"/>
  <c r="AA214" i="1"/>
  <c r="AA213" i="1"/>
  <c r="W213" i="1" s="1"/>
  <c r="X210" i="1"/>
  <c r="AG209" i="1"/>
  <c r="W209" i="1" s="1"/>
  <c r="AA155" i="1"/>
  <c r="W155" i="1" s="1"/>
  <c r="AA150" i="1"/>
  <c r="W150" i="1" s="1"/>
  <c r="AA149" i="1"/>
  <c r="AA148" i="1"/>
  <c r="W148" i="1" s="1"/>
  <c r="T148" i="1"/>
  <c r="AA143" i="1"/>
  <c r="W143" i="1" s="1"/>
  <c r="AG142" i="1"/>
  <c r="U142" i="1" s="1"/>
  <c r="X140" i="1"/>
  <c r="AG139" i="1"/>
  <c r="U139" i="1" s="1"/>
  <c r="AA134" i="1"/>
  <c r="W134" i="1" s="1"/>
  <c r="AA133" i="1"/>
  <c r="AA132" i="1"/>
  <c r="W132" i="1" s="1"/>
  <c r="T132" i="1"/>
  <c r="AA127" i="1"/>
  <c r="AG126" i="1"/>
  <c r="U126" i="1" s="1"/>
  <c r="X124" i="1"/>
  <c r="AG123" i="1"/>
  <c r="X120" i="1"/>
  <c r="AA114" i="1"/>
  <c r="W114" i="1" s="1"/>
  <c r="AG107" i="1"/>
  <c r="T107" i="1"/>
  <c r="X107" i="1"/>
  <c r="X98" i="1"/>
  <c r="AG98" i="1"/>
  <c r="W98" i="1" s="1"/>
  <c r="T92" i="1"/>
  <c r="X93" i="1"/>
  <c r="AG92" i="1"/>
  <c r="AI78" i="1"/>
  <c r="AA102" i="1"/>
  <c r="W102" i="1" s="1"/>
  <c r="AA101" i="1"/>
  <c r="T94" i="1"/>
  <c r="AA89" i="1"/>
  <c r="T89" i="1"/>
  <c r="AA83" i="1"/>
  <c r="T82" i="1"/>
  <c r="U82" i="1" s="1"/>
  <c r="S82" i="1" s="1"/>
  <c r="AA77" i="1"/>
  <c r="T77" i="1"/>
  <c r="AA75" i="1"/>
  <c r="T74" i="1"/>
  <c r="AA73" i="1"/>
  <c r="T73" i="1"/>
  <c r="AA71" i="1"/>
  <c r="AG68" i="1"/>
  <c r="X66" i="1"/>
  <c r="AA64" i="1"/>
  <c r="AA63" i="1"/>
  <c r="W63" i="1" s="1"/>
  <c r="AA60" i="1"/>
  <c r="W60" i="1" s="1"/>
  <c r="AG58" i="1"/>
  <c r="W58" i="1" s="1"/>
  <c r="X58" i="1"/>
  <c r="AA55" i="1"/>
  <c r="W55" i="1" s="1"/>
  <c r="T55" i="1"/>
  <c r="U55" i="1" s="1"/>
  <c r="S55" i="1" s="1"/>
  <c r="AA49" i="1"/>
  <c r="T49" i="1"/>
  <c r="AG46" i="1"/>
  <c r="W46" i="1" s="1"/>
  <c r="AG45" i="1"/>
  <c r="U45" i="1" s="1"/>
  <c r="X45" i="1"/>
  <c r="AA41" i="1"/>
  <c r="T41" i="1"/>
  <c r="AG38" i="1"/>
  <c r="W38" i="1" s="1"/>
  <c r="AG37" i="1"/>
  <c r="U37" i="1" s="1"/>
  <c r="X37" i="1"/>
  <c r="T34" i="1"/>
  <c r="AG32" i="1"/>
  <c r="U32" i="1" s="1"/>
  <c r="S32" i="1" s="1"/>
  <c r="AA29" i="1"/>
  <c r="T29" i="1"/>
  <c r="AG26" i="1"/>
  <c r="W26" i="1" s="1"/>
  <c r="X26" i="1"/>
  <c r="AA24" i="1"/>
  <c r="AA23" i="1"/>
  <c r="AA22" i="1"/>
  <c r="W22" i="1" s="1"/>
  <c r="AG21" i="1"/>
  <c r="U21" i="1" s="1"/>
  <c r="AG18" i="1"/>
  <c r="U93" i="1"/>
  <c r="S93" i="1" s="1"/>
  <c r="W85" i="1"/>
  <c r="T78" i="1"/>
  <c r="U78" i="1" s="1"/>
  <c r="S78" i="1" s="1"/>
  <c r="X69" i="1"/>
  <c r="W65" i="1"/>
  <c r="U50" i="1"/>
  <c r="S50" i="1" s="1"/>
  <c r="X46" i="1"/>
  <c r="W44" i="1"/>
  <c r="T42" i="1"/>
  <c r="U42" i="1" s="1"/>
  <c r="S42" i="1" s="1"/>
  <c r="X38" i="1"/>
  <c r="U33" i="1"/>
  <c r="W25" i="1"/>
  <c r="U22" i="1"/>
  <c r="W16" i="1"/>
  <c r="AA14" i="1"/>
  <c r="AA110" i="1"/>
  <c r="W110" i="1" s="1"/>
  <c r="AA109" i="1"/>
  <c r="AA107" i="1"/>
  <c r="AA97" i="1"/>
  <c r="W97" i="1" s="1"/>
  <c r="AG94" i="1"/>
  <c r="AI94" i="1" s="1"/>
  <c r="AA92" i="1"/>
  <c r="AA91" i="1"/>
  <c r="AA90" i="1"/>
  <c r="W90" i="1" s="1"/>
  <c r="AG89" i="1"/>
  <c r="AG77" i="1"/>
  <c r="AG73" i="1"/>
  <c r="AA68" i="1"/>
  <c r="AA67" i="1"/>
  <c r="AG64" i="1"/>
  <c r="U64" i="1" s="1"/>
  <c r="T62" i="1"/>
  <c r="U62" i="1" s="1"/>
  <c r="S62" i="1" s="1"/>
  <c r="AA61" i="1"/>
  <c r="W61" i="1" s="1"/>
  <c r="T59" i="1"/>
  <c r="X55" i="1"/>
  <c r="X50" i="1"/>
  <c r="AG49" i="1"/>
  <c r="AI49" i="1" s="1"/>
  <c r="AA45" i="1"/>
  <c r="AG41" i="1"/>
  <c r="AA37" i="1"/>
  <c r="AG34" i="1"/>
  <c r="AA32" i="1"/>
  <c r="AA31" i="1"/>
  <c r="AA30" i="1"/>
  <c r="AG29" i="1"/>
  <c r="AI29" i="1" s="1"/>
  <c r="AG24" i="1"/>
  <c r="AA21" i="1"/>
  <c r="AA18" i="1"/>
  <c r="U66" i="1"/>
  <c r="S66" i="1" s="1"/>
  <c r="U222" i="1"/>
  <c r="S222" i="1" s="1"/>
  <c r="U218" i="1"/>
  <c r="S218" i="1" s="1"/>
  <c r="U199" i="1"/>
  <c r="S199" i="1" s="1"/>
  <c r="U195" i="1"/>
  <c r="S195" i="1" s="1"/>
  <c r="U187" i="1"/>
  <c r="S187" i="1" s="1"/>
  <c r="U183" i="1"/>
  <c r="S183" i="1" s="1"/>
  <c r="U175" i="1"/>
  <c r="S175" i="1" s="1"/>
  <c r="U171" i="1"/>
  <c r="S171" i="1" s="1"/>
  <c r="U163" i="1"/>
  <c r="S163" i="1" s="1"/>
  <c r="U227" i="1"/>
  <c r="S227" i="1" s="1"/>
  <c r="U223" i="1"/>
  <c r="S223" i="1" s="1"/>
  <c r="AI163" i="1"/>
  <c r="U208" i="1"/>
  <c r="W156" i="1"/>
  <c r="AI140" i="1"/>
  <c r="W128" i="1"/>
  <c r="AI124" i="1"/>
  <c r="U122" i="1"/>
  <c r="S122" i="1" s="1"/>
  <c r="U217" i="1"/>
  <c r="S217" i="1" s="1"/>
  <c r="U202" i="1"/>
  <c r="S202" i="1" s="1"/>
  <c r="U198" i="1"/>
  <c r="S198" i="1" s="1"/>
  <c r="U194" i="1"/>
  <c r="S194" i="1" s="1"/>
  <c r="U190" i="1"/>
  <c r="S190" i="1" s="1"/>
  <c r="U186" i="1"/>
  <c r="S186" i="1" s="1"/>
  <c r="U182" i="1"/>
  <c r="S182" i="1" s="1"/>
  <c r="U174" i="1"/>
  <c r="S174" i="1" s="1"/>
  <c r="U170" i="1"/>
  <c r="S170" i="1" s="1"/>
  <c r="U166" i="1"/>
  <c r="S166" i="1" s="1"/>
  <c r="U162" i="1"/>
  <c r="S162" i="1" s="1"/>
  <c r="U226" i="1"/>
  <c r="S226" i="1" s="1"/>
  <c r="X223" i="1"/>
  <c r="U216" i="1"/>
  <c r="S216" i="1" s="1"/>
  <c r="AI157" i="1"/>
  <c r="AI156" i="1"/>
  <c r="U156" i="1"/>
  <c r="S156" i="1" s="1"/>
  <c r="AI144" i="1"/>
  <c r="AI128" i="1"/>
  <c r="U128" i="1"/>
  <c r="S128" i="1" s="1"/>
  <c r="U221" i="1"/>
  <c r="S221" i="1" s="1"/>
  <c r="X221" i="1"/>
  <c r="AG220" i="1"/>
  <c r="AI226" i="1"/>
  <c r="X217" i="1"/>
  <c r="AG205" i="1"/>
  <c r="W205" i="1" s="1"/>
  <c r="AI222" i="1"/>
  <c r="X202" i="1"/>
  <c r="AG201" i="1"/>
  <c r="AI218" i="1"/>
  <c r="X198" i="1"/>
  <c r="AG197" i="1"/>
  <c r="AI197" i="1" s="1"/>
  <c r="X194" i="1"/>
  <c r="AG193" i="1"/>
  <c r="W193" i="1" s="1"/>
  <c r="AI210" i="1"/>
  <c r="X190" i="1"/>
  <c r="AG189" i="1"/>
  <c r="AI206" i="1"/>
  <c r="X186" i="1"/>
  <c r="AG185" i="1"/>
  <c r="AI202" i="1"/>
  <c r="X182" i="1"/>
  <c r="AG181" i="1"/>
  <c r="AI181" i="1" s="1"/>
  <c r="AI198" i="1"/>
  <c r="X178" i="1"/>
  <c r="AG177" i="1"/>
  <c r="W177" i="1" s="1"/>
  <c r="AI194" i="1"/>
  <c r="X174" i="1"/>
  <c r="AG173" i="1"/>
  <c r="W173" i="1" s="1"/>
  <c r="AI190" i="1"/>
  <c r="X170" i="1"/>
  <c r="AG169" i="1"/>
  <c r="AI186" i="1"/>
  <c r="X166" i="1"/>
  <c r="AG165" i="1"/>
  <c r="AI165" i="1" s="1"/>
  <c r="AI182" i="1"/>
  <c r="X162" i="1"/>
  <c r="AG161" i="1"/>
  <c r="W161" i="1" s="1"/>
  <c r="AI178" i="1"/>
  <c r="X230" i="1"/>
  <c r="AG229" i="1"/>
  <c r="AI174" i="1"/>
  <c r="X226" i="1"/>
  <c r="AG225" i="1"/>
  <c r="AI225" i="1" s="1"/>
  <c r="AI170" i="1"/>
  <c r="X216" i="1"/>
  <c r="AG215" i="1"/>
  <c r="AI215" i="1" s="1"/>
  <c r="AI166" i="1"/>
  <c r="U213" i="1"/>
  <c r="S213" i="1" s="1"/>
  <c r="W212" i="1"/>
  <c r="AI148" i="1"/>
  <c r="U148" i="1"/>
  <c r="AI132" i="1"/>
  <c r="U132" i="1"/>
  <c r="S132" i="1" s="1"/>
  <c r="U130" i="1"/>
  <c r="X220" i="1"/>
  <c r="X205" i="1"/>
  <c r="AI221" i="1"/>
  <c r="X201" i="1"/>
  <c r="AI217" i="1"/>
  <c r="X197" i="1"/>
  <c r="AI213" i="1"/>
  <c r="X193" i="1"/>
  <c r="AI209" i="1"/>
  <c r="X189" i="1"/>
  <c r="AI205" i="1"/>
  <c r="X185" i="1"/>
  <c r="AI201" i="1"/>
  <c r="X181" i="1"/>
  <c r="X177" i="1"/>
  <c r="AI193" i="1"/>
  <c r="X173" i="1"/>
  <c r="AI189" i="1"/>
  <c r="X169" i="1"/>
  <c r="AI185" i="1"/>
  <c r="X165" i="1"/>
  <c r="X161" i="1"/>
  <c r="AI177" i="1"/>
  <c r="X229" i="1"/>
  <c r="AI173" i="1"/>
  <c r="X225" i="1"/>
  <c r="AI169" i="1"/>
  <c r="X215" i="1"/>
  <c r="T212" i="1"/>
  <c r="U212" i="1" s="1"/>
  <c r="S212" i="1" s="1"/>
  <c r="X212" i="1"/>
  <c r="W211" i="1"/>
  <c r="U206" i="1"/>
  <c r="S206" i="1" s="1"/>
  <c r="AI154" i="1"/>
  <c r="AI152" i="1"/>
  <c r="U152" i="1"/>
  <c r="S152" i="1" s="1"/>
  <c r="U150" i="1"/>
  <c r="S150" i="1" s="1"/>
  <c r="W140" i="1"/>
  <c r="AI136" i="1"/>
  <c r="U134" i="1"/>
  <c r="S134" i="1" s="1"/>
  <c r="W125" i="1"/>
  <c r="W124" i="1"/>
  <c r="AG211" i="1"/>
  <c r="AI211" i="1" s="1"/>
  <c r="AI162" i="1"/>
  <c r="X208" i="1"/>
  <c r="AG207" i="1"/>
  <c r="T157" i="1"/>
  <c r="U157" i="1" s="1"/>
  <c r="S157" i="1" s="1"/>
  <c r="AI155" i="1"/>
  <c r="S155" i="1"/>
  <c r="X154" i="1"/>
  <c r="T154" i="1"/>
  <c r="U154" i="1" s="1"/>
  <c r="S154" i="1" s="1"/>
  <c r="AG153" i="1"/>
  <c r="AI151" i="1"/>
  <c r="S151" i="1"/>
  <c r="X150" i="1"/>
  <c r="AG149" i="1"/>
  <c r="AI147" i="1"/>
  <c r="X146" i="1"/>
  <c r="AG145" i="1"/>
  <c r="AI143" i="1"/>
  <c r="X142" i="1"/>
  <c r="AG141" i="1"/>
  <c r="W141" i="1" s="1"/>
  <c r="AI139" i="1"/>
  <c r="S139" i="1"/>
  <c r="X138" i="1"/>
  <c r="AG137" i="1"/>
  <c r="AI135" i="1"/>
  <c r="X134" i="1"/>
  <c r="AG133" i="1"/>
  <c r="AI131" i="1"/>
  <c r="X130" i="1"/>
  <c r="AG129" i="1"/>
  <c r="AI127" i="1"/>
  <c r="X126" i="1"/>
  <c r="AG125" i="1"/>
  <c r="AI123" i="1"/>
  <c r="X122" i="1"/>
  <c r="AG121" i="1"/>
  <c r="T119" i="1"/>
  <c r="U119" i="1" s="1"/>
  <c r="S119" i="1" s="1"/>
  <c r="U118" i="1"/>
  <c r="S118" i="1" s="1"/>
  <c r="T116" i="1"/>
  <c r="U116" i="1" s="1"/>
  <c r="S116" i="1" s="1"/>
  <c r="X116" i="1"/>
  <c r="AI115" i="1"/>
  <c r="U115" i="1"/>
  <c r="S115" i="1" s="1"/>
  <c r="AI103" i="1"/>
  <c r="U103" i="1"/>
  <c r="S103" i="1" s="1"/>
  <c r="AI84" i="1"/>
  <c r="X211" i="1"/>
  <c r="X207" i="1"/>
  <c r="X153" i="1"/>
  <c r="AI150" i="1"/>
  <c r="X149" i="1"/>
  <c r="AI146" i="1"/>
  <c r="X145" i="1"/>
  <c r="S142" i="1"/>
  <c r="X141" i="1"/>
  <c r="X137" i="1"/>
  <c r="AI134" i="1"/>
  <c r="X133" i="1"/>
  <c r="AI130" i="1"/>
  <c r="S130" i="1"/>
  <c r="X129" i="1"/>
  <c r="S126" i="1"/>
  <c r="X125" i="1"/>
  <c r="AI122" i="1"/>
  <c r="X121" i="1"/>
  <c r="AG120" i="1"/>
  <c r="X119" i="1"/>
  <c r="W117" i="1"/>
  <c r="X115" i="1"/>
  <c r="AI114" i="1"/>
  <c r="W111" i="1"/>
  <c r="U100" i="1"/>
  <c r="S100" i="1" s="1"/>
  <c r="U88" i="1"/>
  <c r="S88" i="1" s="1"/>
  <c r="U114" i="1"/>
  <c r="S114" i="1" s="1"/>
  <c r="T113" i="1"/>
  <c r="X113" i="1"/>
  <c r="AG113" i="1"/>
  <c r="W113" i="1" s="1"/>
  <c r="X114" i="1"/>
  <c r="AI111" i="1"/>
  <c r="W107" i="1"/>
  <c r="AI117" i="1"/>
  <c r="AI107" i="1"/>
  <c r="U107" i="1"/>
  <c r="S107" i="1" s="1"/>
  <c r="X112" i="1"/>
  <c r="X108" i="1"/>
  <c r="X104" i="1"/>
  <c r="X100" i="1"/>
  <c r="AG99" i="1"/>
  <c r="AI97" i="1"/>
  <c r="X96" i="1"/>
  <c r="AG95" i="1"/>
  <c r="W95" i="1" s="1"/>
  <c r="AI93" i="1"/>
  <c r="X92" i="1"/>
  <c r="AG91" i="1"/>
  <c r="AI89" i="1"/>
  <c r="X88" i="1"/>
  <c r="AG87" i="1"/>
  <c r="S85" i="1"/>
  <c r="X85" i="1"/>
  <c r="S76" i="1"/>
  <c r="AI76" i="1"/>
  <c r="AG75" i="1"/>
  <c r="T75" i="1"/>
  <c r="X75" i="1"/>
  <c r="U68" i="1"/>
  <c r="S68" i="1" s="1"/>
  <c r="U110" i="1"/>
  <c r="S110" i="1" s="1"/>
  <c r="U106" i="1"/>
  <c r="S106" i="1" s="1"/>
  <c r="U102" i="1"/>
  <c r="S102" i="1" s="1"/>
  <c r="X99" i="1"/>
  <c r="AI96" i="1"/>
  <c r="S96" i="1"/>
  <c r="X95" i="1"/>
  <c r="U94" i="1"/>
  <c r="S94" i="1" s="1"/>
  <c r="X91" i="1"/>
  <c r="U90" i="1"/>
  <c r="S90" i="1" s="1"/>
  <c r="AI88" i="1"/>
  <c r="X87" i="1"/>
  <c r="AA81" i="1"/>
  <c r="W81" i="1" s="1"/>
  <c r="S72" i="1"/>
  <c r="AI72" i="1"/>
  <c r="AG71" i="1"/>
  <c r="T71" i="1"/>
  <c r="X71" i="1"/>
  <c r="AI63" i="1"/>
  <c r="AI60" i="1"/>
  <c r="W59" i="1"/>
  <c r="U56" i="1"/>
  <c r="S56" i="1" s="1"/>
  <c r="AI55" i="1"/>
  <c r="X110" i="1"/>
  <c r="AG109" i="1"/>
  <c r="X106" i="1"/>
  <c r="AG105" i="1"/>
  <c r="W105" i="1" s="1"/>
  <c r="X102" i="1"/>
  <c r="AG101" i="1"/>
  <c r="W84" i="1"/>
  <c r="AG83" i="1"/>
  <c r="T83" i="1"/>
  <c r="X83" i="1"/>
  <c r="T80" i="1"/>
  <c r="X80" i="1"/>
  <c r="W67" i="1"/>
  <c r="AI62" i="1"/>
  <c r="AI59" i="1"/>
  <c r="U59" i="1"/>
  <c r="S59" i="1" s="1"/>
  <c r="AI110" i="1"/>
  <c r="X109" i="1"/>
  <c r="AI106" i="1"/>
  <c r="X105" i="1"/>
  <c r="AI102" i="1"/>
  <c r="X101" i="1"/>
  <c r="T84" i="1"/>
  <c r="U84" i="1" s="1"/>
  <c r="S84" i="1" s="1"/>
  <c r="X84" i="1"/>
  <c r="S81" i="1"/>
  <c r="AI81" i="1"/>
  <c r="X81" i="1"/>
  <c r="AG80" i="1"/>
  <c r="AG79" i="1"/>
  <c r="T79" i="1"/>
  <c r="X79" i="1"/>
  <c r="AI67" i="1"/>
  <c r="AI68" i="1"/>
  <c r="X67" i="1"/>
  <c r="T67" i="1"/>
  <c r="U67" i="1" s="1"/>
  <c r="S67" i="1" s="1"/>
  <c r="S64" i="1"/>
  <c r="T63" i="1"/>
  <c r="U63" i="1" s="1"/>
  <c r="S63" i="1" s="1"/>
  <c r="T60" i="1"/>
  <c r="U60" i="1" s="1"/>
  <c r="S60" i="1" s="1"/>
  <c r="AI57" i="1"/>
  <c r="S57" i="1"/>
  <c r="X56" i="1"/>
  <c r="T51" i="1"/>
  <c r="X51" i="1"/>
  <c r="AG51" i="1"/>
  <c r="AI48" i="1"/>
  <c r="U77" i="1"/>
  <c r="S77" i="1" s="1"/>
  <c r="U73" i="1"/>
  <c r="S73" i="1" s="1"/>
  <c r="U69" i="1"/>
  <c r="S69" i="1" s="1"/>
  <c r="U65" i="1"/>
  <c r="S65" i="1" s="1"/>
  <c r="U54" i="1"/>
  <c r="S54" i="1" s="1"/>
  <c r="U48" i="1"/>
  <c r="S48" i="1" s="1"/>
  <c r="X54" i="1"/>
  <c r="AG53" i="1"/>
  <c r="T52" i="1"/>
  <c r="U52" i="1" s="1"/>
  <c r="S52" i="1" s="1"/>
  <c r="X52" i="1"/>
  <c r="W48" i="1"/>
  <c r="AI77" i="1"/>
  <c r="X76" i="1"/>
  <c r="AI73" i="1"/>
  <c r="X72" i="1"/>
  <c r="AI69" i="1"/>
  <c r="X68" i="1"/>
  <c r="AI65" i="1"/>
  <c r="AI61" i="1"/>
  <c r="X57" i="1"/>
  <c r="X53" i="1"/>
  <c r="U16" i="1"/>
  <c r="S16" i="1" s="1"/>
  <c r="U44" i="1"/>
  <c r="S44" i="1" s="1"/>
  <c r="U40" i="1"/>
  <c r="S40" i="1" s="1"/>
  <c r="U36" i="1"/>
  <c r="S36" i="1" s="1"/>
  <c r="U28" i="1"/>
  <c r="U24" i="1"/>
  <c r="S24" i="1" s="1"/>
  <c r="S22" i="1"/>
  <c r="X21" i="1"/>
  <c r="U20" i="1"/>
  <c r="S20" i="1" s="1"/>
  <c r="X16" i="1"/>
  <c r="AG15" i="1"/>
  <c r="X48" i="1"/>
  <c r="AG47" i="1"/>
  <c r="AI45" i="1"/>
  <c r="X44" i="1"/>
  <c r="AG43" i="1"/>
  <c r="AI41" i="1"/>
  <c r="X40" i="1"/>
  <c r="AG39" i="1"/>
  <c r="S37" i="1"/>
  <c r="X36" i="1"/>
  <c r="AG35" i="1"/>
  <c r="W35" i="1" s="1"/>
  <c r="AI33" i="1"/>
  <c r="S33" i="1"/>
  <c r="X32" i="1"/>
  <c r="AG31" i="1"/>
  <c r="X28" i="1"/>
  <c r="AG27" i="1"/>
  <c r="AI25" i="1"/>
  <c r="S25" i="1"/>
  <c r="X24" i="1"/>
  <c r="AG23" i="1"/>
  <c r="W23" i="1" s="1"/>
  <c r="AI21" i="1"/>
  <c r="S21" i="1"/>
  <c r="AG19" i="1"/>
  <c r="AI16" i="1"/>
  <c r="X15" i="1"/>
  <c r="AG14" i="1"/>
  <c r="X47" i="1"/>
  <c r="AI44" i="1"/>
  <c r="X43" i="1"/>
  <c r="AI40" i="1"/>
  <c r="X39" i="1"/>
  <c r="AI36" i="1"/>
  <c r="X35" i="1"/>
  <c r="AI32" i="1"/>
  <c r="X31" i="1"/>
  <c r="AI28" i="1"/>
  <c r="X27" i="1"/>
  <c r="AI24" i="1"/>
  <c r="X23" i="1"/>
  <c r="AI20" i="1"/>
  <c r="Y54" i="3"/>
  <c r="Y53" i="3"/>
  <c r="Y44" i="3"/>
  <c r="Y14" i="3"/>
  <c r="Y7" i="3"/>
  <c r="Y32" i="3"/>
  <c r="Y31" i="3"/>
  <c r="Y41" i="3"/>
  <c r="Y49" i="3"/>
  <c r="Y40" i="3"/>
  <c r="Y24" i="3"/>
  <c r="Y23" i="3"/>
  <c r="Y35" i="3"/>
  <c r="Y55" i="3"/>
  <c r="AD56" i="3"/>
  <c r="AD54" i="3"/>
  <c r="AD53" i="3"/>
  <c r="AD51" i="3"/>
  <c r="AD49" i="3"/>
  <c r="AD48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7" i="3"/>
  <c r="AD16" i="3"/>
  <c r="AD15" i="3"/>
  <c r="AD14" i="3"/>
  <c r="AD13" i="3"/>
  <c r="AD12" i="3"/>
  <c r="AD11" i="3"/>
  <c r="AD10" i="3"/>
  <c r="AD9" i="3"/>
  <c r="AD8" i="3"/>
  <c r="AD55" i="3"/>
  <c r="AD52" i="3"/>
  <c r="AD50" i="3"/>
  <c r="AD47" i="3"/>
  <c r="AC54" i="3"/>
  <c r="AC23" i="3"/>
  <c r="AC29" i="3"/>
  <c r="AC39" i="3"/>
  <c r="AC45" i="3"/>
  <c r="AC28" i="3"/>
  <c r="AC27" i="3"/>
  <c r="AC37" i="3"/>
  <c r="AC53" i="3"/>
  <c r="AC44" i="3"/>
  <c r="AC26" i="3"/>
  <c r="AC11" i="3"/>
  <c r="AC34" i="3"/>
  <c r="AC43" i="3"/>
  <c r="AC42" i="3"/>
  <c r="AC35" i="3"/>
  <c r="AC55" i="3"/>
  <c r="AC14" i="3"/>
  <c r="AC7" i="3"/>
  <c r="AC25" i="3"/>
  <c r="AC20" i="3"/>
  <c r="AC13" i="3"/>
  <c r="AC22" i="3"/>
  <c r="AC10" i="3"/>
  <c r="AC33" i="3"/>
  <c r="AC32" i="3"/>
  <c r="AC31" i="3"/>
  <c r="AC30" i="3"/>
  <c r="AC8" i="3"/>
  <c r="AC9" i="3"/>
  <c r="AC52" i="3"/>
  <c r="AC51" i="3"/>
  <c r="AC50" i="3"/>
  <c r="AC41" i="3"/>
  <c r="AC49" i="3"/>
  <c r="AC12" i="3"/>
  <c r="AC48" i="3"/>
  <c r="AC38" i="3"/>
  <c r="AC47" i="3"/>
  <c r="AC36" i="3"/>
  <c r="AC46" i="3"/>
  <c r="AC40" i="3"/>
  <c r="AC24" i="3"/>
  <c r="AC16" i="3"/>
  <c r="AC15" i="3"/>
  <c r="AC19" i="3"/>
  <c r="AC21" i="3"/>
  <c r="AC56" i="3"/>
  <c r="AC17" i="3"/>
  <c r="M28" i="5"/>
  <c r="W68" i="1" l="1"/>
  <c r="AI64" i="1"/>
  <c r="U70" i="1"/>
  <c r="S70" i="1" s="1"/>
  <c r="W66" i="1"/>
  <c r="U179" i="1"/>
  <c r="S179" i="1" s="1"/>
  <c r="U164" i="1"/>
  <c r="S164" i="1" s="1"/>
  <c r="W195" i="1"/>
  <c r="W131" i="1"/>
  <c r="AI56" i="1"/>
  <c r="S208" i="1"/>
  <c r="U117" i="1"/>
  <c r="S117" i="1" s="1"/>
  <c r="S147" i="1"/>
  <c r="W179" i="1"/>
  <c r="W20" i="1"/>
  <c r="W96" i="1"/>
  <c r="U191" i="1"/>
  <c r="S191" i="1" s="1"/>
  <c r="U92" i="1"/>
  <c r="S92" i="1" s="1"/>
  <c r="U86" i="1"/>
  <c r="S86" i="1" s="1"/>
  <c r="W184" i="1"/>
  <c r="W208" i="1"/>
  <c r="W216" i="1"/>
  <c r="W196" i="1"/>
  <c r="AI37" i="1"/>
  <c r="AI54" i="1"/>
  <c r="U58" i="1"/>
  <c r="AI92" i="1"/>
  <c r="AI142" i="1"/>
  <c r="W220" i="1"/>
  <c r="U178" i="1"/>
  <c r="S178" i="1" s="1"/>
  <c r="W18" i="1"/>
  <c r="W30" i="1"/>
  <c r="W37" i="1"/>
  <c r="W127" i="1"/>
  <c r="U159" i="1"/>
  <c r="S159" i="1" s="1"/>
  <c r="U135" i="1"/>
  <c r="S135" i="1" s="1"/>
  <c r="U160" i="1"/>
  <c r="S160" i="1" s="1"/>
  <c r="U158" i="1"/>
  <c r="S158" i="1" s="1"/>
  <c r="AI126" i="1"/>
  <c r="S138" i="1"/>
  <c r="W39" i="1"/>
  <c r="W83" i="1"/>
  <c r="AI138" i="1"/>
  <c r="AI158" i="1"/>
  <c r="AI159" i="1"/>
  <c r="U146" i="1"/>
  <c r="W229" i="1"/>
  <c r="W189" i="1"/>
  <c r="U230" i="1"/>
  <c r="S230" i="1" s="1"/>
  <c r="U167" i="1"/>
  <c r="S167" i="1" s="1"/>
  <c r="W92" i="1"/>
  <c r="U123" i="1"/>
  <c r="S123" i="1" s="1"/>
  <c r="W160" i="1"/>
  <c r="W135" i="1"/>
  <c r="W158" i="1"/>
  <c r="U127" i="1"/>
  <c r="S127" i="1" s="1"/>
  <c r="W87" i="1"/>
  <c r="U104" i="1"/>
  <c r="S104" i="1" s="1"/>
  <c r="W14" i="1"/>
  <c r="W19" i="1"/>
  <c r="S45" i="1"/>
  <c r="AI58" i="1"/>
  <c r="W71" i="1"/>
  <c r="S58" i="1"/>
  <c r="W75" i="1"/>
  <c r="AI85" i="1"/>
  <c r="W99" i="1"/>
  <c r="AI161" i="1"/>
  <c r="AI214" i="1"/>
  <c r="S224" i="1"/>
  <c r="W32" i="1"/>
  <c r="W45" i="1"/>
  <c r="W57" i="1"/>
  <c r="U74" i="1"/>
  <c r="S74" i="1" s="1"/>
  <c r="W223" i="1"/>
  <c r="W224" i="1"/>
  <c r="AI229" i="1"/>
  <c r="U29" i="1"/>
  <c r="S29" i="1" s="1"/>
  <c r="U49" i="1"/>
  <c r="S49" i="1" s="1"/>
  <c r="U89" i="1"/>
  <c r="S89" i="1" s="1"/>
  <c r="W94" i="1"/>
  <c r="U209" i="1"/>
  <c r="S209" i="1" s="1"/>
  <c r="U97" i="1"/>
  <c r="S97" i="1" s="1"/>
  <c r="W199" i="1"/>
  <c r="W218" i="1"/>
  <c r="U30" i="1"/>
  <c r="S30" i="1" s="1"/>
  <c r="AI30" i="1"/>
  <c r="W76" i="1"/>
  <c r="W50" i="1"/>
  <c r="W82" i="1"/>
  <c r="U41" i="1"/>
  <c r="S41" i="1" s="1"/>
  <c r="W41" i="1"/>
  <c r="W73" i="1"/>
  <c r="W123" i="1"/>
  <c r="W226" i="1"/>
  <c r="W104" i="1"/>
  <c r="W70" i="1"/>
  <c r="W74" i="1"/>
  <c r="W207" i="1"/>
  <c r="AI207" i="1"/>
  <c r="W77" i="1"/>
  <c r="W89" i="1"/>
  <c r="W159" i="1"/>
  <c r="U34" i="1"/>
  <c r="S34" i="1" s="1"/>
  <c r="AI34" i="1"/>
  <c r="U18" i="1"/>
  <c r="S18" i="1" s="1"/>
  <c r="AI18" i="1"/>
  <c r="W24" i="1"/>
  <c r="W29" i="1"/>
  <c r="W49" i="1"/>
  <c r="W214" i="1"/>
  <c r="W167" i="1"/>
  <c r="U112" i="1"/>
  <c r="S112" i="1" s="1"/>
  <c r="AI112" i="1"/>
  <c r="W139" i="1"/>
  <c r="W164" i="1"/>
  <c r="W126" i="1"/>
  <c r="W142" i="1"/>
  <c r="W112" i="1"/>
  <c r="W187" i="1"/>
  <c r="U219" i="1"/>
  <c r="S219" i="1" s="1"/>
  <c r="AI219" i="1"/>
  <c r="U38" i="1"/>
  <c r="S38" i="1" s="1"/>
  <c r="AI38" i="1"/>
  <c r="U98" i="1"/>
  <c r="S98" i="1" s="1"/>
  <c r="AI98" i="1"/>
  <c r="W171" i="1"/>
  <c r="W228" i="1"/>
  <c r="W203" i="1"/>
  <c r="W219" i="1"/>
  <c r="W21" i="1"/>
  <c r="W34" i="1"/>
  <c r="U26" i="1"/>
  <c r="S26" i="1" s="1"/>
  <c r="AI26" i="1"/>
  <c r="U46" i="1"/>
  <c r="S46" i="1" s="1"/>
  <c r="AI46" i="1"/>
  <c r="W64" i="1"/>
  <c r="W86" i="1"/>
  <c r="W222" i="1"/>
  <c r="W200" i="1"/>
  <c r="U51" i="1"/>
  <c r="S51" i="1" s="1"/>
  <c r="AI51" i="1"/>
  <c r="U79" i="1"/>
  <c r="S79" i="1" s="1"/>
  <c r="AI79" i="1"/>
  <c r="U75" i="1"/>
  <c r="S75" i="1" s="1"/>
  <c r="AI75" i="1"/>
  <c r="AI121" i="1"/>
  <c r="U121" i="1"/>
  <c r="S121" i="1" s="1"/>
  <c r="AI125" i="1"/>
  <c r="U125" i="1"/>
  <c r="S125" i="1" s="1"/>
  <c r="AI129" i="1"/>
  <c r="U129" i="1"/>
  <c r="S129" i="1" s="1"/>
  <c r="AI133" i="1"/>
  <c r="U133" i="1"/>
  <c r="S133" i="1" s="1"/>
  <c r="AI137" i="1"/>
  <c r="U137" i="1"/>
  <c r="AI141" i="1"/>
  <c r="U141" i="1"/>
  <c r="S141" i="1" s="1"/>
  <c r="AI145" i="1"/>
  <c r="U145" i="1"/>
  <c r="S145" i="1" s="1"/>
  <c r="AI149" i="1"/>
  <c r="U149" i="1"/>
  <c r="S149" i="1" s="1"/>
  <c r="AI153" i="1"/>
  <c r="U153" i="1"/>
  <c r="S153" i="1" s="1"/>
  <c r="W153" i="1"/>
  <c r="U225" i="1"/>
  <c r="S225" i="1" s="1"/>
  <c r="AI172" i="1"/>
  <c r="U169" i="1"/>
  <c r="S169" i="1" s="1"/>
  <c r="AI188" i="1"/>
  <c r="U185" i="1"/>
  <c r="S185" i="1" s="1"/>
  <c r="AI204" i="1"/>
  <c r="U201" i="1"/>
  <c r="S201" i="1" s="1"/>
  <c r="AI220" i="1"/>
  <c r="AI80" i="1"/>
  <c r="U80" i="1"/>
  <c r="S80" i="1" s="1"/>
  <c r="U101" i="1"/>
  <c r="S101" i="1" s="1"/>
  <c r="AI101" i="1"/>
  <c r="U109" i="1"/>
  <c r="S109" i="1" s="1"/>
  <c r="AI109" i="1"/>
  <c r="W109" i="1"/>
  <c r="AI120" i="1"/>
  <c r="U120" i="1"/>
  <c r="S120" i="1" s="1"/>
  <c r="W120" i="1"/>
  <c r="U215" i="1"/>
  <c r="S215" i="1" s="1"/>
  <c r="AI168" i="1"/>
  <c r="U165" i="1"/>
  <c r="S165" i="1" s="1"/>
  <c r="AI184" i="1"/>
  <c r="U181" i="1"/>
  <c r="S181" i="1" s="1"/>
  <c r="AI200" i="1"/>
  <c r="U197" i="1"/>
  <c r="S197" i="1" s="1"/>
  <c r="AI216" i="1"/>
  <c r="W133" i="1"/>
  <c r="W149" i="1"/>
  <c r="W145" i="1"/>
  <c r="AI14" i="1"/>
  <c r="U14" i="1"/>
  <c r="S14" i="1" s="1"/>
  <c r="AI19" i="1"/>
  <c r="U19" i="1"/>
  <c r="S19" i="1" s="1"/>
  <c r="AI23" i="1"/>
  <c r="U23" i="1"/>
  <c r="S23" i="1" s="1"/>
  <c r="AI27" i="1"/>
  <c r="U27" i="1"/>
  <c r="S27" i="1" s="1"/>
  <c r="AI31" i="1"/>
  <c r="U31" i="1"/>
  <c r="S31" i="1" s="1"/>
  <c r="AI35" i="1"/>
  <c r="U35" i="1"/>
  <c r="S35" i="1" s="1"/>
  <c r="AI39" i="1"/>
  <c r="U39" i="1"/>
  <c r="S39" i="1" s="1"/>
  <c r="AI43" i="1"/>
  <c r="U43" i="1"/>
  <c r="S43" i="1" s="1"/>
  <c r="AI47" i="1"/>
  <c r="U47" i="1"/>
  <c r="S47" i="1" s="1"/>
  <c r="AI15" i="1"/>
  <c r="U15" i="1"/>
  <c r="S15" i="1" s="1"/>
  <c r="W27" i="1"/>
  <c r="W47" i="1"/>
  <c r="W31" i="1"/>
  <c r="W15" i="1"/>
  <c r="W51" i="1"/>
  <c r="W79" i="1"/>
  <c r="AI87" i="1"/>
  <c r="U87" i="1"/>
  <c r="S87" i="1" s="1"/>
  <c r="AI91" i="1"/>
  <c r="U91" i="1"/>
  <c r="S91" i="1" s="1"/>
  <c r="AI95" i="1"/>
  <c r="U95" i="1"/>
  <c r="S95" i="1" s="1"/>
  <c r="AI99" i="1"/>
  <c r="U99" i="1"/>
  <c r="S99" i="1" s="1"/>
  <c r="W91" i="1"/>
  <c r="U113" i="1"/>
  <c r="S113" i="1" s="1"/>
  <c r="AI113" i="1"/>
  <c r="W101" i="1"/>
  <c r="AI160" i="1"/>
  <c r="U207" i="1"/>
  <c r="S207" i="1" s="1"/>
  <c r="AI164" i="1"/>
  <c r="U211" i="1"/>
  <c r="S211" i="1" s="1"/>
  <c r="W121" i="1"/>
  <c r="U161" i="1"/>
  <c r="S161" i="1" s="1"/>
  <c r="AI180" i="1"/>
  <c r="U177" i="1"/>
  <c r="S177" i="1" s="1"/>
  <c r="AI196" i="1"/>
  <c r="U193" i="1"/>
  <c r="S193" i="1" s="1"/>
  <c r="AI212" i="1"/>
  <c r="U220" i="1"/>
  <c r="S220" i="1" s="1"/>
  <c r="AI228" i="1"/>
  <c r="W165" i="1"/>
  <c r="W181" i="1"/>
  <c r="W197" i="1"/>
  <c r="W225" i="1"/>
  <c r="U53" i="1"/>
  <c r="S53" i="1" s="1"/>
  <c r="AI53" i="1"/>
  <c r="W43" i="1"/>
  <c r="W53" i="1"/>
  <c r="U83" i="1"/>
  <c r="S83" i="1" s="1"/>
  <c r="AI83" i="1"/>
  <c r="U105" i="1"/>
  <c r="S105" i="1" s="1"/>
  <c r="AI105" i="1"/>
  <c r="U71" i="1"/>
  <c r="S71" i="1" s="1"/>
  <c r="AI71" i="1"/>
  <c r="W80" i="1"/>
  <c r="W137" i="1"/>
  <c r="U229" i="1"/>
  <c r="S229" i="1" s="1"/>
  <c r="AI176" i="1"/>
  <c r="U173" i="1"/>
  <c r="S173" i="1" s="1"/>
  <c r="AI192" i="1"/>
  <c r="U189" i="1"/>
  <c r="S189" i="1" s="1"/>
  <c r="AI208" i="1"/>
  <c r="U205" i="1"/>
  <c r="S205" i="1" s="1"/>
  <c r="AI224" i="1"/>
  <c r="W129" i="1"/>
  <c r="W215" i="1"/>
  <c r="W169" i="1"/>
  <c r="W185" i="1"/>
  <c r="W201" i="1"/>
  <c r="M18" i="3"/>
  <c r="R18" i="3"/>
  <c r="S18" i="3"/>
  <c r="U18" i="3"/>
  <c r="V18" i="3"/>
  <c r="W18" i="3"/>
  <c r="X18" i="3"/>
  <c r="T18" i="3" l="1"/>
  <c r="AD18" i="3"/>
  <c r="AC18" i="3"/>
  <c r="Y18" i="3"/>
  <c r="AD7" i="3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6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86" i="9" l="1"/>
  <c r="B87" i="9"/>
  <c r="B88" i="9"/>
  <c r="B89" i="9"/>
  <c r="C90" i="9" s="1"/>
  <c r="B90" i="9"/>
  <c r="B91" i="9"/>
  <c r="C91" i="9" s="1"/>
  <c r="B92" i="9"/>
  <c r="B93" i="9"/>
  <c r="B94" i="9"/>
  <c r="B95" i="9"/>
  <c r="B96" i="9"/>
  <c r="B97" i="9"/>
  <c r="C97" i="9"/>
  <c r="B98" i="9"/>
  <c r="B99" i="9"/>
  <c r="B100" i="9"/>
  <c r="B101" i="9"/>
  <c r="B102" i="9"/>
  <c r="B103" i="9"/>
  <c r="B104" i="9"/>
  <c r="B105" i="9"/>
  <c r="C106" i="9" s="1"/>
  <c r="B106" i="9"/>
  <c r="B107" i="9"/>
  <c r="C107" i="9" s="1"/>
  <c r="B108" i="9"/>
  <c r="B109" i="9"/>
  <c r="B110" i="9"/>
  <c r="B111" i="9"/>
  <c r="C99" i="9" l="1"/>
  <c r="C96" i="9"/>
  <c r="C101" i="9"/>
  <c r="C104" i="9"/>
  <c r="C98" i="9"/>
  <c r="C88" i="9"/>
  <c r="C109" i="9"/>
  <c r="C105" i="9"/>
  <c r="C93" i="9"/>
  <c r="C89" i="9"/>
  <c r="C108" i="9"/>
  <c r="C100" i="9"/>
  <c r="C92" i="9"/>
  <c r="C111" i="9"/>
  <c r="C110" i="9"/>
  <c r="C103" i="9"/>
  <c r="C102" i="9"/>
  <c r="C95" i="9"/>
  <c r="C94" i="9"/>
  <c r="C87" i="9"/>
  <c r="B3" i="6" l="1"/>
  <c r="G3" i="6" s="1"/>
  <c r="K3" i="6"/>
  <c r="B4" i="6"/>
  <c r="H4" i="6" s="1"/>
  <c r="K4" i="6"/>
  <c r="B5" i="6"/>
  <c r="G5" i="6" s="1"/>
  <c r="K5" i="6"/>
  <c r="J4" i="6" l="1"/>
  <c r="I5" i="6"/>
  <c r="J5" i="6"/>
  <c r="F4" i="6"/>
  <c r="F5" i="6"/>
  <c r="I4" i="6"/>
  <c r="G4" i="6"/>
  <c r="J3" i="6"/>
  <c r="H5" i="6"/>
  <c r="I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C56" i="9" s="1"/>
  <c r="B57" i="9"/>
  <c r="B58" i="9"/>
  <c r="B59" i="9"/>
  <c r="B60" i="9"/>
  <c r="C60" i="9" s="1"/>
  <c r="B61" i="9"/>
  <c r="B62" i="9"/>
  <c r="C62" i="9" s="1"/>
  <c r="B63" i="9"/>
  <c r="B64" i="9"/>
  <c r="C64" i="9" s="1"/>
  <c r="B65" i="9"/>
  <c r="B66" i="9"/>
  <c r="C66" i="9" s="1"/>
  <c r="B67" i="9"/>
  <c r="B68" i="9"/>
  <c r="C68" i="9" s="1"/>
  <c r="B69" i="9"/>
  <c r="B70" i="9"/>
  <c r="C70" i="9" s="1"/>
  <c r="B71" i="9"/>
  <c r="B72" i="9"/>
  <c r="C72" i="9" s="1"/>
  <c r="B73" i="9"/>
  <c r="B74" i="9"/>
  <c r="C74" i="9" s="1"/>
  <c r="B75" i="9"/>
  <c r="B76" i="9"/>
  <c r="C76" i="9" s="1"/>
  <c r="B77" i="9"/>
  <c r="B78" i="9"/>
  <c r="C78" i="9" s="1"/>
  <c r="B79" i="9"/>
  <c r="B80" i="9"/>
  <c r="C58" i="9" l="1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N54" i="3" s="1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9" i="3" l="1"/>
  <c r="N45" i="3"/>
  <c r="N28" i="3"/>
  <c r="N37" i="3"/>
  <c r="N11" i="3"/>
  <c r="N26" i="3"/>
  <c r="N34" i="3"/>
  <c r="N55" i="3"/>
  <c r="N25" i="3"/>
  <c r="N10" i="3"/>
  <c r="N30" i="3"/>
  <c r="N31" i="3"/>
  <c r="N32" i="3"/>
  <c r="N33" i="3"/>
  <c r="N50" i="3"/>
  <c r="N51" i="3"/>
  <c r="N12" i="3"/>
  <c r="N46" i="3"/>
  <c r="N21" i="3"/>
  <c r="N19" i="3"/>
  <c r="N56" i="3"/>
  <c r="N23" i="3"/>
  <c r="N53" i="3"/>
  <c r="N35" i="3"/>
  <c r="N7" i="3"/>
  <c r="N14" i="3"/>
  <c r="N52" i="3"/>
  <c r="N38" i="3"/>
  <c r="N48" i="3"/>
  <c r="N49" i="3"/>
  <c r="N36" i="3"/>
  <c r="N40" i="3"/>
  <c r="N20" i="3"/>
  <c r="N22" i="3"/>
  <c r="N15" i="3"/>
  <c r="N16" i="3"/>
  <c r="N17" i="3"/>
  <c r="N39" i="3"/>
  <c r="N27" i="3"/>
  <c r="N44" i="3"/>
  <c r="N43" i="3"/>
  <c r="N42" i="3"/>
  <c r="N13" i="3"/>
  <c r="N9" i="3"/>
  <c r="N8" i="3"/>
  <c r="N41" i="3"/>
  <c r="N47" i="3"/>
  <c r="N24" i="3"/>
  <c r="N18" i="3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<sst xmlns="http://schemas.openxmlformats.org/spreadsheetml/2006/main" count="2743" uniqueCount="984">
  <si>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</si>
  <si>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</si>
  <si>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</si>
  <si>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</si>
  <si>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</si>
  <si>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</si>
  <si>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</si>
  <si>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</si>
  <si>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</si>
  <si>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</si>
  <si>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</si>
  <si>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</si>
  <si>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</si>
  <si>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</si>
  <si>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</si>
  <si>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</si>
  <si>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</si>
  <si>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</si>
  <si>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</si>
  <si>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</si>
  <si>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</si>
  <si>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</si>
  <si>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</si>
  <si>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</si>
  <si>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</si>
  <si>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</si>
  <si>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</si>
  <si>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</si>
  <si>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</si>
  <si>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</si>
  <si>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</si>
  <si>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</si>
  <si>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</si>
  <si>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</si>
  <si>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</si>
  <si>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</si>
  <si>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</si>
  <si>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</si>
  <si>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</si>
  <si>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</si>
  <si>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</si>
  <si>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</si>
  <si>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</si>
  <si>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</si>
  <si>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</si>
  <si>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</si>
  <si>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</si>
  <si>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</si>
  <si>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</si>
  <si>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</si>
  <si>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</si>
  <si>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</si>
  <si>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</si>
  <si>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</si>
  <si>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</si>
  <si>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</si>
  <si>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</si>
  <si>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</si>
  <si>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</si>
  <si>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</si>
  <si>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</si>
  <si>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</si>
  <si>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</si>
  <si>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</si>
  <si>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</si>
  <si>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</si>
  <si>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</si>
  <si>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</si>
  <si>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</si>
  <si>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</si>
  <si>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</si>
  <si>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</si>
  <si>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</si>
  <si>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</si>
  <si>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</si>
  <si>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</si>
  <si>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</si>
  <si>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</si>
  <si>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</si>
  <si>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</si>
  <si>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</si>
  <si>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</si>
  <si>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</si>
  <si>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</si>
  <si>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</si>
  <si>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</si>
  <si>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</si>
  <si>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</si>
  <si>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</si>
  <si>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</si>
  <si>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</si>
  <si>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</si>
  <si>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</si>
  <si>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</si>
  <si>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</si>
  <si>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</si>
  <si>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</si>
  <si>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</si>
  <si>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</si>
  <si>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</si>
  <si>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</si>
  <si>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</si>
  <si>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</si>
  <si>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</si>
  <si>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</si>
  <si>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</si>
  <si>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</si>
  <si>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</si>
  <si>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</si>
  <si>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</si>
  <si>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</si>
  <si>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</si>
  <si>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</si>
  <si>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</si>
  <si>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</si>
  <si>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</si>
  <si>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</si>
  <si>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</si>
  <si>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</si>
  <si>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</si>
  <si>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</si>
  <si>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</si>
  <si>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</si>
  <si>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</si>
  <si>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</si>
  <si>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</si>
  <si>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</si>
  <si>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</si>
  <si>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</si>
  <si>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</si>
  <si>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</si>
  <si>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</si>
  <si>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</si>
  <si>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</si>
  <si>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</si>
  <si>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</si>
  <si>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</si>
  <si>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</si>
  <si>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</si>
  <si>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</si>
  <si>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</si>
  <si>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</si>
  <si>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</si>
  <si>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</si>
  <si>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</si>
  <si>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</si>
  <si>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</si>
  <si>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</si>
  <si>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</si>
  <si>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</si>
  <si>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</si>
  <si>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</si>
  <si>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</si>
  <si>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</si>
  <si>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</si>
  <si>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</si>
  <si>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</si>
  <si>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</si>
  <si>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</si>
  <si>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</si>
  <si>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</si>
  <si>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</si>
  <si>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</si>
  <si>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</si>
  <si>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</si>
  <si>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</si>
  <si>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</si>
  <si>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</si>
  <si>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</si>
  <si>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</si>
  <si>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</si>
  <si>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</si>
  <si>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</si>
  <si>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</si>
  <si>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</si>
  <si>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</si>
  <si>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</si>
  <si>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</si>
  <si>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</si>
  <si>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</si>
  <si>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</si>
  <si>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</si>
  <si>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</si>
  <si>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</si>
  <si>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</si>
  <si>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</si>
  <si>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</si>
  <si>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</si>
  <si>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</si>
  <si>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</si>
  <si>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</si>
  <si>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</si>
  <si>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</si>
  <si>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</si>
  <si>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</si>
  <si>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</si>
  <si>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</si>
  <si>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</si>
  <si>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</si>
  <si>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</si>
  <si>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</si>
  <si>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</si>
  <si>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</si>
  <si>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</si>
  <si>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</si>
  <si>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</si>
  <si>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</si>
  <si>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</si>
  <si>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</si>
  <si>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</si>
  <si>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</si>
  <si>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</si>
  <si>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</si>
  <si>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</si>
  <si>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</si>
  <si>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</si>
  <si>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</si>
  <si>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</si>
  <si>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</si>
  <si>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</si>
  <si>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</si>
  <si>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</si>
  <si>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</si>
  <si>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</si>
  <si>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</si>
  <si>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</si>
  <si>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</si>
  <si>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</si>
  <si>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</si>
  <si>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</si>
  <si>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</si>
  <si>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204:471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</si>
  <si>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</si>
  <si>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</si>
  <si>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</si>
  <si>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</si>
  <si>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</si>
  <si>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</si>
  <si>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</si>
  <si>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</si>
  <si>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</si>
  <si>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</si>
  <si>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</si>
  <si>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</si>
  <si>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</si>
  <si>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</si>
  <si>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</si>
  <si>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</si>
  <si>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</si>
  <si>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</si>
  <si>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</si>
  <si>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</si>
  <si>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</si>
  <si>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</si>
  <si>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</si>
  <si>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</si>
  <si>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</si>
  <si>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</si>
  <si>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</si>
  <si>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</si>
  <si>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</si>
  <si>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</si>
  <si>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</si>
  <si>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</si>
  <si>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</si>
  <si>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</si>
  <si>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204:467</t>
  </si>
  <si>
    <t>204:232977</t>
  </si>
  <si>
    <t>204:161</t>
  </si>
  <si>
    <t>204:160</t>
  </si>
  <si>
    <t>clear-night</t>
  </si>
  <si>
    <t>Clear</t>
  </si>
  <si>
    <t>204:462</t>
  </si>
  <si>
    <t>204:232993</t>
  </si>
  <si>
    <t>rtdc.l.rtdc.4013:itc</t>
  </si>
  <si>
    <t>204:233323</t>
  </si>
  <si>
    <t>204:232985</t>
  </si>
  <si>
    <t>300:58931</t>
  </si>
  <si>
    <t>300:58613</t>
  </si>
  <si>
    <t>rtdc.l.rtdc.4004:itc</t>
  </si>
  <si>
    <t>rtdc.l.rtdc.4021:itc</t>
  </si>
  <si>
    <t>SCOTT</t>
  </si>
  <si>
    <t>rtdc.l.rtdc.4003:itc</t>
  </si>
  <si>
    <t>204:138</t>
  </si>
  <si>
    <t>204:444</t>
  </si>
  <si>
    <t>204:477</t>
  </si>
  <si>
    <t>300:23304</t>
  </si>
  <si>
    <t>rtdc.l.rtdc.4018:itc</t>
  </si>
  <si>
    <t>rtdc.l.rtdc.4017:itc</t>
  </si>
  <si>
    <t>MAELZER</t>
  </si>
  <si>
    <t>KURT</t>
  </si>
  <si>
    <t>ADANE</t>
  </si>
  <si>
    <t>ELSHADAY</t>
  </si>
  <si>
    <t>DIANE</t>
  </si>
  <si>
    <t>SAFIEF</t>
  </si>
  <si>
    <t>AEIMEN</t>
  </si>
  <si>
    <t>204:233289</t>
  </si>
  <si>
    <t>204:457</t>
  </si>
  <si>
    <t>204:233000</t>
  </si>
  <si>
    <t>204:232986</t>
  </si>
  <si>
    <t>204:440</t>
  </si>
  <si>
    <t>204:232971</t>
  </si>
  <si>
    <t>204:233291</t>
  </si>
  <si>
    <t>204:233299</t>
  </si>
  <si>
    <t>204:134</t>
  </si>
  <si>
    <t>204:233298</t>
  </si>
  <si>
    <t>300:58933</t>
  </si>
  <si>
    <t>204:969</t>
  </si>
  <si>
    <t>300:58939</t>
  </si>
  <si>
    <t>300:58628</t>
  </si>
  <si>
    <t>300:58615</t>
  </si>
  <si>
    <t>SYS :2016/12/14 10:32:11.283:ENFORCEMENT:Predictive Enforcement Action:  Target Number: 00001002  Target Speed:   0.0  Current Speed:   2.5</t>
  </si>
  <si>
    <t>SYS :2016/12/14 12:39:29.984:ENFORCEMENT:Reactive Enforcement Action:  Target Number: 0000A024  Target Speed:  15.0  Current Speed:  21.7</t>
  </si>
  <si>
    <t>SYS :2016/12/14 12:39:30.145:ENFORCEMENT:Reactive Enforcement Action:  Target Number: 0000A024  Target Speed:  15.0  Current Speed:  21.7</t>
  </si>
  <si>
    <t>SYS :2016/12/14 12:39:30.815:ENFORCEMENT:Reactive Enforcement Action:  Target Number: 0000A003  Target Speed:  15.0  Current Speed:  21.7</t>
  </si>
  <si>
    <t>SYS :2016/12/14 12:51:01.148:ENFORCEMENT:Predictive Enforcement Action:  Target Number: 0000A025  Target Speed:  10.0  Current Speed:  64.0</t>
  </si>
  <si>
    <t>SYS :2016/12/14 12:51:01.990:ENFORCEMENT:Predictive Enforcement Action:  Target Number: 0000A025  Target Speed:  10.0  Current Speed:  63.5</t>
  </si>
  <si>
    <t>SYS :2016/12/14 12:51:02.826:ENFORCEMENT:Predictive Enforcement Action:  Target Number: 0000A004  Target Speed:  10.0  Current Speed:  63.0</t>
  </si>
  <si>
    <t>SYS :2016/12/14 12:52:28.631:ENFORCEMENT:Reactive Enforcement Action:  Target Number: 0000A026  Target Speed:  15.0  Current Speed:  20.1</t>
  </si>
  <si>
    <t>SYS :2016/12/14 12:52:29.264:ENFORCEMENT:Reactive Enforcement Action:  Target Number: 0000A026  Target Speed:  15.0  Current Speed:  20.1</t>
  </si>
  <si>
    <t>SYS :2016/12/14 12:52:29.472:ENFORCEMENT:Reactive Enforcement Action:  Target Number: 0000A026  Target Speed:  15.0  Current Speed:  20.1</t>
  </si>
  <si>
    <t>SYS :2016/12/14 13:01:15.737:ENFORCEMENT:Reactive Enforcement Action:  Target Number: 0000A066  Target Speed:  15.0  Current Speed:  20.0</t>
  </si>
  <si>
    <t>SYS :2016/12/14 14:41:17.411:ENFORCEMENT:Reactive Enforcement Action:  Target Number: 0001701A  Target Speed:   0.0  Current Speed:  35.4</t>
  </si>
  <si>
    <t>SYS :2016/12/14 14:41:17.754:ENFORCEMENT:Reactive Enforcement Action:  Target Number: 0001701A  Target Speed:   0.0  Current Speed:  35.7</t>
  </si>
  <si>
    <t>SYS :2016/12/14 14:41:18.047:ENFORCEMENT:Reactive Enforcement Action:  Target Number: 0001701A  Target Speed:   0.0  Current Speed:  35.4</t>
  </si>
  <si>
    <t>SYS :2016/12/14 14:51:33.969:ENFORCEMENT:Predictive Enforcement Action:  Target Number: 0000102B  Target Speed:   0.0  Current Speed:   5.2</t>
  </si>
  <si>
    <t>SYS :2016/12/14 14:51:34.128:ENFORCEMENT:Predictive Enforcement Action:  Target Number: 0000102B  Target Speed:   0.0  Current Speed:   5.1</t>
  </si>
  <si>
    <t>SYS :2016/12/14 14:57:19.018:ENFORCEMENT:Predictive Enforcement Action:  Target Number: 00010067  Target Speed:  30.0  Current Speed:  35.1</t>
  </si>
  <si>
    <t>SYS :2016/12/14 14:57:19.968:ENFORCEMENT:Predictive Enforcement Action:  Target Number: 00010009  Target Speed:  30.0  Current Speed:  35.1</t>
  </si>
  <si>
    <t>SYS :2016/12/14 14:57:20.091:ENFORCEMENT:Predictive Enforcement Action:  Target Number: 00010068  Target Speed:  30.0  Current Speed:  35.1</t>
  </si>
  <si>
    <t>SYS :2016/12/14 15:02:26.052:ENFORCEMENT:Reactive Enforcement Action:  Target Number: 0000A008  Target Speed:  15.0  Current Speed:  20.7</t>
  </si>
  <si>
    <t>SYS :2016/12/14 15:02:26.397:ENFORCEMENT:Reactive Enforcement Action:  Target Number: 0000A008  Target Speed:  15.0  Current Speed:  20.7</t>
  </si>
  <si>
    <t>SYS :2016/12/14 15:02:26.763:ENFORCEMENT:Reactive Enforcement Action:  Target Number: 0000A008  Target Speed:  15.0  Current Speed:  20.7</t>
  </si>
  <si>
    <t>SYS :2016/12/14 15:33:49.866:ENFORCEMENT:Predictive Enforcement Action:  Target Number: 0000A02D  Target Speed:  10.0  Current Speed:  37.5</t>
  </si>
  <si>
    <t>SYS :2016/12/14 15:38:00.008:ENFORCEMENT:Predictive Enforcement Action:  Target Number: 00017004  Target Speed:   9.0  Current Speed:  14.6</t>
  </si>
  <si>
    <t>SYS :2016/12/14 15:38:00.075:ENFORCEMENT:Predictive Enforcement Action:  Target Number: 00017004  Target Speed:   9.0  Current Speed:  14.6</t>
  </si>
  <si>
    <t>SYS :2016/12/14 15:38:00.143:ENFORCEMENT:Predictive Enforcement Action:  Target Number: 00017002  Target Speed:   9.0  Current Speed:  14.6</t>
  </si>
  <si>
    <t>SYS :2016/12/14 16:31:06.806:ENFORCEMENT:Predictive Enforcement Action:  Target Number: 000060BA  Target Speed:   0.0  Current Speed:  72.7</t>
  </si>
  <si>
    <t>SYS :2016/12/14 16:31:07.049:ENFORCEMENT:Predictive Enforcement Action:  Target Number: 000060B5  Target Speed:   0.0  Current Speed:  72.3</t>
  </si>
  <si>
    <t>SYS :2016/12/14 16:31:07.416:ENFORCEMENT:Predictive Enforcement Action:  Target Number: 000060B1  Target Speed:   0.0  Current Speed:  72.3</t>
  </si>
  <si>
    <t>SYS :2016/12/14 16:31:44.840:ENFORCEMENT:Predictive Enforcement Action:  Target Number: 00010154  Target Speed:  15.0  Current Speed:  26.1</t>
  </si>
  <si>
    <t>SYS :2016/12/14 16:37:12.664:ENFORCEMENT:Predictive Enforcement Action:  Target Number: 0000103F  Target Speed:   0.0  Current Speed:   5.0</t>
  </si>
  <si>
    <t>SYS :2016/12/14 16:54:03.388:ENFORCEMENT:Predictive Enforcement Action:  Target Number: 00001007  Target Speed:   0.0  Current Speed:  13.5</t>
  </si>
  <si>
    <t>SYS :2016/12/14 17:27:14.441:ENFORCEMENT:Predictive Enforcement Action:  Target Number: 0000E001  Target Speed:   0.0  Current Speed:   5.6</t>
  </si>
  <si>
    <t>SYS :2016/12/14 17:27:15.071:ENFORCEMENT:Predictive Enforcement Action:  Target Number: 0000E003  Target Speed:   0.0  Current Speed:   5.6</t>
  </si>
  <si>
    <t>SYS :2016/12/14 17:27:15.462:ENFORCEMENT:Predictive Enforcement Action:  Target Number: 0000E002  Target Speed:   0.0  Current Speed:   5.6</t>
  </si>
  <si>
    <t>SYS :2016/12/14 17:34:00.303:ENFORCEMENT:Predictive Enforcement Action:  Target Number: 0000A00E  Target Speed:  10.0  Current Speed:  27.8</t>
  </si>
  <si>
    <t>SYS :2016/12/14 17:34:00.386:ENFORCEMENT:Predictive Enforcement Action:  Target Number: 0000A00E  Target Speed:  10.0  Current Speed:  28.4</t>
  </si>
  <si>
    <t>SYS :2016/12/14 17:34:00.993:ENFORCEMENT:Predictive Enforcement Action:  Target Number: 0000A00E  Target Speed:  10.0  Current Speed:  26.8</t>
  </si>
  <si>
    <t>SYS :2016/12/14 17:36:14.708:ENFORCEMENT:Predictive Enforcement Action:  Target Number: 00001062  Target Speed:   0.0  Current Speed:   9.7</t>
  </si>
  <si>
    <t>SYS :2016/12/14 17:36:14.845:ENFORCEMENT:Predictive Enforcement Action:  Target Number: 00001025  Target Speed:   0.0  Current Speed:   9.7</t>
  </si>
  <si>
    <t>SYS :2016/12/14 17:52:35.665:ENFORCEMENT:Predictive Enforcement Action:  Target Number: 00017247  Target Speed:   0.0  Current Speed:  21.9</t>
  </si>
  <si>
    <t>SYS :2016/12/14 17:52:36.716:ENFORCEMENT:Predictive Enforcement Action:  Target Number: 00017247  Target Speed:   0.0  Current Speed:  20.6</t>
  </si>
  <si>
    <t>SYS :2016/12/14 18:01:02.988:ENFORCEMENT:Predictive Enforcement Action:  Target Number: 000101FF  Target Speed:  40.0  Current Speed:  46.3</t>
  </si>
  <si>
    <t>SYS :2016/12/14 18:01:03.161:ENFORCEMENT:Predictive Enforcement Action:  Target Number: 000101FE  Target Speed:  40.0  Current Speed:  46.6</t>
  </si>
  <si>
    <t>SYS :2016/12/14 18:01:03.821:ENFORCEMENT:Predictive Enforcement Action:  Target Number: 00010088  Target Speed:  40.0  Current Speed:  46.6</t>
  </si>
  <si>
    <t>SYS :2016/12/14 18:08:47.821:ENFORCEMENT:Predictive Enforcement Action:  Target Number: 0000A00D  Target Speed:  10.0  Current Speed:  24.5</t>
  </si>
  <si>
    <t>SYS :2016/12/14 18:08:47.981:ENFORCEMENT:Predictive Enforcement Action:  Target Number: 0000A02E  Target Speed:  10.0  Current Speed:  24.5</t>
  </si>
  <si>
    <t>SYS :2016/12/14 18:08:48.151:ENFORCEMENT:Predictive Enforcement Action:  Target Number: 0000A02E  Target Speed:  10.0  Current Speed:  24.5</t>
  </si>
  <si>
    <t>SYS :2016/12/14 18:49:32.997:ENFORCEMENT:Predictive Enforcement Action:  Target Number: 00001047  Target Speed:   0.0  Current Speed:   4.6</t>
  </si>
  <si>
    <t>SYS :2016/12/14 18:51:08.610:ENFORCEMENT:Predictive Enforcement Action:  Target Number: 00001073  Target Speed:   0.0  Current Speed:  14.5</t>
  </si>
  <si>
    <t>SYS :2016/12/14 18:53:47.083:ENFORCEMENT:Predictive Enforcement Action:  Target Number: 000063DA  Target Speed:   0.0  Current Speed:  44.4</t>
  </si>
  <si>
    <t>SYS :2016/12/14 18:53:47.432:ENFORCEMENT:Predictive Enforcement Action:  Target Number: 0000606E  Target Speed:   0.0  Current Speed:  43.5</t>
  </si>
  <si>
    <t>SYS :2016/12/14 18:53:47.463:ENFORCEMENT:Predictive Enforcement Action:  Target Number: 00006320  Target Speed:   0.0  Current Speed:  44.4</t>
  </si>
  <si>
    <t>SYS :2016/12/14 18:56:13.431:ENFORCEMENT:Predictive Enforcement Action:  Target Number: 0000606E  Target Speed:   0.0  Current Speed:   4.3</t>
  </si>
  <si>
    <t>SYS :2016/12/14 19:04:10.481:ENFORCEMENT:Predictive Enforcement Action:  Target Number: 0000A028  Target Speed:  10.0  Current Speed:  45.6</t>
  </si>
  <si>
    <t>SYS :2016/12/14 19:20:19.060:ENFORCEMENT:Predictive Enforcement Action:  Target Number: 00001027  Target Speed:   0.0  Current Speed:   7.3</t>
  </si>
  <si>
    <t>SYS :2016/12/14 19:20:19.434:ENFORCEMENT:Predictive Enforcement Action:  Target Number: 00001007  Target Speed:   0.0  Current Speed:   7.1</t>
  </si>
  <si>
    <t>SYS :2016/12/14 19:20:21.373:ENFORCEMENT:Predictive Enforcement Action:  Target Number: 00001002  Target Speed:   0.0  Current Speed:   6.5</t>
  </si>
  <si>
    <t>SYS :2016/12/14 19:26:14.284:ENFORCEMENT:Predictive Enforcement Action:  Target Number: 00001020  Target Speed:   0.0  Current Speed:   9.4</t>
  </si>
  <si>
    <t>SYS :2016/12/14 19:26:14.954:ENFORCEMENT:Predictive Enforcement Action:  Target Number: 00001003  Target Speed:   0.0  Current Speed:   9.4</t>
  </si>
  <si>
    <t>SYS :2016/12/14 19:26:15.397:ENFORCEMENT:Predictive Enforcement Action:  Target Number: 00001020  Target Speed:   0.0  Current Speed:   9.4</t>
  </si>
  <si>
    <t>SYS :2016/12/14 19:27:45.954:ENFORCEMENT:Predictive Enforcement Action:  Target Number: 00001003  Target Speed:   0.0  Current Speed:   3.2</t>
  </si>
  <si>
    <t>SYS :2016/12/14 19:27:46.275:ENFORCEMENT:Predictive Enforcement Action:  Target Number: 00001020  Target Speed:   0.0  Current Speed:   3.2</t>
  </si>
  <si>
    <t>SYS :2016/12/14 19:27:46.397:ENFORCEMENT:Predictive Enforcement Action:  Target Number: 00001020  Target Speed:   0.0  Current Speed:   3.2</t>
  </si>
  <si>
    <t>SYS :2016/12/14 20:03:30.075:ENFORCEMENT:Predictive Enforcement Action:  Target Number: 0000A002  Target Speed:  10.0  Current Speed:  37.9</t>
  </si>
  <si>
    <t>SYS :2016/12/14 20:03:34.474:ENFORCEMENT:Predictive Enforcement Action:  Target Number: 0000A02F  Target Speed:  10.0  Current Speed:  32.7</t>
  </si>
  <si>
    <t>SYS :2016/12/14 20:03:34.634:ENFORCEMENT:Predictive Enforcement Action:  Target Number: 0000A02F  Target Speed:  10.0  Current Speed:  31.9</t>
  </si>
  <si>
    <t>SYS :2016/12/14 21:05:09.276:ENFORCEMENT:Predictive Enforcement Action:  Target Number: 00001022  Target Speed:   0.0  Current Speed:   8.6</t>
  </si>
  <si>
    <t>SYS :2016/12/14 21:48:54.478:ENFORCEMENT:Predictive Enforcement Action:  Target Number: 0000A030  Target Speed:  10.0  Current Speed:  25.2</t>
  </si>
  <si>
    <t>SYS :2016/12/14 21:48:54.641:ENFORCEMENT:Predictive Enforcement Action:  Target Number: 0000A030  Target Speed:  10.0  Current Speed:  24.7</t>
  </si>
  <si>
    <t>SYS :2016/12/14 21:48:55.069:ENFORCEMENT:Predictive Enforcement Action:  Target Number: 0000A003  Target Speed:  10.0  Current Speed:  24.7</t>
  </si>
  <si>
    <t>SYS :2016/12/14 22:48:51.273:ENFORCEMENT:Predictive Enforcement Action:  Target Number: 000102B7  Target Speed:  15.0  Current Speed:  34.0</t>
  </si>
  <si>
    <t>SYS :2016/12/14 22:48:51.958:ENFORCEMENT:Predictive Enforcement Action:  Target Number: 0001007D  Target Speed:  15.0  Current Speed:  34.0</t>
  </si>
  <si>
    <t>SYS :2016/12/14 22:48:52.396:ENFORCEMENT:Predictive Enforcement Action:  Target Number: 00010298  Target Speed:  15.0  Current Speed:  34.0</t>
  </si>
  <si>
    <t>SYS :2016/12/14 23:41:59.135:ENFORCEMENT:Reactive Enforcement Action:  Target Number: 000062CA  Target Speed:   0.0  Current Speed:   5.1</t>
  </si>
  <si>
    <t>SYS :2016/12/14 23:41:59.475:ENFORCEMENT:Reactive Enforcement Action:  Target Number: 00006303  Target Speed:   0.0  Current Speed:   6.0</t>
  </si>
  <si>
    <t>SYS :2016/12/14 23:42:01.118:ENFORCEMENT:Reactive Enforcement Action:  Target Number: 000062B8  Target Speed:   0.0  Current Speed:   6.8</t>
  </si>
  <si>
    <t>SYS :2016/12/14 23:42:41.456:ENFORCEMENT:Reactive Enforcement Action:  Target Number: 00006303  Target Speed:   0.0  Current Speed:   0.4</t>
  </si>
  <si>
    <t>SYS :2016/12/14 23:42:42.111:ENFORCEMENT:Reactive Enforcement Action:  Target Number: 000062B8  Target Speed:   0.0  Current Speed:   0.4</t>
  </si>
  <si>
    <t>SYS :2016/12/14 23:42:42.124:ENFORCEMENT:Reactive Enforcement Action:  Target Number: 000062CA  Target Speed:   0.0  Current Speed:   0.4</t>
  </si>
  <si>
    <t>SYS :2016/12/14 23:51:34.620:ENFORCEMENT:Predictive Enforcement Action:  Target Number: 0000102A  Target Speed:   0.0  Current Speed:  12.7</t>
  </si>
  <si>
    <t>SYS :2016/12/14 23:52:14.619:ENFORCEMENT:Predictive Enforcement Action:  Target Number: 0000102A  Target Speed:   0.0  Current Speed:   8.7</t>
  </si>
  <si>
    <t>SYS :2016/12/15 00:19:51.666:ENFORCEMENT:Predictive Enforcement Action:  Target Number: 00010255  Target Speed:  15.0  Current Speed:  28.1</t>
  </si>
  <si>
    <t>SYS :2016/12/15 00:19:51.712:ENFORCEMENT:Predictive Enforcement Action:  Target Number: 000101BE  Target Speed:  15.0  Current Speed:  28.1</t>
  </si>
  <si>
    <t>SYS :2016/12/15 00:19:52.465:ENFORCEMENT:Predictive Enforcement Action:  Target Number: 00010250  Target Speed:  15.0  Current Speed:  27.6</t>
  </si>
  <si>
    <t>SYS :2016/12/15 01:03:25.592:ENFORCEMENT:Predictive Enforcement Action:  Target Number: 0000A013  Target Speed:  10.0  Current Speed:  33.7</t>
  </si>
  <si>
    <t>SYS :2016/12/15 01:03:25.882:ENFORCEMENT:Predictive Enforcement Action:  Target Number: 0000A013  Target Speed:  10.0  Current Speed:  33.7</t>
  </si>
  <si>
    <t>SYS :2016/12/15 01:03:26.126:ENFORCEMENT:Predictive Enforcement Action:  Target Number: 0000A013  Target Speed:  10.0  Current Speed:  33.7</t>
  </si>
  <si>
    <t>SYS :2016/12/15 02:06:46.998:ENFORCEMENT:Predictive Enforcement Action:  Target Number: 00001017  Target Speed:   0.0  Current Speed:   3.8</t>
  </si>
  <si>
    <t>SYS :2016/12/15 02:33:01.023:ENFORCEMENT:Predictive Enforcement Action:  Target Number: 0000A005  Target Speed:  10.0  Current Speed:  44.6</t>
  </si>
  <si>
    <t>SYS :2016/12/15 02:48:08.893:ENFORCEMENT:Predictive Enforcement Action:  Target Number: 0000A014  Target Speed:  10.0  Current Speed:  58.6</t>
  </si>
  <si>
    <t>SYS :2016/12/15 02:48:09.133:ENFORCEMENT:Predictive Enforcement Action:  Target Number: 0000A014  Target Speed:  10.0  Current Speed:  58.6</t>
  </si>
  <si>
    <t>SYS :2016/12/15 02:48:09.600:ENFORCEMENT:Predictive Enforcement Action:  Target Number: 0000A014  Target Speed:  10.0  Current Speed:  58.6</t>
  </si>
  <si>
    <t>SYS :2016/12/15 03:33:30.993:ENFORCEMENT:Predictive Enforcement Action:  Target Number: 00001052  Target Speed:   0.0  Current Speed:   5.2</t>
  </si>
  <si>
    <t>SYS :2016/12/15 03:33:31.394:ENFORCEMENT:Predictive Enforcement Action:  Target Number: 0000104F  Target Speed:   0.0  Current Speed:   5.2</t>
  </si>
  <si>
    <t>SYS :2016/12/15 03:55:06.113:ENFORCEMENT:Predictive Enforcement Action:  Target Number: 00001055  Target Speed:   0.0  Current Speed:   5.2</t>
  </si>
  <si>
    <t>SYS :2016/12/15 03:55:06.458:ENFORCEMENT:Predictive Enforcement Action:  Target Number: 00001053  Target Speed:   0.0  Current Speed:   5.2</t>
  </si>
  <si>
    <t>SYS :2016/12/15 04:10:06.205:ENFORCEMENT:Predictive Enforcement Action:  Target Number: 0000100F  Target Speed:   0.0  Current Speed:   5.7</t>
  </si>
  <si>
    <t>SYS :2016/12/15 04:10:06.428:ENFORCEMENT:Predictive Enforcement Action:  Target Number: 00001014  Target Speed:   0.0  Current Speed:   5.7</t>
  </si>
  <si>
    <t>SYS :2016/12/15 04:36:28.698:ENFORCEMENT:Predictive Enforcement Action:  Target Number: 00001082  Target Speed:   0.0  Current Speed:   3.7</t>
  </si>
  <si>
    <t>SYS :2016/12/15 04:36:28.792:ENFORCEMENT:Predictive Enforcement Action:  Target Number: 00001076  Target Speed:   0.0  Current Speed:   3.7</t>
  </si>
  <si>
    <t>SYS :2016/12/15 04:36:28.835:ENFORCEMENT:Predictive Enforcement Action:  Target Number: 00001045  Target Speed:   0.0  Current Speed:   3.7</t>
  </si>
  <si>
    <t>SYS :2016/12/15 05:30:06.715:ENFORCEMENT:Predictive Enforcement Action:  Target Number: 0001077B  Target Speed:  30.0  Current Speed:  39.4</t>
  </si>
  <si>
    <t>SYS :2016/12/15 05:30:06.807:ENFORCEMENT:Predictive Enforcement Action:  Target Number: 000106B6  Target Speed:  30.0  Current Speed:  39.4</t>
  </si>
  <si>
    <t>SYS :2016/12/15 05:30:06.852:ENFORCEMENT:Predictive Enforcement Action:  Target Number: 00010316  Target Speed:  30.0  Current Speed:  39.4</t>
  </si>
  <si>
    <t>SYS :2016/12/15 06:29:05.594:ENFORCEMENT:Reactive Enforcement Action:  Target Number: 000101A7  Target Speed:  35.0  Current Speed:  40.0</t>
  </si>
  <si>
    <t>SYS :2016/12/15 06:29:05.877:ENFORCEMENT:Reactive Enforcement Action:  Target Number: 000101A4  Target Speed:  35.0  Current Speed:  40.0</t>
  </si>
  <si>
    <t>SYS :2016/12/15 06:29:06.133:ENFORCEMENT:Reactive Enforcement Action:  Target Number: 000101A7  Target Speed:  35.0  Current Speed:  40.0</t>
  </si>
  <si>
    <t>SYS :2016/12/15 08:03:31.211:ENFORCEMENT:Predictive Enforcement Action:  Target Number: 00001013  Target Speed:   0.0  Current Speed:   6.0</t>
  </si>
  <si>
    <t>SYS :2016/12/15 08:03:31.442:ENFORCEMENT:Predictive Enforcement Action:  Target Number: 00001018  Target Speed:   0.0  Current Speed:   6.0</t>
  </si>
  <si>
    <t>SYS :2016/12/15 08:03:32.067:ENFORCEMENT:Predictive Enforcement Action:  Target Number: 00001038  Target Speed:   0.0  Current Speed:   6.0</t>
  </si>
  <si>
    <t>rtdc.l.rtdc.4010:itc</t>
  </si>
  <si>
    <t>WENDY</t>
  </si>
  <si>
    <t>ROBINSON</t>
  </si>
  <si>
    <t>KADDIBA</t>
  </si>
  <si>
    <t>SMITH</t>
  </si>
  <si>
    <t>rtdc.l.rtdc.4026:itc</t>
  </si>
  <si>
    <t>SWANSON</t>
  </si>
  <si>
    <t>BRYCE</t>
  </si>
  <si>
    <t>rtdc.l.rtdc.4025:itc</t>
  </si>
  <si>
    <t>SHOOK</t>
  </si>
  <si>
    <t>NEWELL</t>
  </si>
  <si>
    <t>GREGORY</t>
  </si>
  <si>
    <t>MACDONALD</t>
  </si>
  <si>
    <t>THOMAS</t>
  </si>
  <si>
    <t>204:121</t>
  </si>
  <si>
    <t>204:233310</t>
  </si>
  <si>
    <t>204:449</t>
  </si>
  <si>
    <t>204:469</t>
  </si>
  <si>
    <t>204:442</t>
  </si>
  <si>
    <t>204:233295</t>
  </si>
  <si>
    <t>204:233308</t>
  </si>
  <si>
    <t>204:232973</t>
  </si>
  <si>
    <t>204:233013</t>
  </si>
  <si>
    <t>204:233334</t>
  </si>
  <si>
    <t>204:232972</t>
  </si>
  <si>
    <t>204:232978</t>
  </si>
  <si>
    <t>300:58929</t>
  </si>
  <si>
    <t>300:58924</t>
  </si>
  <si>
    <t>204:719</t>
  </si>
  <si>
    <t>300:58619</t>
  </si>
  <si>
    <t>204:1016</t>
  </si>
  <si>
    <t>204:668</t>
  </si>
  <si>
    <t>204:678</t>
  </si>
  <si>
    <t>300:58926</t>
  </si>
  <si>
    <t>300:58920</t>
  </si>
  <si>
    <t>rtdc.l.rtdc.4028:itc</t>
  </si>
  <si>
    <t>rtdc.l.rtdc.4027:itc</t>
  </si>
  <si>
    <t>rtdc.l.rtdc.4044:itc</t>
  </si>
  <si>
    <t>rtdc.l.rtdc.4031:itc</t>
  </si>
  <si>
    <t>rtdc.l.rtdc.4043:itc</t>
  </si>
  <si>
    <t>234-18</t>
  </si>
  <si>
    <t>235-18</t>
  </si>
  <si>
    <t>OUN</t>
  </si>
  <si>
    <t>ZACK</t>
  </si>
  <si>
    <t>HAITHCOX</t>
  </si>
  <si>
    <t>YORK</t>
  </si>
  <si>
    <t>EDGAR</t>
  </si>
  <si>
    <t>STEWART</t>
  </si>
  <si>
    <t>BARTLETT</t>
  </si>
  <si>
    <t>KIANDRA</t>
  </si>
  <si>
    <t>KILLION</t>
  </si>
  <si>
    <t>MCREYNOLDS</t>
  </si>
  <si>
    <t>KYLE</t>
  </si>
  <si>
    <t>67-18</t>
  </si>
  <si>
    <t>1832-18</t>
  </si>
  <si>
    <t>233-18</t>
  </si>
  <si>
    <t>230-18</t>
  </si>
  <si>
    <t>1833-18</t>
  </si>
  <si>
    <t>232-18</t>
  </si>
  <si>
    <t>1902-18</t>
  </si>
  <si>
    <t>237-18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</si>
  <si>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</si>
  <si>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</si>
  <si>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</si>
  <si>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</si>
  <si>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</si>
  <si>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</si>
  <si>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</si>
  <si>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</si>
  <si>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</si>
  <si>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</si>
  <si>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</si>
  <si>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</si>
  <si>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</si>
  <si>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clear-day</t>
  </si>
  <si>
    <t>204:754</t>
  </si>
  <si>
    <t>204:673</t>
  </si>
  <si>
    <t>204:232976</t>
  </si>
  <si>
    <t>204:232981</t>
  </si>
  <si>
    <t>204:770</t>
  </si>
  <si>
    <t>204:757</t>
  </si>
  <si>
    <t>204:437</t>
  </si>
  <si>
    <t>204:156</t>
  </si>
  <si>
    <t>204:433</t>
  </si>
  <si>
    <t>204:745</t>
  </si>
  <si>
    <t>204:1018</t>
  </si>
  <si>
    <t>300:58611</t>
  </si>
  <si>
    <t>204:172</t>
  </si>
  <si>
    <t>204:127869</t>
  </si>
  <si>
    <t>204:232984</t>
  </si>
  <si>
    <t>204:170</t>
  </si>
  <si>
    <t>204:493</t>
  </si>
  <si>
    <t>204:233270</t>
  </si>
  <si>
    <t>204:478</t>
  </si>
  <si>
    <t>204:473</t>
  </si>
  <si>
    <t>204:233301</t>
  </si>
  <si>
    <t>204:233285</t>
  </si>
  <si>
    <t>204:233297</t>
  </si>
  <si>
    <t>300:23199</t>
  </si>
  <si>
    <t>204:130</t>
  </si>
  <si>
    <t>204:945</t>
  </si>
  <si>
    <t>300:23302</t>
  </si>
  <si>
    <t>204:513</t>
  </si>
  <si>
    <t>204:939</t>
  </si>
  <si>
    <t>103-19</t>
  </si>
  <si>
    <t>rtdc.l.rtdc.4019:itc</t>
  </si>
  <si>
    <t>104-19</t>
  </si>
  <si>
    <t>901-19</t>
  </si>
  <si>
    <t>106-19</t>
  </si>
  <si>
    <t>SWITCH UNKNOWN</t>
  </si>
  <si>
    <t>Track device (7)</t>
  </si>
  <si>
    <t>115-19</t>
  </si>
  <si>
    <t>108-19</t>
  </si>
  <si>
    <t>802-19</t>
  </si>
  <si>
    <t>805-19</t>
  </si>
  <si>
    <t>806-19</t>
  </si>
  <si>
    <t>807-19</t>
  </si>
  <si>
    <t>809-19</t>
  </si>
  <si>
    <t>126-19</t>
  </si>
  <si>
    <t>810-19</t>
  </si>
  <si>
    <t>811-19</t>
  </si>
  <si>
    <t>813-19</t>
  </si>
  <si>
    <t>147-19</t>
  </si>
  <si>
    <t>149-19</t>
  </si>
  <si>
    <t>153-19</t>
  </si>
  <si>
    <t>148-19</t>
  </si>
  <si>
    <t>152-19</t>
  </si>
  <si>
    <t>157-19</t>
  </si>
  <si>
    <t>150-19</t>
  </si>
  <si>
    <t>165-19</t>
  </si>
  <si>
    <t>55-19</t>
  </si>
  <si>
    <t>819-19</t>
  </si>
  <si>
    <t>820-19</t>
  </si>
  <si>
    <t>824-19</t>
  </si>
  <si>
    <t>826-19</t>
  </si>
  <si>
    <t>194-19</t>
  </si>
  <si>
    <t>830-19</t>
  </si>
  <si>
    <t>835-19</t>
  </si>
  <si>
    <t>836-19</t>
  </si>
  <si>
    <t>206-19</t>
  </si>
  <si>
    <t>214-19</t>
  </si>
  <si>
    <t>840-19</t>
  </si>
  <si>
    <t>844-19</t>
  </si>
  <si>
    <t>234-19</t>
  </si>
  <si>
    <t>238-19</t>
  </si>
  <si>
    <t>309-19</t>
  </si>
  <si>
    <t>101-19</t>
  </si>
  <si>
    <t>304-19</t>
  </si>
  <si>
    <t>MAGEE</t>
  </si>
  <si>
    <t>KENYA</t>
  </si>
  <si>
    <t>306-19</t>
  </si>
  <si>
    <t>STARKS</t>
  </si>
  <si>
    <t>ANGELINA</t>
  </si>
  <si>
    <t>308-19</t>
  </si>
  <si>
    <t>102-19</t>
  </si>
  <si>
    <t>310-19</t>
  </si>
  <si>
    <t>107-19</t>
  </si>
  <si>
    <t>109-19</t>
  </si>
  <si>
    <t>111-19</t>
  </si>
  <si>
    <t>SIMMONS</t>
  </si>
  <si>
    <t>SHYHESHA</t>
  </si>
  <si>
    <t>113-19</t>
  </si>
  <si>
    <t>800-19</t>
  </si>
  <si>
    <t>rtdc.l.rtdc.4020:itc</t>
  </si>
  <si>
    <t>117-19</t>
  </si>
  <si>
    <t>110-19</t>
  </si>
  <si>
    <t>112-19</t>
  </si>
  <si>
    <t>801-19</t>
  </si>
  <si>
    <t>119-19</t>
  </si>
  <si>
    <t>YANAI</t>
  </si>
  <si>
    <t>IAN</t>
  </si>
  <si>
    <t>902-19</t>
  </si>
  <si>
    <t>SIMONEAUX</t>
  </si>
  <si>
    <t>TERA</t>
  </si>
  <si>
    <t>114-19</t>
  </si>
  <si>
    <t>121-19</t>
  </si>
  <si>
    <t>116-19</t>
  </si>
  <si>
    <t>803-19</t>
  </si>
  <si>
    <t>123-19</t>
  </si>
  <si>
    <t>118-19</t>
  </si>
  <si>
    <t>120-19</t>
  </si>
  <si>
    <t>125-19</t>
  </si>
  <si>
    <t>804-19</t>
  </si>
  <si>
    <t>127-19</t>
  </si>
  <si>
    <t>122-19</t>
  </si>
  <si>
    <t>129-19</t>
  </si>
  <si>
    <t>124-19</t>
  </si>
  <si>
    <t>131-19</t>
  </si>
  <si>
    <t>808-19</t>
  </si>
  <si>
    <t>133-19</t>
  </si>
  <si>
    <t>135-19</t>
  </si>
  <si>
    <t>50-19</t>
  </si>
  <si>
    <t>137-19</t>
  </si>
  <si>
    <t>130-19</t>
  </si>
  <si>
    <t>132-19</t>
  </si>
  <si>
    <t>139-19</t>
  </si>
  <si>
    <t>903-19</t>
  </si>
  <si>
    <t>141-19</t>
  </si>
  <si>
    <t>134-19</t>
  </si>
  <si>
    <t>812-19</t>
  </si>
  <si>
    <t>136-19</t>
  </si>
  <si>
    <t>143-19</t>
  </si>
  <si>
    <t>138-19</t>
  </si>
  <si>
    <t>140-19</t>
  </si>
  <si>
    <t>145-19</t>
  </si>
  <si>
    <t>142-19</t>
  </si>
  <si>
    <t>52-19</t>
  </si>
  <si>
    <t>SPECTOR</t>
  </si>
  <si>
    <t>814-19</t>
  </si>
  <si>
    <t>144-19</t>
  </si>
  <si>
    <t>151-19</t>
  </si>
  <si>
    <t>146-19</t>
  </si>
  <si>
    <t>815-19</t>
  </si>
  <si>
    <t>155-19</t>
  </si>
  <si>
    <t>816-19</t>
  </si>
  <si>
    <t>154-19</t>
  </si>
  <si>
    <t>159-19</t>
  </si>
  <si>
    <t>DUNCAN</t>
  </si>
  <si>
    <t>SHEILA</t>
  </si>
  <si>
    <t>817-19</t>
  </si>
  <si>
    <t>161-19</t>
  </si>
  <si>
    <t>156-19</t>
  </si>
  <si>
    <t>163-19</t>
  </si>
  <si>
    <t>CLARK</t>
  </si>
  <si>
    <t>KATHLEEN</t>
  </si>
  <si>
    <t>54-19</t>
  </si>
  <si>
    <t>158-19</t>
  </si>
  <si>
    <t>818-19</t>
  </si>
  <si>
    <t>160-19</t>
  </si>
  <si>
    <t>167-19</t>
  </si>
  <si>
    <t>162-19</t>
  </si>
  <si>
    <t>169-19</t>
  </si>
  <si>
    <t>COMELLA</t>
  </si>
  <si>
    <t>JUSTIN</t>
  </si>
  <si>
    <t>164-19</t>
  </si>
  <si>
    <t>166-19</t>
  </si>
  <si>
    <t>171-19</t>
  </si>
  <si>
    <t>168-19</t>
  </si>
  <si>
    <t>173-19</t>
  </si>
  <si>
    <t>175-19</t>
  </si>
  <si>
    <t>170-19</t>
  </si>
  <si>
    <t>177-19</t>
  </si>
  <si>
    <t>821-19</t>
  </si>
  <si>
    <t>179-19</t>
  </si>
  <si>
    <t>172-19</t>
  </si>
  <si>
    <t>822-19</t>
  </si>
  <si>
    <t>174-19</t>
  </si>
  <si>
    <t>181-19</t>
  </si>
  <si>
    <t>176-19</t>
  </si>
  <si>
    <t>183-19</t>
  </si>
  <si>
    <t>178-19</t>
  </si>
  <si>
    <t>180-19</t>
  </si>
  <si>
    <t>185-19</t>
  </si>
  <si>
    <t>823-19</t>
  </si>
  <si>
    <t>187-19</t>
  </si>
  <si>
    <t>MAHAN</t>
  </si>
  <si>
    <t>DUANE</t>
  </si>
  <si>
    <t>182-19</t>
  </si>
  <si>
    <t>189-19</t>
  </si>
  <si>
    <t>184-19</t>
  </si>
  <si>
    <t>191-19</t>
  </si>
  <si>
    <t>186-19</t>
  </si>
  <si>
    <t>193-19</t>
  </si>
  <si>
    <t>825-19</t>
  </si>
  <si>
    <t>904-19</t>
  </si>
  <si>
    <t>188-19</t>
  </si>
  <si>
    <t>195-19</t>
  </si>
  <si>
    <t>190-19</t>
  </si>
  <si>
    <t>197-19</t>
  </si>
  <si>
    <t>827-19</t>
  </si>
  <si>
    <t>192-19</t>
  </si>
  <si>
    <t>199-19</t>
  </si>
  <si>
    <t>828-19</t>
  </si>
  <si>
    <t>196-19</t>
  </si>
  <si>
    <t>201-19</t>
  </si>
  <si>
    <t>829-19</t>
  </si>
  <si>
    <t>203-19</t>
  </si>
  <si>
    <t>831-19</t>
  </si>
  <si>
    <t>198-19</t>
  </si>
  <si>
    <t>205-19</t>
  </si>
  <si>
    <t>200-19</t>
  </si>
  <si>
    <t>207-19</t>
  </si>
  <si>
    <t>832-19</t>
  </si>
  <si>
    <t>202-19</t>
  </si>
  <si>
    <t>833-19</t>
  </si>
  <si>
    <t>56-19</t>
  </si>
  <si>
    <t>204-19</t>
  </si>
  <si>
    <t>209-19</t>
  </si>
  <si>
    <t>211-19</t>
  </si>
  <si>
    <t>71-19</t>
  </si>
  <si>
    <t>834-19</t>
  </si>
  <si>
    <t>208-19</t>
  </si>
  <si>
    <t>213-19</t>
  </si>
  <si>
    <t>60-19</t>
  </si>
  <si>
    <t>215-19</t>
  </si>
  <si>
    <t>210-19</t>
  </si>
  <si>
    <t>212-19</t>
  </si>
  <si>
    <t>217-19</t>
  </si>
  <si>
    <t>837-19</t>
  </si>
  <si>
    <t>65-19</t>
  </si>
  <si>
    <t>839-19</t>
  </si>
  <si>
    <t>219-19</t>
  </si>
  <si>
    <t>YANG</t>
  </si>
  <si>
    <t>JAN</t>
  </si>
  <si>
    <t>838-19</t>
  </si>
  <si>
    <t>303-19</t>
  </si>
  <si>
    <t>216-19</t>
  </si>
  <si>
    <t>221-19</t>
  </si>
  <si>
    <t>218-19</t>
  </si>
  <si>
    <t>906-19</t>
  </si>
  <si>
    <t>305-19</t>
  </si>
  <si>
    <t>841-19</t>
  </si>
  <si>
    <t>220-19</t>
  </si>
  <si>
    <t>223-19</t>
  </si>
  <si>
    <t>222-19</t>
  </si>
  <si>
    <t>307-19</t>
  </si>
  <si>
    <t>225-19</t>
  </si>
  <si>
    <t>224-19</t>
  </si>
  <si>
    <t>227-19</t>
  </si>
  <si>
    <t>843-19</t>
  </si>
  <si>
    <t>842-19</t>
  </si>
  <si>
    <t>226-19</t>
  </si>
  <si>
    <t>229-19</t>
  </si>
  <si>
    <t>845-19</t>
  </si>
  <si>
    <t>231-19</t>
  </si>
  <si>
    <t>233-19</t>
  </si>
  <si>
    <t>230-19</t>
  </si>
  <si>
    <t>847-19</t>
  </si>
  <si>
    <t>228-19</t>
  </si>
  <si>
    <t>77-19</t>
  </si>
  <si>
    <t>908-19</t>
  </si>
  <si>
    <t>235-19</t>
  </si>
  <si>
    <t>236-19</t>
  </si>
  <si>
    <t>239-19</t>
  </si>
  <si>
    <t>241-19</t>
  </si>
  <si>
    <t>243-19</t>
  </si>
  <si>
    <t>240-19</t>
  </si>
  <si>
    <t>242-19</t>
  </si>
  <si>
    <t>311-19</t>
  </si>
  <si>
    <t>244-19</t>
  </si>
  <si>
    <t>313-19</t>
  </si>
  <si>
    <t>315-19</t>
  </si>
  <si>
    <t>302-20</t>
  </si>
  <si>
    <t>partly-cloudy-day</t>
  </si>
  <si>
    <t>Mostly Cloudy</t>
  </si>
  <si>
    <t>204:748</t>
  </si>
  <si>
    <t>204:233312</t>
  </si>
  <si>
    <t>204:232675</t>
  </si>
  <si>
    <t>204:233317</t>
  </si>
  <si>
    <t>204:232692</t>
  </si>
  <si>
    <t>204:232658</t>
  </si>
  <si>
    <t>204:225182</t>
  </si>
  <si>
    <t>204:233284</t>
  </si>
  <si>
    <t>204:480</t>
  </si>
  <si>
    <t>204:233321</t>
  </si>
  <si>
    <t>204:233293</t>
  </si>
  <si>
    <t>204:233100</t>
  </si>
  <si>
    <t>204:232785</t>
  </si>
  <si>
    <t>204:154421</t>
  </si>
  <si>
    <t>204:233288</t>
  </si>
  <si>
    <t>204:232959</t>
  </si>
  <si>
    <t>204:232991</t>
  </si>
  <si>
    <t>204:233311</t>
  </si>
  <si>
    <t>204:233300</t>
  </si>
  <si>
    <t>204:233318</t>
  </si>
  <si>
    <t>204:233283</t>
  </si>
  <si>
    <t>204:232961</t>
  </si>
  <si>
    <t>204:438</t>
  </si>
  <si>
    <t>204:11425</t>
  </si>
  <si>
    <t>204:233400</t>
  </si>
  <si>
    <t>204:233093</t>
  </si>
  <si>
    <t>204:233010</t>
  </si>
  <si>
    <t>204:233325</t>
  </si>
  <si>
    <t>204:152</t>
  </si>
  <si>
    <t>204:232967</t>
  </si>
  <si>
    <t>204:233337</t>
  </si>
  <si>
    <t>204:233028</t>
  </si>
  <si>
    <t>204:127877</t>
  </si>
  <si>
    <t>204:511</t>
  </si>
  <si>
    <t>204:233210</t>
  </si>
  <si>
    <t>204:232913</t>
  </si>
  <si>
    <t>204:136</t>
  </si>
  <si>
    <t>204:233274</t>
  </si>
  <si>
    <t>204:232955</t>
  </si>
  <si>
    <t>204:233309</t>
  </si>
  <si>
    <t>204:232975</t>
  </si>
  <si>
    <t>204:233025</t>
  </si>
  <si>
    <t>204:233363</t>
  </si>
  <si>
    <t>204:233038</t>
  </si>
  <si>
    <t>204:233364</t>
  </si>
  <si>
    <t>204:233048</t>
  </si>
  <si>
    <t>204:167</t>
  </si>
  <si>
    <t>204:233002</t>
  </si>
  <si>
    <t>204:169</t>
  </si>
  <si>
    <t>204:233005</t>
  </si>
  <si>
    <t>204:233302</t>
  </si>
  <si>
    <t>204:178</t>
  </si>
  <si>
    <t>204:233278</t>
  </si>
  <si>
    <t>204:232962</t>
  </si>
  <si>
    <t>204:1179</t>
  </si>
  <si>
    <t>204:232969</t>
  </si>
  <si>
    <t>204:232979</t>
  </si>
  <si>
    <t>204:232980</t>
  </si>
  <si>
    <t>204:435</t>
  </si>
  <si>
    <t>204:232983</t>
  </si>
  <si>
    <t>204:431</t>
  </si>
  <si>
    <t>204:233034</t>
  </si>
  <si>
    <t>204:233349</t>
  </si>
  <si>
    <t>204:233007</t>
  </si>
  <si>
    <t>204:200</t>
  </si>
  <si>
    <t>204:409</t>
  </si>
  <si>
    <t>204:232982</t>
  </si>
  <si>
    <t>204:233264</t>
  </si>
  <si>
    <t>204:232970</t>
  </si>
  <si>
    <t>204:233287</t>
  </si>
  <si>
    <t>204:466</t>
  </si>
  <si>
    <t>204:233003</t>
  </si>
  <si>
    <t>204:181</t>
  </si>
  <si>
    <t>204:192</t>
  </si>
  <si>
    <t>204:174</t>
  </si>
  <si>
    <t>204:491</t>
  </si>
  <si>
    <t>204:233263</t>
  </si>
  <si>
    <t>204:232947</t>
  </si>
  <si>
    <t>204:165</t>
  </si>
  <si>
    <t>204:517</t>
  </si>
  <si>
    <t>204:127861</t>
  </si>
  <si>
    <t>204:158887</t>
  </si>
  <si>
    <t>204:193718</t>
  </si>
  <si>
    <t>204:124715</t>
  </si>
  <si>
    <t>204:123227</t>
  </si>
  <si>
    <t>204:127668</t>
  </si>
  <si>
    <t>204:176</t>
  </si>
  <si>
    <t>204:193381</t>
  </si>
  <si>
    <t>204:155041</t>
  </si>
  <si>
    <t>204:364</t>
  </si>
  <si>
    <t>204:124011</t>
  </si>
  <si>
    <t>204:122198</t>
  </si>
  <si>
    <t>204:122192</t>
  </si>
  <si>
    <t>204:928</t>
  </si>
  <si>
    <t>204:232963</t>
  </si>
  <si>
    <t>204:233015</t>
  </si>
  <si>
    <t>204:233280</t>
  </si>
  <si>
    <t>204:232964</t>
  </si>
  <si>
    <t>204:233330</t>
  </si>
  <si>
    <t>204:233009</t>
  </si>
  <si>
    <t>300:23197</t>
  </si>
  <si>
    <t>300:23127</t>
  </si>
  <si>
    <t>300:20538</t>
  </si>
  <si>
    <t>300:22193</t>
  </si>
  <si>
    <t>300:22870</t>
  </si>
  <si>
    <t>300:23295</t>
  </si>
  <si>
    <t>300:22828</t>
  </si>
  <si>
    <t>204:106853</t>
  </si>
  <si>
    <t>204:911</t>
  </si>
  <si>
    <t>300:30938</t>
  </si>
  <si>
    <t>204:1181</t>
  </si>
  <si>
    <t>300:21979</t>
  </si>
  <si>
    <t>204:370</t>
  </si>
  <si>
    <t>300:24222</t>
  </si>
  <si>
    <t>300:22039</t>
  </si>
  <si>
    <t>204:151</t>
  </si>
  <si>
    <t>300:22064</t>
  </si>
  <si>
    <t>204:919</t>
  </si>
  <si>
    <t>300:23299</t>
  </si>
  <si>
    <t>204:1488</t>
  </si>
  <si>
    <t>300:58698</t>
  </si>
  <si>
    <t>204:642</t>
  </si>
  <si>
    <t>204:937</t>
  </si>
  <si>
    <t>300:59008</t>
  </si>
  <si>
    <t>300:58700</t>
  </si>
  <si>
    <t>204:666</t>
  </si>
  <si>
    <t>204:948</t>
  </si>
  <si>
    <t>300:59014</t>
  </si>
  <si>
    <t>300:58696</t>
  </si>
  <si>
    <t>204:643</t>
  </si>
  <si>
    <t>204:1006</t>
  </si>
  <si>
    <t>300:58958</t>
  </si>
  <si>
    <t>300:58634</t>
  </si>
  <si>
    <t>204:740</t>
  </si>
  <si>
    <t>300:58999</t>
  </si>
  <si>
    <t>300:58673</t>
  </si>
  <si>
    <t>204:645</t>
  </si>
  <si>
    <t>300:58918</t>
  </si>
  <si>
    <t>300:58596</t>
  </si>
  <si>
    <t>204:747</t>
  </si>
  <si>
    <t>300:58630</t>
  </si>
  <si>
    <t>204:729</t>
  </si>
  <si>
    <t>300:58892</t>
  </si>
  <si>
    <t>300:58574</t>
  </si>
  <si>
    <t>204:755</t>
  </si>
  <si>
    <t>204:1034</t>
  </si>
  <si>
    <t>300:58952</t>
  </si>
  <si>
    <t>300:58645</t>
  </si>
  <si>
    <t>300:58948</t>
  </si>
  <si>
    <t>300:58640</t>
  </si>
  <si>
    <t>204:1027</t>
  </si>
  <si>
    <t>300:58609</t>
  </si>
  <si>
    <t>204:698</t>
  </si>
  <si>
    <t>204:983</t>
  </si>
  <si>
    <t>204:799</t>
  </si>
  <si>
    <t>204:1091</t>
  </si>
  <si>
    <t>300:58928</t>
  </si>
  <si>
    <t>300:58608</t>
  </si>
  <si>
    <t>204:706</t>
  </si>
  <si>
    <t>204:971</t>
  </si>
  <si>
    <t>300:58922</t>
  </si>
  <si>
    <t>204:988</t>
  </si>
  <si>
    <t>204:703</t>
  </si>
  <si>
    <t>204:951</t>
  </si>
  <si>
    <t>300:58604</t>
  </si>
  <si>
    <t>204:992</t>
  </si>
  <si>
    <t>300:58621</t>
  </si>
  <si>
    <t>204:692</t>
  </si>
  <si>
    <t>204:960</t>
  </si>
  <si>
    <t>204:691</t>
  </si>
  <si>
    <t>204:985</t>
  </si>
  <si>
    <t>204:726</t>
  </si>
  <si>
    <t>204:1009</t>
  </si>
  <si>
    <t>300:23802</t>
  </si>
  <si>
    <t>300:58916</t>
  </si>
  <si>
    <t>204:916</t>
  </si>
  <si>
    <t>300:30298</t>
  </si>
  <si>
    <t>300:23396</t>
  </si>
  <si>
    <t>204:929</t>
  </si>
  <si>
    <t>300:25446</t>
  </si>
  <si>
    <t>300:23144</t>
  </si>
  <si>
    <t>300:28723</t>
  </si>
  <si>
    <t>300:21710</t>
  </si>
  <si>
    <t>aws s3 cp s3://rtdc.mdm.uploadarchive.raw/RTDC4052/ "%USERPROFILE%\AppData\Local\Temp\OnboardLogs"\RTDC4052\2016-12-19 --exclude "*" --recursive --include "*20161219*" &amp; "%USERPROFILE%\Documents\GitHub\mrs-test-scripts\Headless Mode &amp; Sideloading\WalkAndUnGZ.bat" "%USERPROFILE%\AppData\Local\Temp\OnboardLogs"\RTDC4052\2016-12-19 &amp; 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</t>
  </si>
  <si>
    <t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t>
  </si>
  <si>
    <t>aws s3 cp s3://rtdc.mdm.uploadarchive.raw/RTDC4011/ "%USERPROFILE%\AppData\Local\Temp\OnboardLogs"\RTDC4011\2016-12-19 --exclude "*" --recursive --include "*20161219*" &amp; "%USERPROFILE%\Documents\GitHub\mrs-test-scripts\Headless Mode &amp; Sideloading\WalkAndUnGZ.bat" "%USERPROFILE%\AppData\Local\Temp\OnboardLogs"\RTDC4011\2016-12-19 &amp; aws s3 cp s3://rtdc.mdm.uploadarchive.raw/RTDC4011/ "%USERPROFILE%\AppData\Local\Temp\OnboardLogs"\RTDC4011\2016-12-20 --exclude "*" --recursive --include "*20161220*" &amp; "%USERPROFILE%\Documents\GitHub\mrs-test-scripts\Headless Mode &amp; Sideloading\WalkAndUnGZ.bat" "%USERPROFILE%\AppData\Local\Temp\OnboardLogs"\RTDC4011\2016-12-20</t>
  </si>
  <si>
    <t>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 &amp; 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</t>
  </si>
  <si>
    <t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t>
  </si>
  <si>
    <t>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 &amp; 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</t>
  </si>
  <si>
    <t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t>
  </si>
  <si>
    <t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t>
  </si>
  <si>
    <t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t>
  </si>
  <si>
    <t>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 &amp; aws s3 cp s3://rtdc.mdm.uploadarchive.raw/RTDC4014/ "%USERPROFILE%\AppData\Local\Temp\OnboardLogs"\RTDC4014\2016-12-20 --exclude "*" --recursive --include "*20161220*" &amp; "%USERPROFILE%\Documents\GitHub\mrs-test-scripts\Headless Mode &amp; Sideloading\WalkAndUnGZ.bat" "%USERPROFILE%\AppData\Local\Temp\OnboardLogs"\RTDC4014\2016-12-20</t>
  </si>
  <si>
    <t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t>
  </si>
  <si>
    <t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t>
  </si>
  <si>
    <t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t>
  </si>
  <si>
    <t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t>
  </si>
  <si>
    <t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t>
  </si>
  <si>
    <t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t>
  </si>
  <si>
    <t>aws s3 cp s3://rtdc.mdm.uploadarchive.raw/RTDC4019/ "%USERPROFILE%\AppData\Local\Temp\OnboardLogs"\RTDC4019\2016-12-19 --exclude "*" --recursive --include "*20161219*" &amp; "%USERPROFILE%\Documents\GitHub\mrs-test-scripts\Headless Mode &amp; Sideloading\WalkAndUnGZ.bat" "%USERPROFILE%\AppData\Local\Temp\OnboardLogs"\RTDC4019\2016-12-19 &amp; 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</t>
  </si>
  <si>
    <t>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 &amp; aws s3 cp s3://rtdc.mdm.uploadarchive.raw/RTDC4013/ "%USERPROFILE%\AppData\Local\Temp\OnboardLogs"\RTDC4013\2016-12-20 --exclude "*" --recursive --include "*20161220*" &amp; "%USERPROFILE%\Documents\GitHub\mrs-test-scripts\Headless Mode &amp; Sideloading\WalkAndUnGZ.bat" "%USERPROFILE%\AppData\Local\Temp\OnboardLogs"\RTDC4013\2016-12-20</t>
  </si>
  <si>
    <t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t>
  </si>
  <si>
    <t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t>
  </si>
  <si>
    <t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t>
  </si>
  <si>
    <t>http://stevetu21.github.io/eaglep3/load_kml.html?kml=http://rtdc.gmaps-snips.s3.amazonaws.com/d3d6bc3f-63dc-472c-887a-1ad3124dd1d5.kml</t>
  </si>
  <si>
    <t>ATC Issue</t>
  </si>
  <si>
    <t>Onboard in-route failure</t>
  </si>
  <si>
    <t>See title. Do logs tell us root cause of the CP outage?</t>
  </si>
  <si>
    <t>Re-inited at 40th (no issue found) - took a while to clear 40th 2N</t>
  </si>
  <si>
    <t>Wi-MAX data drop</t>
  </si>
  <si>
    <t>Early arrival (41st)</t>
  </si>
  <si>
    <t>Early arrival</t>
  </si>
  <si>
    <t>40th 4S STOP</t>
  </si>
  <si>
    <t>Cancelled?</t>
  </si>
  <si>
    <t>CP 61st generator out of fuel (power outage)</t>
  </si>
  <si>
    <t>105-19</t>
  </si>
  <si>
    <t>Could not init due to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</si>
</sst>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169" fontId="20" fillId="0" borderId="0" xfId="4" applyFill="1"/>
    <xf numFmtId="0" fontId="0" fillId="0" borderId="0" xfId="0" applyNumberFormat="1" applyBorder="1"/>
    <xf numFmtId="0" fontId="1" fillId="0" borderId="0" xfId="0" applyNumberFormat="1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d3d6bc3f-63dc-472c-887a-1ad3124dd1d5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0"/>
  <sheetViews>
    <sheetView tabSelected="1" zoomScaleNormal="100" workbookViewId="0">
      <selection activeCell="R17" sqref="R17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42723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42723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141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COUNTIFS($N$13:$N$9360,"&gt;0",$AG$13:$AG$9360,I1)</f>
        <v>129</v>
      </c>
      <c r="K5" s="44"/>
      <c r="L5" s="44"/>
      <c r="M5" s="45">
        <f>AVERAGEIFS($N$13:$N$9360,$AG$13:$AG$9360,I1)</f>
        <v>39.857751937409823</v>
      </c>
      <c r="N5" s="43">
        <f t="array" ref="N5">MIN(IF($AG$13:$AG$9360=I1,IF(ISNUMBER($N$13:$N$9360),IF($N$13:$N$9360&gt;0,$N$13:$N$9360))))</f>
        <v>33.533333335071802</v>
      </c>
      <c r="O5" s="3">
        <f t="array" ref="O5">MAX(IF($AG$13:$AG$9360=I1,IF(ISNUMBER($N$13:$N$9360),IF($N$13:$N$9360&gt;0,$N$13:$N$9360))))</f>
        <v>60.650000001769513</v>
      </c>
      <c r="P5" s="2"/>
      <c r="R5" s="80" t="s">
        <v>17</v>
      </c>
      <c r="S5" s="55">
        <f>COUNTIFS($N$13:$N$9360,"&gt;0",$AG$13:$AG$9360,R1)</f>
        <v>46</v>
      </c>
      <c r="T5" s="44"/>
      <c r="U5" s="168"/>
      <c r="V5" s="45">
        <f>AVERAGEIFS($N$13:$N$9360,$AG$13:$AG$9360,R1)</f>
        <v>15.252898549180195</v>
      </c>
      <c r="W5" s="43">
        <f t="array" ref="W5">MIN(IF($AG$13:$AG$9360=R1,IF(ISNUMBER($N$13:$N$9360),IF($N$13:$N$9360&gt;0,$N$13:$N$9360))))</f>
        <v>13.06666667223908</v>
      </c>
      <c r="X5" s="173">
        <f t="array" ref="X5">MAX(IF($AG$13:$AG$9360=R1,IF(ISNUMBER($N$13:$N$9360),IF($N$13:$N$9360&gt;0,$N$13:$N$9360))))</f>
        <v>19.833333328133449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COUNT($O$13:$O$146)</f>
        <v>0</v>
      </c>
      <c r="K6" s="44"/>
      <c r="L6" s="44"/>
      <c r="M6" s="45">
        <f>IFERROR(AVERAGE($O$13:$O$146),0)</f>
        <v>0</v>
      </c>
      <c r="N6" s="43">
        <f>MIN($O$13:$O$146)</f>
        <v>0</v>
      </c>
      <c r="O6" s="3">
        <f>MAX($O$13:$O$146)</f>
        <v>0</v>
      </c>
      <c r="P6" s="2"/>
      <c r="R6" s="81" t="s">
        <v>43</v>
      </c>
      <c r="S6" s="55">
        <f>COUNT($O$13:$O$146)</f>
        <v>0</v>
      </c>
      <c r="T6" s="44"/>
      <c r="U6" s="168"/>
      <c r="V6" s="45">
        <f>IFERROR(AVERAGE($O$13:$O$146),0)</f>
        <v>0</v>
      </c>
      <c r="W6" s="43">
        <f>MIN($O$13:$O$146)</f>
        <v>0</v>
      </c>
      <c r="X6" s="173">
        <f>MAX($O$13:$O$146)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COUNTIFS($P$13:$P$9360,"&gt;0",$AG$13:$AG$9360,I1)</f>
        <v>12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COUNTIFS($P$13:$P$9360,"&gt;0",$AG$13:$AG$9360,R1)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129</v>
      </c>
      <c r="K8" s="44"/>
      <c r="L8" s="44"/>
      <c r="M8" s="45">
        <f>M5</f>
        <v>39.857751937409823</v>
      </c>
      <c r="N8" s="43">
        <f>N5</f>
        <v>33.533333335071802</v>
      </c>
      <c r="O8" s="3">
        <f>O5</f>
        <v>60.650000001769513</v>
      </c>
      <c r="P8" s="2"/>
      <c r="R8" s="80" t="s">
        <v>16</v>
      </c>
      <c r="S8" s="55">
        <f>S5</f>
        <v>46</v>
      </c>
      <c r="T8" s="44"/>
      <c r="U8" s="168"/>
      <c r="V8" s="45">
        <f>V5</f>
        <v>15.252898549180195</v>
      </c>
      <c r="W8" s="43">
        <f>W5</f>
        <v>13.06666667223908</v>
      </c>
      <c r="X8" s="173">
        <f>X5</f>
        <v>19.833333328133449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0.91489361702127658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1" t="str">
        <f>"Eagle P3 System Performance - "&amp;TEXT(Variables!A2,"yyyy-mm-dd")</f>
        <v>Eagle P3 System Performance - 2016-12-19</v>
      </c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S11" s="69">
        <f>AVERAGE(S13:S102)</f>
        <v>0.9634831460674157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568</v>
      </c>
      <c r="B13" s="7">
        <v>4027</v>
      </c>
      <c r="C13" s="22" t="s">
        <v>205</v>
      </c>
      <c r="D13" s="22" t="s">
        <v>767</v>
      </c>
      <c r="E13" s="13">
        <v>42723.130509259259</v>
      </c>
      <c r="F13" s="13">
        <v>42723.135717592595</v>
      </c>
      <c r="G13" s="7">
        <v>1</v>
      </c>
      <c r="H13" s="22" t="s">
        <v>768</v>
      </c>
      <c r="I13" s="13">
        <v>42723.161747685182</v>
      </c>
      <c r="J13" s="7">
        <v>0</v>
      </c>
      <c r="K13" s="109" t="str">
        <f t="shared" ref="K13:K76" si="0">IF(ISEVEN(B13),(B13-1)&amp;"/"&amp;B13,B13&amp;"/"&amp;(B13+1))</f>
        <v>4027/4028</v>
      </c>
      <c r="L13" s="22" t="str">
        <f>VLOOKUP(A13,'Trips&amp;Operators'!$C$1:$G$99999,5,FALSE)</f>
        <v>OUN ZACK</v>
      </c>
      <c r="M13" s="6">
        <f t="shared" ref="M13:M76" si="1">I13-F13</f>
        <v>2.6030092587461695E-2</v>
      </c>
      <c r="N13" s="7">
        <f t="shared" ref="N13:P76" si="2">24*60*SUM($M13:$M13)</f>
        <v>37.483333325944841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https://search-rtdc-monitor-bjffxe2xuh6vdkpspy63sjmuny.us-east-1.es.amazonaws.com/_plugin/kibana/#/discover/Steve-Slow-Train-Analysis-(2080s-and-2083s)?_g=(refreshInterval:(display:Off,section:0,value:0),time:(from:'2016-12-19 02:07:56-700',mode:absolute,to:'2016-12-19 04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7.4800000000000005E-2</v>
      </c>
      <c r="Z13" s="67">
        <f t="shared" ref="Z13:Z76" si="9">RIGHT(H13,LEN(H13)-4)/10000</f>
        <v>23.331199999999999</v>
      </c>
      <c r="AA13" s="67">
        <f t="shared" ref="AA13:AA76" si="10">ABS(Z13-Y13)</f>
        <v>23.256399999999999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0101-19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/stypes="app*4027*20161219*"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4027 --swversion DE.1.0.8.0 --startMP 204:748 --initTime 2016-12-19T03:07:56 --startdatetime 2016-12-19T03:15:26 --delay 1 --endMP 204:233312 --enddatetime 2016-12-19T03:52:55 --enforcementcount 0 &gt;&gt;C:\Users\stu\Documents\GitHub\eaglep3-reporting\EC\2016-12-19-refined-times.txt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{"issue":{"subject":"","project_id":79,"tracker_id":40,"status_id":1,"priority_id":2,"assigned_to_id":23,"start_date":"2016-12-19","description":"","custom_fields":[{"id":1,"name":"Subdivision","value":"EC"},{"id":4,"name":"Milepost","value":"23.3312"},{"id":17,"name":"Train ID","value":"101-19"},{"id":16,"name":"Locomotive ID","value":"4027"},{"id":130,"name":"Impact","value":""},{"id":150,"name":"Time of Event (Mountain Time)","value":"03:52:55"},{"id":151,"name":"Denver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576</v>
      </c>
      <c r="B14" s="7">
        <v>4012</v>
      </c>
      <c r="C14" s="22" t="s">
        <v>205</v>
      </c>
      <c r="D14" s="22" t="s">
        <v>769</v>
      </c>
      <c r="E14" s="13">
        <v>42723.169745370367</v>
      </c>
      <c r="F14" s="13">
        <v>42723.174513888887</v>
      </c>
      <c r="G14" s="7">
        <v>1</v>
      </c>
      <c r="H14" s="22" t="s">
        <v>304</v>
      </c>
      <c r="I14" s="13">
        <v>42723.204756944448</v>
      </c>
      <c r="J14" s="7">
        <v>0</v>
      </c>
      <c r="K14" s="109" t="str">
        <f t="shared" si="0"/>
        <v>4011/4012</v>
      </c>
      <c r="L14" s="22" t="str">
        <f>VLOOKUP(A14,'Trips&amp;Operators'!$C$1:$G$99999,5,FALSE)</f>
        <v>OUN ZACK</v>
      </c>
      <c r="M14" s="6">
        <f t="shared" si="1"/>
        <v>3.0243055560276844E-2</v>
      </c>
      <c r="N14" s="7">
        <f t="shared" si="2"/>
        <v>43.550000006798655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03:04:26-700',mode:absolute,to:'2016-12-19 05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23.267499999999998</v>
      </c>
      <c r="Z14" s="67">
        <f t="shared" si="9"/>
        <v>1.34E-2</v>
      </c>
      <c r="AA14" s="67">
        <f t="shared" si="10"/>
        <v>23.254099999999998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0102-19</v>
      </c>
      <c r="AE14" s="91" t="str">
        <f t="shared" si="12"/>
        <v>aws s3 cp s3://rtdc.mdm.uploadarchive.raw/RTDC4012/ "%USERPROFILE%\AppData\Local\Temp\OnboardLogs"\RTDC4012\2016-12-19 --exclude "*" --recursive --include "*20161219*" &amp; "%USERPROFILE%\Documents\GitHub\mrs-test-scripts\Headless Mode &amp; Sideloading\WalkAndUnGZ.bat" "%USERPROFILE%\AppData\Local\Temp\OnboardLogs"\RTDC4012\2016-12-19 &amp; 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</v>
      </c>
      <c r="AF14" s="88" t="str">
        <f t="shared" si="13"/>
        <v>"C:\Program Files (x86)\AstroGrep\AstroGrep.exe" /spath="%USERPROFILE%\AppData\Local\Temp\OnboardLogs" /stypes="app*4012*20161219*"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4012 --swversion DE.1.0.8.0 --startMP 204:232675 --initTime 2016-12-19T04:04:26 --startdatetime 2016-12-19T04:11:18 --delay 1 --endMP 204:134 --enddatetime 2016-12-19T04:54:51 --enforcementcount 0 &gt;&gt;C:\Users\stu\Documents\GitHub\eaglep3-reporting\EC\2016-12-19-refined-times.txt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{"issue":{"subject":"","project_id":79,"tracker_id":40,"status_id":1,"priority_id":2,"assigned_to_id":23,"start_date":"2016-12-19","description":"","custom_fields":[{"id":1,"name":"Subdivision","value":"EC"},{"id":4,"name":"Milepost","value":"0.0134"},{"id":17,"name":"Train ID","value":"102-19"},{"id":16,"name":"Locomotive ID","value":"4012"},{"id":130,"name":"Impact","value":""},{"id":150,"name":"Time of Event (Mountain Time)","value":"04:54:51"},{"id":151,"name":"Denver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526</v>
      </c>
      <c r="B15" s="7">
        <v>4009</v>
      </c>
      <c r="C15" s="22" t="s">
        <v>205</v>
      </c>
      <c r="D15" s="22" t="s">
        <v>497</v>
      </c>
      <c r="E15" s="13">
        <v>42723.152557870373</v>
      </c>
      <c r="F15" s="13">
        <v>42723.157476851855</v>
      </c>
      <c r="G15" s="7">
        <v>1</v>
      </c>
      <c r="H15" s="22" t="s">
        <v>770</v>
      </c>
      <c r="I15" s="13">
        <v>42723.186168981483</v>
      </c>
      <c r="J15" s="7">
        <v>0</v>
      </c>
      <c r="K15" s="109" t="str">
        <f t="shared" si="0"/>
        <v>4009/4010</v>
      </c>
      <c r="L15" s="22" t="str">
        <f>VLOOKUP(A15,'Trips&amp;Operators'!$C$1:$G$99999,5,FALSE)</f>
        <v>MAGEE KENYA</v>
      </c>
      <c r="M15" s="6">
        <f t="shared" si="1"/>
        <v>2.8692129628325347E-2</v>
      </c>
      <c r="N15" s="7">
        <f t="shared" si="2"/>
        <v>41.316666664788499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02:39:41-700',mode:absolute,to:'2016-12-19 05:28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7.5399999999999995E-2</v>
      </c>
      <c r="Z15" s="67">
        <f t="shared" si="9"/>
        <v>23.331700000000001</v>
      </c>
      <c r="AA15" s="67">
        <f t="shared" si="10"/>
        <v>23.256300000000003</v>
      </c>
      <c r="AB15" s="64" t="str">
        <f>VLOOKUP(A15,Enforcements!$C$7:$K$19,8,0)</f>
        <v>Signal based authority (5)</v>
      </c>
      <c r="AC15" s="60" t="str">
        <f>VLOOKUP(A15,Enforcements!$C$7:$E$19,3,0)</f>
        <v>SIGNAL</v>
      </c>
      <c r="AD15" s="61" t="str">
        <f t="shared" si="11"/>
        <v>0103-19</v>
      </c>
      <c r="AE15" s="91" t="str">
        <f t="shared" si="12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15" s="88" t="str">
        <f t="shared" si="13"/>
        <v>"C:\Program Files (x86)\AstroGrep\AstroGrep.exe" /spath="%USERPROFILE%\AppData\Local\Temp\OnboardLogs" /stypes="app*4009*20161219*"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103-19 --locoid 4009 --swversion DE.1.0.8.0 --startMP 204:754 --initTime 2016-12-19T03:39:41 --startdatetime 2016-12-19T03:46:46 --delay 1 --endMP 204:233317 --enddatetime 2016-12-19T04:28:05 --enforcementcount 0 &gt;&gt;C:\Users\stu\Documents\GitHub\eaglep3-reporting\EC\2016-12-19-refined-times.txt</v>
      </c>
      <c r="AI15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{"issue":{"subject":"","project_id":79,"tracker_id":40,"status_id":1,"priority_id":2,"assigned_to_id":23,"start_date":"2016-12-19","description":"","custom_fields":[{"id":1,"name":"Subdivision","value":"EC"},{"id":4,"name":"Milepost","value":"23.3317"},{"id":17,"name":"Train ID","value":"103-19"},{"id":16,"name":"Locomotive ID","value":"4009"},{"id":130,"name":"Impact","value":""},{"id":150,"name":"Time of Event (Mountain Time)","value":"04:28:05"},{"id":151,"name":"Denver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528</v>
      </c>
      <c r="B16" s="7">
        <v>4019</v>
      </c>
      <c r="C16" s="22" t="s">
        <v>205</v>
      </c>
      <c r="D16" s="22" t="s">
        <v>771</v>
      </c>
      <c r="E16" s="13">
        <v>42723.19</v>
      </c>
      <c r="F16" s="13">
        <v>42723.195428240739</v>
      </c>
      <c r="G16" s="7">
        <v>1</v>
      </c>
      <c r="H16" s="22" t="s">
        <v>192</v>
      </c>
      <c r="I16" s="13">
        <v>42723.224016203705</v>
      </c>
      <c r="J16" s="7">
        <v>0</v>
      </c>
      <c r="K16" s="109" t="str">
        <f t="shared" si="0"/>
        <v>4019/4020</v>
      </c>
      <c r="L16" s="22" t="str">
        <f>VLOOKUP(A16,'Trips&amp;Operators'!$C$1:$G$99999,5,FALSE)</f>
        <v>MAGEE KENYA</v>
      </c>
      <c r="M16" s="6">
        <f t="shared" si="1"/>
        <v>2.8587962966412306E-2</v>
      </c>
      <c r="N16" s="7">
        <f t="shared" si="2"/>
        <v>41.16666667163372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03:33:36-700',mode:absolute,to:'2016-12-19 06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23.269200000000001</v>
      </c>
      <c r="Z16" s="67">
        <f t="shared" si="9"/>
        <v>1.43E-2</v>
      </c>
      <c r="AA16" s="67">
        <f t="shared" si="10"/>
        <v>23.254900000000003</v>
      </c>
      <c r="AB16" s="64" t="str">
        <f>VLOOKUP(A16,Enforcements!$C$7:$K$19,8,0)</f>
        <v>Signal based authority (5)</v>
      </c>
      <c r="AC16" s="60" t="str">
        <f>VLOOKUP(A16,Enforcements!$C$7:$E$19,3,0)</f>
        <v>SIGNAL</v>
      </c>
      <c r="AD16" s="61" t="str">
        <f t="shared" si="11"/>
        <v>0104-19</v>
      </c>
      <c r="AE16" s="91" t="str">
        <f t="shared" si="12"/>
        <v>aws s3 cp s3://rtdc.mdm.uploadarchive.raw/RTDC4019/ "%USERPROFILE%\AppData\Local\Temp\OnboardLogs"\RTDC4019\2016-12-19 --exclude "*" --recursive --include "*20161219*" &amp; "%USERPROFILE%\Documents\GitHub\mrs-test-scripts\Headless Mode &amp; Sideloading\WalkAndUnGZ.bat" "%USERPROFILE%\AppData\Local\Temp\OnboardLogs"\RTDC4019\2016-12-19 &amp; 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</v>
      </c>
      <c r="AF16" s="88" t="str">
        <f t="shared" si="13"/>
        <v>"C:\Program Files (x86)\AstroGrep\AstroGrep.exe" /spath="%USERPROFILE%\AppData\Local\Temp\OnboardLogs" /stypes="app*4019*20161219*"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104-19 --locoid 4019 --swversion DE.1.0.8.0 --startMP 204:232692 --initTime 2016-12-19T04:33:36 --startdatetime 2016-12-19T04:41:25 --delay 1 --endMP 204:143 --enddatetime 2016-12-19T05:22:35 --enforcementcount 0 &gt;&gt;C:\Users\stu\Documents\GitHub\eaglep3-reporting\EC\2016-12-19-refined-times.txt</v>
      </c>
      <c r="AI16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{"issue":{"subject":"","project_id":79,"tracker_id":40,"status_id":1,"priority_id":2,"assigned_to_id":23,"start_date":"2016-12-19","description":"","custom_fields":[{"id":1,"name":"Subdivision","value":"EC"},{"id":4,"name":"Milepost","value":"0.0143"},{"id":17,"name":"Train ID","value":"104-19"},{"id":16,"name":"Locomotive ID","value":"4019"},{"id":130,"name":"Impact","value":""},{"id":150,"name":"Time of Event (Mountain Time)","value":"05:22:35"},{"id":151,"name":"Denver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982</v>
      </c>
      <c r="B17" s="7">
        <v>4046</v>
      </c>
      <c r="C17" s="22" t="s">
        <v>205</v>
      </c>
      <c r="D17" s="22" t="s">
        <v>771</v>
      </c>
      <c r="E17" s="13">
        <v>42723.19</v>
      </c>
      <c r="F17" s="13"/>
      <c r="G17" s="7">
        <v>1</v>
      </c>
      <c r="H17" s="22" t="s">
        <v>192</v>
      </c>
      <c r="I17" s="13"/>
      <c r="J17" s="7">
        <v>0</v>
      </c>
      <c r="K17" s="109" t="str">
        <f t="shared" ref="K17" si="19">IF(ISEVEN(B17),(B17-1)&amp;"/"&amp;B17,B17&amp;"/"&amp;(B17+1))</f>
        <v>4045/4046</v>
      </c>
      <c r="L17" s="22" t="e">
        <f>VLOOKUP(A17,'Trips&amp;Operators'!$C$1:$G$99999,5,FALSE)</f>
        <v>#N/A</v>
      </c>
      <c r="M17" s="6">
        <f t="shared" ref="M17" si="20">I17-F17</f>
        <v>0</v>
      </c>
      <c r="N17" s="7"/>
      <c r="O17" s="7"/>
      <c r="P17" s="7">
        <v>1</v>
      </c>
      <c r="Q17" s="23"/>
      <c r="R17" s="23" t="s">
        <v>983</v>
      </c>
      <c r="S17" s="35">
        <f t="shared" ref="S17" si="21">SUM(U17:U17)/IF(AG17="EC",12,1)</f>
        <v>0</v>
      </c>
      <c r="T17" s="50" t="str">
        <f t="shared" ref="T17" si="22">IF(ISEVEN(LEFT(AD17,4)),"Southbound","NorthBound")</f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8" t="str">
        <f t="shared" ref="V17" si="23"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https://search-rtdc-monitor-bjffxe2xuh6vdkpspy63sjmuny.us-east-1.es.amazonaws.com/_plugin/kibana/#/discover/Steve-Slow-Train-Analysis-(2080s-and-2083s)?_g=(refreshInterval:(display:Off,section:0,value:0),time:(from:'2016-12-19 03:33:36-700',mode:absolute,to:'1900-01-00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" s="52" t="str">
        <f t="shared" ref="W17" si="24">IF(AA17&lt;IF(AG17="EC",23,5.65),"Y","N")</f>
        <v>Y</v>
      </c>
      <c r="X17" s="177">
        <f t="shared" si="7"/>
        <v>1</v>
      </c>
      <c r="Y17" s="67">
        <v>0</v>
      </c>
      <c r="Z17" s="67">
        <v>0</v>
      </c>
      <c r="AA17" s="67">
        <f t="shared" ref="AA17" si="25">ABS(Z17-Y17)</f>
        <v>0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ref="AD17" si="26">IF(LEN(A17)=6,"0"&amp;A17,A17)</f>
        <v>0105-19</v>
      </c>
      <c r="AE17" s="91" t="str">
        <f t="shared" ref="AE17" si="27"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s3://rtdc.mdm.uploadarchive.raw/RTDC4046/ "%USERPROFILE%\AppData\Local\Temp\OnboardLogs"\RTDC4046\1900-01-00 --exclude "*" --recursive --include "*19000100*" &amp; "%USERPROFILE%\Documents\GitHub\mrs-test-scripts\Headless Mode &amp; Sideloading\WalkAndUnGZ.bat" "%USERPROFILE%\AppData\Local\Temp\OnboardLogs"\RTDC4046\1900-01-00 &amp; aws s3 cp s3://rtdc.mdm.uploadarchive.raw/RTDC4046/ "%USERPROFILE%\AppData\Local\Temp\OnboardLogs"\RTDC4046\1900-01-01 --exclude "*" --recursive --include "*19000101*" &amp; "%USERPROFILE%\Documents\GitHub\mrs-test-scripts\Headless Mode &amp; Sideloading\WalkAndUnGZ.bat" "%USERPROFILE%\AppData\Local\Temp\OnboardLogs"\RTDC4046\1900-01-01</v>
      </c>
      <c r="AF17" s="88" t="str">
        <f t="shared" ref="AF17" si="28"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/stypes="app*4046*19000100*" /stext=" 07:.+((SYSTEM_STATE.+slice.+state.+changed )|(ment ac)|(multiple cpu faults)|(system.+state.+changed )|(\[timeout)|(PRM\|1\|D)|(kpr)|(kdp)|(\|lc)|(penalty))" /e /r /s</v>
      </c>
      <c r="AG17" s="1" t="str">
        <f t="shared" ref="AG17" si="29">IFERROR(IF(VALUE(LEFT(AD17,2))&lt;=2,"EC",IF(OR(VALUE(LEFT(AD17,2))=8,VALUE(LEFT(AD17,2))=18),"NW","Other")),"Other")</f>
        <v>EC</v>
      </c>
      <c r="AH17" s="92" t="str">
        <f t="shared" ref="AH17" si="30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105-19 --locoid 4046 --swversion DE.1.0.8.0 --startMP 204:232692 --initTime 2016-12-19T04:33:36 --startdatetime 1900-01-00T00:00:00 --delay 1 --endMP 204:143 --enddatetime 1900-01-00T00:00:00 --enforcementcount 0 &gt;&gt;C:\Users\stu\Documents\GitHub\eaglep3-reporting\EC\2016-12-19-refined-times.txt</v>
      </c>
      <c r="AI17" s="119" t="str">
        <f t="shared" ref="AI17" si="31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{"issue":{"subject":"Could not init due to Wi-MAX data drop","project_id":79,"tracker_id":40,"status_id":1,"priority_id":2,"assigned_to_id":23,"start_date":"1900-01-00","description":"","custom_fields":[{"id":1,"name":"Subdivision","value":"EC"},{"id":4,"name":"Milepost","value":"0"},{"id":17,"name":"Train ID","value":"105-19"},{"id":16,"name":"Locomotive ID","value":"4046"},{"id":130,"name":"Impact","value":""},{"id":150,"name":"Time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</row>
    <row r="18" spans="1:91" s="1" customFormat="1" x14ac:dyDescent="0.25">
      <c r="A18" s="37" t="s">
        <v>530</v>
      </c>
      <c r="B18" s="7">
        <v>4052</v>
      </c>
      <c r="C18" s="22" t="s">
        <v>205</v>
      </c>
      <c r="D18" s="22" t="s">
        <v>772</v>
      </c>
      <c r="E18" s="13">
        <v>42723.214629629627</v>
      </c>
      <c r="F18" s="13">
        <v>42723.21875</v>
      </c>
      <c r="G18" s="7">
        <v>4</v>
      </c>
      <c r="H18" s="22" t="s">
        <v>773</v>
      </c>
      <c r="I18" s="13">
        <v>42723.220706018517</v>
      </c>
      <c r="J18" s="7">
        <v>0</v>
      </c>
      <c r="K18" s="109" t="str">
        <f t="shared" si="0"/>
        <v>4051/4052</v>
      </c>
      <c r="L18" s="22" t="str">
        <f>VLOOKUP(A18,'Trips&amp;Operators'!$C$1:$G$99999,5,FALSE)</f>
        <v>STARKS ANGELINA</v>
      </c>
      <c r="M18" s="6">
        <f t="shared" si="1"/>
        <v>1.9560185173759237E-3</v>
      </c>
      <c r="N18" s="7"/>
      <c r="O18" s="7"/>
      <c r="P18" s="7">
        <f t="shared" si="2"/>
        <v>2.8166666650213301</v>
      </c>
      <c r="Q18" s="23"/>
      <c r="R18" s="23" t="s">
        <v>976</v>
      </c>
      <c r="S18" s="35">
        <f t="shared" si="3"/>
        <v>0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04:09:04-700',mode:absolute,to:'2016-12-19 06:17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8" s="52" t="str">
        <f t="shared" si="6"/>
        <v>Y</v>
      </c>
      <c r="X18" s="177">
        <f t="shared" si="7"/>
        <v>1</v>
      </c>
      <c r="Y18" s="67">
        <f t="shared" si="8"/>
        <v>23.265799999999999</v>
      </c>
      <c r="Z18" s="67">
        <f t="shared" si="9"/>
        <v>22.5182</v>
      </c>
      <c r="AA18" s="67">
        <f t="shared" si="10"/>
        <v>0.74759999999999849</v>
      </c>
      <c r="AB18" s="64" t="str">
        <f>VLOOKUP(A18,Enforcements!$C$7:$K$19,8,0)</f>
        <v>Signal based authority (5)</v>
      </c>
      <c r="AC18" s="60" t="str">
        <f>VLOOKUP(A18,Enforcements!$C$7:$E$19,3,0)</f>
        <v>SIGNAL</v>
      </c>
      <c r="AD18" s="61" t="str">
        <f t="shared" si="11"/>
        <v>0106-19</v>
      </c>
      <c r="AE18" s="91" t="str">
        <f t="shared" si="12"/>
        <v>aws s3 cp s3://rtdc.mdm.uploadarchive.raw/RTDC4052/ "%USERPROFILE%\AppData\Local\Temp\OnboardLogs"\RTDC4052\2016-12-19 --exclude "*" --recursive --include "*20161219*" &amp; "%USERPROFILE%\Documents\GitHub\mrs-test-scripts\Headless Mode &amp; Sideloading\WalkAndUnGZ.bat" "%USERPROFILE%\AppData\Local\Temp\OnboardLogs"\RTDC4052\2016-12-19 &amp; 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</v>
      </c>
      <c r="AF18" s="88" t="str">
        <f t="shared" si="13"/>
        <v>"C:\Program Files (x86)\AstroGrep\AstroGrep.exe" /spath="%USERPROFILE%\AppData\Local\Temp\OnboardLogs" /stypes="app*4052*20161219*"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106-19 --locoid 4052 --swversion DE.1.0.8.0 --startMP 204:232658 --initTime 2016-12-19T05:09:04 --startdatetime 2016-12-19T05:15:00 --delay 4 --endMP 204:225182 --enddatetime 2016-12-19T05:17:49 --enforcementcount 0 &gt;&gt;C:\Users\stu\Documents\GitHub\eaglep3-reporting\EC\2016-12-19-refined-times.txt</v>
      </c>
      <c r="AI18" s="119" t="str">
        <f t="shared" si="18"/>
        <v>echo {"issue":{"subject":"Wi-MAX data drop","project_id":79,"tracker_id":40,"status_id":1,"priority_id":2,"assigned_to_id":23,"start_date":"2016-12-19","description":"","custom_fields":[{"id":1,"name":"Subdivision","value":"EC"},{"id":4,"name":"Milepost","value":"22.5182"},{"id":17,"name":"Train ID","value":"106-19"},{"id":16,"name":"Locomotive ID","value":"4052"},{"id":130,"name":"Impact","value":""},{"id":150,"name":"Time of Event (Mountain Time)","value":"05:17:49"},{"id":151,"name":"Denver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578</v>
      </c>
      <c r="B19" s="7">
        <v>4022</v>
      </c>
      <c r="C19" s="22" t="s">
        <v>205</v>
      </c>
      <c r="D19" s="22" t="s">
        <v>257</v>
      </c>
      <c r="E19" s="13">
        <v>42723.185231481482</v>
      </c>
      <c r="F19" s="13">
        <v>42723.187708333331</v>
      </c>
      <c r="G19" s="7">
        <v>1</v>
      </c>
      <c r="H19" s="22" t="s">
        <v>774</v>
      </c>
      <c r="I19" s="13">
        <v>42723.213831018518</v>
      </c>
      <c r="J19" s="7">
        <v>0</v>
      </c>
      <c r="K19" s="109" t="str">
        <f t="shared" si="0"/>
        <v>4021/4022</v>
      </c>
      <c r="L19" s="22" t="str">
        <f>VLOOKUP(A19,'Trips&amp;Operators'!$C$1:$G$99999,5,FALSE)</f>
        <v>DAVIDSON DAVID</v>
      </c>
      <c r="M19" s="6">
        <f t="shared" si="1"/>
        <v>2.6122685187146999E-2</v>
      </c>
      <c r="N19" s="7">
        <f t="shared" si="2"/>
        <v>37.616666669491678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03:26:44-700',mode:absolute,to:'2016-12-19 06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4.6399999999999997E-2</v>
      </c>
      <c r="Z19" s="67">
        <f t="shared" si="9"/>
        <v>23.328399999999998</v>
      </c>
      <c r="AA19" s="67">
        <f t="shared" si="10"/>
        <v>23.282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0107-19</v>
      </c>
      <c r="AE19" s="91" t="str">
        <f t="shared" si="12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19" s="88" t="str">
        <f t="shared" si="13"/>
        <v>"C:\Program Files (x86)\AstroGrep\AstroGrep.exe" /spath="%USERPROFILE%\AppData\Local\Temp\OnboardLogs" /stypes="app*4022*20161219*"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107-19 --locoid 4022 --swversion DE.1.0.8.0 --startMP 204:464 --initTime 2016-12-19T04:26:44 --startdatetime 2016-12-19T04:30:18 --delay 1 --endMP 204:233284 --enddatetime 2016-12-19T05:07:55 --enforcementcount 0 &gt;&gt;C:\Users\stu\Documents\GitHub\eaglep3-reporting\EC\2016-12-19-refined-times.txt</v>
      </c>
      <c r="AI19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{"issue":{"subject":"","project_id":79,"tracker_id":40,"status_id":1,"priority_id":2,"assigned_to_id":23,"start_date":"2016-12-19","description":"","custom_fields":[{"id":1,"name":"Subdivision","value":"EC"},{"id":4,"name":"Milepost","value":"23.3284"},{"id":17,"name":"Train ID","value":"107-19"},{"id":16,"name":"Locomotive ID","value":"4022"},{"id":130,"name":"Impact","value":""},{"id":150,"name":"Time of Event (Mountain Time)","value":"05:07:55"},{"id":151,"name":"Denver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534</v>
      </c>
      <c r="B20" s="7">
        <v>4021</v>
      </c>
      <c r="C20" s="22" t="s">
        <v>205</v>
      </c>
      <c r="D20" s="22" t="s">
        <v>447</v>
      </c>
      <c r="E20" s="13">
        <v>42723.218460648146</v>
      </c>
      <c r="F20" s="13">
        <v>42723.227002314816</v>
      </c>
      <c r="G20" s="7">
        <v>0</v>
      </c>
      <c r="H20" s="22" t="s">
        <v>304</v>
      </c>
      <c r="I20" s="13">
        <v>42723.254872685182</v>
      </c>
      <c r="J20" s="7">
        <v>0</v>
      </c>
      <c r="K20" s="109" t="str">
        <f t="shared" si="0"/>
        <v>4021/4022</v>
      </c>
      <c r="L20" s="22" t="str">
        <f>VLOOKUP(A20,'Trips&amp;Operators'!$C$1:$G$99999,5,FALSE)</f>
        <v>DAVIDSON DAVID</v>
      </c>
      <c r="M20" s="6">
        <f t="shared" si="1"/>
        <v>2.7870370366144925E-2</v>
      </c>
      <c r="N20" s="7">
        <f t="shared" si="2"/>
        <v>40.133333327248693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04:14:35-700',mode:absolute,to:'2016-12-19 07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23.297799999999999</v>
      </c>
      <c r="Z20" s="67">
        <f t="shared" si="9"/>
        <v>1.34E-2</v>
      </c>
      <c r="AA20" s="67">
        <f t="shared" si="10"/>
        <v>23.284399999999998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0108-19</v>
      </c>
      <c r="AE20" s="91" t="str">
        <f t="shared" si="12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20" s="88" t="str">
        <f t="shared" si="13"/>
        <v>"C:\Program Files (x86)\AstroGrep\AstroGrep.exe" /spath="%USERPROFILE%\AppData\Local\Temp\OnboardLogs" /stypes="app*4021*20161219*"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108-19 --locoid 4021 --swversion DE.1.0.8.0 --startMP 204:232978 --initTime 2016-12-19T05:14:35 --startdatetime 2016-12-19T05:26:53 --delay 0 --endMP 204:134 --enddatetime 2016-12-19T06:07:01 --enforcementcount 0 &gt;&gt;C:\Users\stu\Documents\GitHub\eaglep3-reporting\EC\2016-12-19-refined-times.txt</v>
      </c>
      <c r="AI20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{"issue":{"subject":"","project_id":79,"tracker_id":40,"status_id":1,"priority_id":2,"assigned_to_id":23,"start_date":"2016-12-19","description":"","custom_fields":[{"id":1,"name":"Subdivision","value":"EC"},{"id":4,"name":"Milepost","value":"0.0134"},{"id":17,"name":"Train ID","value":"108-19"},{"id":16,"name":"Locomotive ID","value":"4021"},{"id":130,"name":"Impact","value":""},{"id":150,"name":"Time of Event (Mountain Time)","value":"06:07:01"},{"id":151,"name":"Denver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579</v>
      </c>
      <c r="B21" s="7">
        <v>4031</v>
      </c>
      <c r="C21" s="22" t="s">
        <v>205</v>
      </c>
      <c r="D21" s="22" t="s">
        <v>775</v>
      </c>
      <c r="E21" s="13">
        <v>42723.19326388889</v>
      </c>
      <c r="F21" s="13">
        <v>42723.198125000003</v>
      </c>
      <c r="G21" s="7">
        <v>2</v>
      </c>
      <c r="H21" s="22" t="s">
        <v>776</v>
      </c>
      <c r="I21" s="13">
        <v>42723.224421296298</v>
      </c>
      <c r="J21" s="7">
        <v>0</v>
      </c>
      <c r="K21" s="109" t="str">
        <f t="shared" si="0"/>
        <v>4031/4032</v>
      </c>
      <c r="L21" s="22" t="str">
        <f>VLOOKUP(A21,'Trips&amp;Operators'!$C$1:$G$99999,5,FALSE)</f>
        <v>SHOOK JOHN</v>
      </c>
      <c r="M21" s="6">
        <f t="shared" si="1"/>
        <v>2.6296296295186039E-2</v>
      </c>
      <c r="N21" s="7">
        <f t="shared" si="2"/>
        <v>37.866666665067896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03:38:18-700',mode:absolute,to:'2016-12-19 06:23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4.8000000000000001E-2</v>
      </c>
      <c r="Z21" s="67">
        <f t="shared" si="9"/>
        <v>23.332100000000001</v>
      </c>
      <c r="AA21" s="67">
        <f t="shared" si="10"/>
        <v>23.284100000000002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0109-19</v>
      </c>
      <c r="AE21" s="91" t="str">
        <f t="shared" si="12"/>
        <v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v>
      </c>
      <c r="AF21" s="88" t="str">
        <f t="shared" si="13"/>
        <v>"C:\Program Files (x86)\AstroGrep\AstroGrep.exe" /spath="%USERPROFILE%\AppData\Local\Temp\OnboardLogs" /stypes="app*4031*20161219*"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109-19 --locoid 4031 --swversion DE.1.0.8.0 --startMP 204:480 --initTime 2016-12-19T04:38:18 --startdatetime 2016-12-19T04:45:18 --delay 2 --endMP 204:233321 --enddatetime 2016-12-19T05:23:10 --enforcementcount 0 &gt;&gt;C:\Users\stu\Documents\GitHub\eaglep3-reporting\EC\2016-12-19-refined-times.txt</v>
      </c>
      <c r="AI21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{"issue":{"subject":"","project_id":79,"tracker_id":40,"status_id":1,"priority_id":2,"assigned_to_id":23,"start_date":"2016-12-19","description":"","custom_fields":[{"id":1,"name":"Subdivision","value":"EC"},{"id":4,"name":"Milepost","value":"23.3321"},{"id":17,"name":"Train ID","value":"109-19"},{"id":16,"name":"Locomotive ID","value":"4031"},{"id":130,"name":"Impact","value":""},{"id":150,"name":"Time of Event (Mountain Time)","value":"05:23:10"},{"id":151,"name":"Denver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587</v>
      </c>
      <c r="B22" s="7">
        <v>4032</v>
      </c>
      <c r="C22" s="22" t="s">
        <v>205</v>
      </c>
      <c r="D22" s="22" t="s">
        <v>298</v>
      </c>
      <c r="E22" s="13">
        <v>42723.233124999999</v>
      </c>
      <c r="F22" s="13">
        <v>42723.237002314818</v>
      </c>
      <c r="G22" s="7">
        <v>1</v>
      </c>
      <c r="H22" s="22" t="s">
        <v>268</v>
      </c>
      <c r="I22" s="13">
        <v>42723.266875000001</v>
      </c>
      <c r="J22" s="7">
        <v>0</v>
      </c>
      <c r="K22" s="109" t="str">
        <f t="shared" si="0"/>
        <v>4031/4032</v>
      </c>
      <c r="L22" s="22" t="str">
        <f>VLOOKUP(A22,'Trips&amp;Operators'!$C$1:$G$99999,5,FALSE)</f>
        <v>SHOOK JOHN</v>
      </c>
      <c r="M22" s="6">
        <f t="shared" si="1"/>
        <v>2.9872685183363501E-2</v>
      </c>
      <c r="N22" s="7">
        <f t="shared" si="2"/>
        <v>43.016666664043441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04:35:42-700',mode:absolute,to:'2016-12-19 07:24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23.3</v>
      </c>
      <c r="Z22" s="67">
        <f t="shared" si="9"/>
        <v>1.61E-2</v>
      </c>
      <c r="AA22" s="67">
        <f t="shared" si="10"/>
        <v>23.283899999999999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0110-19</v>
      </c>
      <c r="AE22" s="91" t="str">
        <f t="shared" si="12"/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AF22" s="88" t="str">
        <f t="shared" si="13"/>
        <v>"C:\Program Files (x86)\AstroGrep\AstroGrep.exe" /spath="%USERPROFILE%\AppData\Local\Temp\OnboardLogs" /stypes="app*4032*20161219*"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110-19 --locoid 4032 --swversion DE.1.0.8.0 --startMP 204:233000 --initTime 2016-12-19T05:35:42 --startdatetime 2016-12-19T05:41:17 --delay 1 --endMP 204:161 --enddatetime 2016-12-19T06:24:18 --enforcementcount 0 &gt;&gt;C:\Users\stu\Documents\GitHub\eaglep3-reporting\EC\2016-12-19-refined-times.txt</v>
      </c>
      <c r="AI22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{"issue":{"subject":"","project_id":79,"tracker_id":40,"status_id":1,"priority_id":2,"assigned_to_id":23,"start_date":"2016-12-19","description":"","custom_fields":[{"id":1,"name":"Subdivision","value":"EC"},{"id":4,"name":"Milepost","value":"0.0161"},{"id":17,"name":"Train ID","value":"110-19"},{"id":16,"name":"Locomotive ID","value":"4032"},{"id":130,"name":"Impact","value":""},{"id":150,"name":"Time of Event (Mountain Time)","value":"06:24:18"},{"id":151,"name":"Denver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580</v>
      </c>
      <c r="B23" s="7">
        <v>4027</v>
      </c>
      <c r="C23" s="22" t="s">
        <v>205</v>
      </c>
      <c r="D23" s="22" t="s">
        <v>502</v>
      </c>
      <c r="E23" s="13">
        <v>42723.20716435185</v>
      </c>
      <c r="F23" s="13">
        <v>42723.209247685183</v>
      </c>
      <c r="G23" s="7">
        <v>2</v>
      </c>
      <c r="H23" s="22" t="s">
        <v>777</v>
      </c>
      <c r="I23" s="13">
        <v>42723.233634259261</v>
      </c>
      <c r="J23" s="7">
        <v>0</v>
      </c>
      <c r="K23" s="109" t="str">
        <f t="shared" si="0"/>
        <v>4027/4028</v>
      </c>
      <c r="L23" s="22" t="str">
        <f>VLOOKUP(A23,'Trips&amp;Operators'!$C$1:$G$99999,5,FALSE)</f>
        <v>SIMMONS SHYHESHA</v>
      </c>
      <c r="M23" s="6">
        <f t="shared" si="1"/>
        <v>2.4386574077652767E-2</v>
      </c>
      <c r="N23" s="7">
        <f t="shared" si="2"/>
        <v>35.116666671819985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03:58:19-700',mode:absolute,to:'2016-12-19 06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7.5700000000000003E-2</v>
      </c>
      <c r="Z23" s="67">
        <f t="shared" si="9"/>
        <v>23.3293</v>
      </c>
      <c r="AA23" s="67">
        <f t="shared" si="10"/>
        <v>23.253599999999999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0111-19</v>
      </c>
      <c r="AE23" s="91" t="str">
        <f t="shared" si="12"/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23" s="88" t="str">
        <f t="shared" si="13"/>
        <v>"C:\Program Files (x86)\AstroGrep\AstroGrep.exe" /spath="%USERPROFILE%\AppData\Local\Temp\OnboardLogs" /stypes="app*4027*20161219*"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111-19 --locoid 4027 --swversion DE.1.0.8.0 --startMP 204:757 --initTime 2016-12-19T04:58:19 --startdatetime 2016-12-19T05:01:19 --delay 2 --endMP 204:233293 --enddatetime 2016-12-19T05:36:26 --enforcementcount 0 &gt;&gt;C:\Users\stu\Documents\GitHub\eaglep3-reporting\EC\2016-12-19-refined-times.txt</v>
      </c>
      <c r="AI23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{"issue":{"subject":"","project_id":79,"tracker_id":40,"status_id":1,"priority_id":2,"assigned_to_id":23,"start_date":"2016-12-19","description":"","custom_fields":[{"id":1,"name":"Subdivision","value":"EC"},{"id":4,"name":"Milepost","value":"23.3293"},{"id":17,"name":"Train ID","value":"111-19"},{"id":16,"name":"Locomotive ID","value":"4027"},{"id":130,"name":"Impact","value":""},{"id":150,"name":"Time of Event (Mountain Time)","value":"05:36:26"},{"id":151,"name":"Denver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588</v>
      </c>
      <c r="B24" s="7">
        <v>4028</v>
      </c>
      <c r="C24" s="22" t="s">
        <v>205</v>
      </c>
      <c r="D24" s="22" t="s">
        <v>447</v>
      </c>
      <c r="E24" s="13">
        <v>42723.235509259262</v>
      </c>
      <c r="F24" s="13">
        <v>42723.247465277775</v>
      </c>
      <c r="G24" s="7">
        <v>1</v>
      </c>
      <c r="H24" s="22" t="s">
        <v>235</v>
      </c>
      <c r="I24" s="13">
        <v>42723.275706018518</v>
      </c>
      <c r="J24" s="7">
        <v>0</v>
      </c>
      <c r="K24" s="109" t="str">
        <f t="shared" si="0"/>
        <v>4027/4028</v>
      </c>
      <c r="L24" s="22" t="str">
        <f>VLOOKUP(A24,'Trips&amp;Operators'!$C$1:$G$99999,5,FALSE)</f>
        <v>SIMMONS SHYHESHA</v>
      </c>
      <c r="M24" s="6">
        <f t="shared" si="1"/>
        <v>2.8240740743058268E-2</v>
      </c>
      <c r="N24" s="7">
        <f t="shared" si="2"/>
        <v>40.666666670003906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04:39:08-700',mode:absolute,to:'2016-12-19 07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23.297799999999999</v>
      </c>
      <c r="Z24" s="67">
        <f t="shared" si="9"/>
        <v>1.4500000000000001E-2</v>
      </c>
      <c r="AA24" s="67">
        <f t="shared" si="10"/>
        <v>23.283299999999997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0112-19</v>
      </c>
      <c r="AE24" s="91" t="str">
        <f t="shared" si="12"/>
        <v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v>
      </c>
      <c r="AF24" s="88" t="str">
        <f t="shared" si="13"/>
        <v>"C:\Program Files (x86)\AstroGrep\AstroGrep.exe" /spath="%USERPROFILE%\AppData\Local\Temp\OnboardLogs" /stypes="app*4028*20161219*"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112-19 --locoid 4028 --swversion DE.1.0.8.0 --startMP 204:232978 --initTime 2016-12-19T05:39:08 --startdatetime 2016-12-19T05:56:21 --delay 1 --endMP 204:145 --enddatetime 2016-12-19T06:37:01 --enforcementcount 0 &gt;&gt;C:\Users\stu\Documents\GitHub\eaglep3-reporting\EC\2016-12-19-refined-times.txt</v>
      </c>
      <c r="AI24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{"issue":{"subject":"","project_id":79,"tracker_id":40,"status_id":1,"priority_id":2,"assigned_to_id":23,"start_date":"2016-12-19","description":"","custom_fields":[{"id":1,"name":"Subdivision","value":"EC"},{"id":4,"name":"Milepost","value":"0.0145"},{"id":17,"name":"Train ID","value":"112-19"},{"id":16,"name":"Locomotive ID","value":"4028"},{"id":130,"name":"Impact","value":""},{"id":150,"name":"Time of Event (Mountain Time)","value":"06:37:01"},{"id":151,"name":"Denver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583</v>
      </c>
      <c r="B25" s="7">
        <v>4011</v>
      </c>
      <c r="C25" s="22" t="s">
        <v>205</v>
      </c>
      <c r="D25" s="22" t="s">
        <v>505</v>
      </c>
      <c r="E25" s="13">
        <v>42723.213553240741</v>
      </c>
      <c r="F25" s="13">
        <v>42723.218946759262</v>
      </c>
      <c r="G25" s="7">
        <v>1</v>
      </c>
      <c r="H25" s="22" t="s">
        <v>778</v>
      </c>
      <c r="I25" s="13">
        <v>42723.245416666665</v>
      </c>
      <c r="J25" s="7">
        <v>0</v>
      </c>
      <c r="K25" s="109" t="str">
        <f t="shared" si="0"/>
        <v>4011/4012</v>
      </c>
      <c r="L25" s="22" t="str">
        <f>VLOOKUP(A25,'Trips&amp;Operators'!$C$1:$G$99999,5,FALSE)</f>
        <v>OUN ZACK</v>
      </c>
      <c r="M25" s="6">
        <f t="shared" si="1"/>
        <v>2.6469907403225079E-2</v>
      </c>
      <c r="N25" s="7">
        <f t="shared" si="2"/>
        <v>38.116666660644114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04:07:31-700',mode:absolute,to:'2016-12-19 06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4.3299999999999998E-2</v>
      </c>
      <c r="Z25" s="67">
        <f t="shared" si="9"/>
        <v>23.31</v>
      </c>
      <c r="AA25" s="67">
        <f t="shared" si="10"/>
        <v>23.2667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0113-19</v>
      </c>
      <c r="AE25" s="91" t="str">
        <f t="shared" si="12"/>
        <v>aws s3 cp s3://rtdc.mdm.uploadarchive.raw/RTDC4011/ "%USERPROFILE%\AppData\Local\Temp\OnboardLogs"\RTDC4011\2016-12-19 --exclude "*" --recursive --include "*20161219*" &amp; "%USERPROFILE%\Documents\GitHub\mrs-test-scripts\Headless Mode &amp; Sideloading\WalkAndUnGZ.bat" "%USERPROFILE%\AppData\Local\Temp\OnboardLogs"\RTDC4011\2016-12-19 &amp; aws s3 cp s3://rtdc.mdm.uploadarchive.raw/RTDC4011/ "%USERPROFILE%\AppData\Local\Temp\OnboardLogs"\RTDC4011\2016-12-20 --exclude "*" --recursive --include "*20161220*" &amp; "%USERPROFILE%\Documents\GitHub\mrs-test-scripts\Headless Mode &amp; Sideloading\WalkAndUnGZ.bat" "%USERPROFILE%\AppData\Local\Temp\OnboardLogs"\RTDC4011\2016-12-20</v>
      </c>
      <c r="AF25" s="88" t="str">
        <f t="shared" si="13"/>
        <v>"C:\Program Files (x86)\AstroGrep\AstroGrep.exe" /spath="%USERPROFILE%\AppData\Local\Temp\OnboardLogs" /stypes="app*4011*20161219*"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113-19 --locoid 4011 --swversion DE.1.0.8.0 --startMP 204:433 --initTime 2016-12-19T05:07:31 --startdatetime 2016-12-19T05:15:17 --delay 1 --endMP 204:233100 --enddatetime 2016-12-19T05:53:24 --enforcementcount 0 &gt;&gt;C:\Users\stu\Documents\GitHub\eaglep3-reporting\EC\2016-12-19-refined-times.txt</v>
      </c>
      <c r="AI25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{"issue":{"subject":"","project_id":79,"tracker_id":40,"status_id":1,"priority_id":2,"assigned_to_id":23,"start_date":"2016-12-19","description":"","custom_fields":[{"id":1,"name":"Subdivision","value":"EC"},{"id":4,"name":"Milepost","value":"23.31"},{"id":17,"name":"Train ID","value":"113-19"},{"id":16,"name":"Locomotive ID","value":"4011"},{"id":130,"name":"Impact","value":""},{"id":150,"name":"Time of Event (Mountain Time)","value":"05:53:24"},{"id":151,"name":"Denver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596</v>
      </c>
      <c r="B26" s="7">
        <v>4012</v>
      </c>
      <c r="C26" s="22" t="s">
        <v>205</v>
      </c>
      <c r="D26" s="22" t="s">
        <v>779</v>
      </c>
      <c r="E26" s="13">
        <v>42723.253333333334</v>
      </c>
      <c r="F26" s="13">
        <v>42723.257824074077</v>
      </c>
      <c r="G26" s="7">
        <v>1</v>
      </c>
      <c r="H26" s="22" t="s">
        <v>509</v>
      </c>
      <c r="I26" s="13">
        <v>42723.287523148145</v>
      </c>
      <c r="J26" s="7">
        <v>0</v>
      </c>
      <c r="K26" s="109" t="str">
        <f t="shared" si="0"/>
        <v>4011/4012</v>
      </c>
      <c r="L26" s="22" t="str">
        <f>VLOOKUP(A26,'Trips&amp;Operators'!$C$1:$G$99999,5,FALSE)</f>
        <v>OUN ZACK</v>
      </c>
      <c r="M26" s="6">
        <f t="shared" si="1"/>
        <v>2.9699074068048503E-2</v>
      </c>
      <c r="N26" s="7">
        <f t="shared" si="2"/>
        <v>42.766666657989845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05:04:48-700',mode:absolute,to:'2016-12-19 07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23.278500000000001</v>
      </c>
      <c r="Z26" s="67">
        <f t="shared" si="9"/>
        <v>1.72E-2</v>
      </c>
      <c r="AA26" s="67">
        <f t="shared" si="10"/>
        <v>23.261300000000002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0114-19</v>
      </c>
      <c r="AE26" s="91" t="str">
        <f t="shared" si="12"/>
        <v>aws s3 cp s3://rtdc.mdm.uploadarchive.raw/RTDC4012/ "%USERPROFILE%\AppData\Local\Temp\OnboardLogs"\RTDC4012\2016-12-19 --exclude "*" --recursive --include "*20161219*" &amp; "%USERPROFILE%\Documents\GitHub\mrs-test-scripts\Headless Mode &amp; Sideloading\WalkAndUnGZ.bat" "%USERPROFILE%\AppData\Local\Temp\OnboardLogs"\RTDC4012\2016-12-19 &amp; 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</v>
      </c>
      <c r="AF26" s="88" t="str">
        <f t="shared" si="13"/>
        <v>"C:\Program Files (x86)\AstroGrep\AstroGrep.exe" /spath="%USERPROFILE%\AppData\Local\Temp\OnboardLogs" /stypes="app*4012*20161219*"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114-19 --locoid 4012 --swversion DE.1.0.8.0 --startMP 204:232785 --initTime 2016-12-19T06:04:48 --startdatetime 2016-12-19T06:11:16 --delay 1 --endMP 204:172 --enddatetime 2016-12-19T06:54:02 --enforcementcount 0 &gt;&gt;C:\Users\stu\Documents\GitHub\eaglep3-reporting\EC\2016-12-19-refined-times.txt</v>
      </c>
      <c r="AI26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{"issue":{"subject":"","project_id":79,"tracker_id":40,"status_id":1,"priority_id":2,"assigned_to_id":23,"start_date":"2016-12-19","description":"","custom_fields":[{"id":1,"name":"Subdivision","value":"EC"},{"id":4,"name":"Milepost","value":"0.0172"},{"id":17,"name":"Train ID","value":"114-19"},{"id":16,"name":"Locomotive ID","value":"4012"},{"id":130,"name":"Impact","value":""},{"id":150,"name":"Time of Event (Mountain Time)","value":"06:54:02"},{"id":151,"name":"Denver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533</v>
      </c>
      <c r="B27" s="7">
        <v>4009</v>
      </c>
      <c r="C27" s="22" t="s">
        <v>205</v>
      </c>
      <c r="D27" s="22" t="s">
        <v>780</v>
      </c>
      <c r="E27" s="13">
        <v>42723.249432870369</v>
      </c>
      <c r="F27" s="13">
        <v>42723.250104166669</v>
      </c>
      <c r="G27" s="7">
        <v>0</v>
      </c>
      <c r="H27" s="22" t="s">
        <v>781</v>
      </c>
      <c r="I27" s="13">
        <v>42723.257673611108</v>
      </c>
      <c r="J27" s="7">
        <v>0</v>
      </c>
      <c r="K27" s="109" t="str">
        <f t="shared" si="0"/>
        <v>4009/4010</v>
      </c>
      <c r="L27" s="22" t="str">
        <f>VLOOKUP(A27,'Trips&amp;Operators'!$C$1:$G$99999,5,FALSE)</f>
        <v>ROBINSON KADDIBA</v>
      </c>
      <c r="M27" s="6">
        <f t="shared" si="1"/>
        <v>7.5694444385590032E-3</v>
      </c>
      <c r="N27" s="7"/>
      <c r="O27" s="7"/>
      <c r="P27" s="7">
        <f>24*60*SUM($M27:$M28)</f>
        <v>11.366666662506759</v>
      </c>
      <c r="Q27" s="23"/>
      <c r="R27" s="23" t="s">
        <v>976</v>
      </c>
      <c r="S27" s="35">
        <f>SUM(U27:U28)/IF(AG27="EC",12,1)</f>
        <v>0.75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04:59:11-700',mode:absolute,to:'2016-12-19 07:11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7" s="52" t="str">
        <f t="shared" si="6"/>
        <v>Y</v>
      </c>
      <c r="X27" s="177">
        <f t="shared" si="7"/>
        <v>1</v>
      </c>
      <c r="Y27" s="67">
        <f t="shared" si="8"/>
        <v>15.4421</v>
      </c>
      <c r="Z27" s="67">
        <f t="shared" si="9"/>
        <v>23.328800000000001</v>
      </c>
      <c r="AA27" s="67">
        <f t="shared" si="10"/>
        <v>7.8867000000000012</v>
      </c>
      <c r="AB27" s="64" t="str">
        <f>VLOOKUP(A27,Enforcements!$C$7:$K$19,8,0)</f>
        <v>Signal based authority (5)</v>
      </c>
      <c r="AC27" s="60" t="str">
        <f>VLOOKUP(A27,Enforcements!$C$7:$E$19,3,0)</f>
        <v>SIGNAL</v>
      </c>
      <c r="AD27" s="61" t="str">
        <f t="shared" si="11"/>
        <v>0115-19</v>
      </c>
      <c r="AE27" s="91" t="str">
        <f t="shared" si="12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27" s="88" t="str">
        <f t="shared" si="13"/>
        <v>"C:\Program Files (x86)\AstroGrep\AstroGrep.exe" /spath="%USERPROFILE%\AppData\Local\Temp\OnboardLogs" /stypes="app*4009*20161219*"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115-19 --locoid 4009 --swversion DE.1.0.8.0 --startMP 204:154421 --initTime 2016-12-19T05:59:11 --startdatetime 2016-12-19T06:00:09 --delay 0 --endMP 204:233288 --enddatetime 2016-12-19T06:11:03 --enforcementcount 0 &gt;&gt;C:\Users\stu\Documents\GitHub\eaglep3-reporting\EC\2016-12-19-refined-times.txt</v>
      </c>
      <c r="AI27" s="119" t="str">
        <f t="shared" si="18"/>
        <v>echo {"issue":{"subject":"Wi-MAX data drop","project_id":79,"tracker_id":40,"status_id":1,"priority_id":2,"assigned_to_id":23,"start_date":"2016-12-19","description":"http://stevetu21.github.io/eaglep3/load_kml.html?kml=http://rtdc.gmaps-snips.s3.amazonaws.com/d3d6bc3f-63dc-472c-887a-1ad3124dd1d5.kml","custom_fields":[{"id":1,"name":"Subdivision","value":"EC"},{"id":4,"name":"Milepost","value":"23.3288"},{"id":17,"name":"Train ID","value":"115-19"},{"id":16,"name":"Locomotive ID","value":"4009"},{"id":130,"name":"Impact","value":"Enforcement"},{"id":150,"name":"Time of Event (Mountain Time)","value":"06:11:03"},{"id":151,"name":"Denver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27" s="178" t="s">
        <v>971</v>
      </c>
      <c r="AK27" s="53" t="s">
        <v>125</v>
      </c>
      <c r="AL27" s="53" t="s">
        <v>138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533</v>
      </c>
      <c r="B28" s="7">
        <v>4009</v>
      </c>
      <c r="C28" s="22" t="s">
        <v>205</v>
      </c>
      <c r="D28" s="22" t="s">
        <v>501</v>
      </c>
      <c r="E28" s="13">
        <v>42723.229409722226</v>
      </c>
      <c r="F28" s="13">
        <v>42723.230636574073</v>
      </c>
      <c r="G28" s="7">
        <v>1</v>
      </c>
      <c r="H28" s="22" t="s">
        <v>522</v>
      </c>
      <c r="I28" s="13">
        <v>42723.23096064815</v>
      </c>
      <c r="J28" s="7">
        <v>0</v>
      </c>
      <c r="K28" s="109" t="str">
        <f t="shared" si="0"/>
        <v>4009/4010</v>
      </c>
      <c r="L28" s="22" t="str">
        <f>VLOOKUP(A28,'Trips&amp;Operators'!$C$1:$G$99999,5,FALSE)</f>
        <v>ROBINSON KADDIBA</v>
      </c>
      <c r="M28" s="6">
        <f t="shared" si="1"/>
        <v>3.2407407707069069E-4</v>
      </c>
      <c r="N28" s="7"/>
      <c r="O28" s="7"/>
      <c r="P28" s="7"/>
      <c r="Q28" s="23"/>
      <c r="R28" s="23"/>
      <c r="S28" s="35"/>
      <c r="T28" s="50" t="str">
        <f t="shared" si="4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9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04:30:21-700',mode:absolute,to:'2016-12-19 06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8" s="52" t="str">
        <f t="shared" si="6"/>
        <v>Y</v>
      </c>
      <c r="X28" s="177">
        <f t="shared" si="7"/>
        <v>0</v>
      </c>
      <c r="Y28" s="67">
        <f t="shared" si="8"/>
        <v>7.6999999999999999E-2</v>
      </c>
      <c r="Z28" s="67">
        <v>6.39</v>
      </c>
      <c r="AA28" s="67">
        <f t="shared" si="10"/>
        <v>6.3129999999999997</v>
      </c>
      <c r="AB28" s="64" t="str">
        <f>VLOOKUP(A28,Enforcements!$C$7:$K$19,8,0)</f>
        <v>Signal based authority (5)</v>
      </c>
      <c r="AC28" s="60" t="str">
        <f>VLOOKUP(A28,Enforcements!$C$7:$E$19,3,0)</f>
        <v>SIGNAL</v>
      </c>
      <c r="AD28" s="61" t="str">
        <f t="shared" si="11"/>
        <v>0115-19</v>
      </c>
      <c r="AE28" s="91" t="str">
        <f t="shared" si="12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28" s="88" t="str">
        <f t="shared" si="13"/>
        <v>"C:\Program Files (x86)\AstroGrep\AstroGrep.exe" /spath="%USERPROFILE%\AppData\Local\Temp\OnboardLogs" /stypes="app*4009*20161219*" /stext=" 12:.+((SYSTEM_STATE.+slice.+state.+changed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115-19 --locoid 4009 --swversion DE.1.0.8.0 --startMP 204:770 --initTime 2016-12-19T05:30:21 --startdatetime 2016-12-19T05:32:07 --delay 1 --endMP 204:945 --enddatetime 2016-12-19T05:32:35 --enforcementcount 0 &gt;&gt;C:\Users\stu\Documents\GitHub\eaglep3-reporting\EC\2016-12-19-refined-times.txt</v>
      </c>
      <c r="AI28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{"issue":{"subject":"","project_id":79,"tracker_id":40,"status_id":1,"priority_id":2,"assigned_to_id":23,"start_date":"2016-12-19","description":"","custom_fields":[{"id":1,"name":"Subdivision","value":"EC"},{"id":4,"name":"Milepost","value":"6.39"},{"id":17,"name":"Train ID","value":"115-19"},{"id":16,"name":"Locomotive ID","value":"4009"},{"id":130,"name":"Impact","value":""},{"id":150,"name":"Time of Event (Mountain Time)","value":"05:32:35"},{"id":151,"name":"Denver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598</v>
      </c>
      <c r="B29" s="7">
        <v>4010</v>
      </c>
      <c r="C29" s="22" t="s">
        <v>205</v>
      </c>
      <c r="D29" s="22" t="s">
        <v>782</v>
      </c>
      <c r="E29" s="13">
        <v>42723.259756944448</v>
      </c>
      <c r="F29" s="13">
        <v>42723.268240740741</v>
      </c>
      <c r="G29" s="7">
        <v>1</v>
      </c>
      <c r="H29" s="22" t="s">
        <v>224</v>
      </c>
      <c r="I29" s="13">
        <v>42723.294988425929</v>
      </c>
      <c r="J29" s="7">
        <v>0</v>
      </c>
      <c r="K29" s="109" t="str">
        <f t="shared" si="0"/>
        <v>4009/4010</v>
      </c>
      <c r="L29" s="22" t="str">
        <f>VLOOKUP(A29,'Trips&amp;Operators'!$C$1:$G$99999,5,FALSE)</f>
        <v>ROBINSON KADDIBA</v>
      </c>
      <c r="M29" s="6">
        <f t="shared" si="1"/>
        <v>2.6747685187729076E-2</v>
      </c>
      <c r="N29" s="7">
        <f t="shared" si="2"/>
        <v>38.516666670329869</v>
      </c>
      <c r="O29" s="7"/>
      <c r="P29" s="7"/>
      <c r="Q29" s="23"/>
      <c r="R29" s="23"/>
      <c r="S29" s="35">
        <f t="shared" si="3"/>
        <v>1</v>
      </c>
      <c r="T29" s="50" t="str">
        <f t="shared" si="4"/>
        <v>Southbound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05:14:03-700',mode:absolute,to:'2016-12-19 08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23.2959</v>
      </c>
      <c r="Z29" s="67">
        <f t="shared" si="9"/>
        <v>1.54E-2</v>
      </c>
      <c r="AA29" s="67">
        <f t="shared" si="10"/>
        <v>23.2805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0116-19</v>
      </c>
      <c r="AE29" s="91" t="str">
        <f t="shared" si="12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29" s="88" t="str">
        <f t="shared" si="13"/>
        <v>"C:\Program Files (x86)\AstroGrep\AstroGrep.exe" /spath="%USERPROFILE%\AppData\Local\Temp\OnboardLogs" /stypes="app*4010*20161219*"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116-19 --locoid 4010 --swversion DE.1.0.8.0 --startMP 204:232959 --initTime 2016-12-19T06:14:03 --startdatetime 2016-12-19T06:26:16 --delay 1 --endMP 204:154 --enddatetime 2016-12-19T07:04:47 --enforcementcount 0 &gt;&gt;C:\Users\stu\Documents\GitHub\eaglep3-reporting\EC\2016-12-19-refined-times.txt</v>
      </c>
      <c r="AI29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{"issue":{"subject":"","project_id":79,"tracker_id":40,"status_id":1,"priority_id":2,"assigned_to_id":23,"start_date":"2016-12-19","description":"","custom_fields":[{"id":1,"name":"Subdivision","value":"EC"},{"id":4,"name":"Milepost","value":"0.0154"},{"id":17,"name":"Train ID","value":"116-19"},{"id":16,"name":"Locomotive ID","value":"4010"},{"id":130,"name":"Impact","value":""},{"id":150,"name":"Time of Event (Mountain Time)","value":"07:04:47"},{"id":151,"name":"Denver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586</v>
      </c>
      <c r="B30" s="7">
        <v>4020</v>
      </c>
      <c r="C30" s="22" t="s">
        <v>205</v>
      </c>
      <c r="D30" s="22" t="s">
        <v>440</v>
      </c>
      <c r="E30" s="13">
        <v>42723.232025462959</v>
      </c>
      <c r="F30" s="13">
        <v>42723.239803240744</v>
      </c>
      <c r="G30" s="7">
        <v>1</v>
      </c>
      <c r="H30" s="22" t="s">
        <v>305</v>
      </c>
      <c r="I30" s="13">
        <v>42723.264652777776</v>
      </c>
      <c r="J30" s="7">
        <v>0</v>
      </c>
      <c r="K30" s="109" t="str">
        <f t="shared" si="0"/>
        <v>4019/4020</v>
      </c>
      <c r="L30" s="22" t="str">
        <f>VLOOKUP(A30,'Trips&amp;Operators'!$C$1:$G$99999,5,FALSE)</f>
        <v>MAGEE KENYA</v>
      </c>
      <c r="M30" s="6">
        <f t="shared" si="1"/>
        <v>2.4849537032423541E-2</v>
      </c>
      <c r="N30" s="7">
        <f t="shared" si="2"/>
        <v>35.783333326689899</v>
      </c>
      <c r="O30" s="7"/>
      <c r="P30" s="7"/>
      <c r="Q30" s="23"/>
      <c r="R30" s="23"/>
      <c r="S30" s="35">
        <f t="shared" si="3"/>
        <v>1</v>
      </c>
      <c r="T30" s="50" t="str">
        <f t="shared" si="4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04:34:07-700',mode:absolute,to:'2016-12-19 07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4.4200000000000003E-2</v>
      </c>
      <c r="Z30" s="67">
        <f t="shared" si="9"/>
        <v>23.329799999999999</v>
      </c>
      <c r="AA30" s="67">
        <f t="shared" si="10"/>
        <v>23.285599999999999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0117-19</v>
      </c>
      <c r="AE30" s="91" t="str">
        <f t="shared" si="12"/>
        <v>aws s3 cp s3://rtdc.mdm.uploadarchive.raw/RTDC4020/ "%USERPROFILE%\AppData\Local\Temp\OnboardLogs"\RTDC4020\2016-12-19 --exclude "*" --recursive --include "*20161219*" &amp; "%USERPROFILE%\Documents\GitHub\mrs-test-scripts\Headless Mode &amp; Sideloading\WalkAndUnGZ.bat" "%USERPROFILE%\AppData\Local\Temp\OnboardLogs"\RTDC4020\2016-12-19 &amp; 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</v>
      </c>
      <c r="AF30" s="88" t="str">
        <f t="shared" si="13"/>
        <v>"C:\Program Files (x86)\AstroGrep\AstroGrep.exe" /spath="%USERPROFILE%\AppData\Local\Temp\OnboardLogs" /stypes="app*4020*20161219*"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117-19 --locoid 4020 --swversion DE.1.0.8.0 --startMP 204:442 --initTime 2016-12-19T05:34:07 --startdatetime 2016-12-19T05:45:19 --delay 1 --endMP 204:233298 --enddatetime 2016-12-19T06:21:06 --enforcementcount 0 &gt;&gt;C:\Users\stu\Documents\GitHub\eaglep3-reporting\EC\2016-12-19-refined-times.txt</v>
      </c>
      <c r="AI30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{"issue":{"subject":"","project_id":79,"tracker_id":40,"status_id":1,"priority_id":2,"assigned_to_id":23,"start_date":"2016-12-19","description":"","custom_fields":[{"id":1,"name":"Subdivision","value":"EC"},{"id":4,"name":"Milepost","value":"23.3298"},{"id":17,"name":"Train ID","value":"117-19"},{"id":16,"name":"Locomotive ID","value":"4020"},{"id":130,"name":"Impact","value":""},{"id":150,"name":"Time of Event (Mountain Time)","value":"06:21:06"},{"id":151,"name":"Denver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601</v>
      </c>
      <c r="B31" s="7">
        <v>4019</v>
      </c>
      <c r="C31" s="22" t="s">
        <v>205</v>
      </c>
      <c r="D31" s="22" t="s">
        <v>783</v>
      </c>
      <c r="E31" s="13">
        <v>42723.275289351855</v>
      </c>
      <c r="F31" s="13">
        <v>42723.278680555559</v>
      </c>
      <c r="G31" s="7">
        <v>1</v>
      </c>
      <c r="H31" s="22" t="s">
        <v>262</v>
      </c>
      <c r="I31" s="13">
        <v>42723.306956018518</v>
      </c>
      <c r="J31" s="7">
        <v>0</v>
      </c>
      <c r="K31" s="109" t="str">
        <f t="shared" si="0"/>
        <v>4019/4020</v>
      </c>
      <c r="L31" s="22" t="str">
        <f>VLOOKUP(A31,'Trips&amp;Operators'!$C$1:$G$99999,5,FALSE)</f>
        <v>MAGEE KENYA</v>
      </c>
      <c r="M31" s="6">
        <f t="shared" si="1"/>
        <v>2.827546295884531E-2</v>
      </c>
      <c r="N31" s="7">
        <f t="shared" si="2"/>
        <v>40.716666660737246</v>
      </c>
      <c r="O31" s="7"/>
      <c r="P31" s="7"/>
      <c r="Q31" s="23"/>
      <c r="R31" s="23"/>
      <c r="S31" s="35">
        <f t="shared" si="3"/>
        <v>1</v>
      </c>
      <c r="T31" s="50" t="str">
        <f t="shared" si="4"/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05:36:25-700',mode:absolute,to:'2016-12-19 08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23.299099999999999</v>
      </c>
      <c r="Z31" s="67">
        <f t="shared" si="9"/>
        <v>1.47E-2</v>
      </c>
      <c r="AA31" s="67">
        <f t="shared" si="10"/>
        <v>23.284399999999998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0118-19</v>
      </c>
      <c r="AE31" s="91" t="str">
        <f t="shared" si="12"/>
        <v>aws s3 cp s3://rtdc.mdm.uploadarchive.raw/RTDC4019/ "%USERPROFILE%\AppData\Local\Temp\OnboardLogs"\RTDC4019\2016-12-19 --exclude "*" --recursive --include "*20161219*" &amp; "%USERPROFILE%\Documents\GitHub\mrs-test-scripts\Headless Mode &amp; Sideloading\WalkAndUnGZ.bat" "%USERPROFILE%\AppData\Local\Temp\OnboardLogs"\RTDC4019\2016-12-19 &amp; 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</v>
      </c>
      <c r="AF31" s="88" t="str">
        <f t="shared" si="13"/>
        <v>"C:\Program Files (x86)\AstroGrep\AstroGrep.exe" /spath="%USERPROFILE%\AppData\Local\Temp\OnboardLogs" /stypes="app*4019*20161219*" /stext=" 14:.+((SYSTEM_STATE.+slice.+state.+changed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118-19 --locoid 4019 --swversion DE.1.0.8.0 --startMP 204:232991 --initTime 2016-12-19T06:36:25 --startdatetime 2016-12-19T06:41:18 --delay 1 --endMP 204:147 --enddatetime 2016-12-19T07:22:01 --enforcementcount 0 &gt;&gt;C:\Users\stu\Documents\GitHub\eaglep3-reporting\EC\2016-12-19-refined-times.txt</v>
      </c>
      <c r="AI31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{"issue":{"subject":"","project_id":79,"tracker_id":40,"status_id":1,"priority_id":2,"assigned_to_id":23,"start_date":"2016-12-19","description":"","custom_fields":[{"id":1,"name":"Subdivision","value":"EC"},{"id":4,"name":"Milepost","value":"0.0147"},{"id":17,"name":"Train ID","value":"118-19"},{"id":16,"name":"Locomotive ID","value":"4019"},{"id":130,"name":"Impact","value":""},{"id":150,"name":"Time of Event (Mountain Time)","value":"07:22:01"},{"id":151,"name":"Denver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590</v>
      </c>
      <c r="B32" s="7">
        <v>4018</v>
      </c>
      <c r="C32" s="22" t="s">
        <v>205</v>
      </c>
      <c r="D32" s="22" t="s">
        <v>505</v>
      </c>
      <c r="E32" s="13">
        <v>42723.248379629629</v>
      </c>
      <c r="F32" s="13">
        <v>42723.250254629631</v>
      </c>
      <c r="G32" s="7">
        <v>1</v>
      </c>
      <c r="H32" s="22" t="s">
        <v>784</v>
      </c>
      <c r="I32" s="13">
        <v>42723.274351851855</v>
      </c>
      <c r="J32" s="7">
        <v>0</v>
      </c>
      <c r="K32" s="109" t="str">
        <f t="shared" si="0"/>
        <v>4017/4018</v>
      </c>
      <c r="L32" s="22" t="str">
        <f>VLOOKUP(A32,'Trips&amp;Operators'!$C$1:$G$99999,5,FALSE)</f>
        <v>YANAI IAN</v>
      </c>
      <c r="M32" s="6">
        <f t="shared" si="1"/>
        <v>2.4097222223645076E-2</v>
      </c>
      <c r="N32" s="7">
        <f t="shared" si="2"/>
        <v>34.70000000204891</v>
      </c>
      <c r="O32" s="7"/>
      <c r="P32" s="7"/>
      <c r="Q32" s="23"/>
      <c r="R32" s="23"/>
      <c r="S32" s="35">
        <f t="shared" si="3"/>
        <v>1</v>
      </c>
      <c r="T32" s="50" t="str">
        <f t="shared" si="4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04:57:40-700',mode:absolute,to:'2016-12-19 07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4.3299999999999998E-2</v>
      </c>
      <c r="Z32" s="67">
        <f t="shared" si="9"/>
        <v>23.331099999999999</v>
      </c>
      <c r="AA32" s="67">
        <f t="shared" si="10"/>
        <v>23.287800000000001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0119-19</v>
      </c>
      <c r="AE32" s="91" t="str">
        <f t="shared" si="12"/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AF32" s="88" t="str">
        <f t="shared" si="13"/>
        <v>"C:\Program Files (x86)\AstroGrep\AstroGrep.exe" /spath="%USERPROFILE%\AppData\Local\Temp\OnboardLogs" /stypes="app*4018*20161219*"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119-19 --locoid 4018 --swversion DE.1.0.8.0 --startMP 204:433 --initTime 2016-12-19T05:57:40 --startdatetime 2016-12-19T06:00:22 --delay 1 --endMP 204:233311 --enddatetime 2016-12-19T06:35:04 --enforcementcount 0 &gt;&gt;C:\Users\stu\Documents\GitHub\eaglep3-reporting\EC\2016-12-19-refined-times.txt</v>
      </c>
      <c r="AI32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{"issue":{"subject":"","project_id":79,"tracker_id":40,"status_id":1,"priority_id":2,"assigned_to_id":23,"start_date":"2016-12-19","description":"","custom_fields":[{"id":1,"name":"Subdivision","value":"EC"},{"id":4,"name":"Milepost","value":"23.3311"},{"id":17,"name":"Train ID","value":"119-19"},{"id":16,"name":"Locomotive ID","value":"4018"},{"id":130,"name":"Impact","value":""},{"id":150,"name":"Time of Event (Mountain Time)","value":"06:35:04"},{"id":151,"name":"Denver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602</v>
      </c>
      <c r="B33" s="7">
        <v>4017</v>
      </c>
      <c r="C33" s="22" t="s">
        <v>205</v>
      </c>
      <c r="D33" s="22" t="s">
        <v>258</v>
      </c>
      <c r="E33" s="13">
        <v>42723.276192129626</v>
      </c>
      <c r="F33" s="13">
        <v>42723.289050925923</v>
      </c>
      <c r="G33" s="7">
        <v>1</v>
      </c>
      <c r="H33" s="22" t="s">
        <v>192</v>
      </c>
      <c r="I33" s="13">
        <v>42723.316018518519</v>
      </c>
      <c r="J33" s="7">
        <v>0</v>
      </c>
      <c r="K33" s="109" t="str">
        <f t="shared" si="0"/>
        <v>4017/4018</v>
      </c>
      <c r="L33" s="22" t="str">
        <f>VLOOKUP(A33,'Trips&amp;Operators'!$C$1:$G$99999,5,FALSE)</f>
        <v>YANAI IAN</v>
      </c>
      <c r="M33" s="6">
        <f t="shared" si="1"/>
        <v>2.6967592595610768E-2</v>
      </c>
      <c r="N33" s="7">
        <f t="shared" si="2"/>
        <v>38.833333337679505</v>
      </c>
      <c r="O33" s="7"/>
      <c r="P33" s="7"/>
      <c r="Q33" s="23"/>
      <c r="R33" s="23"/>
      <c r="S33" s="35">
        <f t="shared" si="3"/>
        <v>1</v>
      </c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05:37:43-700',mode:absolute,to:'2016-12-19 08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23.299399999999999</v>
      </c>
      <c r="Z33" s="67">
        <f t="shared" si="9"/>
        <v>1.43E-2</v>
      </c>
      <c r="AA33" s="67">
        <f t="shared" si="10"/>
        <v>23.2851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0120-19</v>
      </c>
      <c r="AE33" s="91" t="str">
        <f t="shared" si="12"/>
        <v>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 &amp; 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</v>
      </c>
      <c r="AF33" s="88" t="str">
        <f t="shared" si="13"/>
        <v>"C:\Program Files (x86)\AstroGrep\AstroGrep.exe" /spath="%USERPROFILE%\AppData\Local\Temp\OnboardLogs" /stypes="app*4017*20161219*"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120-19 --locoid 4017 --swversion DE.1.0.8.0 --startMP 204:232994 --initTime 2016-12-19T06:37:43 --startdatetime 2016-12-19T06:56:14 --delay 1 --endMP 204:143 --enddatetime 2016-12-19T07:35:04 --enforcementcount 0 &gt;&gt;C:\Users\stu\Documents\GitHub\eaglep3-reporting\EC\2016-12-19-refined-times.txt</v>
      </c>
      <c r="AI33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{"issue":{"subject":"","project_id":79,"tracker_id":40,"status_id":1,"priority_id":2,"assigned_to_id":23,"start_date":"2016-12-19","description":"","custom_fields":[{"id":1,"name":"Subdivision","value":"EC"},{"id":4,"name":"Milepost","value":"0.0143"},{"id":17,"name":"Train ID","value":"120-19"},{"id":16,"name":"Locomotive ID","value":"4017"},{"id":130,"name":"Impact","value":""},{"id":150,"name":"Time of Event (Mountain Time)","value":"07:35:04"},{"id":151,"name":"Denver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597</v>
      </c>
      <c r="B34" s="7">
        <v>4022</v>
      </c>
      <c r="C34" s="22" t="s">
        <v>205</v>
      </c>
      <c r="D34" s="22" t="s">
        <v>228</v>
      </c>
      <c r="E34" s="13">
        <v>42723.255937499998</v>
      </c>
      <c r="F34" s="13">
        <v>42723.260983796295</v>
      </c>
      <c r="G34" s="7">
        <v>1</v>
      </c>
      <c r="H34" s="22" t="s">
        <v>785</v>
      </c>
      <c r="I34" s="13">
        <v>42723.287129629629</v>
      </c>
      <c r="J34" s="7">
        <v>0</v>
      </c>
      <c r="K34" s="109" t="str">
        <f t="shared" si="0"/>
        <v>4021/4022</v>
      </c>
      <c r="L34" s="22" t="str">
        <f>VLOOKUP(A34,'Trips&amp;Operators'!$C$1:$G$99999,5,FALSE)</f>
        <v>DAVIDSON DAVID</v>
      </c>
      <c r="M34" s="6">
        <f t="shared" si="1"/>
        <v>2.6145833333430346E-2</v>
      </c>
      <c r="N34" s="7">
        <f t="shared" si="2"/>
        <v>37.650000000139698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05:08:33-700',mode:absolute,to:'2016-12-19 07:53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4.5499999999999999E-2</v>
      </c>
      <c r="Z34" s="67">
        <f t="shared" si="9"/>
        <v>23.33</v>
      </c>
      <c r="AA34" s="67">
        <f t="shared" si="10"/>
        <v>23.284499999999998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0121-19</v>
      </c>
      <c r="AE34" s="91" t="str">
        <f t="shared" si="12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34" s="88" t="str">
        <f t="shared" si="13"/>
        <v>"C:\Program Files (x86)\AstroGrep\AstroGrep.exe" /spath="%USERPROFILE%\AppData\Local\Temp\OnboardLogs" /stypes="app*4022*20161219*"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121-19 --locoid 4022 --swversion DE.1.0.8.0 --startMP 204:455 --initTime 2016-12-19T06:08:33 --startdatetime 2016-12-19T06:15:49 --delay 1 --endMP 204:233300 --enddatetime 2016-12-19T06:53:28 --enforcementcount 0 &gt;&gt;C:\Users\stu\Documents\GitHub\eaglep3-reporting\EC\2016-12-19-refined-times.txt</v>
      </c>
      <c r="AI34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{"issue":{"subject":"","project_id":79,"tracker_id":40,"status_id":1,"priority_id":2,"assigned_to_id":23,"start_date":"2016-12-19","description":"","custom_fields":[{"id":1,"name":"Subdivision","value":"EC"},{"id":4,"name":"Milepost","value":"23.33"},{"id":17,"name":"Train ID","value":"121-19"},{"id":16,"name":"Locomotive ID","value":"4022"},{"id":130,"name":"Impact","value":""},{"id":150,"name":"Time of Event (Mountain Time)","value":"06:53:28"},{"id":151,"name":"Denver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606</v>
      </c>
      <c r="B35" s="7">
        <v>4021</v>
      </c>
      <c r="C35" s="22" t="s">
        <v>205</v>
      </c>
      <c r="D35" s="22" t="s">
        <v>783</v>
      </c>
      <c r="E35" s="13">
        <v>42723.295266203706</v>
      </c>
      <c r="F35" s="13">
        <v>42723.29954861111</v>
      </c>
      <c r="G35" s="7">
        <v>1</v>
      </c>
      <c r="H35" s="22" t="s">
        <v>283</v>
      </c>
      <c r="I35" s="13">
        <v>42723.327291666668</v>
      </c>
      <c r="J35" s="7">
        <v>0</v>
      </c>
      <c r="K35" s="109" t="str">
        <f t="shared" si="0"/>
        <v>4021/4022</v>
      </c>
      <c r="L35" s="22" t="str">
        <f>VLOOKUP(A35,'Trips&amp;Operators'!$C$1:$G$99999,5,FALSE)</f>
        <v>DAVIDSON DAVID</v>
      </c>
      <c r="M35" s="6">
        <f t="shared" si="1"/>
        <v>2.7743055557948537E-2</v>
      </c>
      <c r="N35" s="7">
        <f t="shared" si="2"/>
        <v>39.950000003445894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06:05:11-700',mode:absolute,to:'2016-12-19 08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23.299099999999999</v>
      </c>
      <c r="Z35" s="67">
        <f t="shared" si="9"/>
        <v>1.38E-2</v>
      </c>
      <c r="AA35" s="67">
        <f t="shared" si="10"/>
        <v>23.285299999999999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0122-19</v>
      </c>
      <c r="AE35" s="91" t="str">
        <f t="shared" si="12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35" s="88" t="str">
        <f t="shared" si="13"/>
        <v>"C:\Program Files (x86)\AstroGrep\AstroGrep.exe" /spath="%USERPROFILE%\AppData\Local\Temp\OnboardLogs" /stypes="app*4021*20161219*"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122-19 --locoid 4021 --swversion DE.1.0.8.0 --startMP 204:232991 --initTime 2016-12-19T07:05:11 --startdatetime 2016-12-19T07:11:21 --delay 1 --endMP 204:138 --enddatetime 2016-12-19T07:51:18 --enforcementcount 0 &gt;&gt;C:\Users\stu\Documents\GitHub\eaglep3-reporting\EC\2016-12-19-refined-times.txt</v>
      </c>
      <c r="AI35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{"issue":{"subject":"","project_id":79,"tracker_id":40,"status_id":1,"priority_id":2,"assigned_to_id":23,"start_date":"2016-12-19","description":"","custom_fields":[{"id":1,"name":"Subdivision","value":"EC"},{"id":4,"name":"Milepost","value":"0.0138"},{"id":17,"name":"Train ID","value":"122-19"},{"id":16,"name":"Locomotive ID","value":"4021"},{"id":130,"name":"Impact","value":""},{"id":150,"name":"Time of Event (Mountain Time)","value":"07:51:18"},{"id":151,"name":"Denver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600</v>
      </c>
      <c r="B36" s="7">
        <v>4031</v>
      </c>
      <c r="C36" s="22" t="s">
        <v>205</v>
      </c>
      <c r="D36" s="22" t="s">
        <v>775</v>
      </c>
      <c r="E36" s="13">
        <v>42723.268379629626</v>
      </c>
      <c r="F36" s="13">
        <v>42723.271006944444</v>
      </c>
      <c r="G36" s="7">
        <v>1</v>
      </c>
      <c r="H36" s="22" t="s">
        <v>786</v>
      </c>
      <c r="I36" s="13">
        <v>42723.296736111108</v>
      </c>
      <c r="J36" s="7">
        <v>0</v>
      </c>
      <c r="K36" s="109" t="str">
        <f t="shared" si="0"/>
        <v>4031/4032</v>
      </c>
      <c r="L36" s="22" t="str">
        <f>VLOOKUP(A36,'Trips&amp;Operators'!$C$1:$G$99999,5,FALSE)</f>
        <v>SHOOK JOHN</v>
      </c>
      <c r="M36" s="6">
        <f t="shared" si="1"/>
        <v>2.5729166663950309E-2</v>
      </c>
      <c r="N36" s="7">
        <f t="shared" si="2"/>
        <v>37.049999996088445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05:26:28-700',mode:absolute,to:'2016-12-19 08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4.8000000000000001E-2</v>
      </c>
      <c r="Z36" s="67">
        <f t="shared" si="9"/>
        <v>23.331800000000001</v>
      </c>
      <c r="AA36" s="67">
        <f t="shared" si="10"/>
        <v>23.283800000000003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0123-19</v>
      </c>
      <c r="AE36" s="91" t="str">
        <f t="shared" si="12"/>
        <v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v>
      </c>
      <c r="AF36" s="88" t="str">
        <f t="shared" si="13"/>
        <v>"C:\Program Files (x86)\AstroGrep\AstroGrep.exe" /spath="%USERPROFILE%\AppData\Local\Temp\OnboardLogs" /stypes="app*4031*20161219*"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123-19 --locoid 4031 --swversion DE.1.0.8.0 --startMP 204:480 --initTime 2016-12-19T06:26:28 --startdatetime 2016-12-19T06:30:15 --delay 1 --endMP 204:233318 --enddatetime 2016-12-19T07:07:18 --enforcementcount 0 &gt;&gt;C:\Users\stu\Documents\GitHub\eaglep3-reporting\EC\2016-12-19-refined-times.txt</v>
      </c>
      <c r="AI36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{"issue":{"subject":"","project_id":79,"tracker_id":40,"status_id":1,"priority_id":2,"assigned_to_id":23,"start_date":"2016-12-19","description":"","custom_fields":[{"id":1,"name":"Subdivision","value":"EC"},{"id":4,"name":"Milepost","value":"23.3318"},{"id":17,"name":"Train ID","value":"123-19"},{"id":16,"name":"Locomotive ID","value":"4031"},{"id":130,"name":"Impact","value":""},{"id":150,"name":"Time of Event (Mountain Time)","value":"07:07:18"},{"id":151,"name":"Denver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608</v>
      </c>
      <c r="B37" s="7">
        <v>4032</v>
      </c>
      <c r="C37" s="22" t="s">
        <v>205</v>
      </c>
      <c r="D37" s="22" t="s">
        <v>298</v>
      </c>
      <c r="E37" s="13">
        <v>42723.306597222225</v>
      </c>
      <c r="F37" s="13">
        <v>42723.309907407405</v>
      </c>
      <c r="G37" s="7">
        <v>1</v>
      </c>
      <c r="H37" s="22" t="s">
        <v>436</v>
      </c>
      <c r="I37" s="13">
        <v>42723.337604166663</v>
      </c>
      <c r="J37" s="7">
        <v>0</v>
      </c>
      <c r="K37" s="109" t="str">
        <f t="shared" si="0"/>
        <v>4031/4032</v>
      </c>
      <c r="L37" s="22" t="str">
        <f>VLOOKUP(A37,'Trips&amp;Operators'!$C$1:$G$99999,5,FALSE)</f>
        <v>SHOOK JOHN</v>
      </c>
      <c r="M37" s="6">
        <f t="shared" si="1"/>
        <v>2.7696759258105885E-2</v>
      </c>
      <c r="N37" s="7">
        <f t="shared" si="2"/>
        <v>39.883333331672475</v>
      </c>
      <c r="O37" s="7"/>
      <c r="P37" s="7"/>
      <c r="Q37" s="23"/>
      <c r="R37" s="23"/>
      <c r="S37" s="35">
        <f t="shared" si="3"/>
        <v>1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06:21:30-700',mode:absolute,to:'2016-12-19 09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23.3</v>
      </c>
      <c r="Z37" s="67">
        <f t="shared" si="9"/>
        <v>1.21E-2</v>
      </c>
      <c r="AA37" s="67">
        <f t="shared" si="10"/>
        <v>23.2879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0124-19</v>
      </c>
      <c r="AE37" s="91" t="str">
        <f t="shared" si="12"/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AF37" s="88" t="str">
        <f t="shared" si="13"/>
        <v>"C:\Program Files (x86)\AstroGrep\AstroGrep.exe" /spath="%USERPROFILE%\AppData\Local\Temp\OnboardLogs" /stypes="app*4032*20161219*"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124-19 --locoid 4032 --swversion DE.1.0.8.0 --startMP 204:233000 --initTime 2016-12-19T07:21:30 --startdatetime 2016-12-19T07:26:16 --delay 1 --endMP 204:121 --enddatetime 2016-12-19T08:06:09 --enforcementcount 0 &gt;&gt;C:\Users\stu\Documents\GitHub\eaglep3-reporting\EC\2016-12-19-refined-times.txt</v>
      </c>
      <c r="AI37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{"issue":{"subject":"","project_id":79,"tracker_id":40,"status_id":1,"priority_id":2,"assigned_to_id":23,"start_date":"2016-12-19","description":"","custom_fields":[{"id":1,"name":"Subdivision","value":"EC"},{"id":4,"name":"Milepost","value":"0.0121"},{"id":17,"name":"Train ID","value":"124-19"},{"id":16,"name":"Locomotive ID","value":"4032"},{"id":130,"name":"Impact","value":""},{"id":150,"name":"Time of Event (Mountain Time)","value":"08:06:09"},{"id":151,"name":"Denver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603</v>
      </c>
      <c r="B38" s="7">
        <v>4027</v>
      </c>
      <c r="C38" s="22" t="s">
        <v>205</v>
      </c>
      <c r="D38" s="22" t="s">
        <v>439</v>
      </c>
      <c r="E38" s="13">
        <v>42723.277662037035</v>
      </c>
      <c r="F38" s="13">
        <v>42723.282384259262</v>
      </c>
      <c r="G38" s="7">
        <v>1</v>
      </c>
      <c r="H38" s="22" t="s">
        <v>787</v>
      </c>
      <c r="I38" s="13">
        <v>42723.306550925925</v>
      </c>
      <c r="J38" s="7">
        <v>0</v>
      </c>
      <c r="K38" s="109" t="str">
        <f t="shared" si="0"/>
        <v>4027/4028</v>
      </c>
      <c r="L38" s="22" t="str">
        <f>VLOOKUP(A38,'Trips&amp;Operators'!$C$1:$G$99999,5,FALSE)</f>
        <v>SIMMONS SHYHESHA</v>
      </c>
      <c r="M38" s="6">
        <f t="shared" si="1"/>
        <v>2.4166666662495118E-2</v>
      </c>
      <c r="N38" s="7">
        <f t="shared" si="2"/>
        <v>34.799999993992969</v>
      </c>
      <c r="O38" s="7"/>
      <c r="P38" s="7"/>
      <c r="Q38" s="23"/>
      <c r="R38" s="23"/>
      <c r="S38" s="35">
        <f t="shared" si="3"/>
        <v>1</v>
      </c>
      <c r="T38" s="50" t="str">
        <f t="shared" si="4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05:39:50-700',mode:absolute,to:'2016-12-19 08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4.6899999999999997E-2</v>
      </c>
      <c r="Z38" s="67">
        <f t="shared" si="9"/>
        <v>23.328299999999999</v>
      </c>
      <c r="AA38" s="67">
        <f t="shared" si="10"/>
        <v>23.281399999999998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0125-19</v>
      </c>
      <c r="AE38" s="91" t="str">
        <f t="shared" si="12"/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38" s="88" t="str">
        <f t="shared" si="13"/>
        <v>"C:\Program Files (x86)\AstroGrep\AstroGrep.exe" /spath="%USERPROFILE%\AppData\Local\Temp\OnboardLogs" /stypes="app*4027*20161219*"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125-19 --locoid 4027 --swversion DE.1.0.8.0 --startMP 204:469 --initTime 2016-12-19T06:39:50 --startdatetime 2016-12-19T06:46:38 --delay 1 --endMP 204:233283 --enddatetime 2016-12-19T07:21:26 --enforcementcount 0 &gt;&gt;C:\Users\stu\Documents\GitHub\eaglep3-reporting\EC\2016-12-19-refined-times.txt</v>
      </c>
      <c r="AI38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{"issue":{"subject":"","project_id":79,"tracker_id":40,"status_id":1,"priority_id":2,"assigned_to_id":23,"start_date":"2016-12-19","description":"","custom_fields":[{"id":1,"name":"Subdivision","value":"EC"},{"id":4,"name":"Milepost","value":"23.3283"},{"id":17,"name":"Train ID","value":"125-19"},{"id":16,"name":"Locomotive ID","value":"4027"},{"id":130,"name":"Impact","value":""},{"id":150,"name":"Time of Event (Mountain Time)","value":"07:21:26"},{"id":151,"name":"Denver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540</v>
      </c>
      <c r="B39" s="7">
        <v>4028</v>
      </c>
      <c r="C39" s="22" t="s">
        <v>205</v>
      </c>
      <c r="D39" s="22" t="s">
        <v>788</v>
      </c>
      <c r="E39" s="13">
        <v>42723.30945601852</v>
      </c>
      <c r="F39" s="13">
        <v>42723.3205787037</v>
      </c>
      <c r="G39" s="7">
        <v>1</v>
      </c>
      <c r="H39" s="22" t="s">
        <v>269</v>
      </c>
      <c r="I39" s="13">
        <v>42723.351458333331</v>
      </c>
      <c r="J39" s="7">
        <v>0</v>
      </c>
      <c r="K39" s="109" t="str">
        <f t="shared" si="0"/>
        <v>4027/4028</v>
      </c>
      <c r="L39" s="22" t="str">
        <f>VLOOKUP(A39,'Trips&amp;Operators'!$C$1:$G$99999,5,FALSE)</f>
        <v>SIMMONS SHYHESHA</v>
      </c>
      <c r="M39" s="6">
        <f t="shared" si="1"/>
        <v>3.0879629630362615E-2</v>
      </c>
      <c r="N39" s="7">
        <f t="shared" si="2"/>
        <v>44.466666667722166</v>
      </c>
      <c r="O39" s="7"/>
      <c r="P39" s="7"/>
      <c r="Q39" s="23"/>
      <c r="R39" s="23"/>
      <c r="S39" s="35">
        <f t="shared" si="3"/>
        <v>1</v>
      </c>
      <c r="T39" s="50" t="str">
        <f t="shared" si="4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06:25:37-700',mode:absolute,to:'2016-12-19 09:26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23.296099999999999</v>
      </c>
      <c r="Z39" s="67">
        <f t="shared" si="9"/>
        <v>1.6E-2</v>
      </c>
      <c r="AA39" s="67">
        <f t="shared" si="10"/>
        <v>23.280100000000001</v>
      </c>
      <c r="AB39" s="64" t="str">
        <f>VLOOKUP(A39,Enforcements!$C$7:$K$19,8,0)</f>
        <v>Bulletin (2)</v>
      </c>
      <c r="AC39" s="60" t="str">
        <f>VLOOKUP(A39,Enforcements!$C$7:$E$19,3,0)</f>
        <v>GRADE CROSSING</v>
      </c>
      <c r="AD39" s="61" t="str">
        <f t="shared" si="11"/>
        <v>0126-19</v>
      </c>
      <c r="AE39" s="91" t="str">
        <f t="shared" si="12"/>
        <v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v>
      </c>
      <c r="AF39" s="88" t="str">
        <f t="shared" si="13"/>
        <v>"C:\Program Files (x86)\AstroGrep\AstroGrep.exe" /spath="%USERPROFILE%\AppData\Local\Temp\OnboardLogs" /stypes="app*4028*20161219*"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126-19 --locoid 4028 --swversion DE.1.0.8.0 --startMP 204:232961 --initTime 2016-12-19T07:25:37 --startdatetime 2016-12-19T07:41:38 --delay 1 --endMP 204:160 --enddatetime 2016-12-19T08:26:06 --enforcementcount 0 &gt;&gt;C:\Users\stu\Documents\GitHub\eaglep3-reporting\EC\2016-12-19-refined-times.txt</v>
      </c>
      <c r="AI39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{"issue":{"subject":"","project_id":79,"tracker_id":40,"status_id":1,"priority_id":2,"assigned_to_id":23,"start_date":"2016-12-19","description":"","custom_fields":[{"id":1,"name":"Subdivision","value":"EC"},{"id":4,"name":"Milepost","value":"0.016"},{"id":17,"name":"Train ID","value":"126-19"},{"id":16,"name":"Locomotive ID","value":"4028"},{"id":130,"name":"Impact","value":""},{"id":150,"name":"Time of Event (Mountain Time)","value":"08:26:06"},{"id":151,"name":"Denver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605</v>
      </c>
      <c r="B40" s="7">
        <v>4011</v>
      </c>
      <c r="C40" s="22" t="s">
        <v>205</v>
      </c>
      <c r="D40" s="22" t="s">
        <v>789</v>
      </c>
      <c r="E40" s="13">
        <v>42723.2893287037</v>
      </c>
      <c r="F40" s="13">
        <v>42723.292037037034</v>
      </c>
      <c r="G40" s="7">
        <v>1</v>
      </c>
      <c r="H40" s="22" t="s">
        <v>790</v>
      </c>
      <c r="I40" s="13">
        <v>42723.2966087963</v>
      </c>
      <c r="J40" s="7">
        <v>0</v>
      </c>
      <c r="K40" s="109" t="str">
        <f t="shared" si="0"/>
        <v>4011/4012</v>
      </c>
      <c r="L40" s="22" t="str">
        <f>VLOOKUP(A40,'Trips&amp;Operators'!$C$1:$G$99999,5,FALSE)</f>
        <v>OUN ZACK</v>
      </c>
      <c r="M40" s="6">
        <f t="shared" si="1"/>
        <v>4.5717592656728812E-3</v>
      </c>
      <c r="N40" s="7"/>
      <c r="O40" s="7"/>
      <c r="P40" s="7">
        <f t="shared" si="2"/>
        <v>6.5833333425689489</v>
      </c>
      <c r="Q40" s="23"/>
      <c r="R40" s="23" t="s">
        <v>972</v>
      </c>
      <c r="S40" s="35">
        <f t="shared" si="3"/>
        <v>0</v>
      </c>
      <c r="T40" s="50" t="str">
        <f t="shared" si="4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05:56:38-700',mode:absolute,to:'2016-12-19 08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0" s="52" t="str">
        <f t="shared" si="6"/>
        <v>Y</v>
      </c>
      <c r="X40" s="177">
        <f t="shared" si="7"/>
        <v>1</v>
      </c>
      <c r="Y40" s="67">
        <f t="shared" si="8"/>
        <v>4.3799999999999999E-2</v>
      </c>
      <c r="Z40" s="67">
        <f t="shared" si="9"/>
        <v>1.1425000000000001</v>
      </c>
      <c r="AA40" s="67">
        <f t="shared" si="10"/>
        <v>1.0987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0127-19</v>
      </c>
      <c r="AE40" s="91" t="str">
        <f t="shared" si="12"/>
        <v>aws s3 cp s3://rtdc.mdm.uploadarchive.raw/RTDC4011/ "%USERPROFILE%\AppData\Local\Temp\OnboardLogs"\RTDC4011\2016-12-19 --exclude "*" --recursive --include "*20161219*" &amp; "%USERPROFILE%\Documents\GitHub\mrs-test-scripts\Headless Mode &amp; Sideloading\WalkAndUnGZ.bat" "%USERPROFILE%\AppData\Local\Temp\OnboardLogs"\RTDC4011\2016-12-19 &amp; aws s3 cp s3://rtdc.mdm.uploadarchive.raw/RTDC4011/ "%USERPROFILE%\AppData\Local\Temp\OnboardLogs"\RTDC4011\2016-12-20 --exclude "*" --recursive --include "*20161220*" &amp; "%USERPROFILE%\Documents\GitHub\mrs-test-scripts\Headless Mode &amp; Sideloading\WalkAndUnGZ.bat" "%USERPROFILE%\AppData\Local\Temp\OnboardLogs"\RTDC4011\2016-12-20</v>
      </c>
      <c r="AF40" s="88" t="str">
        <f t="shared" si="13"/>
        <v>"C:\Program Files (x86)\AstroGrep\AstroGrep.exe" /spath="%USERPROFILE%\AppData\Local\Temp\OnboardLogs" /stypes="app*4011*20161219*"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127-19 --locoid 4011 --swversion DE.1.0.8.0 --startMP 204:438 --initTime 2016-12-19T06:56:38 --startdatetime 2016-12-19T07:00:32 --delay 1 --endMP 204:11425 --enddatetime 2016-12-19T07:07:07 --enforcementcount 0 &gt;&gt;C:\Users\stu\Documents\GitHub\eaglep3-reporting\EC\2016-12-19-refined-times.txt</v>
      </c>
      <c r="AI40" s="119" t="str">
        <f t="shared" si="18"/>
        <v>echo {"issue":{"subject":"ATC Issue","project_id":79,"tracker_id":40,"status_id":1,"priority_id":2,"assigned_to_id":23,"start_date":"2016-12-19","description":"","custom_fields":[{"id":1,"name":"Subdivision","value":"EC"},{"id":4,"name":"Milepost","value":"1.1425"},{"id":17,"name":"Train ID","value":"127-19"},{"id":16,"name":"Locomotive ID","value":"4011"},{"id":130,"name":"Impact","value":""},{"id":150,"name":"Time of Event (Mountain Time)","value":"07:07:07"},{"id":151,"name":"Denver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607</v>
      </c>
      <c r="B41" s="7">
        <v>4009</v>
      </c>
      <c r="C41" s="22" t="s">
        <v>205</v>
      </c>
      <c r="D41" s="22" t="s">
        <v>228</v>
      </c>
      <c r="E41" s="13">
        <v>42723.297962962963</v>
      </c>
      <c r="F41" s="13">
        <v>42723.302233796298</v>
      </c>
      <c r="G41" s="7">
        <v>1</v>
      </c>
      <c r="H41" s="22" t="s">
        <v>791</v>
      </c>
      <c r="I41" s="13">
        <v>42723.344351851854</v>
      </c>
      <c r="J41" s="7">
        <v>0</v>
      </c>
      <c r="K41" s="109" t="str">
        <f t="shared" si="0"/>
        <v>4009/4010</v>
      </c>
      <c r="L41" s="22" t="str">
        <f>VLOOKUP(A41,'Trips&amp;Operators'!$C$1:$G$99999,5,FALSE)</f>
        <v>ROBINSON KADDIBA</v>
      </c>
      <c r="M41" s="6">
        <f t="shared" si="1"/>
        <v>4.2118055556784384E-2</v>
      </c>
      <c r="N41" s="7">
        <f t="shared" si="2"/>
        <v>60.650000001769513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06:09:04-700',mode:absolute,to:'2016-12-19 09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1" s="52" t="str">
        <f t="shared" si="6"/>
        <v>N</v>
      </c>
      <c r="X41" s="177">
        <f t="shared" si="7"/>
        <v>2</v>
      </c>
      <c r="Y41" s="67">
        <f t="shared" si="8"/>
        <v>4.5499999999999999E-2</v>
      </c>
      <c r="Z41" s="67">
        <f t="shared" si="9"/>
        <v>23.34</v>
      </c>
      <c r="AA41" s="67">
        <f t="shared" si="10"/>
        <v>23.294499999999999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0129-19</v>
      </c>
      <c r="AE41" s="91" t="str">
        <f t="shared" si="12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41" s="88" t="str">
        <f t="shared" si="13"/>
        <v>"C:\Program Files (x86)\AstroGrep\AstroGrep.exe" /spath="%USERPROFILE%\AppData\Local\Temp\OnboardLogs" /stypes="app*4009*20161219*"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129-19 --locoid 4009 --swversion DE.1.0.8.0 --startMP 204:455 --initTime 2016-12-19T07:09:04 --startdatetime 2016-12-19T07:15:13 --delay 1 --endMP 204:233400 --enddatetime 2016-12-19T08:15:52 --enforcementcount 0 &gt;&gt;C:\Users\stu\Documents\GitHub\eaglep3-reporting\EC\2016-12-19-refined-times.txt</v>
      </c>
      <c r="AI41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{"issue":{"subject":"","project_id":79,"tracker_id":40,"status_id":1,"priority_id":2,"assigned_to_id":23,"start_date":"2016-12-19","description":"","custom_fields":[{"id":1,"name":"Subdivision","value":"EC"},{"id":4,"name":"Milepost","value":"23.34"},{"id":17,"name":"Train ID","value":"129-19"},{"id":16,"name":"Locomotive ID","value":"4009"},{"id":130,"name":"Impact","value":""},{"id":150,"name":"Time of Event (Mountain Time)","value":"08:15:52"},{"id":151,"name":"Denver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615</v>
      </c>
      <c r="B42" s="7">
        <v>4010</v>
      </c>
      <c r="C42" s="22" t="s">
        <v>205</v>
      </c>
      <c r="D42" s="22" t="s">
        <v>792</v>
      </c>
      <c r="E42" s="13">
        <v>42723.346250000002</v>
      </c>
      <c r="F42" s="13">
        <v>42723.347314814811</v>
      </c>
      <c r="G42" s="7">
        <v>0</v>
      </c>
      <c r="H42" s="22" t="s">
        <v>304</v>
      </c>
      <c r="I42" s="13">
        <v>42723.374502314815</v>
      </c>
      <c r="J42" s="7">
        <v>0</v>
      </c>
      <c r="K42" s="109" t="str">
        <f t="shared" si="0"/>
        <v>4009/4010</v>
      </c>
      <c r="L42" s="22" t="str">
        <f>VLOOKUP(A42,'Trips&amp;Operators'!$C$1:$G$99999,5,FALSE)</f>
        <v>ROBINSON KADDIBA</v>
      </c>
      <c r="M42" s="6">
        <f t="shared" si="1"/>
        <v>2.718750000349246E-2</v>
      </c>
      <c r="N42" s="7">
        <f t="shared" si="2"/>
        <v>39.150000005029142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07:18:36-700',mode:absolute,to:'2016-12-19 09:59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23.3093</v>
      </c>
      <c r="Z42" s="67">
        <f t="shared" si="9"/>
        <v>1.34E-2</v>
      </c>
      <c r="AA42" s="67">
        <f t="shared" si="10"/>
        <v>23.2959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0130-19</v>
      </c>
      <c r="AE42" s="91" t="str">
        <f t="shared" si="12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42" s="88" t="str">
        <f t="shared" si="13"/>
        <v>"C:\Program Files (x86)\AstroGrep\AstroGrep.exe" /spath="%USERPROFILE%\AppData\Local\Temp\OnboardLogs" /stypes="app*4010*20161219*"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130-19 --locoid 4010 --swversion DE.1.0.8.0 --startMP 204:233093 --initTime 2016-12-19T08:18:36 --startdatetime 2016-12-19T08:20:08 --delay 0 --endMP 204:134 --enddatetime 2016-12-19T08:59:17 --enforcementcount 0 &gt;&gt;C:\Users\stu\Documents\GitHub\eaglep3-reporting\EC\2016-12-19-refined-times.txt</v>
      </c>
      <c r="AI42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{"issue":{"subject":"","project_id":79,"tracker_id":40,"status_id":1,"priority_id":2,"assigned_to_id":23,"start_date":"2016-12-19","description":"","custom_fields":[{"id":1,"name":"Subdivision","value":"EC"},{"id":4,"name":"Milepost","value":"0.0134"},{"id":17,"name":"Train ID","value":"130-19"},{"id":16,"name":"Locomotive ID","value":"4010"},{"id":130,"name":"Impact","value":""},{"id":150,"name":"Time of Event (Mountain Time)","value":"08:59:17"},{"id":151,"name":"Denver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609</v>
      </c>
      <c r="B43" s="7">
        <v>4020</v>
      </c>
      <c r="C43" s="22" t="s">
        <v>205</v>
      </c>
      <c r="D43" s="22" t="s">
        <v>243</v>
      </c>
      <c r="E43" s="13">
        <v>42723.308865740742</v>
      </c>
      <c r="F43" s="13">
        <v>42723.315497685187</v>
      </c>
      <c r="G43" s="7">
        <v>1</v>
      </c>
      <c r="H43" s="22" t="s">
        <v>303</v>
      </c>
      <c r="I43" s="13">
        <v>42723.347812499997</v>
      </c>
      <c r="J43" s="7">
        <v>0</v>
      </c>
      <c r="K43" s="109" t="str">
        <f t="shared" si="0"/>
        <v>4019/4020</v>
      </c>
      <c r="L43" s="22" t="str">
        <f>VLOOKUP(A43,'Trips&amp;Operators'!$C$1:$G$99999,5,FALSE)</f>
        <v>MAGEE KENYA</v>
      </c>
      <c r="M43" s="6">
        <f t="shared" si="1"/>
        <v>3.2314814809069503E-2</v>
      </c>
      <c r="N43" s="7">
        <f t="shared" si="2"/>
        <v>46.533333325060084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06:24:46-700',mode:absolute,to:'2016-12-19 09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4.58E-2</v>
      </c>
      <c r="Z43" s="67">
        <f t="shared" si="9"/>
        <v>23.329899999999999</v>
      </c>
      <c r="AA43" s="67">
        <f t="shared" si="10"/>
        <v>23.284099999999999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0131-19</v>
      </c>
      <c r="AE43" s="91" t="str">
        <f t="shared" si="12"/>
        <v>aws s3 cp s3://rtdc.mdm.uploadarchive.raw/RTDC4020/ "%USERPROFILE%\AppData\Local\Temp\OnboardLogs"\RTDC4020\2016-12-19 --exclude "*" --recursive --include "*20161219*" &amp; "%USERPROFILE%\Documents\GitHub\mrs-test-scripts\Headless Mode &amp; Sideloading\WalkAndUnGZ.bat" "%USERPROFILE%\AppData\Local\Temp\OnboardLogs"\RTDC4020\2016-12-19 &amp; 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</v>
      </c>
      <c r="AF43" s="88" t="str">
        <f t="shared" si="13"/>
        <v>"C:\Program Files (x86)\AstroGrep\AstroGrep.exe" /spath="%USERPROFILE%\AppData\Local\Temp\OnboardLogs" /stypes="app*4020*20161219*"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131-19 --locoid 4020 --swversion DE.1.0.8.0 --startMP 204:458 --initTime 2016-12-19T07:24:46 --startdatetime 2016-12-19T07:34:19 --delay 1 --endMP 204:233299 --enddatetime 2016-12-19T08:20:51 --enforcementcount 0 &gt;&gt;C:\Users\stu\Documents\GitHub\eaglep3-reporting\EC\2016-12-19-refined-times.txt</v>
      </c>
      <c r="AI43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{"issue":{"subject":"","project_id":79,"tracker_id":40,"status_id":1,"priority_id":2,"assigned_to_id":23,"start_date":"2016-12-19","description":"","custom_fields":[{"id":1,"name":"Subdivision","value":"EC"},{"id":4,"name":"Milepost","value":"23.3299"},{"id":17,"name":"Train ID","value":"131-19"},{"id":16,"name":"Locomotive ID","value":"4020"},{"id":130,"name":"Impact","value":""},{"id":150,"name":"Time of Event (Mountain Time)","value":"08:20:51"},{"id":151,"name":"Denver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616</v>
      </c>
      <c r="B44" s="7">
        <v>4019</v>
      </c>
      <c r="C44" s="22" t="s">
        <v>205</v>
      </c>
      <c r="D44" s="22" t="s">
        <v>443</v>
      </c>
      <c r="E44" s="13">
        <v>42723.349432870367</v>
      </c>
      <c r="F44" s="13">
        <v>42723.351585648146</v>
      </c>
      <c r="G44" s="7">
        <v>1</v>
      </c>
      <c r="H44" s="22" t="s">
        <v>262</v>
      </c>
      <c r="I44" s="13">
        <v>42723.380937499998</v>
      </c>
      <c r="J44" s="7">
        <v>0</v>
      </c>
      <c r="K44" s="109" t="str">
        <f t="shared" si="0"/>
        <v>4019/4020</v>
      </c>
      <c r="L44" s="22" t="str">
        <f>VLOOKUP(A44,'Trips&amp;Operators'!$C$1:$G$99999,5,FALSE)</f>
        <v>MAGEE KENYA</v>
      </c>
      <c r="M44" s="6">
        <f t="shared" si="1"/>
        <v>2.9351851851970423E-2</v>
      </c>
      <c r="N44" s="7">
        <f t="shared" si="2"/>
        <v>42.266666666837409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07:23:11-700',mode:absolute,to:'2016-12-19 10:08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23.2973</v>
      </c>
      <c r="Z44" s="67">
        <f t="shared" si="9"/>
        <v>1.47E-2</v>
      </c>
      <c r="AA44" s="67">
        <f t="shared" si="10"/>
        <v>23.282599999999999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0132-19</v>
      </c>
      <c r="AE44" s="91" t="str">
        <f t="shared" si="12"/>
        <v>aws s3 cp s3://rtdc.mdm.uploadarchive.raw/RTDC4019/ "%USERPROFILE%\AppData\Local\Temp\OnboardLogs"\RTDC4019\2016-12-19 --exclude "*" --recursive --include "*20161219*" &amp; "%USERPROFILE%\Documents\GitHub\mrs-test-scripts\Headless Mode &amp; Sideloading\WalkAndUnGZ.bat" "%USERPROFILE%\AppData\Local\Temp\OnboardLogs"\RTDC4019\2016-12-19 &amp; 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</v>
      </c>
      <c r="AF44" s="88" t="str">
        <f t="shared" si="13"/>
        <v>"C:\Program Files (x86)\AstroGrep\AstroGrep.exe" /spath="%USERPROFILE%\AppData\Local\Temp\OnboardLogs" /stypes="app*4019*20161219*"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132-19 --locoid 4019 --swversion DE.1.0.8.0 --startMP 204:232973 --initTime 2016-12-19T08:23:11 --startdatetime 2016-12-19T08:26:17 --delay 1 --endMP 204:147 --enddatetime 2016-12-19T09:08:33 --enforcementcount 0 &gt;&gt;C:\Users\stu\Documents\GitHub\eaglep3-reporting\EC\2016-12-19-refined-times.txt</v>
      </c>
      <c r="AI44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{"issue":{"subject":"","project_id":79,"tracker_id":40,"status_id":1,"priority_id":2,"assigned_to_id":23,"start_date":"2016-12-19","description":"","custom_fields":[{"id":1,"name":"Subdivision","value":"EC"},{"id":4,"name":"Milepost","value":"0.0147"},{"id":17,"name":"Train ID","value":"132-19"},{"id":16,"name":"Locomotive ID","value":"4019"},{"id":130,"name":"Impact","value":""},{"id":150,"name":"Time of Event (Mountain Time)","value":"09:08:33"},{"id":151,"name":"Denver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611</v>
      </c>
      <c r="B45" s="7">
        <v>4018</v>
      </c>
      <c r="C45" s="22" t="s">
        <v>205</v>
      </c>
      <c r="D45" s="22" t="s">
        <v>257</v>
      </c>
      <c r="E45" s="13">
        <v>42723.319467592592</v>
      </c>
      <c r="F45" s="13">
        <v>42723.32309027778</v>
      </c>
      <c r="G45" s="7">
        <v>1</v>
      </c>
      <c r="H45" s="22" t="s">
        <v>275</v>
      </c>
      <c r="I45" s="13">
        <v>42723.350949074076</v>
      </c>
      <c r="J45" s="7">
        <v>0</v>
      </c>
      <c r="K45" s="109" t="str">
        <f t="shared" si="0"/>
        <v>4017/4018</v>
      </c>
      <c r="L45" s="22" t="str">
        <f>VLOOKUP(A45,'Trips&amp;Operators'!$C$1:$G$99999,5,FALSE)</f>
        <v>STARKS ANGELINA</v>
      </c>
      <c r="M45" s="6">
        <f t="shared" si="1"/>
        <v>2.7858796296641231E-2</v>
      </c>
      <c r="N45" s="7">
        <f t="shared" si="2"/>
        <v>40.116666667163372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06:40:02-700',mode:absolute,to:'2016-12-19 09:25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4.6399999999999997E-2</v>
      </c>
      <c r="Z45" s="67">
        <f t="shared" si="9"/>
        <v>23.3323</v>
      </c>
      <c r="AA45" s="67">
        <f t="shared" si="10"/>
        <v>23.285900000000002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0133-19</v>
      </c>
      <c r="AE45" s="91" t="str">
        <f t="shared" si="12"/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AF45" s="88" t="str">
        <f t="shared" si="13"/>
        <v>"C:\Program Files (x86)\AstroGrep\AstroGrep.exe" /spath="%USERPROFILE%\AppData\Local\Temp\OnboardLogs" /stypes="app*4018*20161219*"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133-19 --locoid 4018 --swversion DE.1.0.8.0 --startMP 204:464 --initTime 2016-12-19T07:40:02 --startdatetime 2016-12-19T07:45:15 --delay 1 --endMP 204:233323 --enddatetime 2016-12-19T08:25:22 --enforcementcount 0 &gt;&gt;C:\Users\stu\Documents\GitHub\eaglep3-reporting\EC\2016-12-19-refined-times.txt</v>
      </c>
      <c r="AI45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{"issue":{"subject":"","project_id":79,"tracker_id":40,"status_id":1,"priority_id":2,"assigned_to_id":23,"start_date":"2016-12-19","description":"","custom_fields":[{"id":1,"name":"Subdivision","value":"EC"},{"id":4,"name":"Milepost","value":"23.3323"},{"id":17,"name":"Train ID","value":"133-19"},{"id":16,"name":"Locomotive ID","value":"4018"},{"id":130,"name":"Impact","value":""},{"id":150,"name":"Time of Event (Mountain Time)","value":"08:25:22"},{"id":151,"name":"Denver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620</v>
      </c>
      <c r="B46" s="7">
        <v>4017</v>
      </c>
      <c r="C46" s="22" t="s">
        <v>205</v>
      </c>
      <c r="D46" s="22" t="s">
        <v>793</v>
      </c>
      <c r="E46" s="13">
        <v>42723.360046296293</v>
      </c>
      <c r="F46" s="13">
        <v>42723.362442129626</v>
      </c>
      <c r="G46" s="7">
        <v>1</v>
      </c>
      <c r="H46" s="22" t="s">
        <v>269</v>
      </c>
      <c r="I46" s="13">
        <v>42723.392905092594</v>
      </c>
      <c r="J46" s="7">
        <v>0</v>
      </c>
      <c r="K46" s="109" t="str">
        <f t="shared" si="0"/>
        <v>4017/4018</v>
      </c>
      <c r="L46" s="22" t="str">
        <f>VLOOKUP(A46,'Trips&amp;Operators'!$C$1:$G$99999,5,FALSE)</f>
        <v>STARKS ANGELINA</v>
      </c>
      <c r="M46" s="6">
        <f t="shared" si="1"/>
        <v>3.0462962968158536E-2</v>
      </c>
      <c r="N46" s="7">
        <f t="shared" si="2"/>
        <v>43.866666674148291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07:38:28-700',mode:absolute,to:'2016-12-19 10:25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23.300999999999998</v>
      </c>
      <c r="Z46" s="67">
        <f t="shared" si="9"/>
        <v>1.6E-2</v>
      </c>
      <c r="AA46" s="67">
        <f t="shared" si="10"/>
        <v>23.285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0134-19</v>
      </c>
      <c r="AE46" s="91" t="str">
        <f t="shared" si="12"/>
        <v>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 &amp; 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</v>
      </c>
      <c r="AF46" s="88" t="str">
        <f t="shared" si="13"/>
        <v>"C:\Program Files (x86)\AstroGrep\AstroGrep.exe" /spath="%USERPROFILE%\AppData\Local\Temp\OnboardLogs" /stypes="app*4017*20161219*"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134-19 --locoid 4017 --swversion DE.1.0.8.0 --startMP 204:233010 --initTime 2016-12-19T08:38:28 --startdatetime 2016-12-19T08:41:55 --delay 1 --endMP 204:160 --enddatetime 2016-12-19T09:25:47 --enforcementcount 0 &gt;&gt;C:\Users\stu\Documents\GitHub\eaglep3-reporting\EC\2016-12-19-refined-times.txt</v>
      </c>
      <c r="AI46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{"issue":{"subject":"","project_id":79,"tracker_id":40,"status_id":1,"priority_id":2,"assigned_to_id":23,"start_date":"2016-12-19","description":"","custom_fields":[{"id":1,"name":"Subdivision","value":"EC"},{"id":4,"name":"Milepost","value":"0.016"},{"id":17,"name":"Train ID","value":"134-19"},{"id":16,"name":"Locomotive ID","value":"4017"},{"id":130,"name":"Impact","value":""},{"id":150,"name":"Time of Event (Mountain Time)","value":"09:25:47"},{"id":151,"name":"Denver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612</v>
      </c>
      <c r="B47" s="7">
        <v>4022</v>
      </c>
      <c r="C47" s="22" t="s">
        <v>205</v>
      </c>
      <c r="D47" s="22" t="s">
        <v>503</v>
      </c>
      <c r="E47" s="13">
        <v>42723.328692129631</v>
      </c>
      <c r="F47" s="13">
        <v>42723.333622685182</v>
      </c>
      <c r="G47" s="7">
        <v>1</v>
      </c>
      <c r="H47" s="22" t="s">
        <v>519</v>
      </c>
      <c r="I47" s="13">
        <v>42723.360636574071</v>
      </c>
      <c r="J47" s="7">
        <v>0</v>
      </c>
      <c r="K47" s="109" t="str">
        <f t="shared" si="0"/>
        <v>4021/4022</v>
      </c>
      <c r="L47" s="22" t="str">
        <f>VLOOKUP(A47,'Trips&amp;Operators'!$C$1:$G$99999,5,FALSE)</f>
        <v>DAVIDSON DAVID</v>
      </c>
      <c r="M47" s="6">
        <f t="shared" si="1"/>
        <v>2.7013888888177462E-2</v>
      </c>
      <c r="N47" s="7">
        <f t="shared" si="2"/>
        <v>38.899999998975545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06:53:19-700',mode:absolute,to:'2016-12-19 09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4.3700000000000003E-2</v>
      </c>
      <c r="Z47" s="67">
        <f t="shared" si="9"/>
        <v>23.329699999999999</v>
      </c>
      <c r="AA47" s="67">
        <f t="shared" si="10"/>
        <v>23.285999999999998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0135-19</v>
      </c>
      <c r="AE47" s="91" t="str">
        <f t="shared" si="12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47" s="88" t="str">
        <f t="shared" si="13"/>
        <v>"C:\Program Files (x86)\AstroGrep\AstroGrep.exe" /spath="%USERPROFILE%\AppData\Local\Temp\OnboardLogs" /stypes="app*4022*20161219*"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135-19 --locoid 4022 --swversion DE.1.0.8.0 --startMP 204:437 --initTime 2016-12-19T07:53:19 --startdatetime 2016-12-19T08:00:25 --delay 1 --endMP 204:233297 --enddatetime 2016-12-19T08:39:19 --enforcementcount 0 &gt;&gt;C:\Users\stu\Documents\GitHub\eaglep3-reporting\EC\2016-12-19-refined-times.txt</v>
      </c>
      <c r="AI47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{"issue":{"subject":"","project_id":79,"tracker_id":40,"status_id":1,"priority_id":2,"assigned_to_id":23,"start_date":"2016-12-19","description":"","custom_fields":[{"id":1,"name":"Subdivision","value":"EC"},{"id":4,"name":"Milepost","value":"23.3297"},{"id":17,"name":"Train ID","value":"135-19"},{"id":16,"name":"Locomotive ID","value":"4022"},{"id":130,"name":"Impact","value":""},{"id":150,"name":"Time of Event (Mountain Time)","value":"08:39:19"},{"id":151,"name":"Denver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622</v>
      </c>
      <c r="B48" s="7">
        <v>4021</v>
      </c>
      <c r="C48" s="22" t="s">
        <v>205</v>
      </c>
      <c r="D48" s="22" t="s">
        <v>301</v>
      </c>
      <c r="E48" s="13">
        <v>42723.368993055556</v>
      </c>
      <c r="F48" s="13">
        <v>42723.372418981482</v>
      </c>
      <c r="G48" s="7">
        <v>1</v>
      </c>
      <c r="H48" s="22" t="s">
        <v>192</v>
      </c>
      <c r="I48" s="13">
        <v>42723.40152777778</v>
      </c>
      <c r="J48" s="7">
        <v>0</v>
      </c>
      <c r="K48" s="109" t="str">
        <f t="shared" si="0"/>
        <v>4021/4022</v>
      </c>
      <c r="L48" s="22" t="str">
        <f>VLOOKUP(A48,'Trips&amp;Operators'!$C$1:$G$99999,5,FALSE)</f>
        <v>DAVIDSON DAVID</v>
      </c>
      <c r="M48" s="6">
        <f t="shared" si="1"/>
        <v>2.9108796297805384E-2</v>
      </c>
      <c r="N48" s="7">
        <f t="shared" si="2"/>
        <v>41.916666668839753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07:51:21-700',mode:absolute,to:'2016-12-19 10:38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23.2971</v>
      </c>
      <c r="Z48" s="67">
        <f t="shared" si="9"/>
        <v>1.43E-2</v>
      </c>
      <c r="AA48" s="67">
        <f t="shared" si="10"/>
        <v>23.282800000000002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0136-19</v>
      </c>
      <c r="AE48" s="91" t="str">
        <f t="shared" si="12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48" s="88" t="str">
        <f t="shared" si="13"/>
        <v>"C:\Program Files (x86)\AstroGrep\AstroGrep.exe" /spath="%USERPROFILE%\AppData\Local\Temp\OnboardLogs" /stypes="app*4021*20161219*"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136-19 --locoid 4021 --swversion DE.1.0.8.0 --startMP 204:232971 --initTime 2016-12-19T08:51:21 --startdatetime 2016-12-19T08:56:17 --delay 1 --endMP 204:143 --enddatetime 2016-12-19T09:38:12 --enforcementcount 0 &gt;&gt;C:\Users\stu\Documents\GitHub\eaglep3-reporting\EC\2016-12-19-refined-times.txt</v>
      </c>
      <c r="AI48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{"issue":{"subject":"","project_id":79,"tracker_id":40,"status_id":1,"priority_id":2,"assigned_to_id":23,"start_date":"2016-12-19","description":"","custom_fields":[{"id":1,"name":"Subdivision","value":"EC"},{"id":4,"name":"Milepost","value":"0.0143"},{"id":17,"name":"Train ID","value":"136-19"},{"id":16,"name":"Locomotive ID","value":"4021"},{"id":130,"name":"Impact","value":""},{"id":150,"name":"Time of Event (Mountain Time)","value":"09:38:12"},{"id":151,"name":"Denver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614</v>
      </c>
      <c r="B49" s="7">
        <v>4031</v>
      </c>
      <c r="C49" s="22" t="s">
        <v>205</v>
      </c>
      <c r="D49" s="22" t="s">
        <v>272</v>
      </c>
      <c r="E49" s="13">
        <v>42723.339467592596</v>
      </c>
      <c r="F49" s="13">
        <v>42723.343923611108</v>
      </c>
      <c r="G49" s="7">
        <v>1</v>
      </c>
      <c r="H49" s="22" t="s">
        <v>794</v>
      </c>
      <c r="I49" s="13">
        <v>42723.371817129628</v>
      </c>
      <c r="J49" s="7">
        <v>0</v>
      </c>
      <c r="K49" s="109" t="str">
        <f t="shared" si="0"/>
        <v>4031/4032</v>
      </c>
      <c r="L49" s="22" t="str">
        <f>VLOOKUP(A49,'Trips&amp;Operators'!$C$1:$G$99999,5,FALSE)</f>
        <v>SHOOK JOHN</v>
      </c>
      <c r="M49" s="6">
        <f t="shared" si="1"/>
        <v>2.789351851970423E-2</v>
      </c>
      <c r="N49" s="7">
        <f t="shared" si="2"/>
        <v>40.166666668374091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07:08:50-700',mode:absolute,to:'2016-12-19 09:55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4.6199999999999998E-2</v>
      </c>
      <c r="Z49" s="67">
        <f t="shared" si="9"/>
        <v>23.3325</v>
      </c>
      <c r="AA49" s="67">
        <f t="shared" si="10"/>
        <v>23.286300000000001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0137-19</v>
      </c>
      <c r="AE49" s="91" t="str">
        <f t="shared" si="12"/>
        <v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v>
      </c>
      <c r="AF49" s="88" t="str">
        <f t="shared" si="13"/>
        <v>"C:\Program Files (x86)\AstroGrep\AstroGrep.exe" /spath="%USERPROFILE%\AppData\Local\Temp\OnboardLogs" /stypes="app*4031*20161219*"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137-19 --locoid 4031 --swversion DE.1.0.8.0 --startMP 204:462 --initTime 2016-12-19T08:08:50 --startdatetime 2016-12-19T08:15:15 --delay 1 --endMP 204:233325 --enddatetime 2016-12-19T08:55:25 --enforcementcount 0 &gt;&gt;C:\Users\stu\Documents\GitHub\eaglep3-reporting\EC\2016-12-19-refined-times.txt</v>
      </c>
      <c r="AI49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{"issue":{"subject":"","project_id":79,"tracker_id":40,"status_id":1,"priority_id":2,"assigned_to_id":23,"start_date":"2016-12-19","description":"","custom_fields":[{"id":1,"name":"Subdivision","value":"EC"},{"id":4,"name":"Milepost","value":"23.3325"},{"id":17,"name":"Train ID","value":"137-19"},{"id":16,"name":"Locomotive ID","value":"4031"},{"id":130,"name":"Impact","value":""},{"id":150,"name":"Time of Event (Mountain Time)","value":"08:55:25"},{"id":151,"name":"Denver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624</v>
      </c>
      <c r="B50" s="7">
        <v>4032</v>
      </c>
      <c r="C50" s="22" t="s">
        <v>205</v>
      </c>
      <c r="D50" s="22" t="s">
        <v>298</v>
      </c>
      <c r="E50" s="13">
        <v>42723.379305555558</v>
      </c>
      <c r="F50" s="13">
        <v>42723.382847222223</v>
      </c>
      <c r="G50" s="7">
        <v>1</v>
      </c>
      <c r="H50" s="22" t="s">
        <v>795</v>
      </c>
      <c r="I50" s="13">
        <v>42723.410196759258</v>
      </c>
      <c r="J50" s="7">
        <v>0</v>
      </c>
      <c r="K50" s="109" t="str">
        <f t="shared" si="0"/>
        <v>4031/4032</v>
      </c>
      <c r="L50" s="22" t="str">
        <f>VLOOKUP(A50,'Trips&amp;Operators'!$C$1:$G$99999,5,FALSE)</f>
        <v>SHOOK JOHN</v>
      </c>
      <c r="M50" s="6">
        <f t="shared" si="1"/>
        <v>2.7349537034751847E-2</v>
      </c>
      <c r="N50" s="7">
        <f t="shared" si="2"/>
        <v>39.38333333004266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08:06:12-700',mode:absolute,to:'2016-12-19 10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23.3</v>
      </c>
      <c r="Z50" s="67">
        <f t="shared" si="9"/>
        <v>1.52E-2</v>
      </c>
      <c r="AA50" s="67">
        <f t="shared" si="10"/>
        <v>23.284800000000001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0138-19</v>
      </c>
      <c r="AE50" s="91" t="str">
        <f t="shared" si="12"/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AF50" s="88" t="str">
        <f t="shared" si="13"/>
        <v>"C:\Program Files (x86)\AstroGrep\AstroGrep.exe" /spath="%USERPROFILE%\AppData\Local\Temp\OnboardLogs" /stypes="app*4032*20161219*"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138-19 --locoid 4032 --swversion DE.1.0.8.0 --startMP 204:233000 --initTime 2016-12-19T09:06:12 --startdatetime 2016-12-19T09:11:18 --delay 1 --endMP 204:152 --enddatetime 2016-12-19T09:50:41 --enforcementcount 0 &gt;&gt;C:\Users\stu\Documents\GitHub\eaglep3-reporting\EC\2016-12-19-refined-times.txt</v>
      </c>
      <c r="AI50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{"issue":{"subject":"","project_id":79,"tracker_id":40,"status_id":1,"priority_id":2,"assigned_to_id":23,"start_date":"2016-12-19","description":"","custom_fields":[{"id":1,"name":"Subdivision","value":"EC"},{"id":4,"name":"Milepost","value":"0.0152"},{"id":17,"name":"Train ID","value":"138-19"},{"id":16,"name":"Locomotive ID","value":"4032"},{"id":130,"name":"Impact","value":""},{"id":150,"name":"Time of Event (Mountain Time)","value":"09:50:41"},{"id":151,"name":"Denver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617</v>
      </c>
      <c r="B51" s="7">
        <v>4027</v>
      </c>
      <c r="C51" s="22" t="s">
        <v>205</v>
      </c>
      <c r="D51" s="22" t="s">
        <v>228</v>
      </c>
      <c r="E51" s="13">
        <v>42723.352268518516</v>
      </c>
      <c r="F51" s="13">
        <v>42723.354745370372</v>
      </c>
      <c r="G51" s="7">
        <v>0</v>
      </c>
      <c r="H51" s="22" t="s">
        <v>296</v>
      </c>
      <c r="I51" s="13">
        <v>42723.378449074073</v>
      </c>
      <c r="J51" s="7">
        <v>0</v>
      </c>
      <c r="K51" s="109" t="str">
        <f t="shared" si="0"/>
        <v>4027/4028</v>
      </c>
      <c r="L51" s="22" t="str">
        <f>VLOOKUP(A51,'Trips&amp;Operators'!$C$1:$G$99999,5,FALSE)</f>
        <v>SIMMONS SHYHESHA</v>
      </c>
      <c r="M51" s="6">
        <f t="shared" si="1"/>
        <v>2.3703703700448386E-2</v>
      </c>
      <c r="N51" s="7">
        <f t="shared" si="2"/>
        <v>34.133333328645676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07:27:16-700',mode:absolute,to:'2016-12-19 10:04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4.5499999999999999E-2</v>
      </c>
      <c r="Z51" s="67">
        <f t="shared" si="9"/>
        <v>23.328900000000001</v>
      </c>
      <c r="AA51" s="67">
        <f t="shared" si="10"/>
        <v>23.2834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0139-19</v>
      </c>
      <c r="AE51" s="91" t="str">
        <f t="shared" si="12"/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51" s="88" t="str">
        <f t="shared" si="13"/>
        <v>"C:\Program Files (x86)\AstroGrep\AstroGrep.exe" /spath="%USERPROFILE%\AppData\Local\Temp\OnboardLogs" /stypes="app*4027*20161219*"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139-19 --locoid 4027 --swversion DE.1.0.8.0 --startMP 204:455 --initTime 2016-12-19T08:27:16 --startdatetime 2016-12-19T08:30:50 --delay 0 --endMP 204:233289 --enddatetime 2016-12-19T09:04:58 --enforcementcount 0 &gt;&gt;C:\Users\stu\Documents\GitHub\eaglep3-reporting\EC\2016-12-19-refined-times.txt</v>
      </c>
      <c r="AI51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{"issue":{"subject":"","project_id":79,"tracker_id":40,"status_id":1,"priority_id":2,"assigned_to_id":23,"start_date":"2016-12-19","description":"","custom_fields":[{"id":1,"name":"Subdivision","value":"EC"},{"id":4,"name":"Milepost","value":"23.3289"},{"id":17,"name":"Train ID","value":"139-19"},{"id":16,"name":"Locomotive ID","value":"4027"},{"id":130,"name":"Impact","value":""},{"id":150,"name":"Time of Event (Mountain Time)","value":"09:04:58"},{"id":151,"name":"Denver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625</v>
      </c>
      <c r="B52" s="7">
        <v>4028</v>
      </c>
      <c r="C52" s="22" t="s">
        <v>205</v>
      </c>
      <c r="D52" s="22" t="s">
        <v>796</v>
      </c>
      <c r="E52" s="13">
        <v>42723.380185185182</v>
      </c>
      <c r="F52" s="13">
        <v>42723.393703703703</v>
      </c>
      <c r="G52" s="7">
        <v>1</v>
      </c>
      <c r="H52" s="22" t="s">
        <v>262</v>
      </c>
      <c r="I52" s="13">
        <v>42723.419872685183</v>
      </c>
      <c r="J52" s="7">
        <v>0</v>
      </c>
      <c r="K52" s="109" t="str">
        <f t="shared" si="0"/>
        <v>4027/4028</v>
      </c>
      <c r="L52" s="22" t="str">
        <f>VLOOKUP(A52,'Trips&amp;Operators'!$C$1:$G$99999,5,FALSE)</f>
        <v>SIMMONS SHYHESHA</v>
      </c>
      <c r="M52" s="6">
        <f t="shared" si="1"/>
        <v>2.6168981479713693E-2</v>
      </c>
      <c r="N52" s="7">
        <f t="shared" si="2"/>
        <v>37.683333330787718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08:07:28-700',mode:absolute,to:'2016-12-19 11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23.296700000000001</v>
      </c>
      <c r="Z52" s="67">
        <f t="shared" si="9"/>
        <v>1.47E-2</v>
      </c>
      <c r="AA52" s="67">
        <f t="shared" si="10"/>
        <v>23.282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0140-19</v>
      </c>
      <c r="AE52" s="91" t="str">
        <f t="shared" si="12"/>
        <v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v>
      </c>
      <c r="AF52" s="88" t="str">
        <f t="shared" si="13"/>
        <v>"C:\Program Files (x86)\AstroGrep\AstroGrep.exe" /spath="%USERPROFILE%\AppData\Local\Temp\OnboardLogs" /stypes="app*4028*20161219*"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140-19 --locoid 4028 --swversion DE.1.0.8.0 --startMP 204:232967 --initTime 2016-12-19T09:07:28 --startdatetime 2016-12-19T09:26:56 --delay 1 --endMP 204:147 --enddatetime 2016-12-19T10:04:37 --enforcementcount 0 &gt;&gt;C:\Users\stu\Documents\GitHub\eaglep3-reporting\EC\2016-12-19-refined-times.txt</v>
      </c>
      <c r="AI52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{"issue":{"subject":"","project_id":79,"tracker_id":40,"status_id":1,"priority_id":2,"assigned_to_id":23,"start_date":"2016-12-19","description":"","custom_fields":[{"id":1,"name":"Subdivision","value":"EC"},{"id":4,"name":"Milepost","value":"0.0147"},{"id":17,"name":"Train ID","value":"140-19"},{"id":16,"name":"Locomotive ID","value":"4028"},{"id":130,"name":"Impact","value":""},{"id":150,"name":"Time of Event (Mountain Time)","value":"10:04:37"},{"id":151,"name":"Denver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619</v>
      </c>
      <c r="B53" s="7">
        <v>4046</v>
      </c>
      <c r="C53" s="22" t="s">
        <v>205</v>
      </c>
      <c r="D53" s="22" t="s">
        <v>297</v>
      </c>
      <c r="E53" s="13">
        <v>42723.356041666666</v>
      </c>
      <c r="F53" s="13">
        <v>42723.364837962959</v>
      </c>
      <c r="G53" s="7">
        <v>1</v>
      </c>
      <c r="H53" s="22" t="s">
        <v>442</v>
      </c>
      <c r="I53" s="13">
        <v>42723.388657407406</v>
      </c>
      <c r="J53" s="7">
        <v>0</v>
      </c>
      <c r="K53" s="109" t="str">
        <f t="shared" si="0"/>
        <v>4045/4046</v>
      </c>
      <c r="L53" s="22" t="str">
        <f>VLOOKUP(A53,'Trips&amp;Operators'!$C$1:$G$99999,5,FALSE)</f>
        <v>YANAI IAN</v>
      </c>
      <c r="M53" s="6">
        <f t="shared" si="1"/>
        <v>2.3819444446417037E-2</v>
      </c>
      <c r="N53" s="7">
        <f t="shared" si="2"/>
        <v>34.300000002840534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07:32:42-700',mode:absolute,to:'2016-12-19 10:19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4.5699999999999998E-2</v>
      </c>
      <c r="Z53" s="67">
        <f t="shared" si="9"/>
        <v>23.3308</v>
      </c>
      <c r="AA53" s="67">
        <f t="shared" si="10"/>
        <v>23.2851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0141-19</v>
      </c>
      <c r="AE53" s="91" t="str">
        <f t="shared" si="12"/>
        <v>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 &amp; 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</v>
      </c>
      <c r="AF53" s="88" t="str">
        <f t="shared" si="13"/>
        <v>"C:\Program Files (x86)\AstroGrep\AstroGrep.exe" /spath="%USERPROFILE%\AppData\Local\Temp\OnboardLogs" /stypes="app*4046*20161219*"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141-19 --locoid 4046 --swversion DE.1.0.8.0 --startMP 204:457 --initTime 2016-12-19T08:32:42 --startdatetime 2016-12-19T08:45:22 --delay 1 --endMP 204:233308 --enddatetime 2016-12-19T09:19:40 --enforcementcount 0 &gt;&gt;C:\Users\stu\Documents\GitHub\eaglep3-reporting\EC\2016-12-19-refined-times.txt</v>
      </c>
      <c r="AI53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{"issue":{"subject":"","project_id":79,"tracker_id":40,"status_id":1,"priority_id":2,"assigned_to_id":23,"start_date":"2016-12-19","description":"","custom_fields":[{"id":1,"name":"Subdivision","value":"EC"},{"id":4,"name":"Milepost","value":"23.3308"},{"id":17,"name":"Train ID","value":"141-19"},{"id":16,"name":"Locomotive ID","value":"4046"},{"id":130,"name":"Impact","value":""},{"id":150,"name":"Time of Event (Mountain Time)","value":"09:19:40"},{"id":151,"name":"Denver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627</v>
      </c>
      <c r="B54" s="7">
        <v>4045</v>
      </c>
      <c r="C54" s="22" t="s">
        <v>205</v>
      </c>
      <c r="D54" s="22" t="s">
        <v>298</v>
      </c>
      <c r="E54" s="13">
        <v>42723.390810185185</v>
      </c>
      <c r="F54" s="13">
        <v>42723.403611111113</v>
      </c>
      <c r="G54" s="7">
        <v>2</v>
      </c>
      <c r="H54" s="22" t="s">
        <v>268</v>
      </c>
      <c r="I54" s="13">
        <v>42723.430694444447</v>
      </c>
      <c r="J54" s="7">
        <v>0</v>
      </c>
      <c r="K54" s="109" t="str">
        <f t="shared" si="0"/>
        <v>4045/4046</v>
      </c>
      <c r="L54" s="22" t="str">
        <f>VLOOKUP(A54,'Trips&amp;Operators'!$C$1:$G$99999,5,FALSE)</f>
        <v>YANAI IAN</v>
      </c>
      <c r="M54" s="6">
        <f t="shared" si="1"/>
        <v>2.7083333334303461E-2</v>
      </c>
      <c r="N54" s="7">
        <f t="shared" si="2"/>
        <v>39.000000001396984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08:22:46-700',mode:absolute,to:'2016-12-19 11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23.3</v>
      </c>
      <c r="Z54" s="67">
        <f t="shared" si="9"/>
        <v>1.61E-2</v>
      </c>
      <c r="AA54" s="67">
        <f t="shared" si="10"/>
        <v>23.283899999999999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0142-19</v>
      </c>
      <c r="AE54" s="91" t="str">
        <f t="shared" si="12"/>
        <v>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 &amp; 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</v>
      </c>
      <c r="AF54" s="88" t="str">
        <f t="shared" si="13"/>
        <v>"C:\Program Files (x86)\AstroGrep\AstroGrep.exe" /spath="%USERPROFILE%\AppData\Local\Temp\OnboardLogs" /stypes="app*4045*20161219*"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142-19 --locoid 4045 --swversion DE.1.0.8.0 --startMP 204:233000 --initTime 2016-12-19T09:22:46 --startdatetime 2016-12-19T09:41:12 --delay 2 --endMP 204:161 --enddatetime 2016-12-19T10:20:12 --enforcementcount 0 &gt;&gt;C:\Users\stu\Documents\GitHub\eaglep3-reporting\EC\2016-12-19-refined-times.txt</v>
      </c>
      <c r="AI54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{"issue":{"subject":"","project_id":79,"tracker_id":40,"status_id":1,"priority_id":2,"assigned_to_id":23,"start_date":"2016-12-19","description":"","custom_fields":[{"id":1,"name":"Subdivision","value":"EC"},{"id":4,"name":"Milepost","value":"0.0161"},{"id":17,"name":"Train ID","value":"142-19"},{"id":16,"name":"Locomotive ID","value":"4045"},{"id":130,"name":"Impact","value":""},{"id":150,"name":"Time of Event (Mountain Time)","value":"10:20:12"},{"id":151,"name":"Denver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623</v>
      </c>
      <c r="B55" s="7">
        <v>4009</v>
      </c>
      <c r="C55" s="22" t="s">
        <v>205</v>
      </c>
      <c r="D55" s="22" t="s">
        <v>789</v>
      </c>
      <c r="E55" s="13">
        <v>42723.376331018517</v>
      </c>
      <c r="F55" s="13">
        <v>42723.377523148149</v>
      </c>
      <c r="G55" s="7">
        <v>1</v>
      </c>
      <c r="H55" s="22" t="s">
        <v>797</v>
      </c>
      <c r="I55" s="13">
        <v>42723.400810185187</v>
      </c>
      <c r="J55" s="7">
        <v>0</v>
      </c>
      <c r="K55" s="109" t="str">
        <f t="shared" si="0"/>
        <v>4009/4010</v>
      </c>
      <c r="L55" s="22" t="str">
        <f>VLOOKUP(A55,'Trips&amp;Operators'!$C$1:$G$99999,5,FALSE)</f>
        <v>ROBINSON KADDIBA</v>
      </c>
      <c r="M55" s="6">
        <f t="shared" si="1"/>
        <v>2.3287037038244307E-2</v>
      </c>
      <c r="N55" s="7">
        <f t="shared" si="2"/>
        <v>33.533333335071802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08:01:55-700',mode:absolute,to:'2016-12-19 10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4.3799999999999999E-2</v>
      </c>
      <c r="Z55" s="67">
        <f t="shared" si="9"/>
        <v>23.3337</v>
      </c>
      <c r="AA55" s="67">
        <f t="shared" si="10"/>
        <v>23.289899999999999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0143-19</v>
      </c>
      <c r="AE55" s="91" t="str">
        <f t="shared" si="12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55" s="88" t="str">
        <f t="shared" si="13"/>
        <v>"C:\Program Files (x86)\AstroGrep\AstroGrep.exe" /spath="%USERPROFILE%\AppData\Local\Temp\OnboardLogs" /stypes="app*4009*20161219*"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143-19 --locoid 4009 --swversion DE.1.0.8.0 --startMP 204:438 --initTime 2016-12-19T09:01:55 --startdatetime 2016-12-19T09:03:38 --delay 1 --endMP 204:233337 --enddatetime 2016-12-19T09:37:10 --enforcementcount 0 &gt;&gt;C:\Users\stu\Documents\GitHub\eaglep3-reporting\EC\2016-12-19-refined-times.txt</v>
      </c>
      <c r="AI55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{"issue":{"subject":"","project_id":79,"tracker_id":40,"status_id":1,"priority_id":2,"assigned_to_id":23,"start_date":"2016-12-19","description":"","custom_fields":[{"id":1,"name":"Subdivision","value":"EC"},{"id":4,"name":"Milepost","value":"23.3337"},{"id":17,"name":"Train ID","value":"143-19"},{"id":16,"name":"Locomotive ID","value":"4009"},{"id":130,"name":"Impact","value":""},{"id":150,"name":"Time of Event (Mountain Time)","value":"09:37:10"},{"id":151,"name":"Denver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631</v>
      </c>
      <c r="B56" s="7">
        <v>4010</v>
      </c>
      <c r="C56" s="22" t="s">
        <v>205</v>
      </c>
      <c r="D56" s="22" t="s">
        <v>444</v>
      </c>
      <c r="E56" s="13">
        <v>42723.409409722219</v>
      </c>
      <c r="F56" s="13">
        <v>42723.414097222223</v>
      </c>
      <c r="G56" s="7">
        <v>1</v>
      </c>
      <c r="H56" s="22" t="s">
        <v>795</v>
      </c>
      <c r="I56" s="13">
        <v>42723.442465277774</v>
      </c>
      <c r="J56" s="7">
        <v>0</v>
      </c>
      <c r="K56" s="109" t="str">
        <f t="shared" si="0"/>
        <v>4009/4010</v>
      </c>
      <c r="L56" s="22" t="str">
        <f>VLOOKUP(A56,'Trips&amp;Operators'!$C$1:$G$99999,5,FALSE)</f>
        <v>ROBINSON KADDIBA</v>
      </c>
      <c r="M56" s="6">
        <f t="shared" si="1"/>
        <v>2.8368055551254656E-2</v>
      </c>
      <c r="N56" s="7">
        <f t="shared" si="2"/>
        <v>40.849999993806705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08:49:33-700',mode:absolute,to:'2016-12-19 11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23.301300000000001</v>
      </c>
      <c r="Z56" s="67">
        <f t="shared" si="9"/>
        <v>1.52E-2</v>
      </c>
      <c r="AA56" s="67">
        <f t="shared" si="10"/>
        <v>23.286100000000001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0144-19</v>
      </c>
      <c r="AE56" s="91" t="str">
        <f t="shared" si="12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56" s="88" t="str">
        <f t="shared" si="13"/>
        <v>"C:\Program Files (x86)\AstroGrep\AstroGrep.exe" /spath="%USERPROFILE%\AppData\Local\Temp\OnboardLogs" /stypes="app*4010*20161219*"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144-19 --locoid 4010 --swversion DE.1.0.8.0 --startMP 204:233013 --initTime 2016-12-19T09:49:33 --startdatetime 2016-12-19T09:56:18 --delay 1 --endMP 204:152 --enddatetime 2016-12-19T10:37:09 --enforcementcount 0 &gt;&gt;C:\Users\stu\Documents\GitHub\eaglep3-reporting\EC\2016-12-19-refined-times.txt</v>
      </c>
      <c r="AI56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{"issue":{"subject":"","project_id":79,"tracker_id":40,"status_id":1,"priority_id":2,"assigned_to_id":23,"start_date":"2016-12-19","description":"","custom_fields":[{"id":1,"name":"Subdivision","value":"EC"},{"id":4,"name":"Milepost","value":"0.0152"},{"id":17,"name":"Train ID","value":"144-19"},{"id":16,"name":"Locomotive ID","value":"4010"},{"id":130,"name":"Impact","value":""},{"id":150,"name":"Time of Event (Mountain Time)","value":"10:37:09"},{"id":151,"name":"Denver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626</v>
      </c>
      <c r="B57" s="7">
        <v>4020</v>
      </c>
      <c r="C57" s="22" t="s">
        <v>205</v>
      </c>
      <c r="D57" s="22" t="s">
        <v>193</v>
      </c>
      <c r="E57" s="13">
        <v>42723.382314814815</v>
      </c>
      <c r="F57" s="13">
        <v>42723.38590277778</v>
      </c>
      <c r="G57" s="7">
        <v>1</v>
      </c>
      <c r="H57" s="22" t="s">
        <v>445</v>
      </c>
      <c r="I57" s="13">
        <v>42723.409849537034</v>
      </c>
      <c r="J57" s="7">
        <v>0</v>
      </c>
      <c r="K57" s="109" t="str">
        <f t="shared" si="0"/>
        <v>4019/4020</v>
      </c>
      <c r="L57" s="22" t="str">
        <f>VLOOKUP(A57,'Trips&amp;Operators'!$C$1:$G$99999,5,FALSE)</f>
        <v>MAGEE KENYA</v>
      </c>
      <c r="M57" s="6">
        <f t="shared" si="1"/>
        <v>2.3946759254613426E-2</v>
      </c>
      <c r="N57" s="7">
        <f t="shared" si="2"/>
        <v>34.483333326643333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08:10:32-700',mode:absolute,to:'2016-12-19 10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4.4699999999999997E-2</v>
      </c>
      <c r="Z57" s="67">
        <f t="shared" si="9"/>
        <v>23.333400000000001</v>
      </c>
      <c r="AA57" s="67">
        <f t="shared" si="10"/>
        <v>23.288700000000002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0145-19</v>
      </c>
      <c r="AE57" s="91" t="str">
        <f t="shared" si="12"/>
        <v>aws s3 cp s3://rtdc.mdm.uploadarchive.raw/RTDC4020/ "%USERPROFILE%\AppData\Local\Temp\OnboardLogs"\RTDC4020\2016-12-19 --exclude "*" --recursive --include "*20161219*" &amp; "%USERPROFILE%\Documents\GitHub\mrs-test-scripts\Headless Mode &amp; Sideloading\WalkAndUnGZ.bat" "%USERPROFILE%\AppData\Local\Temp\OnboardLogs"\RTDC4020\2016-12-19 &amp; 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</v>
      </c>
      <c r="AF57" s="88" t="str">
        <f t="shared" si="13"/>
        <v>"C:\Program Files (x86)\AstroGrep\AstroGrep.exe" /spath="%USERPROFILE%\AppData\Local\Temp\OnboardLogs" /stypes="app*4020*20161219*"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145-19 --locoid 4020 --swversion DE.1.0.8.0 --startMP 204:447 --initTime 2016-12-19T09:10:32 --startdatetime 2016-12-19T09:15:42 --delay 1 --endMP 204:233334 --enddatetime 2016-12-19T09:50:11 --enforcementcount 0 &gt;&gt;C:\Users\stu\Documents\GitHub\eaglep3-reporting\EC\2016-12-19-refined-times.txt</v>
      </c>
      <c r="AI57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{"issue":{"subject":"","project_id":79,"tracker_id":40,"status_id":1,"priority_id":2,"assigned_to_id":23,"start_date":"2016-12-19","description":"","custom_fields":[{"id":1,"name":"Subdivision","value":"EC"},{"id":4,"name":"Milepost","value":"23.3334"},{"id":17,"name":"Train ID","value":"145-19"},{"id":16,"name":"Locomotive ID","value":"4020"},{"id":130,"name":"Impact","value":""},{"id":150,"name":"Time of Event (Mountain Time)","value":"09:50:11"},{"id":151,"name":"Denver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633</v>
      </c>
      <c r="B58" s="7">
        <v>4019</v>
      </c>
      <c r="C58" s="22" t="s">
        <v>205</v>
      </c>
      <c r="D58" s="22" t="s">
        <v>798</v>
      </c>
      <c r="E58" s="13">
        <v>42723.419259259259</v>
      </c>
      <c r="F58" s="13">
        <v>42723.424710648149</v>
      </c>
      <c r="G58" s="7">
        <v>1</v>
      </c>
      <c r="H58" s="22" t="s">
        <v>211</v>
      </c>
      <c r="I58" s="13">
        <v>42723.451377314814</v>
      </c>
      <c r="J58" s="7">
        <v>0</v>
      </c>
      <c r="K58" s="109" t="str">
        <f t="shared" si="0"/>
        <v>4019/4020</v>
      </c>
      <c r="L58" s="22" t="str">
        <f>VLOOKUP(A58,'Trips&amp;Operators'!$C$1:$G$99999,5,FALSE)</f>
        <v>MAGEE KENYA</v>
      </c>
      <c r="M58" s="6">
        <f t="shared" si="1"/>
        <v>2.6666666664823424E-2</v>
      </c>
      <c r="N58" s="7">
        <f t="shared" si="2"/>
        <v>38.399999997345731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09:03:44-700',mode:absolute,to:'2016-12-19 11:49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23.302800000000001</v>
      </c>
      <c r="Z58" s="67">
        <f t="shared" si="9"/>
        <v>1.4999999999999999E-2</v>
      </c>
      <c r="AA58" s="67">
        <f t="shared" si="10"/>
        <v>23.287800000000001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0146-19</v>
      </c>
      <c r="AE58" s="91" t="str">
        <f t="shared" si="12"/>
        <v>aws s3 cp s3://rtdc.mdm.uploadarchive.raw/RTDC4019/ "%USERPROFILE%\AppData\Local\Temp\OnboardLogs"\RTDC4019\2016-12-19 --exclude "*" --recursive --include "*20161219*" &amp; "%USERPROFILE%\Documents\GitHub\mrs-test-scripts\Headless Mode &amp; Sideloading\WalkAndUnGZ.bat" "%USERPROFILE%\AppData\Local\Temp\OnboardLogs"\RTDC4019\2016-12-19 &amp; 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</v>
      </c>
      <c r="AF58" s="88" t="str">
        <f t="shared" si="13"/>
        <v>"C:\Program Files (x86)\AstroGrep\AstroGrep.exe" /spath="%USERPROFILE%\AppData\Local\Temp\OnboardLogs" /stypes="app*4019*20161219*"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146-19 --locoid 4019 --swversion DE.1.0.8.0 --startMP 204:233028 --initTime 2016-12-19T10:03:44 --startdatetime 2016-12-19T10:11:35 --delay 1 --endMP 204:150 --enddatetime 2016-12-19T10:49:59 --enforcementcount 0 &gt;&gt;C:\Users\stu\Documents\GitHub\eaglep3-reporting\EC\2016-12-19-refined-times.txt</v>
      </c>
      <c r="AI58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{"issue":{"subject":"","project_id":79,"tracker_id":40,"status_id":1,"priority_id":2,"assigned_to_id":23,"start_date":"2016-12-19","description":"","custom_fields":[{"id":1,"name":"Subdivision","value":"EC"},{"id":4,"name":"Milepost","value":"0.015"},{"id":17,"name":"Train ID","value":"146-19"},{"id":16,"name":"Locomotive ID","value":"4019"},{"id":130,"name":"Impact","value":""},{"id":150,"name":"Time of Event (Mountain Time)","value":"10:49:59"},{"id":151,"name":"Denver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544</v>
      </c>
      <c r="B59" s="7">
        <v>4018</v>
      </c>
      <c r="C59" s="22" t="s">
        <v>205</v>
      </c>
      <c r="D59" s="22" t="s">
        <v>524</v>
      </c>
      <c r="E59" s="13">
        <v>42723.394606481481</v>
      </c>
      <c r="F59" s="13">
        <v>42723.396331018521</v>
      </c>
      <c r="G59" s="7">
        <v>1</v>
      </c>
      <c r="H59" s="22" t="s">
        <v>517</v>
      </c>
      <c r="I59" s="13">
        <v>42723.42328703704</v>
      </c>
      <c r="J59" s="7">
        <v>0</v>
      </c>
      <c r="K59" s="109" t="str">
        <f t="shared" si="0"/>
        <v>4017/4018</v>
      </c>
      <c r="L59" s="22" t="str">
        <f>VLOOKUP(A59,'Trips&amp;Operators'!$C$1:$G$99999,5,FALSE)</f>
        <v>STARKS ANGELINA</v>
      </c>
      <c r="M59" s="6">
        <f t="shared" si="1"/>
        <v>2.6956018518831115E-2</v>
      </c>
      <c r="N59" s="7">
        <f t="shared" si="2"/>
        <v>38.816666667116806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08:28:14-700',mode:absolute,to:'2016-12-19 11:09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5.1299999999999998E-2</v>
      </c>
      <c r="Z59" s="67">
        <f t="shared" si="9"/>
        <v>23.330100000000002</v>
      </c>
      <c r="AA59" s="67">
        <f t="shared" si="10"/>
        <v>23.2788</v>
      </c>
      <c r="AB59" s="64" t="str">
        <f>VLOOKUP(A59,Enforcements!$C$7:$K$19,8,0)</f>
        <v>Bulletin (2)</v>
      </c>
      <c r="AC59" s="60" t="str">
        <f>VLOOKUP(A59,Enforcements!$C$7:$E$19,3,0)</f>
        <v>GRADE CROSSING</v>
      </c>
      <c r="AD59" s="61" t="str">
        <f t="shared" si="11"/>
        <v>0147-19</v>
      </c>
      <c r="AE59" s="91" t="str">
        <f t="shared" si="12"/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AF59" s="88" t="str">
        <f t="shared" si="13"/>
        <v>"C:\Program Files (x86)\AstroGrep\AstroGrep.exe" /spath="%USERPROFILE%\AppData\Local\Temp\OnboardLogs" /stypes="app*4018*20161219*"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147-19 --locoid 4018 --swversion DE.1.0.8.0 --startMP 204:513 --initTime 2016-12-19T09:28:14 --startdatetime 2016-12-19T09:30:43 --delay 1 --endMP 204:233301 --enddatetime 2016-12-19T10:09:32 --enforcementcount 0 &gt;&gt;C:\Users\stu\Documents\GitHub\eaglep3-reporting\EC\2016-12-19-refined-times.txt</v>
      </c>
      <c r="AI59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{"issue":{"subject":"","project_id":79,"tracker_id":40,"status_id":1,"priority_id":2,"assigned_to_id":23,"start_date":"2016-12-19","description":"","custom_fields":[{"id":1,"name":"Subdivision","value":"EC"},{"id":4,"name":"Milepost","value":"23.3301"},{"id":17,"name":"Train ID","value":"147-19"},{"id":16,"name":"Locomotive ID","value":"4018"},{"id":130,"name":"Impact","value":""},{"id":150,"name":"Time of Event (Mountain Time)","value":"10:09:32"},{"id":151,"name":"Denver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547</v>
      </c>
      <c r="B60" s="7">
        <v>4017</v>
      </c>
      <c r="C60" s="22" t="s">
        <v>205</v>
      </c>
      <c r="D60" s="22" t="s">
        <v>799</v>
      </c>
      <c r="E60" s="13">
        <v>42723.431122685186</v>
      </c>
      <c r="F60" s="13">
        <v>42723.448888888888</v>
      </c>
      <c r="G60" s="7">
        <v>23</v>
      </c>
      <c r="H60" s="22" t="s">
        <v>795</v>
      </c>
      <c r="I60" s="13">
        <v>42723.466458333336</v>
      </c>
      <c r="J60" s="7">
        <v>0</v>
      </c>
      <c r="K60" s="109" t="str">
        <f t="shared" si="0"/>
        <v>4017/4018</v>
      </c>
      <c r="L60" s="22" t="str">
        <f>VLOOKUP(A60,'Trips&amp;Operators'!$C$1:$G$99999,5,FALSE)</f>
        <v>STARKS ANGELINA</v>
      </c>
      <c r="M60" s="6">
        <f t="shared" si="1"/>
        <v>1.7569444447872229E-2</v>
      </c>
      <c r="N60" s="7"/>
      <c r="O60" s="7"/>
      <c r="P60" s="7">
        <f t="shared" si="2"/>
        <v>25.30000000493601</v>
      </c>
      <c r="Q60" s="23"/>
      <c r="R60" s="23" t="s">
        <v>973</v>
      </c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09:20:49-700',mode:absolute,to:'2016-12-19 12:11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0" s="52" t="str">
        <f t="shared" si="6"/>
        <v>Y</v>
      </c>
      <c r="X60" s="177">
        <f t="shared" si="7"/>
        <v>1</v>
      </c>
      <c r="Y60" s="67">
        <f t="shared" si="8"/>
        <v>12.787699999999999</v>
      </c>
      <c r="Z60" s="67">
        <f t="shared" si="9"/>
        <v>1.52E-2</v>
      </c>
      <c r="AA60" s="67">
        <f t="shared" si="10"/>
        <v>12.772499999999999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0148-19</v>
      </c>
      <c r="AE60" s="91" t="str">
        <f t="shared" si="12"/>
        <v>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 &amp; 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</v>
      </c>
      <c r="AF60" s="88" t="str">
        <f t="shared" si="13"/>
        <v>"C:\Program Files (x86)\AstroGrep\AstroGrep.exe" /spath="%USERPROFILE%\AppData\Local\Temp\OnboardLogs" /stypes="app*4017*20161219*"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148-19 --locoid 4017 --swversion DE.1.0.8.0 --startMP 204:127877 --initTime 2016-12-19T10:20:49 --startdatetime 2016-12-19T10:46:24 --delay 23 --endMP 204:152 --enddatetime 2016-12-19T11:11:42 --enforcementcount 0 &gt;&gt;C:\Users\stu\Documents\GitHub\eaglep3-reporting\EC\2016-12-19-refined-times.txt</v>
      </c>
      <c r="AI60" s="119" t="str">
        <f t="shared" si="18"/>
        <v>echo {"issue":{"subject":"Onboard in-route failure","project_id":79,"tracker_id":40,"status_id":1,"priority_id":2,"assigned_to_id":23,"start_date":"2016-12-19","description":"","custom_fields":[{"id":1,"name":"Subdivision","value":"EC"},{"id":4,"name":"Milepost","value":"0.0152"},{"id":17,"name":"Train ID","value":"148-19"},{"id":16,"name":"Locomotive ID","value":"4017"},{"id":130,"name":"Impact","value":""},{"id":150,"name":"Time of Event (Mountain Time)","value":"11:11:42"},{"id":151,"name":"Denver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545</v>
      </c>
      <c r="B61" s="7">
        <v>4022</v>
      </c>
      <c r="C61" s="22" t="s">
        <v>205</v>
      </c>
      <c r="D61" s="22" t="s">
        <v>800</v>
      </c>
      <c r="E61" s="13">
        <v>42723.403263888889</v>
      </c>
      <c r="F61" s="13">
        <v>42723.406458333331</v>
      </c>
      <c r="G61" s="7">
        <v>1</v>
      </c>
      <c r="H61" s="22" t="s">
        <v>801</v>
      </c>
      <c r="I61" s="13">
        <v>42723.433113425926</v>
      </c>
      <c r="J61" s="7">
        <v>0</v>
      </c>
      <c r="K61" s="109" t="str">
        <f t="shared" si="0"/>
        <v>4021/4022</v>
      </c>
      <c r="L61" s="22" t="str">
        <f>VLOOKUP(A61,'Trips&amp;Operators'!$C$1:$G$99999,5,FALSE)</f>
        <v>DAVIDSON DAVID</v>
      </c>
      <c r="M61" s="6">
        <f t="shared" si="1"/>
        <v>2.6655092595319729E-2</v>
      </c>
      <c r="N61" s="7">
        <f t="shared" si="2"/>
        <v>38.38333333726041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08:40:42-700',mode:absolute,to:'2016-12-19 11:23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5.11E-2</v>
      </c>
      <c r="Z61" s="67">
        <f t="shared" si="9"/>
        <v>23.321000000000002</v>
      </c>
      <c r="AA61" s="67">
        <f t="shared" si="10"/>
        <v>23.2699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0149-19</v>
      </c>
      <c r="AE61" s="91" t="str">
        <f t="shared" si="12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61" s="88" t="str">
        <f t="shared" si="13"/>
        <v>"C:\Program Files (x86)\AstroGrep\AstroGrep.exe" /spath="%USERPROFILE%\AppData\Local\Temp\OnboardLogs" /stypes="app*4022*20161219*"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149-19 --locoid 4022 --swversion DE.1.0.8.0 --startMP 204:511 --initTime 2016-12-19T09:40:42 --startdatetime 2016-12-19T09:45:18 --delay 1 --endMP 204:233210 --enddatetime 2016-12-19T10:23:41 --enforcementcount 0 &gt;&gt;C:\Users\stu\Documents\GitHub\eaglep3-reporting\EC\2016-12-19-refined-times.txt</v>
      </c>
      <c r="AI61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{"issue":{"subject":"","project_id":79,"tracker_id":40,"status_id":1,"priority_id":2,"assigned_to_id":23,"start_date":"2016-12-19","description":"","custom_fields":[{"id":1,"name":"Subdivision","value":"EC"},{"id":4,"name":"Milepost","value":"23.321"},{"id":17,"name":"Train ID","value":"149-19"},{"id":16,"name":"Locomotive ID","value":"4022"},{"id":130,"name":"Impact","value":""},{"id":150,"name":"Time of Event (Mountain Time)","value":"10:23:41"},{"id":151,"name":"Denver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550</v>
      </c>
      <c r="B62" s="7">
        <v>4021</v>
      </c>
      <c r="C62" s="22" t="s">
        <v>205</v>
      </c>
      <c r="D62" s="22" t="s">
        <v>802</v>
      </c>
      <c r="E62" s="13">
        <v>42723.438842592594</v>
      </c>
      <c r="F62" s="13">
        <v>42723.445324074077</v>
      </c>
      <c r="G62" s="7">
        <v>1</v>
      </c>
      <c r="H62" s="22" t="s">
        <v>803</v>
      </c>
      <c r="I62" s="13">
        <v>42723.472708333335</v>
      </c>
      <c r="J62" s="7">
        <v>0</v>
      </c>
      <c r="K62" s="109" t="str">
        <f t="shared" si="0"/>
        <v>4021/4022</v>
      </c>
      <c r="L62" s="22" t="str">
        <f>VLOOKUP(A62,'Trips&amp;Operators'!$C$1:$G$99999,5,FALSE)</f>
        <v>DAVIDSON DAVID</v>
      </c>
      <c r="M62" s="6">
        <f t="shared" si="1"/>
        <v>2.7384259257814847E-2</v>
      </c>
      <c r="N62" s="7">
        <f t="shared" si="2"/>
        <v>39.43333333125338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09:31:56-700',mode:absolute,to:'2016-12-19 12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23.2913</v>
      </c>
      <c r="Z62" s="67">
        <f t="shared" si="9"/>
        <v>1.3599999999999999E-2</v>
      </c>
      <c r="AA62" s="67">
        <f t="shared" si="10"/>
        <v>23.277699999999999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0150-19</v>
      </c>
      <c r="AE62" s="91" t="str">
        <f t="shared" si="12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62" s="88" t="str">
        <f t="shared" si="13"/>
        <v>"C:\Program Files (x86)\AstroGrep\AstroGrep.exe" /spath="%USERPROFILE%\AppData\Local\Temp\OnboardLogs" /stypes="app*4021*20161219*"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150-19 --locoid 4021 --swversion DE.1.0.8.0 --startMP 204:232913 --initTime 2016-12-19T10:31:56 --startdatetime 2016-12-19T10:41:16 --delay 1 --endMP 204:136 --enddatetime 2016-12-19T11:20:42 --enforcementcount 0 &gt;&gt;C:\Users\stu\Documents\GitHub\eaglep3-reporting\EC\2016-12-19-refined-times.txt</v>
      </c>
      <c r="AI62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{"issue":{"subject":"","project_id":79,"tracker_id":40,"status_id":1,"priority_id":2,"assigned_to_id":23,"start_date":"2016-12-19","description":"","custom_fields":[{"id":1,"name":"Subdivision","value":"EC"},{"id":4,"name":"Milepost","value":"0.0136"},{"id":17,"name":"Train ID","value":"150-19"},{"id":16,"name":"Locomotive ID","value":"4021"},{"id":130,"name":"Impact","value":""},{"id":150,"name":"Time of Event (Mountain Time)","value":"11:20:42"},{"id":151,"name":"Denver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632</v>
      </c>
      <c r="B63" s="7">
        <v>4031</v>
      </c>
      <c r="C63" s="22" t="s">
        <v>205</v>
      </c>
      <c r="D63" s="22" t="s">
        <v>256</v>
      </c>
      <c r="E63" s="13">
        <v>42723.412222222221</v>
      </c>
      <c r="F63" s="13">
        <v>42723.455752314818</v>
      </c>
      <c r="G63" s="7">
        <v>1</v>
      </c>
      <c r="H63" s="22" t="s">
        <v>804</v>
      </c>
      <c r="I63" s="13">
        <v>42723.485358796293</v>
      </c>
      <c r="J63" s="7">
        <v>0</v>
      </c>
      <c r="K63" s="109" t="str">
        <f t="shared" si="0"/>
        <v>4031/4032</v>
      </c>
      <c r="L63" s="22" t="str">
        <f>VLOOKUP(A63,'Trips&amp;Operators'!$C$1:$G$99999,5,FALSE)</f>
        <v>SHOOK JOHN</v>
      </c>
      <c r="M63" s="6">
        <f t="shared" si="1"/>
        <v>2.9606481475639157E-2</v>
      </c>
      <c r="N63" s="7">
        <f t="shared" si="2"/>
        <v>42.633333324920386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08:53:36-700',mode:absolute,to:'2016-12-19 12:38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4.53E-2</v>
      </c>
      <c r="Z63" s="67">
        <f t="shared" si="9"/>
        <v>23.327400000000001</v>
      </c>
      <c r="AA63" s="67">
        <f t="shared" si="10"/>
        <v>23.2821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0151-19</v>
      </c>
      <c r="AE63" s="91" t="str">
        <f t="shared" si="12"/>
        <v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v>
      </c>
      <c r="AF63" s="88" t="str">
        <f t="shared" si="13"/>
        <v>"C:\Program Files (x86)\AstroGrep\AstroGrep.exe" /spath="%USERPROFILE%\AppData\Local\Temp\OnboardLogs" /stypes="app*4031*20161219*"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151-19 --locoid 4031 --swversion DE.1.0.8.0 --startMP 204:453 --initTime 2016-12-19T09:53:36 --startdatetime 2016-12-19T10:56:17 --delay 1 --endMP 204:233274 --enddatetime 2016-12-19T11:38:55 --enforcementcount 0 &gt;&gt;C:\Users\stu\Documents\GitHub\eaglep3-reporting\EC\2016-12-19-refined-times.txt</v>
      </c>
      <c r="AI63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{"issue":{"subject":"","project_id":79,"tracker_id":40,"status_id":1,"priority_id":2,"assigned_to_id":23,"start_date":"2016-12-19","description":"","custom_fields":[{"id":1,"name":"Subdivision","value":"EC"},{"id":4,"name":"Milepost","value":"23.3274"},{"id":17,"name":"Train ID","value":"151-19"},{"id":16,"name":"Locomotive ID","value":"4031"},{"id":130,"name":"Impact","value":""},{"id":150,"name":"Time of Event (Mountain Time)","value":"11:38:55"},{"id":151,"name":"Denver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548</v>
      </c>
      <c r="B64" s="7">
        <v>4032</v>
      </c>
      <c r="C64" s="22" t="s">
        <v>205</v>
      </c>
      <c r="D64" s="22" t="s">
        <v>805</v>
      </c>
      <c r="E64" s="13">
        <v>42723.45008101852</v>
      </c>
      <c r="F64" s="13">
        <v>42723.455752314818</v>
      </c>
      <c r="G64" s="7">
        <v>1</v>
      </c>
      <c r="H64" s="22" t="s">
        <v>304</v>
      </c>
      <c r="I64" s="13">
        <v>42723.485358796293</v>
      </c>
      <c r="J64" s="7">
        <v>0</v>
      </c>
      <c r="K64" s="109" t="str">
        <f t="shared" si="0"/>
        <v>4031/4032</v>
      </c>
      <c r="L64" s="22" t="str">
        <f>VLOOKUP(A64,'Trips&amp;Operators'!$C$1:$G$99999,5,FALSE)</f>
        <v>SHOOK JOHN</v>
      </c>
      <c r="M64" s="6">
        <f t="shared" si="1"/>
        <v>2.9606481475639157E-2</v>
      </c>
      <c r="N64" s="7">
        <f t="shared" si="2"/>
        <v>42.633333324920386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09:48:07-700',mode:absolute,to:'2016-12-19 12:38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23.295500000000001</v>
      </c>
      <c r="Z64" s="67">
        <f t="shared" si="9"/>
        <v>1.34E-2</v>
      </c>
      <c r="AA64" s="67">
        <f t="shared" si="10"/>
        <v>23.2821</v>
      </c>
      <c r="AB64" s="64" t="str">
        <f>VLOOKUP(A64,Enforcements!$C$7:$K$19,8,0)</f>
        <v>Bulletin (2)</v>
      </c>
      <c r="AC64" s="60" t="str">
        <f>VLOOKUP(A64,Enforcements!$C$7:$E$19,3,0)</f>
        <v>GRADE CROSSING</v>
      </c>
      <c r="AD64" s="61" t="str">
        <f t="shared" si="11"/>
        <v>0152-19</v>
      </c>
      <c r="AE64" s="91" t="str">
        <f t="shared" si="12"/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AF64" s="88" t="str">
        <f t="shared" si="13"/>
        <v>"C:\Program Files (x86)\AstroGrep\AstroGrep.exe" /spath="%USERPROFILE%\AppData\Local\Temp\OnboardLogs" /stypes="app*4032*20161219*"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152-19 --locoid 4032 --swversion DE.1.0.8.0 --startMP 204:232955 --initTime 2016-12-19T10:48:07 --startdatetime 2016-12-19T10:56:17 --delay 1 --endMP 204:134 --enddatetime 2016-12-19T11:38:55 --enforcementcount 0 &gt;&gt;C:\Users\stu\Documents\GitHub\eaglep3-reporting\EC\2016-12-19-refined-times.txt</v>
      </c>
      <c r="AI64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{"issue":{"subject":"","project_id":79,"tracker_id":40,"status_id":1,"priority_id":2,"assigned_to_id":23,"start_date":"2016-12-19","description":"","custom_fields":[{"id":1,"name":"Subdivision","value":"EC"},{"id":4,"name":"Milepost","value":"0.0134"},{"id":17,"name":"Train ID","value":"152-19"},{"id":16,"name":"Locomotive ID","value":"4032"},{"id":130,"name":"Impact","value":""},{"id":150,"name":"Time of Event (Mountain Time)","value":"11:38:55"},{"id":151,"name":"Denver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546</v>
      </c>
      <c r="B65" s="7">
        <v>4027</v>
      </c>
      <c r="C65" s="22" t="s">
        <v>205</v>
      </c>
      <c r="D65" s="22" t="s">
        <v>438</v>
      </c>
      <c r="E65" s="13">
        <v>42723.42255787037</v>
      </c>
      <c r="F65" s="13">
        <v>42723.427557870367</v>
      </c>
      <c r="G65" s="7">
        <v>1</v>
      </c>
      <c r="H65" s="22" t="s">
        <v>785</v>
      </c>
      <c r="I65" s="13">
        <v>42723.45244212963</v>
      </c>
      <c r="J65" s="7">
        <v>0</v>
      </c>
      <c r="K65" s="109" t="str">
        <f t="shared" si="0"/>
        <v>4027/4028</v>
      </c>
      <c r="L65" s="22" t="str">
        <f>VLOOKUP(A65,'Trips&amp;Operators'!$C$1:$G$99999,5,FALSE)</f>
        <v>SIMMONS SHYHESHA</v>
      </c>
      <c r="M65" s="6">
        <f t="shared" si="1"/>
        <v>2.4884259262762498E-2</v>
      </c>
      <c r="N65" s="7">
        <f t="shared" si="2"/>
        <v>35.833333338377997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09:08:29-700',mode:absolute,to:'2016-12-19 11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4.4900000000000002E-2</v>
      </c>
      <c r="Z65" s="67">
        <f t="shared" si="9"/>
        <v>23.33</v>
      </c>
      <c r="AA65" s="67">
        <f t="shared" si="10"/>
        <v>23.2851</v>
      </c>
      <c r="AB65" s="64" t="str">
        <f>VLOOKUP(A65,Enforcements!$C$7:$K$19,8,0)</f>
        <v>Bulletin (2)</v>
      </c>
      <c r="AC65" s="60" t="str">
        <f>VLOOKUP(A65,Enforcements!$C$7:$E$19,3,0)</f>
        <v>GRADE CROSSING</v>
      </c>
      <c r="AD65" s="61" t="str">
        <f t="shared" si="11"/>
        <v>0153-19</v>
      </c>
      <c r="AE65" s="91" t="str">
        <f t="shared" si="12"/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65" s="88" t="str">
        <f t="shared" si="13"/>
        <v>"C:\Program Files (x86)\AstroGrep\AstroGrep.exe" /spath="%USERPROFILE%\AppData\Local\Temp\OnboardLogs" /stypes="app*4027*20161219*"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153-19 --locoid 4027 --swversion DE.1.0.8.0 --startMP 204:449 --initTime 2016-12-19T10:08:29 --startdatetime 2016-12-19T10:15:41 --delay 1 --endMP 204:233300 --enddatetime 2016-12-19T10:51:31 --enforcementcount 0 &gt;&gt;C:\Users\stu\Documents\GitHub\eaglep3-reporting\EC\2016-12-19-refined-times.txt</v>
      </c>
      <c r="AI65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{"issue":{"subject":"","project_id":79,"tracker_id":40,"status_id":1,"priority_id":2,"assigned_to_id":23,"start_date":"2016-12-19","description":"","custom_fields":[{"id":1,"name":"Subdivision","value":"EC"},{"id":4,"name":"Milepost","value":"23.33"},{"id":17,"name":"Train ID","value":"153-19"},{"id":16,"name":"Locomotive ID","value":"4027"},{"id":130,"name":"Impact","value":""},{"id":150,"name":"Time of Event (Mountain Time)","value":"10:51:31"},{"id":151,"name":"Denver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637</v>
      </c>
      <c r="B66" s="7">
        <v>4028</v>
      </c>
      <c r="C66" s="22" t="s">
        <v>205</v>
      </c>
      <c r="D66" s="22" t="s">
        <v>500</v>
      </c>
      <c r="E66" s="13">
        <v>42723.455613425926</v>
      </c>
      <c r="F66" s="13">
        <v>42723.46634259259</v>
      </c>
      <c r="G66" s="7">
        <v>0</v>
      </c>
      <c r="H66" s="22" t="s">
        <v>269</v>
      </c>
      <c r="I66" s="13">
        <v>42723.492488425924</v>
      </c>
      <c r="J66" s="7">
        <v>0</v>
      </c>
      <c r="K66" s="109" t="str">
        <f t="shared" si="0"/>
        <v>4027/4028</v>
      </c>
      <c r="L66" s="22" t="str">
        <f>VLOOKUP(A66,'Trips&amp;Operators'!$C$1:$G$99999,5,FALSE)</f>
        <v>SIMMONS SHYHESHA</v>
      </c>
      <c r="M66" s="6">
        <f t="shared" si="1"/>
        <v>2.6145833333430346E-2</v>
      </c>
      <c r="N66" s="7">
        <f t="shared" si="2"/>
        <v>37.650000000139698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09:56:05-700',mode:absolute,to:'2016-12-19 12:49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23.298100000000002</v>
      </c>
      <c r="Z66" s="67">
        <f t="shared" si="9"/>
        <v>1.6E-2</v>
      </c>
      <c r="AA66" s="67">
        <f t="shared" si="10"/>
        <v>23.282100000000003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0154-19</v>
      </c>
      <c r="AE66" s="91" t="str">
        <f t="shared" si="12"/>
        <v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v>
      </c>
      <c r="AF66" s="88" t="str">
        <f t="shared" si="13"/>
        <v>"C:\Program Files (x86)\AstroGrep\AstroGrep.exe" /spath="%USERPROFILE%\AppData\Local\Temp\OnboardLogs" /stypes="app*4028*20161219*"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154-19 --locoid 4028 --swversion DE.1.0.8.0 --startMP 204:232981 --initTime 2016-12-19T10:56:05 --startdatetime 2016-12-19T11:11:32 --delay 0 --endMP 204:160 --enddatetime 2016-12-19T11:49:11 --enforcementcount 0 &gt;&gt;C:\Users\stu\Documents\GitHub\eaglep3-reporting\EC\2016-12-19-refined-times.txt</v>
      </c>
      <c r="AI66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{"issue":{"subject":"","project_id":79,"tracker_id":40,"status_id":1,"priority_id":2,"assigned_to_id":23,"start_date":"2016-12-19","description":"","custom_fields":[{"id":1,"name":"Subdivision","value":"EC"},{"id":4,"name":"Milepost","value":"0.016"},{"id":17,"name":"Train ID","value":"154-19"},{"id":16,"name":"Locomotive ID","value":"4028"},{"id":130,"name":"Impact","value":""},{"id":150,"name":"Time of Event (Mountain Time)","value":"11:49:11"},{"id":151,"name":"Denver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635</v>
      </c>
      <c r="B67" s="7">
        <v>4046</v>
      </c>
      <c r="C67" s="22" t="s">
        <v>205</v>
      </c>
      <c r="D67" s="22" t="s">
        <v>789</v>
      </c>
      <c r="E67" s="13">
        <v>42723.43277777778</v>
      </c>
      <c r="F67" s="13">
        <v>42723.437662037039</v>
      </c>
      <c r="G67" s="7">
        <v>1</v>
      </c>
      <c r="H67" s="22" t="s">
        <v>806</v>
      </c>
      <c r="I67" s="13">
        <v>42723.463587962964</v>
      </c>
      <c r="J67" s="7">
        <v>0</v>
      </c>
      <c r="K67" s="109" t="str">
        <f t="shared" si="0"/>
        <v>4045/4046</v>
      </c>
      <c r="L67" s="22" t="str">
        <f>VLOOKUP(A67,'Trips&amp;Operators'!$C$1:$G$99999,5,FALSE)</f>
        <v>DAVIS WENDY</v>
      </c>
      <c r="M67" s="6">
        <f t="shared" si="1"/>
        <v>2.5925925925548654E-2</v>
      </c>
      <c r="N67" s="7">
        <f t="shared" si="2"/>
        <v>37.333333332790062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09:23:12-700',mode:absolute,to:'2016-12-19 12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4.3799999999999999E-2</v>
      </c>
      <c r="Z67" s="67">
        <f t="shared" si="9"/>
        <v>23.3309</v>
      </c>
      <c r="AA67" s="67">
        <f t="shared" si="10"/>
        <v>23.287099999999999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0155-19</v>
      </c>
      <c r="AE67" s="91" t="str">
        <f t="shared" si="12"/>
        <v>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 &amp; 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</v>
      </c>
      <c r="AF67" s="88" t="str">
        <f t="shared" si="13"/>
        <v>"C:\Program Files (x86)\AstroGrep\AstroGrep.exe" /spath="%USERPROFILE%\AppData\Local\Temp\OnboardLogs" /stypes="app*4046*20161219*"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155-19 --locoid 4046 --swversion DE.1.0.8.0 --startMP 204:438 --initTime 2016-12-19T10:23:12 --startdatetime 2016-12-19T10:30:14 --delay 1 --endMP 204:233309 --enddatetime 2016-12-19T11:07:34 --enforcementcount 0 &gt;&gt;C:\Users\stu\Documents\GitHub\eaglep3-reporting\EC\2016-12-19-refined-times.txt</v>
      </c>
      <c r="AI67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{"issue":{"subject":"","project_id":79,"tracker_id":40,"status_id":1,"priority_id":2,"assigned_to_id":23,"start_date":"2016-12-19","description":"","custom_fields":[{"id":1,"name":"Subdivision","value":"EC"},{"id":4,"name":"Milepost","value":"23.3309"},{"id":17,"name":"Train ID","value":"155-19"},{"id":16,"name":"Locomotive ID","value":"4046"},{"id":130,"name":"Impact","value":""},{"id":150,"name":"Time of Event (Mountain Time)","value":"11:07:34"},{"id":151,"name":"Denver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643</v>
      </c>
      <c r="B68" s="7">
        <v>4045</v>
      </c>
      <c r="C68" s="22" t="s">
        <v>205</v>
      </c>
      <c r="D68" s="22" t="s">
        <v>807</v>
      </c>
      <c r="E68" s="13">
        <v>42723.473657407405</v>
      </c>
      <c r="F68" s="13">
        <v>42723.47693287037</v>
      </c>
      <c r="G68" s="7">
        <v>1</v>
      </c>
      <c r="H68" s="22" t="s">
        <v>283</v>
      </c>
      <c r="I68" s="13">
        <v>42723.507881944446</v>
      </c>
      <c r="J68" s="7">
        <v>0</v>
      </c>
      <c r="K68" s="109" t="str">
        <f t="shared" si="0"/>
        <v>4045/4046</v>
      </c>
      <c r="L68" s="22" t="str">
        <f>VLOOKUP(A68,'Trips&amp;Operators'!$C$1:$G$99999,5,FALSE)</f>
        <v>DAVIS WENDY</v>
      </c>
      <c r="M68" s="6">
        <f t="shared" si="1"/>
        <v>3.0949074076488614E-2</v>
      </c>
      <c r="N68" s="7">
        <f t="shared" si="2"/>
        <v>44.566666670143604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10:22:04-700',mode:absolute,to:'2016-12-19 13:11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23.297499999999999</v>
      </c>
      <c r="Z68" s="67">
        <f t="shared" si="9"/>
        <v>1.38E-2</v>
      </c>
      <c r="AA68" s="67">
        <f t="shared" si="10"/>
        <v>23.2837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0156-19</v>
      </c>
      <c r="AE68" s="91" t="str">
        <f t="shared" si="12"/>
        <v>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 &amp; 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</v>
      </c>
      <c r="AF68" s="88" t="str">
        <f t="shared" si="13"/>
        <v>"C:\Program Files (x86)\AstroGrep\AstroGrep.exe" /spath="%USERPROFILE%\AppData\Local\Temp\OnboardLogs" /stypes="app*4045*20161219*"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156-19 --locoid 4045 --swversion DE.1.0.8.0 --startMP 204:232975 --initTime 2016-12-19T11:22:04 --startdatetime 2016-12-19T11:26:47 --delay 1 --endMP 204:138 --enddatetime 2016-12-19T12:11:21 --enforcementcount 0 &gt;&gt;C:\Users\stu\Documents\GitHub\eaglep3-reporting\EC\2016-12-19-refined-times.txt</v>
      </c>
      <c r="AI68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{"issue":{"subject":"","project_id":79,"tracker_id":40,"status_id":1,"priority_id":2,"assigned_to_id":23,"start_date":"2016-12-19","description":"","custom_fields":[{"id":1,"name":"Subdivision","value":"EC"},{"id":4,"name":"Milepost","value":"0.0138"},{"id":17,"name":"Train ID","value":"156-19"},{"id":16,"name":"Locomotive ID","value":"4045"},{"id":130,"name":"Impact","value":""},{"id":150,"name":"Time of Event (Mountain Time)","value":"12:11:21"},{"id":151,"name":"Denver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549</v>
      </c>
      <c r="B69" s="7">
        <v>4009</v>
      </c>
      <c r="C69" s="22" t="s">
        <v>205</v>
      </c>
      <c r="D69" s="22" t="s">
        <v>256</v>
      </c>
      <c r="E69" s="13">
        <v>42723.444606481484</v>
      </c>
      <c r="F69" s="13">
        <v>42723.448067129626</v>
      </c>
      <c r="G69" s="7">
        <v>1</v>
      </c>
      <c r="H69" s="22" t="s">
        <v>445</v>
      </c>
      <c r="I69" s="13">
        <v>42723.474097222221</v>
      </c>
      <c r="J69" s="7">
        <v>0</v>
      </c>
      <c r="K69" s="109" t="str">
        <f t="shared" si="0"/>
        <v>4009/4010</v>
      </c>
      <c r="L69" s="22" t="str">
        <f>VLOOKUP(A69,'Trips&amp;Operators'!$C$1:$G$99999,5,FALSE)</f>
        <v>ROBINSON KADDIBA</v>
      </c>
      <c r="M69" s="6">
        <f t="shared" si="1"/>
        <v>2.6030092594737653E-2</v>
      </c>
      <c r="N69" s="7">
        <f t="shared" si="2"/>
        <v>37.48333333642222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09:40:14-700',mode:absolute,to:'2016-12-19 12:22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4.53E-2</v>
      </c>
      <c r="Z69" s="67">
        <f t="shared" si="9"/>
        <v>23.333400000000001</v>
      </c>
      <c r="AA69" s="67">
        <f t="shared" si="10"/>
        <v>23.2881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0157-19</v>
      </c>
      <c r="AE69" s="91" t="str">
        <f t="shared" si="12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69" s="88" t="str">
        <f t="shared" si="13"/>
        <v>"C:\Program Files (x86)\AstroGrep\AstroGrep.exe" /spath="%USERPROFILE%\AppData\Local\Temp\OnboardLogs" /stypes="app*4009*20161219*"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157-19 --locoid 4009 --swversion DE.1.0.8.0 --startMP 204:453 --initTime 2016-12-19T10:40:14 --startdatetime 2016-12-19T10:45:13 --delay 1 --endMP 204:233334 --enddatetime 2016-12-19T11:22:42 --enforcementcount 0 &gt;&gt;C:\Users\stu\Documents\GitHub\eaglep3-reporting\EC\2016-12-19-refined-times.txt</v>
      </c>
      <c r="AI69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{"issue":{"subject":"","project_id":79,"tracker_id":40,"status_id":1,"priority_id":2,"assigned_to_id":23,"start_date":"2016-12-19","description":"","custom_fields":[{"id":1,"name":"Subdivision","value":"EC"},{"id":4,"name":"Milepost","value":"23.3334"},{"id":17,"name":"Train ID","value":"157-19"},{"id":16,"name":"Locomotive ID","value":"4009"},{"id":130,"name":"Impact","value":""},{"id":150,"name":"Time of Event (Mountain Time)","value":"11:22:42"},{"id":151,"name":"Denver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648</v>
      </c>
      <c r="B70" s="7">
        <v>4010</v>
      </c>
      <c r="C70" s="22" t="s">
        <v>205</v>
      </c>
      <c r="D70" s="22" t="s">
        <v>808</v>
      </c>
      <c r="E70" s="13">
        <v>42723.483564814815</v>
      </c>
      <c r="F70" s="13">
        <v>42723.487002314818</v>
      </c>
      <c r="G70" s="7">
        <v>1</v>
      </c>
      <c r="H70" s="22" t="s">
        <v>235</v>
      </c>
      <c r="I70" s="13">
        <v>42723.517824074072</v>
      </c>
      <c r="J70" s="7">
        <v>0</v>
      </c>
      <c r="K70" s="109" t="str">
        <f t="shared" si="0"/>
        <v>4009/4010</v>
      </c>
      <c r="L70" s="22" t="str">
        <f>VLOOKUP(A70,'Trips&amp;Operators'!$C$1:$G$99999,5,FALSE)</f>
        <v>ROBINSON KADDIBA</v>
      </c>
      <c r="M70" s="6">
        <f t="shared" si="1"/>
        <v>3.0821759253740311E-2</v>
      </c>
      <c r="N70" s="7">
        <f t="shared" si="2"/>
        <v>44.383333325386047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10:36:20-700',mode:absolute,to:'2016-12-19 13:25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23.302499999999998</v>
      </c>
      <c r="Z70" s="67">
        <f t="shared" si="9"/>
        <v>1.4500000000000001E-2</v>
      </c>
      <c r="AA70" s="67">
        <f t="shared" si="10"/>
        <v>23.287999999999997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0158-19</v>
      </c>
      <c r="AE70" s="91" t="str">
        <f t="shared" si="12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70" s="88" t="str">
        <f t="shared" si="13"/>
        <v>"C:\Program Files (x86)\AstroGrep\AstroGrep.exe" /spath="%USERPROFILE%\AppData\Local\Temp\OnboardLogs" /stypes="app*4010*20161219*"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158-19 --locoid 4010 --swversion DE.1.0.8.0 --startMP 204:233025 --initTime 2016-12-19T11:36:20 --startdatetime 2016-12-19T11:41:17 --delay 1 --endMP 204:145 --enddatetime 2016-12-19T12:25:40 --enforcementcount 0 &gt;&gt;C:\Users\stu\Documents\GitHub\eaglep3-reporting\EC\2016-12-19-refined-times.txt</v>
      </c>
      <c r="AI70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{"issue":{"subject":"","project_id":79,"tracker_id":40,"status_id":1,"priority_id":2,"assigned_to_id":23,"start_date":"2016-12-19","description":"","custom_fields":[{"id":1,"name":"Subdivision","value":"EC"},{"id":4,"name":"Milepost","value":"0.0145"},{"id":17,"name":"Train ID","value":"158-19"},{"id":16,"name":"Locomotive ID","value":"4010"},{"id":130,"name":"Impact","value":""},{"id":150,"name":"Time of Event (Mountain Time)","value":"12:25:40"},{"id":151,"name":"Denver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638</v>
      </c>
      <c r="B71" s="7">
        <v>4020</v>
      </c>
      <c r="C71" s="22" t="s">
        <v>205</v>
      </c>
      <c r="D71" s="22" t="s">
        <v>194</v>
      </c>
      <c r="E71" s="13">
        <v>42723.456203703703</v>
      </c>
      <c r="F71" s="13">
        <v>42723.458703703705</v>
      </c>
      <c r="G71" s="7">
        <v>1</v>
      </c>
      <c r="H71" s="22" t="s">
        <v>806</v>
      </c>
      <c r="I71" s="13">
        <v>42723.484050925923</v>
      </c>
      <c r="J71" s="7">
        <v>0</v>
      </c>
      <c r="K71" s="109" t="str">
        <f t="shared" si="0"/>
        <v>4019/4020</v>
      </c>
      <c r="L71" s="22" t="str">
        <f>VLOOKUP(A71,'Trips&amp;Operators'!$C$1:$G$99999,5,FALSE)</f>
        <v>DUNCAN SHEILA</v>
      </c>
      <c r="M71" s="6">
        <f t="shared" si="1"/>
        <v>2.5347222217533272E-2</v>
      </c>
      <c r="N71" s="7">
        <f t="shared" si="2"/>
        <v>36.499999993247911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09:56:56-700',mode:absolute,to:'2016-12-19 12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4.5100000000000001E-2</v>
      </c>
      <c r="Z71" s="67">
        <f t="shared" si="9"/>
        <v>23.3309</v>
      </c>
      <c r="AA71" s="67">
        <f t="shared" si="10"/>
        <v>23.285799999999998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0159-19</v>
      </c>
      <c r="AE71" s="91" t="str">
        <f t="shared" si="12"/>
        <v>aws s3 cp s3://rtdc.mdm.uploadarchive.raw/RTDC4020/ "%USERPROFILE%\AppData\Local\Temp\OnboardLogs"\RTDC4020\2016-12-19 --exclude "*" --recursive --include "*20161219*" &amp; "%USERPROFILE%\Documents\GitHub\mrs-test-scripts\Headless Mode &amp; Sideloading\WalkAndUnGZ.bat" "%USERPROFILE%\AppData\Local\Temp\OnboardLogs"\RTDC4020\2016-12-19 &amp; 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</v>
      </c>
      <c r="AF71" s="88" t="str">
        <f t="shared" si="13"/>
        <v>"C:\Program Files (x86)\AstroGrep\AstroGrep.exe" /spath="%USERPROFILE%\AppData\Local\Temp\OnboardLogs" /stypes="app*4020*20161219*"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159-19 --locoid 4020 --swversion DE.1.0.8.0 --startMP 204:451 --initTime 2016-12-19T10:56:56 --startdatetime 2016-12-19T11:00:32 --delay 1 --endMP 204:233309 --enddatetime 2016-12-19T11:37:02 --enforcementcount 0 &gt;&gt;C:\Users\stu\Documents\GitHub\eaglep3-reporting\EC\2016-12-19-refined-times.txt</v>
      </c>
      <c r="AI71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{"issue":{"subject":"","project_id":79,"tracker_id":40,"status_id":1,"priority_id":2,"assigned_to_id":23,"start_date":"2016-12-19","description":"","custom_fields":[{"id":1,"name":"Subdivision","value":"EC"},{"id":4,"name":"Milepost","value":"23.3309"},{"id":17,"name":"Train ID","value":"159-19"},{"id":16,"name":"Locomotive ID","value":"4020"},{"id":130,"name":"Impact","value":""},{"id":150,"name":"Time of Event (Mountain Time)","value":"11:37:02"},{"id":151,"name":"Denver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650</v>
      </c>
      <c r="B72" s="7">
        <v>4019</v>
      </c>
      <c r="C72" s="22" t="s">
        <v>205</v>
      </c>
      <c r="D72" s="22" t="s">
        <v>299</v>
      </c>
      <c r="E72" s="13">
        <v>42723.494027777779</v>
      </c>
      <c r="F72" s="13">
        <v>42723.497453703705</v>
      </c>
      <c r="G72" s="7">
        <v>2</v>
      </c>
      <c r="H72" s="22" t="s">
        <v>235</v>
      </c>
      <c r="I72" s="13">
        <v>42723.529224537036</v>
      </c>
      <c r="J72" s="7">
        <v>0</v>
      </c>
      <c r="K72" s="109" t="str">
        <f t="shared" si="0"/>
        <v>4019/4020</v>
      </c>
      <c r="L72" s="22" t="str">
        <f>VLOOKUP(A72,'Trips&amp;Operators'!$C$1:$G$99999,5,FALSE)</f>
        <v>DUNCAN SHEILA</v>
      </c>
      <c r="M72" s="6">
        <f t="shared" si="1"/>
        <v>3.1770833331393078E-2</v>
      </c>
      <c r="N72" s="7">
        <f t="shared" si="2"/>
        <v>45.749999997206032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10:51:24-700',mode:absolute,to:'2016-12-19 13:42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23.2986</v>
      </c>
      <c r="Z72" s="67">
        <f t="shared" si="9"/>
        <v>1.4500000000000001E-2</v>
      </c>
      <c r="AA72" s="67">
        <f t="shared" si="10"/>
        <v>23.284099999999999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0160-19</v>
      </c>
      <c r="AE72" s="91" t="str">
        <f t="shared" si="12"/>
        <v>aws s3 cp s3://rtdc.mdm.uploadarchive.raw/RTDC4019/ "%USERPROFILE%\AppData\Local\Temp\OnboardLogs"\RTDC4019\2016-12-19 --exclude "*" --recursive --include "*20161219*" &amp; "%USERPROFILE%\Documents\GitHub\mrs-test-scripts\Headless Mode &amp; Sideloading\WalkAndUnGZ.bat" "%USERPROFILE%\AppData\Local\Temp\OnboardLogs"\RTDC4019\2016-12-19 &amp; 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</v>
      </c>
      <c r="AF72" s="88" t="str">
        <f t="shared" si="13"/>
        <v>"C:\Program Files (x86)\AstroGrep\AstroGrep.exe" /spath="%USERPROFILE%\AppData\Local\Temp\OnboardLogs" /stypes="app*4019*20161219*"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160-19 --locoid 4019 --swversion DE.1.0.8.0 --startMP 204:232986 --initTime 2016-12-19T11:51:24 --startdatetime 2016-12-19T11:56:20 --delay 2 --endMP 204:145 --enddatetime 2016-12-19T12:42:05 --enforcementcount 0 &gt;&gt;C:\Users\stu\Documents\GitHub\eaglep3-reporting\EC\2016-12-19-refined-times.txt</v>
      </c>
      <c r="AI72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{"issue":{"subject":"","project_id":79,"tracker_id":40,"status_id":1,"priority_id":2,"assigned_to_id":23,"start_date":"2016-12-19","description":"","custom_fields":[{"id":1,"name":"Subdivision","value":"EC"},{"id":4,"name":"Milepost","value":"0.0145"},{"id":17,"name":"Train ID","value":"160-19"},{"id":16,"name":"Locomotive ID","value":"4019"},{"id":130,"name":"Impact","value":""},{"id":150,"name":"Time of Event (Mountain Time)","value":"12:42:05"},{"id":151,"name":"Denver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642</v>
      </c>
      <c r="B73" s="7">
        <v>4018</v>
      </c>
      <c r="C73" s="22" t="s">
        <v>205</v>
      </c>
      <c r="D73" s="22" t="s">
        <v>230</v>
      </c>
      <c r="E73" s="13">
        <v>42723.467453703706</v>
      </c>
      <c r="F73" s="13">
        <v>42723.469976851855</v>
      </c>
      <c r="G73" s="7">
        <v>2</v>
      </c>
      <c r="H73" s="22" t="s">
        <v>809</v>
      </c>
      <c r="I73" s="13">
        <v>42723.496539351851</v>
      </c>
      <c r="J73" s="7">
        <v>0</v>
      </c>
      <c r="K73" s="109" t="str">
        <f t="shared" si="0"/>
        <v>4017/4018</v>
      </c>
      <c r="L73" s="22" t="str">
        <f>VLOOKUP(A73,'Trips&amp;Operators'!$C$1:$G$99999,5,FALSE)</f>
        <v>SWANSON BRYCE</v>
      </c>
      <c r="M73" s="6">
        <f t="shared" si="1"/>
        <v>2.6562499995634425E-2</v>
      </c>
      <c r="N73" s="7">
        <f t="shared" si="2"/>
        <v>38.249999993713573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10:13:08-700',mode:absolute,to:'2016-12-19 12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4.5999999999999999E-2</v>
      </c>
      <c r="Z73" s="67">
        <f t="shared" si="9"/>
        <v>23.336300000000001</v>
      </c>
      <c r="AA73" s="67">
        <f t="shared" si="10"/>
        <v>23.290300000000002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0161-19</v>
      </c>
      <c r="AE73" s="91" t="str">
        <f t="shared" si="12"/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AF73" s="88" t="str">
        <f t="shared" si="13"/>
        <v>"C:\Program Files (x86)\AstroGrep\AstroGrep.exe" /spath="%USERPROFILE%\AppData\Local\Temp\OnboardLogs" /stypes="app*4018*20161219*"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161-19 --locoid 4018 --swversion DE.1.0.8.0 --startMP 204:460 --initTime 2016-12-19T11:13:08 --startdatetime 2016-12-19T11:16:46 --delay 2 --endMP 204:233363 --enddatetime 2016-12-19T11:55:01 --enforcementcount 0 &gt;&gt;C:\Users\stu\Documents\GitHub\eaglep3-reporting\EC\2016-12-19-refined-times.txt</v>
      </c>
      <c r="AI73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{"issue":{"subject":"","project_id":79,"tracker_id":40,"status_id":1,"priority_id":2,"assigned_to_id":23,"start_date":"2016-12-19","description":"","custom_fields":[{"id":1,"name":"Subdivision","value":"EC"},{"id":4,"name":"Milepost","value":"23.3363"},{"id":17,"name":"Train ID","value":"161-19"},{"id":16,"name":"Locomotive ID","value":"4018"},{"id":130,"name":"Impact","value":""},{"id":150,"name":"Time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652</v>
      </c>
      <c r="B74" s="7">
        <v>4017</v>
      </c>
      <c r="C74" s="22" t="s">
        <v>205</v>
      </c>
      <c r="D74" s="22" t="s">
        <v>810</v>
      </c>
      <c r="E74" s="13">
        <v>42723.498553240737</v>
      </c>
      <c r="F74" s="13">
        <v>42723.508032407408</v>
      </c>
      <c r="G74" s="7">
        <v>1</v>
      </c>
      <c r="H74" s="22" t="s">
        <v>262</v>
      </c>
      <c r="I74" s="13">
        <v>42723.538842592592</v>
      </c>
      <c r="J74" s="7">
        <v>0</v>
      </c>
      <c r="K74" s="109" t="str">
        <f t="shared" si="0"/>
        <v>4017/4018</v>
      </c>
      <c r="L74" s="22" t="str">
        <f>VLOOKUP(A74,'Trips&amp;Operators'!$C$1:$G$99999,5,FALSE)</f>
        <v>SWANSON BRYCE</v>
      </c>
      <c r="M74" s="6">
        <f t="shared" si="1"/>
        <v>3.0810185184236616E-2</v>
      </c>
      <c r="N74" s="7">
        <f t="shared" si="2"/>
        <v>44.366666665300727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10:57:55-700',mode:absolute,to:'2016-12-19 13:55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23.303799999999999</v>
      </c>
      <c r="Z74" s="67">
        <f t="shared" si="9"/>
        <v>1.47E-2</v>
      </c>
      <c r="AA74" s="67">
        <f t="shared" si="10"/>
        <v>23.289099999999998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0162-19</v>
      </c>
      <c r="AE74" s="91" t="str">
        <f t="shared" si="12"/>
        <v>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 &amp; 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</v>
      </c>
      <c r="AF74" s="88" t="str">
        <f t="shared" si="13"/>
        <v>"C:\Program Files (x86)\AstroGrep\AstroGrep.exe" /spath="%USERPROFILE%\AppData\Local\Temp\OnboardLogs" /stypes="app*4017*20161219*"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162-19 --locoid 4017 --swversion DE.1.0.8.0 --startMP 204:233038 --initTime 2016-12-19T11:57:55 --startdatetime 2016-12-19T12:11:34 --delay 1 --endMP 204:147 --enddatetime 2016-12-19T12:55:56 --enforcementcount 0 &gt;&gt;C:\Users\stu\Documents\GitHub\eaglep3-reporting\EC\2016-12-19-refined-times.txt</v>
      </c>
      <c r="AI74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{"issue":{"subject":"","project_id":79,"tracker_id":40,"status_id":1,"priority_id":2,"assigned_to_id":23,"start_date":"2016-12-19","description":"","custom_fields":[{"id":1,"name":"Subdivision","value":"EC"},{"id":4,"name":"Milepost","value":"0.0147"},{"id":17,"name":"Train ID","value":"162-19"},{"id":16,"name":"Locomotive ID","value":"4017"},{"id":130,"name":"Impact","value":""},{"id":150,"name":"Time of Event (Mountain Time)","value":"12:55:56"},{"id":151,"name":"Denver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644</v>
      </c>
      <c r="B75" s="7">
        <v>4022</v>
      </c>
      <c r="C75" s="22" t="s">
        <v>205</v>
      </c>
      <c r="D75" s="22" t="s">
        <v>284</v>
      </c>
      <c r="E75" s="13">
        <v>42723.474930555552</v>
      </c>
      <c r="F75" s="13">
        <v>42723.47934027778</v>
      </c>
      <c r="G75" s="7">
        <v>1</v>
      </c>
      <c r="H75" s="22" t="s">
        <v>811</v>
      </c>
      <c r="I75" s="13">
        <v>42723.505590277775</v>
      </c>
      <c r="J75" s="7">
        <v>0</v>
      </c>
      <c r="K75" s="109" t="str">
        <f t="shared" si="0"/>
        <v>4021/4022</v>
      </c>
      <c r="L75" s="22" t="str">
        <f>VLOOKUP(A75,'Trips&amp;Operators'!$C$1:$G$99999,5,FALSE)</f>
        <v>CLARK KATHLEEN</v>
      </c>
      <c r="M75" s="6">
        <f t="shared" si="1"/>
        <v>2.6249999995343387E-2</v>
      </c>
      <c r="N75" s="7">
        <f t="shared" si="2"/>
        <v>37.799999993294477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10:23:54-700',mode:absolute,to:'2016-12-19 13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4.4400000000000002E-2</v>
      </c>
      <c r="Z75" s="67">
        <f t="shared" si="9"/>
        <v>23.336400000000001</v>
      </c>
      <c r="AA75" s="67">
        <f t="shared" si="10"/>
        <v>23.292000000000002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0163-19</v>
      </c>
      <c r="AE75" s="91" t="str">
        <f t="shared" si="12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75" s="88" t="str">
        <f t="shared" si="13"/>
        <v>"C:\Program Files (x86)\AstroGrep\AstroGrep.exe" /spath="%USERPROFILE%\AppData\Local\Temp\OnboardLogs" /stypes="app*4022*20161219*"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163-19 --locoid 4022 --swversion DE.1.0.8.0 --startMP 204:444 --initTime 2016-12-19T11:23:54 --startdatetime 2016-12-19T11:30:15 --delay 1 --endMP 204:233364 --enddatetime 2016-12-19T12:08:03 --enforcementcount 0 &gt;&gt;C:\Users\stu\Documents\GitHub\eaglep3-reporting\EC\2016-12-19-refined-times.txt</v>
      </c>
      <c r="AI75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{"issue":{"subject":"","project_id":79,"tracker_id":40,"status_id":1,"priority_id":2,"assigned_to_id":23,"start_date":"2016-12-19","description":"","custom_fields":[{"id":1,"name":"Subdivision","value":"EC"},{"id":4,"name":"Milepost","value":"23.3364"},{"id":17,"name":"Train ID","value":"163-19"},{"id":16,"name":"Locomotive ID","value":"4022"},{"id":130,"name":"Impact","value":""},{"id":150,"name":"Time of Event (Mountain Time)","value":"12:08:03"},{"id":151,"name":"Denver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656</v>
      </c>
      <c r="B76" s="7">
        <v>4021</v>
      </c>
      <c r="C76" s="22" t="s">
        <v>205</v>
      </c>
      <c r="D76" s="22" t="s">
        <v>812</v>
      </c>
      <c r="E76" s="13">
        <v>42723.516030092593</v>
      </c>
      <c r="F76" s="13">
        <v>42723.518333333333</v>
      </c>
      <c r="G76" s="7">
        <v>1</v>
      </c>
      <c r="H76" s="22" t="s">
        <v>813</v>
      </c>
      <c r="I76" s="13">
        <v>42723.548854166664</v>
      </c>
      <c r="J76" s="7">
        <v>0</v>
      </c>
      <c r="K76" s="109" t="str">
        <f t="shared" si="0"/>
        <v>4021/4022</v>
      </c>
      <c r="L76" s="22" t="str">
        <f>VLOOKUP(A76,'Trips&amp;Operators'!$C$1:$G$99999,5,FALSE)</f>
        <v>CLARK KATHLEEN</v>
      </c>
      <c r="M76" s="6">
        <f t="shared" si="1"/>
        <v>3.0520833330228925E-2</v>
      </c>
      <c r="N76" s="7">
        <f t="shared" si="2"/>
        <v>43.949999995529652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https://search-rtdc-monitor-bjffxe2xuh6vdkpspy63sjmuny.us-east-1.es.amazonaws.com/_plugin/kibana/#/discover/Steve-Slow-Train-Analysis-(2080s-and-2083s)?_g=(refreshInterval:(display:Off,section:0,value:0),time:(from:'2016-12-19 11:23:05-700',mode:absolute,to:'2016-12-19 14:10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23.3048</v>
      </c>
      <c r="Z76" s="67">
        <f t="shared" si="9"/>
        <v>1.67E-2</v>
      </c>
      <c r="AA76" s="67">
        <f t="shared" si="10"/>
        <v>23.2881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0164-19</v>
      </c>
      <c r="AE76" s="91" t="str">
        <f t="shared" si="12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76" s="88" t="str">
        <f t="shared" si="13"/>
        <v>"C:\Program Files (x86)\AstroGrep\AstroGrep.exe" /spath="%USERPROFILE%\AppData\Local\Temp\OnboardLogs" /stypes="app*4021*20161219*"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164-19 --locoid 4021 --swversion DE.1.0.8.0 --startMP 204:233048 --initTime 2016-12-19T12:23:05 --startdatetime 2016-12-19T12:26:24 --delay 1 --endMP 204:167 --enddatetime 2016-12-19T13:10:21 --enforcementcount 0 &gt;&gt;C:\Users\stu\Documents\GitHub\eaglep3-reporting\EC\2016-12-19-refined-times.txt</v>
      </c>
      <c r="AI76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{"issue":{"subject":"","project_id":79,"tracker_id":40,"status_id":1,"priority_id":2,"assigned_to_id":23,"start_date":"2016-12-19","description":"","custom_fields":[{"id":1,"name":"Subdivision","value":"EC"},{"id":4,"name":"Milepost","value":"0.0167"},{"id":17,"name":"Train ID","value":"164-19"},{"id":16,"name":"Locomotive ID","value":"4021"},{"id":130,"name":"Impact","value":""},{"id":150,"name":"Time of Event (Mountain Time)","value":"13:10:21"},{"id":151,"name":"Denver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551</v>
      </c>
      <c r="B77" s="7">
        <v>4031</v>
      </c>
      <c r="C77" s="22" t="s">
        <v>205</v>
      </c>
      <c r="D77" s="22" t="s">
        <v>300</v>
      </c>
      <c r="E77" s="13">
        <v>42723.488587962966</v>
      </c>
      <c r="F77" s="13">
        <v>42723.490914351853</v>
      </c>
      <c r="G77" s="7">
        <v>1</v>
      </c>
      <c r="H77" s="22" t="s">
        <v>770</v>
      </c>
      <c r="I77" s="13">
        <v>42723.515763888892</v>
      </c>
      <c r="J77" s="7">
        <v>0</v>
      </c>
      <c r="K77" s="109" t="str">
        <f t="shared" ref="K77:K140" si="32">IF(ISEVEN(B77),(B77-1)&amp;"/"&amp;B77,B77&amp;"/"&amp;(B77+1))</f>
        <v>4031/4032</v>
      </c>
      <c r="L77" s="22" t="str">
        <f>VLOOKUP(A77,'Trips&amp;Operators'!$C$1:$G$99999,5,FALSE)</f>
        <v>ADANE ELSHADAY</v>
      </c>
      <c r="M77" s="6">
        <f t="shared" ref="M77:M140" si="33">I77-F77</f>
        <v>2.4849537039699499E-2</v>
      </c>
      <c r="N77" s="7">
        <f t="shared" ref="N77:P140" si="34">24*60*SUM($M77:$M77)</f>
        <v>35.783333337167278</v>
      </c>
      <c r="O77" s="7"/>
      <c r="P77" s="7"/>
      <c r="Q77" s="23"/>
      <c r="R77" s="23"/>
      <c r="S77" s="35">
        <f t="shared" ref="S77:S140" si="35">SUM(U77:U77)/IF(AG77="EC",12,1)</f>
        <v>1</v>
      </c>
      <c r="T77" s="50" t="str">
        <f t="shared" ref="T77:T140" si="36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7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https://search-rtdc-monitor-bjffxe2xuh6vdkpspy63sjmuny.us-east-1.es.amazonaws.com/_plugin/kibana/#/discover/Steve-Slow-Train-Analysis-(2080s-and-2083s)?_g=(refreshInterval:(display:Off,section:0,value:0),time:(from:'2016-12-19 10:43:34-700',mode:absolute,to:'2016-12-19 13:22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7" s="52" t="str">
        <f t="shared" ref="W77:W140" si="38">IF(AA77&lt;IF(AG77="EC",23,5.65),"Y","N")</f>
        <v>N</v>
      </c>
      <c r="X77" s="177">
        <f t="shared" ref="X77:X140" si="39">VALUE(LEFT(AD77,4))-VALUE(LEFT(AD76,4))</f>
        <v>1</v>
      </c>
      <c r="Y77" s="67">
        <f t="shared" ref="Y77:Y140" si="40">RIGHT(D77,LEN(D77)-4)/10000</f>
        <v>4.3999999999999997E-2</v>
      </c>
      <c r="Z77" s="67">
        <f t="shared" ref="Z77:Z140" si="41">RIGHT(H77,LEN(H77)-4)/10000</f>
        <v>23.331700000000001</v>
      </c>
      <c r="AA77" s="67">
        <f t="shared" ref="AA77:AA140" si="42">ABS(Z77-Y77)</f>
        <v>23.287700000000001</v>
      </c>
      <c r="AB77" s="64" t="str">
        <f>VLOOKUP(A77,Enforcements!$C$7:$K$19,8,0)</f>
        <v>Bulletin (2)</v>
      </c>
      <c r="AC77" s="60" t="str">
        <f>VLOOKUP(A77,Enforcements!$C$7:$E$19,3,0)</f>
        <v>GRADE CROSSING</v>
      </c>
      <c r="AD77" s="61" t="str">
        <f t="shared" ref="AD77:AD140" si="43">IF(LEN(A77)=6,"0"&amp;A77,A77)</f>
        <v>0165-19</v>
      </c>
      <c r="AE77" s="91" t="str">
        <f t="shared" ref="AE77:AE140" si="4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v>
      </c>
      <c r="AF77" s="88" t="str">
        <f t="shared" ref="AF77:AF140" si="4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/stypes="app*4031*20161219*" /stext=" 19:.+((SYSTEM_STATE.+slice.+state.+changed )|(ment ac)|(multiple cpu faults)|(system.+state.+changed )|(\[timeout)|(PRM\|1\|D)|(kpr)|(kdp)|(\|lc)|(penalty))" /e /r /s</v>
      </c>
      <c r="AG77" s="1" t="str">
        <f t="shared" ref="AG77:AG140" si="46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165-19 --locoid 4031 --swversion DE.1.0.8.0 --startMP 204:440 --initTime 2016-12-19T11:43:34 --startdatetime 2016-12-19T11:46:55 --delay 1 --endMP 204:233317 --enddatetime 2016-12-19T12:22:42 --enforcementcount 0 &gt;&gt;C:\Users\stu\Documents\GitHub\eaglep3-reporting\EC\2016-12-19-refined-times.txt</v>
      </c>
      <c r="AI77" s="119" t="str">
        <f t="shared" si="18"/>
        <v>echo {"issue":{"subject":"","project_id":79,"tracker_id":40,"status_id":1,"priority_id":2,"assigned_to_id":23,"start_date":"2016-12-19","description":"","custom_fields":[{"id":1,"name":"Subdivision","value":"EC"},{"id":4,"name":"Milepost","value":"23.3317"},{"id":17,"name":"Train ID","value":"165-19"},{"id":16,"name":"Locomotive ID","value":"4031"},{"id":130,"name":"Impact","value":""},{"id":150,"name":"Time of Event (Mountain Time)","value":"12:22:42"},{"id":151,"name":"Denver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657</v>
      </c>
      <c r="B78" s="7">
        <v>4032</v>
      </c>
      <c r="C78" s="22" t="s">
        <v>205</v>
      </c>
      <c r="D78" s="22" t="s">
        <v>814</v>
      </c>
      <c r="E78" s="13">
        <v>42723.517870370371</v>
      </c>
      <c r="F78" s="13">
        <v>42723.52925925926</v>
      </c>
      <c r="G78" s="7">
        <v>1</v>
      </c>
      <c r="H78" s="22" t="s">
        <v>815</v>
      </c>
      <c r="I78" s="13">
        <v>42723.556435185186</v>
      </c>
      <c r="J78" s="7">
        <v>0</v>
      </c>
      <c r="K78" s="109" t="str">
        <f t="shared" si="32"/>
        <v>4031/4032</v>
      </c>
      <c r="L78" s="22" t="str">
        <f>VLOOKUP(A78,'Trips&amp;Operators'!$C$1:$G$99999,5,FALSE)</f>
        <v>ADANE ELSHADAY</v>
      </c>
      <c r="M78" s="6">
        <f t="shared" si="33"/>
        <v>2.7175925926712807E-2</v>
      </c>
      <c r="N78" s="7">
        <f t="shared" si="34"/>
        <v>39.133333334466442</v>
      </c>
      <c r="O78" s="7"/>
      <c r="P78" s="7"/>
      <c r="Q78" s="23"/>
      <c r="R78" s="23"/>
      <c r="S78" s="35">
        <f t="shared" si="35"/>
        <v>1</v>
      </c>
      <c r="T78" s="50" t="str">
        <f t="shared" si="36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11:25:44-700',mode:absolute,to:'2016-12-19 14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8" s="52" t="str">
        <f t="shared" si="38"/>
        <v>N</v>
      </c>
      <c r="X78" s="177">
        <f t="shared" si="39"/>
        <v>1</v>
      </c>
      <c r="Y78" s="67">
        <f t="shared" si="40"/>
        <v>23.3002</v>
      </c>
      <c r="Z78" s="67">
        <f t="shared" si="41"/>
        <v>1.6899999999999998E-2</v>
      </c>
      <c r="AA78" s="67">
        <f t="shared" si="42"/>
        <v>23.283300000000001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43"/>
        <v>0166-19</v>
      </c>
      <c r="AE78" s="91" t="str">
        <f t="shared" si="44"/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AF78" s="88" t="str">
        <f t="shared" si="45"/>
        <v>"C:\Program Files (x86)\AstroGrep\AstroGrep.exe" /spath="%USERPROFILE%\AppData\Local\Temp\OnboardLogs" /stypes="app*4032*20161219*" /stext=" 20:.+((SYSTEM_STATE.+slice.+state.+changed )|(ment ac)|(multiple cpu faults)|(system.+state.+changed )|(\[timeout)|(PRM\|1\|D)|(kpr)|(kdp)|(\|lc)|(penalty))" /e /r /s</v>
      </c>
      <c r="AG78" s="1" t="str">
        <f t="shared" si="46"/>
        <v>EC</v>
      </c>
      <c r="AH78" s="92" t="str">
        <f t="shared" ref="AH78:AH141" si="4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166-19 --locoid 4032 --swversion DE.1.0.8.0 --startMP 204:233002 --initTime 2016-12-19T12:25:44 --startdatetime 2016-12-19T12:42:08 --delay 1 --endMP 204:169 --enddatetime 2016-12-19T13:21:16 --enforcementcount 0 &gt;&gt;C:\Users\stu\Documents\GitHub\eaglep3-reporting\EC\2016-12-19-refined-times.txt</v>
      </c>
      <c r="AI78" s="119" t="str">
        <f t="shared" ref="AI78:AI141" si="4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{"issue":{"subject":"","project_id":79,"tracker_id":40,"status_id":1,"priority_id":2,"assigned_to_id":23,"start_date":"2016-12-19","description":"","custom_fields":[{"id":1,"name":"Subdivision","value":"EC"},{"id":4,"name":"Milepost","value":"0.0169"},{"id":17,"name":"Train ID","value":"166-19"},{"id":16,"name":"Locomotive ID","value":"4032"},{"id":130,"name":"Impact","value":""},{"id":150,"name":"Time of Event (Mountain Time)","value":"13:21:16"},{"id":151,"name":"Denver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651</v>
      </c>
      <c r="B79" s="7">
        <v>4027</v>
      </c>
      <c r="C79" s="22" t="s">
        <v>205</v>
      </c>
      <c r="D79" s="22" t="s">
        <v>439</v>
      </c>
      <c r="E79" s="13">
        <v>42723.495648148149</v>
      </c>
      <c r="F79" s="13">
        <v>42723.500277777777</v>
      </c>
      <c r="G79" s="7">
        <v>1</v>
      </c>
      <c r="H79" s="22" t="s">
        <v>784</v>
      </c>
      <c r="I79" s="13">
        <v>42723.525462962964</v>
      </c>
      <c r="J79" s="7">
        <v>0</v>
      </c>
      <c r="K79" s="109" t="str">
        <f t="shared" si="32"/>
        <v>4027/4028</v>
      </c>
      <c r="L79" s="22" t="str">
        <f>VLOOKUP(A79,'Trips&amp;Operators'!$C$1:$G$99999,5,FALSE)</f>
        <v>BARTLETT KIANDRA</v>
      </c>
      <c r="M79" s="6">
        <f t="shared" si="33"/>
        <v>2.5185185186273884E-2</v>
      </c>
      <c r="N79" s="7">
        <f t="shared" si="34"/>
        <v>36.266666668234393</v>
      </c>
      <c r="O79" s="7"/>
      <c r="P79" s="7"/>
      <c r="Q79" s="23"/>
      <c r="R79" s="23"/>
      <c r="S79" s="35">
        <f t="shared" si="35"/>
        <v>1</v>
      </c>
      <c r="T79" s="50" t="str">
        <f t="shared" si="36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10:53:44-700',mode:absolute,to:'2016-12-19 13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9" s="52" t="str">
        <f t="shared" si="38"/>
        <v>N</v>
      </c>
      <c r="X79" s="177">
        <f t="shared" si="39"/>
        <v>1</v>
      </c>
      <c r="Y79" s="67">
        <f t="shared" si="40"/>
        <v>4.6899999999999997E-2</v>
      </c>
      <c r="Z79" s="67">
        <f t="shared" si="41"/>
        <v>23.331099999999999</v>
      </c>
      <c r="AA79" s="67">
        <f t="shared" si="42"/>
        <v>23.284199999999998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43"/>
        <v>0167-19</v>
      </c>
      <c r="AE79" s="91" t="str">
        <f t="shared" si="44"/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79" s="88" t="str">
        <f t="shared" si="45"/>
        <v>"C:\Program Files (x86)\AstroGrep\AstroGrep.exe" /spath="%USERPROFILE%\AppData\Local\Temp\OnboardLogs" /stypes="app*4027*20161219*" /stext=" 19:.+((SYSTEM_STATE.+slice.+state.+changed )|(ment ac)|(multiple cpu faults)|(system.+state.+changed )|(\[timeout)|(PRM\|1\|D)|(kpr)|(kdp)|(\|lc)|(penalty))" /e /r /s</v>
      </c>
      <c r="AG79" s="1" t="str">
        <f t="shared" si="46"/>
        <v>EC</v>
      </c>
      <c r="AH79" s="92" t="str">
        <f t="shared" si="47"/>
        <v>"%USERPROFILE%\Documents\GitHub\eaglep3\Utilities\RefineRTDCRunTimes.py" --tripid 167-19 --locoid 4027 --swversion DE.1.0.8.0 --startMP 204:469 --initTime 2016-12-19T11:53:44 --startdatetime 2016-12-19T12:00:24 --delay 1 --endMP 204:233311 --enddatetime 2016-12-19T12:36:40 --enforcementcount 0 &gt;&gt;C:\Users\stu\Documents\GitHub\eaglep3-reporting\EC\2016-12-19-refined-times.txt</v>
      </c>
      <c r="AI79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{"issue":{"subject":"","project_id":79,"tracker_id":40,"status_id":1,"priority_id":2,"assigned_to_id":23,"start_date":"2016-12-19","description":"","custom_fields":[{"id":1,"name":"Subdivision","value":"EC"},{"id":4,"name":"Milepost","value":"23.3311"},{"id":17,"name":"Train ID","value":"167-19"},{"id":16,"name":"Locomotive ID","value":"4027"},{"id":130,"name":"Impact","value":""},{"id":150,"name":"Time of Event (Mountain Time)","value":"12:36:40"},{"id":151,"name":"Denver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659</v>
      </c>
      <c r="B80" s="7">
        <v>4028</v>
      </c>
      <c r="C80" s="22" t="s">
        <v>205</v>
      </c>
      <c r="D80" s="22" t="s">
        <v>816</v>
      </c>
      <c r="E80" s="13">
        <v>42723.52789351852</v>
      </c>
      <c r="F80" s="13">
        <v>42723.53943287037</v>
      </c>
      <c r="G80" s="7">
        <v>1</v>
      </c>
      <c r="H80" s="22" t="s">
        <v>509</v>
      </c>
      <c r="I80" s="13">
        <v>42723.566724537035</v>
      </c>
      <c r="J80" s="7">
        <v>0</v>
      </c>
      <c r="K80" s="109" t="str">
        <f t="shared" si="32"/>
        <v>4027/4028</v>
      </c>
      <c r="L80" s="22" t="str">
        <f>VLOOKUP(A80,'Trips&amp;Operators'!$C$1:$G$99999,5,FALSE)</f>
        <v>BARTLETT KIANDRA</v>
      </c>
      <c r="M80" s="6">
        <f t="shared" si="33"/>
        <v>2.7291666665405501E-2</v>
      </c>
      <c r="N80" s="7">
        <f t="shared" si="34"/>
        <v>39.299999998183921</v>
      </c>
      <c r="O80" s="7"/>
      <c r="P80" s="7"/>
      <c r="Q80" s="23"/>
      <c r="R80" s="23"/>
      <c r="S80" s="35">
        <f t="shared" si="35"/>
        <v>1</v>
      </c>
      <c r="T80" s="50" t="str">
        <f t="shared" si="36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11:40:10-700',mode:absolute,to:'2016-12-19 14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0" s="52" t="str">
        <f t="shared" si="38"/>
        <v>N</v>
      </c>
      <c r="X80" s="177">
        <f t="shared" si="39"/>
        <v>1</v>
      </c>
      <c r="Y80" s="67">
        <f t="shared" si="40"/>
        <v>23.3005</v>
      </c>
      <c r="Z80" s="67">
        <f t="shared" si="41"/>
        <v>1.72E-2</v>
      </c>
      <c r="AA80" s="67">
        <f t="shared" si="42"/>
        <v>23.283300000000001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43"/>
        <v>0168-19</v>
      </c>
      <c r="AE80" s="91" t="str">
        <f t="shared" si="44"/>
        <v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v>
      </c>
      <c r="AF80" s="88" t="str">
        <f t="shared" si="45"/>
        <v>"C:\Program Files (x86)\AstroGrep\AstroGrep.exe" /spath="%USERPROFILE%\AppData\Local\Temp\OnboardLogs" /stypes="app*4028*20161219*" /stext=" 20:.+((SYSTEM_STATE.+slice.+state.+changed )|(ment ac)|(multiple cpu faults)|(system.+state.+changed )|(\[timeout)|(PRM\|1\|D)|(kpr)|(kdp)|(\|lc)|(penalty))" /e /r /s</v>
      </c>
      <c r="AG80" s="1" t="str">
        <f t="shared" si="46"/>
        <v>EC</v>
      </c>
      <c r="AH80" s="92" t="str">
        <f t="shared" si="47"/>
        <v>"%USERPROFILE%\Documents\GitHub\eaglep3\Utilities\RefineRTDCRunTimes.py" --tripid 168-19 --locoid 4028 --swversion DE.1.0.8.0 --startMP 204:233005 --initTime 2016-12-19T12:40:10 --startdatetime 2016-12-19T12:56:47 --delay 1 --endMP 204:172 --enddatetime 2016-12-19T13:36:05 --enforcementcount 0 &gt;&gt;C:\Users\stu\Documents\GitHub\eaglep3-reporting\EC\2016-12-19-refined-times.txt</v>
      </c>
      <c r="AI80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{"issue":{"subject":"","project_id":79,"tracker_id":40,"status_id":1,"priority_id":2,"assigned_to_id":23,"start_date":"2016-12-19","description":"","custom_fields":[{"id":1,"name":"Subdivision","value":"EC"},{"id":4,"name":"Milepost","value":"0.0172"},{"id":17,"name":"Train ID","value":"168-19"},{"id":16,"name":"Locomotive ID","value":"4028"},{"id":130,"name":"Impact","value":""},{"id":150,"name":"Time of Event (Mountain Time)","value":"13:36:05"},{"id":151,"name":"Denver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653</v>
      </c>
      <c r="B81" s="7">
        <v>4046</v>
      </c>
      <c r="C81" s="22" t="s">
        <v>205</v>
      </c>
      <c r="D81" s="22" t="s">
        <v>194</v>
      </c>
      <c r="E81" s="13">
        <v>42723.510497685187</v>
      </c>
      <c r="F81" s="13">
        <v>42723.512233796297</v>
      </c>
      <c r="G81" s="7">
        <v>1</v>
      </c>
      <c r="H81" s="22" t="s">
        <v>817</v>
      </c>
      <c r="I81" s="13">
        <v>42723.544027777774</v>
      </c>
      <c r="J81" s="7">
        <v>0</v>
      </c>
      <c r="K81" s="109" t="str">
        <f t="shared" si="32"/>
        <v>4045/4046</v>
      </c>
      <c r="L81" s="22" t="str">
        <f>VLOOKUP(A81,'Trips&amp;Operators'!$C$1:$G$99999,5,FALSE)</f>
        <v>COMELLA JUSTIN</v>
      </c>
      <c r="M81" s="6">
        <f t="shared" si="33"/>
        <v>3.1793981477676425E-2</v>
      </c>
      <c r="N81" s="7">
        <f t="shared" si="34"/>
        <v>45.783333327854052</v>
      </c>
      <c r="O81" s="7"/>
      <c r="P81" s="7"/>
      <c r="Q81" s="23"/>
      <c r="R81" s="23"/>
      <c r="S81" s="35">
        <f t="shared" si="35"/>
        <v>1</v>
      </c>
      <c r="T81" s="50" t="str">
        <f t="shared" si="36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11:15:07-700',mode:absolute,to:'2016-12-19 14:03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1" s="52" t="str">
        <f t="shared" si="38"/>
        <v>N</v>
      </c>
      <c r="X81" s="177">
        <f t="shared" si="39"/>
        <v>1</v>
      </c>
      <c r="Y81" s="67">
        <f t="shared" si="40"/>
        <v>4.5100000000000001E-2</v>
      </c>
      <c r="Z81" s="67">
        <f t="shared" si="41"/>
        <v>23.330200000000001</v>
      </c>
      <c r="AA81" s="67">
        <f t="shared" si="42"/>
        <v>23.2851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43"/>
        <v>0169-19</v>
      </c>
      <c r="AE81" s="91" t="str">
        <f t="shared" si="44"/>
        <v>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 &amp; 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</v>
      </c>
      <c r="AF81" s="88" t="str">
        <f t="shared" si="45"/>
        <v>"C:\Program Files (x86)\AstroGrep\AstroGrep.exe" /spath="%USERPROFILE%\AppData\Local\Temp\OnboardLogs" /stypes="app*4046*20161219*" /stext=" 20:.+((SYSTEM_STATE.+slice.+state.+changed )|(ment ac)|(multiple cpu faults)|(system.+state.+changed )|(\[timeout)|(PRM\|1\|D)|(kpr)|(kdp)|(\|lc)|(penalty))" /e /r /s</v>
      </c>
      <c r="AG81" s="1" t="str">
        <f t="shared" si="46"/>
        <v>EC</v>
      </c>
      <c r="AH81" s="92" t="str">
        <f t="shared" si="47"/>
        <v>"%USERPROFILE%\Documents\GitHub\eaglep3\Utilities\RefineRTDCRunTimes.py" --tripid 169-19 --locoid 4046 --swversion DE.1.0.8.0 --startMP 204:451 --initTime 2016-12-19T12:15:07 --startdatetime 2016-12-19T12:17:37 --delay 1 --endMP 204:233302 --enddatetime 2016-12-19T13:03:24 --enforcementcount 0 &gt;&gt;C:\Users\stu\Documents\GitHub\eaglep3-reporting\EC\2016-12-19-refined-times.txt</v>
      </c>
      <c r="AI81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{"issue":{"subject":"","project_id":79,"tracker_id":40,"status_id":1,"priority_id":2,"assigned_to_id":23,"start_date":"2016-12-19","description":"","custom_fields":[{"id":1,"name":"Subdivision","value":"EC"},{"id":4,"name":"Milepost","value":"23.3302"},{"id":17,"name":"Train ID","value":"169-19"},{"id":16,"name":"Locomotive ID","value":"4046"},{"id":130,"name":"Impact","value":""},{"id":150,"name":"Time of Event (Mountain Time)","value":"13:03:24"},{"id":151,"name":"Denver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662</v>
      </c>
      <c r="B82" s="7">
        <v>4045</v>
      </c>
      <c r="C82" s="22" t="s">
        <v>205</v>
      </c>
      <c r="D82" s="22" t="s">
        <v>273</v>
      </c>
      <c r="E82" s="13">
        <v>42723.547048611108</v>
      </c>
      <c r="F82" s="13">
        <v>42723.549618055556</v>
      </c>
      <c r="G82" s="7">
        <v>1</v>
      </c>
      <c r="H82" s="22" t="s">
        <v>818</v>
      </c>
      <c r="I82" s="13">
        <v>42723.579247685186</v>
      </c>
      <c r="J82" s="7">
        <v>0</v>
      </c>
      <c r="K82" s="109" t="str">
        <f t="shared" si="32"/>
        <v>4045/4046</v>
      </c>
      <c r="L82" s="22" t="str">
        <f>VLOOKUP(A82,'Trips&amp;Operators'!$C$1:$G$99999,5,FALSE)</f>
        <v>COMELLA JUSTIN</v>
      </c>
      <c r="M82" s="6">
        <f t="shared" si="33"/>
        <v>2.9629629629198462E-2</v>
      </c>
      <c r="N82" s="7">
        <f t="shared" si="34"/>
        <v>42.666666666045785</v>
      </c>
      <c r="O82" s="7"/>
      <c r="P82" s="7"/>
      <c r="Q82" s="23"/>
      <c r="R82" s="23"/>
      <c r="S82" s="35">
        <f t="shared" si="35"/>
        <v>1</v>
      </c>
      <c r="T82" s="50" t="str">
        <f t="shared" si="36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12:07:45-700',mode:absolute,to:'2016-12-19 14:54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2" s="52" t="str">
        <f t="shared" si="38"/>
        <v>N</v>
      </c>
      <c r="X82" s="177">
        <f t="shared" si="39"/>
        <v>1</v>
      </c>
      <c r="Y82" s="67">
        <f t="shared" si="40"/>
        <v>23.299299999999999</v>
      </c>
      <c r="Z82" s="67">
        <f t="shared" si="41"/>
        <v>1.78E-2</v>
      </c>
      <c r="AA82" s="67">
        <f t="shared" si="42"/>
        <v>23.281499999999998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43"/>
        <v>0170-19</v>
      </c>
      <c r="AE82" s="91" t="str">
        <f t="shared" si="44"/>
        <v>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 &amp; 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</v>
      </c>
      <c r="AF82" s="88" t="str">
        <f t="shared" si="45"/>
        <v>"C:\Program Files (x86)\AstroGrep\AstroGrep.exe" /spath="%USERPROFILE%\AppData\Local\Temp\OnboardLogs" /stypes="app*4045*20161219*" /stext=" 20:.+((SYSTEM_STATE.+slice.+state.+changed )|(ment ac)|(multiple cpu faults)|(system.+state.+changed )|(\[timeout)|(PRM\|1\|D)|(kpr)|(kdp)|(\|lc)|(penalty))" /e /r /s</v>
      </c>
      <c r="AG82" s="1" t="str">
        <f t="shared" si="46"/>
        <v>EC</v>
      </c>
      <c r="AH82" s="92" t="str">
        <f t="shared" si="47"/>
        <v>"%USERPROFILE%\Documents\GitHub\eaglep3\Utilities\RefineRTDCRunTimes.py" --tripid 170-19 --locoid 4045 --swversion DE.1.0.8.0 --startMP 204:232993 --initTime 2016-12-19T13:07:45 --startdatetime 2016-12-19T13:11:27 --delay 1 --endMP 204:178 --enddatetime 2016-12-19T13:54:07 --enforcementcount 0 &gt;&gt;C:\Users\stu\Documents\GitHub\eaglep3-reporting\EC\2016-12-19-refined-times.txt</v>
      </c>
      <c r="AI82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{"issue":{"subject":"","project_id":79,"tracker_id":40,"status_id":1,"priority_id":2,"assigned_to_id":23,"start_date":"2016-12-19","description":"","custom_fields":[{"id":1,"name":"Subdivision","value":"EC"},{"id":4,"name":"Milepost","value":"0.0178"},{"id":17,"name":"Train ID","value":"170-19"},{"id":16,"name":"Locomotive ID","value":"4045"},{"id":130,"name":"Impact","value":""},{"id":150,"name":"Time of Event (Mountain Time)","value":"13:54:07"},{"id":151,"name":"Denver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658</v>
      </c>
      <c r="B83" s="7">
        <v>4009</v>
      </c>
      <c r="C83" s="22" t="s">
        <v>205</v>
      </c>
      <c r="D83" s="22" t="s">
        <v>266</v>
      </c>
      <c r="E83" s="13">
        <v>42723.520520833335</v>
      </c>
      <c r="F83" s="13">
        <v>42723.523240740738</v>
      </c>
      <c r="G83" s="7">
        <v>1</v>
      </c>
      <c r="H83" s="22" t="s">
        <v>819</v>
      </c>
      <c r="I83" s="13">
        <v>42723.553680555553</v>
      </c>
      <c r="J83" s="7">
        <v>0</v>
      </c>
      <c r="K83" s="109" t="str">
        <f t="shared" si="32"/>
        <v>4009/4010</v>
      </c>
      <c r="L83" s="22" t="str">
        <f>VLOOKUP(A83,'Trips&amp;Operators'!$C$1:$G$99999,5,FALSE)</f>
        <v>KILLION DAVID</v>
      </c>
      <c r="M83" s="6">
        <f t="shared" si="33"/>
        <v>3.0439814814599231E-2</v>
      </c>
      <c r="N83" s="7">
        <f t="shared" si="34"/>
        <v>43.833333333022892</v>
      </c>
      <c r="O83" s="7"/>
      <c r="P83" s="7"/>
      <c r="Q83" s="23"/>
      <c r="R83" s="23"/>
      <c r="S83" s="35">
        <f t="shared" si="35"/>
        <v>1</v>
      </c>
      <c r="T83" s="50" t="str">
        <f t="shared" si="36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11:29:33-700',mode:absolute,to:'2016-12-19 14:17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3" s="52" t="str">
        <f t="shared" si="38"/>
        <v>N</v>
      </c>
      <c r="X83" s="177">
        <f t="shared" si="39"/>
        <v>1</v>
      </c>
      <c r="Y83" s="67">
        <f t="shared" si="40"/>
        <v>4.6699999999999998E-2</v>
      </c>
      <c r="Z83" s="67">
        <f t="shared" si="41"/>
        <v>23.3278</v>
      </c>
      <c r="AA83" s="67">
        <f t="shared" si="42"/>
        <v>23.281099999999999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43"/>
        <v>0171-19</v>
      </c>
      <c r="AE83" s="91" t="str">
        <f t="shared" si="44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83" s="88" t="str">
        <f t="shared" si="45"/>
        <v>"C:\Program Files (x86)\AstroGrep\AstroGrep.exe" /spath="%USERPROFILE%\AppData\Local\Temp\OnboardLogs" /stypes="app*4009*20161219*" /stext=" 20:.+((SYSTEM_STATE.+slice.+state.+changed )|(ment ac)|(multiple cpu faults)|(system.+state.+changed )|(\[timeout)|(PRM\|1\|D)|(kpr)|(kdp)|(\|lc)|(penalty))" /e /r /s</v>
      </c>
      <c r="AG83" s="1" t="str">
        <f t="shared" si="46"/>
        <v>EC</v>
      </c>
      <c r="AH83" s="92" t="str">
        <f t="shared" si="47"/>
        <v>"%USERPROFILE%\Documents\GitHub\eaglep3\Utilities\RefineRTDCRunTimes.py" --tripid 171-19 --locoid 4009 --swversion DE.1.0.8.0 --startMP 204:467 --initTime 2016-12-19T12:29:33 --startdatetime 2016-12-19T12:33:28 --delay 1 --endMP 204:233278 --enddatetime 2016-12-19T13:17:18 --enforcementcount 0 &gt;&gt;C:\Users\stu\Documents\GitHub\eaglep3-reporting\EC\2016-12-19-refined-times.txt</v>
      </c>
      <c r="AI83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{"issue":{"subject":"","project_id":79,"tracker_id":40,"status_id":1,"priority_id":2,"assigned_to_id":23,"start_date":"2016-12-19","description":"","custom_fields":[{"id":1,"name":"Subdivision","value":"EC"},{"id":4,"name":"Milepost","value":"23.3278"},{"id":17,"name":"Train ID","value":"171-19"},{"id":16,"name":"Locomotive ID","value":"4009"},{"id":130,"name":"Impact","value":""},{"id":150,"name":"Time of Event (Mountain Time)","value":"13:17:18"},{"id":151,"name":"Denver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666</v>
      </c>
      <c r="B84" s="7">
        <v>4010</v>
      </c>
      <c r="C84" s="22" t="s">
        <v>205</v>
      </c>
      <c r="D84" s="22" t="s">
        <v>447</v>
      </c>
      <c r="E84" s="13">
        <v>42723.559108796297</v>
      </c>
      <c r="F84" s="13">
        <v>42723.560682870368</v>
      </c>
      <c r="G84" s="7">
        <v>2</v>
      </c>
      <c r="H84" s="22" t="s">
        <v>245</v>
      </c>
      <c r="I84" s="13">
        <v>42723.590925925928</v>
      </c>
      <c r="J84" s="7">
        <v>0</v>
      </c>
      <c r="K84" s="109" t="str">
        <f t="shared" si="32"/>
        <v>4009/4010</v>
      </c>
      <c r="L84" s="22" t="str">
        <f>VLOOKUP(A84,'Trips&amp;Operators'!$C$1:$G$99999,5,FALSE)</f>
        <v>KILLION DAVID</v>
      </c>
      <c r="M84" s="6">
        <f t="shared" si="33"/>
        <v>3.0243055560276844E-2</v>
      </c>
      <c r="N84" s="7">
        <f t="shared" si="34"/>
        <v>43.550000006798655</v>
      </c>
      <c r="O84" s="7"/>
      <c r="P84" s="7"/>
      <c r="Q84" s="23"/>
      <c r="R84" s="23"/>
      <c r="S84" s="35">
        <f t="shared" si="35"/>
        <v>1</v>
      </c>
      <c r="T84" s="50" t="str">
        <f t="shared" si="36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12:25:07-700',mode:absolute,to:'2016-12-19 15:10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4" s="52" t="str">
        <f t="shared" si="38"/>
        <v>N</v>
      </c>
      <c r="X84" s="177">
        <f t="shared" si="39"/>
        <v>1</v>
      </c>
      <c r="Y84" s="67">
        <f t="shared" si="40"/>
        <v>23.297799999999999</v>
      </c>
      <c r="Z84" s="67">
        <f t="shared" si="41"/>
        <v>1.6299999999999999E-2</v>
      </c>
      <c r="AA84" s="67">
        <f t="shared" si="42"/>
        <v>23.281499999999998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43"/>
        <v>0172-19</v>
      </c>
      <c r="AE84" s="91" t="str">
        <f t="shared" si="44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84" s="88" t="str">
        <f t="shared" si="45"/>
        <v>"C:\Program Files (x86)\AstroGrep\AstroGrep.exe" /spath="%USERPROFILE%\AppData\Local\Temp\OnboardLogs" /stypes="app*4010*20161219*" /stext=" 21:.+((SYSTEM_STATE.+slice.+state.+changed )|(ment ac)|(multiple cpu faults)|(system.+state.+changed )|(\[timeout)|(PRM\|1\|D)|(kpr)|(kdp)|(\|lc)|(penalty))" /e /r /s</v>
      </c>
      <c r="AG84" s="1" t="str">
        <f t="shared" si="46"/>
        <v>EC</v>
      </c>
      <c r="AH84" s="92" t="str">
        <f t="shared" si="47"/>
        <v>"%USERPROFILE%\Documents\GitHub\eaglep3\Utilities\RefineRTDCRunTimes.py" --tripid 172-19 --locoid 4010 --swversion DE.1.0.8.0 --startMP 204:232978 --initTime 2016-12-19T13:25:07 --startdatetime 2016-12-19T13:27:23 --delay 2 --endMP 204:163 --enddatetime 2016-12-19T14:10:56 --enforcementcount 0 &gt;&gt;C:\Users\stu\Documents\GitHub\eaglep3-reporting\EC\2016-12-19-refined-times.txt</v>
      </c>
      <c r="AI84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{"issue":{"subject":"","project_id":79,"tracker_id":40,"status_id":1,"priority_id":2,"assigned_to_id":23,"start_date":"2016-12-19","description":"","custom_fields":[{"id":1,"name":"Subdivision","value":"EC"},{"id":4,"name":"Milepost","value":"0.0163"},{"id":17,"name":"Train ID","value":"172-19"},{"id":16,"name":"Locomotive ID","value":"4010"},{"id":130,"name":"Impact","value":""},{"id":150,"name":"Time of Event (Mountain Time)","value":"14:10:56"},{"id":151,"name":"Denver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660</v>
      </c>
      <c r="B85" s="7">
        <v>4020</v>
      </c>
      <c r="C85" s="22" t="s">
        <v>205</v>
      </c>
      <c r="D85" s="22" t="s">
        <v>256</v>
      </c>
      <c r="E85" s="13">
        <v>42723.530787037038</v>
      </c>
      <c r="F85" s="13">
        <v>42723.532280092593</v>
      </c>
      <c r="G85" s="7">
        <v>1</v>
      </c>
      <c r="H85" s="22" t="s">
        <v>514</v>
      </c>
      <c r="I85" s="13">
        <v>42723.56318287037</v>
      </c>
      <c r="J85" s="7">
        <v>0</v>
      </c>
      <c r="K85" s="109" t="str">
        <f t="shared" si="32"/>
        <v>4019/4020</v>
      </c>
      <c r="L85" s="22" t="str">
        <f>VLOOKUP(A85,'Trips&amp;Operators'!$C$1:$G$99999,5,FALSE)</f>
        <v>DUNCAN SHEILA</v>
      </c>
      <c r="M85" s="6">
        <f t="shared" si="33"/>
        <v>3.0902777776645962E-2</v>
      </c>
      <c r="N85" s="7">
        <f t="shared" si="34"/>
        <v>44.499999998370185</v>
      </c>
      <c r="O85" s="7"/>
      <c r="P85" s="7"/>
      <c r="Q85" s="23"/>
      <c r="R85" s="23"/>
      <c r="S85" s="35">
        <f t="shared" si="35"/>
        <v>1</v>
      </c>
      <c r="T85" s="50" t="str">
        <f t="shared" si="36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11:44:20-700',mode:absolute,to:'2016-12-19 14:30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5" s="52" t="str">
        <f t="shared" si="38"/>
        <v>N</v>
      </c>
      <c r="X85" s="177">
        <f t="shared" si="39"/>
        <v>1</v>
      </c>
      <c r="Y85" s="67">
        <f t="shared" si="40"/>
        <v>4.53E-2</v>
      </c>
      <c r="Z85" s="67">
        <f t="shared" si="41"/>
        <v>23.327000000000002</v>
      </c>
      <c r="AA85" s="67">
        <f t="shared" si="42"/>
        <v>23.281700000000001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43"/>
        <v>0173-19</v>
      </c>
      <c r="AE85" s="91" t="str">
        <f t="shared" si="44"/>
        <v>aws s3 cp s3://rtdc.mdm.uploadarchive.raw/RTDC4020/ "%USERPROFILE%\AppData\Local\Temp\OnboardLogs"\RTDC4020\2016-12-19 --exclude "*" --recursive --include "*20161219*" &amp; "%USERPROFILE%\Documents\GitHub\mrs-test-scripts\Headless Mode &amp; Sideloading\WalkAndUnGZ.bat" "%USERPROFILE%\AppData\Local\Temp\OnboardLogs"\RTDC4020\2016-12-19 &amp; 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</v>
      </c>
      <c r="AF85" s="88" t="str">
        <f t="shared" si="45"/>
        <v>"C:\Program Files (x86)\AstroGrep\AstroGrep.exe" /spath="%USERPROFILE%\AppData\Local\Temp\OnboardLogs" /stypes="app*4020*20161219*" /stext=" 20:.+((SYSTEM_STATE.+slice.+state.+changed )|(ment ac)|(multiple cpu faults)|(system.+state.+changed )|(\[timeout)|(PRM\|1\|D)|(kpr)|(kdp)|(\|lc)|(penalty))" /e /r /s</v>
      </c>
      <c r="AG85" s="1" t="str">
        <f t="shared" si="46"/>
        <v>EC</v>
      </c>
      <c r="AH85" s="92" t="str">
        <f t="shared" si="47"/>
        <v>"%USERPROFILE%\Documents\GitHub\eaglep3\Utilities\RefineRTDCRunTimes.py" --tripid 173-19 --locoid 4020 --swversion DE.1.0.8.0 --startMP 204:453 --initTime 2016-12-19T12:44:20 --startdatetime 2016-12-19T12:46:29 --delay 1 --endMP 204:233270 --enddatetime 2016-12-19T13:30:59 --enforcementcount 0 &gt;&gt;C:\Users\stu\Documents\GitHub\eaglep3-reporting\EC\2016-12-19-refined-times.txt</v>
      </c>
      <c r="AI85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{"issue":{"subject":"","project_id":79,"tracker_id":40,"status_id":1,"priority_id":2,"assigned_to_id":23,"start_date":"2016-12-19","description":"","custom_fields":[{"id":1,"name":"Subdivision","value":"EC"},{"id":4,"name":"Milepost","value":"23.327"},{"id":17,"name":"Train ID","value":"173-19"},{"id":16,"name":"Locomotive ID","value":"4020"},{"id":130,"name":"Impact","value":""},{"id":150,"name":"Time of Event (Mountain Time)","value":"13:30:59"},{"id":151,"name":"Denver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668</v>
      </c>
      <c r="B86" s="7">
        <v>4019</v>
      </c>
      <c r="C86" s="22" t="s">
        <v>205</v>
      </c>
      <c r="D86" s="22" t="s">
        <v>820</v>
      </c>
      <c r="E86" s="13">
        <v>42723.568668981483</v>
      </c>
      <c r="F86" s="13">
        <v>42723.575983796298</v>
      </c>
      <c r="G86" s="7">
        <v>1</v>
      </c>
      <c r="H86" s="22" t="s">
        <v>821</v>
      </c>
      <c r="I86" s="13">
        <v>42723.603842592594</v>
      </c>
      <c r="J86" s="7">
        <v>0</v>
      </c>
      <c r="K86" s="109" t="str">
        <f t="shared" si="32"/>
        <v>4019/4020</v>
      </c>
      <c r="L86" s="22" t="str">
        <f>VLOOKUP(A86,'Trips&amp;Operators'!$C$1:$G$99999,5,FALSE)</f>
        <v>DUNCAN SHEILA</v>
      </c>
      <c r="M86" s="6">
        <f t="shared" si="33"/>
        <v>2.7858796296641231E-2</v>
      </c>
      <c r="N86" s="7">
        <f t="shared" si="34"/>
        <v>40.116666667163372</v>
      </c>
      <c r="O86" s="7"/>
      <c r="P86" s="7"/>
      <c r="Q86" s="23"/>
      <c r="R86" s="23"/>
      <c r="S86" s="35">
        <f t="shared" si="35"/>
        <v>1</v>
      </c>
      <c r="T86" s="50" t="str">
        <f t="shared" si="36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12:38:53-700',mode:absolute,to:'2016-12-19 15:29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6" s="52" t="str">
        <f t="shared" si="38"/>
        <v>N</v>
      </c>
      <c r="X86" s="177">
        <f t="shared" si="39"/>
        <v>1</v>
      </c>
      <c r="Y86" s="67">
        <f t="shared" si="40"/>
        <v>23.296199999999999</v>
      </c>
      <c r="Z86" s="67">
        <f t="shared" si="41"/>
        <v>0.1179</v>
      </c>
      <c r="AA86" s="67">
        <f t="shared" si="42"/>
        <v>23.1783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43"/>
        <v>0174-19</v>
      </c>
      <c r="AE86" s="91" t="str">
        <f t="shared" si="44"/>
        <v>aws s3 cp s3://rtdc.mdm.uploadarchive.raw/RTDC4019/ "%USERPROFILE%\AppData\Local\Temp\OnboardLogs"\RTDC4019\2016-12-19 --exclude "*" --recursive --include "*20161219*" &amp; "%USERPROFILE%\Documents\GitHub\mrs-test-scripts\Headless Mode &amp; Sideloading\WalkAndUnGZ.bat" "%USERPROFILE%\AppData\Local\Temp\OnboardLogs"\RTDC4019\2016-12-19 &amp; 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</v>
      </c>
      <c r="AF86" s="88" t="str">
        <f t="shared" si="45"/>
        <v>"C:\Program Files (x86)\AstroGrep\AstroGrep.exe" /spath="%USERPROFILE%\AppData\Local\Temp\OnboardLogs" /stypes="app*4019*20161219*" /stext=" 21:.+((SYSTEM_STATE.+slice.+state.+changed )|(ment ac)|(multiple cpu faults)|(system.+state.+changed )|(\[timeout)|(PRM\|1\|D)|(kpr)|(kdp)|(\|lc)|(penalty))" /e /r /s</v>
      </c>
      <c r="AG86" s="1" t="str">
        <f t="shared" si="46"/>
        <v>EC</v>
      </c>
      <c r="AH86" s="92" t="str">
        <f t="shared" si="47"/>
        <v>"%USERPROFILE%\Documents\GitHub\eaglep3\Utilities\RefineRTDCRunTimes.py" --tripid 174-19 --locoid 4019 --swversion DE.1.0.8.0 --startMP 204:232962 --initTime 2016-12-19T13:38:53 --startdatetime 2016-12-19T13:49:25 --delay 1 --endMP 204:1179 --enddatetime 2016-12-19T14:29:32 --enforcementcount 0 &gt;&gt;C:\Users\stu\Documents\GitHub\eaglep3-reporting\EC\2016-12-19-refined-times.txt</v>
      </c>
      <c r="AI86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{"issue":{"subject":"","project_id":79,"tracker_id":40,"status_id":1,"priority_id":2,"assigned_to_id":23,"start_date":"2016-12-19","description":"","custom_fields":[{"id":1,"name":"Subdivision","value":"EC"},{"id":4,"name":"Milepost","value":"0.1179"},{"id":17,"name":"Train ID","value":"174-19"},{"id":16,"name":"Locomotive ID","value":"4019"},{"id":130,"name":"Impact","value":""},{"id":150,"name":"Time of Event (Mountain Time)","value":"14:29:32"},{"id":151,"name":"Denver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661</v>
      </c>
      <c r="B87" s="7">
        <v>4018</v>
      </c>
      <c r="C87" s="22" t="s">
        <v>205</v>
      </c>
      <c r="D87" s="22" t="s">
        <v>515</v>
      </c>
      <c r="E87" s="13">
        <v>42723.540486111109</v>
      </c>
      <c r="F87" s="13">
        <v>42723.541932870372</v>
      </c>
      <c r="G87" s="7">
        <v>0</v>
      </c>
      <c r="H87" s="22" t="s">
        <v>519</v>
      </c>
      <c r="I87" s="13">
        <v>42723.570011574076</v>
      </c>
      <c r="J87" s="7">
        <v>0</v>
      </c>
      <c r="K87" s="109" t="str">
        <f t="shared" si="32"/>
        <v>4017/4018</v>
      </c>
      <c r="L87" s="22" t="str">
        <f>VLOOKUP(A87,'Trips&amp;Operators'!$C$1:$G$99999,5,FALSE)</f>
        <v>SWANSON BRYCE</v>
      </c>
      <c r="M87" s="6">
        <f t="shared" si="33"/>
        <v>2.8078703704522923E-2</v>
      </c>
      <c r="N87" s="7">
        <f t="shared" si="34"/>
        <v>40.433333334513009</v>
      </c>
      <c r="O87" s="7"/>
      <c r="P87" s="7"/>
      <c r="Q87" s="23"/>
      <c r="R87" s="23"/>
      <c r="S87" s="35">
        <f t="shared" si="35"/>
        <v>1</v>
      </c>
      <c r="T87" s="50" t="str">
        <f t="shared" si="36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11:58:18-700',mode:absolute,to:'2016-12-19 14:40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7" s="52" t="str">
        <f t="shared" si="38"/>
        <v>N</v>
      </c>
      <c r="X87" s="177">
        <f t="shared" si="39"/>
        <v>1</v>
      </c>
      <c r="Y87" s="67">
        <f t="shared" si="40"/>
        <v>4.7800000000000002E-2</v>
      </c>
      <c r="Z87" s="67">
        <f t="shared" si="41"/>
        <v>23.329699999999999</v>
      </c>
      <c r="AA87" s="67">
        <f t="shared" si="42"/>
        <v>23.2819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43"/>
        <v>0175-19</v>
      </c>
      <c r="AE87" s="91" t="str">
        <f t="shared" si="44"/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AF87" s="88" t="str">
        <f t="shared" si="45"/>
        <v>"C:\Program Files (x86)\AstroGrep\AstroGrep.exe" /spath="%USERPROFILE%\AppData\Local\Temp\OnboardLogs" /stypes="app*4018*20161219*" /stext=" 20:.+((SYSTEM_STATE.+slice.+state.+changed )|(ment ac)|(multiple cpu faults)|(system.+state.+changed )|(\[timeout)|(PRM\|1\|D)|(kpr)|(kdp)|(\|lc)|(penalty))" /e /r /s</v>
      </c>
      <c r="AG87" s="1" t="str">
        <f t="shared" si="46"/>
        <v>EC</v>
      </c>
      <c r="AH87" s="92" t="str">
        <f t="shared" si="47"/>
        <v>"%USERPROFILE%\Documents\GitHub\eaglep3\Utilities\RefineRTDCRunTimes.py" --tripid 175-19 --locoid 4018 --swversion DE.1.0.8.0 --startMP 204:478 --initTime 2016-12-19T12:58:18 --startdatetime 2016-12-19T13:00:23 --delay 0 --endMP 204:233297 --enddatetime 2016-12-19T13:40:49 --enforcementcount 0 &gt;&gt;C:\Users\stu\Documents\GitHub\eaglep3-reporting\EC\2016-12-19-refined-times.txt</v>
      </c>
      <c r="AI87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{"issue":{"subject":"","project_id":79,"tracker_id":40,"status_id":1,"priority_id":2,"assigned_to_id":23,"start_date":"2016-12-19","description":"","custom_fields":[{"id":1,"name":"Subdivision","value":"EC"},{"id":4,"name":"Milepost","value":"23.3297"},{"id":17,"name":"Train ID","value":"175-19"},{"id":16,"name":"Locomotive ID","value":"4018"},{"id":130,"name":"Impact","value":""},{"id":150,"name":"Time of Event (Mountain Time)","value":"13:40:49"},{"id":151,"name":"Denver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670</v>
      </c>
      <c r="B88" s="7">
        <v>4017</v>
      </c>
      <c r="C88" s="22" t="s">
        <v>205</v>
      </c>
      <c r="D88" s="22" t="s">
        <v>822</v>
      </c>
      <c r="E88" s="13">
        <v>42723.572638888887</v>
      </c>
      <c r="F88" s="13">
        <v>42723.580717592595</v>
      </c>
      <c r="G88" s="7">
        <v>1</v>
      </c>
      <c r="H88" s="22" t="s">
        <v>262</v>
      </c>
      <c r="I88" s="13">
        <v>42723.612430555557</v>
      </c>
      <c r="J88" s="7">
        <v>0</v>
      </c>
      <c r="K88" s="109" t="str">
        <f t="shared" si="32"/>
        <v>4017/4018</v>
      </c>
      <c r="L88" s="22" t="str">
        <f>VLOOKUP(A88,'Trips&amp;Operators'!$C$1:$G$99999,5,FALSE)</f>
        <v>SWANSON BRYCE</v>
      </c>
      <c r="M88" s="6">
        <f t="shared" si="33"/>
        <v>3.1712962962046731E-2</v>
      </c>
      <c r="N88" s="7">
        <f t="shared" si="34"/>
        <v>45.666666665347293</v>
      </c>
      <c r="O88" s="7"/>
      <c r="P88" s="7"/>
      <c r="Q88" s="23"/>
      <c r="R88" s="23"/>
      <c r="S88" s="35">
        <f t="shared" si="35"/>
        <v>1</v>
      </c>
      <c r="T88" s="50" t="str">
        <f t="shared" si="36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12:44:36-700',mode:absolute,to:'2016-12-19 15:41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8" s="52" t="str">
        <f t="shared" si="38"/>
        <v>N</v>
      </c>
      <c r="X88" s="177">
        <f t="shared" si="39"/>
        <v>1</v>
      </c>
      <c r="Y88" s="67">
        <f t="shared" si="40"/>
        <v>23.296900000000001</v>
      </c>
      <c r="Z88" s="67">
        <f t="shared" si="41"/>
        <v>1.47E-2</v>
      </c>
      <c r="AA88" s="67">
        <f t="shared" si="42"/>
        <v>23.2822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43"/>
        <v>0176-19</v>
      </c>
      <c r="AE88" s="91" t="str">
        <f t="shared" si="44"/>
        <v>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 &amp; 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</v>
      </c>
      <c r="AF88" s="88" t="str">
        <f t="shared" si="45"/>
        <v>"C:\Program Files (x86)\AstroGrep\AstroGrep.exe" /spath="%USERPROFILE%\AppData\Local\Temp\OnboardLogs" /stypes="app*4017*20161219*" /stext=" 21:.+((SYSTEM_STATE.+slice.+state.+changed )|(ment ac)|(multiple cpu faults)|(system.+state.+changed )|(\[timeout)|(PRM\|1\|D)|(kpr)|(kdp)|(\|lc)|(penalty))" /e /r /s</v>
      </c>
      <c r="AG88" s="1" t="str">
        <f t="shared" si="46"/>
        <v>EC</v>
      </c>
      <c r="AH88" s="92" t="str">
        <f t="shared" si="47"/>
        <v>"%USERPROFILE%\Documents\GitHub\eaglep3\Utilities\RefineRTDCRunTimes.py" --tripid 176-19 --locoid 4017 --swversion DE.1.0.8.0 --startMP 204:232969 --initTime 2016-12-19T13:44:36 --startdatetime 2016-12-19T13:56:14 --delay 1 --endMP 204:147 --enddatetime 2016-12-19T14:41:54 --enforcementcount 0 &gt;&gt;C:\Users\stu\Documents\GitHub\eaglep3-reporting\EC\2016-12-19-refined-times.txt</v>
      </c>
      <c r="AI88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{"issue":{"subject":"","project_id":79,"tracker_id":40,"status_id":1,"priority_id":2,"assigned_to_id":23,"start_date":"2016-12-19","description":"","custom_fields":[{"id":1,"name":"Subdivision","value":"EC"},{"id":4,"name":"Milepost","value":"0.0147"},{"id":17,"name":"Train ID","value":"176-19"},{"id":16,"name":"Locomotive ID","value":"4017"},{"id":130,"name":"Impact","value":""},{"id":150,"name":"Time of Event (Mountain Time)","value":"14:41:54"},{"id":151,"name":"Denver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663</v>
      </c>
      <c r="B89" s="7">
        <v>4022</v>
      </c>
      <c r="C89" s="22" t="s">
        <v>205</v>
      </c>
      <c r="D89" s="22" t="s">
        <v>272</v>
      </c>
      <c r="E89" s="13">
        <v>42723.549930555557</v>
      </c>
      <c r="F89" s="13">
        <v>42723.552256944444</v>
      </c>
      <c r="G89" s="7">
        <v>1</v>
      </c>
      <c r="H89" s="22" t="s">
        <v>817</v>
      </c>
      <c r="I89" s="13">
        <v>42723.580069444448</v>
      </c>
      <c r="J89" s="7">
        <v>0</v>
      </c>
      <c r="K89" s="109" t="str">
        <f t="shared" si="32"/>
        <v>4021/4022</v>
      </c>
      <c r="L89" s="22" t="str">
        <f>VLOOKUP(A89,'Trips&amp;Operators'!$C$1:$G$99999,5,FALSE)</f>
        <v>CLARK KATHLEEN</v>
      </c>
      <c r="M89" s="6">
        <f t="shared" si="33"/>
        <v>2.7812500004074536E-2</v>
      </c>
      <c r="N89" s="7">
        <f t="shared" si="34"/>
        <v>40.050000005867332</v>
      </c>
      <c r="O89" s="7"/>
      <c r="P89" s="7"/>
      <c r="Q89" s="23"/>
      <c r="R89" s="23"/>
      <c r="S89" s="35">
        <f t="shared" si="35"/>
        <v>1</v>
      </c>
      <c r="T89" s="50" t="str">
        <f t="shared" si="36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12:11:54-700',mode:absolute,to:'2016-12-19 14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9" s="52" t="str">
        <f t="shared" si="38"/>
        <v>N</v>
      </c>
      <c r="X89" s="177">
        <f t="shared" si="39"/>
        <v>1</v>
      </c>
      <c r="Y89" s="67">
        <f t="shared" si="40"/>
        <v>4.6199999999999998E-2</v>
      </c>
      <c r="Z89" s="67">
        <f t="shared" si="41"/>
        <v>23.330200000000001</v>
      </c>
      <c r="AA89" s="67">
        <f t="shared" si="42"/>
        <v>23.284000000000002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43"/>
        <v>0177-19</v>
      </c>
      <c r="AE89" s="91" t="str">
        <f t="shared" si="44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89" s="88" t="str">
        <f t="shared" si="45"/>
        <v>"C:\Program Files (x86)\AstroGrep\AstroGrep.exe" /spath="%USERPROFILE%\AppData\Local\Temp\OnboardLogs" /stypes="app*4022*20161219*" /stext=" 20:.+((SYSTEM_STATE.+slice.+state.+changed )|(ment ac)|(multiple cpu faults)|(system.+state.+changed )|(\[timeout)|(PRM\|1\|D)|(kpr)|(kdp)|(\|lc)|(penalty))" /e /r /s</v>
      </c>
      <c r="AG89" s="1" t="str">
        <f t="shared" si="46"/>
        <v>EC</v>
      </c>
      <c r="AH89" s="92" t="str">
        <f t="shared" si="47"/>
        <v>"%USERPROFILE%\Documents\GitHub\eaglep3\Utilities\RefineRTDCRunTimes.py" --tripid 177-19 --locoid 4022 --swversion DE.1.0.8.0 --startMP 204:462 --initTime 2016-12-19T13:11:54 --startdatetime 2016-12-19T13:15:15 --delay 1 --endMP 204:233302 --enddatetime 2016-12-19T13:55:18 --enforcementcount 0 &gt;&gt;C:\Users\stu\Documents\GitHub\eaglep3-reporting\EC\2016-12-19-refined-times.txt</v>
      </c>
      <c r="AI89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{"issue":{"subject":"","project_id":79,"tracker_id":40,"status_id":1,"priority_id":2,"assigned_to_id":23,"start_date":"2016-12-19","description":"","custom_fields":[{"id":1,"name":"Subdivision","value":"EC"},{"id":4,"name":"Milepost","value":"23.3302"},{"id":17,"name":"Train ID","value":"177-19"},{"id":16,"name":"Locomotive ID","value":"4022"},{"id":130,"name":"Impact","value":""},{"id":150,"name":"Time of Event (Mountain Time)","value":"13:55:18"},{"id":151,"name":"Denver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672</v>
      </c>
      <c r="B90" s="7">
        <v>4021</v>
      </c>
      <c r="C90" s="22" t="s">
        <v>205</v>
      </c>
      <c r="D90" s="22" t="s">
        <v>823</v>
      </c>
      <c r="E90" s="13">
        <v>42723.587418981479</v>
      </c>
      <c r="F90" s="13">
        <v>42723.591192129628</v>
      </c>
      <c r="G90" s="7">
        <v>1</v>
      </c>
      <c r="H90" s="22" t="s">
        <v>245</v>
      </c>
      <c r="I90" s="13">
        <v>42723.621469907404</v>
      </c>
      <c r="J90" s="7">
        <v>0</v>
      </c>
      <c r="K90" s="109" t="str">
        <f t="shared" si="32"/>
        <v>4021/4022</v>
      </c>
      <c r="L90" s="22" t="str">
        <f>VLOOKUP(A90,'Trips&amp;Operators'!$C$1:$G$99999,5,FALSE)</f>
        <v>CLARK KATHLEEN</v>
      </c>
      <c r="M90" s="6">
        <f t="shared" si="33"/>
        <v>3.0277777776063886E-2</v>
      </c>
      <c r="N90" s="7">
        <f t="shared" si="34"/>
        <v>43.599999997531995</v>
      </c>
      <c r="O90" s="7"/>
      <c r="P90" s="7"/>
      <c r="Q90" s="23"/>
      <c r="R90" s="23"/>
      <c r="S90" s="35">
        <f t="shared" si="35"/>
        <v>1</v>
      </c>
      <c r="T90" s="50" t="str">
        <f t="shared" si="36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13:05:53-700',mode:absolute,to:'2016-12-19 15:54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0" s="52" t="str">
        <f t="shared" si="38"/>
        <v>N</v>
      </c>
      <c r="X90" s="177">
        <f t="shared" si="39"/>
        <v>1</v>
      </c>
      <c r="Y90" s="67">
        <f t="shared" si="40"/>
        <v>23.297899999999998</v>
      </c>
      <c r="Z90" s="67">
        <f t="shared" si="41"/>
        <v>1.6299999999999999E-2</v>
      </c>
      <c r="AA90" s="67">
        <f t="shared" si="42"/>
        <v>23.281599999999997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43"/>
        <v>0178-19</v>
      </c>
      <c r="AE90" s="91" t="str">
        <f t="shared" si="44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90" s="88" t="str">
        <f t="shared" si="45"/>
        <v>"C:\Program Files (x86)\AstroGrep\AstroGrep.exe" /spath="%USERPROFILE%\AppData\Local\Temp\OnboardLogs" /stypes="app*4021*20161219*" /stext=" 21:.+((SYSTEM_STATE.+slice.+state.+changed )|(ment ac)|(multiple cpu faults)|(system.+state.+changed )|(\[timeout)|(PRM\|1\|D)|(kpr)|(kdp)|(\|lc)|(penalty))" /e /r /s</v>
      </c>
      <c r="AG90" s="1" t="str">
        <f t="shared" si="46"/>
        <v>EC</v>
      </c>
      <c r="AH90" s="92" t="str">
        <f t="shared" si="47"/>
        <v>"%USERPROFILE%\Documents\GitHub\eaglep3\Utilities\RefineRTDCRunTimes.py" --tripid 178-19 --locoid 4021 --swversion DE.1.0.8.0 --startMP 204:232979 --initTime 2016-12-19T14:05:53 --startdatetime 2016-12-19T14:11:19 --delay 1 --endMP 204:163 --enddatetime 2016-12-19T14:54:55 --enforcementcount 0 &gt;&gt;C:\Users\stu\Documents\GitHub\eaglep3-reporting\EC\2016-12-19-refined-times.txt</v>
      </c>
      <c r="AI90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{"issue":{"subject":"","project_id":79,"tracker_id":40,"status_id":1,"priority_id":2,"assigned_to_id":23,"start_date":"2016-12-19","description":"","custom_fields":[{"id":1,"name":"Subdivision","value":"EC"},{"id":4,"name":"Milepost","value":"0.0163"},{"id":17,"name":"Train ID","value":"178-19"},{"id":16,"name":"Locomotive ID","value":"4021"},{"id":130,"name":"Impact","value":""},{"id":150,"name":"Time of Event (Mountain Time)","value":"14:54:55"},{"id":151,"name":"Denver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665</v>
      </c>
      <c r="B91" s="7">
        <v>4031</v>
      </c>
      <c r="C91" s="22" t="s">
        <v>205</v>
      </c>
      <c r="D91" s="22" t="s">
        <v>194</v>
      </c>
      <c r="E91" s="13">
        <v>42723.558333333334</v>
      </c>
      <c r="F91" s="13">
        <v>42723.563136574077</v>
      </c>
      <c r="G91" s="7">
        <v>1</v>
      </c>
      <c r="H91" s="22" t="s">
        <v>441</v>
      </c>
      <c r="I91" s="13">
        <v>42723.589270833334</v>
      </c>
      <c r="J91" s="7">
        <v>0</v>
      </c>
      <c r="K91" s="109" t="str">
        <f t="shared" si="32"/>
        <v>4031/4032</v>
      </c>
      <c r="L91" s="22" t="str">
        <f>VLOOKUP(A91,'Trips&amp;Operators'!$C$1:$G$99999,5,FALSE)</f>
        <v>ADANE ELSHADAY</v>
      </c>
      <c r="M91" s="6">
        <f t="shared" si="33"/>
        <v>2.6134259256650694E-2</v>
      </c>
      <c r="N91" s="7">
        <f t="shared" si="34"/>
        <v>37.633333329576999</v>
      </c>
      <c r="O91" s="7"/>
      <c r="P91" s="7"/>
      <c r="Q91" s="23"/>
      <c r="R91" s="23"/>
      <c r="S91" s="35">
        <f t="shared" si="35"/>
        <v>1</v>
      </c>
      <c r="T91" s="50" t="str">
        <f t="shared" si="36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12:24:00-700',mode:absolute,to:'2016-12-19 15:08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1" s="52" t="str">
        <f t="shared" si="38"/>
        <v>N</v>
      </c>
      <c r="X91" s="177">
        <f t="shared" si="39"/>
        <v>1</v>
      </c>
      <c r="Y91" s="67">
        <f t="shared" si="40"/>
        <v>4.5100000000000001E-2</v>
      </c>
      <c r="Z91" s="67">
        <f t="shared" si="41"/>
        <v>23.329499999999999</v>
      </c>
      <c r="AA91" s="67">
        <f t="shared" si="42"/>
        <v>23.284399999999998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43"/>
        <v>0179-19</v>
      </c>
      <c r="AE91" s="91" t="str">
        <f t="shared" si="44"/>
        <v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v>
      </c>
      <c r="AF91" s="88" t="str">
        <f t="shared" si="45"/>
        <v>"C:\Program Files (x86)\AstroGrep\AstroGrep.exe" /spath="%USERPROFILE%\AppData\Local\Temp\OnboardLogs" /stypes="app*4031*20161219*" /stext=" 21:.+((SYSTEM_STATE.+slice.+state.+changed )|(ment ac)|(multiple cpu faults)|(system.+state.+changed )|(\[timeout)|(PRM\|1\|D)|(kpr)|(kdp)|(\|lc)|(penalty))" /e /r /s</v>
      </c>
      <c r="AG91" s="1" t="str">
        <f t="shared" si="46"/>
        <v>EC</v>
      </c>
      <c r="AH91" s="92" t="str">
        <f t="shared" si="47"/>
        <v>"%USERPROFILE%\Documents\GitHub\eaglep3\Utilities\RefineRTDCRunTimes.py" --tripid 179-19 --locoid 4031 --swversion DE.1.0.8.0 --startMP 204:451 --initTime 2016-12-19T13:24:00 --startdatetime 2016-12-19T13:30:55 --delay 1 --endMP 204:233295 --enddatetime 2016-12-19T14:08:33 --enforcementcount 0 &gt;&gt;C:\Users\stu\Documents\GitHub\eaglep3-reporting\EC\2016-12-19-refined-times.txt</v>
      </c>
      <c r="AI91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{"issue":{"subject":"","project_id":79,"tracker_id":40,"status_id":1,"priority_id":2,"assigned_to_id":23,"start_date":"2016-12-19","description":"","custom_fields":[{"id":1,"name":"Subdivision","value":"EC"},{"id":4,"name":"Milepost","value":"23.3295"},{"id":17,"name":"Train ID","value":"179-19"},{"id":16,"name":"Locomotive ID","value":"4031"},{"id":130,"name":"Impact","value":""},{"id":150,"name":"Time of Event (Mountain Time)","value":"14:08:33"},{"id":151,"name":"Denver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673</v>
      </c>
      <c r="B92" s="7">
        <v>4032</v>
      </c>
      <c r="C92" s="22" t="s">
        <v>205</v>
      </c>
      <c r="D92" s="22" t="s">
        <v>807</v>
      </c>
      <c r="E92" s="13">
        <v>42723.591215277775</v>
      </c>
      <c r="F92" s="13">
        <v>42723.601643518516</v>
      </c>
      <c r="G92" s="7">
        <v>1</v>
      </c>
      <c r="H92" s="22" t="s">
        <v>262</v>
      </c>
      <c r="I92" s="13">
        <v>42723.62877314815</v>
      </c>
      <c r="J92" s="7">
        <v>0</v>
      </c>
      <c r="K92" s="109" t="str">
        <f t="shared" si="32"/>
        <v>4031/4032</v>
      </c>
      <c r="L92" s="22" t="str">
        <f>VLOOKUP(A92,'Trips&amp;Operators'!$C$1:$G$99999,5,FALSE)</f>
        <v>ADANE ELSHADAY</v>
      </c>
      <c r="M92" s="6">
        <f t="shared" si="33"/>
        <v>2.7129629634146113E-2</v>
      </c>
      <c r="N92" s="7">
        <f t="shared" si="34"/>
        <v>39.066666673170403</v>
      </c>
      <c r="O92" s="7"/>
      <c r="P92" s="7"/>
      <c r="Q92" s="23"/>
      <c r="R92" s="23"/>
      <c r="S92" s="35">
        <f t="shared" si="35"/>
        <v>1</v>
      </c>
      <c r="T92" s="50" t="str">
        <f t="shared" si="36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13:11:21-700',mode:absolute,to:'2016-12-19 16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2" s="52" t="str">
        <f t="shared" si="38"/>
        <v>N</v>
      </c>
      <c r="X92" s="177">
        <f t="shared" si="39"/>
        <v>1</v>
      </c>
      <c r="Y92" s="67">
        <f t="shared" si="40"/>
        <v>23.297499999999999</v>
      </c>
      <c r="Z92" s="67">
        <f t="shared" si="41"/>
        <v>1.47E-2</v>
      </c>
      <c r="AA92" s="67">
        <f t="shared" si="42"/>
        <v>23.282799999999998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43"/>
        <v>0180-19</v>
      </c>
      <c r="AE92" s="91" t="str">
        <f t="shared" si="44"/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AF92" s="88" t="str">
        <f t="shared" si="45"/>
        <v>"C:\Program Files (x86)\AstroGrep\AstroGrep.exe" /spath="%USERPROFILE%\AppData\Local\Temp\OnboardLogs" /stypes="app*4032*20161219*" /stext=" 22:.+((SYSTEM_STATE.+slice.+state.+changed )|(ment ac)|(multiple cpu faults)|(system.+state.+changed )|(\[timeout)|(PRM\|1\|D)|(kpr)|(kdp)|(\|lc)|(penalty))" /e /r /s</v>
      </c>
      <c r="AG92" s="1" t="str">
        <f t="shared" si="46"/>
        <v>EC</v>
      </c>
      <c r="AH92" s="92" t="str">
        <f t="shared" si="47"/>
        <v>"%USERPROFILE%\Documents\GitHub\eaglep3\Utilities\RefineRTDCRunTimes.py" --tripid 180-19 --locoid 4032 --swversion DE.1.0.8.0 --startMP 204:232975 --initTime 2016-12-19T14:11:21 --startdatetime 2016-12-19T14:26:22 --delay 1 --endMP 204:147 --enddatetime 2016-12-19T15:05:26 --enforcementcount 0 &gt;&gt;C:\Users\stu\Documents\GitHub\eaglep3-reporting\EC\2016-12-19-refined-times.txt</v>
      </c>
      <c r="AI92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{"issue":{"subject":"","project_id":79,"tracker_id":40,"status_id":1,"priority_id":2,"assigned_to_id":23,"start_date":"2016-12-19","description":"","custom_fields":[{"id":1,"name":"Subdivision","value":"EC"},{"id":4,"name":"Milepost","value":"0.0147"},{"id":17,"name":"Train ID","value":"180-19"},{"id":16,"name":"Locomotive ID","value":"4032"},{"id":130,"name":"Impact","value":""},{"id":150,"name":"Time of Event (Mountain Time)","value":"15:05:26"},{"id":151,"name":"Denver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669</v>
      </c>
      <c r="B93" s="7">
        <v>4027</v>
      </c>
      <c r="C93" s="22" t="s">
        <v>205</v>
      </c>
      <c r="D93" s="22" t="s">
        <v>256</v>
      </c>
      <c r="E93" s="13">
        <v>42723.569548611114</v>
      </c>
      <c r="F93" s="13">
        <v>42723.573229166665</v>
      </c>
      <c r="G93" s="7">
        <v>1</v>
      </c>
      <c r="H93" s="22" t="s">
        <v>817</v>
      </c>
      <c r="I93" s="13">
        <v>42723.60052083333</v>
      </c>
      <c r="J93" s="7">
        <v>0</v>
      </c>
      <c r="K93" s="109" t="str">
        <f t="shared" si="32"/>
        <v>4027/4028</v>
      </c>
      <c r="L93" s="22" t="str">
        <f>VLOOKUP(A93,'Trips&amp;Operators'!$C$1:$G$99999,5,FALSE)</f>
        <v>BARTLETT KIANDRA</v>
      </c>
      <c r="M93" s="6">
        <f t="shared" si="33"/>
        <v>2.7291666665405501E-2</v>
      </c>
      <c r="N93" s="7">
        <f t="shared" si="34"/>
        <v>39.299999998183921</v>
      </c>
      <c r="O93" s="7"/>
      <c r="P93" s="7"/>
      <c r="Q93" s="23"/>
      <c r="R93" s="23"/>
      <c r="S93" s="35">
        <f t="shared" si="35"/>
        <v>1</v>
      </c>
      <c r="T93" s="50" t="str">
        <f t="shared" si="36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12:40:09-700',mode:absolute,to:'2016-12-19 15:24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3" s="52" t="str">
        <f t="shared" si="38"/>
        <v>N</v>
      </c>
      <c r="X93" s="177">
        <f t="shared" si="39"/>
        <v>1</v>
      </c>
      <c r="Y93" s="67">
        <f t="shared" si="40"/>
        <v>4.53E-2</v>
      </c>
      <c r="Z93" s="67">
        <f t="shared" si="41"/>
        <v>23.330200000000001</v>
      </c>
      <c r="AA93" s="67">
        <f t="shared" si="42"/>
        <v>23.2849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43"/>
        <v>0181-19</v>
      </c>
      <c r="AE93" s="91" t="str">
        <f t="shared" si="44"/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93" s="88" t="str">
        <f t="shared" si="45"/>
        <v>"C:\Program Files (x86)\AstroGrep\AstroGrep.exe" /spath="%USERPROFILE%\AppData\Local\Temp\OnboardLogs" /stypes="app*4027*20161219*" /stext=" 21:.+((SYSTEM_STATE.+slice.+state.+changed )|(ment ac)|(multiple cpu faults)|(system.+state.+changed )|(\[timeout)|(PRM\|1\|D)|(kpr)|(kdp)|(\|lc)|(penalty))" /e /r /s</v>
      </c>
      <c r="AG93" s="1" t="str">
        <f t="shared" si="46"/>
        <v>EC</v>
      </c>
      <c r="AH93" s="92" t="str">
        <f t="shared" si="47"/>
        <v>"%USERPROFILE%\Documents\GitHub\eaglep3\Utilities\RefineRTDCRunTimes.py" --tripid 181-19 --locoid 4027 --swversion DE.1.0.8.0 --startMP 204:453 --initTime 2016-12-19T13:40:09 --startdatetime 2016-12-19T13:45:27 --delay 1 --endMP 204:233302 --enddatetime 2016-12-19T14:24:45 --enforcementcount 0 &gt;&gt;C:\Users\stu\Documents\GitHub\eaglep3-reporting\EC\2016-12-19-refined-times.txt</v>
      </c>
      <c r="AI93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{"issue":{"subject":"","project_id":79,"tracker_id":40,"status_id":1,"priority_id":2,"assigned_to_id":23,"start_date":"2016-12-19","description":"","custom_fields":[{"id":1,"name":"Subdivision","value":"EC"},{"id":4,"name":"Milepost","value":"23.3302"},{"id":17,"name":"Train ID","value":"181-19"},{"id":16,"name":"Locomotive ID","value":"4027"},{"id":130,"name":"Impact","value":""},{"id":150,"name":"Time of Event (Mountain Time)","value":"14:24:45"},{"id":151,"name":"Denver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679</v>
      </c>
      <c r="B94" s="7">
        <v>4028</v>
      </c>
      <c r="C94" s="22" t="s">
        <v>205</v>
      </c>
      <c r="D94" s="22" t="s">
        <v>273</v>
      </c>
      <c r="E94" s="13">
        <v>42723.606678240743</v>
      </c>
      <c r="F94" s="13">
        <v>42723.612129629626</v>
      </c>
      <c r="G94" s="7">
        <v>1</v>
      </c>
      <c r="H94" s="22" t="s">
        <v>269</v>
      </c>
      <c r="I94" s="13">
        <v>42723.640625</v>
      </c>
      <c r="J94" s="7">
        <v>0</v>
      </c>
      <c r="K94" s="109" t="str">
        <f t="shared" si="32"/>
        <v>4027/4028</v>
      </c>
      <c r="L94" s="22" t="str">
        <f>VLOOKUP(A94,'Trips&amp;Operators'!$C$1:$G$99999,5,FALSE)</f>
        <v>BARTLETT KIANDRA</v>
      </c>
      <c r="M94" s="6">
        <f t="shared" si="33"/>
        <v>2.849537037400296E-2</v>
      </c>
      <c r="N94" s="7">
        <f t="shared" si="34"/>
        <v>41.033333338564262</v>
      </c>
      <c r="O94" s="7"/>
      <c r="P94" s="7"/>
      <c r="Q94" s="23"/>
      <c r="R94" s="23"/>
      <c r="S94" s="35">
        <f t="shared" si="35"/>
        <v>1</v>
      </c>
      <c r="T94" s="50" t="str">
        <f t="shared" si="36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13:33:37-700',mode:absolute,to:'2016-12-19 16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4" s="52" t="str">
        <f t="shared" si="38"/>
        <v>N</v>
      </c>
      <c r="X94" s="177">
        <f t="shared" si="39"/>
        <v>1</v>
      </c>
      <c r="Y94" s="67">
        <f t="shared" si="40"/>
        <v>23.299299999999999</v>
      </c>
      <c r="Z94" s="67">
        <f t="shared" si="41"/>
        <v>1.6E-2</v>
      </c>
      <c r="AA94" s="67">
        <f t="shared" si="42"/>
        <v>23.283300000000001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43"/>
        <v>0182-19</v>
      </c>
      <c r="AE94" s="91" t="str">
        <f t="shared" si="44"/>
        <v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v>
      </c>
      <c r="AF94" s="88" t="str">
        <f t="shared" si="45"/>
        <v>"C:\Program Files (x86)\AstroGrep\AstroGrep.exe" /spath="%USERPROFILE%\AppData\Local\Temp\OnboardLogs" /stypes="app*4028*20161219*" /stext=" 22:.+((SYSTEM_STATE.+slice.+state.+changed )|(ment ac)|(multiple cpu faults)|(system.+state.+changed )|(\[timeout)|(PRM\|1\|D)|(kpr)|(kdp)|(\|lc)|(penalty))" /e /r /s</v>
      </c>
      <c r="AG94" s="1" t="str">
        <f t="shared" si="46"/>
        <v>EC</v>
      </c>
      <c r="AH94" s="92" t="str">
        <f t="shared" si="47"/>
        <v>"%USERPROFILE%\Documents\GitHub\eaglep3\Utilities\RefineRTDCRunTimes.py" --tripid 182-19 --locoid 4028 --swversion DE.1.0.8.0 --startMP 204:232993 --initTime 2016-12-19T14:33:37 --startdatetime 2016-12-19T14:41:28 --delay 1 --endMP 204:160 --enddatetime 2016-12-19T15:22:30 --enforcementcount 0 &gt;&gt;C:\Users\stu\Documents\GitHub\eaglep3-reporting\EC\2016-12-19-refined-times.txt</v>
      </c>
      <c r="AI94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{"issue":{"subject":"","project_id":79,"tracker_id":40,"status_id":1,"priority_id":2,"assigned_to_id":23,"start_date":"2016-12-19","description":"","custom_fields":[{"id":1,"name":"Subdivision","value":"EC"},{"id":4,"name":"Milepost","value":"0.016"},{"id":17,"name":"Train ID","value":"182-19"},{"id":16,"name":"Locomotive ID","value":"4028"},{"id":130,"name":"Impact","value":""},{"id":150,"name":"Time of Event (Mountain Time)","value":"15:22:30"},{"id":151,"name":"Denver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671</v>
      </c>
      <c r="B95" s="7">
        <v>4046</v>
      </c>
      <c r="C95" s="22" t="s">
        <v>205</v>
      </c>
      <c r="D95" s="22" t="s">
        <v>231</v>
      </c>
      <c r="E95" s="13">
        <v>42723.580625000002</v>
      </c>
      <c r="F95" s="13">
        <v>42723.583587962959</v>
      </c>
      <c r="G95" s="7">
        <v>1</v>
      </c>
      <c r="H95" s="22" t="s">
        <v>519</v>
      </c>
      <c r="I95" s="13">
        <v>42723.608935185184</v>
      </c>
      <c r="J95" s="7">
        <v>0</v>
      </c>
      <c r="K95" s="109" t="str">
        <f t="shared" si="32"/>
        <v>4045/4046</v>
      </c>
      <c r="L95" s="22" t="str">
        <f>VLOOKUP(A95,'Trips&amp;Operators'!$C$1:$G$99999,5,FALSE)</f>
        <v>COMELLA JUSTIN</v>
      </c>
      <c r="M95" s="6">
        <f t="shared" si="33"/>
        <v>2.5347222224809229E-2</v>
      </c>
      <c r="N95" s="7">
        <f t="shared" si="34"/>
        <v>36.50000000372529</v>
      </c>
      <c r="O95" s="7"/>
      <c r="P95" s="7"/>
      <c r="Q95" s="23"/>
      <c r="R95" s="23"/>
      <c r="S95" s="35">
        <f t="shared" si="35"/>
        <v>1</v>
      </c>
      <c r="T95" s="50" t="str">
        <f t="shared" si="36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12:56:06-700',mode:absolute,to:'2016-12-19 15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5" s="52" t="str">
        <f t="shared" si="38"/>
        <v>N</v>
      </c>
      <c r="X95" s="177">
        <f t="shared" si="39"/>
        <v>1</v>
      </c>
      <c r="Y95" s="67">
        <f t="shared" si="40"/>
        <v>4.7100000000000003E-2</v>
      </c>
      <c r="Z95" s="67">
        <f t="shared" si="41"/>
        <v>23.329699999999999</v>
      </c>
      <c r="AA95" s="67">
        <f t="shared" si="42"/>
        <v>23.282599999999999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43"/>
        <v>0183-19</v>
      </c>
      <c r="AE95" s="91" t="str">
        <f t="shared" si="44"/>
        <v>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 &amp; 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</v>
      </c>
      <c r="AF95" s="88" t="str">
        <f t="shared" si="45"/>
        <v>"C:\Program Files (x86)\AstroGrep\AstroGrep.exe" /spath="%USERPROFILE%\AppData\Local\Temp\OnboardLogs" /stypes="app*4046*20161219*" /stext=" 21:.+((SYSTEM_STATE.+slice.+state.+changed )|(ment ac)|(multiple cpu faults)|(system.+state.+changed )|(\[timeout)|(PRM\|1\|D)|(kpr)|(kdp)|(\|lc)|(penalty))" /e /r /s</v>
      </c>
      <c r="AG95" s="1" t="str">
        <f t="shared" si="46"/>
        <v>EC</v>
      </c>
      <c r="AH95" s="92" t="str">
        <f t="shared" si="47"/>
        <v>"%USERPROFILE%\Documents\GitHub\eaglep3\Utilities\RefineRTDCRunTimes.py" --tripid 183-19 --locoid 4046 --swversion DE.1.0.8.0 --startMP 204:471 --initTime 2016-12-19T13:56:06 --startdatetime 2016-12-19T14:00:22 --delay 1 --endMP 204:233297 --enddatetime 2016-12-19T14:36:52 --enforcementcount 0 &gt;&gt;C:\Users\stu\Documents\GitHub\eaglep3-reporting\EC\2016-12-19-refined-times.txt</v>
      </c>
      <c r="AI95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{"issue":{"subject":"","project_id":79,"tracker_id":40,"status_id":1,"priority_id":2,"assigned_to_id":23,"start_date":"2016-12-19","description":"","custom_fields":[{"id":1,"name":"Subdivision","value":"EC"},{"id":4,"name":"Milepost","value":"23.3297"},{"id":17,"name":"Train ID","value":"183-19"},{"id":16,"name":"Locomotive ID","value":"4046"},{"id":130,"name":"Impact","value":""},{"id":150,"name":"Time of Event (Mountain Time)","value":"14:36:52"},{"id":151,"name":"Denver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681</v>
      </c>
      <c r="B96" s="7">
        <v>4045</v>
      </c>
      <c r="C96" s="22" t="s">
        <v>205</v>
      </c>
      <c r="D96" s="22" t="s">
        <v>824</v>
      </c>
      <c r="E96" s="13">
        <v>42723.615428240744</v>
      </c>
      <c r="F96" s="13">
        <v>42723.622465277775</v>
      </c>
      <c r="G96" s="7">
        <v>1</v>
      </c>
      <c r="H96" s="22" t="s">
        <v>795</v>
      </c>
      <c r="I96" s="13">
        <v>42723.653773148151</v>
      </c>
      <c r="J96" s="7">
        <v>0</v>
      </c>
      <c r="K96" s="109" t="str">
        <f t="shared" si="32"/>
        <v>4045/4046</v>
      </c>
      <c r="L96" s="22" t="str">
        <f>VLOOKUP(A96,'Trips&amp;Operators'!$C$1:$G$99999,5,FALSE)</f>
        <v>COMELLA JUSTIN</v>
      </c>
      <c r="M96" s="6">
        <f t="shared" si="33"/>
        <v>3.1307870376622304E-2</v>
      </c>
      <c r="N96" s="7">
        <f t="shared" si="34"/>
        <v>45.083333342336118</v>
      </c>
      <c r="O96" s="7"/>
      <c r="P96" s="7"/>
      <c r="Q96" s="23"/>
      <c r="R96" s="23"/>
      <c r="S96" s="35">
        <f t="shared" si="35"/>
        <v>1</v>
      </c>
      <c r="T96" s="50" t="str">
        <f t="shared" si="36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13:46:13-700',mode:absolute,to:'2016-12-19 16:41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6" s="52" t="str">
        <f t="shared" si="38"/>
        <v>N</v>
      </c>
      <c r="X96" s="177">
        <f t="shared" si="39"/>
        <v>1</v>
      </c>
      <c r="Y96" s="67">
        <f t="shared" si="40"/>
        <v>23.297999999999998</v>
      </c>
      <c r="Z96" s="67">
        <f t="shared" si="41"/>
        <v>1.52E-2</v>
      </c>
      <c r="AA96" s="67">
        <f t="shared" si="42"/>
        <v>23.282799999999998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43"/>
        <v>0184-19</v>
      </c>
      <c r="AE96" s="91" t="str">
        <f t="shared" si="44"/>
        <v>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 &amp; 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</v>
      </c>
      <c r="AF96" s="88" t="str">
        <f t="shared" si="45"/>
        <v>"C:\Program Files (x86)\AstroGrep\AstroGrep.exe" /spath="%USERPROFILE%\AppData\Local\Temp\OnboardLogs" /stypes="app*4045*20161219*" /stext=" 22:.+((SYSTEM_STATE.+slice.+state.+changed )|(ment ac)|(multiple cpu faults)|(system.+state.+changed )|(\[timeout)|(PRM\|1\|D)|(kpr)|(kdp)|(\|lc)|(penalty))" /e /r /s</v>
      </c>
      <c r="AG96" s="1" t="str">
        <f t="shared" si="46"/>
        <v>EC</v>
      </c>
      <c r="AH96" s="92" t="str">
        <f t="shared" si="47"/>
        <v>"%USERPROFILE%\Documents\GitHub\eaglep3\Utilities\RefineRTDCRunTimes.py" --tripid 184-19 --locoid 4045 --swversion DE.1.0.8.0 --startMP 204:232980 --initTime 2016-12-19T14:46:13 --startdatetime 2016-12-19T14:56:21 --delay 1 --endMP 204:152 --enddatetime 2016-12-19T15:41:26 --enforcementcount 0 &gt;&gt;C:\Users\stu\Documents\GitHub\eaglep3-reporting\EC\2016-12-19-refined-times.txt</v>
      </c>
      <c r="AI96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{"issue":{"subject":"","project_id":79,"tracker_id":40,"status_id":1,"priority_id":2,"assigned_to_id":23,"start_date":"2016-12-19","description":"","custom_fields":[{"id":1,"name":"Subdivision","value":"EC"},{"id":4,"name":"Milepost","value":"0.0152"},{"id":17,"name":"Train ID","value":"184-19"},{"id":16,"name":"Locomotive ID","value":"4045"},{"id":130,"name":"Impact","value":""},{"id":150,"name":"Time of Event (Mountain Time)","value":"15:41:26"},{"id":151,"name":"Denver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674</v>
      </c>
      <c r="B97" s="7">
        <v>4009</v>
      </c>
      <c r="C97" s="22" t="s">
        <v>205</v>
      </c>
      <c r="D97" s="22" t="s">
        <v>825</v>
      </c>
      <c r="E97" s="13">
        <v>42723.592662037037</v>
      </c>
      <c r="F97" s="13">
        <v>42723.594143518516</v>
      </c>
      <c r="G97" s="7">
        <v>1</v>
      </c>
      <c r="H97" s="22" t="s">
        <v>442</v>
      </c>
      <c r="I97" s="13">
        <v>42723.619525462964</v>
      </c>
      <c r="J97" s="7">
        <v>0</v>
      </c>
      <c r="K97" s="109" t="str">
        <f t="shared" si="32"/>
        <v>4009/4010</v>
      </c>
      <c r="L97" s="22" t="str">
        <f>VLOOKUP(A97,'Trips&amp;Operators'!$C$1:$G$99999,5,FALSE)</f>
        <v>KILLION DAVID</v>
      </c>
      <c r="M97" s="6">
        <f t="shared" si="33"/>
        <v>2.5381944447872229E-2</v>
      </c>
      <c r="N97" s="7">
        <f t="shared" si="34"/>
        <v>36.55000000493601</v>
      </c>
      <c r="O97" s="7"/>
      <c r="P97" s="7"/>
      <c r="Q97" s="23"/>
      <c r="R97" s="23"/>
      <c r="S97" s="35">
        <f t="shared" si="35"/>
        <v>1</v>
      </c>
      <c r="T97" s="50" t="str">
        <f t="shared" si="36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13:13:26-700',mode:absolute,to:'2016-12-19 15:52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7" s="52" t="str">
        <f t="shared" si="38"/>
        <v>N</v>
      </c>
      <c r="X97" s="177">
        <f t="shared" si="39"/>
        <v>1</v>
      </c>
      <c r="Y97" s="67">
        <f t="shared" si="40"/>
        <v>4.3499999999999997E-2</v>
      </c>
      <c r="Z97" s="67">
        <f t="shared" si="41"/>
        <v>23.3308</v>
      </c>
      <c r="AA97" s="67">
        <f t="shared" si="42"/>
        <v>23.287299999999998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43"/>
        <v>0185-19</v>
      </c>
      <c r="AE97" s="91" t="str">
        <f t="shared" si="44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97" s="88" t="str">
        <f t="shared" si="45"/>
        <v>"C:\Program Files (x86)\AstroGrep\AstroGrep.exe" /spath="%USERPROFILE%\AppData\Local\Temp\OnboardLogs" /stypes="app*4009*20161219*" /stext=" 21:.+((SYSTEM_STATE.+slice.+state.+changed )|(ment ac)|(multiple cpu faults)|(system.+state.+changed )|(\[timeout)|(PRM\|1\|D)|(kpr)|(kdp)|(\|lc)|(penalty))" /e /r /s</v>
      </c>
      <c r="AG97" s="1" t="str">
        <f t="shared" si="46"/>
        <v>EC</v>
      </c>
      <c r="AH97" s="92" t="str">
        <f t="shared" si="47"/>
        <v>"%USERPROFILE%\Documents\GitHub\eaglep3\Utilities\RefineRTDCRunTimes.py" --tripid 185-19 --locoid 4009 --swversion DE.1.0.8.0 --startMP 204:435 --initTime 2016-12-19T14:13:26 --startdatetime 2016-12-19T14:15:34 --delay 1 --endMP 204:233308 --enddatetime 2016-12-19T14:52:07 --enforcementcount 0 &gt;&gt;C:\Users\stu\Documents\GitHub\eaglep3-reporting\EC\2016-12-19-refined-times.txt</v>
      </c>
      <c r="AI97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{"issue":{"subject":"","project_id":79,"tracker_id":40,"status_id":1,"priority_id":2,"assigned_to_id":23,"start_date":"2016-12-19","description":"","custom_fields":[{"id":1,"name":"Subdivision","value":"EC"},{"id":4,"name":"Milepost","value":"23.3308"},{"id":17,"name":"Train ID","value":"185-19"},{"id":16,"name":"Locomotive ID","value":"4009"},{"id":130,"name":"Impact","value":""},{"id":150,"name":"Time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683</v>
      </c>
      <c r="B98" s="7">
        <v>4010</v>
      </c>
      <c r="C98" s="22" t="s">
        <v>205</v>
      </c>
      <c r="D98" s="22" t="s">
        <v>826</v>
      </c>
      <c r="E98" s="13">
        <v>42723.626180555555</v>
      </c>
      <c r="F98" s="13">
        <v>42723.632824074077</v>
      </c>
      <c r="G98" s="7">
        <v>1</v>
      </c>
      <c r="H98" s="22" t="s">
        <v>263</v>
      </c>
      <c r="I98" s="13">
        <v>42723.661539351851</v>
      </c>
      <c r="J98" s="7">
        <v>0</v>
      </c>
      <c r="K98" s="109" t="str">
        <f t="shared" si="32"/>
        <v>4009/4010</v>
      </c>
      <c r="L98" s="22" t="str">
        <f>VLOOKUP(A98,'Trips&amp;Operators'!$C$1:$G$99999,5,FALSE)</f>
        <v>KILLION DAVID</v>
      </c>
      <c r="M98" s="6">
        <f t="shared" si="33"/>
        <v>2.8715277774608694E-2</v>
      </c>
      <c r="N98" s="7">
        <f t="shared" si="34"/>
        <v>41.349999995436519</v>
      </c>
      <c r="O98" s="7"/>
      <c r="P98" s="7"/>
      <c r="Q98" s="23"/>
      <c r="R98" s="23"/>
      <c r="S98" s="35">
        <f t="shared" si="35"/>
        <v>1</v>
      </c>
      <c r="T98" s="50" t="str">
        <f t="shared" si="36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14:01:42-700',mode:absolute,to:'2016-12-19 16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8" s="52" t="str">
        <f t="shared" si="38"/>
        <v>N</v>
      </c>
      <c r="X98" s="177">
        <f t="shared" si="39"/>
        <v>1</v>
      </c>
      <c r="Y98" s="67">
        <f t="shared" si="40"/>
        <v>23.298300000000001</v>
      </c>
      <c r="Z98" s="67">
        <f t="shared" si="41"/>
        <v>1.3899999999999999E-2</v>
      </c>
      <c r="AA98" s="67">
        <f t="shared" si="42"/>
        <v>23.284400000000002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43"/>
        <v>0186-19</v>
      </c>
      <c r="AE98" s="91" t="str">
        <f t="shared" si="44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98" s="88" t="str">
        <f t="shared" si="45"/>
        <v>"C:\Program Files (x86)\AstroGrep\AstroGrep.exe" /spath="%USERPROFILE%\AppData\Local\Temp\OnboardLogs" /stypes="app*4010*20161219*" /stext=" 22:.+((SYSTEM_STATE.+slice.+state.+changed )|(ment ac)|(multiple cpu faults)|(system.+state.+changed )|(\[timeout)|(PRM\|1\|D)|(kpr)|(kdp)|(\|lc)|(penalty))" /e /r /s</v>
      </c>
      <c r="AG98" s="1" t="str">
        <f t="shared" si="46"/>
        <v>EC</v>
      </c>
      <c r="AH98" s="92" t="str">
        <f t="shared" si="47"/>
        <v>"%USERPROFILE%\Documents\GitHub\eaglep3\Utilities\RefineRTDCRunTimes.py" --tripid 186-19 --locoid 4010 --swversion DE.1.0.8.0 --startMP 204:232983 --initTime 2016-12-19T15:01:42 --startdatetime 2016-12-19T15:11:16 --delay 1 --endMP 204:139 --enddatetime 2016-12-19T15:52:37 --enforcementcount 0 &gt;&gt;C:\Users\stu\Documents\GitHub\eaglep3-reporting\EC\2016-12-19-refined-times.txt</v>
      </c>
      <c r="AI98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{"issue":{"subject":"","project_id":79,"tracker_id":40,"status_id":1,"priority_id":2,"assigned_to_id":23,"start_date":"2016-12-19","description":"","custom_fields":[{"id":1,"name":"Subdivision","value":"EC"},{"id":4,"name":"Milepost","value":"0.0139"},{"id":17,"name":"Train ID","value":"186-19"},{"id":16,"name":"Locomotive ID","value":"4010"},{"id":130,"name":"Impact","value":""},{"id":150,"name":"Time of Event (Mountain Time)","value":"15:52:37"},{"id":151,"name":"Denver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676</v>
      </c>
      <c r="B99" s="7">
        <v>4040</v>
      </c>
      <c r="C99" s="22" t="s">
        <v>205</v>
      </c>
      <c r="D99" s="22" t="s">
        <v>827</v>
      </c>
      <c r="E99" s="13">
        <v>42723.605185185188</v>
      </c>
      <c r="F99" s="13">
        <v>42723.607511574075</v>
      </c>
      <c r="G99" s="7">
        <v>1</v>
      </c>
      <c r="H99" s="22" t="s">
        <v>296</v>
      </c>
      <c r="I99" s="13">
        <v>42723.632465277777</v>
      </c>
      <c r="J99" s="7">
        <v>0</v>
      </c>
      <c r="K99" s="109" t="str">
        <f t="shared" si="32"/>
        <v>4039/4040</v>
      </c>
      <c r="L99" s="22" t="str">
        <f>VLOOKUP(A99,'Trips&amp;Operators'!$C$1:$G$99999,5,FALSE)</f>
        <v>MAHAN DUANE</v>
      </c>
      <c r="M99" s="6">
        <f t="shared" si="33"/>
        <v>2.495370370161254E-2</v>
      </c>
      <c r="N99" s="7">
        <f t="shared" si="34"/>
        <v>35.933333330322057</v>
      </c>
      <c r="O99" s="7"/>
      <c r="P99" s="7"/>
      <c r="Q99" s="23"/>
      <c r="R99" s="23"/>
      <c r="S99" s="35">
        <f t="shared" si="35"/>
        <v>1</v>
      </c>
      <c r="T99" s="50" t="str">
        <f t="shared" si="36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13:31:28-700',mode:absolute,to:'2016-12-19 16:10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9" s="52" t="str">
        <f t="shared" si="38"/>
        <v>N</v>
      </c>
      <c r="X99" s="177">
        <f t="shared" si="39"/>
        <v>1</v>
      </c>
      <c r="Y99" s="67">
        <f t="shared" si="40"/>
        <v>4.3099999999999999E-2</v>
      </c>
      <c r="Z99" s="67">
        <f t="shared" si="41"/>
        <v>23.328900000000001</v>
      </c>
      <c r="AA99" s="67">
        <f t="shared" si="42"/>
        <v>23.285800000000002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43"/>
        <v>0187-19</v>
      </c>
      <c r="AE99" s="91" t="str">
        <f t="shared" si="44"/>
        <v>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 &amp; 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</v>
      </c>
      <c r="AF99" s="88" t="str">
        <f t="shared" si="45"/>
        <v>"C:\Program Files (x86)\AstroGrep\AstroGrep.exe" /spath="%USERPROFILE%\AppData\Local\Temp\OnboardLogs" /stypes="app*4040*20161219*" /stext=" 22:.+((SYSTEM_STATE.+slice.+state.+changed )|(ment ac)|(multiple cpu faults)|(system.+state.+changed )|(\[timeout)|(PRM\|1\|D)|(kpr)|(kdp)|(\|lc)|(penalty))" /e /r /s</v>
      </c>
      <c r="AG99" s="1" t="str">
        <f t="shared" si="46"/>
        <v>EC</v>
      </c>
      <c r="AH99" s="92" t="str">
        <f t="shared" si="47"/>
        <v>"%USERPROFILE%\Documents\GitHub\eaglep3\Utilities\RefineRTDCRunTimes.py" --tripid 187-19 --locoid 4040 --swversion DE.1.0.8.0 --startMP 204:431 --initTime 2016-12-19T14:31:28 --startdatetime 2016-12-19T14:34:49 --delay 1 --endMP 204:233289 --enddatetime 2016-12-19T15:10:45 --enforcementcount 0 &gt;&gt;C:\Users\stu\Documents\GitHub\eaglep3-reporting\EC\2016-12-19-refined-times.txt</v>
      </c>
      <c r="AI99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{"issue":{"subject":"","project_id":79,"tracker_id":40,"status_id":1,"priority_id":2,"assigned_to_id":23,"start_date":"2016-12-19","description":"","custom_fields":[{"id":1,"name":"Subdivision","value":"EC"},{"id":4,"name":"Milepost","value":"23.3289"},{"id":17,"name":"Train ID","value":"187-19"},{"id":16,"name":"Locomotive ID","value":"4040"},{"id":130,"name":"Impact","value":""},{"id":150,"name":"Time of Event (Mountain Time)","value":"15:10:45"},{"id":151,"name":"Denver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687</v>
      </c>
      <c r="B100" s="7">
        <v>4039</v>
      </c>
      <c r="C100" s="22" t="s">
        <v>205</v>
      </c>
      <c r="D100" s="22" t="s">
        <v>796</v>
      </c>
      <c r="E100" s="13">
        <v>42723.638842592591</v>
      </c>
      <c r="F100" s="13">
        <v>42723.643449074072</v>
      </c>
      <c r="G100" s="7">
        <v>1</v>
      </c>
      <c r="H100" s="22" t="s">
        <v>803</v>
      </c>
      <c r="I100" s="13">
        <v>42723.672048611108</v>
      </c>
      <c r="J100" s="7">
        <v>0</v>
      </c>
      <c r="K100" s="109" t="str">
        <f t="shared" si="32"/>
        <v>4039/4040</v>
      </c>
      <c r="L100" s="22" t="str">
        <f>VLOOKUP(A100,'Trips&amp;Operators'!$C$1:$G$99999,5,FALSE)</f>
        <v>MAHAN DUANE</v>
      </c>
      <c r="M100" s="6">
        <f t="shared" si="33"/>
        <v>2.8599537035916001E-2</v>
      </c>
      <c r="N100" s="7">
        <f t="shared" si="34"/>
        <v>41.183333331719041</v>
      </c>
      <c r="O100" s="7"/>
      <c r="P100" s="7"/>
      <c r="Q100" s="23"/>
      <c r="R100" s="23"/>
      <c r="S100" s="35">
        <f t="shared" si="35"/>
        <v>1</v>
      </c>
      <c r="T100" s="50" t="str">
        <f t="shared" si="36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14:19:56-700',mode:absolute,to:'2016-12-19 17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0" s="52" t="str">
        <f t="shared" si="38"/>
        <v>N</v>
      </c>
      <c r="X100" s="177">
        <f t="shared" si="39"/>
        <v>1</v>
      </c>
      <c r="Y100" s="67">
        <f t="shared" si="40"/>
        <v>23.296700000000001</v>
      </c>
      <c r="Z100" s="67">
        <f t="shared" si="41"/>
        <v>1.3599999999999999E-2</v>
      </c>
      <c r="AA100" s="67">
        <f t="shared" si="42"/>
        <v>23.283100000000001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43"/>
        <v>0188-19</v>
      </c>
      <c r="AE100" s="91" t="str">
        <f t="shared" si="44"/>
        <v>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 &amp; 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</v>
      </c>
      <c r="AF100" s="88" t="str">
        <f t="shared" si="45"/>
        <v>"C:\Program Files (x86)\AstroGrep\AstroGrep.exe" /spath="%USERPROFILE%\AppData\Local\Temp\OnboardLogs" /stypes="app*4039*20161219*" /stext=" 23:.+((SYSTEM_STATE.+slice.+state.+changed )|(ment ac)|(multiple cpu faults)|(system.+state.+changed )|(\[timeout)|(PRM\|1\|D)|(kpr)|(kdp)|(\|lc)|(penalty))" /e /r /s</v>
      </c>
      <c r="AG100" s="1" t="str">
        <f t="shared" si="46"/>
        <v>EC</v>
      </c>
      <c r="AH100" s="92" t="str">
        <f t="shared" si="47"/>
        <v>"%USERPROFILE%\Documents\GitHub\eaglep3\Utilities\RefineRTDCRunTimes.py" --tripid 188-19 --locoid 4039 --swversion DE.1.0.8.0 --startMP 204:232967 --initTime 2016-12-19T15:19:56 --startdatetime 2016-12-19T15:26:34 --delay 1 --endMP 204:136 --enddatetime 2016-12-19T16:07:45 --enforcementcount 0 &gt;&gt;C:\Users\stu\Documents\GitHub\eaglep3-reporting\EC\2016-12-19-refined-times.txt</v>
      </c>
      <c r="AI100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{"issue":{"subject":"","project_id":79,"tracker_id":40,"status_id":1,"priority_id":2,"assigned_to_id":23,"start_date":"2016-12-19","description":"","custom_fields":[{"id":1,"name":"Subdivision","value":"EC"},{"id":4,"name":"Milepost","value":"0.0136"},{"id":17,"name":"Train ID","value":"188-19"},{"id":16,"name":"Locomotive ID","value":"4039"},{"id":130,"name":"Impact","value":""},{"id":150,"name":"Time of Event (Mountain Time)","value":"16:07:45"},{"id":151,"name":"Denver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680</v>
      </c>
      <c r="B101" s="7">
        <v>4018</v>
      </c>
      <c r="C101" s="22" t="s">
        <v>205</v>
      </c>
      <c r="D101" s="22" t="s">
        <v>297</v>
      </c>
      <c r="E101" s="13">
        <v>42723.614074074074</v>
      </c>
      <c r="F101" s="13">
        <v>42723.615474537037</v>
      </c>
      <c r="G101" s="7">
        <v>1</v>
      </c>
      <c r="H101" s="22" t="s">
        <v>794</v>
      </c>
      <c r="I101" s="13">
        <v>42723.642569444448</v>
      </c>
      <c r="J101" s="7">
        <v>0</v>
      </c>
      <c r="K101" s="109" t="str">
        <f t="shared" si="32"/>
        <v>4017/4018</v>
      </c>
      <c r="L101" s="22" t="str">
        <f>VLOOKUP(A101,'Trips&amp;Operators'!$C$1:$G$99999,5,FALSE)</f>
        <v>SWANSON BRYCE</v>
      </c>
      <c r="M101" s="6">
        <f t="shared" si="33"/>
        <v>2.7094907411083113E-2</v>
      </c>
      <c r="N101" s="7">
        <f t="shared" si="34"/>
        <v>39.016666671959683</v>
      </c>
      <c r="O101" s="7"/>
      <c r="P101" s="7"/>
      <c r="Q101" s="23"/>
      <c r="R101" s="23"/>
      <c r="S101" s="35">
        <f t="shared" si="35"/>
        <v>1</v>
      </c>
      <c r="T101" s="50" t="str">
        <f t="shared" si="36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13:44:16-700',mode:absolute,to:'2016-12-19 16:25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1" s="52" t="str">
        <f t="shared" si="38"/>
        <v>N</v>
      </c>
      <c r="X101" s="177">
        <f t="shared" si="39"/>
        <v>1</v>
      </c>
      <c r="Y101" s="67">
        <f t="shared" si="40"/>
        <v>4.5699999999999998E-2</v>
      </c>
      <c r="Z101" s="67">
        <f t="shared" si="41"/>
        <v>23.3325</v>
      </c>
      <c r="AA101" s="67">
        <f t="shared" si="42"/>
        <v>23.286799999999999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43"/>
        <v>0189-19</v>
      </c>
      <c r="AE101" s="91" t="str">
        <f t="shared" si="44"/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AF101" s="88" t="str">
        <f t="shared" si="45"/>
        <v>"C:\Program Files (x86)\AstroGrep\AstroGrep.exe" /spath="%USERPROFILE%\AppData\Local\Temp\OnboardLogs" /stypes="app*4018*20161219*" /stext=" 22:.+((SYSTEM_STATE.+slice.+state.+changed )|(ment ac)|(multiple cpu faults)|(system.+state.+changed )|(\[timeout)|(PRM\|1\|D)|(kpr)|(kdp)|(\|lc)|(penalty))" /e /r /s</v>
      </c>
      <c r="AG101" s="1" t="str">
        <f t="shared" si="46"/>
        <v>EC</v>
      </c>
      <c r="AH101" s="92" t="str">
        <f t="shared" si="47"/>
        <v>"%USERPROFILE%\Documents\GitHub\eaglep3\Utilities\RefineRTDCRunTimes.py" --tripid 189-19 --locoid 4018 --swversion DE.1.0.8.0 --startMP 204:457 --initTime 2016-12-19T14:44:16 --startdatetime 2016-12-19T14:46:17 --delay 1 --endMP 204:233325 --enddatetime 2016-12-19T15:25:18 --enforcementcount 0 &gt;&gt;C:\Users\stu\Documents\GitHub\eaglep3-reporting\EC\2016-12-19-refined-times.txt</v>
      </c>
      <c r="AI101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{"issue":{"subject":"","project_id":79,"tracker_id":40,"status_id":1,"priority_id":2,"assigned_to_id":23,"start_date":"2016-12-19","description":"","custom_fields":[{"id":1,"name":"Subdivision","value":"EC"},{"id":4,"name":"Milepost","value":"23.3325"},{"id":17,"name":"Train ID","value":"189-19"},{"id":16,"name":"Locomotive ID","value":"4018"},{"id":130,"name":"Impact","value":""},{"id":150,"name":"Time of Event (Mountain Time)","value":"15:25:18"},{"id":151,"name":"Denver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689</v>
      </c>
      <c r="B102" s="7">
        <v>4017</v>
      </c>
      <c r="C102" s="22" t="s">
        <v>205</v>
      </c>
      <c r="D102" s="22" t="s">
        <v>828</v>
      </c>
      <c r="E102" s="13">
        <v>42723.644363425927</v>
      </c>
      <c r="F102" s="13">
        <v>42723.653680555559</v>
      </c>
      <c r="G102" s="7">
        <v>1</v>
      </c>
      <c r="H102" s="22" t="s">
        <v>191</v>
      </c>
      <c r="I102" s="13">
        <v>42723.682638888888</v>
      </c>
      <c r="J102" s="7">
        <v>0</v>
      </c>
      <c r="K102" s="109" t="str">
        <f t="shared" si="32"/>
        <v>4017/4018</v>
      </c>
      <c r="L102" s="22" t="str">
        <f>VLOOKUP(A102,'Trips&amp;Operators'!$C$1:$G$99999,5,FALSE)</f>
        <v>SWANSON BRYCE</v>
      </c>
      <c r="M102" s="6">
        <f t="shared" si="33"/>
        <v>2.8958333328773733E-2</v>
      </c>
      <c r="N102" s="7">
        <f t="shared" si="34"/>
        <v>41.699999993434176</v>
      </c>
      <c r="O102" s="7"/>
      <c r="P102" s="7"/>
      <c r="Q102" s="23"/>
      <c r="R102" s="23"/>
      <c r="S102" s="35">
        <f t="shared" si="35"/>
        <v>1</v>
      </c>
      <c r="T102" s="50" t="str">
        <f t="shared" si="36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14:27:53-700',mode:absolute,to:'2016-12-19 17:23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2" s="52" t="str">
        <f t="shared" si="38"/>
        <v>N</v>
      </c>
      <c r="X102" s="177">
        <f t="shared" si="39"/>
        <v>1</v>
      </c>
      <c r="Y102" s="67">
        <f t="shared" si="40"/>
        <v>23.3034</v>
      </c>
      <c r="Z102" s="67">
        <f t="shared" si="41"/>
        <v>1.49E-2</v>
      </c>
      <c r="AA102" s="67">
        <f t="shared" si="42"/>
        <v>23.288499999999999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43"/>
        <v>0190-19</v>
      </c>
      <c r="AE102" s="91" t="str">
        <f t="shared" si="44"/>
        <v>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 &amp; 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</v>
      </c>
      <c r="AF102" s="88" t="str">
        <f t="shared" si="45"/>
        <v>"C:\Program Files (x86)\AstroGrep\AstroGrep.exe" /spath="%USERPROFILE%\AppData\Local\Temp\OnboardLogs" /stypes="app*4017*20161219*" /stext=" 23:.+((SYSTEM_STATE.+slice.+state.+changed )|(ment ac)|(multiple cpu faults)|(system.+state.+changed )|(\[timeout)|(PRM\|1\|D)|(kpr)|(kdp)|(\|lc)|(penalty))" /e /r /s</v>
      </c>
      <c r="AG102" s="1" t="str">
        <f t="shared" si="46"/>
        <v>EC</v>
      </c>
      <c r="AH102" s="92" t="str">
        <f t="shared" si="47"/>
        <v>"%USERPROFILE%\Documents\GitHub\eaglep3\Utilities\RefineRTDCRunTimes.py" --tripid 190-19 --locoid 4017 --swversion DE.1.0.8.0 --startMP 204:233034 --initTime 2016-12-19T15:27:53 --startdatetime 2016-12-19T15:41:18 --delay 1 --endMP 204:149 --enddatetime 2016-12-19T16:23:00 --enforcementcount 0 &gt;&gt;C:\Users\stu\Documents\GitHub\eaglep3-reporting\EC\2016-12-19-refined-times.txt</v>
      </c>
      <c r="AI102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{"issue":{"subject":"","project_id":79,"tracker_id":40,"status_id":1,"priority_id":2,"assigned_to_id":23,"start_date":"2016-12-19","description":"","custom_fields":[{"id":1,"name":"Subdivision","value":"EC"},{"id":4,"name":"Milepost","value":"0.0149"},{"id":17,"name":"Train ID","value":"190-19"},{"id":16,"name":"Locomotive ID","value":"4017"},{"id":130,"name":"Impact","value":""},{"id":150,"name":"Time of Event (Mountain Time)","value":"16:23:00"},{"id":151,"name":"Denver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682</v>
      </c>
      <c r="B103" s="7">
        <v>4022</v>
      </c>
      <c r="C103" s="22" t="s">
        <v>205</v>
      </c>
      <c r="D103" s="22" t="s">
        <v>515</v>
      </c>
      <c r="E103" s="13">
        <v>42723.622627314813</v>
      </c>
      <c r="F103" s="13">
        <v>42723.625706018516</v>
      </c>
      <c r="G103" s="7">
        <v>1</v>
      </c>
      <c r="H103" s="22" t="s">
        <v>829</v>
      </c>
      <c r="I103" s="13">
        <v>42723.651435185187</v>
      </c>
      <c r="J103" s="7">
        <v>0</v>
      </c>
      <c r="K103" s="109" t="str">
        <f t="shared" si="32"/>
        <v>4021/4022</v>
      </c>
      <c r="L103" s="22" t="str">
        <f>VLOOKUP(A103,'Trips&amp;Operators'!$C$1:$G$99999,5,FALSE)</f>
        <v>CLARK KATHLEEN</v>
      </c>
      <c r="M103" s="6">
        <f t="shared" si="33"/>
        <v>2.5729166671226267E-2</v>
      </c>
      <c r="N103" s="7">
        <f t="shared" si="34"/>
        <v>37.050000006565824</v>
      </c>
      <c r="O103" s="7"/>
      <c r="P103" s="7"/>
      <c r="Q103" s="23"/>
      <c r="R103" s="23"/>
      <c r="S103" s="35">
        <f t="shared" si="35"/>
        <v>1</v>
      </c>
      <c r="T103" s="50" t="str">
        <f t="shared" si="36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13:56:35-700',mode:absolute,to:'2016-12-19 16:38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3" s="52" t="str">
        <f t="shared" si="38"/>
        <v>N</v>
      </c>
      <c r="X103" s="177">
        <f t="shared" si="39"/>
        <v>1</v>
      </c>
      <c r="Y103" s="67">
        <f t="shared" si="40"/>
        <v>4.7800000000000002E-2</v>
      </c>
      <c r="Z103" s="67">
        <f t="shared" si="41"/>
        <v>23.334900000000001</v>
      </c>
      <c r="AA103" s="67">
        <f t="shared" si="42"/>
        <v>23.287100000000002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43"/>
        <v>0191-19</v>
      </c>
      <c r="AE103" s="91" t="str">
        <f t="shared" si="44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103" s="88" t="str">
        <f t="shared" si="45"/>
        <v>"C:\Program Files (x86)\AstroGrep\AstroGrep.exe" /spath="%USERPROFILE%\AppData\Local\Temp\OnboardLogs" /stypes="app*4022*20161219*" /stext=" 22:.+((SYSTEM_STATE.+slice.+state.+changed )|(ment ac)|(multiple cpu faults)|(system.+state.+changed )|(\[timeout)|(PRM\|1\|D)|(kpr)|(kdp)|(\|lc)|(penalty))" /e /r /s</v>
      </c>
      <c r="AG103" s="1" t="str">
        <f t="shared" si="46"/>
        <v>EC</v>
      </c>
      <c r="AH103" s="92" t="str">
        <f t="shared" si="47"/>
        <v>"%USERPROFILE%\Documents\GitHub\eaglep3\Utilities\RefineRTDCRunTimes.py" --tripid 191-19 --locoid 4022 --swversion DE.1.0.8.0 --startMP 204:478 --initTime 2016-12-19T14:56:35 --startdatetime 2016-12-19T15:01:01 --delay 1 --endMP 204:233349 --enddatetime 2016-12-19T15:38:04 --enforcementcount 0 &gt;&gt;C:\Users\stu\Documents\GitHub\eaglep3-reporting\EC\2016-12-19-refined-times.txt</v>
      </c>
      <c r="AI103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{"issue":{"subject":"","project_id":79,"tracker_id":40,"status_id":1,"priority_id":2,"assigned_to_id":23,"start_date":"2016-12-19","description":"","custom_fields":[{"id":1,"name":"Subdivision","value":"EC"},{"id":4,"name":"Milepost","value":"23.3349"},{"id":17,"name":"Train ID","value":"191-19"},{"id":16,"name":"Locomotive ID","value":"4022"},{"id":130,"name":"Impact","value":""},{"id":150,"name":"Time of Event (Mountain Time)","value":"15:38:04"},{"id":151,"name":"Denver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692</v>
      </c>
      <c r="B104" s="7">
        <v>4021</v>
      </c>
      <c r="C104" s="22" t="s">
        <v>205</v>
      </c>
      <c r="D104" s="22" t="s">
        <v>830</v>
      </c>
      <c r="E104" s="13">
        <v>42723.659467592595</v>
      </c>
      <c r="F104" s="13">
        <v>42723.6640625</v>
      </c>
      <c r="G104" s="7">
        <v>1</v>
      </c>
      <c r="H104" s="22" t="s">
        <v>831</v>
      </c>
      <c r="I104" s="13">
        <v>42723.693506944444</v>
      </c>
      <c r="J104" s="7">
        <v>0</v>
      </c>
      <c r="K104" s="109" t="str">
        <f t="shared" si="32"/>
        <v>4021/4022</v>
      </c>
      <c r="L104" s="22" t="str">
        <f>VLOOKUP(A104,'Trips&amp;Operators'!$C$1:$G$99999,5,FALSE)</f>
        <v>CLARK KATHLEEN</v>
      </c>
      <c r="M104" s="6">
        <f t="shared" si="33"/>
        <v>2.9444444444379769E-2</v>
      </c>
      <c r="N104" s="7">
        <f t="shared" si="34"/>
        <v>42.399999999906868</v>
      </c>
      <c r="O104" s="7"/>
      <c r="P104" s="7"/>
      <c r="Q104" s="23"/>
      <c r="R104" s="23"/>
      <c r="S104" s="35">
        <f t="shared" si="35"/>
        <v>1</v>
      </c>
      <c r="T104" s="50" t="str">
        <f t="shared" si="36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14:49:38-700',mode:absolute,to:'2016-12-19 17:38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4" s="52" t="str">
        <f t="shared" si="38"/>
        <v>N</v>
      </c>
      <c r="X104" s="177">
        <f t="shared" si="39"/>
        <v>1</v>
      </c>
      <c r="Y104" s="67">
        <f t="shared" si="40"/>
        <v>23.300699999999999</v>
      </c>
      <c r="Z104" s="67">
        <f t="shared" si="41"/>
        <v>0.02</v>
      </c>
      <c r="AA104" s="67">
        <f t="shared" si="42"/>
        <v>23.2807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43"/>
        <v>0192-19</v>
      </c>
      <c r="AE104" s="91" t="str">
        <f t="shared" si="44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104" s="88" t="str">
        <f t="shared" si="45"/>
        <v>"C:\Program Files (x86)\AstroGrep\AstroGrep.exe" /spath="%USERPROFILE%\AppData\Local\Temp\OnboardLogs" /stypes="app*4021*20161219*" /stext=" 23:.+((SYSTEM_STATE.+slice.+state.+changed )|(ment ac)|(multiple cpu faults)|(system.+state.+changed )|(\[timeout)|(PRM\|1\|D)|(kpr)|(kdp)|(\|lc)|(penalty))" /e /r /s</v>
      </c>
      <c r="AG104" s="1" t="str">
        <f t="shared" si="46"/>
        <v>EC</v>
      </c>
      <c r="AH104" s="92" t="str">
        <f t="shared" si="47"/>
        <v>"%USERPROFILE%\Documents\GitHub\eaglep3\Utilities\RefineRTDCRunTimes.py" --tripid 192-19 --locoid 4021 --swversion DE.1.0.8.0 --startMP 204:233007 --initTime 2016-12-19T15:49:38 --startdatetime 2016-12-19T15:56:15 --delay 1 --endMP 204:200 --enddatetime 2016-12-19T16:38:39 --enforcementcount 0 &gt;&gt;C:\Users\stu\Documents\GitHub\eaglep3-reporting\EC\2016-12-19-refined-times.txt</v>
      </c>
      <c r="AI104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{"issue":{"subject":"","project_id":79,"tracker_id":40,"status_id":1,"priority_id":2,"assigned_to_id":23,"start_date":"2016-12-19","description":"","custom_fields":[{"id":1,"name":"Subdivision","value":"EC"},{"id":4,"name":"Milepost","value":"0.02"},{"id":17,"name":"Train ID","value":"192-19"},{"id":16,"name":"Locomotive ID","value":"4021"},{"id":130,"name":"Impact","value":""},{"id":150,"name":"Time of Event (Mountain Time)","value":"16:38:39"},{"id":151,"name":"Denver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684</v>
      </c>
      <c r="B105" s="7">
        <v>4031</v>
      </c>
      <c r="C105" s="22" t="s">
        <v>205</v>
      </c>
      <c r="D105" s="22" t="s">
        <v>439</v>
      </c>
      <c r="E105" s="13">
        <v>42723.631053240744</v>
      </c>
      <c r="F105" s="13">
        <v>42723.635879629626</v>
      </c>
      <c r="G105" s="7">
        <v>1</v>
      </c>
      <c r="H105" s="22" t="s">
        <v>770</v>
      </c>
      <c r="I105" s="13">
        <v>42723.660150462965</v>
      </c>
      <c r="J105" s="7">
        <v>0</v>
      </c>
      <c r="K105" s="109" t="str">
        <f t="shared" si="32"/>
        <v>4031/4032</v>
      </c>
      <c r="L105" s="22" t="str">
        <f>VLOOKUP(A105,'Trips&amp;Operators'!$C$1:$G$99999,5,FALSE)</f>
        <v>ADANE ELSHADAY</v>
      </c>
      <c r="M105" s="6">
        <f t="shared" si="33"/>
        <v>2.4270833338960074E-2</v>
      </c>
      <c r="N105" s="7">
        <f t="shared" si="34"/>
        <v>34.950000008102506</v>
      </c>
      <c r="O105" s="7"/>
      <c r="P105" s="7"/>
      <c r="Q105" s="23"/>
      <c r="R105" s="23"/>
      <c r="S105" s="35">
        <f t="shared" si="35"/>
        <v>1</v>
      </c>
      <c r="T105" s="50" t="str">
        <f t="shared" si="36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14:08:43-700',mode:absolute,to:'2016-12-19 16:50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2" t="str">
        <f t="shared" si="38"/>
        <v>N</v>
      </c>
      <c r="X105" s="177">
        <f t="shared" si="39"/>
        <v>1</v>
      </c>
      <c r="Y105" s="67">
        <f t="shared" si="40"/>
        <v>4.6899999999999997E-2</v>
      </c>
      <c r="Z105" s="67">
        <f t="shared" si="41"/>
        <v>23.331700000000001</v>
      </c>
      <c r="AA105" s="67">
        <f t="shared" si="42"/>
        <v>23.284800000000001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43"/>
        <v>0193-19</v>
      </c>
      <c r="AE105" s="91" t="str">
        <f t="shared" si="44"/>
        <v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v>
      </c>
      <c r="AF105" s="88" t="str">
        <f t="shared" si="45"/>
        <v>"C:\Program Files (x86)\AstroGrep\AstroGrep.exe" /spath="%USERPROFILE%\AppData\Local\Temp\OnboardLogs" /stypes="app*4031*20161219*" /stext=" 22:.+((SYSTEM_STATE.+slice.+state.+changed )|(ment ac)|(multiple cpu faults)|(system.+state.+changed )|(\[timeout)|(PRM\|1\|D)|(kpr)|(kdp)|(\|lc)|(penalty))" /e /r /s</v>
      </c>
      <c r="AG105" s="1" t="str">
        <f t="shared" si="46"/>
        <v>EC</v>
      </c>
      <c r="AH105" s="92" t="str">
        <f t="shared" si="47"/>
        <v>"%USERPROFILE%\Documents\GitHub\eaglep3\Utilities\RefineRTDCRunTimes.py" --tripid 193-19 --locoid 4031 --swversion DE.1.0.8.0 --startMP 204:469 --initTime 2016-12-19T15:08:43 --startdatetime 2016-12-19T15:15:40 --delay 1 --endMP 204:233317 --enddatetime 2016-12-19T15:50:37 --enforcementcount 0 &gt;&gt;C:\Users\stu\Documents\GitHub\eaglep3-reporting\EC\2016-12-19-refined-times.txt</v>
      </c>
      <c r="AI105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{"issue":{"subject":"","project_id":79,"tracker_id":40,"status_id":1,"priority_id":2,"assigned_to_id":23,"start_date":"2016-12-19","description":"","custom_fields":[{"id":1,"name":"Subdivision","value":"EC"},{"id":4,"name":"Milepost","value":"23.3317"},{"id":17,"name":"Train ID","value":"193-19"},{"id":16,"name":"Locomotive ID","value":"4031"},{"id":130,"name":"Impact","value":""},{"id":150,"name":"Time of Event (Mountain Time)","value":"15:50:37"},{"id":151,"name":"Denver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557</v>
      </c>
      <c r="B106" s="7">
        <v>4032</v>
      </c>
      <c r="C106" s="22" t="s">
        <v>205</v>
      </c>
      <c r="D106" s="22" t="s">
        <v>783</v>
      </c>
      <c r="E106" s="13">
        <v>42723.663437499999</v>
      </c>
      <c r="F106" s="13">
        <v>42723.675092592595</v>
      </c>
      <c r="G106" s="7">
        <v>1</v>
      </c>
      <c r="H106" s="22" t="s">
        <v>211</v>
      </c>
      <c r="I106" s="13">
        <v>42723.70144675926</v>
      </c>
      <c r="J106" s="7">
        <v>0</v>
      </c>
      <c r="K106" s="109" t="str">
        <f t="shared" si="32"/>
        <v>4031/4032</v>
      </c>
      <c r="L106" s="22" t="str">
        <f>VLOOKUP(A106,'Trips&amp;Operators'!$C$1:$G$99999,5,FALSE)</f>
        <v>ADANE ELSHADAY</v>
      </c>
      <c r="M106" s="6">
        <f t="shared" si="33"/>
        <v>2.6354166664532386E-2</v>
      </c>
      <c r="N106" s="7">
        <f t="shared" si="34"/>
        <v>37.949999996926636</v>
      </c>
      <c r="O106" s="7"/>
      <c r="P106" s="7"/>
      <c r="Q106" s="23"/>
      <c r="R106" s="23"/>
      <c r="S106" s="35">
        <f t="shared" si="35"/>
        <v>1</v>
      </c>
      <c r="T106" s="50" t="str">
        <f t="shared" si="36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14:55:21-700',mode:absolute,to:'2016-12-19 17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2" t="str">
        <f t="shared" si="38"/>
        <v>N</v>
      </c>
      <c r="X106" s="177">
        <f t="shared" si="39"/>
        <v>1</v>
      </c>
      <c r="Y106" s="67">
        <f t="shared" si="40"/>
        <v>23.299099999999999</v>
      </c>
      <c r="Z106" s="67">
        <f t="shared" si="41"/>
        <v>1.4999999999999999E-2</v>
      </c>
      <c r="AA106" s="67">
        <f t="shared" si="42"/>
        <v>23.284099999999999</v>
      </c>
      <c r="AB106" s="64" t="str">
        <f>VLOOKUP(A106,Enforcements!$C$7:$K$19,8,0)</f>
        <v>Bulletin (2)</v>
      </c>
      <c r="AC106" s="60" t="str">
        <f>VLOOKUP(A106,Enforcements!$C$7:$E$19,3,0)</f>
        <v>GRADE CROSSING</v>
      </c>
      <c r="AD106" s="61" t="str">
        <f t="shared" si="43"/>
        <v>0194-19</v>
      </c>
      <c r="AE106" s="91" t="str">
        <f t="shared" si="44"/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AF106" s="88" t="str">
        <f t="shared" si="45"/>
        <v>"C:\Program Files (x86)\AstroGrep\AstroGrep.exe" /spath="%USERPROFILE%\AppData\Local\Temp\OnboardLogs" /stypes="app*4032*20161219*" /stext=" 23:.+((SYSTEM_STATE.+slice.+state.+changed )|(ment ac)|(multiple cpu faults)|(system.+state.+changed )|(\[timeout)|(PRM\|1\|D)|(kpr)|(kdp)|(\|lc)|(penalty))" /e /r /s</v>
      </c>
      <c r="AG106" s="1" t="str">
        <f t="shared" si="46"/>
        <v>EC</v>
      </c>
      <c r="AH106" s="92" t="str">
        <f t="shared" si="47"/>
        <v>"%USERPROFILE%\Documents\GitHub\eaglep3\Utilities\RefineRTDCRunTimes.py" --tripid 194-19 --locoid 4032 --swversion DE.1.0.8.0 --startMP 204:232991 --initTime 2016-12-19T15:55:21 --startdatetime 2016-12-19T16:12:08 --delay 1 --endMP 204:150 --enddatetime 2016-12-19T16:50:05 --enforcementcount 0 &gt;&gt;C:\Users\stu\Documents\GitHub\eaglep3-reporting\EC\2016-12-19-refined-times.txt</v>
      </c>
      <c r="AI106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{"issue":{"subject":"","project_id":79,"tracker_id":40,"status_id":1,"priority_id":2,"assigned_to_id":23,"start_date":"2016-12-19","description":"","custom_fields":[{"id":1,"name":"Subdivision","value":"EC"},{"id":4,"name":"Milepost","value":"0.015"},{"id":17,"name":"Train ID","value":"194-19"},{"id":16,"name":"Locomotive ID","value":"4032"},{"id":130,"name":"Impact","value":""},{"id":150,"name":"Time of Event (Mountain Time)","value":"16:50:05"},{"id":151,"name":"Denver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688</v>
      </c>
      <c r="B107" s="7">
        <v>4027</v>
      </c>
      <c r="C107" s="22" t="s">
        <v>205</v>
      </c>
      <c r="D107" s="22" t="s">
        <v>231</v>
      </c>
      <c r="E107" s="13">
        <v>42723.643020833333</v>
      </c>
      <c r="F107" s="13">
        <v>42723.646273148152</v>
      </c>
      <c r="G107" s="7">
        <v>1</v>
      </c>
      <c r="H107" s="22" t="s">
        <v>303</v>
      </c>
      <c r="I107" s="13">
        <v>42723.670925925922</v>
      </c>
      <c r="J107" s="7">
        <v>0</v>
      </c>
      <c r="K107" s="109" t="str">
        <f t="shared" si="32"/>
        <v>4027/4028</v>
      </c>
      <c r="L107" s="22" t="str">
        <f>VLOOKUP(A107,'Trips&amp;Operators'!$C$1:$G$99999,5,FALSE)</f>
        <v>BARTLETT KIANDRA</v>
      </c>
      <c r="M107" s="6">
        <f t="shared" si="33"/>
        <v>2.4652777770825196E-2</v>
      </c>
      <c r="N107" s="7">
        <f t="shared" si="34"/>
        <v>35.499999989988282</v>
      </c>
      <c r="O107" s="7"/>
      <c r="P107" s="7"/>
      <c r="Q107" s="23"/>
      <c r="R107" s="23"/>
      <c r="S107" s="35">
        <f t="shared" si="35"/>
        <v>1</v>
      </c>
      <c r="T107" s="50" t="str">
        <f t="shared" si="36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14:25:57-700',mode:absolute,to:'2016-12-19 17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7" s="52" t="str">
        <f t="shared" si="38"/>
        <v>N</v>
      </c>
      <c r="X107" s="177">
        <f t="shared" si="39"/>
        <v>1</v>
      </c>
      <c r="Y107" s="67">
        <f t="shared" si="40"/>
        <v>4.7100000000000003E-2</v>
      </c>
      <c r="Z107" s="67">
        <f t="shared" si="41"/>
        <v>23.329899999999999</v>
      </c>
      <c r="AA107" s="67">
        <f t="shared" si="42"/>
        <v>23.282799999999998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43"/>
        <v>0195-19</v>
      </c>
      <c r="AE107" s="91" t="str">
        <f t="shared" si="44"/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107" s="88" t="str">
        <f t="shared" si="45"/>
        <v>"C:\Program Files (x86)\AstroGrep\AstroGrep.exe" /spath="%USERPROFILE%\AppData\Local\Temp\OnboardLogs" /stypes="app*4027*20161219*" /stext=" 23:.+((SYSTEM_STATE.+slice.+state.+changed )|(ment ac)|(multiple cpu faults)|(system.+state.+changed )|(\[timeout)|(PRM\|1\|D)|(kpr)|(kdp)|(\|lc)|(penalty))" /e /r /s</v>
      </c>
      <c r="AG107" s="1" t="str">
        <f t="shared" si="46"/>
        <v>EC</v>
      </c>
      <c r="AH107" s="92" t="str">
        <f t="shared" si="47"/>
        <v>"%USERPROFILE%\Documents\GitHub\eaglep3\Utilities\RefineRTDCRunTimes.py" --tripid 195-19 --locoid 4027 --swversion DE.1.0.8.0 --startMP 204:471 --initTime 2016-12-19T15:25:57 --startdatetime 2016-12-19T15:30:38 --delay 1 --endMP 204:233299 --enddatetime 2016-12-19T16:06:08 --enforcementcount 0 &gt;&gt;C:\Users\stu\Documents\GitHub\eaglep3-reporting\EC\2016-12-19-refined-times.txt</v>
      </c>
      <c r="AI107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{"issue":{"subject":"","project_id":79,"tracker_id":40,"status_id":1,"priority_id":2,"assigned_to_id":23,"start_date":"2016-12-19","description":"","custom_fields":[{"id":1,"name":"Subdivision","value":"EC"},{"id":4,"name":"Milepost","value":"23.3299"},{"id":17,"name":"Train ID","value":"195-19"},{"id":16,"name":"Locomotive ID","value":"4027"},{"id":130,"name":"Impact","value":""},{"id":150,"name":"Time of Event (Mountain Time)","value":"16:06:08"},{"id":151,"name":"Denver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695</v>
      </c>
      <c r="B108" s="7">
        <v>4028</v>
      </c>
      <c r="C108" s="22" t="s">
        <v>205</v>
      </c>
      <c r="D108" s="22" t="s">
        <v>301</v>
      </c>
      <c r="E108" s="13">
        <v>42723.672962962963</v>
      </c>
      <c r="F108" s="13">
        <v>42723.684953703705</v>
      </c>
      <c r="G108" s="7">
        <v>1</v>
      </c>
      <c r="H108" s="22" t="s">
        <v>795</v>
      </c>
      <c r="I108" s="13">
        <v>42723.712280092594</v>
      </c>
      <c r="J108" s="7">
        <v>0</v>
      </c>
      <c r="K108" s="109" t="str">
        <f t="shared" si="32"/>
        <v>4027/4028</v>
      </c>
      <c r="L108" s="22" t="str">
        <f>VLOOKUP(A108,'Trips&amp;Operators'!$C$1:$G$99999,5,FALSE)</f>
        <v>BARTLETT KIANDRA</v>
      </c>
      <c r="M108" s="6">
        <f t="shared" si="33"/>
        <v>2.73263888884685E-2</v>
      </c>
      <c r="N108" s="7">
        <f t="shared" si="34"/>
        <v>39.34999999939464</v>
      </c>
      <c r="O108" s="7"/>
      <c r="P108" s="7"/>
      <c r="Q108" s="23"/>
      <c r="R108" s="23"/>
      <c r="S108" s="35">
        <f t="shared" si="35"/>
        <v>1</v>
      </c>
      <c r="T108" s="50" t="str">
        <f t="shared" si="36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15:09:04-700',mode:absolute,to:'2016-12-19 18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8" s="52" t="str">
        <f t="shared" si="38"/>
        <v>N</v>
      </c>
      <c r="X108" s="177">
        <f t="shared" si="39"/>
        <v>1</v>
      </c>
      <c r="Y108" s="67">
        <f t="shared" si="40"/>
        <v>23.2971</v>
      </c>
      <c r="Z108" s="67">
        <f t="shared" si="41"/>
        <v>1.52E-2</v>
      </c>
      <c r="AA108" s="67">
        <f t="shared" si="42"/>
        <v>23.2819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43"/>
        <v>0196-19</v>
      </c>
      <c r="AE108" s="91" t="str">
        <f t="shared" si="44"/>
        <v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v>
      </c>
      <c r="AF108" s="88" t="str">
        <f t="shared" si="45"/>
        <v>"C:\Program Files (x86)\AstroGrep\AstroGrep.exe" /spath="%USERPROFILE%\AppData\Local\Temp\OnboardLogs" /stypes="app*4028*20161220*" /stext=" 00:.+((SYSTEM_STATE.+slice.+state.+changed )|(ment ac)|(multiple cpu faults)|(system.+state.+changed )|(\[timeout)|(PRM\|1\|D)|(kpr)|(kdp)|(\|lc)|(penalty))" /e /r /s</v>
      </c>
      <c r="AG108" s="1" t="str">
        <f t="shared" si="46"/>
        <v>EC</v>
      </c>
      <c r="AH108" s="92" t="str">
        <f t="shared" si="47"/>
        <v>"%USERPROFILE%\Documents\GitHub\eaglep3\Utilities\RefineRTDCRunTimes.py" --tripid 196-19 --locoid 4028 --swversion DE.1.0.8.0 --startMP 204:232971 --initTime 2016-12-19T16:09:04 --startdatetime 2016-12-19T16:26:20 --delay 1 --endMP 204:152 --enddatetime 2016-12-19T17:05:41 --enforcementcount 0 &gt;&gt;C:\Users\stu\Documents\GitHub\eaglep3-reporting\EC\2016-12-19-refined-times.txt</v>
      </c>
      <c r="AI108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{"issue":{"subject":"","project_id":79,"tracker_id":40,"status_id":1,"priority_id":2,"assigned_to_id":23,"start_date":"2016-12-19","description":"","custom_fields":[{"id":1,"name":"Subdivision","value":"EC"},{"id":4,"name":"Milepost","value":"0.0152"},{"id":17,"name":"Train ID","value":"196-19"},{"id":16,"name":"Locomotive ID","value":"4028"},{"id":130,"name":"Impact","value":""},{"id":150,"name":"Time of Event (Mountain Time)","value":"17:05:41"},{"id":151,"name":"Denver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690</v>
      </c>
      <c r="B109" s="7">
        <v>4046</v>
      </c>
      <c r="C109" s="22" t="s">
        <v>205</v>
      </c>
      <c r="D109" s="22" t="s">
        <v>505</v>
      </c>
      <c r="E109" s="13">
        <v>42723.654791666668</v>
      </c>
      <c r="F109" s="13">
        <v>42723.656493055554</v>
      </c>
      <c r="G109" s="7">
        <v>1</v>
      </c>
      <c r="H109" s="22" t="s">
        <v>302</v>
      </c>
      <c r="I109" s="13">
        <v>42723.68167824074</v>
      </c>
      <c r="J109" s="7">
        <v>0</v>
      </c>
      <c r="K109" s="109" t="str">
        <f t="shared" si="32"/>
        <v>4045/4046</v>
      </c>
      <c r="L109" s="22" t="str">
        <f>VLOOKUP(A109,'Trips&amp;Operators'!$C$1:$G$99999,5,FALSE)</f>
        <v>COMELLA JUSTIN</v>
      </c>
      <c r="M109" s="6">
        <f t="shared" si="33"/>
        <v>2.5185185186273884E-2</v>
      </c>
      <c r="N109" s="7">
        <f t="shared" si="34"/>
        <v>36.266666668234393</v>
      </c>
      <c r="O109" s="7"/>
      <c r="P109" s="7"/>
      <c r="Q109" s="23"/>
      <c r="R109" s="23"/>
      <c r="S109" s="35">
        <f t="shared" si="35"/>
        <v>1</v>
      </c>
      <c r="T109" s="50" t="str">
        <f t="shared" si="36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14:42:54-700',mode:absolute,to:'2016-12-19 17:21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9" s="52" t="str">
        <f t="shared" si="38"/>
        <v>N</v>
      </c>
      <c r="X109" s="177">
        <f t="shared" si="39"/>
        <v>1</v>
      </c>
      <c r="Y109" s="67">
        <f t="shared" si="40"/>
        <v>4.3299999999999998E-2</v>
      </c>
      <c r="Z109" s="67">
        <f t="shared" si="41"/>
        <v>23.3291</v>
      </c>
      <c r="AA109" s="67">
        <f t="shared" si="42"/>
        <v>23.285800000000002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43"/>
        <v>0197-19</v>
      </c>
      <c r="AE109" s="91" t="str">
        <f t="shared" si="44"/>
        <v>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 &amp; 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</v>
      </c>
      <c r="AF109" s="88" t="str">
        <f t="shared" si="45"/>
        <v>"C:\Program Files (x86)\AstroGrep\AstroGrep.exe" /spath="%USERPROFILE%\AppData\Local\Temp\OnboardLogs" /stypes="app*4046*20161219*" /stext=" 23:.+((SYSTEM_STATE.+slice.+state.+changed )|(ment ac)|(multiple cpu faults)|(system.+state.+changed )|(\[timeout)|(PRM\|1\|D)|(kpr)|(kdp)|(\|lc)|(penalty))" /e /r /s</v>
      </c>
      <c r="AG109" s="1" t="str">
        <f t="shared" si="46"/>
        <v>EC</v>
      </c>
      <c r="AH109" s="92" t="str">
        <f t="shared" si="47"/>
        <v>"%USERPROFILE%\Documents\GitHub\eaglep3\Utilities\RefineRTDCRunTimes.py" --tripid 197-19 --locoid 4046 --swversion DE.1.0.8.0 --startMP 204:433 --initTime 2016-12-19T15:42:54 --startdatetime 2016-12-19T15:45:21 --delay 1 --endMP 204:233291 --enddatetime 2016-12-19T16:21:37 --enforcementcount 0 &gt;&gt;C:\Users\stu\Documents\GitHub\eaglep3-reporting\EC\2016-12-19-refined-times.txt</v>
      </c>
      <c r="AI109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{"issue":{"subject":"","project_id":79,"tracker_id":40,"status_id":1,"priority_id":2,"assigned_to_id":23,"start_date":"2016-12-19","description":"","custom_fields":[{"id":1,"name":"Subdivision","value":"EC"},{"id":4,"name":"Milepost","value":"23.3291"},{"id":17,"name":"Train ID","value":"197-19"},{"id":16,"name":"Locomotive ID","value":"4046"},{"id":130,"name":"Impact","value":""},{"id":150,"name":"Time of Event (Mountain Time)","value":"16:21:37"},{"id":151,"name":"Denver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700</v>
      </c>
      <c r="B110" s="7">
        <v>4045</v>
      </c>
      <c r="C110" s="22" t="s">
        <v>205</v>
      </c>
      <c r="D110" s="22" t="s">
        <v>446</v>
      </c>
      <c r="E110" s="13">
        <v>42723.686944444446</v>
      </c>
      <c r="F110" s="13">
        <v>42723.695451388892</v>
      </c>
      <c r="G110" s="7">
        <v>2</v>
      </c>
      <c r="H110" s="22" t="s">
        <v>269</v>
      </c>
      <c r="I110" s="13">
        <v>42723.726365740738</v>
      </c>
      <c r="J110" s="7">
        <v>0</v>
      </c>
      <c r="K110" s="109" t="str">
        <f t="shared" si="32"/>
        <v>4045/4046</v>
      </c>
      <c r="L110" s="22" t="str">
        <f>VLOOKUP(A110,'Trips&amp;Operators'!$C$1:$G$99999,5,FALSE)</f>
        <v>COMELLA JUSTIN</v>
      </c>
      <c r="M110" s="6">
        <f t="shared" si="33"/>
        <v>3.0914351846149657E-2</v>
      </c>
      <c r="N110" s="7">
        <f t="shared" si="34"/>
        <v>44.516666658455506</v>
      </c>
      <c r="O110" s="7"/>
      <c r="P110" s="7"/>
      <c r="Q110" s="23"/>
      <c r="R110" s="23"/>
      <c r="S110" s="35">
        <f t="shared" si="35"/>
        <v>1</v>
      </c>
      <c r="T110" s="50" t="str">
        <f t="shared" si="36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15:29:12-700',mode:absolute,to:'2016-12-19 18:25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0" s="52" t="str">
        <f t="shared" si="38"/>
        <v>N</v>
      </c>
      <c r="X110" s="177">
        <f t="shared" si="39"/>
        <v>1</v>
      </c>
      <c r="Y110" s="67">
        <f t="shared" si="40"/>
        <v>23.2972</v>
      </c>
      <c r="Z110" s="67">
        <f t="shared" si="41"/>
        <v>1.6E-2</v>
      </c>
      <c r="AA110" s="67">
        <f t="shared" si="42"/>
        <v>23.281200000000002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43"/>
        <v>0198-19</v>
      </c>
      <c r="AE110" s="91" t="str">
        <f t="shared" si="44"/>
        <v>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 &amp; 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</v>
      </c>
      <c r="AF110" s="88" t="str">
        <f t="shared" si="45"/>
        <v>"C:\Program Files (x86)\AstroGrep\AstroGrep.exe" /spath="%USERPROFILE%\AppData\Local\Temp\OnboardLogs" /stypes="app*4045*20161220*" /stext=" 00:.+((SYSTEM_STATE.+slice.+state.+changed )|(ment ac)|(multiple cpu faults)|(system.+state.+changed )|(\[timeout)|(PRM\|1\|D)|(kpr)|(kdp)|(\|lc)|(penalty))" /e /r /s</v>
      </c>
      <c r="AG110" s="1" t="str">
        <f t="shared" si="46"/>
        <v>EC</v>
      </c>
      <c r="AH110" s="92" t="str">
        <f t="shared" si="47"/>
        <v>"%USERPROFILE%\Documents\GitHub\eaglep3\Utilities\RefineRTDCRunTimes.py" --tripid 198-19 --locoid 4045 --swversion DE.1.0.8.0 --startMP 204:232972 --initTime 2016-12-19T16:29:12 --startdatetime 2016-12-19T16:41:27 --delay 2 --endMP 204:160 --enddatetime 2016-12-19T17:25:58 --enforcementcount 0 &gt;&gt;C:\Users\stu\Documents\GitHub\eaglep3-reporting\EC\2016-12-19-refined-times.txt</v>
      </c>
      <c r="AI110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{"issue":{"subject":"","project_id":79,"tracker_id":40,"status_id":1,"priority_id":2,"assigned_to_id":23,"start_date":"2016-12-19","description":"","custom_fields":[{"id":1,"name":"Subdivision","value":"EC"},{"id":4,"name":"Milepost","value":"0.016"},{"id":17,"name":"Train ID","value":"198-19"},{"id":16,"name":"Locomotive ID","value":"4045"},{"id":130,"name":"Impact","value":""},{"id":150,"name":"Time of Event (Mountain Time)","value":"17:25:58"},{"id":151,"name":"Denver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693</v>
      </c>
      <c r="B111" s="7">
        <v>4009</v>
      </c>
      <c r="C111" s="22" t="s">
        <v>205</v>
      </c>
      <c r="D111" s="22" t="s">
        <v>832</v>
      </c>
      <c r="E111" s="13">
        <v>42723.664768518516</v>
      </c>
      <c r="F111" s="13">
        <v>42723.666990740741</v>
      </c>
      <c r="G111" s="7">
        <v>1</v>
      </c>
      <c r="H111" s="22" t="s">
        <v>303</v>
      </c>
      <c r="I111" s="13">
        <v>42723.691608796296</v>
      </c>
      <c r="J111" s="7">
        <v>0</v>
      </c>
      <c r="K111" s="109" t="str">
        <f t="shared" si="32"/>
        <v>4009/4010</v>
      </c>
      <c r="L111" s="22" t="str">
        <f>VLOOKUP(A111,'Trips&amp;Operators'!$C$1:$G$99999,5,FALSE)</f>
        <v>KILLION DAVID</v>
      </c>
      <c r="M111" s="6">
        <f t="shared" si="33"/>
        <v>2.4618055555038154E-2</v>
      </c>
      <c r="N111" s="7">
        <f t="shared" si="34"/>
        <v>35.449999999254942</v>
      </c>
      <c r="O111" s="7"/>
      <c r="P111" s="7"/>
      <c r="Q111" s="23"/>
      <c r="R111" s="23"/>
      <c r="S111" s="35">
        <f t="shared" si="35"/>
        <v>1</v>
      </c>
      <c r="T111" s="50" t="str">
        <f t="shared" si="36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14:57:16-700',mode:absolute,to:'2016-12-19 17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1" s="52" t="str">
        <f t="shared" si="38"/>
        <v>N</v>
      </c>
      <c r="X111" s="177">
        <f t="shared" si="39"/>
        <v>1</v>
      </c>
      <c r="Y111" s="67">
        <f t="shared" si="40"/>
        <v>4.0899999999999999E-2</v>
      </c>
      <c r="Z111" s="67">
        <f t="shared" si="41"/>
        <v>23.329899999999999</v>
      </c>
      <c r="AA111" s="67">
        <f t="shared" si="42"/>
        <v>23.288999999999998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43"/>
        <v>0199-19</v>
      </c>
      <c r="AE111" s="91" t="str">
        <f t="shared" si="44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111" s="88" t="str">
        <f t="shared" si="45"/>
        <v>"C:\Program Files (x86)\AstroGrep\AstroGrep.exe" /spath="%USERPROFILE%\AppData\Local\Temp\OnboardLogs" /stypes="app*4009*20161219*" /stext=" 23:.+((SYSTEM_STATE.+slice.+state.+changed )|(ment ac)|(multiple cpu faults)|(system.+state.+changed )|(\[timeout)|(PRM\|1\|D)|(kpr)|(kdp)|(\|lc)|(penalty))" /e /r /s</v>
      </c>
      <c r="AG111" s="1" t="str">
        <f t="shared" si="46"/>
        <v>EC</v>
      </c>
      <c r="AH111" s="92" t="str">
        <f t="shared" si="47"/>
        <v>"%USERPROFILE%\Documents\GitHub\eaglep3\Utilities\RefineRTDCRunTimes.py" --tripid 199-19 --locoid 4009 --swversion DE.1.0.8.0 --startMP 204:409 --initTime 2016-12-19T15:57:16 --startdatetime 2016-12-19T16:00:28 --delay 1 --endMP 204:233299 --enddatetime 2016-12-19T16:35:55 --enforcementcount 0 &gt;&gt;C:\Users\stu\Documents\GitHub\eaglep3-reporting\EC\2016-12-19-refined-times.txt</v>
      </c>
      <c r="AI111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{"issue":{"subject":"","project_id":79,"tracker_id":40,"status_id":1,"priority_id":2,"assigned_to_id":23,"start_date":"2016-12-19","description":"","custom_fields":[{"id":1,"name":"Subdivision","value":"EC"},{"id":4,"name":"Milepost","value":"23.3299"},{"id":17,"name":"Train ID","value":"199-19"},{"id":16,"name":"Locomotive ID","value":"4009"},{"id":130,"name":"Impact","value":""},{"id":150,"name":"Time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702</v>
      </c>
      <c r="B112" s="7">
        <v>4010</v>
      </c>
      <c r="C112" s="22" t="s">
        <v>205</v>
      </c>
      <c r="D112" s="22" t="s">
        <v>833</v>
      </c>
      <c r="E112" s="13">
        <v>42723.698425925926</v>
      </c>
      <c r="F112" s="13">
        <v>42723.706076388888</v>
      </c>
      <c r="G112" s="7">
        <v>1</v>
      </c>
      <c r="H112" s="22" t="s">
        <v>211</v>
      </c>
      <c r="I112" s="13">
        <v>42723.734097222223</v>
      </c>
      <c r="J112" s="7">
        <v>0</v>
      </c>
      <c r="K112" s="109" t="str">
        <f t="shared" si="32"/>
        <v>4009/4010</v>
      </c>
      <c r="L112" s="22" t="str">
        <f>VLOOKUP(A112,'Trips&amp;Operators'!$C$1:$G$99999,5,FALSE)</f>
        <v>KILLION DAVID</v>
      </c>
      <c r="M112" s="6">
        <f t="shared" si="33"/>
        <v>2.8020833335176576E-2</v>
      </c>
      <c r="N112" s="7">
        <f t="shared" si="34"/>
        <v>40.350000002654269</v>
      </c>
      <c r="O112" s="7"/>
      <c r="P112" s="7"/>
      <c r="Q112" s="23"/>
      <c r="R112" s="23"/>
      <c r="S112" s="35">
        <f t="shared" si="35"/>
        <v>1</v>
      </c>
      <c r="T112" s="50" t="str">
        <f t="shared" si="36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15:45:44-700',mode:absolute,to:'2016-12-19 18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2" s="52" t="str">
        <f t="shared" si="38"/>
        <v>N</v>
      </c>
      <c r="X112" s="177">
        <f t="shared" si="39"/>
        <v>1</v>
      </c>
      <c r="Y112" s="67">
        <f t="shared" si="40"/>
        <v>23.298200000000001</v>
      </c>
      <c r="Z112" s="67">
        <f t="shared" si="41"/>
        <v>1.4999999999999999E-2</v>
      </c>
      <c r="AA112" s="67">
        <f t="shared" si="42"/>
        <v>23.283200000000001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43"/>
        <v>0200-19</v>
      </c>
      <c r="AE112" s="91" t="str">
        <f t="shared" si="44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112" s="88" t="str">
        <f t="shared" si="45"/>
        <v>"C:\Program Files (x86)\AstroGrep\AstroGrep.exe" /spath="%USERPROFILE%\AppData\Local\Temp\OnboardLogs" /stypes="app*4010*20161220*" /stext=" 00:.+((SYSTEM_STATE.+slice.+state.+changed )|(ment ac)|(multiple cpu faults)|(system.+state.+changed )|(\[timeout)|(PRM\|1\|D)|(kpr)|(kdp)|(\|lc)|(penalty))" /e /r /s</v>
      </c>
      <c r="AG112" s="1" t="str">
        <f t="shared" si="46"/>
        <v>EC</v>
      </c>
      <c r="AH112" s="92" t="str">
        <f t="shared" si="47"/>
        <v>"%USERPROFILE%\Documents\GitHub\eaglep3\Utilities\RefineRTDCRunTimes.py" --tripid 200-19 --locoid 4010 --swversion DE.1.0.8.0 --startMP 204:232982 --initTime 2016-12-19T16:45:44 --startdatetime 2016-12-19T16:56:45 --delay 1 --endMP 204:150 --enddatetime 2016-12-19T17:37:06 --enforcementcount 0 &gt;&gt;C:\Users\stu\Documents\GitHub\eaglep3-reporting\EC\2016-12-19-refined-times.txt</v>
      </c>
      <c r="AI112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{"issue":{"subject":"","project_id":79,"tracker_id":40,"status_id":1,"priority_id":2,"assigned_to_id":23,"start_date":"2016-12-19","description":"","custom_fields":[{"id":1,"name":"Subdivision","value":"EC"},{"id":4,"name":"Milepost","value":"0.015"},{"id":17,"name":"Train ID","value":"200-19"},{"id":16,"name":"Locomotive ID","value":"4010"},{"id":130,"name":"Impact","value":""},{"id":150,"name":"Time of Event (Mountain Time)","value":"17:37:06"},{"id":151,"name":"Denver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696</v>
      </c>
      <c r="B113" s="7">
        <v>4040</v>
      </c>
      <c r="C113" s="22" t="s">
        <v>205</v>
      </c>
      <c r="D113" s="22" t="s">
        <v>438</v>
      </c>
      <c r="E113" s="13">
        <v>42723.674421296295</v>
      </c>
      <c r="F113" s="13">
        <v>42723.677384259259</v>
      </c>
      <c r="G113" s="7">
        <v>1</v>
      </c>
      <c r="H113" s="22" t="s">
        <v>834</v>
      </c>
      <c r="I113" s="13">
        <v>42723.706076388888</v>
      </c>
      <c r="J113" s="7">
        <v>0</v>
      </c>
      <c r="K113" s="109" t="str">
        <f t="shared" si="32"/>
        <v>4039/4040</v>
      </c>
      <c r="L113" s="22" t="str">
        <f>VLOOKUP(A113,'Trips&amp;Operators'!$C$1:$G$99999,5,FALSE)</f>
        <v>DUNCAN SHEILA</v>
      </c>
      <c r="M113" s="6">
        <f t="shared" si="33"/>
        <v>2.8692129628325347E-2</v>
      </c>
      <c r="N113" s="7">
        <f t="shared" si="34"/>
        <v>41.316666664788499</v>
      </c>
      <c r="O113" s="7"/>
      <c r="P113" s="7"/>
      <c r="Q113" s="23"/>
      <c r="R113" s="23"/>
      <c r="S113" s="35">
        <f t="shared" si="35"/>
        <v>1</v>
      </c>
      <c r="T113" s="50" t="str">
        <f t="shared" si="36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15:11:10-700',mode:absolute,to:'2016-12-19 17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3" s="52" t="str">
        <f t="shared" si="38"/>
        <v>N</v>
      </c>
      <c r="X113" s="177">
        <f t="shared" si="39"/>
        <v>1</v>
      </c>
      <c r="Y113" s="67">
        <f t="shared" si="40"/>
        <v>4.4900000000000002E-2</v>
      </c>
      <c r="Z113" s="67">
        <f t="shared" si="41"/>
        <v>23.3264</v>
      </c>
      <c r="AA113" s="67">
        <f t="shared" si="42"/>
        <v>23.281500000000001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43"/>
        <v>0201-19</v>
      </c>
      <c r="AE113" s="91" t="str">
        <f t="shared" si="44"/>
        <v>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 &amp; 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</v>
      </c>
      <c r="AF113" s="88" t="str">
        <f t="shared" si="45"/>
        <v>"C:\Program Files (x86)\AstroGrep\AstroGrep.exe" /spath="%USERPROFILE%\AppData\Local\Temp\OnboardLogs" /stypes="app*4040*20161219*" /stext=" 23:.+((SYSTEM_STATE.+slice.+state.+changed )|(ment ac)|(multiple cpu faults)|(system.+state.+changed )|(\[timeout)|(PRM\|1\|D)|(kpr)|(kdp)|(\|lc)|(penalty))" /e /r /s</v>
      </c>
      <c r="AG113" s="1" t="str">
        <f t="shared" si="46"/>
        <v>EC</v>
      </c>
      <c r="AH113" s="92" t="str">
        <f t="shared" si="47"/>
        <v>"%USERPROFILE%\Documents\GitHub\eaglep3\Utilities\RefineRTDCRunTimes.py" --tripid 201-19 --locoid 4040 --swversion DE.1.0.8.0 --startMP 204:449 --initTime 2016-12-19T16:11:10 --startdatetime 2016-12-19T16:15:26 --delay 1 --endMP 204:233264 --enddatetime 2016-12-19T16:56:45 --enforcementcount 0 &gt;&gt;C:\Users\stu\Documents\GitHub\eaglep3-reporting\EC\2016-12-19-refined-times.txt</v>
      </c>
      <c r="AI113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{"issue":{"subject":"","project_id":79,"tracker_id":40,"status_id":1,"priority_id":2,"assigned_to_id":23,"start_date":"2016-12-19","description":"","custom_fields":[{"id":1,"name":"Subdivision","value":"EC"},{"id":4,"name":"Milepost","value":"23.3264"},{"id":17,"name":"Train ID","value":"201-19"},{"id":16,"name":"Locomotive ID","value":"4040"},{"id":130,"name":"Impact","value":""},{"id":150,"name":"Time of Event (Mountain Time)","value":"16:56:45"},{"id":151,"name":"Denver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705</v>
      </c>
      <c r="B114" s="7">
        <v>4039</v>
      </c>
      <c r="C114" s="22" t="s">
        <v>205</v>
      </c>
      <c r="D114" s="22" t="s">
        <v>835</v>
      </c>
      <c r="E114" s="13">
        <v>42723.712916666664</v>
      </c>
      <c r="F114" s="13">
        <v>42723.716365740744</v>
      </c>
      <c r="G114" s="7">
        <v>2</v>
      </c>
      <c r="H114" s="22" t="s">
        <v>211</v>
      </c>
      <c r="I114" s="13">
        <v>42723.752939814818</v>
      </c>
      <c r="J114" s="7">
        <v>0</v>
      </c>
      <c r="K114" s="109" t="str">
        <f t="shared" si="32"/>
        <v>4039/4040</v>
      </c>
      <c r="L114" s="22" t="str">
        <f>VLOOKUP(A114,'Trips&amp;Operators'!$C$1:$G$99999,5,FALSE)</f>
        <v>DUNCAN SHEILA</v>
      </c>
      <c r="M114" s="6">
        <f t="shared" si="33"/>
        <v>3.6574074074451346E-2</v>
      </c>
      <c r="N114" s="7">
        <f t="shared" si="34"/>
        <v>52.666666667209938</v>
      </c>
      <c r="O114" s="7"/>
      <c r="P114" s="7"/>
      <c r="Q114" s="23"/>
      <c r="R114" s="23"/>
      <c r="S114" s="35">
        <f t="shared" si="35"/>
        <v>1</v>
      </c>
      <c r="T114" s="50" t="str">
        <f t="shared" si="36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16:06:36-700',mode:absolute,to:'2016-12-19 19:04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4" s="52" t="str">
        <f t="shared" si="38"/>
        <v>N</v>
      </c>
      <c r="X114" s="177">
        <f t="shared" si="39"/>
        <v>1</v>
      </c>
      <c r="Y114" s="67">
        <f t="shared" si="40"/>
        <v>23.297000000000001</v>
      </c>
      <c r="Z114" s="67">
        <f t="shared" si="41"/>
        <v>1.4999999999999999E-2</v>
      </c>
      <c r="AA114" s="67">
        <f t="shared" si="42"/>
        <v>23.282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43"/>
        <v>0202-19</v>
      </c>
      <c r="AE114" s="91" t="str">
        <f t="shared" si="44"/>
        <v>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 &amp; 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</v>
      </c>
      <c r="AF114" s="88" t="str">
        <f t="shared" si="45"/>
        <v>"C:\Program Files (x86)\AstroGrep\AstroGrep.exe" /spath="%USERPROFILE%\AppData\Local\Temp\OnboardLogs" /stypes="app*4039*20161220*" /stext=" 01:.+((SYSTEM_STATE.+slice.+state.+changed )|(ment ac)|(multiple cpu faults)|(system.+state.+changed )|(\[timeout)|(PRM\|1\|D)|(kpr)|(kdp)|(\|lc)|(penalty))" /e /r /s</v>
      </c>
      <c r="AG114" s="1" t="str">
        <f t="shared" si="46"/>
        <v>EC</v>
      </c>
      <c r="AH114" s="92" t="str">
        <f t="shared" si="47"/>
        <v>"%USERPROFILE%\Documents\GitHub\eaglep3\Utilities\RefineRTDCRunTimes.py" --tripid 202-19 --locoid 4039 --swversion DE.1.0.8.0 --startMP 204:232970 --initTime 2016-12-19T17:06:36 --startdatetime 2016-12-19T17:11:34 --delay 2 --endMP 204:150 --enddatetime 2016-12-19T18:04:14 --enforcementcount 0 &gt;&gt;C:\Users\stu\Documents\GitHub\eaglep3-reporting\EC\2016-12-19-refined-times.txt</v>
      </c>
      <c r="AI114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{"issue":{"subject":"","project_id":79,"tracker_id":40,"status_id":1,"priority_id":2,"assigned_to_id":23,"start_date":"2016-12-19","description":"","custom_fields":[{"id":1,"name":"Subdivision","value":"EC"},{"id":4,"name":"Milepost","value":"0.015"},{"id":17,"name":"Train ID","value":"202-19"},{"id":16,"name":"Locomotive ID","value":"4039"},{"id":130,"name":"Impact","value":""},{"id":150,"name":"Time of Event (Mountain Time)","value":"18:04:14"},{"id":151,"name":"Denver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698</v>
      </c>
      <c r="B115" s="7">
        <v>4018</v>
      </c>
      <c r="C115" s="22" t="s">
        <v>205</v>
      </c>
      <c r="D115" s="22" t="s">
        <v>297</v>
      </c>
      <c r="E115" s="13">
        <v>42723.684016203704</v>
      </c>
      <c r="F115" s="13">
        <v>42723.687708333331</v>
      </c>
      <c r="G115" s="7">
        <v>1</v>
      </c>
      <c r="H115" s="22" t="s">
        <v>806</v>
      </c>
      <c r="I115" s="13">
        <v>42723.713541666664</v>
      </c>
      <c r="J115" s="7">
        <v>0</v>
      </c>
      <c r="K115" s="109" t="str">
        <f t="shared" si="32"/>
        <v>4017/4018</v>
      </c>
      <c r="L115" s="22" t="str">
        <f>VLOOKUP(A115,'Trips&amp;Operators'!$C$1:$G$99999,5,FALSE)</f>
        <v>SWANSON BRYCE</v>
      </c>
      <c r="M115" s="6">
        <f t="shared" si="33"/>
        <v>2.5833333333139308E-2</v>
      </c>
      <c r="N115" s="7">
        <f t="shared" si="34"/>
        <v>37.199999999720603</v>
      </c>
      <c r="O115" s="7"/>
      <c r="P115" s="7"/>
      <c r="Q115" s="23"/>
      <c r="R115" s="23"/>
      <c r="S115" s="35">
        <f t="shared" si="35"/>
        <v>1</v>
      </c>
      <c r="T115" s="50" t="str">
        <f t="shared" si="36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15:24:59-700',mode:absolute,to:'2016-12-19 18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5" s="52" t="str">
        <f t="shared" si="38"/>
        <v>N</v>
      </c>
      <c r="X115" s="177">
        <f t="shared" si="39"/>
        <v>1</v>
      </c>
      <c r="Y115" s="67">
        <f t="shared" si="40"/>
        <v>4.5699999999999998E-2</v>
      </c>
      <c r="Z115" s="67">
        <f t="shared" si="41"/>
        <v>23.3309</v>
      </c>
      <c r="AA115" s="67">
        <f t="shared" si="42"/>
        <v>23.2852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43"/>
        <v>0203-19</v>
      </c>
      <c r="AE115" s="91" t="str">
        <f t="shared" si="44"/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AF115" s="88" t="str">
        <f t="shared" si="45"/>
        <v>"C:\Program Files (x86)\AstroGrep\AstroGrep.exe" /spath="%USERPROFILE%\AppData\Local\Temp\OnboardLogs" /stypes="app*4018*20161220*" /stext=" 00:.+((SYSTEM_STATE.+slice.+state.+changed )|(ment ac)|(multiple cpu faults)|(system.+state.+changed )|(\[timeout)|(PRM\|1\|D)|(kpr)|(kdp)|(\|lc)|(penalty))" /e /r /s</v>
      </c>
      <c r="AG115" s="1" t="str">
        <f t="shared" si="46"/>
        <v>EC</v>
      </c>
      <c r="AH115" s="92" t="str">
        <f t="shared" si="47"/>
        <v>"%USERPROFILE%\Documents\GitHub\eaglep3\Utilities\RefineRTDCRunTimes.py" --tripid 203-19 --locoid 4018 --swversion DE.1.0.8.0 --startMP 204:457 --initTime 2016-12-19T16:24:59 --startdatetime 2016-12-19T16:30:18 --delay 1 --endMP 204:233309 --enddatetime 2016-12-19T17:07:30 --enforcementcount 0 &gt;&gt;C:\Users\stu\Documents\GitHub\eaglep3-reporting\EC\2016-12-19-refined-times.txt</v>
      </c>
      <c r="AI115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{"issue":{"subject":"","project_id":79,"tracker_id":40,"status_id":1,"priority_id":2,"assigned_to_id":23,"start_date":"2016-12-19","description":"","custom_fields":[{"id":1,"name":"Subdivision","value":"EC"},{"id":4,"name":"Milepost","value":"23.3309"},{"id":17,"name":"Train ID","value":"203-19"},{"id":16,"name":"Locomotive ID","value":"4018"},{"id":130,"name":"Impact","value":""},{"id":150,"name":"Time of Event (Mountain Time)","value":"17:07:30"},{"id":151,"name":"Denver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708</v>
      </c>
      <c r="B116" s="7">
        <v>4017</v>
      </c>
      <c r="C116" s="22" t="s">
        <v>205</v>
      </c>
      <c r="D116" s="22" t="s">
        <v>511</v>
      </c>
      <c r="E116" s="13">
        <v>42723.717129629629</v>
      </c>
      <c r="F116" s="13">
        <v>42723.7265625</v>
      </c>
      <c r="G116" s="7">
        <v>1</v>
      </c>
      <c r="H116" s="22" t="s">
        <v>269</v>
      </c>
      <c r="I116" s="13">
        <v>42723.75608796296</v>
      </c>
      <c r="J116" s="7">
        <v>0</v>
      </c>
      <c r="K116" s="109" t="str">
        <f t="shared" si="32"/>
        <v>4017/4018</v>
      </c>
      <c r="L116" s="22" t="str">
        <f>VLOOKUP(A116,'Trips&amp;Operators'!$C$1:$G$99999,5,FALSE)</f>
        <v>SWANSON BRYCE</v>
      </c>
      <c r="M116" s="6">
        <f t="shared" si="33"/>
        <v>2.9525462960009463E-2</v>
      </c>
      <c r="N116" s="7">
        <f t="shared" si="34"/>
        <v>42.516666662413627</v>
      </c>
      <c r="O116" s="7"/>
      <c r="P116" s="7"/>
      <c r="Q116" s="23"/>
      <c r="R116" s="23"/>
      <c r="S116" s="35">
        <f t="shared" si="35"/>
        <v>1</v>
      </c>
      <c r="T116" s="50" t="str">
        <f t="shared" si="36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16:12:40-700',mode:absolute,to:'2016-12-19 19:08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6" s="52" t="str">
        <f t="shared" si="38"/>
        <v>N</v>
      </c>
      <c r="X116" s="177">
        <f t="shared" si="39"/>
        <v>1</v>
      </c>
      <c r="Y116" s="67">
        <f t="shared" si="40"/>
        <v>23.298400000000001</v>
      </c>
      <c r="Z116" s="67">
        <f t="shared" si="41"/>
        <v>1.6E-2</v>
      </c>
      <c r="AA116" s="67">
        <f t="shared" si="42"/>
        <v>23.282400000000003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43"/>
        <v>0204-19</v>
      </c>
      <c r="AE116" s="91" t="str">
        <f t="shared" si="44"/>
        <v>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 &amp; 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</v>
      </c>
      <c r="AF116" s="88" t="str">
        <f t="shared" si="45"/>
        <v>"C:\Program Files (x86)\AstroGrep\AstroGrep.exe" /spath="%USERPROFILE%\AppData\Local\Temp\OnboardLogs" /stypes="app*4017*20161220*" /stext=" 01:.+((SYSTEM_STATE.+slice.+state.+changed )|(ment ac)|(multiple cpu faults)|(system.+state.+changed )|(\[timeout)|(PRM\|1\|D)|(kpr)|(kdp)|(\|lc)|(penalty))" /e /r /s</v>
      </c>
      <c r="AG116" s="1" t="str">
        <f t="shared" si="46"/>
        <v>EC</v>
      </c>
      <c r="AH116" s="92" t="str">
        <f t="shared" si="47"/>
        <v>"%USERPROFILE%\Documents\GitHub\eaglep3\Utilities\RefineRTDCRunTimes.py" --tripid 204-19 --locoid 4017 --swversion DE.1.0.8.0 --startMP 204:232984 --initTime 2016-12-19T17:12:40 --startdatetime 2016-12-19T17:26:15 --delay 1 --endMP 204:160 --enddatetime 2016-12-19T18:08:46 --enforcementcount 0 &gt;&gt;C:\Users\stu\Documents\GitHub\eaglep3-reporting\EC\2016-12-19-refined-times.txt</v>
      </c>
      <c r="AI116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{"issue":{"subject":"","project_id":79,"tracker_id":40,"status_id":1,"priority_id":2,"assigned_to_id":23,"start_date":"2016-12-19","description":"","custom_fields":[{"id":1,"name":"Subdivision","value":"EC"},{"id":4,"name":"Milepost","value":"0.016"},{"id":17,"name":"Train ID","value":"204-19"},{"id":16,"name":"Locomotive ID","value":"4017"},{"id":130,"name":"Impact","value":""},{"id":150,"name":"Time of Event (Mountain Time)","value":"18:08:46"},{"id":151,"name":"Denver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701</v>
      </c>
      <c r="B117" s="7">
        <v>4022</v>
      </c>
      <c r="C117" s="22" t="s">
        <v>205</v>
      </c>
      <c r="D117" s="22" t="s">
        <v>800</v>
      </c>
      <c r="E117" s="13">
        <v>42723.694722222222</v>
      </c>
      <c r="F117" s="13">
        <v>42723.698125000003</v>
      </c>
      <c r="G117" s="7">
        <v>1</v>
      </c>
      <c r="H117" s="22" t="s">
        <v>836</v>
      </c>
      <c r="I117" s="13">
        <v>42723.724270833336</v>
      </c>
      <c r="J117" s="7">
        <v>0</v>
      </c>
      <c r="K117" s="109" t="str">
        <f t="shared" si="32"/>
        <v>4021/4022</v>
      </c>
      <c r="L117" s="22" t="str">
        <f>VLOOKUP(A117,'Trips&amp;Operators'!$C$1:$G$99999,5,FALSE)</f>
        <v>CLARK KATHLEEN</v>
      </c>
      <c r="M117" s="6">
        <f t="shared" si="33"/>
        <v>2.6145833333430346E-2</v>
      </c>
      <c r="N117" s="7">
        <f t="shared" si="34"/>
        <v>37.650000000139698</v>
      </c>
      <c r="O117" s="7"/>
      <c r="P117" s="7"/>
      <c r="Q117" s="23"/>
      <c r="R117" s="23"/>
      <c r="S117" s="35">
        <f t="shared" si="35"/>
        <v>1</v>
      </c>
      <c r="T117" s="50" t="str">
        <f t="shared" si="36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15:40:24-700',mode:absolute,to:'2016-12-19 18:22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7" s="52" t="str">
        <f t="shared" si="38"/>
        <v>N</v>
      </c>
      <c r="X117" s="177">
        <f t="shared" si="39"/>
        <v>1</v>
      </c>
      <c r="Y117" s="67">
        <f t="shared" si="40"/>
        <v>5.11E-2</v>
      </c>
      <c r="Z117" s="67">
        <f t="shared" si="41"/>
        <v>23.328700000000001</v>
      </c>
      <c r="AA117" s="67">
        <f t="shared" si="42"/>
        <v>23.2776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43"/>
        <v>0205-19</v>
      </c>
      <c r="AE117" s="91" t="str">
        <f t="shared" si="44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117" s="88" t="str">
        <f t="shared" si="45"/>
        <v>"C:\Program Files (x86)\AstroGrep\AstroGrep.exe" /spath="%USERPROFILE%\AppData\Local\Temp\OnboardLogs" /stypes="app*4022*20161220*" /stext=" 00:.+((SYSTEM_STATE.+slice.+state.+changed )|(ment ac)|(multiple cpu faults)|(system.+state.+changed )|(\[timeout)|(PRM\|1\|D)|(kpr)|(kdp)|(\|lc)|(penalty))" /e /r /s</v>
      </c>
      <c r="AG117" s="1" t="str">
        <f t="shared" si="46"/>
        <v>EC</v>
      </c>
      <c r="AH117" s="92" t="str">
        <f t="shared" si="47"/>
        <v>"%USERPROFILE%\Documents\GitHub\eaglep3\Utilities\RefineRTDCRunTimes.py" --tripid 205-19 --locoid 4022 --swversion DE.1.0.8.0 --startMP 204:511 --initTime 2016-12-19T16:40:24 --startdatetime 2016-12-19T16:45:18 --delay 1 --endMP 204:233287 --enddatetime 2016-12-19T17:22:57 --enforcementcount 0 &gt;&gt;C:\Users\stu\Documents\GitHub\eaglep3-reporting\EC\2016-12-19-refined-times.txt</v>
      </c>
      <c r="AI117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{"issue":{"subject":"","project_id":79,"tracker_id":40,"status_id":1,"priority_id":2,"assigned_to_id":23,"start_date":"2016-12-19","description":"","custom_fields":[{"id":1,"name":"Subdivision","value":"EC"},{"id":4,"name":"Milepost","value":"23.3287"},{"id":17,"name":"Train ID","value":"205-19"},{"id":16,"name":"Locomotive ID","value":"4022"},{"id":130,"name":"Impact","value":""},{"id":150,"name":"Time of Event (Mountain Time)","value":"17:22:57"},{"id":151,"name":"Denver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561</v>
      </c>
      <c r="B118" s="7">
        <v>4021</v>
      </c>
      <c r="C118" s="22" t="s">
        <v>205</v>
      </c>
      <c r="D118" s="22" t="s">
        <v>820</v>
      </c>
      <c r="E118" s="13">
        <v>42723.732534722221</v>
      </c>
      <c r="F118" s="13">
        <v>42723.736990740741</v>
      </c>
      <c r="G118" s="7">
        <v>1</v>
      </c>
      <c r="H118" s="22" t="s">
        <v>815</v>
      </c>
      <c r="I118" s="13">
        <v>42723.768854166665</v>
      </c>
      <c r="J118" s="7">
        <v>0</v>
      </c>
      <c r="K118" s="109" t="str">
        <f t="shared" si="32"/>
        <v>4021/4022</v>
      </c>
      <c r="L118" s="22" t="str">
        <f>VLOOKUP(A118,'Trips&amp;Operators'!$C$1:$G$99999,5,FALSE)</f>
        <v>CLARK KATHLEEN</v>
      </c>
      <c r="M118" s="6">
        <f t="shared" si="33"/>
        <v>3.1863425923802424E-2</v>
      </c>
      <c r="N118" s="7">
        <f t="shared" si="34"/>
        <v>45.883333330275491</v>
      </c>
      <c r="O118" s="7"/>
      <c r="P118" s="7"/>
      <c r="Q118" s="23"/>
      <c r="R118" s="23"/>
      <c r="S118" s="35">
        <f t="shared" si="35"/>
        <v>1</v>
      </c>
      <c r="T118" s="50" t="str">
        <f t="shared" si="36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16:34:51-700',mode:absolute,to:'2016-12-19 19:27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8" s="52" t="str">
        <f t="shared" si="38"/>
        <v>N</v>
      </c>
      <c r="X118" s="177">
        <f t="shared" si="39"/>
        <v>1</v>
      </c>
      <c r="Y118" s="67">
        <f t="shared" si="40"/>
        <v>23.296199999999999</v>
      </c>
      <c r="Z118" s="67">
        <f t="shared" si="41"/>
        <v>1.6899999999999998E-2</v>
      </c>
      <c r="AA118" s="67">
        <f t="shared" si="42"/>
        <v>23.279299999999999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43"/>
        <v>0206-19</v>
      </c>
      <c r="AE118" s="91" t="str">
        <f t="shared" si="44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118" s="88" t="str">
        <f t="shared" si="45"/>
        <v>"C:\Program Files (x86)\AstroGrep\AstroGrep.exe" /spath="%USERPROFILE%\AppData\Local\Temp\OnboardLogs" /stypes="app*4021*20161220*" /stext=" 01:.+((SYSTEM_STATE.+slice.+state.+changed )|(ment ac)|(multiple cpu faults)|(system.+state.+changed )|(\[timeout)|(PRM\|1\|D)|(kpr)|(kdp)|(\|lc)|(penalty))" /e /r /s</v>
      </c>
      <c r="AG118" s="1" t="str">
        <f t="shared" si="46"/>
        <v>EC</v>
      </c>
      <c r="AH118" s="92" t="str">
        <f t="shared" si="47"/>
        <v>"%USERPROFILE%\Documents\GitHub\eaglep3\Utilities\RefineRTDCRunTimes.py" --tripid 206-19 --locoid 4021 --swversion DE.1.0.8.0 --startMP 204:232962 --initTime 2016-12-19T17:34:51 --startdatetime 2016-12-19T17:41:16 --delay 1 --endMP 204:169 --enddatetime 2016-12-19T18:27:09 --enforcementcount 0 &gt;&gt;C:\Users\stu\Documents\GitHub\eaglep3-reporting\EC\2016-12-19-refined-times.txt</v>
      </c>
      <c r="AI118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{"issue":{"subject":"","project_id":79,"tracker_id":40,"status_id":1,"priority_id":2,"assigned_to_id":23,"start_date":"2016-12-19","description":"","custom_fields":[{"id":1,"name":"Subdivision","value":"EC"},{"id":4,"name":"Milepost","value":"0.0169"},{"id":17,"name":"Train ID","value":"206-19"},{"id":16,"name":"Locomotive ID","value":"4021"},{"id":130,"name":"Impact","value":""},{"id":150,"name":"Time of Event (Mountain Time)","value":"18:27:09"},{"id":151,"name":"Denver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703</v>
      </c>
      <c r="B119" s="7">
        <v>4031</v>
      </c>
      <c r="C119" s="22" t="s">
        <v>205</v>
      </c>
      <c r="D119" s="22" t="s">
        <v>194</v>
      </c>
      <c r="E119" s="13">
        <v>42723.7030787037</v>
      </c>
      <c r="F119" s="13">
        <v>42723.708680555559</v>
      </c>
      <c r="G119" s="7">
        <v>1</v>
      </c>
      <c r="H119" s="22" t="s">
        <v>517</v>
      </c>
      <c r="I119" s="13">
        <v>42723.732974537037</v>
      </c>
      <c r="J119" s="7">
        <v>0</v>
      </c>
      <c r="K119" s="109" t="str">
        <f t="shared" si="32"/>
        <v>4031/4032</v>
      </c>
      <c r="L119" s="22" t="str">
        <f>VLOOKUP(A119,'Trips&amp;Operators'!$C$1:$G$99999,5,FALSE)</f>
        <v>ADANE ELSHADAY</v>
      </c>
      <c r="M119" s="6">
        <f t="shared" si="33"/>
        <v>2.4293981477967463E-2</v>
      </c>
      <c r="N119" s="7">
        <f t="shared" si="34"/>
        <v>34.983333328273147</v>
      </c>
      <c r="O119" s="7"/>
      <c r="P119" s="7"/>
      <c r="Q119" s="23"/>
      <c r="R119" s="23"/>
      <c r="S119" s="35">
        <f t="shared" si="35"/>
        <v>1</v>
      </c>
      <c r="T119" s="50" t="str">
        <f t="shared" si="36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15:52:26-700',mode:absolute,to:'2016-12-19 18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2" t="str">
        <f t="shared" si="38"/>
        <v>N</v>
      </c>
      <c r="X119" s="177">
        <f t="shared" si="39"/>
        <v>1</v>
      </c>
      <c r="Y119" s="67">
        <f t="shared" si="40"/>
        <v>4.5100000000000001E-2</v>
      </c>
      <c r="Z119" s="67">
        <f t="shared" si="41"/>
        <v>23.330100000000002</v>
      </c>
      <c r="AA119" s="67">
        <f t="shared" si="42"/>
        <v>23.285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43"/>
        <v>0207-19</v>
      </c>
      <c r="AE119" s="91" t="str">
        <f t="shared" si="44"/>
        <v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v>
      </c>
      <c r="AF119" s="88" t="str">
        <f t="shared" si="45"/>
        <v>"C:\Program Files (x86)\AstroGrep\AstroGrep.exe" /spath="%USERPROFILE%\AppData\Local\Temp\OnboardLogs" /stypes="app*4031*20161220*" /stext=" 00:.+((SYSTEM_STATE.+slice.+state.+changed )|(ment ac)|(multiple cpu faults)|(system.+state.+changed )|(\[timeout)|(PRM\|1\|D)|(kpr)|(kdp)|(\|lc)|(penalty))" /e /r /s</v>
      </c>
      <c r="AG119" s="1" t="str">
        <f t="shared" si="46"/>
        <v>EC</v>
      </c>
      <c r="AH119" s="92" t="str">
        <f t="shared" si="47"/>
        <v>"%USERPROFILE%\Documents\GitHub\eaglep3\Utilities\RefineRTDCRunTimes.py" --tripid 207-19 --locoid 4031 --swversion DE.1.0.8.0 --startMP 204:451 --initTime 2016-12-19T16:52:26 --startdatetime 2016-12-19T17:00:30 --delay 1 --endMP 204:233301 --enddatetime 2016-12-19T17:35:29 --enforcementcount 0 &gt;&gt;C:\Users\stu\Documents\GitHub\eaglep3-reporting\EC\2016-12-19-refined-times.txt</v>
      </c>
      <c r="AI119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{"issue":{"subject":"","project_id":79,"tracker_id":40,"status_id":1,"priority_id":2,"assigned_to_id":23,"start_date":"2016-12-19","description":"","custom_fields":[{"id":1,"name":"Subdivision","value":"EC"},{"id":4,"name":"Milepost","value":"23.3301"},{"id":17,"name":"Train ID","value":"207-19"},{"id":16,"name":"Locomotive ID","value":"4031"},{"id":130,"name":"Impact","value":""},{"id":150,"name":"Time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713</v>
      </c>
      <c r="B120" s="7">
        <v>4032</v>
      </c>
      <c r="C120" s="22" t="s">
        <v>205</v>
      </c>
      <c r="D120" s="22" t="s">
        <v>447</v>
      </c>
      <c r="E120" s="13">
        <v>42723.734537037039</v>
      </c>
      <c r="F120" s="13">
        <v>42723.747800925928</v>
      </c>
      <c r="G120" s="7">
        <v>1</v>
      </c>
      <c r="H120" s="22" t="s">
        <v>191</v>
      </c>
      <c r="I120" s="13">
        <v>42723.774305555555</v>
      </c>
      <c r="J120" s="7">
        <v>0</v>
      </c>
      <c r="K120" s="109" t="str">
        <f t="shared" si="32"/>
        <v>4031/4032</v>
      </c>
      <c r="L120" s="22" t="str">
        <f>VLOOKUP(A120,'Trips&amp;Operators'!$C$1:$G$99999,5,FALSE)</f>
        <v>ADANE ELSHADAY</v>
      </c>
      <c r="M120" s="6">
        <f t="shared" si="33"/>
        <v>2.6504629626288079E-2</v>
      </c>
      <c r="N120" s="7">
        <f t="shared" si="34"/>
        <v>38.166666661854833</v>
      </c>
      <c r="O120" s="7"/>
      <c r="P120" s="7"/>
      <c r="Q120" s="23"/>
      <c r="R120" s="23"/>
      <c r="S120" s="35">
        <f t="shared" si="35"/>
        <v>1</v>
      </c>
      <c r="T120" s="50" t="str">
        <f t="shared" si="36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16:37:44-700',mode:absolute,to:'2016-12-19 19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2" t="str">
        <f t="shared" si="38"/>
        <v>N</v>
      </c>
      <c r="X120" s="177">
        <f t="shared" si="39"/>
        <v>1</v>
      </c>
      <c r="Y120" s="67">
        <f t="shared" si="40"/>
        <v>23.297799999999999</v>
      </c>
      <c r="Z120" s="67">
        <f t="shared" si="41"/>
        <v>1.49E-2</v>
      </c>
      <c r="AA120" s="67">
        <f t="shared" si="42"/>
        <v>23.282899999999998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43"/>
        <v>0208-19</v>
      </c>
      <c r="AE120" s="91" t="str">
        <f t="shared" si="44"/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AF120" s="88" t="str">
        <f t="shared" si="45"/>
        <v>"C:\Program Files (x86)\AstroGrep\AstroGrep.exe" /spath="%USERPROFILE%\AppData\Local\Temp\OnboardLogs" /stypes="app*4032*20161220*" /stext=" 01:.+((SYSTEM_STATE.+slice.+state.+changed )|(ment ac)|(multiple cpu faults)|(system.+state.+changed )|(\[timeout)|(PRM\|1\|D)|(kpr)|(kdp)|(\|lc)|(penalty))" /e /r /s</v>
      </c>
      <c r="AG120" s="1" t="str">
        <f t="shared" si="46"/>
        <v>EC</v>
      </c>
      <c r="AH120" s="92" t="str">
        <f t="shared" si="47"/>
        <v>"%USERPROFILE%\Documents\GitHub\eaglep3\Utilities\RefineRTDCRunTimes.py" --tripid 208-19 --locoid 4032 --swversion DE.1.0.8.0 --startMP 204:232978 --initTime 2016-12-19T17:37:44 --startdatetime 2016-12-19T17:56:50 --delay 1 --endMP 204:149 --enddatetime 2016-12-19T18:35:00 --enforcementcount 0 &gt;&gt;C:\Users\stu\Documents\GitHub\eaglep3-reporting\EC\2016-12-19-refined-times.txt</v>
      </c>
      <c r="AI120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{"issue":{"subject":"","project_id":79,"tracker_id":40,"status_id":1,"priority_id":2,"assigned_to_id":23,"start_date":"2016-12-19","description":"","custom_fields":[{"id":1,"name":"Subdivision","value":"EC"},{"id":4,"name":"Milepost","value":"0.0149"},{"id":17,"name":"Train ID","value":"208-19"},{"id":16,"name":"Locomotive ID","value":"4032"},{"id":130,"name":"Impact","value":""},{"id":150,"name":"Time of Event (Mountain Time)","value":"18:35:00"},{"id":151,"name":"Denver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709</v>
      </c>
      <c r="B121" s="7">
        <v>4027</v>
      </c>
      <c r="C121" s="22" t="s">
        <v>205</v>
      </c>
      <c r="D121" s="22" t="s">
        <v>837</v>
      </c>
      <c r="E121" s="13">
        <v>42723.716979166667</v>
      </c>
      <c r="F121" s="13">
        <v>42723.719224537039</v>
      </c>
      <c r="G121" s="7">
        <v>1</v>
      </c>
      <c r="H121" s="22" t="s">
        <v>296</v>
      </c>
      <c r="I121" s="13">
        <v>42723.744618055556</v>
      </c>
      <c r="J121" s="7">
        <v>0</v>
      </c>
      <c r="K121" s="109" t="str">
        <f t="shared" si="32"/>
        <v>4027/4028</v>
      </c>
      <c r="L121" s="22" t="str">
        <f>VLOOKUP(A121,'Trips&amp;Operators'!$C$1:$G$99999,5,FALSE)</f>
        <v>CHANDLER KELVIN</v>
      </c>
      <c r="M121" s="6">
        <f t="shared" si="33"/>
        <v>2.5393518517375924E-2</v>
      </c>
      <c r="N121" s="7">
        <f t="shared" si="34"/>
        <v>36.56666666502133</v>
      </c>
      <c r="O121" s="7"/>
      <c r="P121" s="7"/>
      <c r="Q121" s="23"/>
      <c r="R121" s="23"/>
      <c r="S121" s="35">
        <f t="shared" si="35"/>
        <v>1</v>
      </c>
      <c r="T121" s="50" t="str">
        <f t="shared" si="36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16:12:27-700',mode:absolute,to:'2016-12-19 18:52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1" s="52" t="str">
        <f t="shared" si="38"/>
        <v>N</v>
      </c>
      <c r="X121" s="177">
        <f t="shared" si="39"/>
        <v>1</v>
      </c>
      <c r="Y121" s="67">
        <f t="shared" si="40"/>
        <v>4.6600000000000003E-2</v>
      </c>
      <c r="Z121" s="67">
        <f t="shared" si="41"/>
        <v>23.328900000000001</v>
      </c>
      <c r="AA121" s="67">
        <f t="shared" si="42"/>
        <v>23.282299999999999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43"/>
        <v>0209-19</v>
      </c>
      <c r="AE121" s="91" t="str">
        <f t="shared" si="44"/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121" s="88" t="str">
        <f t="shared" si="45"/>
        <v>"C:\Program Files (x86)\AstroGrep\AstroGrep.exe" /spath="%USERPROFILE%\AppData\Local\Temp\OnboardLogs" /stypes="app*4027*20161220*" /stext=" 00:.+((SYSTEM_STATE.+slice.+state.+changed )|(ment ac)|(multiple cpu faults)|(system.+state.+changed )|(\[timeout)|(PRM\|1\|D)|(kpr)|(kdp)|(\|lc)|(penalty))" /e /r /s</v>
      </c>
      <c r="AG121" s="1" t="str">
        <f t="shared" si="46"/>
        <v>EC</v>
      </c>
      <c r="AH121" s="92" t="str">
        <f t="shared" si="47"/>
        <v>"%USERPROFILE%\Documents\GitHub\eaglep3\Utilities\RefineRTDCRunTimes.py" --tripid 209-19 --locoid 4027 --swversion DE.1.0.8.0 --startMP 204:466 --initTime 2016-12-19T17:12:27 --startdatetime 2016-12-19T17:15:41 --delay 1 --endMP 204:233289 --enddatetime 2016-12-19T17:52:15 --enforcementcount 0 &gt;&gt;C:\Users\stu\Documents\GitHub\eaglep3-reporting\EC\2016-12-19-refined-times.txt</v>
      </c>
      <c r="AI121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{"issue":{"subject":"","project_id":79,"tracker_id":40,"status_id":1,"priority_id":2,"assigned_to_id":23,"start_date":"2016-12-19","description":"","custom_fields":[{"id":1,"name":"Subdivision","value":"EC"},{"id":4,"name":"Milepost","value":"23.3289"},{"id":17,"name":"Train ID","value":"209-19"},{"id":16,"name":"Locomotive ID","value":"4027"},{"id":130,"name":"Impact","value":""},{"id":150,"name":"Time of Event (Mountain Time)","value":"17:52:15"},{"id":151,"name":"Denver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717</v>
      </c>
      <c r="B122" s="7">
        <v>4028</v>
      </c>
      <c r="C122" s="22" t="s">
        <v>205</v>
      </c>
      <c r="D122" s="22" t="s">
        <v>826</v>
      </c>
      <c r="E122" s="13">
        <v>42723.757233796299</v>
      </c>
      <c r="F122" s="13">
        <v>42723.758344907408</v>
      </c>
      <c r="G122" s="7">
        <v>1</v>
      </c>
      <c r="H122" s="22" t="s">
        <v>795</v>
      </c>
      <c r="I122" s="13">
        <v>42723.786122685182</v>
      </c>
      <c r="J122" s="7">
        <v>0</v>
      </c>
      <c r="K122" s="109" t="str">
        <f t="shared" si="32"/>
        <v>4027/4028</v>
      </c>
      <c r="L122" s="22" t="str">
        <f>VLOOKUP(A122,'Trips&amp;Operators'!$C$1:$G$99999,5,FALSE)</f>
        <v>CHANDLER KELVIN</v>
      </c>
      <c r="M122" s="6">
        <f t="shared" si="33"/>
        <v>2.7777777773735579E-2</v>
      </c>
      <c r="N122" s="7">
        <f t="shared" si="34"/>
        <v>39.999999994179234</v>
      </c>
      <c r="O122" s="7"/>
      <c r="P122" s="7"/>
      <c r="Q122" s="23"/>
      <c r="R122" s="23"/>
      <c r="S122" s="35">
        <f t="shared" si="35"/>
        <v>1</v>
      </c>
      <c r="T122" s="50" t="str">
        <f t="shared" si="36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17:10:25-700',mode:absolute,to:'2016-12-19 19:52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2" s="52" t="str">
        <f t="shared" si="38"/>
        <v>N</v>
      </c>
      <c r="X122" s="177">
        <f t="shared" si="39"/>
        <v>1</v>
      </c>
      <c r="Y122" s="67">
        <f t="shared" si="40"/>
        <v>23.298300000000001</v>
      </c>
      <c r="Z122" s="67">
        <f t="shared" si="41"/>
        <v>1.52E-2</v>
      </c>
      <c r="AA122" s="67">
        <f t="shared" si="42"/>
        <v>23.283100000000001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43"/>
        <v>0210-19</v>
      </c>
      <c r="AE122" s="91" t="str">
        <f t="shared" si="44"/>
        <v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v>
      </c>
      <c r="AF122" s="88" t="str">
        <f t="shared" si="45"/>
        <v>"C:\Program Files (x86)\AstroGrep\AstroGrep.exe" /spath="%USERPROFILE%\AppData\Local\Temp\OnboardLogs" /stypes="app*4028*20161220*" /stext=" 01:.+((SYSTEM_STATE.+slice.+state.+changed )|(ment ac)|(multiple cpu faults)|(system.+state.+changed )|(\[timeout)|(PRM\|1\|D)|(kpr)|(kdp)|(\|lc)|(penalty))" /e /r /s</v>
      </c>
      <c r="AG122" s="1" t="str">
        <f t="shared" si="46"/>
        <v>EC</v>
      </c>
      <c r="AH122" s="92" t="str">
        <f t="shared" si="47"/>
        <v>"%USERPROFILE%\Documents\GitHub\eaglep3\Utilities\RefineRTDCRunTimes.py" --tripid 210-19 --locoid 4028 --swversion DE.1.0.8.0 --startMP 204:232983 --initTime 2016-12-19T18:10:25 --startdatetime 2016-12-19T18:12:01 --delay 1 --endMP 204:152 --enddatetime 2016-12-19T18:52:01 --enforcementcount 0 &gt;&gt;C:\Users\stu\Documents\GitHub\eaglep3-reporting\EC\2016-12-19-refined-times.txt</v>
      </c>
      <c r="AI122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{"issue":{"subject":"","project_id":79,"tracker_id":40,"status_id":1,"priority_id":2,"assigned_to_id":23,"start_date":"2016-12-19","description":"","custom_fields":[{"id":1,"name":"Subdivision","value":"EC"},{"id":4,"name":"Milepost","value":"0.0152"},{"id":17,"name":"Train ID","value":"210-19"},{"id":16,"name":"Locomotive ID","value":"4028"},{"id":130,"name":"Impact","value":""},{"id":150,"name":"Time of Event (Mountain Time)","value":"18:52:01"},{"id":151,"name":"Denver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710</v>
      </c>
      <c r="B123" s="7">
        <v>4046</v>
      </c>
      <c r="C123" s="22" t="s">
        <v>205</v>
      </c>
      <c r="D123" s="22" t="s">
        <v>285</v>
      </c>
      <c r="E123" s="13">
        <v>42723.72865740741</v>
      </c>
      <c r="F123" s="13">
        <v>42723.730011574073</v>
      </c>
      <c r="G123" s="7">
        <v>1</v>
      </c>
      <c r="H123" s="22" t="s">
        <v>784</v>
      </c>
      <c r="I123" s="13">
        <v>42723.754803240743</v>
      </c>
      <c r="J123" s="7">
        <v>0</v>
      </c>
      <c r="K123" s="109" t="str">
        <f t="shared" si="32"/>
        <v>4045/4046</v>
      </c>
      <c r="L123" s="22" t="str">
        <f>VLOOKUP(A123,'Trips&amp;Operators'!$C$1:$G$99999,5,FALSE)</f>
        <v>BARTLETT KIANDRA</v>
      </c>
      <c r="M123" s="6">
        <f t="shared" si="33"/>
        <v>2.4791666670353152E-2</v>
      </c>
      <c r="N123" s="7">
        <f t="shared" si="34"/>
        <v>35.700000005308539</v>
      </c>
      <c r="O123" s="7"/>
      <c r="P123" s="7"/>
      <c r="Q123" s="23"/>
      <c r="R123" s="23"/>
      <c r="S123" s="35">
        <f t="shared" si="35"/>
        <v>1</v>
      </c>
      <c r="T123" s="50" t="str">
        <f t="shared" si="36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16:29:16-700',mode:absolute,to:'2016-12-19 19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3" s="52" t="str">
        <f t="shared" si="38"/>
        <v>N</v>
      </c>
      <c r="X123" s="177">
        <f t="shared" si="39"/>
        <v>1</v>
      </c>
      <c r="Y123" s="67">
        <f t="shared" si="40"/>
        <v>4.7699999999999999E-2</v>
      </c>
      <c r="Z123" s="67">
        <f t="shared" si="41"/>
        <v>23.331099999999999</v>
      </c>
      <c r="AA123" s="67">
        <f t="shared" si="42"/>
        <v>23.2834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43"/>
        <v>0211-19</v>
      </c>
      <c r="AE123" s="91" t="str">
        <f t="shared" si="44"/>
        <v>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 &amp; 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</v>
      </c>
      <c r="AF123" s="88" t="str">
        <f t="shared" si="45"/>
        <v>"C:\Program Files (x86)\AstroGrep\AstroGrep.exe" /spath="%USERPROFILE%\AppData\Local\Temp\OnboardLogs" /stypes="app*4046*20161220*" /stext=" 01:.+((SYSTEM_STATE.+slice.+state.+changed )|(ment ac)|(multiple cpu faults)|(system.+state.+changed )|(\[timeout)|(PRM\|1\|D)|(kpr)|(kdp)|(\|lc)|(penalty))" /e /r /s</v>
      </c>
      <c r="AG123" s="1" t="str">
        <f t="shared" si="46"/>
        <v>EC</v>
      </c>
      <c r="AH123" s="92" t="str">
        <f t="shared" si="47"/>
        <v>"%USERPROFILE%\Documents\GitHub\eaglep3\Utilities\RefineRTDCRunTimes.py" --tripid 211-19 --locoid 4046 --swversion DE.1.0.8.0 --startMP 204:477 --initTime 2016-12-19T17:29:16 --startdatetime 2016-12-19T17:31:13 --delay 1 --endMP 204:233311 --enddatetime 2016-12-19T18:06:55 --enforcementcount 0 &gt;&gt;C:\Users\stu\Documents\GitHub\eaglep3-reporting\EC\2016-12-19-refined-times.txt</v>
      </c>
      <c r="AI123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{"issue":{"subject":"","project_id":79,"tracker_id":40,"status_id":1,"priority_id":2,"assigned_to_id":23,"start_date":"2016-12-19","description":"","custom_fields":[{"id":1,"name":"Subdivision","value":"EC"},{"id":4,"name":"Milepost","value":"23.3311"},{"id":17,"name":"Train ID","value":"211-19"},{"id":16,"name":"Locomotive ID","value":"4046"},{"id":130,"name":"Impact","value":""},{"id":150,"name":"Time of Event (Mountain Time)","value":"18:06:55"},{"id":151,"name":"Denver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718</v>
      </c>
      <c r="B124" s="7">
        <v>4045</v>
      </c>
      <c r="C124" s="22" t="s">
        <v>205</v>
      </c>
      <c r="D124" s="22" t="s">
        <v>838</v>
      </c>
      <c r="E124" s="13">
        <v>42723.757847222223</v>
      </c>
      <c r="F124" s="13">
        <v>42723.768229166664</v>
      </c>
      <c r="G124" s="7">
        <v>1</v>
      </c>
      <c r="H124" s="22" t="s">
        <v>839</v>
      </c>
      <c r="I124" s="13">
        <v>42723.795243055552</v>
      </c>
      <c r="J124" s="7">
        <v>0</v>
      </c>
      <c r="K124" s="109" t="str">
        <f t="shared" si="32"/>
        <v>4045/4046</v>
      </c>
      <c r="L124" s="22" t="str">
        <f>VLOOKUP(A124,'Trips&amp;Operators'!$C$1:$G$99999,5,FALSE)</f>
        <v>BARTLETT KIANDRA</v>
      </c>
      <c r="M124" s="6">
        <f t="shared" si="33"/>
        <v>2.7013888888177462E-2</v>
      </c>
      <c r="N124" s="7">
        <f t="shared" si="34"/>
        <v>38.899999998975545</v>
      </c>
      <c r="O124" s="7"/>
      <c r="P124" s="7"/>
      <c r="Q124" s="23"/>
      <c r="R124" s="23"/>
      <c r="S124" s="35">
        <f t="shared" si="35"/>
        <v>1</v>
      </c>
      <c r="T124" s="50" t="str">
        <f t="shared" si="36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17:11:18-700',mode:absolute,to:'2016-12-19 20:05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4" s="52" t="str">
        <f t="shared" si="38"/>
        <v>N</v>
      </c>
      <c r="X124" s="177">
        <f t="shared" si="39"/>
        <v>1</v>
      </c>
      <c r="Y124" s="67">
        <f t="shared" si="40"/>
        <v>23.3003</v>
      </c>
      <c r="Z124" s="67">
        <f t="shared" si="41"/>
        <v>1.8100000000000002E-2</v>
      </c>
      <c r="AA124" s="67">
        <f t="shared" si="42"/>
        <v>23.2822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43"/>
        <v>0212-19</v>
      </c>
      <c r="AE124" s="91" t="str">
        <f t="shared" si="44"/>
        <v>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 &amp; 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</v>
      </c>
      <c r="AF124" s="88" t="str">
        <f t="shared" si="45"/>
        <v>"C:\Program Files (x86)\AstroGrep\AstroGrep.exe" /spath="%USERPROFILE%\AppData\Local\Temp\OnboardLogs" /stypes="app*4045*20161220*" /stext=" 02:.+((SYSTEM_STATE.+slice.+state.+changed )|(ment ac)|(multiple cpu faults)|(system.+state.+changed )|(\[timeout)|(PRM\|1\|D)|(kpr)|(kdp)|(\|lc)|(penalty))" /e /r /s</v>
      </c>
      <c r="AG124" s="1" t="str">
        <f t="shared" si="46"/>
        <v>EC</v>
      </c>
      <c r="AH124" s="92" t="str">
        <f t="shared" si="47"/>
        <v>"%USERPROFILE%\Documents\GitHub\eaglep3\Utilities\RefineRTDCRunTimes.py" --tripid 212-19 --locoid 4045 --swversion DE.1.0.8.0 --startMP 204:233003 --initTime 2016-12-19T18:11:18 --startdatetime 2016-12-19T18:26:15 --delay 1 --endMP 204:181 --enddatetime 2016-12-19T19:05:09 --enforcementcount 0 &gt;&gt;C:\Users\stu\Documents\GitHub\eaglep3-reporting\EC\2016-12-19-refined-times.txt</v>
      </c>
      <c r="AI124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{"issue":{"subject":"","project_id":79,"tracker_id":40,"status_id":1,"priority_id":2,"assigned_to_id":23,"start_date":"2016-12-19","description":"","custom_fields":[{"id":1,"name":"Subdivision","value":"EC"},{"id":4,"name":"Milepost","value":"0.0181"},{"id":17,"name":"Train ID","value":"212-19"},{"id":16,"name":"Locomotive ID","value":"4045"},{"id":130,"name":"Impact","value":""},{"id":150,"name":"Time of Event (Mountain Time)","value":"19:05:09"},{"id":151,"name":"Denver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714</v>
      </c>
      <c r="B125" s="7">
        <v>4009</v>
      </c>
      <c r="C125" s="22" t="s">
        <v>205</v>
      </c>
      <c r="D125" s="22" t="s">
        <v>230</v>
      </c>
      <c r="E125" s="13">
        <v>42723.736215277779</v>
      </c>
      <c r="F125" s="13">
        <v>42723.739907407406</v>
      </c>
      <c r="G125" s="7">
        <v>5</v>
      </c>
      <c r="H125" s="22" t="s">
        <v>518</v>
      </c>
      <c r="I125" s="13">
        <v>42723.76635416667</v>
      </c>
      <c r="J125" s="7">
        <v>0</v>
      </c>
      <c r="K125" s="109" t="str">
        <f t="shared" si="32"/>
        <v>4009/4010</v>
      </c>
      <c r="L125" s="22" t="str">
        <f>VLOOKUP(A125,'Trips&amp;Operators'!$C$1:$G$99999,5,FALSE)</f>
        <v>SMITH MICHAEL</v>
      </c>
      <c r="M125" s="6">
        <f t="shared" si="33"/>
        <v>2.644675926421769E-2</v>
      </c>
      <c r="N125" s="7">
        <f t="shared" si="34"/>
        <v>38.083333340473473</v>
      </c>
      <c r="O125" s="7"/>
      <c r="P125" s="7"/>
      <c r="Q125" s="23"/>
      <c r="R125" s="23"/>
      <c r="S125" s="35">
        <f t="shared" si="35"/>
        <v>1</v>
      </c>
      <c r="T125" s="50" t="str">
        <f t="shared" si="36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16:40:09-700',mode:absolute,to:'2016-12-19 19:23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5" s="52" t="str">
        <f t="shared" si="38"/>
        <v>N</v>
      </c>
      <c r="X125" s="177">
        <f t="shared" si="39"/>
        <v>1</v>
      </c>
      <c r="Y125" s="67">
        <f t="shared" si="40"/>
        <v>4.5999999999999999E-2</v>
      </c>
      <c r="Z125" s="67">
        <f t="shared" si="41"/>
        <v>23.328499999999998</v>
      </c>
      <c r="AA125" s="67">
        <f t="shared" si="42"/>
        <v>23.282499999999999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43"/>
        <v>0213-19</v>
      </c>
      <c r="AE125" s="91" t="str">
        <f t="shared" si="44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125" s="88" t="str">
        <f t="shared" si="45"/>
        <v>"C:\Program Files (x86)\AstroGrep\AstroGrep.exe" /spath="%USERPROFILE%\AppData\Local\Temp\OnboardLogs" /stypes="app*4009*20161220*" /stext=" 01:.+((SYSTEM_STATE.+slice.+state.+changed )|(ment ac)|(multiple cpu faults)|(system.+state.+changed )|(\[timeout)|(PRM\|1\|D)|(kpr)|(kdp)|(\|lc)|(penalty))" /e /r /s</v>
      </c>
      <c r="AG125" s="1" t="str">
        <f t="shared" si="46"/>
        <v>EC</v>
      </c>
      <c r="AH125" s="92" t="str">
        <f t="shared" si="47"/>
        <v>"%USERPROFILE%\Documents\GitHub\eaglep3\Utilities\RefineRTDCRunTimes.py" --tripid 213-19 --locoid 4009 --swversion DE.1.0.8.0 --startMP 204:460 --initTime 2016-12-19T17:40:09 --startdatetime 2016-12-19T17:45:28 --delay 5 --endMP 204:233285 --enddatetime 2016-12-19T18:23:33 --enforcementcount 0 &gt;&gt;C:\Users\stu\Documents\GitHub\eaglep3-reporting\EC\2016-12-19-refined-times.txt</v>
      </c>
      <c r="AI125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{"issue":{"subject":"","project_id":79,"tracker_id":40,"status_id":1,"priority_id":2,"assigned_to_id":23,"start_date":"2016-12-19","description":"","custom_fields":[{"id":1,"name":"Subdivision","value":"EC"},{"id":4,"name":"Milepost","value":"23.3285"},{"id":17,"name":"Train ID","value":"213-19"},{"id":16,"name":"Locomotive ID","value":"4009"},{"id":130,"name":"Impact","value":""},{"id":150,"name":"Time of Event (Mountain Time)","value":"18:23:33"},{"id":151,"name":"Denver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562</v>
      </c>
      <c r="B126" s="7">
        <v>4010</v>
      </c>
      <c r="C126" s="22" t="s">
        <v>205</v>
      </c>
      <c r="D126" s="22" t="s">
        <v>826</v>
      </c>
      <c r="E126" s="13">
        <v>42723.769050925926</v>
      </c>
      <c r="F126" s="13">
        <v>42723.778715277775</v>
      </c>
      <c r="G126" s="7">
        <v>1</v>
      </c>
      <c r="H126" s="22" t="s">
        <v>840</v>
      </c>
      <c r="I126" s="13">
        <v>42723.808599537035</v>
      </c>
      <c r="J126" s="7">
        <v>0</v>
      </c>
      <c r="K126" s="109" t="str">
        <f t="shared" si="32"/>
        <v>4009/4010</v>
      </c>
      <c r="L126" s="22" t="str">
        <f>VLOOKUP(A126,'Trips&amp;Operators'!$C$1:$G$99999,5,FALSE)</f>
        <v>SMITH MICHAEL</v>
      </c>
      <c r="M126" s="6">
        <f t="shared" si="33"/>
        <v>2.9884259260143153E-2</v>
      </c>
      <c r="N126" s="7">
        <f t="shared" si="34"/>
        <v>43.033333334606141</v>
      </c>
      <c r="O126" s="7"/>
      <c r="P126" s="7"/>
      <c r="Q126" s="23"/>
      <c r="R126" s="23"/>
      <c r="S126" s="35">
        <f t="shared" si="35"/>
        <v>1</v>
      </c>
      <c r="T126" s="50" t="str">
        <f t="shared" si="36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17:27:26-700',mode:absolute,to:'2016-12-19 20:24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6" s="52" t="str">
        <f t="shared" si="38"/>
        <v>N</v>
      </c>
      <c r="X126" s="177">
        <f t="shared" si="39"/>
        <v>1</v>
      </c>
      <c r="Y126" s="67">
        <f t="shared" si="40"/>
        <v>23.298300000000001</v>
      </c>
      <c r="Z126" s="67">
        <f t="shared" si="41"/>
        <v>1.9199999999999998E-2</v>
      </c>
      <c r="AA126" s="67">
        <f t="shared" si="42"/>
        <v>23.2791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43"/>
        <v>0214-19</v>
      </c>
      <c r="AE126" s="91" t="str">
        <f t="shared" si="44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126" s="88" t="str">
        <f t="shared" si="45"/>
        <v>"C:\Program Files (x86)\AstroGrep\AstroGrep.exe" /spath="%USERPROFILE%\AppData\Local\Temp\OnboardLogs" /stypes="app*4010*20161220*" /stext=" 02:.+((SYSTEM_STATE.+slice.+state.+changed )|(ment ac)|(multiple cpu faults)|(system.+state.+changed )|(\[timeout)|(PRM\|1\|D)|(kpr)|(kdp)|(\|lc)|(penalty))" /e /r /s</v>
      </c>
      <c r="AG126" s="1" t="str">
        <f t="shared" si="46"/>
        <v>EC</v>
      </c>
      <c r="AH126" s="92" t="str">
        <f t="shared" si="47"/>
        <v>"%USERPROFILE%\Documents\GitHub\eaglep3\Utilities\RefineRTDCRunTimes.py" --tripid 214-19 --locoid 4010 --swversion DE.1.0.8.0 --startMP 204:232983 --initTime 2016-12-19T18:27:26 --startdatetime 2016-12-19T18:41:21 --delay 1 --endMP 204:192 --enddatetime 2016-12-19T19:24:23 --enforcementcount 0 &gt;&gt;C:\Users\stu\Documents\GitHub\eaglep3-reporting\EC\2016-12-19-refined-times.txt</v>
      </c>
      <c r="AI126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{"issue":{"subject":"","project_id":79,"tracker_id":40,"status_id":1,"priority_id":2,"assigned_to_id":23,"start_date":"2016-12-19","description":"","custom_fields":[{"id":1,"name":"Subdivision","value":"EC"},{"id":4,"name":"Milepost","value":"0.0192"},{"id":17,"name":"Train ID","value":"214-19"},{"id":16,"name":"Locomotive ID","value":"4010"},{"id":130,"name":"Impact","value":""},{"id":150,"name":"Time of Event (Mountain Time)","value":"19:24:23"},{"id":151,"name":"Denver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716</v>
      </c>
      <c r="B127" s="7">
        <v>4040</v>
      </c>
      <c r="C127" s="22" t="s">
        <v>205</v>
      </c>
      <c r="D127" s="22" t="s">
        <v>272</v>
      </c>
      <c r="E127" s="13">
        <v>42723.754247685189</v>
      </c>
      <c r="F127" s="13">
        <v>42723.756331018521</v>
      </c>
      <c r="G127" s="7">
        <v>1</v>
      </c>
      <c r="H127" s="22" t="s">
        <v>806</v>
      </c>
      <c r="I127" s="13">
        <v>42723.782847222225</v>
      </c>
      <c r="J127" s="7">
        <v>0</v>
      </c>
      <c r="K127" s="109" t="str">
        <f t="shared" si="32"/>
        <v>4039/4040</v>
      </c>
      <c r="L127" s="22" t="str">
        <f>VLOOKUP(A127,'Trips&amp;Operators'!$C$1:$G$99999,5,FALSE)</f>
        <v>KILLION DAVID</v>
      </c>
      <c r="M127" s="6">
        <f t="shared" si="33"/>
        <v>2.6516203703067731E-2</v>
      </c>
      <c r="N127" s="7">
        <f t="shared" si="34"/>
        <v>38.183333332417533</v>
      </c>
      <c r="O127" s="7"/>
      <c r="P127" s="7"/>
      <c r="Q127" s="23"/>
      <c r="R127" s="23"/>
      <c r="S127" s="35">
        <f t="shared" si="35"/>
        <v>1</v>
      </c>
      <c r="T127" s="50" t="str">
        <f t="shared" si="36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17:06:07-700',mode:absolute,to:'2016-12-19 19:47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7" s="52" t="str">
        <f t="shared" si="38"/>
        <v>N</v>
      </c>
      <c r="X127" s="177">
        <f t="shared" si="39"/>
        <v>1</v>
      </c>
      <c r="Y127" s="67">
        <f t="shared" si="40"/>
        <v>4.6199999999999998E-2</v>
      </c>
      <c r="Z127" s="67">
        <f t="shared" si="41"/>
        <v>23.3309</v>
      </c>
      <c r="AA127" s="67">
        <f t="shared" si="42"/>
        <v>23.284700000000001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43"/>
        <v>0215-19</v>
      </c>
      <c r="AE127" s="91" t="str">
        <f t="shared" si="44"/>
        <v>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 &amp; 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</v>
      </c>
      <c r="AF127" s="88" t="str">
        <f t="shared" si="45"/>
        <v>"C:\Program Files (x86)\AstroGrep\AstroGrep.exe" /spath="%USERPROFILE%\AppData\Local\Temp\OnboardLogs" /stypes="app*4040*20161220*" /stext=" 01:.+((SYSTEM_STATE.+slice.+state.+changed )|(ment ac)|(multiple cpu faults)|(system.+state.+changed )|(\[timeout)|(PRM\|1\|D)|(kpr)|(kdp)|(\|lc)|(penalty))" /e /r /s</v>
      </c>
      <c r="AG127" s="1" t="str">
        <f t="shared" si="46"/>
        <v>EC</v>
      </c>
      <c r="AH127" s="92" t="str">
        <f t="shared" si="47"/>
        <v>"%USERPROFILE%\Documents\GitHub\eaglep3\Utilities\RefineRTDCRunTimes.py" --tripid 215-19 --locoid 4040 --swversion DE.1.0.8.0 --startMP 204:462 --initTime 2016-12-19T18:06:07 --startdatetime 2016-12-19T18:09:07 --delay 1 --endMP 204:233309 --enddatetime 2016-12-19T18:47:18 --enforcementcount 0 &gt;&gt;C:\Users\stu\Documents\GitHub\eaglep3-reporting\EC\2016-12-19-refined-times.txt</v>
      </c>
      <c r="AI127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{"issue":{"subject":"","project_id":79,"tracker_id":40,"status_id":1,"priority_id":2,"assigned_to_id":23,"start_date":"2016-12-19","description":"","custom_fields":[{"id":1,"name":"Subdivision","value":"EC"},{"id":4,"name":"Milepost","value":"23.3309"},{"id":17,"name":"Train ID","value":"215-19"},{"id":16,"name":"Locomotive ID","value":"4040"},{"id":130,"name":"Impact","value":""},{"id":150,"name":"Time of Event (Mountain Time)","value":"18:47:18"},{"id":151,"name":"Denver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728</v>
      </c>
      <c r="B128" s="7">
        <v>4039</v>
      </c>
      <c r="C128" s="22" t="s">
        <v>205</v>
      </c>
      <c r="D128" s="22" t="s">
        <v>299</v>
      </c>
      <c r="E128" s="13">
        <v>42723.78702546296</v>
      </c>
      <c r="F128" s="13">
        <v>42723.789189814815</v>
      </c>
      <c r="G128" s="7">
        <v>1</v>
      </c>
      <c r="H128" s="22" t="s">
        <v>191</v>
      </c>
      <c r="I128" s="13">
        <v>42723.819444444445</v>
      </c>
      <c r="J128" s="7">
        <v>0</v>
      </c>
      <c r="K128" s="109" t="str">
        <f t="shared" si="32"/>
        <v>4039/4040</v>
      </c>
      <c r="L128" s="22" t="str">
        <f>VLOOKUP(A128,'Trips&amp;Operators'!$C$1:$G$99999,5,FALSE)</f>
        <v>KILLION DAVID</v>
      </c>
      <c r="M128" s="6">
        <f t="shared" si="33"/>
        <v>3.0254629629780538E-2</v>
      </c>
      <c r="N128" s="7">
        <f t="shared" si="34"/>
        <v>43.566666666883975</v>
      </c>
      <c r="O128" s="7"/>
      <c r="P128" s="7"/>
      <c r="Q128" s="23"/>
      <c r="R128" s="23"/>
      <c r="S128" s="35">
        <f t="shared" si="35"/>
        <v>1</v>
      </c>
      <c r="T128" s="50" t="str">
        <f t="shared" si="36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17:53:19-700',mode:absolute,to:'2016-12-19 20:40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8" s="52" t="str">
        <f t="shared" si="38"/>
        <v>N</v>
      </c>
      <c r="X128" s="177">
        <f t="shared" si="39"/>
        <v>1</v>
      </c>
      <c r="Y128" s="67">
        <f t="shared" si="40"/>
        <v>23.2986</v>
      </c>
      <c r="Z128" s="67">
        <f t="shared" si="41"/>
        <v>1.49E-2</v>
      </c>
      <c r="AA128" s="67">
        <f t="shared" si="42"/>
        <v>23.2837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43"/>
        <v>0216-19</v>
      </c>
      <c r="AE128" s="91" t="str">
        <f t="shared" si="44"/>
        <v>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 &amp; 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</v>
      </c>
      <c r="AF128" s="88" t="str">
        <f t="shared" si="45"/>
        <v>"C:\Program Files (x86)\AstroGrep\AstroGrep.exe" /spath="%USERPROFILE%\AppData\Local\Temp\OnboardLogs" /stypes="app*4039*20161220*" /stext=" 02:.+((SYSTEM_STATE.+slice.+state.+changed )|(ment ac)|(multiple cpu faults)|(system.+state.+changed )|(\[timeout)|(PRM\|1\|D)|(kpr)|(kdp)|(\|lc)|(penalty))" /e /r /s</v>
      </c>
      <c r="AG128" s="1" t="str">
        <f t="shared" si="46"/>
        <v>EC</v>
      </c>
      <c r="AH128" s="92" t="str">
        <f t="shared" si="47"/>
        <v>"%USERPROFILE%\Documents\GitHub\eaglep3\Utilities\RefineRTDCRunTimes.py" --tripid 216-19 --locoid 4039 --swversion DE.1.0.8.0 --startMP 204:232986 --initTime 2016-12-19T18:53:19 --startdatetime 2016-12-19T18:56:26 --delay 1 --endMP 204:149 --enddatetime 2016-12-19T19:40:00 --enforcementcount 0 &gt;&gt;C:\Users\stu\Documents\GitHub\eaglep3-reporting\EC\2016-12-19-refined-times.txt</v>
      </c>
      <c r="AI128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{"issue":{"subject":"","project_id":79,"tracker_id":40,"status_id":1,"priority_id":2,"assigned_to_id":23,"start_date":"2016-12-19","description":"","custom_fields":[{"id":1,"name":"Subdivision","value":"EC"},{"id":4,"name":"Milepost","value":"0.0149"},{"id":17,"name":"Train ID","value":"216-19"},{"id":16,"name":"Locomotive ID","value":"4039"},{"id":130,"name":"Impact","value":""},{"id":150,"name":"Time of Event (Mountain Time)","value":"19:40:00"},{"id":151,"name":"Denver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7" t="s">
        <v>719</v>
      </c>
      <c r="B129" s="7">
        <v>4018</v>
      </c>
      <c r="C129" s="22" t="s">
        <v>205</v>
      </c>
      <c r="D129" s="22" t="s">
        <v>194</v>
      </c>
      <c r="E129" s="13">
        <v>42723.758379629631</v>
      </c>
      <c r="F129" s="13">
        <v>42723.760775462964</v>
      </c>
      <c r="G129" s="7">
        <v>1</v>
      </c>
      <c r="H129" s="22" t="s">
        <v>437</v>
      </c>
      <c r="I129" s="13">
        <v>42723.785196759258</v>
      </c>
      <c r="J129" s="7">
        <v>0</v>
      </c>
      <c r="K129" s="109" t="str">
        <f t="shared" si="32"/>
        <v>4017/4018</v>
      </c>
      <c r="L129" s="22" t="str">
        <f>VLOOKUP(A129,'Trips&amp;Operators'!$C$1:$G$99999,5,FALSE)</f>
        <v>MACDONALD THOMAS</v>
      </c>
      <c r="M129" s="6">
        <f t="shared" si="33"/>
        <v>2.4421296293439809E-2</v>
      </c>
      <c r="N129" s="7">
        <f t="shared" si="34"/>
        <v>35.166666662553325</v>
      </c>
      <c r="O129" s="7"/>
      <c r="P129" s="7"/>
      <c r="Q129" s="23"/>
      <c r="R129" s="23"/>
      <c r="S129" s="35">
        <f t="shared" si="35"/>
        <v>1</v>
      </c>
      <c r="T129" s="50" t="str">
        <f t="shared" si="36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17:12:04-700',mode:absolute,to:'2016-12-19 19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9" s="52" t="str">
        <f t="shared" si="38"/>
        <v>N</v>
      </c>
      <c r="X129" s="177">
        <f t="shared" si="39"/>
        <v>1</v>
      </c>
      <c r="Y129" s="67">
        <f t="shared" si="40"/>
        <v>4.5100000000000001E-2</v>
      </c>
      <c r="Z129" s="67">
        <f t="shared" si="41"/>
        <v>23.331</v>
      </c>
      <c r="AA129" s="67">
        <f t="shared" si="42"/>
        <v>23.285899999999998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43"/>
        <v>0217-19</v>
      </c>
      <c r="AE129" s="91" t="str">
        <f t="shared" si="44"/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AF129" s="88" t="str">
        <f t="shared" si="45"/>
        <v>"C:\Program Files (x86)\AstroGrep\AstroGrep.exe" /spath="%USERPROFILE%\AppData\Local\Temp\OnboardLogs" /stypes="app*4018*20161220*" /stext=" 01:.+((SYSTEM_STATE.+slice.+state.+changed )|(ment ac)|(multiple cpu faults)|(system.+state.+changed )|(\[timeout)|(PRM\|1\|D)|(kpr)|(kdp)|(\|lc)|(penalty))" /e /r /s</v>
      </c>
      <c r="AG129" s="1" t="str">
        <f t="shared" si="46"/>
        <v>EC</v>
      </c>
      <c r="AH129" s="92" t="str">
        <f t="shared" si="47"/>
        <v>"%USERPROFILE%\Documents\GitHub\eaglep3\Utilities\RefineRTDCRunTimes.py" --tripid 217-19 --locoid 4018 --swversion DE.1.0.8.0 --startMP 204:451 --initTime 2016-12-19T18:12:04 --startdatetime 2016-12-19T18:15:31 --delay 1 --endMP 204:233310 --enddatetime 2016-12-19T18:50:41 --enforcementcount 0 &gt;&gt;C:\Users\stu\Documents\GitHub\eaglep3-reporting\EC\2016-12-19-refined-times.txt</v>
      </c>
      <c r="AI129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{"issue":{"subject":"","project_id":79,"tracker_id":40,"status_id":1,"priority_id":2,"assigned_to_id":23,"start_date":"2016-12-19","description":"","custom_fields":[{"id":1,"name":"Subdivision","value":"EC"},{"id":4,"name":"Milepost","value":"23.331"},{"id":17,"name":"Train ID","value":"217-19"},{"id":16,"name":"Locomotive ID","value":"4018"},{"id":130,"name":"Impact","value":""},{"id":150,"name":"Time of Event (Mountain Time)","value":"18:50:41"},{"id":151,"name":"Denver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91" x14ac:dyDescent="0.25">
      <c r="A130" s="37" t="s">
        <v>730</v>
      </c>
      <c r="B130" s="7">
        <v>4017</v>
      </c>
      <c r="C130" s="22" t="s">
        <v>205</v>
      </c>
      <c r="D130" s="22" t="s">
        <v>276</v>
      </c>
      <c r="E130" s="13">
        <v>42723.788807870369</v>
      </c>
      <c r="F130" s="13">
        <v>42723.799699074072</v>
      </c>
      <c r="G130" s="7">
        <v>15</v>
      </c>
      <c r="H130" s="22" t="s">
        <v>841</v>
      </c>
      <c r="I130" s="13">
        <v>42723.827060185184</v>
      </c>
      <c r="J130" s="7">
        <v>0</v>
      </c>
      <c r="K130" s="109" t="str">
        <f t="shared" si="32"/>
        <v>4017/4018</v>
      </c>
      <c r="L130" s="22" t="str">
        <f>VLOOKUP(A130,'Trips&amp;Operators'!$C$1:$G$99999,5,FALSE)</f>
        <v>MACDONALD THOMAS</v>
      </c>
      <c r="M130" s="6">
        <f t="shared" si="33"/>
        <v>2.73611111115315E-2</v>
      </c>
      <c r="N130" s="7">
        <f t="shared" si="34"/>
        <v>39.40000000060536</v>
      </c>
      <c r="O130" s="7"/>
      <c r="P130" s="7"/>
      <c r="Q130" s="23"/>
      <c r="R130" s="23"/>
      <c r="S130" s="35">
        <f t="shared" si="35"/>
        <v>1</v>
      </c>
      <c r="T130" s="50" t="str">
        <f t="shared" si="36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17:55:53-700',mode:absolute,to:'2016-12-19 20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0" s="52" t="str">
        <f t="shared" si="38"/>
        <v>N</v>
      </c>
      <c r="X130" s="177">
        <f t="shared" si="39"/>
        <v>1</v>
      </c>
      <c r="Y130" s="67">
        <f t="shared" si="40"/>
        <v>23.298500000000001</v>
      </c>
      <c r="Z130" s="67">
        <f t="shared" si="41"/>
        <v>1.7399999999999999E-2</v>
      </c>
      <c r="AA130" s="67">
        <f t="shared" si="42"/>
        <v>23.281100000000002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43"/>
        <v>0218-19</v>
      </c>
      <c r="AE130" s="91" t="str">
        <f t="shared" si="44"/>
        <v>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 &amp; 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</v>
      </c>
      <c r="AF130" s="88" t="str">
        <f t="shared" si="45"/>
        <v>"C:\Program Files (x86)\AstroGrep\AstroGrep.exe" /spath="%USERPROFILE%\AppData\Local\Temp\OnboardLogs" /stypes="app*4017*20161220*" /stext=" 02:.+((SYSTEM_STATE.+slice.+state.+changed )|(ment ac)|(multiple cpu faults)|(system.+state.+changed )|(\[timeout)|(PRM\|1\|D)|(kpr)|(kdp)|(\|lc)|(penalty))" /e /r /s</v>
      </c>
      <c r="AG130" s="1" t="str">
        <f t="shared" si="46"/>
        <v>EC</v>
      </c>
      <c r="AH130" s="92" t="str">
        <f t="shared" si="47"/>
        <v>"%USERPROFILE%\Documents\GitHub\eaglep3\Utilities\RefineRTDCRunTimes.py" --tripid 218-19 --locoid 4017 --swversion DE.1.0.8.0 --startMP 204:232985 --initTime 2016-12-19T18:55:53 --startdatetime 2016-12-19T19:11:34 --delay 15 --endMP 204:174 --enddatetime 2016-12-19T19:50:58 --enforcementcount 0 &gt;&gt;C:\Users\stu\Documents\GitHub\eaglep3-reporting\EC\2016-12-19-refined-times.txt</v>
      </c>
      <c r="AI130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{"issue":{"subject":"","project_id":79,"tracker_id":40,"status_id":1,"priority_id":2,"assigned_to_id":23,"start_date":"2016-12-19","description":"","custom_fields":[{"id":1,"name":"Subdivision","value":"EC"},{"id":4,"name":"Milepost","value":"0.0174"},{"id":17,"name":"Train ID","value":"218-19"},{"id":16,"name":"Locomotive ID","value":"4017"},{"id":130,"name":"Impact","value":""},{"id":150,"name":"Time of Event (Mountain Time)","value":"19:50:58"},{"id":151,"name":"Denver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91" s="21" customFormat="1" x14ac:dyDescent="0.25">
      <c r="A131" s="37" t="s">
        <v>723</v>
      </c>
      <c r="B131" s="7">
        <v>4022</v>
      </c>
      <c r="C131" s="22" t="s">
        <v>205</v>
      </c>
      <c r="D131" s="22" t="s">
        <v>231</v>
      </c>
      <c r="E131" s="13">
        <v>42723.772048611114</v>
      </c>
      <c r="F131" s="13">
        <v>42723.773854166669</v>
      </c>
      <c r="G131" s="7">
        <v>2</v>
      </c>
      <c r="H131" s="22" t="s">
        <v>303</v>
      </c>
      <c r="I131" s="13">
        <v>42723.799560185187</v>
      </c>
      <c r="J131" s="7">
        <v>0</v>
      </c>
      <c r="K131" s="109" t="str">
        <f t="shared" si="32"/>
        <v>4021/4022</v>
      </c>
      <c r="L131" s="22" t="str">
        <f>VLOOKUP(A131,'Trips&amp;Operators'!$C$1:$G$99999,5,FALSE)</f>
        <v>YANG JAN</v>
      </c>
      <c r="M131" s="6">
        <f t="shared" si="33"/>
        <v>2.5706018517666962E-2</v>
      </c>
      <c r="N131" s="7">
        <f t="shared" si="34"/>
        <v>37.016666665440425</v>
      </c>
      <c r="O131" s="7"/>
      <c r="P131" s="7"/>
      <c r="Q131" s="23"/>
      <c r="R131" s="23"/>
      <c r="S131" s="35">
        <f t="shared" si="35"/>
        <v>1</v>
      </c>
      <c r="T131" s="50" t="str">
        <f t="shared" si="36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17:31:45-700',mode:absolute,to:'2016-12-19 20:11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1" s="52" t="str">
        <f t="shared" si="38"/>
        <v>N</v>
      </c>
      <c r="X131" s="177">
        <f t="shared" si="39"/>
        <v>1</v>
      </c>
      <c r="Y131" s="67">
        <f t="shared" si="40"/>
        <v>4.7100000000000003E-2</v>
      </c>
      <c r="Z131" s="67">
        <f t="shared" si="41"/>
        <v>23.329899999999999</v>
      </c>
      <c r="AA131" s="67">
        <f t="shared" si="42"/>
        <v>23.282799999999998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43"/>
        <v>0219-19</v>
      </c>
      <c r="AE131" s="91" t="str">
        <f t="shared" si="44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131" s="88" t="str">
        <f t="shared" si="45"/>
        <v>"C:\Program Files (x86)\AstroGrep\AstroGrep.exe" /spath="%USERPROFILE%\AppData\Local\Temp\OnboardLogs" /stypes="app*4022*20161220*" /stext=" 02:.+((SYSTEM_STATE.+slice.+state.+changed )|(ment ac)|(multiple cpu faults)|(system.+state.+changed )|(\[timeout)|(PRM\|1\|D)|(kpr)|(kdp)|(\|lc)|(penalty))" /e /r /s</v>
      </c>
      <c r="AG131" s="1" t="str">
        <f t="shared" si="46"/>
        <v>EC</v>
      </c>
      <c r="AH131" s="92" t="str">
        <f t="shared" si="47"/>
        <v>"%USERPROFILE%\Documents\GitHub\eaglep3\Utilities\RefineRTDCRunTimes.py" --tripid 219-19 --locoid 4022 --swversion DE.1.0.8.0 --startMP 204:471 --initTime 2016-12-19T18:31:45 --startdatetime 2016-12-19T18:34:21 --delay 2 --endMP 204:233299 --enddatetime 2016-12-19T19:11:22 --enforcementcount 0 &gt;&gt;C:\Users\stu\Documents\GitHub\eaglep3-reporting\EC\2016-12-19-refined-times.txt</v>
      </c>
      <c r="AI131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{"issue":{"subject":"","project_id":79,"tracker_id":40,"status_id":1,"priority_id":2,"assigned_to_id":23,"start_date":"2016-12-19","description":"","custom_fields":[{"id":1,"name":"Subdivision","value":"EC"},{"id":4,"name":"Milepost","value":"23.3299"},{"id":17,"name":"Train ID","value":"219-19"},{"id":16,"name":"Locomotive ID","value":"4022"},{"id":130,"name":"Impact","value":""},{"id":150,"name":"Time of Event (Mountain Time)","value":"19:11:22"},{"id":151,"name":"Denver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734</v>
      </c>
      <c r="B132" s="7">
        <v>4021</v>
      </c>
      <c r="C132" s="22" t="s">
        <v>205</v>
      </c>
      <c r="D132" s="22" t="s">
        <v>267</v>
      </c>
      <c r="E132" s="13">
        <v>42723.807210648149</v>
      </c>
      <c r="F132" s="13">
        <v>42723.810173611113</v>
      </c>
      <c r="G132" s="7">
        <v>1</v>
      </c>
      <c r="H132" s="22" t="s">
        <v>269</v>
      </c>
      <c r="I132" s="13">
        <v>42723.83929398148</v>
      </c>
      <c r="J132" s="7">
        <v>0</v>
      </c>
      <c r="K132" s="109" t="str">
        <f t="shared" si="32"/>
        <v>4021/4022</v>
      </c>
      <c r="L132" s="22" t="str">
        <f>VLOOKUP(A132,'Trips&amp;Operators'!$C$1:$G$99999,5,FALSE)</f>
        <v>YANG JAN</v>
      </c>
      <c r="M132" s="6">
        <f t="shared" si="33"/>
        <v>2.9120370367309079E-2</v>
      </c>
      <c r="N132" s="7">
        <f t="shared" si="34"/>
        <v>41.933333328925073</v>
      </c>
      <c r="O132" s="7"/>
      <c r="P132" s="7"/>
      <c r="Q132" s="23"/>
      <c r="R132" s="23"/>
      <c r="S132" s="35">
        <f t="shared" si="35"/>
        <v>1</v>
      </c>
      <c r="T132" s="50" t="str">
        <f t="shared" si="36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18:22:23-700',mode:absolute,to:'2016-12-19 21:08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2" s="52" t="str">
        <f t="shared" si="38"/>
        <v>N</v>
      </c>
      <c r="X132" s="177">
        <f t="shared" si="39"/>
        <v>1</v>
      </c>
      <c r="Y132" s="67">
        <f t="shared" si="40"/>
        <v>23.297699999999999</v>
      </c>
      <c r="Z132" s="67">
        <f t="shared" si="41"/>
        <v>1.6E-2</v>
      </c>
      <c r="AA132" s="67">
        <f t="shared" si="42"/>
        <v>23.281700000000001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43"/>
        <v>0220-19</v>
      </c>
      <c r="AE132" s="91" t="str">
        <f t="shared" si="44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132" s="88" t="str">
        <f t="shared" si="45"/>
        <v>"C:\Program Files (x86)\AstroGrep\AstroGrep.exe" /spath="%USERPROFILE%\AppData\Local\Temp\OnboardLogs" /stypes="app*4021*20161220*" /stext=" 03:.+((SYSTEM_STATE.+slice.+state.+changed )|(ment ac)|(multiple cpu faults)|(system.+state.+changed )|(\[timeout)|(PRM\|1\|D)|(kpr)|(kdp)|(\|lc)|(penalty))" /e /r /s</v>
      </c>
      <c r="AG132" s="1" t="str">
        <f t="shared" si="46"/>
        <v>EC</v>
      </c>
      <c r="AH132" s="92" t="str">
        <f t="shared" si="47"/>
        <v>"%USERPROFILE%\Documents\GitHub\eaglep3\Utilities\RefineRTDCRunTimes.py" --tripid 220-19 --locoid 4021 --swversion DE.1.0.8.0 --startMP 204:232977 --initTime 2016-12-19T19:22:23 --startdatetime 2016-12-19T19:26:39 --delay 1 --endMP 204:160 --enddatetime 2016-12-19T20:08:35 --enforcementcount 0 &gt;&gt;C:\Users\stu\Documents\GitHub\eaglep3-reporting\EC\2016-12-19-refined-times.txt</v>
      </c>
      <c r="AI132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{"issue":{"subject":"","project_id":79,"tracker_id":40,"status_id":1,"priority_id":2,"assigned_to_id":23,"start_date":"2016-12-19","description":"","custom_fields":[{"id":1,"name":"Subdivision","value":"EC"},{"id":4,"name":"Milepost","value":"0.016"},{"id":17,"name":"Train ID","value":"220-19"},{"id":16,"name":"Locomotive ID","value":"4021"},{"id":130,"name":"Impact","value":""},{"id":150,"name":"Time of Event (Mountain Time)","value":"20:08:35"},{"id":151,"name":"Denver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729</v>
      </c>
      <c r="B133" s="7">
        <v>4027</v>
      </c>
      <c r="C133" s="22" t="s">
        <v>205</v>
      </c>
      <c r="D133" s="22" t="s">
        <v>842</v>
      </c>
      <c r="E133" s="13">
        <v>42723.79042824074</v>
      </c>
      <c r="F133" s="13">
        <v>42723.792037037034</v>
      </c>
      <c r="G133" s="7">
        <v>1</v>
      </c>
      <c r="H133" s="22" t="s">
        <v>843</v>
      </c>
      <c r="I133" s="13">
        <v>42723.817372685182</v>
      </c>
      <c r="J133" s="7">
        <v>0</v>
      </c>
      <c r="K133" s="109" t="str">
        <f t="shared" si="32"/>
        <v>4027/4028</v>
      </c>
      <c r="L133" s="22" t="str">
        <f>VLOOKUP(A133,'Trips&amp;Operators'!$C$1:$G$99999,5,FALSE)</f>
        <v>CHANDLER KELVIN</v>
      </c>
      <c r="M133" s="6">
        <f t="shared" si="33"/>
        <v>2.5335648148029577E-2</v>
      </c>
      <c r="N133" s="7">
        <f t="shared" si="34"/>
        <v>36.483333333162591</v>
      </c>
      <c r="O133" s="7"/>
      <c r="P133" s="7"/>
      <c r="Q133" s="23"/>
      <c r="R133" s="23"/>
      <c r="S133" s="35">
        <f t="shared" si="35"/>
        <v>1</v>
      </c>
      <c r="T133" s="50" t="str">
        <f t="shared" si="36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17:58:13-700',mode:absolute,to:'2016-12-19 20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3" s="52" t="str">
        <f t="shared" si="38"/>
        <v>N</v>
      </c>
      <c r="X133" s="177">
        <f t="shared" si="39"/>
        <v>1</v>
      </c>
      <c r="Y133" s="67">
        <f t="shared" si="40"/>
        <v>4.9099999999999998E-2</v>
      </c>
      <c r="Z133" s="67">
        <f t="shared" si="41"/>
        <v>23.3263</v>
      </c>
      <c r="AA133" s="67">
        <f t="shared" si="42"/>
        <v>23.277200000000001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43"/>
        <v>0221-19</v>
      </c>
      <c r="AE133" s="91" t="str">
        <f t="shared" si="44"/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133" s="88" t="str">
        <f t="shared" si="45"/>
        <v>"C:\Program Files (x86)\AstroGrep\AstroGrep.exe" /spath="%USERPROFILE%\AppData\Local\Temp\OnboardLogs" /stypes="app*4027*20161220*" /stext=" 02:.+((SYSTEM_STATE.+slice.+state.+changed )|(ment ac)|(multiple cpu faults)|(system.+state.+changed )|(\[timeout)|(PRM\|1\|D)|(kpr)|(kdp)|(\|lc)|(penalty))" /e /r /s</v>
      </c>
      <c r="AG133" s="1" t="str">
        <f t="shared" si="46"/>
        <v>EC</v>
      </c>
      <c r="AH133" s="92" t="str">
        <f t="shared" si="47"/>
        <v>"%USERPROFILE%\Documents\GitHub\eaglep3\Utilities\RefineRTDCRunTimes.py" --tripid 221-19 --locoid 4027 --swversion DE.1.0.8.0 --startMP 204:491 --initTime 2016-12-19T18:58:13 --startdatetime 2016-12-19T19:00:32 --delay 1 --endMP 204:233263 --enddatetime 2016-12-19T19:37:01 --enforcementcount 0 &gt;&gt;C:\Users\stu\Documents\GitHub\eaglep3-reporting\EC\2016-12-19-refined-times.txt</v>
      </c>
      <c r="AI133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{"issue":{"subject":"","project_id":79,"tracker_id":40,"status_id":1,"priority_id":2,"assigned_to_id":23,"start_date":"2016-12-19","description":"","custom_fields":[{"id":1,"name":"Subdivision","value":"EC"},{"id":4,"name":"Milepost","value":"23.3263"},{"id":17,"name":"Train ID","value":"221-19"},{"id":16,"name":"Locomotive ID","value":"4027"},{"id":130,"name":"Impact","value":""},{"id":150,"name":"Time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736</v>
      </c>
      <c r="B134" s="7">
        <v>4028</v>
      </c>
      <c r="C134" s="22" t="s">
        <v>205</v>
      </c>
      <c r="D134" s="22" t="s">
        <v>844</v>
      </c>
      <c r="E134" s="13">
        <v>42723.829062500001</v>
      </c>
      <c r="F134" s="13">
        <v>42723.831597222219</v>
      </c>
      <c r="G134" s="7">
        <v>1</v>
      </c>
      <c r="H134" s="22" t="s">
        <v>845</v>
      </c>
      <c r="I134" s="13">
        <v>42723.860474537039</v>
      </c>
      <c r="J134" s="7">
        <v>0</v>
      </c>
      <c r="K134" s="109" t="str">
        <f t="shared" si="32"/>
        <v>4027/4028</v>
      </c>
      <c r="L134" s="22" t="str">
        <f>VLOOKUP(A134,'Trips&amp;Operators'!$C$1:$G$99999,5,FALSE)</f>
        <v>CHANDLER KELVIN</v>
      </c>
      <c r="M134" s="6">
        <f t="shared" si="33"/>
        <v>2.8877314820419997E-2</v>
      </c>
      <c r="N134" s="7">
        <f t="shared" si="34"/>
        <v>41.583333341404796</v>
      </c>
      <c r="O134" s="7"/>
      <c r="P134" s="7"/>
      <c r="Q134" s="23"/>
      <c r="R134" s="23"/>
      <c r="S134" s="35">
        <f t="shared" si="35"/>
        <v>1</v>
      </c>
      <c r="T134" s="50" t="str">
        <f t="shared" si="36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18:53:51-700',mode:absolute,to:'2016-12-19 21:39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4" s="52" t="str">
        <f t="shared" si="38"/>
        <v>N</v>
      </c>
      <c r="X134" s="177">
        <f t="shared" si="39"/>
        <v>1</v>
      </c>
      <c r="Y134" s="67">
        <f t="shared" si="40"/>
        <v>23.294699999999999</v>
      </c>
      <c r="Z134" s="67">
        <f t="shared" si="41"/>
        <v>1.6500000000000001E-2</v>
      </c>
      <c r="AA134" s="67">
        <f t="shared" si="42"/>
        <v>23.278199999999998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43"/>
        <v>0222-19</v>
      </c>
      <c r="AE134" s="91" t="str">
        <f t="shared" si="44"/>
        <v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v>
      </c>
      <c r="AF134" s="88" t="str">
        <f t="shared" si="45"/>
        <v>"C:\Program Files (x86)\AstroGrep\AstroGrep.exe" /spath="%USERPROFILE%\AppData\Local\Temp\OnboardLogs" /stypes="app*4028*20161220*" /stext=" 03:.+((SYSTEM_STATE.+slice.+state.+changed )|(ment ac)|(multiple cpu faults)|(system.+state.+changed )|(\[timeout)|(PRM\|1\|D)|(kpr)|(kdp)|(\|lc)|(penalty))" /e /r /s</v>
      </c>
      <c r="AG134" s="1" t="str">
        <f t="shared" si="46"/>
        <v>EC</v>
      </c>
      <c r="AH134" s="92" t="str">
        <f t="shared" si="47"/>
        <v>"%USERPROFILE%\Documents\GitHub\eaglep3\Utilities\RefineRTDCRunTimes.py" --tripid 222-19 --locoid 4028 --swversion DE.1.0.8.0 --startMP 204:232947 --initTime 2016-12-19T19:53:51 --startdatetime 2016-12-19T19:57:30 --delay 1 --endMP 204:165 --enddatetime 2016-12-19T20:39:05 --enforcementcount 0 &gt;&gt;C:\Users\stu\Documents\GitHub\eaglep3-reporting\EC\2016-12-19-refined-times.txt</v>
      </c>
      <c r="AI134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{"issue":{"subject":"","project_id":79,"tracker_id":40,"status_id":1,"priority_id":2,"assigned_to_id":23,"start_date":"2016-12-19","description":"","custom_fields":[{"id":1,"name":"Subdivision","value":"EC"},{"id":4,"name":"Milepost","value":"0.0165"},{"id":17,"name":"Train ID","value":"222-19"},{"id":16,"name":"Locomotive ID","value":"4028"},{"id":130,"name":"Impact","value":""},{"id":150,"name":"Time of Event (Mountain Time)","value":"20:39:05"},{"id":151,"name":"Denver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735</v>
      </c>
      <c r="B135" s="7">
        <v>4009</v>
      </c>
      <c r="C135" s="22" t="s">
        <v>205</v>
      </c>
      <c r="D135" s="22" t="s">
        <v>846</v>
      </c>
      <c r="E135" s="13">
        <v>42723.810104166667</v>
      </c>
      <c r="F135" s="13">
        <v>42723.812708333331</v>
      </c>
      <c r="G135" s="7">
        <v>1</v>
      </c>
      <c r="H135" s="22" t="s">
        <v>519</v>
      </c>
      <c r="I135" s="13">
        <v>42723.838391203702</v>
      </c>
      <c r="J135" s="7">
        <v>0</v>
      </c>
      <c r="K135" s="109" t="str">
        <f t="shared" si="32"/>
        <v>4009/4010</v>
      </c>
      <c r="L135" s="22" t="str">
        <f>VLOOKUP(A135,'Trips&amp;Operators'!$C$1:$G$99999,5,FALSE)</f>
        <v>SMITH MICHAEL</v>
      </c>
      <c r="M135" s="6">
        <f t="shared" si="33"/>
        <v>2.5682870371383615E-2</v>
      </c>
      <c r="N135" s="7">
        <f t="shared" si="34"/>
        <v>36.983333334792405</v>
      </c>
      <c r="O135" s="7"/>
      <c r="P135" s="7"/>
      <c r="Q135" s="23"/>
      <c r="R135" s="23"/>
      <c r="S135" s="35">
        <f t="shared" si="35"/>
        <v>1</v>
      </c>
      <c r="T135" s="50" t="str">
        <f t="shared" si="36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18:26:33-700',mode:absolute,to:'2016-12-19 21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2" t="str">
        <f t="shared" si="38"/>
        <v>N</v>
      </c>
      <c r="X135" s="177">
        <f t="shared" si="39"/>
        <v>1</v>
      </c>
      <c r="Y135" s="67">
        <f t="shared" si="40"/>
        <v>5.1700000000000003E-2</v>
      </c>
      <c r="Z135" s="67">
        <f t="shared" si="41"/>
        <v>23.329699999999999</v>
      </c>
      <c r="AA135" s="67">
        <f t="shared" si="42"/>
        <v>23.277999999999999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43"/>
        <v>0223-19</v>
      </c>
      <c r="AE135" s="91" t="str">
        <f t="shared" si="44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135" s="88" t="str">
        <f t="shared" si="45"/>
        <v>"C:\Program Files (x86)\AstroGrep\AstroGrep.exe" /spath="%USERPROFILE%\AppData\Local\Temp\OnboardLogs" /stypes="app*4009*20161220*" /stext=" 03:.+((SYSTEM_STATE.+slice.+state.+changed )|(ment ac)|(multiple cpu faults)|(system.+state.+changed )|(\[timeout)|(PRM\|1\|D)|(kpr)|(kdp)|(\|lc)|(penalty))" /e /r /s</v>
      </c>
      <c r="AG135" s="1" t="str">
        <f t="shared" si="46"/>
        <v>EC</v>
      </c>
      <c r="AH135" s="92" t="str">
        <f t="shared" si="47"/>
        <v>"%USERPROFILE%\Documents\GitHub\eaglep3\Utilities\RefineRTDCRunTimes.py" --tripid 223-19 --locoid 4009 --swversion DE.1.0.8.0 --startMP 204:517 --initTime 2016-12-19T19:26:33 --startdatetime 2016-12-19T19:30:18 --delay 1 --endMP 204:233297 --enddatetime 2016-12-19T20:07:17 --enforcementcount 0 &gt;&gt;C:\Users\stu\Documents\GitHub\eaglep3-reporting\EC\2016-12-19-refined-times.txt</v>
      </c>
      <c r="AI135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{"issue":{"subject":"","project_id":79,"tracker_id":40,"status_id":1,"priority_id":2,"assigned_to_id":23,"start_date":"2016-12-19","description":"","custom_fields":[{"id":1,"name":"Subdivision","value":"EC"},{"id":4,"name":"Milepost","value":"23.3297"},{"id":17,"name":"Train ID","value":"223-19"},{"id":16,"name":"Locomotive ID","value":"4009"},{"id":130,"name":"Impact","value":""},{"id":150,"name":"Time of Event (Mountain Time)","value":"20:07:17"},{"id":151,"name":"Denver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739</v>
      </c>
      <c r="B136" s="7">
        <v>4010</v>
      </c>
      <c r="C136" s="22" t="s">
        <v>205</v>
      </c>
      <c r="D136" s="22" t="s">
        <v>847</v>
      </c>
      <c r="E136" s="13">
        <v>42723.891192129631</v>
      </c>
      <c r="F136" s="13">
        <v>42723.892013888886</v>
      </c>
      <c r="G136" s="7">
        <v>1</v>
      </c>
      <c r="H136" s="22" t="s">
        <v>224</v>
      </c>
      <c r="I136" s="13">
        <v>42723.912187499998</v>
      </c>
      <c r="J136" s="7">
        <v>0</v>
      </c>
      <c r="K136" s="109" t="str">
        <f t="shared" si="32"/>
        <v>4009/4010</v>
      </c>
      <c r="L136" s="22" t="str">
        <f>VLOOKUP(A136,'Trips&amp;Operators'!$C$1:$G$99999,5,FALSE)</f>
        <v>SMITH MICHAEL</v>
      </c>
      <c r="M136" s="6">
        <f t="shared" si="33"/>
        <v>2.0173611112113576E-2</v>
      </c>
      <c r="N136" s="7"/>
      <c r="O136" s="7"/>
      <c r="P136" s="7">
        <f>24*60*SUM($M136:$M137)</f>
        <v>79.433333335909992</v>
      </c>
      <c r="Q136" s="23"/>
      <c r="R136" s="23" t="s">
        <v>981</v>
      </c>
      <c r="S136" s="35">
        <f t="shared" si="35"/>
        <v>1</v>
      </c>
      <c r="T136" s="50" t="str">
        <f t="shared" si="36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20:23:19-700',mode:absolute,to:'2016-12-19 22:53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2" t="str">
        <f t="shared" si="38"/>
        <v>Y</v>
      </c>
      <c r="X136" s="177">
        <f t="shared" si="39"/>
        <v>1</v>
      </c>
      <c r="Y136" s="67">
        <f t="shared" si="40"/>
        <v>12.786099999999999</v>
      </c>
      <c r="Z136" s="67">
        <f t="shared" si="41"/>
        <v>1.54E-2</v>
      </c>
      <c r="AA136" s="67">
        <f t="shared" si="42"/>
        <v>12.7707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43"/>
        <v>0224-19</v>
      </c>
      <c r="AE136" s="91" t="str">
        <f t="shared" si="44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136" s="88" t="str">
        <f t="shared" si="45"/>
        <v>"C:\Program Files (x86)\AstroGrep\AstroGrep.exe" /spath="%USERPROFILE%\AppData\Local\Temp\OnboardLogs" /stypes="app*4010*20161220*" /stext=" 04:.+((SYSTEM_STATE.+slice.+state.+changed )|(ment ac)|(multiple cpu faults)|(system.+state.+changed )|(\[timeout)|(PRM\|1\|D)|(kpr)|(kdp)|(\|lc)|(penalty))" /e /r /s</v>
      </c>
      <c r="AG136" s="1" t="str">
        <f t="shared" si="46"/>
        <v>EC</v>
      </c>
      <c r="AH136" s="92" t="str">
        <f t="shared" si="47"/>
        <v>"%USERPROFILE%\Documents\GitHub\eaglep3\Utilities\RefineRTDCRunTimes.py" --tripid 224-19 --locoid 4010 --swversion DE.1.0.8.0 --startMP 204:127861 --initTime 2016-12-19T21:23:19 --startdatetime 2016-12-19T21:24:30 --delay 1 --endMP 204:154 --enddatetime 2016-12-19T21:53:33 --enforcementcount 0 &gt;&gt;C:\Users\stu\Documents\GitHub\eaglep3-reporting\EC\2016-12-19-refined-times.txt</v>
      </c>
      <c r="AI136" s="119" t="str">
        <f t="shared" si="48"/>
        <v>echo {"issue":{"subject":"CP 61st generator out of fuel (power outage)","project_id":79,"tracker_id":40,"status_id":1,"priority_id":2,"assigned_to_id":23,"start_date":"2016-12-19","description":"See title. Do logs tell us root cause of the CP outage?","custom_fields":[{"id":1,"name":"Subdivision","value":"EC"},{"id":4,"name":"Milepost","value":"0.0154"},{"id":17,"name":"Train ID","value":"224-19"},{"id":16,"name":"Locomotive ID","value":"4010"},{"id":130,"name":"Impact","value":"Unexpected Cut-Out or Disengaged"},{"id":150,"name":"Time of Event (Mountain Time)","value":"21:53:33"},{"id":151,"name":"Denver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6" s="53" t="s">
        <v>974</v>
      </c>
      <c r="AK136" s="53" t="s">
        <v>131</v>
      </c>
      <c r="AL136" s="53" t="s">
        <v>130</v>
      </c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739</v>
      </c>
      <c r="B137" s="7">
        <v>4010</v>
      </c>
      <c r="C137" s="22" t="s">
        <v>205</v>
      </c>
      <c r="D137" s="22" t="s">
        <v>500</v>
      </c>
      <c r="E137" s="13">
        <v>42723.844050925924</v>
      </c>
      <c r="F137" s="13">
        <v>42723.845127314817</v>
      </c>
      <c r="G137" s="7">
        <v>1</v>
      </c>
      <c r="H137" s="22" t="s">
        <v>848</v>
      </c>
      <c r="I137" s="13">
        <v>42723.880115740743</v>
      </c>
      <c r="J137" s="7">
        <v>0</v>
      </c>
      <c r="K137" s="109" t="str">
        <f t="shared" si="32"/>
        <v>4009/4010</v>
      </c>
      <c r="L137" s="22" t="str">
        <f>VLOOKUP(A137,'Trips&amp;Operators'!$C$1:$G$99999,5,FALSE)</f>
        <v>SMITH MICHAEL</v>
      </c>
      <c r="M137" s="6">
        <f t="shared" si="33"/>
        <v>3.4988425926712807E-2</v>
      </c>
      <c r="N137" s="7"/>
      <c r="O137" s="7"/>
      <c r="P137" s="7"/>
      <c r="Q137" s="23"/>
      <c r="R137" s="23"/>
      <c r="S137" s="35"/>
      <c r="T137" s="50" t="str">
        <f t="shared" si="36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19:15:26-700',mode:absolute,to:'2016-12-19 22:07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7" s="52" t="str">
        <f t="shared" si="38"/>
        <v>Y</v>
      </c>
      <c r="X137" s="177">
        <f t="shared" si="39"/>
        <v>0</v>
      </c>
      <c r="Y137" s="67">
        <f t="shared" si="40"/>
        <v>23.298100000000002</v>
      </c>
      <c r="Z137" s="67">
        <f t="shared" si="41"/>
        <v>15.8887</v>
      </c>
      <c r="AA137" s="67">
        <f t="shared" si="42"/>
        <v>7.4094000000000015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43"/>
        <v>0224-19</v>
      </c>
      <c r="AE137" s="91" t="str">
        <f t="shared" si="44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137" s="88" t="str">
        <f t="shared" si="45"/>
        <v>"C:\Program Files (x86)\AstroGrep\AstroGrep.exe" /spath="%USERPROFILE%\AppData\Local\Temp\OnboardLogs" /stypes="app*4010*20161220*" /stext=" 04:.+((SYSTEM_STATE.+slice.+state.+changed )|(ment ac)|(multiple cpu faults)|(system.+state.+changed )|(\[timeout)|(PRM\|1\|D)|(kpr)|(kdp)|(\|lc)|(penalty))" /e /r /s</v>
      </c>
      <c r="AG137" s="1" t="str">
        <f t="shared" si="46"/>
        <v>EC</v>
      </c>
      <c r="AH137" s="92" t="str">
        <f t="shared" si="47"/>
        <v>"%USERPROFILE%\Documents\GitHub\eaglep3\Utilities\RefineRTDCRunTimes.py" --tripid 224-19 --locoid 4010 --swversion DE.1.0.8.0 --startMP 204:232981 --initTime 2016-12-19T20:15:26 --startdatetime 2016-12-19T20:16:59 --delay 1 --endMP 204:158887 --enddatetime 2016-12-19T21:07:22 --enforcementcount 0 &gt;&gt;C:\Users\stu\Documents\GitHub\eaglep3-reporting\EC\2016-12-19-refined-times.txt</v>
      </c>
      <c r="AI137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{"issue":{"subject":"","project_id":79,"tracker_id":40,"status_id":1,"priority_id":2,"assigned_to_id":23,"start_date":"2016-12-19","description":"","custom_fields":[{"id":1,"name":"Subdivision","value":"EC"},{"id":4,"name":"Milepost","value":"15.8887"},{"id":17,"name":"Train ID","value":"224-19"},{"id":16,"name":"Locomotive ID","value":"4010"},{"id":130,"name":"Impact","value":""},{"id":150,"name":"Time of Event (Mountain Time)","value":"21:07:22"},{"id":151,"name":"Denver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738</v>
      </c>
      <c r="B138" s="7">
        <v>4040</v>
      </c>
      <c r="C138" s="22" t="s">
        <v>205</v>
      </c>
      <c r="D138" s="22" t="s">
        <v>297</v>
      </c>
      <c r="E138" s="13">
        <v>42723.830972222226</v>
      </c>
      <c r="F138" s="13">
        <v>42723.83353009259</v>
      </c>
      <c r="G138" s="7">
        <v>1</v>
      </c>
      <c r="H138" s="22" t="s">
        <v>785</v>
      </c>
      <c r="I138" s="13">
        <v>42723.857754629629</v>
      </c>
      <c r="J138" s="7">
        <v>0</v>
      </c>
      <c r="K138" s="109" t="str">
        <f t="shared" si="32"/>
        <v>4039/4040</v>
      </c>
      <c r="L138" s="22" t="str">
        <f>VLOOKUP(A138,'Trips&amp;Operators'!$C$1:$G$99999,5,FALSE)</f>
        <v>LALONDE GREGORY</v>
      </c>
      <c r="M138" s="6">
        <f t="shared" si="33"/>
        <v>2.4224537039117422E-2</v>
      </c>
      <c r="N138" s="7">
        <f t="shared" si="34"/>
        <v>34.883333336329088</v>
      </c>
      <c r="O138" s="7"/>
      <c r="P138" s="7"/>
      <c r="Q138" s="23"/>
      <c r="R138" s="23"/>
      <c r="S138" s="35">
        <f t="shared" si="35"/>
        <v>1</v>
      </c>
      <c r="T138" s="50" t="str">
        <f t="shared" si="36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18:56:36-700',mode:absolute,to:'2016-12-19 21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8" s="52" t="str">
        <f t="shared" si="38"/>
        <v>N</v>
      </c>
      <c r="X138" s="177">
        <f t="shared" si="39"/>
        <v>1</v>
      </c>
      <c r="Y138" s="67">
        <f t="shared" si="40"/>
        <v>4.5699999999999998E-2</v>
      </c>
      <c r="Z138" s="67">
        <f t="shared" si="41"/>
        <v>23.33</v>
      </c>
      <c r="AA138" s="67">
        <f t="shared" si="42"/>
        <v>23.284299999999998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43"/>
        <v>0225-19</v>
      </c>
      <c r="AE138" s="91" t="str">
        <f t="shared" si="44"/>
        <v>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 &amp; 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</v>
      </c>
      <c r="AF138" s="88" t="str">
        <f t="shared" si="45"/>
        <v>"C:\Program Files (x86)\AstroGrep\AstroGrep.exe" /spath="%USERPROFILE%\AppData\Local\Temp\OnboardLogs" /stypes="app*4040*20161220*" /stext=" 03:.+((SYSTEM_STATE.+slice.+state.+changed )|(ment ac)|(multiple cpu faults)|(system.+state.+changed )|(\[timeout)|(PRM\|1\|D)|(kpr)|(kdp)|(\|lc)|(penalty))" /e /r /s</v>
      </c>
      <c r="AG138" s="1" t="str">
        <f t="shared" si="46"/>
        <v>EC</v>
      </c>
      <c r="AH138" s="92" t="str">
        <f t="shared" si="47"/>
        <v>"%USERPROFILE%\Documents\GitHub\eaglep3\Utilities\RefineRTDCRunTimes.py" --tripid 225-19 --locoid 4040 --swversion DE.1.0.8.0 --startMP 204:457 --initTime 2016-12-19T19:56:36 --startdatetime 2016-12-19T20:00:17 --delay 1 --endMP 204:233300 --enddatetime 2016-12-19T20:35:10 --enforcementcount 0 &gt;&gt;C:\Users\stu\Documents\GitHub\eaglep3-reporting\EC\2016-12-19-refined-times.txt</v>
      </c>
      <c r="AI138" s="119" t="str">
        <f t="shared" si="48"/>
        <v>echo {"issue":{"subject":"","project_id":79,"tracker_id":40,"status_id":1,"priority_id":2,"assigned_to_id":23,"start_date":"2016-12-19","description":"","custom_fields":[{"id":1,"name":"Subdivision","value":"EC"},{"id":4,"name":"Milepost","value":"23.33"},{"id":17,"name":"Train ID","value":"225-19"},{"id":16,"name":"Locomotive ID","value":"4040"},{"id":130,"name":"Impact","value":""},{"id":150,"name":"Time of Event (Mountain Time)","value":"20:35:10"},{"id":151,"name":"Denver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743</v>
      </c>
      <c r="B139" s="7">
        <v>4039</v>
      </c>
      <c r="C139" s="22" t="s">
        <v>205</v>
      </c>
      <c r="D139" s="22" t="s">
        <v>826</v>
      </c>
      <c r="E139" s="13">
        <v>42723.859907407408</v>
      </c>
      <c r="F139" s="13">
        <v>42723.893310185187</v>
      </c>
      <c r="G139" s="7">
        <v>1</v>
      </c>
      <c r="H139" s="22" t="s">
        <v>849</v>
      </c>
      <c r="I139" s="13">
        <v>42723.896932870368</v>
      </c>
      <c r="J139" s="7">
        <v>0</v>
      </c>
      <c r="K139" s="109" t="str">
        <f t="shared" si="32"/>
        <v>4039/4040</v>
      </c>
      <c r="L139" s="22" t="str">
        <f>VLOOKUP(A139,'Trips&amp;Operators'!$C$1:$G$99999,5,FALSE)</f>
        <v>LALONDE GREGORY</v>
      </c>
      <c r="M139" s="6">
        <f t="shared" si="33"/>
        <v>3.6226851807441562E-3</v>
      </c>
      <c r="N139" s="7"/>
      <c r="O139" s="7"/>
      <c r="P139" s="7">
        <f t="shared" si="34"/>
        <v>5.216666660271585</v>
      </c>
      <c r="Q139" s="23"/>
      <c r="R139" s="23" t="s">
        <v>981</v>
      </c>
      <c r="S139" s="35">
        <f t="shared" si="35"/>
        <v>0</v>
      </c>
      <c r="T139" s="50" t="str">
        <f t="shared" si="36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0</v>
      </c>
      <c r="V139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19:38:16-700',mode:absolute,to:'2016-12-19 22:31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9" s="52" t="str">
        <f t="shared" si="38"/>
        <v>Y</v>
      </c>
      <c r="X139" s="177">
        <f t="shared" si="39"/>
        <v>1</v>
      </c>
      <c r="Y139" s="67">
        <f t="shared" si="40"/>
        <v>23.298300000000001</v>
      </c>
      <c r="Z139" s="67">
        <f t="shared" si="41"/>
        <v>19.3718</v>
      </c>
      <c r="AA139" s="67">
        <f t="shared" si="42"/>
        <v>3.9265000000000008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43"/>
        <v>0226-19</v>
      </c>
      <c r="AE139" s="91" t="str">
        <f t="shared" si="44"/>
        <v>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 &amp; 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</v>
      </c>
      <c r="AF139" s="88" t="str">
        <f t="shared" si="45"/>
        <v>"C:\Program Files (x86)\AstroGrep\AstroGrep.exe" /spath="%USERPROFILE%\AppData\Local\Temp\OnboardLogs" /stypes="app*4039*20161220*" /stext=" 04:.+((SYSTEM_STATE.+slice.+state.+changed )|(ment ac)|(multiple cpu faults)|(system.+state.+changed )|(\[timeout)|(PRM\|1\|D)|(kpr)|(kdp)|(\|lc)|(penalty))" /e /r /s</v>
      </c>
      <c r="AG139" s="1" t="str">
        <f t="shared" si="46"/>
        <v>EC</v>
      </c>
      <c r="AH139" s="92" t="str">
        <f t="shared" si="47"/>
        <v>"%USERPROFILE%\Documents\GitHub\eaglep3\Utilities\RefineRTDCRunTimes.py" --tripid 226-19 --locoid 4039 --swversion DE.1.0.8.0 --startMP 204:232983 --initTime 2016-12-19T20:38:16 --startdatetime 2016-12-19T21:26:22 --delay 1 --endMP 204:193718 --enddatetime 2016-12-19T21:31:35 --enforcementcount 0 &gt;&gt;C:\Users\stu\Documents\GitHub\eaglep3-reporting\EC\2016-12-19-refined-times.txt</v>
      </c>
      <c r="AI139" s="119" t="str">
        <f t="shared" si="48"/>
        <v>echo {"issue":{"subject":"CP 61st generator out of fuel (power outage)","project_id":79,"tracker_id":40,"status_id":1,"priority_id":2,"assigned_to_id":23,"start_date":"2016-12-19","description":"","custom_fields":[{"id":1,"name":"Subdivision","value":"EC"},{"id":4,"name":"Milepost","value":"19.3718"},{"id":17,"name":"Train ID","value":"226-19"},{"id":16,"name":"Locomotive ID","value":"4039"},{"id":130,"name":"Impact","value":""},{"id":150,"name":"Time of Event (Mountain Time)","value":"21:31:35"},{"id":151,"name":"Denver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740</v>
      </c>
      <c r="B140" s="7">
        <v>4022</v>
      </c>
      <c r="C140" s="22" t="s">
        <v>205</v>
      </c>
      <c r="D140" s="22" t="s">
        <v>300</v>
      </c>
      <c r="E140" s="13">
        <v>42723.845011574071</v>
      </c>
      <c r="F140" s="13">
        <v>42723.854722222219</v>
      </c>
      <c r="G140" s="7">
        <v>1</v>
      </c>
      <c r="H140" s="22" t="s">
        <v>850</v>
      </c>
      <c r="I140" s="13">
        <v>42723.870625000003</v>
      </c>
      <c r="J140" s="7">
        <v>0</v>
      </c>
      <c r="K140" s="109" t="str">
        <f t="shared" si="32"/>
        <v>4021/4022</v>
      </c>
      <c r="L140" s="22" t="str">
        <f>VLOOKUP(A140,'Trips&amp;Operators'!$C$1:$G$99999,5,FALSE)</f>
        <v>YANG JAN</v>
      </c>
      <c r="M140" s="6">
        <f t="shared" si="33"/>
        <v>1.5902777784503996E-2</v>
      </c>
      <c r="N140" s="7"/>
      <c r="O140" s="7"/>
      <c r="P140" s="7">
        <f t="shared" si="34"/>
        <v>22.900000009685755</v>
      </c>
      <c r="Q140" s="23"/>
      <c r="R140" s="23" t="s">
        <v>981</v>
      </c>
      <c r="S140" s="35">
        <f t="shared" si="35"/>
        <v>1</v>
      </c>
      <c r="T140" s="50" t="str">
        <f t="shared" si="36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https://search-rtdc-monitor-bjffxe2xuh6vdkpspy63sjmuny.us-east-1.es.amazonaws.com/_plugin/kibana/#/discover/Steve-Slow-Train-Analysis-(2080s-and-2083s)?_g=(refreshInterval:(display:Off,section:0,value:0),time:(from:'2016-12-19 19:16:49-700',mode:absolute,to:'2016-12-19 21:53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0" s="52" t="str">
        <f t="shared" si="38"/>
        <v>Y</v>
      </c>
      <c r="X140" s="177">
        <f t="shared" si="39"/>
        <v>1</v>
      </c>
      <c r="Y140" s="67">
        <f t="shared" si="40"/>
        <v>4.3999999999999997E-2</v>
      </c>
      <c r="Z140" s="67">
        <f t="shared" si="41"/>
        <v>12.471500000000001</v>
      </c>
      <c r="AA140" s="67">
        <f t="shared" si="42"/>
        <v>12.4275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43"/>
        <v>0227-19</v>
      </c>
      <c r="AE140" s="91" t="str">
        <f t="shared" si="44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140" s="88" t="str">
        <f t="shared" si="45"/>
        <v>"C:\Program Files (x86)\AstroGrep\AstroGrep.exe" /spath="%USERPROFILE%\AppData\Local\Temp\OnboardLogs" /stypes="app*4022*20161220*" /stext=" 03:.+((SYSTEM_STATE.+slice.+state.+changed )|(ment ac)|(multiple cpu faults)|(system.+state.+changed )|(\[timeout)|(PRM\|1\|D)|(kpr)|(kdp)|(\|lc)|(penalty))" /e /r /s</v>
      </c>
      <c r="AG140" s="1" t="str">
        <f t="shared" si="46"/>
        <v>EC</v>
      </c>
      <c r="AH140" s="92" t="str">
        <f t="shared" si="47"/>
        <v>"%USERPROFILE%\Documents\GitHub\eaglep3\Utilities\RefineRTDCRunTimes.py" --tripid 227-19 --locoid 4022 --swversion DE.1.0.8.0 --startMP 204:440 --initTime 2016-12-19T20:16:49 --startdatetime 2016-12-19T20:30:48 --delay 1 --endMP 204:124715 --enddatetime 2016-12-19T20:53:42 --enforcementcount 0 &gt;&gt;C:\Users\stu\Documents\GitHub\eaglep3-reporting\EC\2016-12-19-refined-times.txt</v>
      </c>
      <c r="AI140" s="119" t="str">
        <f t="shared" si="48"/>
        <v>echo {"issue":{"subject":"CP 61st generator out of fuel (power outage)","project_id":79,"tracker_id":40,"status_id":1,"priority_id":2,"assigned_to_id":23,"start_date":"2016-12-19","description":"","custom_fields":[{"id":1,"name":"Subdivision","value":"EC"},{"id":4,"name":"Milepost","value":"12.4715"},{"id":17,"name":"Train ID","value":"227-19"},{"id":16,"name":"Locomotive ID","value":"4022"},{"id":130,"name":"Impact","value":""},{"id":150,"name":"Time of Event (Mountain Time)","value":"20:53:42"},{"id":151,"name":"Denver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750</v>
      </c>
      <c r="B141" s="7">
        <v>4039</v>
      </c>
      <c r="C141" s="22" t="s">
        <v>205</v>
      </c>
      <c r="D141" s="22" t="s">
        <v>510</v>
      </c>
      <c r="E141" s="13">
        <v>42723.920173611114</v>
      </c>
      <c r="F141" s="13">
        <v>42723.921400462961</v>
      </c>
      <c r="G141" s="7">
        <v>1</v>
      </c>
      <c r="H141" s="22" t="s">
        <v>224</v>
      </c>
      <c r="I141" s="13">
        <v>42723.938900462963</v>
      </c>
      <c r="J141" s="7">
        <v>0</v>
      </c>
      <c r="K141" s="109" t="str">
        <f t="shared" ref="K141:K203" si="49">IF(ISEVEN(B141),(B141-1)&amp;"/"&amp;B141,B141&amp;"/"&amp;(B141+1))</f>
        <v>4039/4040</v>
      </c>
      <c r="L141" s="22" t="str">
        <f>VLOOKUP(A141,'Trips&amp;Operators'!$C$1:$G$99999,5,FALSE)</f>
        <v>LALONDE GREGORY</v>
      </c>
      <c r="M141" s="6">
        <f t="shared" ref="M141:M203" si="50">I141-F141</f>
        <v>1.750000000174623E-2</v>
      </c>
      <c r="N141" s="7"/>
      <c r="O141" s="7"/>
      <c r="P141" s="7">
        <f t="shared" ref="N141:P203" si="51">24*60*SUM($M141:$M141)</f>
        <v>25.200000002514571</v>
      </c>
      <c r="Q141" s="23"/>
      <c r="R141" s="23" t="s">
        <v>981</v>
      </c>
      <c r="S141" s="35">
        <f t="shared" ref="S141:S203" si="52">SUM(U141:U141)/IF(AG141="EC",12,1)</f>
        <v>1</v>
      </c>
      <c r="T141" s="50" t="str">
        <f t="shared" ref="T141:T203" si="53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3" si="54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https://search-rtdc-monitor-bjffxe2xuh6vdkpspy63sjmuny.us-east-1.es.amazonaws.com/_plugin/kibana/#/discover/Steve-Slow-Train-Analysis-(2080s-and-2083s)?_g=(refreshInterval:(display:Off,section:0,value:0),time:(from:'2016-12-19 21:05:03-700',mode:absolute,to:'2016-12-19 23:32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1" s="52" t="str">
        <f t="shared" ref="W141:W203" si="55">IF(AA141&lt;IF(AG141="EC",23,5.65),"Y","N")</f>
        <v>Y</v>
      </c>
      <c r="X141" s="177">
        <f t="shared" ref="X141:X203" si="56">VALUE(LEFT(AD141,4))-VALUE(LEFT(AD140,4))</f>
        <v>1</v>
      </c>
      <c r="Y141" s="67">
        <f t="shared" ref="Y141:Y203" si="57">RIGHT(D141,LEN(D141)-4)/10000</f>
        <v>12.786899999999999</v>
      </c>
      <c r="Z141" s="67">
        <f t="shared" ref="Z141:Z203" si="58">RIGHT(H141,LEN(H141)-4)/10000</f>
        <v>1.54E-2</v>
      </c>
      <c r="AA141" s="67">
        <f t="shared" ref="AA141:AA203" si="59">ABS(Z141-Y141)</f>
        <v>12.7715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3" si="60">IF(LEN(A141)=6,"0"&amp;A141,A141)</f>
        <v>0228-19</v>
      </c>
      <c r="AE141" s="91" t="str">
        <f t="shared" ref="AE141:AE203" si="6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 &amp; 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</v>
      </c>
      <c r="AF141" s="88" t="str">
        <f t="shared" ref="AF141:AF203" si="6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/stypes="app*4039*20161220*" /stext=" 05:.+((SYSTEM_STATE.+slice.+state.+changed )|(ment ac)|(multiple cpu faults)|(system.+state.+changed )|(\[timeout)|(PRM\|1\|D)|(kpr)|(kdp)|(\|lc)|(penalty))" /e /r /s</v>
      </c>
      <c r="AG141" s="1" t="str">
        <f t="shared" ref="AG141:AG203" si="63">IFERROR(IF(VALUE(LEFT(AD141,2))&lt;=2,"EC",IF(OR(VALUE(LEFT(AD141,2))=8,VALUE(LEFT(AD141,2))=18),"NW","Other")),"Other")</f>
        <v>EC</v>
      </c>
      <c r="AH141" s="92" t="str">
        <f t="shared" si="47"/>
        <v>"%USERPROFILE%\Documents\GitHub\eaglep3\Utilities\RefineRTDCRunTimes.py" --tripid 228-19 --locoid 4039 --swversion DE.1.0.8.0 --startMP 204:127869 --initTime 2016-12-19T22:05:03 --startdatetime 2016-12-19T22:06:49 --delay 1 --endMP 204:154 --enddatetime 2016-12-19T22:32:01 --enforcementcount 0 &gt;&gt;C:\Users\stu\Documents\GitHub\eaglep3-reporting\EC\2016-12-19-refined-times.txt</v>
      </c>
      <c r="AI141" s="119" t="str">
        <f t="shared" si="48"/>
        <v>echo {"issue":{"subject":"CP 61st generator out of fuel (power outage)","project_id":79,"tracker_id":40,"status_id":1,"priority_id":2,"assigned_to_id":23,"start_date":"2016-12-19","description":"","custom_fields":[{"id":1,"name":"Subdivision","value":"EC"},{"id":4,"name":"Milepost","value":"0.0154"},{"id":17,"name":"Train ID","value":"228-19"},{"id":16,"name":"Locomotive ID","value":"4039"},{"id":130,"name":"Impact","value":""},{"id":150,"name":"Time of Event (Mountain Time)","value":"22:32:01"},{"id":151,"name":"Denver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744</v>
      </c>
      <c r="B142" s="7">
        <v>4027</v>
      </c>
      <c r="C142" s="22" t="s">
        <v>205</v>
      </c>
      <c r="D142" s="22" t="s">
        <v>516</v>
      </c>
      <c r="E142" s="13">
        <v>42723.874201388891</v>
      </c>
      <c r="F142" s="13">
        <v>42723.875300925924</v>
      </c>
      <c r="G142" s="7">
        <v>1</v>
      </c>
      <c r="H142" s="22" t="s">
        <v>851</v>
      </c>
      <c r="I142" s="13">
        <v>42723.897673611114</v>
      </c>
      <c r="J142" s="7">
        <v>0</v>
      </c>
      <c r="K142" s="109" t="str">
        <f t="shared" si="49"/>
        <v>4027/4028</v>
      </c>
      <c r="L142" s="22" t="str">
        <f>VLOOKUP(A142,'Trips&amp;Operators'!$C$1:$G$99999,5,FALSE)</f>
        <v>CHANDLER KELVIN</v>
      </c>
      <c r="M142" s="6">
        <f t="shared" si="50"/>
        <v>2.2372685190930497E-2</v>
      </c>
      <c r="N142" s="7"/>
      <c r="O142" s="7"/>
      <c r="P142" s="7">
        <f t="shared" si="51"/>
        <v>32.216666674939916</v>
      </c>
      <c r="Q142" s="23"/>
      <c r="R142" s="23" t="s">
        <v>981</v>
      </c>
      <c r="S142" s="35">
        <f t="shared" si="52"/>
        <v>1</v>
      </c>
      <c r="T142" s="50" t="str">
        <f t="shared" si="53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19:58:51-700',mode:absolute,to:'2016-12-19 22:32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2" s="52" t="str">
        <f t="shared" si="55"/>
        <v>Y</v>
      </c>
      <c r="X142" s="177">
        <f t="shared" si="56"/>
        <v>1</v>
      </c>
      <c r="Y142" s="67">
        <f t="shared" si="57"/>
        <v>4.7300000000000002E-2</v>
      </c>
      <c r="Z142" s="67">
        <f t="shared" si="58"/>
        <v>12.322699999999999</v>
      </c>
      <c r="AA142" s="67">
        <f t="shared" si="59"/>
        <v>12.275399999999999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60"/>
        <v>0229-19</v>
      </c>
      <c r="AE142" s="91" t="str">
        <f t="shared" si="61"/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AF142" s="88" t="str">
        <f t="shared" si="62"/>
        <v>"C:\Program Files (x86)\AstroGrep\AstroGrep.exe" /spath="%USERPROFILE%\AppData\Local\Temp\OnboardLogs" /stypes="app*4027*20161220*" /stext=" 04:.+((SYSTEM_STATE.+slice.+state.+changed )|(ment ac)|(multiple cpu faults)|(system.+state.+changed )|(\[timeout)|(PRM\|1\|D)|(kpr)|(kdp)|(\|lc)|(penalty))" /e /r /s</v>
      </c>
      <c r="AG142" s="1" t="str">
        <f t="shared" si="63"/>
        <v>EC</v>
      </c>
      <c r="AH142" s="92" t="str">
        <f t="shared" ref="AH142:AH204" si="6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229-19 --locoid 4027 --swversion DE.1.0.8.0 --startMP 204:473 --initTime 2016-12-19T20:58:51 --startdatetime 2016-12-19T21:00:26 --delay 1 --endMP 204:123227 --enddatetime 2016-12-19T21:32:39 --enforcementcount 0 &gt;&gt;C:\Users\stu\Documents\GitHub\eaglep3-reporting\EC\2016-12-19-refined-times.txt</v>
      </c>
      <c r="AI142" s="119" t="str">
        <f t="shared" ref="AI142:AI204" si="6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{"issue":{"subject":"CP 61st generator out of fuel (power outage)","project_id":79,"tracker_id":40,"status_id":1,"priority_id":2,"assigned_to_id":23,"start_date":"2016-12-19","description":"","custom_fields":[{"id":1,"name":"Subdivision","value":"EC"},{"id":4,"name":"Milepost","value":"12.3227"},{"id":17,"name":"Train ID","value":"229-19"},{"id":16,"name":"Locomotive ID","value":"4027"},{"id":130,"name":"Impact","value":""},{"id":150,"name":"Time of Event (Mountain Time)","value":"21:32:39"},{"id":151,"name":"Denver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748</v>
      </c>
      <c r="B143" s="7">
        <v>4021</v>
      </c>
      <c r="C143" s="22" t="s">
        <v>205</v>
      </c>
      <c r="D143" s="22" t="s">
        <v>852</v>
      </c>
      <c r="E143" s="13">
        <v>42723.949340277781</v>
      </c>
      <c r="F143" s="13">
        <v>42723.95008101852</v>
      </c>
      <c r="G143" s="7">
        <v>0</v>
      </c>
      <c r="H143" s="22" t="s">
        <v>853</v>
      </c>
      <c r="I143" s="13">
        <v>42723.97111111111</v>
      </c>
      <c r="J143" s="7">
        <v>0</v>
      </c>
      <c r="K143" s="109" t="str">
        <f t="shared" si="49"/>
        <v>4021/4022</v>
      </c>
      <c r="L143" s="22" t="str">
        <f>VLOOKUP(A143,'Trips&amp;Operators'!$C$1:$G$99999,5,FALSE)</f>
        <v>YANG JAN</v>
      </c>
      <c r="M143" s="6">
        <f t="shared" si="50"/>
        <v>2.103009259008104E-2</v>
      </c>
      <c r="N143" s="7"/>
      <c r="O143" s="7"/>
      <c r="P143" s="7">
        <f t="shared" si="51"/>
        <v>30.283333329716697</v>
      </c>
      <c r="Q143" s="23"/>
      <c r="R143" s="23" t="s">
        <v>981</v>
      </c>
      <c r="S143" s="35">
        <f t="shared" si="52"/>
        <v>1</v>
      </c>
      <c r="T143" s="50" t="str">
        <f t="shared" si="53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21:47:03-700',mode:absolute,to:'2016-12-20 00:18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3" s="52" t="str">
        <f t="shared" si="55"/>
        <v>Y</v>
      </c>
      <c r="X143" s="177">
        <f t="shared" si="56"/>
        <v>1</v>
      </c>
      <c r="Y143" s="67">
        <f t="shared" si="57"/>
        <v>12.7668</v>
      </c>
      <c r="Z143" s="67">
        <f t="shared" si="58"/>
        <v>1.7600000000000001E-2</v>
      </c>
      <c r="AA143" s="67">
        <f t="shared" si="59"/>
        <v>12.7492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60"/>
        <v>0230-19</v>
      </c>
      <c r="AE143" s="91" t="str">
        <f t="shared" si="61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143" s="88" t="str">
        <f t="shared" si="62"/>
        <v>"C:\Program Files (x86)\AstroGrep\AstroGrep.exe" /spath="%USERPROFILE%\AppData\Local\Temp\OnboardLogs" /stypes="app*4021*20161220*" /stext=" 06:.+((SYSTEM_STATE.+slice.+state.+changed )|(ment ac)|(multiple cpu faults)|(system.+state.+changed )|(\[timeout)|(PRM\|1\|D)|(kpr)|(kdp)|(\|lc)|(penalty))" /e /r /s</v>
      </c>
      <c r="AG143" s="1" t="str">
        <f t="shared" si="63"/>
        <v>EC</v>
      </c>
      <c r="AH143" s="92" t="str">
        <f t="shared" si="64"/>
        <v>"%USERPROFILE%\Documents\GitHub\eaglep3\Utilities\RefineRTDCRunTimes.py" --tripid 230-19 --locoid 4021 --swversion DE.1.0.8.0 --startMP 204:127668 --initTime 2016-12-19T22:47:03 --startdatetime 2016-12-19T22:48:07 --delay 0 --endMP 204:176 --enddatetime 2016-12-19T23:18:24 --enforcementcount 0 &gt;&gt;C:\Users\stu\Documents\GitHub\eaglep3-reporting\EC\2016-12-19-refined-times.txt</v>
      </c>
      <c r="AI143" s="119" t="str">
        <f t="shared" si="65"/>
        <v>echo {"issue":{"subject":"CP 61st generator out of fuel (power outage)","project_id":79,"tracker_id":40,"status_id":1,"priority_id":2,"assigned_to_id":23,"start_date":"2016-12-19","description":"","custom_fields":[{"id":1,"name":"Subdivision","value":"EC"},{"id":4,"name":"Milepost","value":"0.0176"},{"id":17,"name":"Train ID","value":"230-19"},{"id":16,"name":"Locomotive ID","value":"4021"},{"id":130,"name":"Impact","value":""},{"id":150,"name":"Time of Event (Mountain Time)","value":"23:18:24"},{"id":151,"name":"Denver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748</v>
      </c>
      <c r="B144" s="7">
        <v>4021</v>
      </c>
      <c r="C144" s="22" t="s">
        <v>205</v>
      </c>
      <c r="D144" s="22" t="s">
        <v>499</v>
      </c>
      <c r="E144" s="13">
        <v>42723.913877314815</v>
      </c>
      <c r="F144" s="13">
        <v>42723.95008101852</v>
      </c>
      <c r="G144" s="7">
        <v>1</v>
      </c>
      <c r="H144" s="22" t="s">
        <v>854</v>
      </c>
      <c r="I144" s="13">
        <v>42723.97111111111</v>
      </c>
      <c r="J144" s="7">
        <v>0</v>
      </c>
      <c r="K144" s="109" t="str">
        <f t="shared" si="49"/>
        <v>4021/4022</v>
      </c>
      <c r="L144" s="22" t="str">
        <f>VLOOKUP(A144,'Trips&amp;Operators'!$C$1:$G$99999,5,FALSE)</f>
        <v>YANG JAN</v>
      </c>
      <c r="M144" s="6">
        <f t="shared" si="50"/>
        <v>2.103009259008104E-2</v>
      </c>
      <c r="N144" s="7"/>
      <c r="O144" s="7"/>
      <c r="P144" s="7"/>
      <c r="Q144" s="23"/>
      <c r="R144" s="23"/>
      <c r="S144" s="35"/>
      <c r="T144" s="50" t="str">
        <f t="shared" si="53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20:55:59-700',mode:absolute,to:'2016-12-20 00:18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4" s="52" t="str">
        <f t="shared" si="55"/>
        <v>Y</v>
      </c>
      <c r="X144" s="177">
        <f t="shared" si="56"/>
        <v>0</v>
      </c>
      <c r="Y144" s="67">
        <f t="shared" si="57"/>
        <v>23.297599999999999</v>
      </c>
      <c r="Z144" s="67">
        <f t="shared" si="58"/>
        <v>19.338100000000001</v>
      </c>
      <c r="AA144" s="67">
        <f t="shared" si="59"/>
        <v>3.9594999999999985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60"/>
        <v>0230-19</v>
      </c>
      <c r="AE144" s="91" t="str">
        <f t="shared" si="61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144" s="88" t="str">
        <f t="shared" si="62"/>
        <v>"C:\Program Files (x86)\AstroGrep\AstroGrep.exe" /spath="%USERPROFILE%\AppData\Local\Temp\OnboardLogs" /stypes="app*4021*20161220*" /stext=" 06:.+((SYSTEM_STATE.+slice.+state.+changed )|(ment ac)|(multiple cpu faults)|(system.+state.+changed )|(\[timeout)|(PRM\|1\|D)|(kpr)|(kdp)|(\|lc)|(penalty))" /e /r /s</v>
      </c>
      <c r="AG144" s="1" t="str">
        <f t="shared" si="63"/>
        <v>EC</v>
      </c>
      <c r="AH144" s="92" t="str">
        <f t="shared" si="64"/>
        <v>"%USERPROFILE%\Documents\GitHub\eaglep3\Utilities\RefineRTDCRunTimes.py" --tripid 230-19 --locoid 4021 --swversion DE.1.0.8.0 --startMP 204:232976 --initTime 2016-12-19T21:55:59 --startdatetime 2016-12-19T22:48:07 --delay 1 --endMP 204:193381 --enddatetime 2016-12-19T23:18:24 --enforcementcount 0 &gt;&gt;C:\Users\stu\Documents\GitHub\eaglep3-reporting\EC\2016-12-19-refined-times.txt</v>
      </c>
      <c r="AI144" s="119" t="str">
        <f t="shared" si="65"/>
        <v>echo {"issue":{"subject":"","project_id":79,"tracker_id":40,"status_id":1,"priority_id":2,"assigned_to_id":23,"start_date":"2016-12-19","description":"","custom_fields":[{"id":1,"name":"Subdivision","value":"EC"},{"id":4,"name":"Milepost","value":"19.3381"},{"id":17,"name":"Train ID","value":"230-19"},{"id":16,"name":"Locomotive ID","value":"4021"},{"id":130,"name":"Impact","value":""},{"id":150,"name":"Time of Event (Mountain Time)","value":"23:18:24"},{"id":151,"name":"Denver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746</v>
      </c>
      <c r="B145" s="7">
        <v>4014</v>
      </c>
      <c r="C145" s="22" t="s">
        <v>205</v>
      </c>
      <c r="D145" s="22" t="s">
        <v>855</v>
      </c>
      <c r="E145" s="13">
        <v>42723.939884259256</v>
      </c>
      <c r="F145" s="13">
        <v>42723.940879629627</v>
      </c>
      <c r="G145" s="7">
        <v>1</v>
      </c>
      <c r="H145" s="22" t="s">
        <v>519</v>
      </c>
      <c r="I145" s="13">
        <v>42723.952164351853</v>
      </c>
      <c r="J145" s="7">
        <v>0</v>
      </c>
      <c r="K145" s="109" t="str">
        <f t="shared" si="49"/>
        <v>4013/4014</v>
      </c>
      <c r="L145" s="22" t="str">
        <f>VLOOKUP(A145,'Trips&amp;Operators'!$C$1:$G$99999,5,FALSE)</f>
        <v>SAFIEF AEIMEN</v>
      </c>
      <c r="M145" s="6">
        <f t="shared" si="50"/>
        <v>1.1284722226264421E-2</v>
      </c>
      <c r="N145" s="7"/>
      <c r="O145" s="7"/>
      <c r="P145" s="7">
        <f>24*60*SUM($M145:$M146)</f>
        <v>42.15000000433065</v>
      </c>
      <c r="Q145" s="23"/>
      <c r="R145" s="23" t="s">
        <v>981</v>
      </c>
      <c r="S145" s="35">
        <f>SUM(U145:U146)/IF(AG145="EC",12,1)</f>
        <v>1</v>
      </c>
      <c r="T145" s="50" t="str">
        <f t="shared" si="53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21:33:26-700',mode:absolute,to:'2016-12-19 23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5" s="52" t="str">
        <f t="shared" si="55"/>
        <v>Y</v>
      </c>
      <c r="X145" s="177">
        <f t="shared" si="56"/>
        <v>1</v>
      </c>
      <c r="Y145" s="67">
        <f t="shared" si="57"/>
        <v>15.504099999999999</v>
      </c>
      <c r="Z145" s="67">
        <f t="shared" si="58"/>
        <v>23.329699999999999</v>
      </c>
      <c r="AA145" s="67">
        <f t="shared" si="59"/>
        <v>7.8255999999999997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60"/>
        <v>0231-19</v>
      </c>
      <c r="AE145" s="91" t="str">
        <f t="shared" si="61"/>
        <v>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 &amp; aws s3 cp s3://rtdc.mdm.uploadarchive.raw/RTDC4014/ "%USERPROFILE%\AppData\Local\Temp\OnboardLogs"\RTDC4014\2016-12-20 --exclude "*" --recursive --include "*20161220*" &amp; "%USERPROFILE%\Documents\GitHub\mrs-test-scripts\Headless Mode &amp; Sideloading\WalkAndUnGZ.bat" "%USERPROFILE%\AppData\Local\Temp\OnboardLogs"\RTDC4014\2016-12-20</v>
      </c>
      <c r="AF145" s="88" t="str">
        <f t="shared" si="62"/>
        <v>"C:\Program Files (x86)\AstroGrep\AstroGrep.exe" /spath="%USERPROFILE%\AppData\Local\Temp\OnboardLogs" /stypes="app*4014*20161220*" /stext=" 05:.+((SYSTEM_STATE.+slice.+state.+changed )|(ment ac)|(multiple cpu faults)|(system.+state.+changed )|(\[timeout)|(PRM\|1\|D)|(kpr)|(kdp)|(\|lc)|(penalty))" /e /r /s</v>
      </c>
      <c r="AG145" s="1" t="str">
        <f t="shared" si="63"/>
        <v>EC</v>
      </c>
      <c r="AH145" s="92" t="str">
        <f t="shared" si="64"/>
        <v>"%USERPROFILE%\Documents\GitHub\eaglep3\Utilities\RefineRTDCRunTimes.py" --tripid 231-19 --locoid 4014 --swversion DE.1.0.8.0 --startMP 204:155041 --initTime 2016-12-19T22:33:26 --startdatetime 2016-12-19T22:34:52 --delay 1 --endMP 204:233297 --enddatetime 2016-12-19T22:51:07 --enforcementcount 0 &gt;&gt;C:\Users\stu\Documents\GitHub\eaglep3-reporting\EC\2016-12-19-refined-times.txt</v>
      </c>
      <c r="AI145" s="119" t="str">
        <f t="shared" si="65"/>
        <v>echo {"issue":{"subject":"CP 61st generator out of fuel (power outage)","project_id":79,"tracker_id":40,"status_id":1,"priority_id":2,"assigned_to_id":23,"start_date":"2016-12-19","description":"","custom_fields":[{"id":1,"name":"Subdivision","value":"EC"},{"id":4,"name":"Milepost","value":"23.3297"},{"id":17,"name":"Train ID","value":"231-19"},{"id":16,"name":"Locomotive ID","value":"4014"},{"id":130,"name":"Impact","value":""},{"id":150,"name":"Time of Event (Mountain Time)","value":"22:51:07"},{"id":151,"name":"Denver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746</v>
      </c>
      <c r="B146" s="7">
        <v>4014</v>
      </c>
      <c r="C146" s="22" t="s">
        <v>205</v>
      </c>
      <c r="D146" s="22" t="s">
        <v>856</v>
      </c>
      <c r="E146" s="13">
        <v>42723.896412037036</v>
      </c>
      <c r="F146" s="13">
        <v>42723.897511574076</v>
      </c>
      <c r="G146" s="7">
        <v>1</v>
      </c>
      <c r="H146" s="22" t="s">
        <v>857</v>
      </c>
      <c r="I146" s="13">
        <v>42723.915497685186</v>
      </c>
      <c r="J146" s="7">
        <v>0</v>
      </c>
      <c r="K146" s="109" t="str">
        <f t="shared" si="49"/>
        <v>4013/4014</v>
      </c>
      <c r="L146" s="22" t="str">
        <f>VLOOKUP(A146,'Trips&amp;Operators'!$C$1:$G$99999,5,FALSE)</f>
        <v>SAFIEF AEIMEN</v>
      </c>
      <c r="M146" s="6">
        <f t="shared" si="50"/>
        <v>1.7986111110076308E-2</v>
      </c>
      <c r="N146" s="7"/>
      <c r="O146" s="7"/>
      <c r="P146" s="7"/>
      <c r="Q146" s="23"/>
      <c r="R146" s="23"/>
      <c r="S146" s="35"/>
      <c r="T146" s="50" t="str">
        <f t="shared" si="53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20:30:50-700',mode:absolute,to:'2016-12-19 22:58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6" s="52" t="str">
        <f t="shared" si="55"/>
        <v>Y</v>
      </c>
      <c r="X146" s="177">
        <f t="shared" si="56"/>
        <v>0</v>
      </c>
      <c r="Y146" s="67">
        <f t="shared" si="57"/>
        <v>3.6400000000000002E-2</v>
      </c>
      <c r="Z146" s="67">
        <f t="shared" si="58"/>
        <v>12.4011</v>
      </c>
      <c r="AA146" s="67">
        <f t="shared" si="59"/>
        <v>12.364699999999999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60"/>
        <v>0231-19</v>
      </c>
      <c r="AE146" s="91" t="str">
        <f t="shared" si="61"/>
        <v>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 &amp; aws s3 cp s3://rtdc.mdm.uploadarchive.raw/RTDC4014/ "%USERPROFILE%\AppData\Local\Temp\OnboardLogs"\RTDC4014\2016-12-20 --exclude "*" --recursive --include "*20161220*" &amp; "%USERPROFILE%\Documents\GitHub\mrs-test-scripts\Headless Mode &amp; Sideloading\WalkAndUnGZ.bat" "%USERPROFILE%\AppData\Local\Temp\OnboardLogs"\RTDC4014\2016-12-20</v>
      </c>
      <c r="AF146" s="88" t="str">
        <f t="shared" si="62"/>
        <v>"C:\Program Files (x86)\AstroGrep\AstroGrep.exe" /spath="%USERPROFILE%\AppData\Local\Temp\OnboardLogs" /stypes="app*4014*20161220*" /stext=" 04:.+((SYSTEM_STATE.+slice.+state.+changed )|(ment ac)|(multiple cpu faults)|(system.+state.+changed )|(\[timeout)|(PRM\|1\|D)|(kpr)|(kdp)|(\|lc)|(penalty))" /e /r /s</v>
      </c>
      <c r="AG146" s="1" t="str">
        <f t="shared" si="63"/>
        <v>EC</v>
      </c>
      <c r="AH146" s="92" t="str">
        <f t="shared" si="64"/>
        <v>"%USERPROFILE%\Documents\GitHub\eaglep3\Utilities\RefineRTDCRunTimes.py" --tripid 231-19 --locoid 4014 --swversion DE.1.0.8.0 --startMP 204:364 --initTime 2016-12-19T21:30:50 --startdatetime 2016-12-19T21:32:25 --delay 1 --endMP 204:124011 --enddatetime 2016-12-19T21:58:19 --enforcementcount 0 &gt;&gt;C:\Users\stu\Documents\GitHub\eaglep3-reporting\EC\2016-12-19-refined-times.txt</v>
      </c>
      <c r="AI146" s="119" t="str">
        <f t="shared" si="65"/>
        <v>echo {"issue":{"subject":"","project_id":79,"tracker_id":40,"status_id":1,"priority_id":2,"assigned_to_id":23,"start_date":"2016-12-19","description":"","custom_fields":[{"id":1,"name":"Subdivision","value":"EC"},{"id":4,"name":"Milepost","value":"12.4011"},{"id":17,"name":"Train ID","value":"231-19"},{"id":16,"name":"Locomotive ID","value":"4014"},{"id":130,"name":"Impact","value":""},{"id":150,"name":"Time of Event (Mountain Time)","value":"21:58:19"},{"id":151,"name":"Denver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747</v>
      </c>
      <c r="B147" s="7">
        <v>4009</v>
      </c>
      <c r="C147" s="22" t="s">
        <v>205</v>
      </c>
      <c r="D147" s="22" t="s">
        <v>858</v>
      </c>
      <c r="E147" s="13">
        <v>42723.937060185184</v>
      </c>
      <c r="F147" s="13">
        <v>42723.938379629632</v>
      </c>
      <c r="G147" s="7">
        <v>1</v>
      </c>
      <c r="H147" s="22" t="s">
        <v>302</v>
      </c>
      <c r="I147" s="13">
        <v>42723.959374999999</v>
      </c>
      <c r="J147" s="7">
        <v>0</v>
      </c>
      <c r="K147" s="109" t="str">
        <f t="shared" si="49"/>
        <v>4009/4010</v>
      </c>
      <c r="L147" s="22" t="str">
        <f>VLOOKUP(A147,'Trips&amp;Operators'!$C$1:$G$99999,5,FALSE)</f>
        <v>SMITH MICHAEL</v>
      </c>
      <c r="M147" s="6">
        <f t="shared" si="50"/>
        <v>2.099537036701804E-2</v>
      </c>
      <c r="N147" s="7">
        <f>24*60*SUM($M147:$M148)</f>
        <v>55.033333331812173</v>
      </c>
      <c r="O147" s="7"/>
      <c r="P147" s="7"/>
      <c r="Q147" s="23"/>
      <c r="R147" s="23" t="s">
        <v>975</v>
      </c>
      <c r="S147" s="35">
        <f>SUM(U147:U148)/IF(AG147="EC",12,1)</f>
        <v>1</v>
      </c>
      <c r="T147" s="50" t="str">
        <f t="shared" si="53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0</v>
      </c>
      <c r="V14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21:29:22-700',mode:absolute,to:'2016-12-20 00:01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7" s="52" t="str">
        <f t="shared" si="55"/>
        <v>Y</v>
      </c>
      <c r="X147" s="177">
        <f t="shared" si="56"/>
        <v>2</v>
      </c>
      <c r="Y147" s="67">
        <f t="shared" si="57"/>
        <v>12.219799999999999</v>
      </c>
      <c r="Z147" s="67">
        <f t="shared" si="58"/>
        <v>23.3291</v>
      </c>
      <c r="AA147" s="67">
        <f t="shared" si="59"/>
        <v>11.109300000000001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60"/>
        <v>0233-19</v>
      </c>
      <c r="AE147" s="91" t="str">
        <f t="shared" si="61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147" s="88" t="str">
        <f t="shared" si="62"/>
        <v>"C:\Program Files (x86)\AstroGrep\AstroGrep.exe" /spath="%USERPROFILE%\AppData\Local\Temp\OnboardLogs" /stypes="app*4009*20161220*" /stext=" 06:.+((SYSTEM_STATE.+slice.+state.+changed )|(ment ac)|(multiple cpu faults)|(system.+state.+changed )|(\[timeout)|(PRM\|1\|D)|(kpr)|(kdp)|(\|lc)|(penalty))" /e /r /s</v>
      </c>
      <c r="AG147" s="1" t="str">
        <f t="shared" si="63"/>
        <v>EC</v>
      </c>
      <c r="AH147" s="92" t="str">
        <f t="shared" si="64"/>
        <v>"%USERPROFILE%\Documents\GitHub\eaglep3\Utilities\RefineRTDCRunTimes.py" --tripid 233-19 --locoid 4009 --swversion DE.1.0.8.0 --startMP 204:122198 --initTime 2016-12-19T22:29:22 --startdatetime 2016-12-19T22:31:16 --delay 1 --endMP 204:233291 --enddatetime 2016-12-19T23:01:30 --enforcementcount 0 &gt;&gt;C:\Users\stu\Documents\GitHub\eaglep3-reporting\EC\2016-12-19-refined-times.txt</v>
      </c>
      <c r="AI147" s="119" t="str">
        <f t="shared" si="65"/>
        <v>echo {"issue":{"subject":"Re-inited at 40th (no issue found) - took a while to clear 40th 2N","project_id":79,"tracker_id":40,"status_id":1,"priority_id":2,"assigned_to_id":23,"start_date":"2016-12-19","description":"","custom_fields":[{"id":1,"name":"Subdivision","value":"EC"},{"id":4,"name":"Milepost","value":"23.3291"},{"id":17,"name":"Train ID","value":"233-19"},{"id":16,"name":"Locomotive ID","value":"4009"},{"id":130,"name":"Impact","value":""},{"id":150,"name":"Time of Event (Mountain Time)","value":"23:01:30"},{"id":151,"name":"Denver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747</v>
      </c>
      <c r="B148" s="7">
        <v>4009</v>
      </c>
      <c r="C148" s="22" t="s">
        <v>205</v>
      </c>
      <c r="D148" s="22" t="s">
        <v>285</v>
      </c>
      <c r="E148" s="13">
        <v>42723.913402777776</v>
      </c>
      <c r="F148" s="13">
        <v>42723.916921296295</v>
      </c>
      <c r="G148" s="7">
        <v>1</v>
      </c>
      <c r="H148" s="22" t="s">
        <v>859</v>
      </c>
      <c r="I148" s="13">
        <v>42723.93414351852</v>
      </c>
      <c r="J148" s="7">
        <v>0</v>
      </c>
      <c r="K148" s="109" t="str">
        <f t="shared" si="49"/>
        <v>4009/4010</v>
      </c>
      <c r="L148" s="22" t="str">
        <f>VLOOKUP(A148,'Trips&amp;Operators'!$C$1:$G$99999,5,FALSE)</f>
        <v>SMITH MICHAEL</v>
      </c>
      <c r="M148" s="6">
        <f t="shared" si="50"/>
        <v>1.7222222224518191E-2</v>
      </c>
      <c r="N148" s="7"/>
      <c r="O148" s="7"/>
      <c r="P148" s="7"/>
      <c r="Q148" s="23"/>
      <c r="R148" s="23"/>
      <c r="S148" s="35"/>
      <c r="T148" s="50" t="str">
        <f t="shared" si="53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20:55:18-700',mode:absolute,to:'2016-12-19 23:25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8" s="52" t="str">
        <f t="shared" si="55"/>
        <v>Y</v>
      </c>
      <c r="X148" s="177">
        <f t="shared" si="56"/>
        <v>0</v>
      </c>
      <c r="Y148" s="67">
        <f t="shared" si="57"/>
        <v>4.7699999999999999E-2</v>
      </c>
      <c r="Z148" s="67">
        <f t="shared" si="58"/>
        <v>12.219200000000001</v>
      </c>
      <c r="AA148" s="67">
        <f t="shared" si="59"/>
        <v>12.1715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60"/>
        <v>0233-19</v>
      </c>
      <c r="AE148" s="91" t="str">
        <f t="shared" si="61"/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AF148" s="88" t="str">
        <f t="shared" si="62"/>
        <v>"C:\Program Files (x86)\AstroGrep\AstroGrep.exe" /spath="%USERPROFILE%\AppData\Local\Temp\OnboardLogs" /stypes="app*4009*20161220*" /stext=" 05:.+((SYSTEM_STATE.+slice.+state.+changed )|(ment ac)|(multiple cpu faults)|(system.+state.+changed )|(\[timeout)|(PRM\|1\|D)|(kpr)|(kdp)|(\|lc)|(penalty))" /e /r /s</v>
      </c>
      <c r="AG148" s="1" t="str">
        <f t="shared" si="63"/>
        <v>EC</v>
      </c>
      <c r="AH148" s="92" t="str">
        <f t="shared" si="64"/>
        <v>"%USERPROFILE%\Documents\GitHub\eaglep3\Utilities\RefineRTDCRunTimes.py" --tripid 233-19 --locoid 4009 --swversion DE.1.0.8.0 --startMP 204:477 --initTime 2016-12-19T21:55:18 --startdatetime 2016-12-19T22:00:22 --delay 1 --endMP 204:122192 --enddatetime 2016-12-19T22:25:10 --enforcementcount 0 &gt;&gt;C:\Users\stu\Documents\GitHub\eaglep3-reporting\EC\2016-12-19-refined-times.txt</v>
      </c>
      <c r="AI148" s="119" t="str">
        <f t="shared" si="65"/>
        <v>echo {"issue":{"subject":"","project_id":79,"tracker_id":40,"status_id":1,"priority_id":2,"assigned_to_id":23,"start_date":"2016-12-19","description":"","custom_fields":[{"id":1,"name":"Subdivision","value":"EC"},{"id":4,"name":"Milepost","value":"12.2192"},{"id":17,"name":"Train ID","value":"233-19"},{"id":16,"name":"Locomotive ID","value":"4009"},{"id":130,"name":"Impact","value":""},{"id":150,"name":"Time of Event (Mountain Time)","value":"22:25:10"},{"id":151,"name":"Denver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565</v>
      </c>
      <c r="B149" s="7">
        <v>4013</v>
      </c>
      <c r="C149" s="22" t="s">
        <v>205</v>
      </c>
      <c r="D149" s="22" t="s">
        <v>783</v>
      </c>
      <c r="E149" s="13">
        <v>42723.954259259262</v>
      </c>
      <c r="F149" s="13">
        <v>42723.95621527778</v>
      </c>
      <c r="G149" s="7">
        <v>1</v>
      </c>
      <c r="H149" s="22" t="s">
        <v>860</v>
      </c>
      <c r="I149" s="13">
        <v>42723.985717592594</v>
      </c>
      <c r="J149" s="7">
        <v>0</v>
      </c>
      <c r="K149" s="109" t="str">
        <f t="shared" si="49"/>
        <v>4013/4014</v>
      </c>
      <c r="L149" s="22" t="str">
        <f>VLOOKUP(A149,'Trips&amp;Operators'!$C$1:$G$99999,5,FALSE)</f>
        <v>SAFIEF AEIMEN</v>
      </c>
      <c r="M149" s="6">
        <f t="shared" si="50"/>
        <v>2.9502314813726116E-2</v>
      </c>
      <c r="N149" s="7">
        <f t="shared" si="51"/>
        <v>42.483333331765607</v>
      </c>
      <c r="O149" s="7"/>
      <c r="P149" s="7"/>
      <c r="Q149" s="23"/>
      <c r="R149" s="23"/>
      <c r="S149" s="35">
        <f t="shared" si="52"/>
        <v>1</v>
      </c>
      <c r="T149" s="50" t="str">
        <f t="shared" si="53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21:54:08-700',mode:absolute,to:'2016-12-20 00:39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9" s="52" t="str">
        <f t="shared" si="55"/>
        <v>N</v>
      </c>
      <c r="X149" s="177">
        <f t="shared" si="56"/>
        <v>1</v>
      </c>
      <c r="Y149" s="67">
        <f t="shared" si="57"/>
        <v>23.299099999999999</v>
      </c>
      <c r="Z149" s="67">
        <f t="shared" si="58"/>
        <v>9.2799999999999994E-2</v>
      </c>
      <c r="AA149" s="67">
        <f t="shared" si="59"/>
        <v>23.206299999999999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60"/>
        <v>0234-19</v>
      </c>
      <c r="AE149" s="91" t="str">
        <f t="shared" si="61"/>
        <v>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 &amp; aws s3 cp s3://rtdc.mdm.uploadarchive.raw/RTDC4013/ "%USERPROFILE%\AppData\Local\Temp\OnboardLogs"\RTDC4013\2016-12-20 --exclude "*" --recursive --include "*20161220*" &amp; "%USERPROFILE%\Documents\GitHub\mrs-test-scripts\Headless Mode &amp; Sideloading\WalkAndUnGZ.bat" "%USERPROFILE%\AppData\Local\Temp\OnboardLogs"\RTDC4013\2016-12-20</v>
      </c>
      <c r="AF149" s="88" t="str">
        <f t="shared" si="62"/>
        <v>"C:\Program Files (x86)\AstroGrep\AstroGrep.exe" /spath="%USERPROFILE%\AppData\Local\Temp\OnboardLogs" /stypes="app*4013*20161220*" /stext=" 06:.+((SYSTEM_STATE.+slice.+state.+changed )|(ment ac)|(multiple cpu faults)|(system.+state.+changed )|(\[timeout)|(PRM\|1\|D)|(kpr)|(kdp)|(\|lc)|(penalty))" /e /r /s</v>
      </c>
      <c r="AG149" s="1" t="str">
        <f t="shared" si="63"/>
        <v>EC</v>
      </c>
      <c r="AH149" s="92" t="str">
        <f t="shared" si="64"/>
        <v>"%USERPROFILE%\Documents\GitHub\eaglep3\Utilities\RefineRTDCRunTimes.py" --tripid 234-19 --locoid 4013 --swversion DE.1.0.8.0 --startMP 204:232991 --initTime 2016-12-19T22:54:08 --startdatetime 2016-12-19T22:56:57 --delay 1 --endMP 204:928 --enddatetime 2016-12-19T23:39:26 --enforcementcount 0 &gt;&gt;C:\Users\stu\Documents\GitHub\eaglep3-reporting\EC\2016-12-19-refined-times.txt</v>
      </c>
      <c r="AI149" s="119" t="str">
        <f t="shared" si="65"/>
        <v>echo {"issue":{"subject":"","project_id":79,"tracker_id":40,"status_id":1,"priority_id":2,"assigned_to_id":23,"start_date":"2016-12-19","description":"","custom_fields":[{"id":1,"name":"Subdivision","value":"EC"},{"id":4,"name":"Milepost","value":"0.0928"},{"id":17,"name":"Train ID","value":"234-19"},{"id":16,"name":"Locomotive ID","value":"4013"},{"id":130,"name":"Impact","value":""},{"id":150,"name":"Time of Event (Mountain Time)","value":"23:39:26"},{"id":151,"name":"Denver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753</v>
      </c>
      <c r="B150" s="7">
        <v>4040</v>
      </c>
      <c r="C150" s="22" t="s">
        <v>205</v>
      </c>
      <c r="D150" s="22" t="s">
        <v>438</v>
      </c>
      <c r="E150" s="13">
        <v>42723.948067129626</v>
      </c>
      <c r="F150" s="13">
        <v>42723.950474537036</v>
      </c>
      <c r="G150" s="7">
        <v>2</v>
      </c>
      <c r="H150" s="22" t="s">
        <v>437</v>
      </c>
      <c r="I150" s="13">
        <v>42723.975185185183</v>
      </c>
      <c r="J150" s="7">
        <v>0</v>
      </c>
      <c r="K150" s="109" t="str">
        <f t="shared" si="49"/>
        <v>4039/4040</v>
      </c>
      <c r="L150" s="22" t="str">
        <f>VLOOKUP(A150,'Trips&amp;Operators'!$C$1:$G$99999,5,FALSE)</f>
        <v>MACDONALD THOMAS</v>
      </c>
      <c r="M150" s="6">
        <f t="shared" si="50"/>
        <v>2.47106481474475E-2</v>
      </c>
      <c r="N150" s="7">
        <f t="shared" si="51"/>
        <v>35.583333332324401</v>
      </c>
      <c r="O150" s="7"/>
      <c r="P150" s="7"/>
      <c r="Q150" s="23"/>
      <c r="R150" s="23"/>
      <c r="S150" s="35">
        <f t="shared" si="52"/>
        <v>1</v>
      </c>
      <c r="T150" s="50" t="str">
        <f t="shared" si="53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21:45:13-700',mode:absolute,to:'2016-12-20 00:24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0" s="52" t="str">
        <f t="shared" si="55"/>
        <v>N</v>
      </c>
      <c r="X150" s="177">
        <f t="shared" si="56"/>
        <v>1</v>
      </c>
      <c r="Y150" s="67">
        <f t="shared" si="57"/>
        <v>4.4900000000000002E-2</v>
      </c>
      <c r="Z150" s="67">
        <f t="shared" si="58"/>
        <v>23.331</v>
      </c>
      <c r="AA150" s="67">
        <f t="shared" si="59"/>
        <v>23.286100000000001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60"/>
        <v>0235-19</v>
      </c>
      <c r="AE150" s="91" t="str">
        <f t="shared" si="61"/>
        <v>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 &amp; 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</v>
      </c>
      <c r="AF150" s="88" t="str">
        <f t="shared" si="62"/>
        <v>"C:\Program Files (x86)\AstroGrep\AstroGrep.exe" /spath="%USERPROFILE%\AppData\Local\Temp\OnboardLogs" /stypes="app*4040*20161220*" /stext=" 06:.+((SYSTEM_STATE.+slice.+state.+changed )|(ment ac)|(multiple cpu faults)|(system.+state.+changed )|(\[timeout)|(PRM\|1\|D)|(kpr)|(kdp)|(\|lc)|(penalty))" /e /r /s</v>
      </c>
      <c r="AG150" s="1" t="str">
        <f t="shared" si="63"/>
        <v>EC</v>
      </c>
      <c r="AH150" s="92" t="str">
        <f t="shared" si="64"/>
        <v>"%USERPROFILE%\Documents\GitHub\eaglep3\Utilities\RefineRTDCRunTimes.py" --tripid 235-19 --locoid 4040 --swversion DE.1.0.8.0 --startMP 204:449 --initTime 2016-12-19T22:45:13 --startdatetime 2016-12-19T22:48:41 --delay 2 --endMP 204:233310 --enddatetime 2016-12-19T23:24:16 --enforcementcount 0 &gt;&gt;C:\Users\stu\Documents\GitHub\eaglep3-reporting\EC\2016-12-19-refined-times.txt</v>
      </c>
      <c r="AI150" s="119" t="str">
        <f t="shared" si="65"/>
        <v>echo {"issue":{"subject":"","project_id":79,"tracker_id":40,"status_id":1,"priority_id":2,"assigned_to_id":23,"start_date":"2016-12-19","description":"","custom_fields":[{"id":1,"name":"Subdivision","value":"EC"},{"id":4,"name":"Milepost","value":"23.331"},{"id":17,"name":"Train ID","value":"235-19"},{"id":16,"name":"Locomotive ID","value":"4040"},{"id":130,"name":"Impact","value":""},{"id":150,"name":"Time of Event (Mountain Time)","value":"23:24:16"},{"id":151,"name":"Denver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754</v>
      </c>
      <c r="B151" s="7">
        <v>4010</v>
      </c>
      <c r="C151" s="22" t="s">
        <v>205</v>
      </c>
      <c r="D151" s="22" t="s">
        <v>861</v>
      </c>
      <c r="E151" s="13">
        <v>42723.962731481479</v>
      </c>
      <c r="F151" s="13">
        <v>42723.976631944446</v>
      </c>
      <c r="G151" s="7">
        <v>1</v>
      </c>
      <c r="H151" s="22" t="s">
        <v>795</v>
      </c>
      <c r="I151" s="13">
        <v>42724.005474537036</v>
      </c>
      <c r="J151" s="7">
        <v>0</v>
      </c>
      <c r="K151" s="109" t="str">
        <f t="shared" si="49"/>
        <v>4009/4010</v>
      </c>
      <c r="L151" s="22" t="str">
        <f>VLOOKUP(A151,'Trips&amp;Operators'!$C$1:$G$99999,5,FALSE)</f>
        <v>SMITH MICHAEL</v>
      </c>
      <c r="M151" s="6">
        <f t="shared" si="50"/>
        <v>2.884259259008104E-2</v>
      </c>
      <c r="N151" s="7">
        <f t="shared" si="51"/>
        <v>41.533333329716697</v>
      </c>
      <c r="O151" s="7"/>
      <c r="P151" s="7"/>
      <c r="Q151" s="23"/>
      <c r="R151" s="23"/>
      <c r="S151" s="35">
        <f t="shared" si="52"/>
        <v>1</v>
      </c>
      <c r="T151" s="50" t="str">
        <f t="shared" si="53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22:06:20-700',mode:absolute,to:'2016-12-20 01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1" s="52" t="str">
        <f t="shared" si="55"/>
        <v>N</v>
      </c>
      <c r="X151" s="177">
        <f t="shared" si="56"/>
        <v>1</v>
      </c>
      <c r="Y151" s="67">
        <f t="shared" si="57"/>
        <v>23.296299999999999</v>
      </c>
      <c r="Z151" s="67">
        <f t="shared" si="58"/>
        <v>1.52E-2</v>
      </c>
      <c r="AA151" s="67">
        <f t="shared" si="59"/>
        <v>23.281099999999999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60"/>
        <v>0236-19</v>
      </c>
      <c r="AE151" s="91" t="str">
        <f t="shared" si="61"/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AF151" s="88" t="str">
        <f t="shared" si="62"/>
        <v>"C:\Program Files (x86)\AstroGrep\AstroGrep.exe" /spath="%USERPROFILE%\AppData\Local\Temp\OnboardLogs" /stypes="app*4010*20161220*" /stext=" 07:.+((SYSTEM_STATE.+slice.+state.+changed )|(ment ac)|(multiple cpu faults)|(system.+state.+changed )|(\[timeout)|(PRM\|1\|D)|(kpr)|(kdp)|(\|lc)|(penalty))" /e /r /s</v>
      </c>
      <c r="AG151" s="1" t="str">
        <f t="shared" si="63"/>
        <v>EC</v>
      </c>
      <c r="AH151" s="92" t="str">
        <f t="shared" si="64"/>
        <v>"%USERPROFILE%\Documents\GitHub\eaglep3\Utilities\RefineRTDCRunTimes.py" --tripid 236-19 --locoid 4010 --swversion DE.1.0.8.0 --startMP 204:232963 --initTime 2016-12-19T23:06:20 --startdatetime 2016-12-19T23:26:21 --delay 1 --endMP 204:152 --enddatetime 2016-12-20T00:07:53 --enforcementcount 0 &gt;&gt;C:\Users\stu\Documents\GitHub\eaglep3-reporting\EC\2016-12-19-refined-times.txt</v>
      </c>
      <c r="AI151" s="119" t="str">
        <f t="shared" si="65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ID","value":"236-19"},{"id":16,"name":"Locomotive ID","value":"4010"},{"id":130,"name":"Impact","value":""},{"id":150,"name":"Time of Event (Mountain Time)","value":"00:07:53"},{"id":151,"name":"Denver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566</v>
      </c>
      <c r="B152" s="7">
        <v>4039</v>
      </c>
      <c r="C152" s="22" t="s">
        <v>205</v>
      </c>
      <c r="D152" s="22" t="s">
        <v>826</v>
      </c>
      <c r="E152" s="13">
        <v>42723.993935185186</v>
      </c>
      <c r="F152" s="13">
        <v>42723.997488425928</v>
      </c>
      <c r="G152" s="7">
        <v>1</v>
      </c>
      <c r="H152" s="22" t="s">
        <v>815</v>
      </c>
      <c r="I152" s="13">
        <v>42724.023993055554</v>
      </c>
      <c r="J152" s="7">
        <v>0</v>
      </c>
      <c r="K152" s="109" t="str">
        <f t="shared" si="49"/>
        <v>4039/4040</v>
      </c>
      <c r="L152" s="22" t="str">
        <f>VLOOKUP(A152,'Trips&amp;Operators'!$C$1:$G$99999,5,FALSE)</f>
        <v>MACDONALD THOMAS</v>
      </c>
      <c r="M152" s="6">
        <f t="shared" si="50"/>
        <v>2.6504629626288079E-2</v>
      </c>
      <c r="N152" s="7">
        <f t="shared" si="51"/>
        <v>38.166666661854833</v>
      </c>
      <c r="O152" s="7"/>
      <c r="P152" s="7"/>
      <c r="Q152" s="23"/>
      <c r="R152" s="23"/>
      <c r="S152" s="35">
        <f t="shared" si="52"/>
        <v>1</v>
      </c>
      <c r="T152" s="50" t="str">
        <f t="shared" si="53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22:51:16-700',mode:absolute,to:'2016-12-20 01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2" s="52" t="str">
        <f t="shared" si="55"/>
        <v>N</v>
      </c>
      <c r="X152" s="177">
        <f t="shared" si="56"/>
        <v>2</v>
      </c>
      <c r="Y152" s="67">
        <f t="shared" si="57"/>
        <v>23.298300000000001</v>
      </c>
      <c r="Z152" s="67">
        <f t="shared" si="58"/>
        <v>1.6899999999999998E-2</v>
      </c>
      <c r="AA152" s="67">
        <f t="shared" si="59"/>
        <v>23.281400000000001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60"/>
        <v>0238-19</v>
      </c>
      <c r="AE152" s="91" t="str">
        <f t="shared" si="61"/>
        <v>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 &amp; 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</v>
      </c>
      <c r="AF152" s="88" t="str">
        <f t="shared" si="62"/>
        <v>"C:\Program Files (x86)\AstroGrep\AstroGrep.exe" /spath="%USERPROFILE%\AppData\Local\Temp\OnboardLogs" /stypes="app*4039*20161220*" /stext=" 07:.+((SYSTEM_STATE.+slice.+state.+changed )|(ment ac)|(multiple cpu faults)|(system.+state.+changed )|(\[timeout)|(PRM\|1\|D)|(kpr)|(kdp)|(\|lc)|(penalty))" /e /r /s</v>
      </c>
      <c r="AG152" s="1" t="str">
        <f t="shared" si="63"/>
        <v>EC</v>
      </c>
      <c r="AH152" s="92" t="str">
        <f t="shared" si="64"/>
        <v>"%USERPROFILE%\Documents\GitHub\eaglep3\Utilities\RefineRTDCRunTimes.py" --tripid 238-19 --locoid 4039 --swversion DE.1.0.8.0 --startMP 204:232983 --initTime 2016-12-19T23:51:16 --startdatetime 2016-12-19T23:56:23 --delay 1 --endMP 204:169 --enddatetime 2016-12-20T00:34:33 --enforcementcount 0 &gt;&gt;C:\Users\stu\Documents\GitHub\eaglep3-reporting\EC\2016-12-19-refined-times.txt</v>
      </c>
      <c r="AI152" s="119" t="str">
        <f t="shared" si="65"/>
        <v>echo {"issue":{"subject":"","project_id":79,"tracker_id":40,"status_id":1,"priority_id":2,"assigned_to_id":23,"start_date":"2016-12-20","description":"","custom_fields":[{"id":1,"name":"Subdivision","value":"EC"},{"id":4,"name":"Milepost","value":"0.0169"},{"id":17,"name":"Train ID","value":"238-19"},{"id":16,"name":"Locomotive ID","value":"4039"},{"id":130,"name":"Impact","value":""},{"id":150,"name":"Time of Event (Mountain Time)","value":"00:34:33"},{"id":151,"name":"Denver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755</v>
      </c>
      <c r="B153" s="7">
        <v>4022</v>
      </c>
      <c r="C153" s="22" t="s">
        <v>205</v>
      </c>
      <c r="D153" s="22" t="s">
        <v>284</v>
      </c>
      <c r="E153" s="13">
        <v>42723.977280092593</v>
      </c>
      <c r="F153" s="13">
        <v>42723.979467592595</v>
      </c>
      <c r="G153" s="7">
        <v>1</v>
      </c>
      <c r="H153" s="22" t="s">
        <v>275</v>
      </c>
      <c r="I153" s="13">
        <v>42724.003750000003</v>
      </c>
      <c r="J153" s="7">
        <v>0</v>
      </c>
      <c r="K153" s="109" t="str">
        <f t="shared" si="49"/>
        <v>4021/4022</v>
      </c>
      <c r="L153" s="22" t="str">
        <f>VLOOKUP(A153,'Trips&amp;Operators'!$C$1:$G$99999,5,FALSE)</f>
        <v>YANG JAN</v>
      </c>
      <c r="M153" s="6">
        <f t="shared" si="50"/>
        <v>2.4282407408463769E-2</v>
      </c>
      <c r="N153" s="7">
        <f t="shared" si="51"/>
        <v>34.966666668187827</v>
      </c>
      <c r="O153" s="7"/>
      <c r="P153" s="7"/>
      <c r="Q153" s="23"/>
      <c r="R153" s="23"/>
      <c r="S153" s="35">
        <f t="shared" si="52"/>
        <v>1</v>
      </c>
      <c r="T153" s="50" t="str">
        <f t="shared" si="53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22:27:17-700',mode:absolute,to:'2016-12-20 01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3" s="52" t="str">
        <f t="shared" si="55"/>
        <v>N</v>
      </c>
      <c r="X153" s="177">
        <f t="shared" si="56"/>
        <v>1</v>
      </c>
      <c r="Y153" s="67">
        <f t="shared" si="57"/>
        <v>4.4400000000000002E-2</v>
      </c>
      <c r="Z153" s="67">
        <f t="shared" si="58"/>
        <v>23.3323</v>
      </c>
      <c r="AA153" s="67">
        <f t="shared" si="59"/>
        <v>23.2879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60"/>
        <v>0239-19</v>
      </c>
      <c r="AE153" s="91" t="str">
        <f t="shared" si="61"/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AF153" s="88" t="str">
        <f t="shared" si="62"/>
        <v>"C:\Program Files (x86)\AstroGrep\AstroGrep.exe" /spath="%USERPROFILE%\AppData\Local\Temp\OnboardLogs" /stypes="app*4022*20161220*" /stext=" 07:.+((SYSTEM_STATE.+slice.+state.+changed )|(ment ac)|(multiple cpu faults)|(system.+state.+changed )|(\[timeout)|(PRM\|1\|D)|(kpr)|(kdp)|(\|lc)|(penalty))" /e /r /s</v>
      </c>
      <c r="AG153" s="1" t="str">
        <f t="shared" si="63"/>
        <v>EC</v>
      </c>
      <c r="AH153" s="92" t="str">
        <f t="shared" si="64"/>
        <v>"%USERPROFILE%\Documents\GitHub\eaglep3\Utilities\RefineRTDCRunTimes.py" --tripid 239-19 --locoid 4022 --swversion DE.1.0.8.0 --startMP 204:444 --initTime 2016-12-19T23:27:17 --startdatetime 2016-12-19T23:30:26 --delay 1 --endMP 204:233323 --enddatetime 2016-12-20T00:05:24 --enforcementcount 0 &gt;&gt;C:\Users\stu\Documents\GitHub\eaglep3-reporting\EC\2016-12-19-refined-times.txt</v>
      </c>
      <c r="AI153" s="119" t="str">
        <f t="shared" si="65"/>
        <v>echo {"issue":{"subject":"","project_id":79,"tracker_id":40,"status_id":1,"priority_id":2,"assigned_to_id":23,"start_date":"2016-12-20","description":"","custom_fields":[{"id":1,"name":"Subdivision","value":"EC"},{"id":4,"name":"Milepost","value":"23.3323"},{"id":17,"name":"Train ID","value":"239-19"},{"id":16,"name":"Locomotive ID","value":"4022"},{"id":130,"name":"Impact","value":""},{"id":150,"name":"Time of Event (Mountain Time)","value":"00:05:24"},{"id":151,"name":"Denver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758</v>
      </c>
      <c r="B154" s="7">
        <v>4021</v>
      </c>
      <c r="C154" s="22" t="s">
        <v>205</v>
      </c>
      <c r="D154" s="22" t="s">
        <v>862</v>
      </c>
      <c r="E154" s="13">
        <v>42724.01116898148</v>
      </c>
      <c r="F154" s="13">
        <v>42724.01871527778</v>
      </c>
      <c r="G154" s="7">
        <v>6</v>
      </c>
      <c r="H154" s="22" t="s">
        <v>795</v>
      </c>
      <c r="I154" s="13">
        <v>42724.047129629631</v>
      </c>
      <c r="J154" s="7">
        <v>0</v>
      </c>
      <c r="K154" s="109" t="str">
        <f t="shared" si="49"/>
        <v>4021/4022</v>
      </c>
      <c r="L154" s="22" t="str">
        <f>VLOOKUP(A154,'Trips&amp;Operators'!$C$1:$G$99999,5,FALSE)</f>
        <v>YANG JAN</v>
      </c>
      <c r="M154" s="6">
        <f t="shared" si="50"/>
        <v>2.8414351851097308E-2</v>
      </c>
      <c r="N154" s="7">
        <f t="shared" si="51"/>
        <v>40.916666665580124</v>
      </c>
      <c r="O154" s="7"/>
      <c r="P154" s="7"/>
      <c r="Q154" s="23"/>
      <c r="R154" s="23"/>
      <c r="S154" s="35">
        <f t="shared" si="52"/>
        <v>1</v>
      </c>
      <c r="T154" s="50" t="str">
        <f t="shared" si="53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23:16:05-700',mode:absolute,to:'2016-12-20 02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4" s="52" t="str">
        <f t="shared" si="55"/>
        <v>N</v>
      </c>
      <c r="X154" s="177">
        <f t="shared" si="56"/>
        <v>1</v>
      </c>
      <c r="Y154" s="67">
        <f t="shared" si="57"/>
        <v>23.301500000000001</v>
      </c>
      <c r="Z154" s="67">
        <f t="shared" si="58"/>
        <v>1.52E-2</v>
      </c>
      <c r="AA154" s="67">
        <f t="shared" si="59"/>
        <v>23.286300000000001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60"/>
        <v>0240-19</v>
      </c>
      <c r="AE154" s="91" t="str">
        <f t="shared" si="61"/>
        <v>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 &amp; aws s3 cp s3://rtdc.mdm.uploadarchive.raw/RTDC4021/ "%USERPROFILE%\AppData\Local\Temp\OnboardLogs"\RTDC4021\2016-12-21 --exclude "*" --recursive --include "*20161221*" &amp; "%USERPROFILE%\Documents\GitHub\mrs-test-scripts\Headless Mode &amp; Sideloading\WalkAndUnGZ.bat" "%USERPROFILE%\AppData\Local\Temp\OnboardLogs"\RTDC4021\2016-12-21</v>
      </c>
      <c r="AF154" s="88" t="str">
        <f t="shared" si="62"/>
        <v>"C:\Program Files (x86)\AstroGrep\AstroGrep.exe" /spath="%USERPROFILE%\AppData\Local\Temp\OnboardLogs" /stypes="app*4021*20161220*" /stext=" 08:.+((SYSTEM_STATE.+slice.+state.+changed )|(ment ac)|(multiple cpu faults)|(system.+state.+changed )|(\[timeout)|(PRM\|1\|D)|(kpr)|(kdp)|(\|lc)|(penalty))" /e /r /s</v>
      </c>
      <c r="AG154" s="1" t="str">
        <f t="shared" si="63"/>
        <v>EC</v>
      </c>
      <c r="AH154" s="92" t="str">
        <f t="shared" si="64"/>
        <v>"%USERPROFILE%\Documents\GitHub\eaglep3\Utilities\RefineRTDCRunTimes.py" --tripid 240-19 --locoid 4021 --swversion DE.1.0.8.0 --startMP 204:233015 --initTime 2016-12-20T00:16:05 --startdatetime 2016-12-20T00:26:57 --delay 6 --endMP 204:152 --enddatetime 2016-12-20T01:07:52 --enforcementcount 0 &gt;&gt;C:\Users\stu\Documents\GitHub\eaglep3-reporting\EC\2016-12-19-refined-times.txt</v>
      </c>
      <c r="AI154" s="119" t="str">
        <f t="shared" si="65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ID","value":"240-19"},{"id":16,"name":"Locomotive ID","value":"4021"},{"id":130,"name":"Impact","value":""},{"id":150,"name":"Time of Event (Mountain Time)","value":"01:07:52"},{"id":151,"name":"Denver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756</v>
      </c>
      <c r="B155" s="7">
        <v>4027</v>
      </c>
      <c r="C155" s="22" t="s">
        <v>205</v>
      </c>
      <c r="D155" s="22" t="s">
        <v>513</v>
      </c>
      <c r="E155" s="13">
        <v>42723.998298611114</v>
      </c>
      <c r="F155" s="13">
        <v>42724.000428240739</v>
      </c>
      <c r="G155" s="7">
        <v>1</v>
      </c>
      <c r="H155" s="22" t="s">
        <v>863</v>
      </c>
      <c r="I155" s="13">
        <v>42724.026296296295</v>
      </c>
      <c r="J155" s="7">
        <v>0</v>
      </c>
      <c r="K155" s="109" t="str">
        <f t="shared" si="49"/>
        <v>4027/4028</v>
      </c>
      <c r="L155" s="22" t="str">
        <f>VLOOKUP(A155,'Trips&amp;Operators'!$C$1:$G$99999,5,FALSE)</f>
        <v>CHANDLER KELVIN</v>
      </c>
      <c r="M155" s="6">
        <f t="shared" si="50"/>
        <v>2.5868055556202307E-2</v>
      </c>
      <c r="N155" s="7">
        <f t="shared" si="51"/>
        <v>37.250000000931323</v>
      </c>
      <c r="O155" s="7"/>
      <c r="P155" s="7"/>
      <c r="Q155" s="23"/>
      <c r="R155" s="23"/>
      <c r="S155" s="35">
        <f t="shared" si="52"/>
        <v>1</v>
      </c>
      <c r="T155" s="50" t="str">
        <f t="shared" si="53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22:57:33-700',mode:absolute,to:'2016-12-20 01:37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5" s="52" t="str">
        <f t="shared" si="55"/>
        <v>N</v>
      </c>
      <c r="X155" s="177">
        <f t="shared" si="56"/>
        <v>1</v>
      </c>
      <c r="Y155" s="67">
        <f t="shared" si="57"/>
        <v>4.9299999999999997E-2</v>
      </c>
      <c r="Z155" s="67">
        <f t="shared" si="58"/>
        <v>23.327999999999999</v>
      </c>
      <c r="AA155" s="67">
        <f t="shared" si="59"/>
        <v>23.278700000000001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60"/>
        <v>0241-19</v>
      </c>
      <c r="AE155" s="91" t="str">
        <f t="shared" si="61"/>
        <v>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 &amp; 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</v>
      </c>
      <c r="AF155" s="88" t="str">
        <f t="shared" si="62"/>
        <v>"C:\Program Files (x86)\AstroGrep\AstroGrep.exe" /spath="%USERPROFILE%\AppData\Local\Temp\OnboardLogs" /stypes="app*4027*20161220*" /stext=" 07:.+((SYSTEM_STATE.+slice.+state.+changed )|(ment ac)|(multiple cpu faults)|(system.+state.+changed )|(\[timeout)|(PRM\|1\|D)|(kpr)|(kdp)|(\|lc)|(penalty))" /e /r /s</v>
      </c>
      <c r="AG155" s="1" t="str">
        <f t="shared" si="63"/>
        <v>EC</v>
      </c>
      <c r="AH155" s="92" t="str">
        <f t="shared" si="64"/>
        <v>"%USERPROFILE%\Documents\GitHub\eaglep3\Utilities\RefineRTDCRunTimes.py" --tripid 241-19 --locoid 4027 --swversion DE.1.0.8.0 --startMP 204:493 --initTime 2016-12-19T23:57:33 --startdatetime 2016-12-20T00:00:37 --delay 1 --endMP 204:233280 --enddatetime 2016-12-20T00:37:52 --enforcementcount 0 &gt;&gt;C:\Users\stu\Documents\GitHub\eaglep3-reporting\EC\2016-12-19-refined-times.txt</v>
      </c>
      <c r="AI155" s="119" t="str">
        <f t="shared" si="65"/>
        <v>echo {"issue":{"subject":"","project_id":79,"tracker_id":40,"status_id":1,"priority_id":2,"assigned_to_id":23,"start_date":"2016-12-20","description":"","custom_fields":[{"id":1,"name":"Subdivision","value":"EC"},{"id":4,"name":"Milepost","value":"23.328"},{"id":17,"name":"Train ID","value":"241-19"},{"id":16,"name":"Locomotive ID","value":"4027"},{"id":130,"name":"Impact","value":""},{"id":150,"name":"Time of Event (Mountain Time)","value":"00:37:52"},{"id":151,"name":"Denver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759</v>
      </c>
      <c r="B156" s="7">
        <v>4028</v>
      </c>
      <c r="C156" s="22" t="s">
        <v>205</v>
      </c>
      <c r="D156" s="22" t="s">
        <v>864</v>
      </c>
      <c r="E156" s="13">
        <v>42724.041608796295</v>
      </c>
      <c r="F156" s="13">
        <v>42724.042731481481</v>
      </c>
      <c r="G156" s="7">
        <v>1</v>
      </c>
      <c r="H156" s="22" t="s">
        <v>815</v>
      </c>
      <c r="I156" s="13">
        <v>42724.070451388892</v>
      </c>
      <c r="J156" s="7">
        <v>0</v>
      </c>
      <c r="K156" s="109" t="str">
        <f t="shared" si="49"/>
        <v>4027/4028</v>
      </c>
      <c r="L156" s="22" t="str">
        <f>VLOOKUP(A156,'Trips&amp;Operators'!$C$1:$G$99999,5,FALSE)</f>
        <v>CHANDLER KELVIN</v>
      </c>
      <c r="M156" s="6">
        <f t="shared" si="50"/>
        <v>2.771990741166519E-2</v>
      </c>
      <c r="N156" s="7">
        <f t="shared" si="51"/>
        <v>39.916666672797874</v>
      </c>
      <c r="O156" s="7"/>
      <c r="P156" s="7"/>
      <c r="Q156" s="23"/>
      <c r="R156" s="23"/>
      <c r="S156" s="35">
        <f t="shared" si="52"/>
        <v>1</v>
      </c>
      <c r="T156" s="50" t="str">
        <f t="shared" si="53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23:59:55-700',mode:absolute,to:'2016-12-20 02:41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6" s="52" t="str">
        <f t="shared" si="55"/>
        <v>N</v>
      </c>
      <c r="X156" s="177">
        <f t="shared" si="56"/>
        <v>1</v>
      </c>
      <c r="Y156" s="67">
        <f t="shared" si="57"/>
        <v>23.296399999999998</v>
      </c>
      <c r="Z156" s="67">
        <f t="shared" si="58"/>
        <v>1.6899999999999998E-2</v>
      </c>
      <c r="AA156" s="67">
        <f t="shared" si="59"/>
        <v>23.279499999999999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60"/>
        <v>0242-19</v>
      </c>
      <c r="AE156" s="91" t="str">
        <f t="shared" si="61"/>
        <v>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 &amp; 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</v>
      </c>
      <c r="AF156" s="88" t="str">
        <f t="shared" si="62"/>
        <v>"C:\Program Files (x86)\AstroGrep\AstroGrep.exe" /spath="%USERPROFILE%\AppData\Local\Temp\OnboardLogs" /stypes="app*4028*20161220*" /stext=" 08:.+((SYSTEM_STATE.+slice.+state.+changed )|(ment ac)|(multiple cpu faults)|(system.+state.+changed )|(\[timeout)|(PRM\|1\|D)|(kpr)|(kdp)|(\|lc)|(penalty))" /e /r /s</v>
      </c>
      <c r="AG156" s="1" t="str">
        <f t="shared" si="63"/>
        <v>EC</v>
      </c>
      <c r="AH156" s="92" t="str">
        <f t="shared" si="64"/>
        <v>"%USERPROFILE%\Documents\GitHub\eaglep3\Utilities\RefineRTDCRunTimes.py" --tripid 242-19 --locoid 4028 --swversion DE.1.0.8.0 --startMP 204:232964 --initTime 2016-12-20T00:59:55 --startdatetime 2016-12-20T01:01:32 --delay 1 --endMP 204:169 --enddatetime 2016-12-20T01:41:27 --enforcementcount 0 &gt;&gt;C:\Users\stu\Documents\GitHub\eaglep3-reporting\EC\2016-12-19-refined-times.txt</v>
      </c>
      <c r="AI156" s="119" t="str">
        <f t="shared" si="65"/>
        <v>echo {"issue":{"subject":"","project_id":79,"tracker_id":40,"status_id":1,"priority_id":2,"assigned_to_id":23,"start_date":"2016-12-20","description":"","custom_fields":[{"id":1,"name":"Subdivision","value":"EC"},{"id":4,"name":"Milepost","value":"0.0169"},{"id":17,"name":"Train ID","value":"242-19"},{"id":16,"name":"Locomotive ID","value":"4028"},{"id":130,"name":"Impact","value":""},{"id":150,"name":"Time of Event (Mountain Time)","value":"01:41:27"},{"id":151,"name":"Denver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757</v>
      </c>
      <c r="B157" s="7">
        <v>4009</v>
      </c>
      <c r="C157" s="22" t="s">
        <v>205</v>
      </c>
      <c r="D157" s="22" t="s">
        <v>837</v>
      </c>
      <c r="E157" s="13">
        <v>42724.019618055558</v>
      </c>
      <c r="F157" s="13">
        <v>42724.021863425929</v>
      </c>
      <c r="G157" s="7">
        <v>1</v>
      </c>
      <c r="H157" s="22" t="s">
        <v>865</v>
      </c>
      <c r="I157" s="13">
        <v>42724.046898148146</v>
      </c>
      <c r="J157" s="7">
        <v>0</v>
      </c>
      <c r="K157" s="109" t="str">
        <f t="shared" si="49"/>
        <v>4009/4010</v>
      </c>
      <c r="L157" s="22" t="str">
        <f>VLOOKUP(A157,'Trips&amp;Operators'!$C$1:$G$99999,5,FALSE)</f>
        <v>SMITH MICHAEL</v>
      </c>
      <c r="M157" s="6">
        <f t="shared" si="50"/>
        <v>2.5034722217242233E-2</v>
      </c>
      <c r="N157" s="7">
        <f t="shared" si="51"/>
        <v>36.049999992828816</v>
      </c>
      <c r="O157" s="7"/>
      <c r="P157" s="7"/>
      <c r="Q157" s="23"/>
      <c r="R157" s="23"/>
      <c r="S157" s="35">
        <f t="shared" si="52"/>
        <v>1</v>
      </c>
      <c r="T157" s="50" t="str">
        <f t="shared" si="53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23:28:15-700',mode:absolute,to:'2016-12-20 02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7" s="52" t="str">
        <f t="shared" si="55"/>
        <v>N</v>
      </c>
      <c r="X157" s="177">
        <f t="shared" si="56"/>
        <v>1</v>
      </c>
      <c r="Y157" s="67">
        <f t="shared" si="57"/>
        <v>4.6600000000000003E-2</v>
      </c>
      <c r="Z157" s="67">
        <f t="shared" si="58"/>
        <v>23.332999999999998</v>
      </c>
      <c r="AA157" s="67">
        <f t="shared" si="59"/>
        <v>23.286399999999997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60"/>
        <v>0243-19</v>
      </c>
      <c r="AE157" s="91" t="str">
        <f t="shared" si="61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157" s="88" t="str">
        <f t="shared" si="62"/>
        <v>"C:\Program Files (x86)\AstroGrep\AstroGrep.exe" /spath="%USERPROFILE%\AppData\Local\Temp\OnboardLogs" /stypes="app*4009*20161220*" /stext=" 08:.+((SYSTEM_STATE.+slice.+state.+changed )|(ment ac)|(multiple cpu faults)|(system.+state.+changed )|(\[timeout)|(PRM\|1\|D)|(kpr)|(kdp)|(\|lc)|(penalty))" /e /r /s</v>
      </c>
      <c r="AG157" s="1" t="str">
        <f t="shared" si="63"/>
        <v>EC</v>
      </c>
      <c r="AH157" s="92" t="str">
        <f t="shared" si="64"/>
        <v>"%USERPROFILE%\Documents\GitHub\eaglep3\Utilities\RefineRTDCRunTimes.py" --tripid 243-19 --locoid 4009 --swversion DE.1.0.8.0 --startMP 204:466 --initTime 2016-12-20T00:28:15 --startdatetime 2016-12-20T00:31:29 --delay 1 --endMP 204:233330 --enddatetime 2016-12-20T01:07:32 --enforcementcount 0 &gt;&gt;C:\Users\stu\Documents\GitHub\eaglep3-reporting\EC\2016-12-19-refined-times.txt</v>
      </c>
      <c r="AI157" s="119" t="str">
        <f t="shared" si="65"/>
        <v>echo {"issue":{"subject":"","project_id":79,"tracker_id":40,"status_id":1,"priority_id":2,"assigned_to_id":23,"start_date":"2016-12-20","description":"","custom_fields":[{"id":1,"name":"Subdivision","value":"EC"},{"id":4,"name":"Milepost","value":"23.333"},{"id":17,"name":"Train ID","value":"243-19"},{"id":16,"name":"Locomotive ID","value":"4009"},{"id":130,"name":"Impact","value":""},{"id":150,"name":"Time of Event (Mountain Time)","value":"01:07:32"},{"id":151,"name":"Denver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7" t="s">
        <v>761</v>
      </c>
      <c r="B158" s="7">
        <v>4010</v>
      </c>
      <c r="C158" s="22" t="s">
        <v>205</v>
      </c>
      <c r="D158" s="22" t="s">
        <v>866</v>
      </c>
      <c r="E158" s="13">
        <v>42724.052361111113</v>
      </c>
      <c r="F158" s="13">
        <v>42724.060069444444</v>
      </c>
      <c r="G158" s="7">
        <v>1</v>
      </c>
      <c r="H158" s="22" t="s">
        <v>512</v>
      </c>
      <c r="I158" s="13">
        <v>42724.088402777779</v>
      </c>
      <c r="J158" s="7">
        <v>0</v>
      </c>
      <c r="K158" s="109" t="str">
        <f t="shared" si="49"/>
        <v>4009/4010</v>
      </c>
      <c r="L158" s="22" t="str">
        <f>VLOOKUP(A158,'Trips&amp;Operators'!$C$1:$G$99999,5,FALSE)</f>
        <v>SMITH MICHAEL</v>
      </c>
      <c r="M158" s="6">
        <f t="shared" si="50"/>
        <v>2.8333333335467614E-2</v>
      </c>
      <c r="N158" s="7">
        <f t="shared" si="51"/>
        <v>40.800000003073364</v>
      </c>
      <c r="O158" s="7"/>
      <c r="P158" s="7"/>
      <c r="Q158" s="23"/>
      <c r="R158" s="23"/>
      <c r="S158" s="35">
        <f t="shared" si="52"/>
        <v>1</v>
      </c>
      <c r="T158" s="50" t="str">
        <f t="shared" si="53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https://search-rtdc-monitor-bjffxe2xuh6vdkpspy63sjmuny.us-east-1.es.amazonaws.com/_plugin/kibana/#/discover/Steve-Slow-Train-Analysis-(2080s-and-2083s)?_g=(refreshInterval:(display:Off,section:0,value:0),time:(from:'2016-12-20 00:15:24-700',mode:absolute,to:'2016-12-20 03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8" s="52" t="str">
        <f t="shared" si="55"/>
        <v>N</v>
      </c>
      <c r="X158" s="177">
        <f t="shared" si="56"/>
        <v>1</v>
      </c>
      <c r="Y158" s="67">
        <f t="shared" si="57"/>
        <v>23.300899999999999</v>
      </c>
      <c r="Z158" s="67">
        <f t="shared" si="58"/>
        <v>1.7000000000000001E-2</v>
      </c>
      <c r="AA158" s="67">
        <f t="shared" si="59"/>
        <v>23.283899999999999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60"/>
        <v>0244-19</v>
      </c>
      <c r="AE158" s="91" t="str">
        <f t="shared" si="61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158" s="88" t="str">
        <f t="shared" si="62"/>
        <v>"C:\Program Files (x86)\AstroGrep\AstroGrep.exe" /spath="%USERPROFILE%\AppData\Local\Temp\OnboardLogs" /stypes="app*4010*20161220*" /stext=" 09:.+((SYSTEM_STATE.+slice.+state.+changed )|(ment ac)|(multiple cpu faults)|(system.+state.+changed )|(\[timeout)|(PRM\|1\|D)|(kpr)|(kdp)|(\|lc)|(penalty))" /e /r /s</v>
      </c>
      <c r="AG158" s="1" t="str">
        <f t="shared" si="63"/>
        <v>EC</v>
      </c>
      <c r="AH158" s="92" t="str">
        <f t="shared" si="64"/>
        <v>"%USERPROFILE%\Documents\GitHub\eaglep3\Utilities\RefineRTDCRunTimes.py" --tripid 244-19 --locoid 4010 --swversion DE.1.0.8.0 --startMP 204:233009 --initTime 2016-12-20T01:15:24 --startdatetime 2016-12-20T01:26:30 --delay 1 --endMP 204:170 --enddatetime 2016-12-20T02:07:18 --enforcementcount 0 &gt;&gt;C:\Users\stu\Documents\GitHub\eaglep3-reporting\EC\2016-12-19-refined-times.txt</v>
      </c>
      <c r="AI158" s="119" t="str">
        <f t="shared" si="65"/>
        <v>echo {"issue":{"subject":"","project_id":79,"tracker_id":40,"status_id":1,"priority_id":2,"assigned_to_id":23,"start_date":"2016-12-20","description":"","custom_fields":[{"id":1,"name":"Subdivision","value":"EC"},{"id":4,"name":"Milepost","value":"0.017"},{"id":17,"name":"Train ID","value":"244-19"},{"id":16,"name":"Locomotive ID","value":"4010"},{"id":130,"name":"Impact","value":""},{"id":150,"name":"Time of Event (Mountain Time)","value":"02:07:18"},{"id":151,"name":"Denver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s="21" customFormat="1" x14ac:dyDescent="0.25">
      <c r="A159" s="37" t="s">
        <v>584</v>
      </c>
      <c r="B159" s="7">
        <v>4015</v>
      </c>
      <c r="C159" s="22" t="s">
        <v>205</v>
      </c>
      <c r="D159" s="22" t="s">
        <v>887</v>
      </c>
      <c r="E159" s="13">
        <v>42723.214895833335</v>
      </c>
      <c r="F159" s="13">
        <v>42723.216296296298</v>
      </c>
      <c r="G159" s="7">
        <v>1</v>
      </c>
      <c r="H159" s="22" t="s">
        <v>888</v>
      </c>
      <c r="I159" s="13">
        <v>42723.226400462961</v>
      </c>
      <c r="J159" s="7">
        <v>0</v>
      </c>
      <c r="K159" s="109" t="str">
        <f t="shared" si="49"/>
        <v>4015/4016</v>
      </c>
      <c r="L159" s="22" t="str">
        <f>VLOOKUP(A159,'Trips&amp;Operators'!$C$1:$G$99999,5,FALSE)</f>
        <v>DAVIS WENDY</v>
      </c>
      <c r="M159" s="6">
        <f t="shared" si="50"/>
        <v>1.0104166663950309E-2</v>
      </c>
      <c r="N159" s="7">
        <f t="shared" si="51"/>
        <v>14.549999996088445</v>
      </c>
      <c r="O159" s="7"/>
      <c r="P159" s="7"/>
      <c r="Q159" s="23"/>
      <c r="R159" s="23"/>
      <c r="S159" s="35">
        <f t="shared" si="52"/>
        <v>1</v>
      </c>
      <c r="T159" s="50" t="str">
        <f t="shared" si="53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04:09:27-700',mode:absolute,to:'2016-12-19 06:26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 t="shared" si="55"/>
        <v>N</v>
      </c>
      <c r="X159" s="177">
        <f t="shared" si="56"/>
        <v>556</v>
      </c>
      <c r="Y159" s="67">
        <f t="shared" si="57"/>
        <v>5.8697999999999997</v>
      </c>
      <c r="Z159" s="67">
        <f t="shared" si="58"/>
        <v>6.4199999999999993E-2</v>
      </c>
      <c r="AA159" s="67">
        <f t="shared" si="59"/>
        <v>5.8056000000000001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60"/>
        <v>0800-19</v>
      </c>
      <c r="AE159" s="91" t="str">
        <f t="shared" si="61"/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AF159" s="88" t="str">
        <f t="shared" si="62"/>
        <v>"C:\Program Files (x86)\AstroGrep\AstroGrep.exe" /spath="%USERPROFILE%\AppData\Local\Temp\OnboardLogs" /stypes="app*4015*20161219*" /stext=" 12:.+((SYSTEM_STATE.+slice.+state.+changed )|(ment ac)|(multiple cpu faults)|(system.+state.+changed )|(\[timeout)|(PRM\|1\|D)|(kpr)|(kdp)|(\|lc)|(penalty))" /e /r /s</v>
      </c>
      <c r="AG159" s="1" t="str">
        <f t="shared" si="63"/>
        <v>NW</v>
      </c>
      <c r="AH159" s="92" t="str">
        <f t="shared" si="64"/>
        <v>"%USERPROFILE%\Documents\GitHub\eaglep3\Utilities\RefineRTDCRunTimes.py" --tripid 800-19 --locoid 4015 --swversion DE.1.0.8.0 --startMP 300:58698 --initTime 2016-12-19T05:09:27 --startdatetime 2016-12-19T05:11:28 --delay 1 --endMP 204:642 --enddatetime 2016-12-19T05:26:01 --enforcementcount 0 &gt;&gt;C:\Users\stu\Documents\GitHub\eaglep3-reporting\EC\2016-12-19-refined-times.txt</v>
      </c>
      <c r="AI159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{"issue":{"subject":"","project_id":79,"tracker_id":40,"status_id":1,"priority_id":2,"assigned_to_id":23,"start_date":"2016-12-19","description":"","custom_fields":[{"id":1,"name":"Subdivision","value":"NW"},{"id":4,"name":"Milepost","value":"0.0642"},{"id":17,"name":"Train ID","value":"800-19"},{"id":16,"name":"Locomotive ID","value":"4015"},{"id":130,"name":"Impact","value":""},{"id":150,"name":"Time of Event (Mountain Time)","value":"05:26:01"},{"id":151,"name":"Denver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589</v>
      </c>
      <c r="B160" s="7">
        <v>4016</v>
      </c>
      <c r="C160" s="22" t="s">
        <v>205</v>
      </c>
      <c r="D160" s="22" t="s">
        <v>889</v>
      </c>
      <c r="E160" s="13">
        <v>42723.241712962961</v>
      </c>
      <c r="F160" s="13">
        <v>42723.243923611109</v>
      </c>
      <c r="G160" s="7">
        <v>1</v>
      </c>
      <c r="H160" s="22" t="s">
        <v>890</v>
      </c>
      <c r="I160" s="13">
        <v>42723.253784722219</v>
      </c>
      <c r="J160" s="7">
        <v>0</v>
      </c>
      <c r="K160" s="109" t="str">
        <f t="shared" si="49"/>
        <v>4015/4016</v>
      </c>
      <c r="L160" s="22" t="str">
        <f>VLOOKUP(A160,'Trips&amp;Operators'!$C$1:$G$99999,5,FALSE)</f>
        <v>DAVIS WENDY</v>
      </c>
      <c r="M160" s="6">
        <f t="shared" si="50"/>
        <v>9.8611111097852699E-3</v>
      </c>
      <c r="N160" s="7">
        <f t="shared" si="51"/>
        <v>14.199999998090789</v>
      </c>
      <c r="O160" s="7"/>
      <c r="P160" s="7"/>
      <c r="Q160" s="23"/>
      <c r="R160" s="23"/>
      <c r="S160" s="35">
        <f t="shared" si="52"/>
        <v>1</v>
      </c>
      <c r="T160" s="50" t="str">
        <f t="shared" si="53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04:48:04-700',mode:absolute,to:'2016-12-19 07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0" s="52" t="str">
        <f t="shared" si="55"/>
        <v>N</v>
      </c>
      <c r="X160" s="177">
        <f t="shared" si="56"/>
        <v>1</v>
      </c>
      <c r="Y160" s="67">
        <f t="shared" si="57"/>
        <v>9.3700000000000006E-2</v>
      </c>
      <c r="Z160" s="67">
        <f t="shared" si="58"/>
        <v>5.9008000000000003</v>
      </c>
      <c r="AA160" s="67">
        <f t="shared" si="59"/>
        <v>5.8071000000000002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60"/>
        <v>0801-19</v>
      </c>
      <c r="AE160" s="91" t="str">
        <f t="shared" si="61"/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AF160" s="88" t="str">
        <f t="shared" si="62"/>
        <v>"C:\Program Files (x86)\AstroGrep\AstroGrep.exe" /spath="%USERPROFILE%\AppData\Local\Temp\OnboardLogs" /stypes="app*4016*20161219*" /stext=" 13:.+((SYSTEM_STATE.+slice.+state.+changed )|(ment ac)|(multiple cpu faults)|(system.+state.+changed )|(\[timeout)|(PRM\|1\|D)|(kpr)|(kdp)|(\|lc)|(penalty))" /e /r /s</v>
      </c>
      <c r="AG160" s="1" t="str">
        <f t="shared" si="63"/>
        <v>NW</v>
      </c>
      <c r="AH160" s="92" t="str">
        <f t="shared" si="64"/>
        <v>"%USERPROFILE%\Documents\GitHub\eaglep3\Utilities\RefineRTDCRunTimes.py" --tripid 801-19 --locoid 4016 --swversion DE.1.0.8.0 --startMP 204:937 --initTime 2016-12-19T05:48:04 --startdatetime 2016-12-19T05:51:15 --delay 1 --endMP 300:59008 --enddatetime 2016-12-19T06:05:27 --enforcementcount 0 &gt;&gt;C:\Users\stu\Documents\GitHub\eaglep3-reporting\EC\2016-12-19-refined-times.txt</v>
      </c>
      <c r="AI160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{"issue":{"subject":"","project_id":79,"tracker_id":40,"status_id":1,"priority_id":2,"assigned_to_id":23,"start_date":"2016-12-19","description":"","custom_fields":[{"id":1,"name":"Subdivision","value":"NW"},{"id":4,"name":"Milepost","value":"5.9008"},{"id":17,"name":"Train ID","value":"801-19"},{"id":16,"name":"Locomotive ID","value":"4016"},{"id":130,"name":"Impact","value":""},{"id":150,"name":"Time of Event (Mountain Time)","value":"06:05:27"},{"id":151,"name":"Denver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535</v>
      </c>
      <c r="B161" s="7">
        <v>4015</v>
      </c>
      <c r="C161" s="22" t="s">
        <v>205</v>
      </c>
      <c r="D161" s="22" t="s">
        <v>891</v>
      </c>
      <c r="E161" s="13">
        <v>42723.254710648151</v>
      </c>
      <c r="F161" s="13">
        <v>42723.256053240744</v>
      </c>
      <c r="G161" s="7">
        <v>1</v>
      </c>
      <c r="H161" s="22" t="s">
        <v>892</v>
      </c>
      <c r="I161" s="13">
        <v>42723.269826388889</v>
      </c>
      <c r="J161" s="7">
        <v>0</v>
      </c>
      <c r="K161" s="109" t="str">
        <f t="shared" si="49"/>
        <v>4015/4016</v>
      </c>
      <c r="L161" s="22" t="str">
        <f>VLOOKUP(A161,'Trips&amp;Operators'!$C$1:$G$99999,5,FALSE)</f>
        <v>DAVIS WENDY</v>
      </c>
      <c r="M161" s="6">
        <f t="shared" si="50"/>
        <v>1.3773148144537117E-2</v>
      </c>
      <c r="N161" s="7">
        <f t="shared" si="51"/>
        <v>19.833333328133449</v>
      </c>
      <c r="O161" s="7"/>
      <c r="P161" s="7"/>
      <c r="Q161" s="23"/>
      <c r="R161" s="23"/>
      <c r="S161" s="35">
        <f t="shared" si="52"/>
        <v>1</v>
      </c>
      <c r="T161" s="50" t="str">
        <f t="shared" si="53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05:06:47-700',mode:absolute,to:'2016-12-19 07:28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1" s="52" t="str">
        <f t="shared" si="55"/>
        <v>N</v>
      </c>
      <c r="X161" s="177">
        <f t="shared" si="56"/>
        <v>1</v>
      </c>
      <c r="Y161" s="67">
        <f t="shared" si="57"/>
        <v>5.87</v>
      </c>
      <c r="Z161" s="67">
        <f t="shared" si="58"/>
        <v>6.6600000000000006E-2</v>
      </c>
      <c r="AA161" s="67">
        <f t="shared" si="59"/>
        <v>5.8033999999999999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60"/>
        <v>0802-19</v>
      </c>
      <c r="AE161" s="91" t="str">
        <f t="shared" si="61"/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AF161" s="88" t="str">
        <f t="shared" si="62"/>
        <v>"C:\Program Files (x86)\AstroGrep\AstroGrep.exe" /spath="%USERPROFILE%\AppData\Local\Temp\OnboardLogs" /stypes="app*4015*20161219*" /stext=" 13:.+((SYSTEM_STATE.+slice.+state.+changed )|(ment ac)|(multiple cpu faults)|(system.+state.+changed )|(\[timeout)|(PRM\|1\|D)|(kpr)|(kdp)|(\|lc)|(penalty))" /e /r /s</v>
      </c>
      <c r="AG161" s="1" t="str">
        <f t="shared" si="63"/>
        <v>NW</v>
      </c>
      <c r="AH161" s="92" t="str">
        <f t="shared" si="64"/>
        <v>"%USERPROFILE%\Documents\GitHub\eaglep3\Utilities\RefineRTDCRunTimes.py" --tripid 802-19 --locoid 4015 --swversion DE.1.0.8.0 --startMP 300:58700 --initTime 2016-12-19T06:06:47 --startdatetime 2016-12-19T06:08:43 --delay 1 --endMP 204:666 --enddatetime 2016-12-19T06:28:33 --enforcementcount 0 &gt;&gt;C:\Users\stu\Documents\GitHub\eaglep3-reporting\EC\2016-12-19-refined-times.txt</v>
      </c>
      <c r="AI161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{"issue":{"subject":"","project_id":79,"tracker_id":40,"status_id":1,"priority_id":2,"assigned_to_id":23,"start_date":"2016-12-19","description":"","custom_fields":[{"id":1,"name":"Subdivision","value":"NW"},{"id":4,"name":"Milepost","value":"0.0666"},{"id":17,"name":"Train ID","value":"802-19"},{"id":16,"name":"Locomotive ID","value":"4015"},{"id":130,"name":"Impact","value":""},{"id":150,"name":"Time of Event (Mountain Time)","value":"06:28:33"},{"id":151,"name":"Denver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599</v>
      </c>
      <c r="B162" s="7">
        <v>4042</v>
      </c>
      <c r="C162" s="22" t="s">
        <v>205</v>
      </c>
      <c r="D162" s="22" t="s">
        <v>452</v>
      </c>
      <c r="E162" s="13">
        <v>42723.264548611114</v>
      </c>
      <c r="F162" s="13">
        <v>42723.266770833332</v>
      </c>
      <c r="G162" s="7">
        <v>1</v>
      </c>
      <c r="H162" s="22" t="s">
        <v>306</v>
      </c>
      <c r="I162" s="13">
        <v>42723.277280092596</v>
      </c>
      <c r="J162" s="7">
        <v>0</v>
      </c>
      <c r="K162" s="109" t="str">
        <f t="shared" si="49"/>
        <v>4041/4042</v>
      </c>
      <c r="L162" s="22" t="str">
        <f>VLOOKUP(A162,'Trips&amp;Operators'!$C$1:$G$99999,5,FALSE)</f>
        <v>SIMONEAUX TERA</v>
      </c>
      <c r="M162" s="6">
        <f t="shared" si="50"/>
        <v>1.0509259263926651E-2</v>
      </c>
      <c r="N162" s="7">
        <f t="shared" si="51"/>
        <v>15.133333340054378</v>
      </c>
      <c r="O162" s="7"/>
      <c r="P162" s="7"/>
      <c r="Q162" s="23"/>
      <c r="R162" s="23"/>
      <c r="S162" s="35">
        <f t="shared" si="52"/>
        <v>1</v>
      </c>
      <c r="T162" s="50" t="str">
        <f t="shared" si="53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05:20:57-700',mode:absolute,to:'2016-12-19 07:39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2" s="52" t="str">
        <f t="shared" si="55"/>
        <v>N</v>
      </c>
      <c r="X162" s="177">
        <f t="shared" si="56"/>
        <v>1</v>
      </c>
      <c r="Y162" s="67">
        <f t="shared" si="57"/>
        <v>0.1016</v>
      </c>
      <c r="Z162" s="67">
        <f t="shared" si="58"/>
        <v>5.8933</v>
      </c>
      <c r="AA162" s="67">
        <f t="shared" si="59"/>
        <v>5.7916999999999996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60"/>
        <v>0803-19</v>
      </c>
      <c r="AE162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62" s="88" t="str">
        <f t="shared" si="62"/>
        <v>"C:\Program Files (x86)\AstroGrep\AstroGrep.exe" /spath="%USERPROFILE%\AppData\Local\Temp\OnboardLogs" /stypes="app*4042*20161219*" /stext=" 13:.+((SYSTEM_STATE.+slice.+state.+changed )|(ment ac)|(multiple cpu faults)|(system.+state.+changed )|(\[timeout)|(PRM\|1\|D)|(kpr)|(kdp)|(\|lc)|(penalty))" /e /r /s</v>
      </c>
      <c r="AG162" s="1" t="str">
        <f t="shared" si="63"/>
        <v>NW</v>
      </c>
      <c r="AH162" s="92" t="str">
        <f t="shared" si="64"/>
        <v>"%USERPROFILE%\Documents\GitHub\eaglep3\Utilities\RefineRTDCRunTimes.py" --tripid 803-19 --locoid 4042 --swversion DE.1.0.8.0 --startMP 204:1016 --initTime 2016-12-19T06:20:57 --startdatetime 2016-12-19T06:24:09 --delay 1 --endMP 300:58933 --enddatetime 2016-12-19T06:39:17 --enforcementcount 0 &gt;&gt;C:\Users\stu\Documents\GitHub\eaglep3-reporting\EC\2016-12-19-refined-times.txt</v>
      </c>
      <c r="AI162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{"issue":{"subject":"","project_id":79,"tracker_id":40,"status_id":1,"priority_id":2,"assigned_to_id":23,"start_date":"2016-12-19","description":"","custom_fields":[{"id":1,"name":"Subdivision","value":"NW"},{"id":4,"name":"Milepost","value":"5.8933"},{"id":17,"name":"Train ID","value":"803-19"},{"id":16,"name":"Locomotive ID","value":"4042"},{"id":130,"name":"Impact","value":""},{"id":150,"name":"Time of Event (Mountain Time)","value":"06:39:17"},{"id":151,"name":"Denver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604</v>
      </c>
      <c r="B163" s="7">
        <v>4041</v>
      </c>
      <c r="C163" s="22" t="s">
        <v>205</v>
      </c>
      <c r="D163" s="22" t="s">
        <v>309</v>
      </c>
      <c r="E163" s="13">
        <v>42723.278680555559</v>
      </c>
      <c r="F163" s="13">
        <v>42723.280324074076</v>
      </c>
      <c r="G163" s="7">
        <v>1</v>
      </c>
      <c r="H163" s="22" t="s">
        <v>450</v>
      </c>
      <c r="I163" s="13">
        <v>42723.290185185186</v>
      </c>
      <c r="J163" s="7">
        <v>0</v>
      </c>
      <c r="K163" s="109" t="str">
        <f t="shared" si="49"/>
        <v>4041/4042</v>
      </c>
      <c r="L163" s="22" t="str">
        <f>VLOOKUP(A163,'Trips&amp;Operators'!$C$1:$G$99999,5,FALSE)</f>
        <v>SIMONEAUX TERA</v>
      </c>
      <c r="M163" s="6">
        <f t="shared" si="50"/>
        <v>9.8611111097852699E-3</v>
      </c>
      <c r="N163" s="7">
        <f t="shared" si="51"/>
        <v>14.199999998090789</v>
      </c>
      <c r="O163" s="7"/>
      <c r="P163" s="7"/>
      <c r="Q163" s="23"/>
      <c r="R163" s="23"/>
      <c r="S163" s="35">
        <f t="shared" si="52"/>
        <v>1</v>
      </c>
      <c r="T163" s="50" t="str">
        <f t="shared" si="53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05:41:18-700',mode:absolute,to:'2016-12-19 07:57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3" s="52" t="str">
        <f t="shared" si="55"/>
        <v>N</v>
      </c>
      <c r="X163" s="177">
        <f t="shared" si="56"/>
        <v>1</v>
      </c>
      <c r="Y163" s="67">
        <f t="shared" si="57"/>
        <v>5.8628</v>
      </c>
      <c r="Z163" s="67">
        <f t="shared" si="58"/>
        <v>7.1900000000000006E-2</v>
      </c>
      <c r="AA163" s="67">
        <f t="shared" si="59"/>
        <v>5.7908999999999997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60"/>
        <v>0804-19</v>
      </c>
      <c r="AE163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63" s="88" t="str">
        <f t="shared" si="62"/>
        <v>"C:\Program Files (x86)\AstroGrep\AstroGrep.exe" /spath="%USERPROFILE%\AppData\Local\Temp\OnboardLogs" /stypes="app*4041*20161219*" /stext=" 13:.+((SYSTEM_STATE.+slice.+state.+changed )|(ment ac)|(multiple cpu faults)|(system.+state.+changed )|(\[timeout)|(PRM\|1\|D)|(kpr)|(kdp)|(\|lc)|(penalty))" /e /r /s</v>
      </c>
      <c r="AG163" s="1" t="str">
        <f t="shared" si="63"/>
        <v>NW</v>
      </c>
      <c r="AH163" s="92" t="str">
        <f t="shared" si="64"/>
        <v>"%USERPROFILE%\Documents\GitHub\eaglep3\Utilities\RefineRTDCRunTimes.py" --tripid 804-19 --locoid 4041 --swversion DE.1.0.8.0 --startMP 300:58628 --initTime 2016-12-19T06:41:18 --startdatetime 2016-12-19T06:43:40 --delay 1 --endMP 204:719 --enddatetime 2016-12-19T06:57:52 --enforcementcount 0 &gt;&gt;C:\Users\stu\Documents\GitHub\eaglep3-reporting\EC\2016-12-19-refined-times.txt</v>
      </c>
      <c r="AI163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{"issue":{"subject":"","project_id":79,"tracker_id":40,"status_id":1,"priority_id":2,"assigned_to_id":23,"start_date":"2016-12-19","description":"","custom_fields":[{"id":1,"name":"Subdivision","value":"NW"},{"id":4,"name":"Milepost","value":"0.0719"},{"id":17,"name":"Train ID","value":"804-19"},{"id":16,"name":"Locomotive ID","value":"4041"},{"id":130,"name":"Impact","value":""},{"id":150,"name":"Time of Event (Mountain Time)","value":"06:57:52"},{"id":151,"name":"Denver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536</v>
      </c>
      <c r="B164" s="7">
        <v>4016</v>
      </c>
      <c r="C164" s="22" t="s">
        <v>205</v>
      </c>
      <c r="D164" s="22" t="s">
        <v>893</v>
      </c>
      <c r="E164" s="13">
        <v>42723.28329861111</v>
      </c>
      <c r="F164" s="13">
        <v>42723.285601851851</v>
      </c>
      <c r="G164" s="7">
        <v>1</v>
      </c>
      <c r="H164" s="22" t="s">
        <v>894</v>
      </c>
      <c r="I164" s="13">
        <v>42723.295752314814</v>
      </c>
      <c r="J164" s="7">
        <v>0</v>
      </c>
      <c r="K164" s="109" t="str">
        <f t="shared" si="49"/>
        <v>4015/4016</v>
      </c>
      <c r="L164" s="22" t="str">
        <f>VLOOKUP(A164,'Trips&amp;Operators'!$C$1:$G$99999,5,FALSE)</f>
        <v>DAVIS WENDY</v>
      </c>
      <c r="M164" s="6">
        <f t="shared" si="50"/>
        <v>1.0150462963792961E-2</v>
      </c>
      <c r="N164" s="7">
        <f t="shared" si="51"/>
        <v>14.616666667861864</v>
      </c>
      <c r="O164" s="7"/>
      <c r="P164" s="7"/>
      <c r="Q164" s="23"/>
      <c r="R164" s="23"/>
      <c r="S164" s="35">
        <f t="shared" si="52"/>
        <v>1</v>
      </c>
      <c r="T164" s="50" t="str">
        <f t="shared" si="53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05:47:57-700',mode:absolute,to:'2016-12-19 08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4" s="52" t="str">
        <f t="shared" si="55"/>
        <v>N</v>
      </c>
      <c r="X164" s="177">
        <f t="shared" si="56"/>
        <v>1</v>
      </c>
      <c r="Y164" s="67">
        <f t="shared" si="57"/>
        <v>9.4799999999999995E-2</v>
      </c>
      <c r="Z164" s="67">
        <f t="shared" si="58"/>
        <v>5.9013999999999998</v>
      </c>
      <c r="AA164" s="67">
        <f t="shared" si="59"/>
        <v>5.8065999999999995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60"/>
        <v>0805-19</v>
      </c>
      <c r="AE164" s="91" t="str">
        <f t="shared" si="61"/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AF164" s="88" t="str">
        <f t="shared" si="62"/>
        <v>"C:\Program Files (x86)\AstroGrep\AstroGrep.exe" /spath="%USERPROFILE%\AppData\Local\Temp\OnboardLogs" /stypes="app*4016*20161219*" /stext=" 14:.+((SYSTEM_STATE.+slice.+state.+changed )|(ment ac)|(multiple cpu faults)|(system.+state.+changed )|(\[timeout)|(PRM\|1\|D)|(kpr)|(kdp)|(\|lc)|(penalty))" /e /r /s</v>
      </c>
      <c r="AG164" s="1" t="str">
        <f t="shared" si="63"/>
        <v>NW</v>
      </c>
      <c r="AH164" s="92" t="str">
        <f t="shared" si="64"/>
        <v>"%USERPROFILE%\Documents\GitHub\eaglep3\Utilities\RefineRTDCRunTimes.py" --tripid 805-19 --locoid 4016 --swversion DE.1.0.8.0 --startMP 204:948 --initTime 2016-12-19T06:47:57 --startdatetime 2016-12-19T06:51:16 --delay 1 --endMP 300:59014 --enddatetime 2016-12-19T07:05:53 --enforcementcount 0 &gt;&gt;C:\Users\stu\Documents\GitHub\eaglep3-reporting\EC\2016-12-19-refined-times.txt</v>
      </c>
      <c r="AI164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{"issue":{"subject":"","project_id":79,"tracker_id":40,"status_id":1,"priority_id":2,"assigned_to_id":23,"start_date":"2016-12-19","description":"","custom_fields":[{"id":1,"name":"Subdivision","value":"NW"},{"id":4,"name":"Milepost","value":"5.9014"},{"id":17,"name":"Train ID","value":"805-19"},{"id":16,"name":"Locomotive ID","value":"4016"},{"id":130,"name":"Impact","value":""},{"id":150,"name":"Time of Event (Mountain Time)","value":"07:05:53"},{"id":151,"name":"Denver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537</v>
      </c>
      <c r="B165" s="7">
        <v>4015</v>
      </c>
      <c r="C165" s="22" t="s">
        <v>205</v>
      </c>
      <c r="D165" s="22" t="s">
        <v>895</v>
      </c>
      <c r="E165" s="13">
        <v>42723.2968287037</v>
      </c>
      <c r="F165" s="13">
        <v>42723.298067129632</v>
      </c>
      <c r="G165" s="7">
        <v>1</v>
      </c>
      <c r="H165" s="22" t="s">
        <v>896</v>
      </c>
      <c r="I165" s="13">
        <v>42723.310810185183</v>
      </c>
      <c r="J165" s="7">
        <v>0</v>
      </c>
      <c r="K165" s="109" t="str">
        <f t="shared" si="49"/>
        <v>4015/4016</v>
      </c>
      <c r="L165" s="22" t="str">
        <f>VLOOKUP(A165,'Trips&amp;Operators'!$C$1:$G$99999,5,FALSE)</f>
        <v>DAVIS WENDY</v>
      </c>
      <c r="M165" s="6">
        <f t="shared" si="50"/>
        <v>1.2743055551254656E-2</v>
      </c>
      <c r="N165" s="7">
        <f t="shared" si="51"/>
        <v>18.349999993806705</v>
      </c>
      <c r="O165" s="7"/>
      <c r="P165" s="7"/>
      <c r="Q165" s="23"/>
      <c r="R165" s="23"/>
      <c r="S165" s="35">
        <f t="shared" si="52"/>
        <v>1</v>
      </c>
      <c r="T165" s="50" t="str">
        <f t="shared" si="53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06:07:26-700',mode:absolute,to:'2016-12-19 08:27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5" s="52" t="str">
        <f t="shared" si="55"/>
        <v>N</v>
      </c>
      <c r="X165" s="177">
        <f t="shared" si="56"/>
        <v>1</v>
      </c>
      <c r="Y165" s="67">
        <f t="shared" si="57"/>
        <v>5.8696000000000002</v>
      </c>
      <c r="Z165" s="67">
        <f t="shared" si="58"/>
        <v>6.4299999999999996E-2</v>
      </c>
      <c r="AA165" s="67">
        <f t="shared" si="59"/>
        <v>5.8052999999999999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60"/>
        <v>0806-19</v>
      </c>
      <c r="AE165" s="91" t="str">
        <f t="shared" si="61"/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AF165" s="88" t="str">
        <f t="shared" si="62"/>
        <v>"C:\Program Files (x86)\AstroGrep\AstroGrep.exe" /spath="%USERPROFILE%\AppData\Local\Temp\OnboardLogs" /stypes="app*4015*20161219*" /stext=" 14:.+((SYSTEM_STATE.+slice.+state.+changed )|(ment ac)|(multiple cpu faults)|(system.+state.+changed )|(\[timeout)|(PRM\|1\|D)|(kpr)|(kdp)|(\|lc)|(penalty))" /e /r /s</v>
      </c>
      <c r="AG165" s="1" t="str">
        <f t="shared" si="63"/>
        <v>NW</v>
      </c>
      <c r="AH165" s="92" t="str">
        <f t="shared" si="64"/>
        <v>"%USERPROFILE%\Documents\GitHub\eaglep3\Utilities\RefineRTDCRunTimes.py" --tripid 806-19 --locoid 4015 --swversion DE.1.0.8.0 --startMP 300:58696 --initTime 2016-12-19T07:07:26 --startdatetime 2016-12-19T07:09:13 --delay 1 --endMP 204:643 --enddatetime 2016-12-19T07:27:34 --enforcementcount 0 &gt;&gt;C:\Users\stu\Documents\GitHub\eaglep3-reporting\EC\2016-12-19-refined-times.txt</v>
      </c>
      <c r="AI165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{"issue":{"subject":"","project_id":79,"tracker_id":40,"status_id":1,"priority_id":2,"assigned_to_id":23,"start_date":"2016-12-19","description":"","custom_fields":[{"id":1,"name":"Subdivision","value":"NW"},{"id":4,"name":"Milepost","value":"0.0643"},{"id":17,"name":"Train ID","value":"806-19"},{"id":16,"name":"Locomotive ID","value":"4015"},{"id":130,"name":"Impact","value":""},{"id":150,"name":"Time of Event (Mountain Time)","value":"07:27:34"},{"id":151,"name":"Denver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538</v>
      </c>
      <c r="B166" s="7">
        <v>4042</v>
      </c>
      <c r="C166" s="22" t="s">
        <v>205</v>
      </c>
      <c r="D166" s="22" t="s">
        <v>897</v>
      </c>
      <c r="E166" s="13">
        <v>42723.304745370369</v>
      </c>
      <c r="F166" s="13">
        <v>42723.306550925925</v>
      </c>
      <c r="G166" s="7">
        <v>1</v>
      </c>
      <c r="H166" s="22" t="s">
        <v>898</v>
      </c>
      <c r="I166" s="13">
        <v>42723.316886574074</v>
      </c>
      <c r="J166" s="7">
        <v>0</v>
      </c>
      <c r="K166" s="109" t="str">
        <f t="shared" si="49"/>
        <v>4041/4042</v>
      </c>
      <c r="L166" s="22" t="str">
        <f>VLOOKUP(A166,'Trips&amp;Operators'!$C$1:$G$99999,5,FALSE)</f>
        <v>SIMONEAUX TERA</v>
      </c>
      <c r="M166" s="6">
        <f t="shared" si="50"/>
        <v>1.0335648148611654E-2</v>
      </c>
      <c r="N166" s="7">
        <f t="shared" si="51"/>
        <v>14.883333334000781</v>
      </c>
      <c r="O166" s="7"/>
      <c r="P166" s="7"/>
      <c r="Q166" s="23"/>
      <c r="R166" s="23"/>
      <c r="S166" s="35">
        <f t="shared" si="52"/>
        <v>1</v>
      </c>
      <c r="T166" s="50" t="str">
        <f t="shared" si="53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06:18:50-700',mode:absolute,to:'2016-12-19 08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6" s="52" t="str">
        <f t="shared" si="55"/>
        <v>N</v>
      </c>
      <c r="X166" s="177">
        <f t="shared" si="56"/>
        <v>1</v>
      </c>
      <c r="Y166" s="67">
        <f t="shared" si="57"/>
        <v>0.10059999999999999</v>
      </c>
      <c r="Z166" s="67">
        <f t="shared" si="58"/>
        <v>5.8958000000000004</v>
      </c>
      <c r="AA166" s="67">
        <f t="shared" si="59"/>
        <v>5.7952000000000004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60"/>
        <v>0807-19</v>
      </c>
      <c r="AE166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66" s="88" t="str">
        <f t="shared" si="62"/>
        <v>"C:\Program Files (x86)\AstroGrep\AstroGrep.exe" /spath="%USERPROFILE%\AppData\Local\Temp\OnboardLogs" /stypes="app*4042*20161219*" /stext=" 14:.+((SYSTEM_STATE.+slice.+state.+changed )|(ment ac)|(multiple cpu faults)|(system.+state.+changed )|(\[timeout)|(PRM\|1\|D)|(kpr)|(kdp)|(\|lc)|(penalty))" /e /r /s</v>
      </c>
      <c r="AG166" s="1" t="str">
        <f t="shared" si="63"/>
        <v>NW</v>
      </c>
      <c r="AH166" s="92" t="str">
        <f t="shared" si="64"/>
        <v>"%USERPROFILE%\Documents\GitHub\eaglep3\Utilities\RefineRTDCRunTimes.py" --tripid 807-19 --locoid 4042 --swversion DE.1.0.8.0 --startMP 204:1006 --initTime 2016-12-19T07:18:50 --startdatetime 2016-12-19T07:21:26 --delay 1 --endMP 300:58958 --enddatetime 2016-12-19T07:36:19 --enforcementcount 0 &gt;&gt;C:\Users\stu\Documents\GitHub\eaglep3-reporting\EC\2016-12-19-refined-times.txt</v>
      </c>
      <c r="AI166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{"issue":{"subject":"","project_id":79,"tracker_id":40,"status_id":1,"priority_id":2,"assigned_to_id":23,"start_date":"2016-12-19","description":"","custom_fields":[{"id":1,"name":"Subdivision","value":"NW"},{"id":4,"name":"Milepost","value":"5.8958"},{"id":17,"name":"Train ID","value":"807-19"},{"id":16,"name":"Locomotive ID","value":"4042"},{"id":130,"name":"Impact","value":""},{"id":150,"name":"Time of Event (Mountain Time)","value":"07:36:19"},{"id":151,"name":"Denver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610</v>
      </c>
      <c r="B167" s="7">
        <v>4041</v>
      </c>
      <c r="C167" s="22" t="s">
        <v>205</v>
      </c>
      <c r="D167" s="22" t="s">
        <v>899</v>
      </c>
      <c r="E167" s="13">
        <v>42723.318043981482</v>
      </c>
      <c r="F167" s="13">
        <v>42723.320636574077</v>
      </c>
      <c r="G167" s="7">
        <v>1</v>
      </c>
      <c r="H167" s="22" t="s">
        <v>900</v>
      </c>
      <c r="I167" s="13">
        <v>42723.331446759257</v>
      </c>
      <c r="J167" s="7">
        <v>0</v>
      </c>
      <c r="K167" s="109" t="str">
        <f t="shared" si="49"/>
        <v>4041/4042</v>
      </c>
      <c r="L167" s="22" t="str">
        <f>VLOOKUP(A167,'Trips&amp;Operators'!$C$1:$G$99999,5,FALSE)</f>
        <v>SIMONEAUX TERA</v>
      </c>
      <c r="M167" s="6">
        <f t="shared" si="50"/>
        <v>1.081018518016208E-2</v>
      </c>
      <c r="N167" s="7">
        <f t="shared" si="51"/>
        <v>15.566666659433395</v>
      </c>
      <c r="O167" s="7"/>
      <c r="P167" s="7"/>
      <c r="Q167" s="23"/>
      <c r="R167" s="23"/>
      <c r="S167" s="35">
        <f t="shared" si="52"/>
        <v>1</v>
      </c>
      <c r="T167" s="50" t="str">
        <f t="shared" si="53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06:37:59-700',mode:absolute,to:'2016-12-19 08:57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7" s="52" t="str">
        <f t="shared" si="55"/>
        <v>N</v>
      </c>
      <c r="X167" s="177">
        <f t="shared" si="56"/>
        <v>1</v>
      </c>
      <c r="Y167" s="67">
        <f t="shared" si="57"/>
        <v>5.8634000000000004</v>
      </c>
      <c r="Z167" s="67">
        <f t="shared" si="58"/>
        <v>7.3999999999999996E-2</v>
      </c>
      <c r="AA167" s="67">
        <f t="shared" si="59"/>
        <v>5.7894000000000005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60"/>
        <v>0808-19</v>
      </c>
      <c r="AE167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67" s="88" t="str">
        <f t="shared" si="62"/>
        <v>"C:\Program Files (x86)\AstroGrep\AstroGrep.exe" /spath="%USERPROFILE%\AppData\Local\Temp\OnboardLogs" /stypes="app*4041*20161219*" /stext=" 14:.+((SYSTEM_STATE.+slice.+state.+changed )|(ment ac)|(multiple cpu faults)|(system.+state.+changed )|(\[timeout)|(PRM\|1\|D)|(kpr)|(kdp)|(\|lc)|(penalty))" /e /r /s</v>
      </c>
      <c r="AG167" s="1" t="str">
        <f t="shared" si="63"/>
        <v>NW</v>
      </c>
      <c r="AH167" s="92" t="str">
        <f t="shared" si="64"/>
        <v>"%USERPROFILE%\Documents\GitHub\eaglep3\Utilities\RefineRTDCRunTimes.py" --tripid 808-19 --locoid 4041 --swversion DE.1.0.8.0 --startMP 300:58634 --initTime 2016-12-19T07:37:59 --startdatetime 2016-12-19T07:41:43 --delay 1 --endMP 204:740 --enddatetime 2016-12-19T07:57:17 --enforcementcount 0 &gt;&gt;C:\Users\stu\Documents\GitHub\eaglep3-reporting\EC\2016-12-19-refined-times.txt</v>
      </c>
      <c r="AI167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{"issue":{"subject":"","project_id":79,"tracker_id":40,"status_id":1,"priority_id":2,"assigned_to_id":23,"start_date":"2016-12-19","description":"","custom_fields":[{"id":1,"name":"Subdivision","value":"NW"},{"id":4,"name":"Milepost","value":"0.074"},{"id":17,"name":"Train ID","value":"808-19"},{"id":16,"name":"Locomotive ID","value":"4041"},{"id":130,"name":"Impact","value":""},{"id":150,"name":"Time of Event (Mountain Time)","value":"07:57:17"},{"id":151,"name":"Denver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539</v>
      </c>
      <c r="B168" s="7">
        <v>4016</v>
      </c>
      <c r="C168" s="22" t="s">
        <v>205</v>
      </c>
      <c r="D168" s="22" t="s">
        <v>525</v>
      </c>
      <c r="E168" s="13">
        <v>42723.320486111108</v>
      </c>
      <c r="F168" s="13">
        <v>42723.328240740739</v>
      </c>
      <c r="G168" s="7">
        <v>0</v>
      </c>
      <c r="H168" s="22" t="s">
        <v>901</v>
      </c>
      <c r="I168" s="13">
        <v>42723.338159722225</v>
      </c>
      <c r="J168" s="7">
        <v>0</v>
      </c>
      <c r="K168" s="109" t="str">
        <f t="shared" si="49"/>
        <v>4015/4016</v>
      </c>
      <c r="L168" s="22" t="str">
        <f>VLOOKUP(A168,'Trips&amp;Operators'!$C$1:$G$99999,5,FALSE)</f>
        <v>DAVIS WENDY</v>
      </c>
      <c r="M168" s="6">
        <f t="shared" si="50"/>
        <v>9.9189814864075743E-3</v>
      </c>
      <c r="N168" s="7">
        <f t="shared" si="51"/>
        <v>14.283333340426907</v>
      </c>
      <c r="O168" s="7"/>
      <c r="P168" s="7"/>
      <c r="Q168" s="23"/>
      <c r="R168" s="23"/>
      <c r="S168" s="35">
        <f t="shared" si="52"/>
        <v>1</v>
      </c>
      <c r="T168" s="50" t="str">
        <f t="shared" si="53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06:41:30-700',mode:absolute,to:'2016-12-19 09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8" s="52" t="str">
        <f t="shared" si="55"/>
        <v>N</v>
      </c>
      <c r="X168" s="177">
        <f t="shared" si="56"/>
        <v>1</v>
      </c>
      <c r="Y168" s="67">
        <f t="shared" si="57"/>
        <v>9.3899999999999997E-2</v>
      </c>
      <c r="Z168" s="67">
        <f t="shared" si="58"/>
        <v>5.8998999999999997</v>
      </c>
      <c r="AA168" s="67">
        <f t="shared" si="59"/>
        <v>5.806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60"/>
        <v>0809-19</v>
      </c>
      <c r="AE168" s="91" t="str">
        <f t="shared" si="61"/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AF168" s="88" t="str">
        <f t="shared" si="62"/>
        <v>"C:\Program Files (x86)\AstroGrep\AstroGrep.exe" /spath="%USERPROFILE%\AppData\Local\Temp\OnboardLogs" /stypes="app*4016*20161219*" /stext=" 15:.+((SYSTEM_STATE.+slice.+state.+changed )|(ment ac)|(multiple cpu faults)|(system.+state.+changed )|(\[timeout)|(PRM\|1\|D)|(kpr)|(kdp)|(\|lc)|(penalty))" /e /r /s</v>
      </c>
      <c r="AG168" s="1" t="str">
        <f t="shared" si="63"/>
        <v>NW</v>
      </c>
      <c r="AH168" s="92" t="str">
        <f t="shared" si="64"/>
        <v>"%USERPROFILE%\Documents\GitHub\eaglep3\Utilities\RefineRTDCRunTimes.py" --tripid 809-19 --locoid 4016 --swversion DE.1.0.8.0 --startMP 204:939 --initTime 2016-12-19T07:41:30 --startdatetime 2016-12-19T07:52:40 --delay 0 --endMP 300:58999 --enddatetime 2016-12-19T08:06:57 --enforcementcount 0 &gt;&gt;C:\Users\stu\Documents\GitHub\eaglep3-reporting\EC\2016-12-19-refined-times.txt</v>
      </c>
      <c r="AI168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{"issue":{"subject":"","project_id":79,"tracker_id":40,"status_id":1,"priority_id":2,"assigned_to_id":23,"start_date":"2016-12-19","description":"","custom_fields":[{"id":1,"name":"Subdivision","value":"NW"},{"id":4,"name":"Milepost","value":"5.8999"},{"id":17,"name":"Train ID","value":"809-19"},{"id":16,"name":"Locomotive ID","value":"4016"},{"id":130,"name":"Impact","value":""},{"id":150,"name":"Time of Event (Mountain Time)","value":"08:06:57"},{"id":151,"name":"Denver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541</v>
      </c>
      <c r="B169" s="7">
        <v>4015</v>
      </c>
      <c r="C169" s="22" t="s">
        <v>205</v>
      </c>
      <c r="D169" s="22" t="s">
        <v>902</v>
      </c>
      <c r="E169" s="13">
        <v>42723.339490740742</v>
      </c>
      <c r="F169" s="13">
        <v>42723.340648148151</v>
      </c>
      <c r="G169" s="7">
        <v>1</v>
      </c>
      <c r="H169" s="22" t="s">
        <v>903</v>
      </c>
      <c r="I169" s="13">
        <v>42723.351620370369</v>
      </c>
      <c r="J169" s="7">
        <v>0</v>
      </c>
      <c r="K169" s="109" t="str">
        <f t="shared" si="49"/>
        <v>4015/4016</v>
      </c>
      <c r="L169" s="22" t="str">
        <f>VLOOKUP(A169,'Trips&amp;Operators'!$C$1:$G$99999,5,FALSE)</f>
        <v>DAVIS WENDY</v>
      </c>
      <c r="M169" s="6">
        <f t="shared" si="50"/>
        <v>1.0972222218697425E-2</v>
      </c>
      <c r="N169" s="7">
        <f t="shared" si="51"/>
        <v>15.799999994924292</v>
      </c>
      <c r="O169" s="7"/>
      <c r="P169" s="7"/>
      <c r="Q169" s="23"/>
      <c r="R169" s="23"/>
      <c r="S169" s="35">
        <f t="shared" si="52"/>
        <v>1</v>
      </c>
      <c r="T169" s="50" t="str">
        <f t="shared" si="53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07:08:52-700',mode:absolute,to:'2016-12-19 09:26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9" s="52" t="str">
        <f t="shared" si="55"/>
        <v>N</v>
      </c>
      <c r="X169" s="177">
        <f t="shared" si="56"/>
        <v>1</v>
      </c>
      <c r="Y169" s="67">
        <f t="shared" si="57"/>
        <v>5.8673000000000002</v>
      </c>
      <c r="Z169" s="67">
        <f t="shared" si="58"/>
        <v>6.4500000000000002E-2</v>
      </c>
      <c r="AA169" s="67">
        <f t="shared" si="59"/>
        <v>5.8028000000000004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60"/>
        <v>0810-19</v>
      </c>
      <c r="AE169" s="91" t="str">
        <f t="shared" si="61"/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AF169" s="88" t="str">
        <f t="shared" si="62"/>
        <v>"C:\Program Files (x86)\AstroGrep\AstroGrep.exe" /spath="%USERPROFILE%\AppData\Local\Temp\OnboardLogs" /stypes="app*4015*20161219*" /stext=" 15:.+((SYSTEM_STATE.+slice.+state.+changed )|(ment ac)|(multiple cpu faults)|(system.+state.+changed )|(\[timeout)|(PRM\|1\|D)|(kpr)|(kdp)|(\|lc)|(penalty))" /e /r /s</v>
      </c>
      <c r="AG169" s="1" t="str">
        <f t="shared" si="63"/>
        <v>NW</v>
      </c>
      <c r="AH169" s="92" t="str">
        <f t="shared" si="64"/>
        <v>"%USERPROFILE%\Documents\GitHub\eaglep3\Utilities\RefineRTDCRunTimes.py" --tripid 810-19 --locoid 4015 --swversion DE.1.0.8.0 --startMP 300:58673 --initTime 2016-12-19T08:08:52 --startdatetime 2016-12-19T08:10:32 --delay 1 --endMP 204:645 --enddatetime 2016-12-19T08:26:20 --enforcementcount 0 &gt;&gt;C:\Users\stu\Documents\GitHub\eaglep3-reporting\EC\2016-12-19-refined-times.txt</v>
      </c>
      <c r="AI169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{"issue":{"subject":"","project_id":79,"tracker_id":40,"status_id":1,"priority_id":2,"assigned_to_id":23,"start_date":"2016-12-19","description":"","custom_fields":[{"id":1,"name":"Subdivision","value":"NW"},{"id":4,"name":"Milepost","value":"0.0645"},{"id":17,"name":"Train ID","value":"810-19"},{"id":16,"name":"Locomotive ID","value":"4015"},{"id":130,"name":"Impact","value":""},{"id":150,"name":"Time of Event (Mountain Time)","value":"08:26:20"},{"id":151,"name":"Denver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542</v>
      </c>
      <c r="B170" s="7">
        <v>4042</v>
      </c>
      <c r="C170" s="22" t="s">
        <v>205</v>
      </c>
      <c r="D170" s="22" t="s">
        <v>452</v>
      </c>
      <c r="E170" s="13">
        <v>42723.338090277779</v>
      </c>
      <c r="F170" s="13">
        <v>42723.34820601852</v>
      </c>
      <c r="G170" s="7">
        <v>1</v>
      </c>
      <c r="H170" s="22" t="s">
        <v>904</v>
      </c>
      <c r="I170" s="13">
        <v>42723.35869212963</v>
      </c>
      <c r="J170" s="7">
        <v>0</v>
      </c>
      <c r="K170" s="109" t="str">
        <f t="shared" si="49"/>
        <v>4041/4042</v>
      </c>
      <c r="L170" s="22" t="str">
        <f>VLOOKUP(A170,'Trips&amp;Operators'!$C$1:$G$99999,5,FALSE)</f>
        <v>SIMONEAUX TERA</v>
      </c>
      <c r="M170" s="6">
        <f t="shared" si="50"/>
        <v>1.0486111110367347E-2</v>
      </c>
      <c r="N170" s="7">
        <f t="shared" si="51"/>
        <v>15.099999998928979</v>
      </c>
      <c r="O170" s="7"/>
      <c r="P170" s="7"/>
      <c r="Q170" s="23"/>
      <c r="R170" s="23"/>
      <c r="S170" s="35">
        <f t="shared" si="52"/>
        <v>1</v>
      </c>
      <c r="T170" s="50" t="str">
        <f t="shared" si="53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07:06:51-700',mode:absolute,to:'2016-12-19 09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0" s="52" t="str">
        <f t="shared" si="55"/>
        <v>N</v>
      </c>
      <c r="X170" s="177">
        <f t="shared" si="56"/>
        <v>1</v>
      </c>
      <c r="Y170" s="67">
        <f t="shared" si="57"/>
        <v>0.1016</v>
      </c>
      <c r="Z170" s="67">
        <f t="shared" si="58"/>
        <v>5.8917999999999999</v>
      </c>
      <c r="AA170" s="67">
        <f t="shared" si="59"/>
        <v>5.7901999999999996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60"/>
        <v>0811-19</v>
      </c>
      <c r="AE170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70" s="88" t="str">
        <f t="shared" si="62"/>
        <v>"C:\Program Files (x86)\AstroGrep\AstroGrep.exe" /spath="%USERPROFILE%\AppData\Local\Temp\OnboardLogs" /stypes="app*4042*20161219*" /stext=" 15:.+((SYSTEM_STATE.+slice.+state.+changed )|(ment ac)|(multiple cpu faults)|(system.+state.+changed )|(\[timeout)|(PRM\|1\|D)|(kpr)|(kdp)|(\|lc)|(penalty))" /e /r /s</v>
      </c>
      <c r="AG170" s="1" t="str">
        <f t="shared" si="63"/>
        <v>NW</v>
      </c>
      <c r="AH170" s="92" t="str">
        <f t="shared" si="64"/>
        <v>"%USERPROFILE%\Documents\GitHub\eaglep3\Utilities\RefineRTDCRunTimes.py" --tripid 811-19 --locoid 4042 --swversion DE.1.0.8.0 --startMP 204:1016 --initTime 2016-12-19T08:06:51 --startdatetime 2016-12-19T08:21:25 --delay 1 --endMP 300:58918 --enddatetime 2016-12-19T08:36:31 --enforcementcount 0 &gt;&gt;C:\Users\stu\Documents\GitHub\eaglep3-reporting\EC\2016-12-19-refined-times.txt</v>
      </c>
      <c r="AI170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{"issue":{"subject":"","project_id":79,"tracker_id":40,"status_id":1,"priority_id":2,"assigned_to_id":23,"start_date":"2016-12-19","description":"","custom_fields":[{"id":1,"name":"Subdivision","value":"NW"},{"id":4,"name":"Milepost","value":"5.8918"},{"id":17,"name":"Train ID","value":"811-19"},{"id":16,"name":"Locomotive ID","value":"4042"},{"id":130,"name":"Impact","value":""},{"id":150,"name":"Time of Event (Mountain Time)","value":"08:36:31"},{"id":151,"name":"Denver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621</v>
      </c>
      <c r="B171" s="7">
        <v>4041</v>
      </c>
      <c r="C171" s="22" t="s">
        <v>205</v>
      </c>
      <c r="D171" s="22" t="s">
        <v>905</v>
      </c>
      <c r="E171" s="13">
        <v>42723.360763888886</v>
      </c>
      <c r="F171" s="13">
        <v>42723.363020833334</v>
      </c>
      <c r="G171" s="7">
        <v>1</v>
      </c>
      <c r="H171" s="22" t="s">
        <v>906</v>
      </c>
      <c r="I171" s="13">
        <v>42723.373726851853</v>
      </c>
      <c r="J171" s="7">
        <v>0</v>
      </c>
      <c r="K171" s="109" t="str">
        <f t="shared" si="49"/>
        <v>4041/4042</v>
      </c>
      <c r="L171" s="22" t="str">
        <f>VLOOKUP(A171,'Trips&amp;Operators'!$C$1:$G$99999,5,FALSE)</f>
        <v>SIMONEAUX TERA</v>
      </c>
      <c r="M171" s="6">
        <f t="shared" si="50"/>
        <v>1.0706018518249039E-2</v>
      </c>
      <c r="N171" s="7">
        <f t="shared" si="51"/>
        <v>15.416666666278616</v>
      </c>
      <c r="O171" s="7"/>
      <c r="P171" s="7"/>
      <c r="Q171" s="23"/>
      <c r="R171" s="23"/>
      <c r="S171" s="35">
        <f t="shared" si="52"/>
        <v>1</v>
      </c>
      <c r="T171" s="50" t="str">
        <f t="shared" si="53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07:39:30-700',mode:absolute,to:'2016-12-19 09:58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1" s="52" t="str">
        <f t="shared" si="55"/>
        <v>N</v>
      </c>
      <c r="X171" s="177">
        <f t="shared" si="56"/>
        <v>1</v>
      </c>
      <c r="Y171" s="67">
        <f t="shared" si="57"/>
        <v>5.8596000000000004</v>
      </c>
      <c r="Z171" s="67">
        <f t="shared" si="58"/>
        <v>7.4700000000000003E-2</v>
      </c>
      <c r="AA171" s="67">
        <f t="shared" si="59"/>
        <v>5.7849000000000004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60"/>
        <v>0812-19</v>
      </c>
      <c r="AE171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71" s="88" t="str">
        <f t="shared" si="62"/>
        <v>"C:\Program Files (x86)\AstroGrep\AstroGrep.exe" /spath="%USERPROFILE%\AppData\Local\Temp\OnboardLogs" /stypes="app*4041*20161219*" /stext=" 15:.+((SYSTEM_STATE.+slice.+state.+changed )|(ment ac)|(multiple cpu faults)|(system.+state.+changed )|(\[timeout)|(PRM\|1\|D)|(kpr)|(kdp)|(\|lc)|(penalty))" /e /r /s</v>
      </c>
      <c r="AG171" s="1" t="str">
        <f t="shared" si="63"/>
        <v>NW</v>
      </c>
      <c r="AH171" s="92" t="str">
        <f t="shared" si="64"/>
        <v>"%USERPROFILE%\Documents\GitHub\eaglep3\Utilities\RefineRTDCRunTimes.py" --tripid 812-19 --locoid 4041 --swversion DE.1.0.8.0 --startMP 300:58596 --initTime 2016-12-19T08:39:30 --startdatetime 2016-12-19T08:42:45 --delay 1 --endMP 204:747 --enddatetime 2016-12-19T08:58:10 --enforcementcount 0 &gt;&gt;C:\Users\stu\Documents\GitHub\eaglep3-reporting\EC\2016-12-19-refined-times.txt</v>
      </c>
      <c r="AI171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{"issue":{"subject":"","project_id":79,"tracker_id":40,"status_id":1,"priority_id":2,"assigned_to_id":23,"start_date":"2016-12-19","description":"","custom_fields":[{"id":1,"name":"Subdivision","value":"NW"},{"id":4,"name":"Milepost","value":"0.0747"},{"id":17,"name":"Train ID","value":"812-19"},{"id":16,"name":"Locomotive ID","value":"4041"},{"id":130,"name":"Impact","value":""},{"id":150,"name":"Time of Event (Mountain Time)","value":"08:58:10"},{"id":151,"name":"Denver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543</v>
      </c>
      <c r="B172" s="7">
        <v>4042</v>
      </c>
      <c r="C172" s="22" t="s">
        <v>205</v>
      </c>
      <c r="D172" s="22" t="s">
        <v>452</v>
      </c>
      <c r="E172" s="13">
        <v>42723.383761574078</v>
      </c>
      <c r="F172" s="13">
        <v>42723.390138888892</v>
      </c>
      <c r="G172" s="7">
        <v>1</v>
      </c>
      <c r="H172" s="22" t="s">
        <v>308</v>
      </c>
      <c r="I172" s="13">
        <v>42723.401226851849</v>
      </c>
      <c r="J172" s="7">
        <v>0</v>
      </c>
      <c r="K172" s="109" t="str">
        <f t="shared" si="49"/>
        <v>4041/4042</v>
      </c>
      <c r="L172" s="22" t="str">
        <f>VLOOKUP(A172,'Trips&amp;Operators'!$C$1:$G$99999,5,FALSE)</f>
        <v>SIMONEAUX TERA</v>
      </c>
      <c r="M172" s="6">
        <f t="shared" si="50"/>
        <v>1.1087962957390118E-2</v>
      </c>
      <c r="N172" s="7">
        <f t="shared" si="51"/>
        <v>15.96666665864177</v>
      </c>
      <c r="O172" s="7"/>
      <c r="P172" s="7"/>
      <c r="Q172" s="23"/>
      <c r="R172" s="23"/>
      <c r="S172" s="35">
        <f t="shared" si="52"/>
        <v>1</v>
      </c>
      <c r="T172" s="50" t="str">
        <f t="shared" si="53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08:12:37-700',mode:absolute,to:'2016-12-19 10:37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2" s="52" t="str">
        <f t="shared" si="55"/>
        <v>N</v>
      </c>
      <c r="X172" s="177">
        <f t="shared" si="56"/>
        <v>1</v>
      </c>
      <c r="Y172" s="67">
        <f t="shared" si="57"/>
        <v>0.1016</v>
      </c>
      <c r="Z172" s="67">
        <f t="shared" si="58"/>
        <v>5.8939000000000004</v>
      </c>
      <c r="AA172" s="67">
        <f t="shared" si="59"/>
        <v>5.7923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60"/>
        <v>0813-19</v>
      </c>
      <c r="AE172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72" s="88" t="str">
        <f t="shared" si="62"/>
        <v>"C:\Program Files (x86)\AstroGrep\AstroGrep.exe" /spath="%USERPROFILE%\AppData\Local\Temp\OnboardLogs" /stypes="app*4042*20161219*" /stext=" 16:.+((SYSTEM_STATE.+slice.+state.+changed )|(ment ac)|(multiple cpu faults)|(system.+state.+changed )|(\[timeout)|(PRM\|1\|D)|(kpr)|(kdp)|(\|lc)|(penalty))" /e /r /s</v>
      </c>
      <c r="AG172" s="1" t="str">
        <f t="shared" si="63"/>
        <v>NW</v>
      </c>
      <c r="AH172" s="92" t="str">
        <f t="shared" si="64"/>
        <v>"%USERPROFILE%\Documents\GitHub\eaglep3\Utilities\RefineRTDCRunTimes.py" --tripid 813-19 --locoid 4042 --swversion DE.1.0.8.0 --startMP 204:1016 --initTime 2016-12-19T09:12:37 --startdatetime 2016-12-19T09:21:48 --delay 1 --endMP 300:58939 --enddatetime 2016-12-19T09:37:46 --enforcementcount 0 &gt;&gt;C:\Users\stu\Documents\GitHub\eaglep3-reporting\EC\2016-12-19-refined-times.txt</v>
      </c>
      <c r="AI172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{"issue":{"subject":"","project_id":79,"tracker_id":40,"status_id":1,"priority_id":2,"assigned_to_id":23,"start_date":"2016-12-19","description":"","custom_fields":[{"id":1,"name":"Subdivision","value":"NW"},{"id":4,"name":"Milepost","value":"5.8939"},{"id":17,"name":"Train ID","value":"813-19"},{"id":16,"name":"Locomotive ID","value":"4042"},{"id":130,"name":"Impact","value":""},{"id":150,"name":"Time of Event (Mountain Time)","value":"09:37:46"},{"id":151,"name":"Denver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630</v>
      </c>
      <c r="B173" s="7">
        <v>4041</v>
      </c>
      <c r="C173" s="22" t="s">
        <v>205</v>
      </c>
      <c r="D173" s="22" t="s">
        <v>907</v>
      </c>
      <c r="E173" s="13">
        <v>42723.403067129628</v>
      </c>
      <c r="F173" s="13">
        <v>42723.40519675926</v>
      </c>
      <c r="G173" s="7">
        <v>1</v>
      </c>
      <c r="H173" s="22" t="s">
        <v>908</v>
      </c>
      <c r="I173" s="13">
        <v>42723.417187500003</v>
      </c>
      <c r="J173" s="7">
        <v>0</v>
      </c>
      <c r="K173" s="109" t="str">
        <f t="shared" si="49"/>
        <v>4041/4042</v>
      </c>
      <c r="L173" s="22" t="str">
        <f>VLOOKUP(A173,'Trips&amp;Operators'!$C$1:$G$99999,5,FALSE)</f>
        <v>SIMONEAUX TERA</v>
      </c>
      <c r="M173" s="6">
        <f t="shared" si="50"/>
        <v>1.1990740742476191E-2</v>
      </c>
      <c r="N173" s="7">
        <f t="shared" si="51"/>
        <v>17.266666669165716</v>
      </c>
      <c r="O173" s="7"/>
      <c r="P173" s="7"/>
      <c r="Q173" s="23"/>
      <c r="R173" s="23"/>
      <c r="S173" s="35">
        <f t="shared" si="52"/>
        <v>1</v>
      </c>
      <c r="T173" s="50" t="str">
        <f t="shared" si="53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08:40:25-700',mode:absolute,to:'2016-12-19 11:00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3" s="52" t="str">
        <f t="shared" si="55"/>
        <v>N</v>
      </c>
      <c r="X173" s="177">
        <f t="shared" si="56"/>
        <v>1</v>
      </c>
      <c r="Y173" s="67">
        <f t="shared" si="57"/>
        <v>5.8630000000000004</v>
      </c>
      <c r="Z173" s="67">
        <f t="shared" si="58"/>
        <v>7.2900000000000006E-2</v>
      </c>
      <c r="AA173" s="67">
        <f t="shared" si="59"/>
        <v>5.7901000000000007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60"/>
        <v>0814-19</v>
      </c>
      <c r="AE173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73" s="88" t="str">
        <f t="shared" si="62"/>
        <v>"C:\Program Files (x86)\AstroGrep\AstroGrep.exe" /spath="%USERPROFILE%\AppData\Local\Temp\OnboardLogs" /stypes="app*4041*20161219*" /stext=" 17:.+((SYSTEM_STATE.+slice.+state.+changed )|(ment ac)|(multiple cpu faults)|(system.+state.+changed )|(\[timeout)|(PRM\|1\|D)|(kpr)|(kdp)|(\|lc)|(penalty))" /e /r /s</v>
      </c>
      <c r="AG173" s="1" t="str">
        <f t="shared" si="63"/>
        <v>NW</v>
      </c>
      <c r="AH173" s="92" t="str">
        <f t="shared" si="64"/>
        <v>"%USERPROFILE%\Documents\GitHub\eaglep3\Utilities\RefineRTDCRunTimes.py" --tripid 814-19 --locoid 4041 --swversion DE.1.0.8.0 --startMP 300:58630 --initTime 2016-12-19T09:40:25 --startdatetime 2016-12-19T09:43:29 --delay 1 --endMP 204:729 --enddatetime 2016-12-19T10:00:45 --enforcementcount 0 &gt;&gt;C:\Users\stu\Documents\GitHub\eaglep3-reporting\EC\2016-12-19-refined-times.txt</v>
      </c>
      <c r="AI173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{"issue":{"subject":"","project_id":79,"tracker_id":40,"status_id":1,"priority_id":2,"assigned_to_id":23,"start_date":"2016-12-19","description":"","custom_fields":[{"id":1,"name":"Subdivision","value":"NW"},{"id":4,"name":"Milepost","value":"0.0729"},{"id":17,"name":"Train ID","value":"814-19"},{"id":16,"name":"Locomotive ID","value":"4041"},{"id":130,"name":"Impact","value":""},{"id":150,"name":"Time of Event (Mountain Time)","value":"10:00:45"},{"id":151,"name":"Denver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634</v>
      </c>
      <c r="B174" s="7">
        <v>4042</v>
      </c>
      <c r="C174" s="22" t="s">
        <v>205</v>
      </c>
      <c r="D174" s="22" t="s">
        <v>452</v>
      </c>
      <c r="E174" s="13">
        <v>42723.426828703705</v>
      </c>
      <c r="F174" s="13">
        <v>42723.431701388887</v>
      </c>
      <c r="G174" s="7">
        <v>1</v>
      </c>
      <c r="H174" s="22" t="s">
        <v>909</v>
      </c>
      <c r="I174" s="13">
        <v>42723.442349537036</v>
      </c>
      <c r="J174" s="7">
        <v>0</v>
      </c>
      <c r="K174" s="109" t="str">
        <f t="shared" si="49"/>
        <v>4041/4042</v>
      </c>
      <c r="L174" s="22" t="str">
        <f>VLOOKUP(A174,'Trips&amp;Operators'!$C$1:$G$99999,5,FALSE)</f>
        <v>SIMONEAUX TERA</v>
      </c>
      <c r="M174" s="6">
        <f t="shared" si="50"/>
        <v>1.0648148148902692E-2</v>
      </c>
      <c r="N174" s="7">
        <f t="shared" si="51"/>
        <v>15.333333334419876</v>
      </c>
      <c r="O174" s="7"/>
      <c r="P174" s="7"/>
      <c r="Q174" s="23"/>
      <c r="R174" s="23"/>
      <c r="S174" s="35">
        <f t="shared" si="52"/>
        <v>1</v>
      </c>
      <c r="T174" s="50" t="str">
        <f t="shared" si="53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09:14:38-700',mode:absolute,to:'2016-12-19 11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4" s="52" t="str">
        <f t="shared" si="55"/>
        <v>N</v>
      </c>
      <c r="X174" s="177">
        <f t="shared" si="56"/>
        <v>1</v>
      </c>
      <c r="Y174" s="67">
        <f t="shared" si="57"/>
        <v>0.1016</v>
      </c>
      <c r="Z174" s="67">
        <f t="shared" si="58"/>
        <v>5.8891999999999998</v>
      </c>
      <c r="AA174" s="67">
        <f t="shared" si="59"/>
        <v>5.7875999999999994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60"/>
        <v>0815-19</v>
      </c>
      <c r="AE174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74" s="88" t="str">
        <f t="shared" si="62"/>
        <v>"C:\Program Files (x86)\AstroGrep\AstroGrep.exe" /spath="%USERPROFILE%\AppData\Local\Temp\OnboardLogs" /stypes="app*4042*20161219*" /stext=" 17:.+((SYSTEM_STATE.+slice.+state.+changed )|(ment ac)|(multiple cpu faults)|(system.+state.+changed )|(\[timeout)|(PRM\|1\|D)|(kpr)|(kdp)|(\|lc)|(penalty))" /e /r /s</v>
      </c>
      <c r="AG174" s="1" t="str">
        <f t="shared" si="63"/>
        <v>NW</v>
      </c>
      <c r="AH174" s="92" t="str">
        <f t="shared" si="64"/>
        <v>"%USERPROFILE%\Documents\GitHub\eaglep3\Utilities\RefineRTDCRunTimes.py" --tripid 815-19 --locoid 4042 --swversion DE.1.0.8.0 --startMP 204:1016 --initTime 2016-12-19T10:14:38 --startdatetime 2016-12-19T10:21:39 --delay 1 --endMP 300:58892 --enddatetime 2016-12-19T10:36:59 --enforcementcount 0 &gt;&gt;C:\Users\stu\Documents\GitHub\eaglep3-reporting\EC\2016-12-19-refined-times.txt</v>
      </c>
      <c r="AI174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{"issue":{"subject":"","project_id":79,"tracker_id":40,"status_id":1,"priority_id":2,"assigned_to_id":23,"start_date":"2016-12-19","description":"","custom_fields":[{"id":1,"name":"Subdivision","value":"NW"},{"id":4,"name":"Milepost","value":"5.8892"},{"id":17,"name":"Train ID","value":"815-19"},{"id":16,"name":"Locomotive ID","value":"4042"},{"id":130,"name":"Impact","value":""},{"id":150,"name":"Time of Event (Mountain Time)","value":"10:36:59"},{"id":151,"name":"Denver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636</v>
      </c>
      <c r="B175" s="7">
        <v>4041</v>
      </c>
      <c r="C175" s="22" t="s">
        <v>205</v>
      </c>
      <c r="D175" s="22" t="s">
        <v>910</v>
      </c>
      <c r="E175" s="13">
        <v>42723.443506944444</v>
      </c>
      <c r="F175" s="13">
        <v>42723.445370370369</v>
      </c>
      <c r="G175" s="7">
        <v>1</v>
      </c>
      <c r="H175" s="22" t="s">
        <v>911</v>
      </c>
      <c r="I175" s="13">
        <v>42723.45584490741</v>
      </c>
      <c r="J175" s="7">
        <v>0</v>
      </c>
      <c r="K175" s="109" t="str">
        <f t="shared" si="49"/>
        <v>4041/4042</v>
      </c>
      <c r="L175" s="22" t="str">
        <f>VLOOKUP(A175,'Trips&amp;Operators'!$C$1:$G$99999,5,FALSE)</f>
        <v>SIMONEAUX TERA</v>
      </c>
      <c r="M175" s="6">
        <f t="shared" si="50"/>
        <v>1.0474537040863652E-2</v>
      </c>
      <c r="N175" s="7">
        <f t="shared" si="51"/>
        <v>15.083333338843659</v>
      </c>
      <c r="O175" s="7"/>
      <c r="P175" s="7"/>
      <c r="Q175" s="23"/>
      <c r="R175" s="23"/>
      <c r="S175" s="35">
        <f t="shared" si="52"/>
        <v>1</v>
      </c>
      <c r="T175" s="50" t="str">
        <f t="shared" si="53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09:38:39-700',mode:absolute,to:'2016-12-19 11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5" s="52" t="str">
        <f t="shared" si="55"/>
        <v>N</v>
      </c>
      <c r="X175" s="177">
        <f t="shared" si="56"/>
        <v>1</v>
      </c>
      <c r="Y175" s="67">
        <f t="shared" si="57"/>
        <v>5.8574000000000002</v>
      </c>
      <c r="Z175" s="67">
        <f t="shared" si="58"/>
        <v>7.5499999999999998E-2</v>
      </c>
      <c r="AA175" s="67">
        <f t="shared" si="59"/>
        <v>5.7819000000000003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60"/>
        <v>0816-19</v>
      </c>
      <c r="AE175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75" s="88" t="str">
        <f t="shared" si="62"/>
        <v>"C:\Program Files (x86)\AstroGrep\AstroGrep.exe" /spath="%USERPROFILE%\AppData\Local\Temp\OnboardLogs" /stypes="app*4041*20161219*" /stext=" 17:.+((SYSTEM_STATE.+slice.+state.+changed )|(ment ac)|(multiple cpu faults)|(system.+state.+changed )|(\[timeout)|(PRM\|1\|D)|(kpr)|(kdp)|(\|lc)|(penalty))" /e /r /s</v>
      </c>
      <c r="AG175" s="1" t="str">
        <f t="shared" si="63"/>
        <v>NW</v>
      </c>
      <c r="AH175" s="92" t="str">
        <f t="shared" si="64"/>
        <v>"%USERPROFILE%\Documents\GitHub\eaglep3\Utilities\RefineRTDCRunTimes.py" --tripid 816-19 --locoid 4041 --swversion DE.1.0.8.0 --startMP 300:58574 --initTime 2016-12-19T10:38:39 --startdatetime 2016-12-19T10:41:20 --delay 1 --endMP 204:755 --enddatetime 2016-12-19T10:56:25 --enforcementcount 0 &gt;&gt;C:\Users\stu\Documents\GitHub\eaglep3-reporting\EC\2016-12-19-refined-times.txt</v>
      </c>
      <c r="AI175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{"issue":{"subject":"","project_id":79,"tracker_id":40,"status_id":1,"priority_id":2,"assigned_to_id":23,"start_date":"2016-12-19","description":"","custom_fields":[{"id":1,"name":"Subdivision","value":"NW"},{"id":4,"name":"Milepost","value":"0.0755"},{"id":17,"name":"Train ID","value":"816-19"},{"id":16,"name":"Locomotive ID","value":"4041"},{"id":130,"name":"Impact","value":""},{"id":150,"name":"Time of Event (Mountain Time)","value":"10:56:25"},{"id":151,"name":"Denver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s="21" customFormat="1" x14ac:dyDescent="0.25">
      <c r="A176" s="37" t="s">
        <v>641</v>
      </c>
      <c r="B176" s="7">
        <v>4042</v>
      </c>
      <c r="C176" s="22" t="s">
        <v>205</v>
      </c>
      <c r="D176" s="22" t="s">
        <v>912</v>
      </c>
      <c r="E176" s="13">
        <v>42723.467303240737</v>
      </c>
      <c r="F176" s="13">
        <v>42723.473240740743</v>
      </c>
      <c r="G176" s="7">
        <v>3</v>
      </c>
      <c r="H176" s="22" t="s">
        <v>913</v>
      </c>
      <c r="I176" s="13">
        <v>42723.482812499999</v>
      </c>
      <c r="J176" s="7">
        <v>0</v>
      </c>
      <c r="K176" s="109" t="str">
        <f t="shared" si="49"/>
        <v>4041/4042</v>
      </c>
      <c r="L176" s="22" t="str">
        <f>VLOOKUP(A176,'Trips&amp;Operators'!$C$1:$G$99999,5,FALSE)</f>
        <v>SIMONEAUX TERA</v>
      </c>
      <c r="M176" s="6">
        <f t="shared" si="50"/>
        <v>9.5717592557775788E-3</v>
      </c>
      <c r="N176" s="7">
        <f t="shared" si="51"/>
        <v>13.783333328319713</v>
      </c>
      <c r="O176" s="7"/>
      <c r="P176" s="7"/>
      <c r="Q176" s="23"/>
      <c r="R176" s="23"/>
      <c r="S176" s="35">
        <f t="shared" si="52"/>
        <v>1</v>
      </c>
      <c r="T176" s="50" t="str">
        <f t="shared" si="53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10:12:55-700',mode:absolute,to:'2016-12-19 12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6" s="52" t="str">
        <f t="shared" si="55"/>
        <v>N</v>
      </c>
      <c r="X176" s="177">
        <f t="shared" si="56"/>
        <v>1</v>
      </c>
      <c r="Y176" s="67">
        <f t="shared" si="57"/>
        <v>0.10340000000000001</v>
      </c>
      <c r="Z176" s="67">
        <f t="shared" si="58"/>
        <v>5.8952</v>
      </c>
      <c r="AA176" s="67">
        <f t="shared" si="59"/>
        <v>5.7918000000000003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60"/>
        <v>0817-19</v>
      </c>
      <c r="AE176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76" s="88" t="str">
        <f t="shared" si="62"/>
        <v>"C:\Program Files (x86)\AstroGrep\AstroGrep.exe" /spath="%USERPROFILE%\AppData\Local\Temp\OnboardLogs" /stypes="app*4042*20161219*" /stext=" 18:.+((SYSTEM_STATE.+slice.+state.+changed )|(ment ac)|(multiple cpu faults)|(system.+state.+changed )|(\[timeout)|(PRM\|1\|D)|(kpr)|(kdp)|(\|lc)|(penalty))" /e /r /s</v>
      </c>
      <c r="AG176" s="1" t="str">
        <f t="shared" si="63"/>
        <v>NW</v>
      </c>
      <c r="AH176" s="92" t="str">
        <f t="shared" si="64"/>
        <v>"%USERPROFILE%\Documents\GitHub\eaglep3\Utilities\RefineRTDCRunTimes.py" --tripid 817-19 --locoid 4042 --swversion DE.1.0.8.0 --startMP 204:1034 --initTime 2016-12-19T11:12:55 --startdatetime 2016-12-19T11:21:28 --delay 3 --endMP 300:58952 --enddatetime 2016-12-19T11:35:15 --enforcementcount 0 &gt;&gt;C:\Users\stu\Documents\GitHub\eaglep3-reporting\EC\2016-12-19-refined-times.txt</v>
      </c>
      <c r="AI176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{"issue":{"subject":"","project_id":79,"tracker_id":40,"status_id":1,"priority_id":2,"assigned_to_id":23,"start_date":"2016-12-19","description":"","custom_fields":[{"id":1,"name":"Subdivision","value":"NW"},{"id":4,"name":"Milepost","value":"5.8952"},{"id":17,"name":"Train ID","value":"817-19"},{"id":16,"name":"Locomotive ID","value":"4042"},{"id":130,"name":"Impact","value":""},{"id":150,"name":"Time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649</v>
      </c>
      <c r="B177" s="7">
        <v>4041</v>
      </c>
      <c r="C177" s="22" t="s">
        <v>205</v>
      </c>
      <c r="D177" s="22" t="s">
        <v>914</v>
      </c>
      <c r="E177" s="13">
        <v>42723.484247685185</v>
      </c>
      <c r="F177" s="13">
        <v>42723.486562500002</v>
      </c>
      <c r="G177" s="7">
        <v>1</v>
      </c>
      <c r="H177" s="22" t="s">
        <v>450</v>
      </c>
      <c r="I177" s="13">
        <v>42723.496539351851</v>
      </c>
      <c r="J177" s="7">
        <v>0</v>
      </c>
      <c r="K177" s="109" t="str">
        <f t="shared" si="49"/>
        <v>4041/4042</v>
      </c>
      <c r="L177" s="22" t="str">
        <f>VLOOKUP(A177,'Trips&amp;Operators'!$C$1:$G$99999,5,FALSE)</f>
        <v>SIMONEAUX TERA</v>
      </c>
      <c r="M177" s="6">
        <f t="shared" si="50"/>
        <v>9.9768518484779634E-3</v>
      </c>
      <c r="N177" s="7">
        <f t="shared" si="51"/>
        <v>14.366666661808267</v>
      </c>
      <c r="O177" s="7"/>
      <c r="P177" s="7"/>
      <c r="Q177" s="23"/>
      <c r="R177" s="23"/>
      <c r="S177" s="35">
        <f t="shared" si="52"/>
        <v>1</v>
      </c>
      <c r="T177" s="50" t="str">
        <f t="shared" si="53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10:37:19-700',mode:absolute,to:'2016-12-19 12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7" s="52" t="str">
        <f t="shared" si="55"/>
        <v>N</v>
      </c>
      <c r="X177" s="177">
        <f t="shared" si="56"/>
        <v>1</v>
      </c>
      <c r="Y177" s="67">
        <f t="shared" si="57"/>
        <v>5.8644999999999996</v>
      </c>
      <c r="Z177" s="67">
        <f t="shared" si="58"/>
        <v>7.1900000000000006E-2</v>
      </c>
      <c r="AA177" s="67">
        <f t="shared" si="59"/>
        <v>5.7925999999999993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60"/>
        <v>0818-19</v>
      </c>
      <c r="AE177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77" s="88" t="str">
        <f t="shared" si="62"/>
        <v>"C:\Program Files (x86)\AstroGrep\AstroGrep.exe" /spath="%USERPROFILE%\AppData\Local\Temp\OnboardLogs" /stypes="app*4041*20161219*" /stext=" 18:.+((SYSTEM_STATE.+slice.+state.+changed )|(ment ac)|(multiple cpu faults)|(system.+state.+changed )|(\[timeout)|(PRM\|1\|D)|(kpr)|(kdp)|(\|lc)|(penalty))" /e /r /s</v>
      </c>
      <c r="AG177" s="1" t="str">
        <f t="shared" si="63"/>
        <v>NW</v>
      </c>
      <c r="AH177" s="92" t="str">
        <f t="shared" si="64"/>
        <v>"%USERPROFILE%\Documents\GitHub\eaglep3\Utilities\RefineRTDCRunTimes.py" --tripid 818-19 --locoid 4041 --swversion DE.1.0.8.0 --startMP 300:58645 --initTime 2016-12-19T11:37:19 --startdatetime 2016-12-19T11:40:39 --delay 1 --endMP 204:719 --enddatetime 2016-12-19T11:55:01 --enforcementcount 0 &gt;&gt;C:\Users\stu\Documents\GitHub\eaglep3-reporting\EC\2016-12-19-refined-times.txt</v>
      </c>
      <c r="AI177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{"issue":{"subject":"","project_id":79,"tracker_id":40,"status_id":1,"priority_id":2,"assigned_to_id":23,"start_date":"2016-12-19","description":"","custom_fields":[{"id":1,"name":"Subdivision","value":"NW"},{"id":4,"name":"Milepost","value":"0.0719"},{"id":17,"name":"Train ID","value":"818-19"},{"id":16,"name":"Locomotive ID","value":"4041"},{"id":130,"name":"Impact","value":""},{"id":150,"name":"Time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553</v>
      </c>
      <c r="B178" s="7">
        <v>4042</v>
      </c>
      <c r="C178" s="22" t="s">
        <v>205</v>
      </c>
      <c r="D178" s="22" t="s">
        <v>507</v>
      </c>
      <c r="E178" s="13">
        <v>42723.502870370372</v>
      </c>
      <c r="F178" s="13">
        <v>42723.514907407407</v>
      </c>
      <c r="G178" s="7">
        <v>1</v>
      </c>
      <c r="H178" s="22" t="s">
        <v>915</v>
      </c>
      <c r="I178" s="13">
        <v>42723.525821759256</v>
      </c>
      <c r="J178" s="7">
        <v>0</v>
      </c>
      <c r="K178" s="109" t="str">
        <f t="shared" si="49"/>
        <v>4041/4042</v>
      </c>
      <c r="L178" s="22" t="str">
        <f>VLOOKUP(A178,'Trips&amp;Operators'!$C$1:$G$99999,5,FALSE)</f>
        <v>SIMONEAUX TERA</v>
      </c>
      <c r="M178" s="6">
        <f t="shared" si="50"/>
        <v>1.0914351849351078E-2</v>
      </c>
      <c r="N178" s="7">
        <f t="shared" si="51"/>
        <v>15.716666663065553</v>
      </c>
      <c r="O178" s="7"/>
      <c r="P178" s="7"/>
      <c r="Q178" s="23"/>
      <c r="R178" s="23"/>
      <c r="S178" s="35">
        <f t="shared" si="52"/>
        <v>1</v>
      </c>
      <c r="T178" s="50" t="str">
        <f t="shared" si="53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11:04:08-700',mode:absolute,to:'2016-12-19 13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8" s="52" t="str">
        <f t="shared" si="55"/>
        <v>N</v>
      </c>
      <c r="X178" s="177">
        <f t="shared" si="56"/>
        <v>1</v>
      </c>
      <c r="Y178" s="67">
        <f t="shared" si="57"/>
        <v>0.1018</v>
      </c>
      <c r="Z178" s="67">
        <f t="shared" si="58"/>
        <v>5.8948</v>
      </c>
      <c r="AA178" s="67">
        <f t="shared" si="59"/>
        <v>5.7930000000000001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60"/>
        <v>0819-19</v>
      </c>
      <c r="AE178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78" s="88" t="str">
        <f t="shared" si="62"/>
        <v>"C:\Program Files (x86)\AstroGrep\AstroGrep.exe" /spath="%USERPROFILE%\AppData\Local\Temp\OnboardLogs" /stypes="app*4042*20161219*" /stext=" 19:.+((SYSTEM_STATE.+slice.+state.+changed )|(ment ac)|(multiple cpu faults)|(system.+state.+changed )|(\[timeout)|(PRM\|1\|D)|(kpr)|(kdp)|(\|lc)|(penalty))" /e /r /s</v>
      </c>
      <c r="AG178" s="1" t="str">
        <f t="shared" si="63"/>
        <v>NW</v>
      </c>
      <c r="AH178" s="92" t="str">
        <f t="shared" si="64"/>
        <v>"%USERPROFILE%\Documents\GitHub\eaglep3\Utilities\RefineRTDCRunTimes.py" --tripid 819-19 --locoid 4042 --swversion DE.1.0.8.0 --startMP 204:1018 --initTime 2016-12-19T12:04:08 --startdatetime 2016-12-19T12:21:28 --delay 1 --endMP 300:58948 --enddatetime 2016-12-19T12:37:11 --enforcementcount 0 &gt;&gt;C:\Users\stu\Documents\GitHub\eaglep3-reporting\EC\2016-12-19-refined-times.txt</v>
      </c>
      <c r="AI178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{"issue":{"subject":"","project_id":79,"tracker_id":40,"status_id":1,"priority_id":2,"assigned_to_id":23,"start_date":"2016-12-19","description":"","custom_fields":[{"id":1,"name":"Subdivision","value":"NW"},{"id":4,"name":"Milepost","value":"5.8948"},{"id":17,"name":"Train ID","value":"819-19"},{"id":16,"name":"Locomotive ID","value":"4042"},{"id":130,"name":"Impact","value":""},{"id":150,"name":"Time of Event (Mountain Time)","value":"12:37:11"},{"id":151,"name":"Denver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554</v>
      </c>
      <c r="B179" s="7">
        <v>4041</v>
      </c>
      <c r="C179" s="22" t="s">
        <v>205</v>
      </c>
      <c r="D179" s="22" t="s">
        <v>916</v>
      </c>
      <c r="E179" s="13">
        <v>42723.527465277781</v>
      </c>
      <c r="F179" s="13">
        <v>42723.529687499999</v>
      </c>
      <c r="G179" s="7">
        <v>1</v>
      </c>
      <c r="H179" s="22" t="s">
        <v>506</v>
      </c>
      <c r="I179" s="13">
        <v>42723.540046296293</v>
      </c>
      <c r="J179" s="7">
        <v>0</v>
      </c>
      <c r="K179" s="109" t="str">
        <f t="shared" si="49"/>
        <v>4041/4042</v>
      </c>
      <c r="L179" s="22" t="str">
        <f>VLOOKUP(A179,'Trips&amp;Operators'!$C$1:$G$99999,5,FALSE)</f>
        <v>SIMONEAUX TERA</v>
      </c>
      <c r="M179" s="6">
        <f t="shared" si="50"/>
        <v>1.0358796294895001E-2</v>
      </c>
      <c r="N179" s="7">
        <f t="shared" si="51"/>
        <v>14.916666664648801</v>
      </c>
      <c r="O179" s="7"/>
      <c r="P179" s="7"/>
      <c r="Q179" s="23"/>
      <c r="R179" s="23"/>
      <c r="S179" s="35">
        <f t="shared" si="52"/>
        <v>1</v>
      </c>
      <c r="T179" s="50" t="str">
        <f t="shared" si="53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11:39:33-700',mode:absolute,to:'2016-12-19 13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9" s="52" t="str">
        <f t="shared" si="55"/>
        <v>N</v>
      </c>
      <c r="X179" s="177">
        <f t="shared" si="56"/>
        <v>1</v>
      </c>
      <c r="Y179" s="67">
        <f t="shared" si="57"/>
        <v>5.8639999999999999</v>
      </c>
      <c r="Z179" s="67">
        <f t="shared" si="58"/>
        <v>7.4499999999999997E-2</v>
      </c>
      <c r="AA179" s="67">
        <f t="shared" si="59"/>
        <v>5.7895000000000003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60"/>
        <v>0820-19</v>
      </c>
      <c r="AE179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79" s="88" t="str">
        <f t="shared" si="62"/>
        <v>"C:\Program Files (x86)\AstroGrep\AstroGrep.exe" /spath="%USERPROFILE%\AppData\Local\Temp\OnboardLogs" /stypes="app*4041*20161219*" /stext=" 19:.+((SYSTEM_STATE.+slice.+state.+changed )|(ment ac)|(multiple cpu faults)|(system.+state.+changed )|(\[timeout)|(PRM\|1\|D)|(kpr)|(kdp)|(\|lc)|(penalty))" /e /r /s</v>
      </c>
      <c r="AG179" s="1" t="str">
        <f t="shared" si="63"/>
        <v>NW</v>
      </c>
      <c r="AH179" s="92" t="str">
        <f t="shared" si="64"/>
        <v>"%USERPROFILE%\Documents\GitHub\eaglep3\Utilities\RefineRTDCRunTimes.py" --tripid 820-19 --locoid 4041 --swversion DE.1.0.8.0 --startMP 300:58640 --initTime 2016-12-19T12:39:33 --startdatetime 2016-12-19T12:42:45 --delay 1 --endMP 204:745 --enddatetime 2016-12-19T12:57:40 --enforcementcount 0 &gt;&gt;C:\Users\stu\Documents\GitHub\eaglep3-reporting\EC\2016-12-19-refined-times.txt</v>
      </c>
      <c r="AI179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{"issue":{"subject":"","project_id":79,"tracker_id":40,"status_id":1,"priority_id":2,"assigned_to_id":23,"start_date":"2016-12-19","description":"","custom_fields":[{"id":1,"name":"Subdivision","value":"NW"},{"id":4,"name":"Milepost","value":"0.0745"},{"id":17,"name":"Train ID","value":"820-19"},{"id":16,"name":"Locomotive ID","value":"4041"},{"id":130,"name":"Impact","value":""},{"id":150,"name":"Time of Event (Mountain Time)","value":"12:57:40"},{"id":151,"name":"Denver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664</v>
      </c>
      <c r="B180" s="7">
        <v>4042</v>
      </c>
      <c r="C180" s="22" t="s">
        <v>205</v>
      </c>
      <c r="D180" s="22" t="s">
        <v>917</v>
      </c>
      <c r="E180" s="13">
        <v>42723.551354166666</v>
      </c>
      <c r="F180" s="13">
        <v>42723.556458333333</v>
      </c>
      <c r="G180" s="7">
        <v>1</v>
      </c>
      <c r="H180" s="22" t="s">
        <v>449</v>
      </c>
      <c r="I180" s="13">
        <v>42723.565648148149</v>
      </c>
      <c r="J180" s="7">
        <v>0</v>
      </c>
      <c r="K180" s="109" t="str">
        <f t="shared" si="49"/>
        <v>4041/4042</v>
      </c>
      <c r="L180" s="22" t="str">
        <f>VLOOKUP(A180,'Trips&amp;Operators'!$C$1:$G$99999,5,FALSE)</f>
        <v>LEVIN SCOTT</v>
      </c>
      <c r="M180" s="6">
        <f t="shared" si="50"/>
        <v>9.189814816636499E-3</v>
      </c>
      <c r="N180" s="7">
        <f t="shared" si="51"/>
        <v>13.233333335956559</v>
      </c>
      <c r="O180" s="7"/>
      <c r="P180" s="7"/>
      <c r="Q180" s="23"/>
      <c r="R180" s="23"/>
      <c r="S180" s="35">
        <f t="shared" si="52"/>
        <v>1</v>
      </c>
      <c r="T180" s="50" t="str">
        <f t="shared" si="53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12:13:57-700',mode:absolute,to:'2016-12-19 14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0" s="52" t="str">
        <f t="shared" si="55"/>
        <v>N</v>
      </c>
      <c r="X180" s="177">
        <f t="shared" si="56"/>
        <v>1</v>
      </c>
      <c r="Y180" s="67">
        <f t="shared" si="57"/>
        <v>0.1027</v>
      </c>
      <c r="Z180" s="67">
        <f t="shared" si="58"/>
        <v>5.8924000000000003</v>
      </c>
      <c r="AA180" s="67">
        <f t="shared" si="59"/>
        <v>5.7897000000000007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60"/>
        <v>0821-19</v>
      </c>
      <c r="AE180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80" s="88" t="str">
        <f t="shared" si="62"/>
        <v>"C:\Program Files (x86)\AstroGrep\AstroGrep.exe" /spath="%USERPROFILE%\AppData\Local\Temp\OnboardLogs" /stypes="app*4042*20161219*" /stext=" 20:.+((SYSTEM_STATE.+slice.+state.+changed )|(ment ac)|(multiple cpu faults)|(system.+state.+changed )|(\[timeout)|(PRM\|1\|D)|(kpr)|(kdp)|(\|lc)|(penalty))" /e /r /s</v>
      </c>
      <c r="AG180" s="1" t="str">
        <f t="shared" si="63"/>
        <v>NW</v>
      </c>
      <c r="AH180" s="92" t="str">
        <f t="shared" si="64"/>
        <v>"%USERPROFILE%\Documents\GitHub\eaglep3\Utilities\RefineRTDCRunTimes.py" --tripid 821-19 --locoid 4042 --swversion DE.1.0.8.0 --startMP 204:1027 --initTime 2016-12-19T13:13:57 --startdatetime 2016-12-19T13:21:18 --delay 1 --endMP 300:58924 --enddatetime 2016-12-19T13:34:32 --enforcementcount 0 &gt;&gt;C:\Users\stu\Documents\GitHub\eaglep3-reporting\EC\2016-12-19-refined-times.txt</v>
      </c>
      <c r="AI180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{"issue":{"subject":"","project_id":79,"tracker_id":40,"status_id":1,"priority_id":2,"assigned_to_id":23,"start_date":"2016-12-19","description":"","custom_fields":[{"id":1,"name":"Subdivision","value":"NW"},{"id":4,"name":"Milepost","value":"5.8924"},{"id":17,"name":"Train ID","value":"821-19"},{"id":16,"name":"Locomotive ID","value":"4042"},{"id":130,"name":"Impact","value":""},{"id":150,"name":"Time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667</v>
      </c>
      <c r="B181" s="7">
        <v>4041</v>
      </c>
      <c r="C181" s="22" t="s">
        <v>205</v>
      </c>
      <c r="D181" s="22" t="s">
        <v>918</v>
      </c>
      <c r="E181" s="13">
        <v>42723.567060185182</v>
      </c>
      <c r="F181" s="13">
        <v>42723.568761574075</v>
      </c>
      <c r="G181" s="7">
        <v>1</v>
      </c>
      <c r="H181" s="22" t="s">
        <v>919</v>
      </c>
      <c r="I181" s="13">
        <v>42723.579895833333</v>
      </c>
      <c r="J181" s="7">
        <v>0</v>
      </c>
      <c r="K181" s="109" t="str">
        <f t="shared" si="49"/>
        <v>4041/4042</v>
      </c>
      <c r="L181" s="22" t="str">
        <f>VLOOKUP(A181,'Trips&amp;Operators'!$C$1:$G$99999,5,FALSE)</f>
        <v>LEVIN SCOTT</v>
      </c>
      <c r="M181" s="6">
        <f t="shared" si="50"/>
        <v>1.113425925723277E-2</v>
      </c>
      <c r="N181" s="7">
        <f t="shared" si="51"/>
        <v>16.033333330415189</v>
      </c>
      <c r="O181" s="7"/>
      <c r="P181" s="7"/>
      <c r="Q181" s="23"/>
      <c r="R181" s="23"/>
      <c r="S181" s="35">
        <f t="shared" si="52"/>
        <v>1</v>
      </c>
      <c r="T181" s="50" t="str">
        <f t="shared" si="53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12:36:34-700',mode:absolute,to:'2016-12-19 14:55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1" s="52" t="str">
        <f t="shared" si="55"/>
        <v>N</v>
      </c>
      <c r="X181" s="177">
        <f t="shared" si="56"/>
        <v>1</v>
      </c>
      <c r="Y181" s="67">
        <f t="shared" si="57"/>
        <v>5.8609</v>
      </c>
      <c r="Z181" s="67">
        <f t="shared" si="58"/>
        <v>6.9800000000000001E-2</v>
      </c>
      <c r="AA181" s="67">
        <f t="shared" si="59"/>
        <v>5.7911000000000001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60"/>
        <v>0822-19</v>
      </c>
      <c r="AE181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81" s="88" t="str">
        <f t="shared" si="62"/>
        <v>"C:\Program Files (x86)\AstroGrep\AstroGrep.exe" /spath="%USERPROFILE%\AppData\Local\Temp\OnboardLogs" /stypes="app*4041*20161219*" /stext=" 20:.+((SYSTEM_STATE.+slice.+state.+changed )|(ment ac)|(multiple cpu faults)|(system.+state.+changed )|(\[timeout)|(PRM\|1\|D)|(kpr)|(kdp)|(\|lc)|(penalty))" /e /r /s</v>
      </c>
      <c r="AG181" s="1" t="str">
        <f t="shared" si="63"/>
        <v>NW</v>
      </c>
      <c r="AH181" s="92" t="str">
        <f t="shared" si="64"/>
        <v>"%USERPROFILE%\Documents\GitHub\eaglep3\Utilities\RefineRTDCRunTimes.py" --tripid 822-19 --locoid 4041 --swversion DE.1.0.8.0 --startMP 300:58609 --initTime 2016-12-19T13:36:34 --startdatetime 2016-12-19T13:39:01 --delay 1 --endMP 204:698 --enddatetime 2016-12-19T13:55:03 --enforcementcount 0 &gt;&gt;C:\Users\stu\Documents\GitHub\eaglep3-reporting\EC\2016-12-19-refined-times.txt</v>
      </c>
      <c r="AI181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{"issue":{"subject":"","project_id":79,"tracker_id":40,"status_id":1,"priority_id":2,"assigned_to_id":23,"start_date":"2016-12-19","description":"","custom_fields":[{"id":1,"name":"Subdivision","value":"NW"},{"id":4,"name":"Milepost","value":"0.0698"},{"id":17,"name":"Train ID","value":"822-19"},{"id":16,"name":"Locomotive ID","value":"4041"},{"id":130,"name":"Impact","value":""},{"id":150,"name":"Time of Event (Mountain Time)","value":"13:55:03"},{"id":151,"name":"Denver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675</v>
      </c>
      <c r="B182" s="7">
        <v>4042</v>
      </c>
      <c r="C182" s="22" t="s">
        <v>205</v>
      </c>
      <c r="D182" s="22" t="s">
        <v>920</v>
      </c>
      <c r="E182" s="13">
        <v>42723.594224537039</v>
      </c>
      <c r="F182" s="13">
        <v>42723.598171296297</v>
      </c>
      <c r="G182" s="7">
        <v>1</v>
      </c>
      <c r="H182" s="22" t="s">
        <v>455</v>
      </c>
      <c r="I182" s="13">
        <v>42723.607465277775</v>
      </c>
      <c r="J182" s="7">
        <v>0</v>
      </c>
      <c r="K182" s="109" t="str">
        <f t="shared" si="49"/>
        <v>4041/4042</v>
      </c>
      <c r="L182" s="22" t="str">
        <f>VLOOKUP(A182,'Trips&amp;Operators'!$C$1:$G$99999,5,FALSE)</f>
        <v>LEVIN SCOTT</v>
      </c>
      <c r="M182" s="6">
        <f t="shared" si="50"/>
        <v>9.29398147854954E-3</v>
      </c>
      <c r="N182" s="7">
        <f t="shared" si="51"/>
        <v>13.383333329111338</v>
      </c>
      <c r="O182" s="7"/>
      <c r="P182" s="7"/>
      <c r="Q182" s="23"/>
      <c r="R182" s="23"/>
      <c r="S182" s="35">
        <f t="shared" si="52"/>
        <v>1</v>
      </c>
      <c r="T182" s="50" t="str">
        <f t="shared" si="53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13:15:41-700',mode:absolute,to:'2016-12-19 15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2" s="52" t="str">
        <f t="shared" si="55"/>
        <v>N</v>
      </c>
      <c r="X182" s="177">
        <f t="shared" si="56"/>
        <v>1</v>
      </c>
      <c r="Y182" s="67">
        <f t="shared" si="57"/>
        <v>9.8299999999999998E-2</v>
      </c>
      <c r="Z182" s="67">
        <f t="shared" si="58"/>
        <v>5.8925999999999998</v>
      </c>
      <c r="AA182" s="67">
        <f t="shared" si="59"/>
        <v>5.7942999999999998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60"/>
        <v>0823-19</v>
      </c>
      <c r="AE182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82" s="88" t="str">
        <f t="shared" si="62"/>
        <v>"C:\Program Files (x86)\AstroGrep\AstroGrep.exe" /spath="%USERPROFILE%\AppData\Local\Temp\OnboardLogs" /stypes="app*4042*20161219*" /stext=" 21:.+((SYSTEM_STATE.+slice.+state.+changed )|(ment ac)|(multiple cpu faults)|(system.+state.+changed )|(\[timeout)|(PRM\|1\|D)|(kpr)|(kdp)|(\|lc)|(penalty))" /e /r /s</v>
      </c>
      <c r="AG182" s="1" t="str">
        <f t="shared" si="63"/>
        <v>NW</v>
      </c>
      <c r="AH182" s="92" t="str">
        <f t="shared" si="64"/>
        <v>"%USERPROFILE%\Documents\GitHub\eaglep3\Utilities\RefineRTDCRunTimes.py" --tripid 823-19 --locoid 4042 --swversion DE.1.0.8.0 --startMP 204:983 --initTime 2016-12-19T14:15:41 --startdatetime 2016-12-19T14:21:22 --delay 1 --endMP 300:58926 --enddatetime 2016-12-19T14:34:45 --enforcementcount 0 &gt;&gt;C:\Users\stu\Documents\GitHub\eaglep3-reporting\EC\2016-12-19-refined-times.txt</v>
      </c>
      <c r="AI182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{"issue":{"subject":"","project_id":79,"tracker_id":40,"status_id":1,"priority_id":2,"assigned_to_id":23,"start_date":"2016-12-19","description":"","custom_fields":[{"id":1,"name":"Subdivision","value":"NW"},{"id":4,"name":"Milepost","value":"5.8926"},{"id":17,"name":"Train ID","value":"823-19"},{"id":16,"name":"Locomotive ID","value":"4042"},{"id":130,"name":"Impact","value":""},{"id":150,"name":"Time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555</v>
      </c>
      <c r="B183" s="7">
        <v>4041</v>
      </c>
      <c r="C183" s="22" t="s">
        <v>205</v>
      </c>
      <c r="D183" s="22" t="s">
        <v>278</v>
      </c>
      <c r="E183" s="13">
        <v>42723.608865740738</v>
      </c>
      <c r="F183" s="13">
        <v>42723.610324074078</v>
      </c>
      <c r="G183" s="7">
        <v>1</v>
      </c>
      <c r="H183" s="22" t="s">
        <v>921</v>
      </c>
      <c r="I183" s="13">
        <v>42723.621053240742</v>
      </c>
      <c r="J183" s="7">
        <v>0</v>
      </c>
      <c r="K183" s="109" t="str">
        <f t="shared" si="49"/>
        <v>4041/4042</v>
      </c>
      <c r="L183" s="22" t="str">
        <f>VLOOKUP(A183,'Trips&amp;Operators'!$C$1:$G$99999,5,FALSE)</f>
        <v>LEVIN SCOTT</v>
      </c>
      <c r="M183" s="6">
        <f t="shared" si="50"/>
        <v>1.0729166664532386E-2</v>
      </c>
      <c r="N183" s="7">
        <f t="shared" si="51"/>
        <v>15.449999996926636</v>
      </c>
      <c r="O183" s="7"/>
      <c r="P183" s="7"/>
      <c r="Q183" s="23"/>
      <c r="R183" s="23"/>
      <c r="S183" s="35">
        <f t="shared" si="52"/>
        <v>1</v>
      </c>
      <c r="T183" s="50" t="str">
        <f t="shared" si="53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13:36:46-700',mode:absolute,to:'2016-12-19 15:54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3" s="52" t="str">
        <f t="shared" si="55"/>
        <v>N</v>
      </c>
      <c r="X183" s="177">
        <f t="shared" si="56"/>
        <v>1</v>
      </c>
      <c r="Y183" s="67">
        <f t="shared" si="57"/>
        <v>5.8613</v>
      </c>
      <c r="Z183" s="67">
        <f t="shared" si="58"/>
        <v>7.9899999999999999E-2</v>
      </c>
      <c r="AA183" s="67">
        <f t="shared" si="59"/>
        <v>5.7813999999999997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60"/>
        <v>0824-19</v>
      </c>
      <c r="AE183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83" s="88" t="str">
        <f t="shared" si="62"/>
        <v>"C:\Program Files (x86)\AstroGrep\AstroGrep.exe" /spath="%USERPROFILE%\AppData\Local\Temp\OnboardLogs" /stypes="app*4041*20161219*" /stext=" 21:.+((SYSTEM_STATE.+slice.+state.+changed )|(ment ac)|(multiple cpu faults)|(system.+state.+changed )|(\[timeout)|(PRM\|1\|D)|(kpr)|(kdp)|(\|lc)|(penalty))" /e /r /s</v>
      </c>
      <c r="AG183" s="1" t="str">
        <f t="shared" si="63"/>
        <v>NW</v>
      </c>
      <c r="AH183" s="92" t="str">
        <f t="shared" si="64"/>
        <v>"%USERPROFILE%\Documents\GitHub\eaglep3\Utilities\RefineRTDCRunTimes.py" --tripid 824-19 --locoid 4041 --swversion DE.1.0.8.0 --startMP 300:58613 --initTime 2016-12-19T14:36:46 --startdatetime 2016-12-19T14:38:52 --delay 1 --endMP 204:799 --enddatetime 2016-12-19T14:54:19 --enforcementcount 0 &gt;&gt;C:\Users\stu\Documents\GitHub\eaglep3-reporting\EC\2016-12-19-refined-times.txt</v>
      </c>
      <c r="AI183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{"issue":{"subject":"","project_id":79,"tracker_id":40,"status_id":1,"priority_id":2,"assigned_to_id":23,"start_date":"2016-12-19","description":"","custom_fields":[{"id":1,"name":"Subdivision","value":"NW"},{"id":4,"name":"Milepost","value":"0.0799"},{"id":17,"name":"Train ID","value":"824-19"},{"id":16,"name":"Locomotive ID","value":"4041"},{"id":130,"name":"Impact","value":""},{"id":150,"name":"Time of Event (Mountain Time)","value":"14:54:19"},{"id":151,"name":"Denver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685</v>
      </c>
      <c r="B184" s="7">
        <v>4042</v>
      </c>
      <c r="C184" s="22" t="s">
        <v>205</v>
      </c>
      <c r="D184" s="22" t="s">
        <v>922</v>
      </c>
      <c r="E184" s="13">
        <v>42723.637175925927</v>
      </c>
      <c r="F184" s="13">
        <v>42723.640046296299</v>
      </c>
      <c r="G184" s="7">
        <v>1</v>
      </c>
      <c r="H184" s="22" t="s">
        <v>923</v>
      </c>
      <c r="I184" s="13">
        <v>42723.649201388886</v>
      </c>
      <c r="J184" s="7">
        <v>0</v>
      </c>
      <c r="K184" s="109" t="str">
        <f t="shared" si="49"/>
        <v>4041/4042</v>
      </c>
      <c r="L184" s="22" t="str">
        <f>VLOOKUP(A184,'Trips&amp;Operators'!$C$1:$G$99999,5,FALSE)</f>
        <v>LEVIN SCOTT</v>
      </c>
      <c r="M184" s="6">
        <f t="shared" si="50"/>
        <v>9.1550925862975419E-3</v>
      </c>
      <c r="N184" s="7">
        <f t="shared" si="51"/>
        <v>13.18333332426846</v>
      </c>
      <c r="O184" s="7"/>
      <c r="P184" s="7"/>
      <c r="Q184" s="23"/>
      <c r="R184" s="23"/>
      <c r="S184" s="35">
        <f t="shared" si="52"/>
        <v>1</v>
      </c>
      <c r="T184" s="50" t="str">
        <f t="shared" si="53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14:17:32-700',mode:absolute,to:'2016-12-19 16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4" s="52" t="str">
        <f t="shared" si="55"/>
        <v>N</v>
      </c>
      <c r="X184" s="177">
        <f t="shared" si="56"/>
        <v>1</v>
      </c>
      <c r="Y184" s="67">
        <f t="shared" si="57"/>
        <v>0.1091</v>
      </c>
      <c r="Z184" s="67">
        <f t="shared" si="58"/>
        <v>5.8928000000000003</v>
      </c>
      <c r="AA184" s="67">
        <f t="shared" si="59"/>
        <v>5.7837000000000005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60"/>
        <v>0825-19</v>
      </c>
      <c r="AE184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84" s="88" t="str">
        <f t="shared" si="62"/>
        <v>"C:\Program Files (x86)\AstroGrep\AstroGrep.exe" /spath="%USERPROFILE%\AppData\Local\Temp\OnboardLogs" /stypes="app*4042*20161219*" /stext=" 22:.+((SYSTEM_STATE.+slice.+state.+changed )|(ment ac)|(multiple cpu faults)|(system.+state.+changed )|(\[timeout)|(PRM\|1\|D)|(kpr)|(kdp)|(\|lc)|(penalty))" /e /r /s</v>
      </c>
      <c r="AG184" s="1" t="str">
        <f t="shared" si="63"/>
        <v>NW</v>
      </c>
      <c r="AH184" s="92" t="str">
        <f t="shared" si="64"/>
        <v>"%USERPROFILE%\Documents\GitHub\eaglep3\Utilities\RefineRTDCRunTimes.py" --tripid 825-19 --locoid 4042 --swversion DE.1.0.8.0 --startMP 204:1091 --initTime 2016-12-19T15:17:32 --startdatetime 2016-12-19T15:21:40 --delay 1 --endMP 300:58928 --enddatetime 2016-12-19T15:34:51 --enforcementcount 0 &gt;&gt;C:\Users\stu\Documents\GitHub\eaglep3-reporting\EC\2016-12-19-refined-times.txt</v>
      </c>
      <c r="AI184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{"issue":{"subject":"","project_id":79,"tracker_id":40,"status_id":1,"priority_id":2,"assigned_to_id":23,"start_date":"2016-12-19","description":"","custom_fields":[{"id":1,"name":"Subdivision","value":"NW"},{"id":4,"name":"Milepost","value":"5.8928"},{"id":17,"name":"Train ID","value":"825-19"},{"id":16,"name":"Locomotive ID","value":"4042"},{"id":130,"name":"Impact","value":""},{"id":150,"name":"Time of Event (Mountain Time)","value":"15:34:51"},{"id":151,"name":"Denver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7" t="s">
        <v>556</v>
      </c>
      <c r="B185" s="7">
        <v>4041</v>
      </c>
      <c r="C185" s="22" t="s">
        <v>205</v>
      </c>
      <c r="D185" s="22" t="s">
        <v>924</v>
      </c>
      <c r="E185" s="13">
        <v>42723.650266203702</v>
      </c>
      <c r="F185" s="13">
        <v>42723.652094907404</v>
      </c>
      <c r="G185" s="7">
        <v>1</v>
      </c>
      <c r="H185" s="22" t="s">
        <v>925</v>
      </c>
      <c r="I185" s="13">
        <v>42723.664953703701</v>
      </c>
      <c r="J185" s="7">
        <v>0</v>
      </c>
      <c r="K185" s="109" t="str">
        <f t="shared" si="49"/>
        <v>4041/4042</v>
      </c>
      <c r="L185" s="22" t="str">
        <f>VLOOKUP(A185,'Trips&amp;Operators'!$C$1:$G$99999,5,FALSE)</f>
        <v>LEVIN SCOTT</v>
      </c>
      <c r="M185" s="6">
        <f t="shared" si="50"/>
        <v>1.2858796297223307E-2</v>
      </c>
      <c r="N185" s="7">
        <f t="shared" si="51"/>
        <v>18.516666668001562</v>
      </c>
      <c r="O185" s="7"/>
      <c r="P185" s="7"/>
      <c r="Q185" s="23"/>
      <c r="R185" s="23"/>
      <c r="S185" s="35">
        <f t="shared" si="52"/>
        <v>1</v>
      </c>
      <c r="T185" s="50" t="str">
        <f t="shared" si="53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14:36:23-700',mode:absolute,to:'2016-12-19 16:57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5" s="52" t="str">
        <f t="shared" si="55"/>
        <v>N</v>
      </c>
      <c r="X185" s="177">
        <f t="shared" si="56"/>
        <v>1</v>
      </c>
      <c r="Y185" s="67">
        <f t="shared" si="57"/>
        <v>5.8608000000000002</v>
      </c>
      <c r="Z185" s="67">
        <f t="shared" si="58"/>
        <v>7.0599999999999996E-2</v>
      </c>
      <c r="AA185" s="67">
        <f t="shared" si="59"/>
        <v>5.7902000000000005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60"/>
        <v>0826-19</v>
      </c>
      <c r="AE185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85" s="88" t="str">
        <f t="shared" si="62"/>
        <v>"C:\Program Files (x86)\AstroGrep\AstroGrep.exe" /spath="%USERPROFILE%\AppData\Local\Temp\OnboardLogs" /stypes="app*4041*20161219*" /stext=" 22:.+((SYSTEM_STATE.+slice.+state.+changed )|(ment ac)|(multiple cpu faults)|(system.+state.+changed )|(\[timeout)|(PRM\|1\|D)|(kpr)|(kdp)|(\|lc)|(penalty))" /e /r /s</v>
      </c>
      <c r="AG185" s="1" t="str">
        <f t="shared" si="63"/>
        <v>NW</v>
      </c>
      <c r="AH185" s="92" t="str">
        <f t="shared" si="64"/>
        <v>"%USERPROFILE%\Documents\GitHub\eaglep3\Utilities\RefineRTDCRunTimes.py" --tripid 826-19 --locoid 4041 --swversion DE.1.0.8.0 --startMP 300:58608 --initTime 2016-12-19T15:36:23 --startdatetime 2016-12-19T15:39:01 --delay 1 --endMP 204:706 --enddatetime 2016-12-19T15:57:32 --enforcementcount 0 &gt;&gt;C:\Users\stu\Documents\GitHub\eaglep3-reporting\EC\2016-12-19-refined-times.txt</v>
      </c>
      <c r="AI185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{"issue":{"subject":"","project_id":79,"tracker_id":40,"status_id":1,"priority_id":2,"assigned_to_id":23,"start_date":"2016-12-19","description":"","custom_fields":[{"id":1,"name":"Subdivision","value":"NW"},{"id":4,"name":"Milepost","value":"0.0706"},{"id":17,"name":"Train ID","value":"826-19"},{"id":16,"name":"Locomotive ID","value":"4041"},{"id":130,"name":"Impact","value":""},{"id":150,"name":"Time of Event (Mountain Time)","value":"15:57:32"},{"id":151,"name":"Denver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691</v>
      </c>
      <c r="B186" s="7">
        <v>4016</v>
      </c>
      <c r="C186" s="22" t="s">
        <v>205</v>
      </c>
      <c r="D186" s="22" t="s">
        <v>926</v>
      </c>
      <c r="E186" s="13">
        <v>42723.657048611109</v>
      </c>
      <c r="F186" s="13">
        <v>42723.660601851851</v>
      </c>
      <c r="G186" s="7">
        <v>1</v>
      </c>
      <c r="H186" s="22" t="s">
        <v>927</v>
      </c>
      <c r="I186" s="13">
        <v>42723.670208333337</v>
      </c>
      <c r="J186" s="7">
        <v>0</v>
      </c>
      <c r="K186" s="109" t="str">
        <f t="shared" si="49"/>
        <v>4015/4016</v>
      </c>
      <c r="L186" s="22" t="str">
        <f>VLOOKUP(A186,'Trips&amp;Operators'!$C$1:$G$99999,5,FALSE)</f>
        <v>NEWELL JAMES</v>
      </c>
      <c r="M186" s="6">
        <f t="shared" si="50"/>
        <v>9.606481486116536E-3</v>
      </c>
      <c r="N186" s="7">
        <f t="shared" si="51"/>
        <v>13.833333340007812</v>
      </c>
      <c r="O186" s="7"/>
      <c r="P186" s="7"/>
      <c r="Q186" s="23"/>
      <c r="R186" s="23"/>
      <c r="S186" s="35">
        <f t="shared" si="52"/>
        <v>1</v>
      </c>
      <c r="T186" s="50" t="str">
        <f t="shared" si="53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14:46:09-700',mode:absolute,to:'2016-12-19 17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6" s="52" t="str">
        <f t="shared" si="55"/>
        <v>N</v>
      </c>
      <c r="X186" s="177">
        <f t="shared" si="56"/>
        <v>1</v>
      </c>
      <c r="Y186" s="67">
        <f t="shared" si="57"/>
        <v>9.7100000000000006E-2</v>
      </c>
      <c r="Z186" s="67">
        <f t="shared" si="58"/>
        <v>5.8921999999999999</v>
      </c>
      <c r="AA186" s="67">
        <f t="shared" si="59"/>
        <v>5.7950999999999997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60"/>
        <v>0827-19</v>
      </c>
      <c r="AE186" s="91" t="str">
        <f t="shared" si="61"/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AF186" s="88" t="str">
        <f t="shared" si="62"/>
        <v>"C:\Program Files (x86)\AstroGrep\AstroGrep.exe" /spath="%USERPROFILE%\AppData\Local\Temp\OnboardLogs" /stypes="app*4016*20161219*" /stext=" 23:.+((SYSTEM_STATE.+slice.+state.+changed )|(ment ac)|(multiple cpu faults)|(system.+state.+changed )|(\[timeout)|(PRM\|1\|D)|(kpr)|(kdp)|(\|lc)|(penalty))" /e /r /s</v>
      </c>
      <c r="AG186" s="1" t="str">
        <f t="shared" si="63"/>
        <v>NW</v>
      </c>
      <c r="AH186" s="92" t="str">
        <f t="shared" si="64"/>
        <v>"%USERPROFILE%\Documents\GitHub\eaglep3\Utilities\RefineRTDCRunTimes.py" --tripid 827-19 --locoid 4016 --swversion DE.1.0.8.0 --startMP 204:971 --initTime 2016-12-19T15:46:09 --startdatetime 2016-12-19T15:51:16 --delay 1 --endMP 300:58922 --enddatetime 2016-12-19T16:05:06 --enforcementcount 0 &gt;&gt;C:\Users\stu\Documents\GitHub\eaglep3-reporting\EC\2016-12-19-refined-times.txt</v>
      </c>
      <c r="AI186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{"issue":{"subject":"","project_id":79,"tracker_id":40,"status_id":1,"priority_id":2,"assigned_to_id":23,"start_date":"2016-12-19","description":"","custom_fields":[{"id":1,"name":"Subdivision","value":"NW"},{"id":4,"name":"Milepost","value":"5.8922"},{"id":17,"name":"Train ID","value":"827-19"},{"id":16,"name":"Locomotive ID","value":"4016"},{"id":130,"name":"Impact","value":""},{"id":150,"name":"Time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694</v>
      </c>
      <c r="B187" s="7">
        <v>4015</v>
      </c>
      <c r="C187" s="22" t="s">
        <v>205</v>
      </c>
      <c r="D187" s="22" t="s">
        <v>508</v>
      </c>
      <c r="E187" s="13">
        <v>42723.670983796299</v>
      </c>
      <c r="F187" s="13">
        <v>42723.672129629631</v>
      </c>
      <c r="G187" s="7">
        <v>1</v>
      </c>
      <c r="H187" s="22" t="s">
        <v>498</v>
      </c>
      <c r="I187" s="13">
        <v>42723.685555555552</v>
      </c>
      <c r="J187" s="7">
        <v>0</v>
      </c>
      <c r="K187" s="109" t="str">
        <f t="shared" si="49"/>
        <v>4015/4016</v>
      </c>
      <c r="L187" s="22" t="str">
        <f>VLOOKUP(A187,'Trips&amp;Operators'!$C$1:$G$99999,5,FALSE)</f>
        <v>NEWELL JAMES</v>
      </c>
      <c r="M187" s="6">
        <f t="shared" si="50"/>
        <v>1.3425925921183079E-2</v>
      </c>
      <c r="N187" s="7">
        <f t="shared" si="51"/>
        <v>19.333333326503634</v>
      </c>
      <c r="O187" s="7"/>
      <c r="P187" s="7"/>
      <c r="Q187" s="23"/>
      <c r="R187" s="23"/>
      <c r="S187" s="35">
        <f t="shared" si="52"/>
        <v>1</v>
      </c>
      <c r="T187" s="50" t="str">
        <f t="shared" si="53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15:06:13-700',mode:absolute,to:'2016-12-19 17:27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7" s="52" t="str">
        <f t="shared" si="55"/>
        <v>N</v>
      </c>
      <c r="X187" s="177">
        <f t="shared" si="56"/>
        <v>1</v>
      </c>
      <c r="Y187" s="67">
        <f t="shared" si="57"/>
        <v>5.8611000000000004</v>
      </c>
      <c r="Z187" s="67">
        <f t="shared" si="58"/>
        <v>6.7299999999999999E-2</v>
      </c>
      <c r="AA187" s="67">
        <f t="shared" si="59"/>
        <v>5.7938000000000001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60"/>
        <v>0828-19</v>
      </c>
      <c r="AE187" s="91" t="str">
        <f t="shared" si="61"/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AF187" s="88" t="str">
        <f t="shared" si="62"/>
        <v>"C:\Program Files (x86)\AstroGrep\AstroGrep.exe" /spath="%USERPROFILE%\AppData\Local\Temp\OnboardLogs" /stypes="app*4015*20161219*" /stext=" 23:.+((SYSTEM_STATE.+slice.+state.+changed )|(ment ac)|(multiple cpu faults)|(system.+state.+changed )|(\[timeout)|(PRM\|1\|D)|(kpr)|(kdp)|(\|lc)|(penalty))" /e /r /s</v>
      </c>
      <c r="AG187" s="1" t="str">
        <f t="shared" si="63"/>
        <v>NW</v>
      </c>
      <c r="AH187" s="92" t="str">
        <f t="shared" si="64"/>
        <v>"%USERPROFILE%\Documents\GitHub\eaglep3\Utilities\RefineRTDCRunTimes.py" --tripid 828-19 --locoid 4015 --swversion DE.1.0.8.0 --startMP 300:58611 --initTime 2016-12-19T16:06:13 --startdatetime 2016-12-19T16:07:52 --delay 1 --endMP 204:673 --enddatetime 2016-12-19T16:27:12 --enforcementcount 0 &gt;&gt;C:\Users\stu\Documents\GitHub\eaglep3-reporting\EC\2016-12-19-refined-times.txt</v>
      </c>
      <c r="AI187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{"issue":{"subject":"","project_id":79,"tracker_id":40,"status_id":1,"priority_id":2,"assigned_to_id":23,"start_date":"2016-12-19","description":"","custom_fields":[{"id":1,"name":"Subdivision","value":"NW"},{"id":4,"name":"Milepost","value":"0.0673"},{"id":17,"name":"Train ID","value":"828-19"},{"id":16,"name":"Locomotive ID","value":"4015"},{"id":130,"name":"Impact","value":""},{"id":150,"name":"Time of Event (Mountain Time)","value":"16:27:12"},{"id":151,"name":"Denver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697</v>
      </c>
      <c r="B188" s="7">
        <v>4042</v>
      </c>
      <c r="C188" s="22" t="s">
        <v>205</v>
      </c>
      <c r="D188" s="22" t="s">
        <v>928</v>
      </c>
      <c r="E188" s="13">
        <v>42723.678287037037</v>
      </c>
      <c r="F188" s="13">
        <v>42723.681550925925</v>
      </c>
      <c r="G188" s="7">
        <v>1</v>
      </c>
      <c r="H188" s="22" t="s">
        <v>448</v>
      </c>
      <c r="I188" s="13">
        <v>42723.691307870373</v>
      </c>
      <c r="J188" s="7">
        <v>0</v>
      </c>
      <c r="K188" s="109" t="str">
        <f t="shared" si="49"/>
        <v>4041/4042</v>
      </c>
      <c r="L188" s="22" t="str">
        <f>VLOOKUP(A188,'Trips&amp;Operators'!$C$1:$G$99999,5,FALSE)</f>
        <v>LEVIN SCOTT</v>
      </c>
      <c r="M188" s="6">
        <f t="shared" si="50"/>
        <v>9.7569444478722289E-3</v>
      </c>
      <c r="N188" s="7">
        <f t="shared" si="51"/>
        <v>14.05000000493601</v>
      </c>
      <c r="O188" s="7"/>
      <c r="P188" s="7"/>
      <c r="Q188" s="23"/>
      <c r="R188" s="23"/>
      <c r="S188" s="35">
        <f t="shared" si="52"/>
        <v>1</v>
      </c>
      <c r="T188" s="50" t="str">
        <f t="shared" si="53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15:16:44-700',mode:absolute,to:'2016-12-19 17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8" s="52" t="str">
        <f t="shared" si="55"/>
        <v>N</v>
      </c>
      <c r="X188" s="177">
        <f t="shared" si="56"/>
        <v>1</v>
      </c>
      <c r="Y188" s="67">
        <f t="shared" si="57"/>
        <v>9.8799999999999999E-2</v>
      </c>
      <c r="Z188" s="67">
        <f t="shared" si="58"/>
        <v>5.8929</v>
      </c>
      <c r="AA188" s="67">
        <f t="shared" si="59"/>
        <v>5.7941000000000003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60"/>
        <v>0829-19</v>
      </c>
      <c r="AE188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88" s="88" t="str">
        <f t="shared" si="62"/>
        <v>"C:\Program Files (x86)\AstroGrep\AstroGrep.exe" /spath="%USERPROFILE%\AppData\Local\Temp\OnboardLogs" /stypes="app*4042*20161219*" /stext=" 23:.+((SYSTEM_STATE.+slice.+state.+changed )|(ment ac)|(multiple cpu faults)|(system.+state.+changed )|(\[timeout)|(PRM\|1\|D)|(kpr)|(kdp)|(\|lc)|(penalty))" /e /r /s</v>
      </c>
      <c r="AG188" s="1" t="str">
        <f t="shared" si="63"/>
        <v>NW</v>
      </c>
      <c r="AH188" s="92" t="str">
        <f t="shared" si="64"/>
        <v>"%USERPROFILE%\Documents\GitHub\eaglep3\Utilities\RefineRTDCRunTimes.py" --tripid 829-19 --locoid 4042 --swversion DE.1.0.8.0 --startMP 204:988 --initTime 2016-12-19T16:16:44 --startdatetime 2016-12-19T16:21:26 --delay 1 --endMP 300:58929 --enddatetime 2016-12-19T16:35:29 --enforcementcount 0 &gt;&gt;C:\Users\stu\Documents\GitHub\eaglep3-reporting\EC\2016-12-19-refined-times.txt</v>
      </c>
      <c r="AI188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{"issue":{"subject":"","project_id":79,"tracker_id":40,"status_id":1,"priority_id":2,"assigned_to_id":23,"start_date":"2016-12-19","description":"","custom_fields":[{"id":1,"name":"Subdivision","value":"NW"},{"id":4,"name":"Milepost","value":"5.8929"},{"id":17,"name":"Train ID","value":"829-19"},{"id":16,"name":"Locomotive ID","value":"4042"},{"id":130,"name":"Impact","value":""},{"id":150,"name":"Time of Event (Mountain Time)","value":"16:35:29"},{"id":151,"name":"Denver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558</v>
      </c>
      <c r="B189" s="7">
        <v>4041</v>
      </c>
      <c r="C189" s="22" t="s">
        <v>205</v>
      </c>
      <c r="D189" s="22" t="s">
        <v>278</v>
      </c>
      <c r="E189" s="13">
        <v>42723.692407407405</v>
      </c>
      <c r="F189" s="13">
        <v>42723.693784722222</v>
      </c>
      <c r="G189" s="7">
        <v>1</v>
      </c>
      <c r="H189" s="22" t="s">
        <v>929</v>
      </c>
      <c r="I189" s="13">
        <v>42723.705231481479</v>
      </c>
      <c r="J189" s="7">
        <v>0</v>
      </c>
      <c r="K189" s="109" t="str">
        <f t="shared" si="49"/>
        <v>4041/4042</v>
      </c>
      <c r="L189" s="22" t="str">
        <f>VLOOKUP(A189,'Trips&amp;Operators'!$C$1:$G$99999,5,FALSE)</f>
        <v>LEVIN SCOTT</v>
      </c>
      <c r="M189" s="6">
        <f t="shared" si="50"/>
        <v>1.1446759257523809E-2</v>
      </c>
      <c r="N189" s="7">
        <f t="shared" si="51"/>
        <v>16.483333330834284</v>
      </c>
      <c r="O189" s="7"/>
      <c r="P189" s="7"/>
      <c r="Q189" s="23"/>
      <c r="R189" s="23"/>
      <c r="S189" s="35">
        <f t="shared" si="52"/>
        <v>1</v>
      </c>
      <c r="T189" s="50" t="str">
        <f t="shared" si="53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15:37:04-700',mode:absolute,to:'2016-12-19 17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9" s="52" t="str">
        <f t="shared" si="55"/>
        <v>N</v>
      </c>
      <c r="X189" s="177">
        <f t="shared" si="56"/>
        <v>1</v>
      </c>
      <c r="Y189" s="67">
        <f t="shared" si="57"/>
        <v>5.8613</v>
      </c>
      <c r="Z189" s="67">
        <f t="shared" si="58"/>
        <v>7.0300000000000001E-2</v>
      </c>
      <c r="AA189" s="67">
        <f t="shared" si="59"/>
        <v>5.7910000000000004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60"/>
        <v>0830-19</v>
      </c>
      <c r="AE189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89" s="88" t="str">
        <f t="shared" si="62"/>
        <v>"C:\Program Files (x86)\AstroGrep\AstroGrep.exe" /spath="%USERPROFILE%\AppData\Local\Temp\OnboardLogs" /stypes="app*4041*20161219*" /stext=" 23:.+((SYSTEM_STATE.+slice.+state.+changed )|(ment ac)|(multiple cpu faults)|(system.+state.+changed )|(\[timeout)|(PRM\|1\|D)|(kpr)|(kdp)|(\|lc)|(penalty))" /e /r /s</v>
      </c>
      <c r="AG189" s="1" t="str">
        <f t="shared" si="63"/>
        <v>NW</v>
      </c>
      <c r="AH189" s="92" t="str">
        <f t="shared" si="64"/>
        <v>"%USERPROFILE%\Documents\GitHub\eaglep3\Utilities\RefineRTDCRunTimes.py" --tripid 830-19 --locoid 4041 --swversion DE.1.0.8.0 --startMP 300:58613 --initTime 2016-12-19T16:37:04 --startdatetime 2016-12-19T16:39:03 --delay 1 --endMP 204:703 --enddatetime 2016-12-19T16:55:32 --enforcementcount 0 &gt;&gt;C:\Users\stu\Documents\GitHub\eaglep3-reporting\EC\2016-12-19-refined-times.txt</v>
      </c>
      <c r="AI189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{"issue":{"subject":"","project_id":79,"tracker_id":40,"status_id":1,"priority_id":2,"assigned_to_id":23,"start_date":"2016-12-19","description":"","custom_fields":[{"id":1,"name":"Subdivision","value":"NW"},{"id":4,"name":"Milepost","value":"0.0703"},{"id":17,"name":"Train ID","value":"830-19"},{"id":16,"name":"Locomotive ID","value":"4041"},{"id":130,"name":"Impact","value":""},{"id":150,"name":"Time of Event (Mountain Time)","value":"16:55:32"},{"id":151,"name":"Denver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699</v>
      </c>
      <c r="B190" s="7">
        <v>4016</v>
      </c>
      <c r="C190" s="22" t="s">
        <v>205</v>
      </c>
      <c r="D190" s="22" t="s">
        <v>930</v>
      </c>
      <c r="E190" s="13">
        <v>42723.687013888892</v>
      </c>
      <c r="F190" s="13">
        <v>42723.702361111114</v>
      </c>
      <c r="G190" s="7">
        <v>0</v>
      </c>
      <c r="H190" s="22" t="s">
        <v>904</v>
      </c>
      <c r="I190" s="13">
        <v>42723.711469907408</v>
      </c>
      <c r="J190" s="7">
        <v>0</v>
      </c>
      <c r="K190" s="109" t="str">
        <f t="shared" si="49"/>
        <v>4015/4016</v>
      </c>
      <c r="L190" s="22" t="str">
        <f>VLOOKUP(A190,'Trips&amp;Operators'!$C$1:$G$99999,5,FALSE)</f>
        <v>NEWELL JAMES</v>
      </c>
      <c r="M190" s="6">
        <f t="shared" si="50"/>
        <v>9.1087962937308475E-3</v>
      </c>
      <c r="N190" s="7">
        <f t="shared" si="51"/>
        <v>13.11666666297242</v>
      </c>
      <c r="O190" s="7"/>
      <c r="P190" s="7"/>
      <c r="Q190" s="23"/>
      <c r="R190" s="23"/>
      <c r="S190" s="35">
        <f t="shared" si="52"/>
        <v>1</v>
      </c>
      <c r="T190" s="50" t="str">
        <f t="shared" si="53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15:29:18-700',mode:absolute,to:'2016-12-19 18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0" s="52" t="str">
        <f t="shared" si="55"/>
        <v>N</v>
      </c>
      <c r="X190" s="177">
        <f t="shared" si="56"/>
        <v>1</v>
      </c>
      <c r="Y190" s="67">
        <f t="shared" si="57"/>
        <v>9.5100000000000004E-2</v>
      </c>
      <c r="Z190" s="67">
        <f t="shared" si="58"/>
        <v>5.8917999999999999</v>
      </c>
      <c r="AA190" s="67">
        <f t="shared" si="59"/>
        <v>5.7966999999999995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60"/>
        <v>0831-19</v>
      </c>
      <c r="AE190" s="91" t="str">
        <f t="shared" si="61"/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AF190" s="88" t="str">
        <f t="shared" si="62"/>
        <v>"C:\Program Files (x86)\AstroGrep\AstroGrep.exe" /spath="%USERPROFILE%\AppData\Local\Temp\OnboardLogs" /stypes="app*4016*20161220*" /stext=" 00:.+((SYSTEM_STATE.+slice.+state.+changed )|(ment ac)|(multiple cpu faults)|(system.+state.+changed )|(\[timeout)|(PRM\|1\|D)|(kpr)|(kdp)|(\|lc)|(penalty))" /e /r /s</v>
      </c>
      <c r="AG190" s="1" t="str">
        <f t="shared" si="63"/>
        <v>NW</v>
      </c>
      <c r="AH190" s="92" t="str">
        <f t="shared" si="64"/>
        <v>"%USERPROFILE%\Documents\GitHub\eaglep3\Utilities\RefineRTDCRunTimes.py" --tripid 831-19 --locoid 4016 --swversion DE.1.0.8.0 --startMP 204:951 --initTime 2016-12-19T16:29:18 --startdatetime 2016-12-19T16:51:24 --delay 0 --endMP 300:58918 --enddatetime 2016-12-19T17:04:31 --enforcementcount 0 &gt;&gt;C:\Users\stu\Documents\GitHub\eaglep3-reporting\EC\2016-12-19-refined-times.txt</v>
      </c>
      <c r="AI190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{"issue":{"subject":"","project_id":79,"tracker_id":40,"status_id":1,"priority_id":2,"assigned_to_id":23,"start_date":"2016-12-19","description":"","custom_fields":[{"id":1,"name":"Subdivision","value":"NW"},{"id":4,"name":"Milepost","value":"5.8918"},{"id":17,"name":"Train ID","value":"831-19"},{"id":16,"name":"Locomotive ID","value":"4016"},{"id":130,"name":"Impact","value":""},{"id":150,"name":"Time of Event (Mountain Time)","value":"17:04:31"},{"id":151,"name":"Denver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704</v>
      </c>
      <c r="B191" s="7">
        <v>4015</v>
      </c>
      <c r="C191" s="22" t="s">
        <v>205</v>
      </c>
      <c r="D191" s="22" t="s">
        <v>931</v>
      </c>
      <c r="E191" s="13">
        <v>42723.712187500001</v>
      </c>
      <c r="F191" s="13">
        <v>42723.713414351849</v>
      </c>
      <c r="G191" s="7">
        <v>1</v>
      </c>
      <c r="H191" s="22" t="s">
        <v>892</v>
      </c>
      <c r="I191" s="13">
        <v>42723.725752314815</v>
      </c>
      <c r="J191" s="7">
        <v>0</v>
      </c>
      <c r="K191" s="109" t="str">
        <f t="shared" si="49"/>
        <v>4015/4016</v>
      </c>
      <c r="L191" s="22" t="str">
        <f>VLOOKUP(A191,'Trips&amp;Operators'!$C$1:$G$99999,5,FALSE)</f>
        <v>NEWELL JAMES</v>
      </c>
      <c r="M191" s="6">
        <f t="shared" si="50"/>
        <v>1.2337962965830229E-2</v>
      </c>
      <c r="N191" s="7">
        <f t="shared" si="51"/>
        <v>17.76666667079553</v>
      </c>
      <c r="O191" s="7"/>
      <c r="P191" s="7"/>
      <c r="Q191" s="23"/>
      <c r="R191" s="23"/>
      <c r="S191" s="35">
        <f t="shared" si="52"/>
        <v>1</v>
      </c>
      <c r="T191" s="50" t="str">
        <f t="shared" si="53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16:05:33-700',mode:absolute,to:'2016-12-19 18:25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1" s="52" t="str">
        <f t="shared" si="55"/>
        <v>N</v>
      </c>
      <c r="X191" s="177">
        <f t="shared" si="56"/>
        <v>1</v>
      </c>
      <c r="Y191" s="67">
        <f t="shared" si="57"/>
        <v>5.8604000000000003</v>
      </c>
      <c r="Z191" s="67">
        <f t="shared" si="58"/>
        <v>6.6600000000000006E-2</v>
      </c>
      <c r="AA191" s="67">
        <f t="shared" si="59"/>
        <v>5.7938000000000001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60"/>
        <v>0832-19</v>
      </c>
      <c r="AE191" s="91" t="str">
        <f t="shared" si="61"/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AF191" s="88" t="str">
        <f t="shared" si="62"/>
        <v>"C:\Program Files (x86)\AstroGrep\AstroGrep.exe" /spath="%USERPROFILE%\AppData\Local\Temp\OnboardLogs" /stypes="app*4015*20161220*" /stext=" 00:.+((SYSTEM_STATE.+slice.+state.+changed )|(ment ac)|(multiple cpu faults)|(system.+state.+changed )|(\[timeout)|(PRM\|1\|D)|(kpr)|(kdp)|(\|lc)|(penalty))" /e /r /s</v>
      </c>
      <c r="AG191" s="1" t="str">
        <f t="shared" si="63"/>
        <v>NW</v>
      </c>
      <c r="AH191" s="92" t="str">
        <f t="shared" si="64"/>
        <v>"%USERPROFILE%\Documents\GitHub\eaglep3\Utilities\RefineRTDCRunTimes.py" --tripid 832-19 --locoid 4015 --swversion DE.1.0.8.0 --startMP 300:58604 --initTime 2016-12-19T17:05:33 --startdatetime 2016-12-19T17:07:19 --delay 1 --endMP 204:666 --enddatetime 2016-12-19T17:25:05 --enforcementcount 0 &gt;&gt;C:\Users\stu\Documents\GitHub\eaglep3-reporting\EC\2016-12-19-refined-times.txt</v>
      </c>
      <c r="AI191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{"issue":{"subject":"","project_id":79,"tracker_id":40,"status_id":1,"priority_id":2,"assigned_to_id":23,"start_date":"2016-12-19","description":"","custom_fields":[{"id":1,"name":"Subdivision","value":"NW"},{"id":4,"name":"Milepost","value":"0.0666"},{"id":17,"name":"Train ID","value":"832-19"},{"id":16,"name":"Locomotive ID","value":"4015"},{"id":130,"name":"Impact","value":""},{"id":150,"name":"Time of Event (Mountain Time)","value":"17:25:05"},{"id":151,"name":"Denver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706</v>
      </c>
      <c r="B192" s="7">
        <v>4042</v>
      </c>
      <c r="C192" s="22" t="s">
        <v>205</v>
      </c>
      <c r="D192" s="22" t="s">
        <v>932</v>
      </c>
      <c r="E192" s="13">
        <v>42723.714409722219</v>
      </c>
      <c r="F192" s="13">
        <v>42723.723217592589</v>
      </c>
      <c r="G192" s="7">
        <v>1</v>
      </c>
      <c r="H192" s="22" t="s">
        <v>277</v>
      </c>
      <c r="I192" s="13">
        <v>42723.732835648145</v>
      </c>
      <c r="J192" s="7">
        <v>0</v>
      </c>
      <c r="K192" s="109" t="str">
        <f t="shared" si="49"/>
        <v>4041/4042</v>
      </c>
      <c r="L192" s="22" t="str">
        <f>VLOOKUP(A192,'Trips&amp;Operators'!$C$1:$G$99999,5,FALSE)</f>
        <v>LEVIN SCOTT</v>
      </c>
      <c r="M192" s="6">
        <f t="shared" si="50"/>
        <v>9.6180555556202307E-3</v>
      </c>
      <c r="N192" s="7">
        <f t="shared" si="51"/>
        <v>13.850000000093132</v>
      </c>
      <c r="O192" s="7"/>
      <c r="P192" s="7"/>
      <c r="Q192" s="23"/>
      <c r="R192" s="23"/>
      <c r="S192" s="35">
        <f t="shared" si="52"/>
        <v>1</v>
      </c>
      <c r="T192" s="50" t="str">
        <f t="shared" si="53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16:08:45-700',mode:absolute,to:'2016-12-19 18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2" s="52" t="str">
        <f t="shared" si="55"/>
        <v>N</v>
      </c>
      <c r="X192" s="177">
        <f t="shared" si="56"/>
        <v>1</v>
      </c>
      <c r="Y192" s="67">
        <f t="shared" si="57"/>
        <v>9.9199999999999997E-2</v>
      </c>
      <c r="Z192" s="67">
        <f t="shared" si="58"/>
        <v>5.8930999999999996</v>
      </c>
      <c r="AA192" s="67">
        <f t="shared" si="59"/>
        <v>5.7938999999999998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60"/>
        <v>0833-19</v>
      </c>
      <c r="AE192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92" s="88" t="str">
        <f t="shared" si="62"/>
        <v>"C:\Program Files (x86)\AstroGrep\AstroGrep.exe" /spath="%USERPROFILE%\AppData\Local\Temp\OnboardLogs" /stypes="app*4042*20161220*" /stext=" 00:.+((SYSTEM_STATE.+slice.+state.+changed )|(ment ac)|(multiple cpu faults)|(system.+state.+changed )|(\[timeout)|(PRM\|1\|D)|(kpr)|(kdp)|(\|lc)|(penalty))" /e /r /s</v>
      </c>
      <c r="AG192" s="1" t="str">
        <f t="shared" si="63"/>
        <v>NW</v>
      </c>
      <c r="AH192" s="92" t="str">
        <f t="shared" si="64"/>
        <v>"%USERPROFILE%\Documents\GitHub\eaglep3\Utilities\RefineRTDCRunTimes.py" --tripid 833-19 --locoid 4042 --swversion DE.1.0.8.0 --startMP 204:992 --initTime 2016-12-19T17:08:45 --startdatetime 2016-12-19T17:21:26 --delay 1 --endMP 300:58931 --enddatetime 2016-12-19T17:35:17 --enforcementcount 0 &gt;&gt;C:\Users\stu\Documents\GitHub\eaglep3-reporting\EC\2016-12-19-refined-times.txt</v>
      </c>
      <c r="AI192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{"issue":{"subject":"","project_id":79,"tracker_id":40,"status_id":1,"priority_id":2,"assigned_to_id":23,"start_date":"2016-12-19","description":"","custom_fields":[{"id":1,"name":"Subdivision","value":"NW"},{"id":4,"name":"Milepost","value":"5.8931"},{"id":17,"name":"Train ID","value":"833-19"},{"id":16,"name":"Locomotive ID","value":"4042"},{"id":130,"name":"Impact","value":""},{"id":150,"name":"Time of Event (Mountain Time)","value":"17:35:17"},{"id":151,"name":"Denver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712</v>
      </c>
      <c r="B193" s="7">
        <v>4041</v>
      </c>
      <c r="C193" s="22" t="s">
        <v>205</v>
      </c>
      <c r="D193" s="22" t="s">
        <v>933</v>
      </c>
      <c r="E193" s="13">
        <v>42723.733877314815</v>
      </c>
      <c r="F193" s="13">
        <v>42723.777187500003</v>
      </c>
      <c r="G193" s="7">
        <v>1</v>
      </c>
      <c r="H193" s="22" t="s">
        <v>934</v>
      </c>
      <c r="I193" s="13">
        <v>42723.789826388886</v>
      </c>
      <c r="J193" s="7">
        <v>0</v>
      </c>
      <c r="K193" s="109" t="str">
        <f t="shared" si="49"/>
        <v>4041/4042</v>
      </c>
      <c r="L193" s="22" t="str">
        <f>VLOOKUP(A193,'Trips&amp;Operators'!$C$1:$G$99999,5,FALSE)</f>
        <v>LEVIN SCOTT</v>
      </c>
      <c r="M193" s="6">
        <f t="shared" si="50"/>
        <v>1.2638888882065658E-2</v>
      </c>
      <c r="N193" s="7">
        <f t="shared" si="51"/>
        <v>18.199999990174547</v>
      </c>
      <c r="O193" s="7"/>
      <c r="P193" s="7"/>
      <c r="Q193" s="23"/>
      <c r="R193" s="23"/>
      <c r="S193" s="35">
        <f t="shared" si="52"/>
        <v>1</v>
      </c>
      <c r="T193" s="50" t="str">
        <f t="shared" si="53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16:36:47-700',mode:absolute,to:'2016-12-19 19:57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3" s="52" t="str">
        <f t="shared" si="55"/>
        <v>N</v>
      </c>
      <c r="X193" s="177">
        <f t="shared" si="56"/>
        <v>1</v>
      </c>
      <c r="Y193" s="67">
        <f t="shared" si="57"/>
        <v>5.8620999999999999</v>
      </c>
      <c r="Z193" s="67">
        <f t="shared" si="58"/>
        <v>6.9199999999999998E-2</v>
      </c>
      <c r="AA193" s="67">
        <f t="shared" si="59"/>
        <v>5.7928999999999995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60"/>
        <v>0834-19</v>
      </c>
      <c r="AE193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93" s="88" t="str">
        <f t="shared" si="62"/>
        <v>"C:\Program Files (x86)\AstroGrep\AstroGrep.exe" /spath="%USERPROFILE%\AppData\Local\Temp\OnboardLogs" /stypes="app*4041*20161220*" /stext=" 01:.+((SYSTEM_STATE.+slice.+state.+changed )|(ment ac)|(multiple cpu faults)|(system.+state.+changed )|(\[timeout)|(PRM\|1\|D)|(kpr)|(kdp)|(\|lc)|(penalty))" /e /r /s</v>
      </c>
      <c r="AG193" s="1" t="str">
        <f t="shared" si="63"/>
        <v>NW</v>
      </c>
      <c r="AH193" s="92" t="str">
        <f t="shared" si="64"/>
        <v>"%USERPROFILE%\Documents\GitHub\eaglep3\Utilities\RefineRTDCRunTimes.py" --tripid 834-19 --locoid 4041 --swversion DE.1.0.8.0 --startMP 300:58621 --initTime 2016-12-19T17:36:47 --startdatetime 2016-12-19T18:39:09 --delay 1 --endMP 204:692 --enddatetime 2016-12-19T18:57:21 --enforcementcount 0 &gt;&gt;C:\Users\stu\Documents\GitHub\eaglep3-reporting\EC\2016-12-19-refined-times.txt</v>
      </c>
      <c r="AI193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{"issue":{"subject":"","project_id":79,"tracker_id":40,"status_id":1,"priority_id":2,"assigned_to_id":23,"start_date":"2016-12-19","description":"","custom_fields":[{"id":1,"name":"Subdivision","value":"NW"},{"id":4,"name":"Milepost","value":"0.0692"},{"id":17,"name":"Train ID","value":"834-19"},{"id":16,"name":"Locomotive ID","value":"4041"},{"id":130,"name":"Impact","value":""},{"id":150,"name":"Time of Event (Mountain Time)","value":"18:57:21"},{"id":151,"name":"Denver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559</v>
      </c>
      <c r="B194" s="7">
        <v>4016</v>
      </c>
      <c r="C194" s="22" t="s">
        <v>205</v>
      </c>
      <c r="D194" s="22" t="s">
        <v>935</v>
      </c>
      <c r="E194" s="13">
        <v>42723.727407407408</v>
      </c>
      <c r="F194" s="13">
        <v>42723.743923611109</v>
      </c>
      <c r="G194" s="7">
        <v>1</v>
      </c>
      <c r="H194" s="22" t="s">
        <v>455</v>
      </c>
      <c r="I194" s="13">
        <v>42723.752997685187</v>
      </c>
      <c r="J194" s="7">
        <v>0</v>
      </c>
      <c r="K194" s="109" t="str">
        <f t="shared" si="49"/>
        <v>4015/4016</v>
      </c>
      <c r="L194" s="22" t="str">
        <f>VLOOKUP(A194,'Trips&amp;Operators'!$C$1:$G$99999,5,FALSE)</f>
        <v>NEWELL JAMES</v>
      </c>
      <c r="M194" s="6">
        <f t="shared" si="50"/>
        <v>9.0740740779438056E-3</v>
      </c>
      <c r="N194" s="7">
        <f t="shared" si="51"/>
        <v>13.06666667223908</v>
      </c>
      <c r="O194" s="7"/>
      <c r="P194" s="7"/>
      <c r="Q194" s="23"/>
      <c r="R194" s="23"/>
      <c r="S194" s="35">
        <f t="shared" si="52"/>
        <v>1</v>
      </c>
      <c r="T194" s="50" t="str">
        <f t="shared" si="53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16:27:28-700',mode:absolute,to:'2016-12-19 19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4" s="52" t="str">
        <f t="shared" si="55"/>
        <v>N</v>
      </c>
      <c r="X194" s="177">
        <f t="shared" si="56"/>
        <v>1</v>
      </c>
      <c r="Y194" s="67">
        <f t="shared" si="57"/>
        <v>9.6000000000000002E-2</v>
      </c>
      <c r="Z194" s="67">
        <f t="shared" si="58"/>
        <v>5.8925999999999998</v>
      </c>
      <c r="AA194" s="67">
        <f t="shared" si="59"/>
        <v>5.7965999999999998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60"/>
        <v>0835-19</v>
      </c>
      <c r="AE194" s="91" t="str">
        <f t="shared" si="61"/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AF194" s="88" t="str">
        <f t="shared" si="62"/>
        <v>"C:\Program Files (x86)\AstroGrep\AstroGrep.exe" /spath="%USERPROFILE%\AppData\Local\Temp\OnboardLogs" /stypes="app*4016*20161220*" /stext=" 01:.+((SYSTEM_STATE.+slice.+state.+changed )|(ment ac)|(multiple cpu faults)|(system.+state.+changed )|(\[timeout)|(PRM\|1\|D)|(kpr)|(kdp)|(\|lc)|(penalty))" /e /r /s</v>
      </c>
      <c r="AG194" s="1" t="str">
        <f t="shared" si="63"/>
        <v>NW</v>
      </c>
      <c r="AH194" s="92" t="str">
        <f t="shared" si="64"/>
        <v>"%USERPROFILE%\Documents\GitHub\eaglep3\Utilities\RefineRTDCRunTimes.py" --tripid 835-19 --locoid 4016 --swversion DE.1.0.8.0 --startMP 204:960 --initTime 2016-12-19T17:27:28 --startdatetime 2016-12-19T17:51:15 --delay 1 --endMP 300:58926 --enddatetime 2016-12-19T18:04:19 --enforcementcount 0 &gt;&gt;C:\Users\stu\Documents\GitHub\eaglep3-reporting\EC\2016-12-19-refined-times.txt</v>
      </c>
      <c r="AI194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{"issue":{"subject":"","project_id":79,"tracker_id":40,"status_id":1,"priority_id":2,"assigned_to_id":23,"start_date":"2016-12-19","description":"","custom_fields":[{"id":1,"name":"Subdivision","value":"NW"},{"id":4,"name":"Milepost","value":"5.8926"},{"id":17,"name":"Train ID","value":"835-19"},{"id":16,"name":"Locomotive ID","value":"4016"},{"id":130,"name":"Impact","value":""},{"id":150,"name":"Time of Event (Mountain Time)","value":"18:04:19"},{"id":151,"name":"Denver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560</v>
      </c>
      <c r="B195" s="7">
        <v>4015</v>
      </c>
      <c r="C195" s="22" t="s">
        <v>205</v>
      </c>
      <c r="D195" s="22" t="s">
        <v>508</v>
      </c>
      <c r="E195" s="13">
        <v>42723.753738425927</v>
      </c>
      <c r="F195" s="13">
        <v>42723.755648148152</v>
      </c>
      <c r="G195" s="7">
        <v>1</v>
      </c>
      <c r="H195" s="22" t="s">
        <v>936</v>
      </c>
      <c r="I195" s="13">
        <v>42723.767812500002</v>
      </c>
      <c r="J195" s="7">
        <v>0</v>
      </c>
      <c r="K195" s="109" t="str">
        <f t="shared" si="49"/>
        <v>4015/4016</v>
      </c>
      <c r="L195" s="22" t="str">
        <f>VLOOKUP(A195,'Trips&amp;Operators'!$C$1:$G$99999,5,FALSE)</f>
        <v>NEWELL JAMES</v>
      </c>
      <c r="M195" s="6">
        <f t="shared" si="50"/>
        <v>1.2164351850515231E-2</v>
      </c>
      <c r="N195" s="7">
        <f t="shared" si="51"/>
        <v>17.516666664741933</v>
      </c>
      <c r="O195" s="7"/>
      <c r="P195" s="7"/>
      <c r="Q195" s="23"/>
      <c r="R195" s="23"/>
      <c r="S195" s="35">
        <f t="shared" si="52"/>
        <v>1</v>
      </c>
      <c r="T195" s="50" t="str">
        <f t="shared" si="53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17:05:23-700',mode:absolute,to:'2016-12-19 19:25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5" s="52" t="str">
        <f t="shared" si="55"/>
        <v>N</v>
      </c>
      <c r="X195" s="177">
        <f t="shared" si="56"/>
        <v>1</v>
      </c>
      <c r="Y195" s="67">
        <f t="shared" si="57"/>
        <v>5.8611000000000004</v>
      </c>
      <c r="Z195" s="67">
        <f t="shared" si="58"/>
        <v>6.9099999999999995E-2</v>
      </c>
      <c r="AA195" s="67">
        <f t="shared" si="59"/>
        <v>5.7920000000000007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60"/>
        <v>0836-19</v>
      </c>
      <c r="AE195" s="91" t="str">
        <f t="shared" si="61"/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AF195" s="88" t="str">
        <f t="shared" si="62"/>
        <v>"C:\Program Files (x86)\AstroGrep\AstroGrep.exe" /spath="%USERPROFILE%\AppData\Local\Temp\OnboardLogs" /stypes="app*4015*20161220*" /stext=" 01:.+((SYSTEM_STATE.+slice.+state.+changed )|(ment ac)|(multiple cpu faults)|(system.+state.+changed )|(\[timeout)|(PRM\|1\|D)|(kpr)|(kdp)|(\|lc)|(penalty))" /e /r /s</v>
      </c>
      <c r="AG195" s="1" t="str">
        <f t="shared" si="63"/>
        <v>NW</v>
      </c>
      <c r="AH195" s="92" t="str">
        <f t="shared" si="64"/>
        <v>"%USERPROFILE%\Documents\GitHub\eaglep3\Utilities\RefineRTDCRunTimes.py" --tripid 836-19 --locoid 4015 --swversion DE.1.0.8.0 --startMP 300:58611 --initTime 2016-12-19T18:05:23 --startdatetime 2016-12-19T18:08:08 --delay 1 --endMP 204:691 --enddatetime 2016-12-19T18:25:39 --enforcementcount 0 &gt;&gt;C:\Users\stu\Documents\GitHub\eaglep3-reporting\EC\2016-12-19-refined-times.txt</v>
      </c>
      <c r="AI195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{"issue":{"subject":"","project_id":79,"tracker_id":40,"status_id":1,"priority_id":2,"assigned_to_id":23,"start_date":"2016-12-19","description":"","custom_fields":[{"id":1,"name":"Subdivision","value":"NW"},{"id":4,"name":"Milepost","value":"0.0691"},{"id":17,"name":"Train ID","value":"836-19"},{"id":16,"name":"Locomotive ID","value":"4015"},{"id":130,"name":"Impact","value":""},{"id":150,"name":"Time of Event (Mountain Time)","value":"18:25:39"},{"id":151,"name":"Denver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720</v>
      </c>
      <c r="B196" s="7">
        <v>4042</v>
      </c>
      <c r="C196" s="22" t="s">
        <v>205</v>
      </c>
      <c r="D196" s="22" t="s">
        <v>920</v>
      </c>
      <c r="E196" s="13">
        <v>42723.76053240741</v>
      </c>
      <c r="F196" s="13">
        <v>42723.764745370368</v>
      </c>
      <c r="G196" s="7">
        <v>1</v>
      </c>
      <c r="H196" s="22" t="s">
        <v>456</v>
      </c>
      <c r="I196" s="13">
        <v>42723.774317129632</v>
      </c>
      <c r="J196" s="7">
        <v>0</v>
      </c>
      <c r="K196" s="109" t="str">
        <f t="shared" si="49"/>
        <v>4041/4042</v>
      </c>
      <c r="L196" s="22" t="str">
        <f>VLOOKUP(A196,'Trips&amp;Operators'!$C$1:$G$99999,5,FALSE)</f>
        <v>LEVIN SCOTT</v>
      </c>
      <c r="M196" s="6">
        <f t="shared" si="50"/>
        <v>9.5717592630535364E-3</v>
      </c>
      <c r="N196" s="7">
        <f t="shared" si="51"/>
        <v>13.783333338797092</v>
      </c>
      <c r="O196" s="7"/>
      <c r="P196" s="7"/>
      <c r="Q196" s="23"/>
      <c r="R196" s="23"/>
      <c r="S196" s="35">
        <f t="shared" si="52"/>
        <v>1</v>
      </c>
      <c r="T196" s="50" t="str">
        <f t="shared" si="53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17:15:10-700',mode:absolute,to:'2016-12-19 19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6" s="52" t="str">
        <f t="shared" si="55"/>
        <v>N</v>
      </c>
      <c r="X196" s="177">
        <f t="shared" si="56"/>
        <v>1</v>
      </c>
      <c r="Y196" s="67">
        <f t="shared" si="57"/>
        <v>9.8299999999999998E-2</v>
      </c>
      <c r="Z196" s="67">
        <f t="shared" si="58"/>
        <v>5.8920000000000003</v>
      </c>
      <c r="AA196" s="67">
        <f t="shared" si="59"/>
        <v>5.7937000000000003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60"/>
        <v>0837-19</v>
      </c>
      <c r="AE196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196" s="88" t="str">
        <f t="shared" si="62"/>
        <v>"C:\Program Files (x86)\AstroGrep\AstroGrep.exe" /spath="%USERPROFILE%\AppData\Local\Temp\OnboardLogs" /stypes="app*4042*20161220*" /stext=" 01:.+((SYSTEM_STATE.+slice.+state.+changed )|(ment ac)|(multiple cpu faults)|(system.+state.+changed )|(\[timeout)|(PRM\|1\|D)|(kpr)|(kdp)|(\|lc)|(penalty))" /e /r /s</v>
      </c>
      <c r="AG196" s="1" t="str">
        <f t="shared" si="63"/>
        <v>NW</v>
      </c>
      <c r="AH196" s="92" t="str">
        <f t="shared" si="64"/>
        <v>"%USERPROFILE%\Documents\GitHub\eaglep3\Utilities\RefineRTDCRunTimes.py" --tripid 837-19 --locoid 4042 --swversion DE.1.0.8.0 --startMP 204:983 --initTime 2016-12-19T18:15:10 --startdatetime 2016-12-19T18:21:14 --delay 1 --endMP 300:58920 --enddatetime 2016-12-19T18:35:01 --enforcementcount 0 &gt;&gt;C:\Users\stu\Documents\GitHub\eaglep3-reporting\EC\2016-12-19-refined-times.txt</v>
      </c>
      <c r="AI196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{"issue":{"subject":"","project_id":79,"tracker_id":40,"status_id":1,"priority_id":2,"assigned_to_id":23,"start_date":"2016-12-19","description":"","custom_fields":[{"id":1,"name":"Subdivision","value":"NW"},{"id":4,"name":"Milepost","value":"5.892"},{"id":17,"name":"Train ID","value":"837-19"},{"id":16,"name":"Locomotive ID","value":"4042"},{"id":130,"name":"Impact","value":""},{"id":150,"name":"Time of Event (Mountain Time)","value":"18:35:01"},{"id":151,"name":"Denver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726</v>
      </c>
      <c r="B197" s="7">
        <v>4041</v>
      </c>
      <c r="C197" s="22" t="s">
        <v>205</v>
      </c>
      <c r="D197" s="22" t="s">
        <v>278</v>
      </c>
      <c r="E197" s="13">
        <v>42723.775543981479</v>
      </c>
      <c r="F197" s="13">
        <v>42723.777187500003</v>
      </c>
      <c r="G197" s="7">
        <v>1</v>
      </c>
      <c r="H197" s="22" t="s">
        <v>454</v>
      </c>
      <c r="I197" s="13">
        <v>42723.789826388886</v>
      </c>
      <c r="J197" s="7">
        <v>0</v>
      </c>
      <c r="K197" s="109" t="str">
        <f t="shared" si="49"/>
        <v>4041/4042</v>
      </c>
      <c r="L197" s="22" t="str">
        <f>VLOOKUP(A197,'Trips&amp;Operators'!$C$1:$G$99999,5,FALSE)</f>
        <v>LEVIN SCOTT</v>
      </c>
      <c r="M197" s="6">
        <f t="shared" si="50"/>
        <v>1.2638888882065658E-2</v>
      </c>
      <c r="N197" s="7">
        <f t="shared" si="51"/>
        <v>18.199999990174547</v>
      </c>
      <c r="O197" s="7"/>
      <c r="P197" s="7"/>
      <c r="Q197" s="23"/>
      <c r="R197" s="23"/>
      <c r="S197" s="35">
        <f t="shared" si="52"/>
        <v>1</v>
      </c>
      <c r="T197" s="50" t="str">
        <f t="shared" si="53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17:36:47-700',mode:absolute,to:'2016-12-19 19:57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7" s="52" t="str">
        <f t="shared" si="55"/>
        <v>N</v>
      </c>
      <c r="X197" s="177">
        <f t="shared" si="56"/>
        <v>1</v>
      </c>
      <c r="Y197" s="67">
        <f t="shared" si="57"/>
        <v>5.8613</v>
      </c>
      <c r="Z197" s="67">
        <f t="shared" si="58"/>
        <v>6.7799999999999999E-2</v>
      </c>
      <c r="AA197" s="67">
        <f t="shared" si="59"/>
        <v>5.7934999999999999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60"/>
        <v>0838-19</v>
      </c>
      <c r="AE197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97" s="88" t="str">
        <f t="shared" si="62"/>
        <v>"C:\Program Files (x86)\AstroGrep\AstroGrep.exe" /spath="%USERPROFILE%\AppData\Local\Temp\OnboardLogs" /stypes="app*4041*20161220*" /stext=" 01:.+((SYSTEM_STATE.+slice.+state.+changed )|(ment ac)|(multiple cpu faults)|(system.+state.+changed )|(\[timeout)|(PRM\|1\|D)|(kpr)|(kdp)|(\|lc)|(penalty))" /e /r /s</v>
      </c>
      <c r="AG197" s="1" t="str">
        <f t="shared" si="63"/>
        <v>NW</v>
      </c>
      <c r="AH197" s="92" t="str">
        <f t="shared" si="64"/>
        <v>"%USERPROFILE%\Documents\GitHub\eaglep3\Utilities\RefineRTDCRunTimes.py" --tripid 838-19 --locoid 4041 --swversion DE.1.0.8.0 --startMP 300:58613 --initTime 2016-12-19T18:36:47 --startdatetime 2016-12-19T18:39:09 --delay 1 --endMP 204:678 --enddatetime 2016-12-19T18:57:21 --enforcementcount 0 &gt;&gt;C:\Users\stu\Documents\GitHub\eaglep3-reporting\EC\2016-12-19-refined-times.txt</v>
      </c>
      <c r="AI197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{"issue":{"subject":"","project_id":79,"tracker_id":40,"status_id":1,"priority_id":2,"assigned_to_id":23,"start_date":"2016-12-19","description":"","custom_fields":[{"id":1,"name":"Subdivision","value":"NW"},{"id":4,"name":"Milepost","value":"0.0678"},{"id":17,"name":"Train ID","value":"838-19"},{"id":16,"name":"Locomotive ID","value":"4041"},{"id":130,"name":"Impact","value":""},{"id":150,"name":"Time of Event (Mountain Time)","value":"18:57:21"},{"id":151,"name":"Denver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722</v>
      </c>
      <c r="B198" s="7">
        <v>4016</v>
      </c>
      <c r="C198" s="22" t="s">
        <v>205</v>
      </c>
      <c r="D198" s="22" t="s">
        <v>307</v>
      </c>
      <c r="E198" s="13">
        <v>42723.769305555557</v>
      </c>
      <c r="F198" s="13">
        <v>42723.785578703704</v>
      </c>
      <c r="G198" s="7">
        <v>0</v>
      </c>
      <c r="H198" s="22" t="s">
        <v>449</v>
      </c>
      <c r="I198" s="13">
        <v>42723.794814814813</v>
      </c>
      <c r="J198" s="7">
        <v>0</v>
      </c>
      <c r="K198" s="109" t="str">
        <f t="shared" si="49"/>
        <v>4015/4016</v>
      </c>
      <c r="L198" s="22" t="str">
        <f>VLOOKUP(A198,'Trips&amp;Operators'!$C$1:$G$99999,5,FALSE)</f>
        <v>NEWELL JAMES</v>
      </c>
      <c r="M198" s="6">
        <f t="shared" si="50"/>
        <v>9.2361111092031933E-3</v>
      </c>
      <c r="N198" s="7">
        <f t="shared" si="51"/>
        <v>13.299999997252598</v>
      </c>
      <c r="O198" s="7"/>
      <c r="P198" s="7"/>
      <c r="Q198" s="23"/>
      <c r="R198" s="23"/>
      <c r="S198" s="35">
        <f t="shared" si="52"/>
        <v>1</v>
      </c>
      <c r="T198" s="50" t="str">
        <f t="shared" si="53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17:27:48-700',mode:absolute,to:'2016-12-19 20:04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8" s="52" t="str">
        <f t="shared" si="55"/>
        <v>N</v>
      </c>
      <c r="X198" s="177">
        <f t="shared" si="56"/>
        <v>1</v>
      </c>
      <c r="Y198" s="67">
        <f t="shared" si="57"/>
        <v>9.69E-2</v>
      </c>
      <c r="Z198" s="67">
        <f t="shared" si="58"/>
        <v>5.8924000000000003</v>
      </c>
      <c r="AA198" s="67">
        <f t="shared" si="59"/>
        <v>5.7955000000000005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60"/>
        <v>0839-19</v>
      </c>
      <c r="AE198" s="91" t="str">
        <f t="shared" si="61"/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AF198" s="88" t="str">
        <f t="shared" si="62"/>
        <v>"C:\Program Files (x86)\AstroGrep\AstroGrep.exe" /spath="%USERPROFILE%\AppData\Local\Temp\OnboardLogs" /stypes="app*4016*20161220*" /stext=" 02:.+((SYSTEM_STATE.+slice.+state.+changed )|(ment ac)|(multiple cpu faults)|(system.+state.+changed )|(\[timeout)|(PRM\|1\|D)|(kpr)|(kdp)|(\|lc)|(penalty))" /e /r /s</v>
      </c>
      <c r="AG198" s="1" t="str">
        <f t="shared" si="63"/>
        <v>NW</v>
      </c>
      <c r="AH198" s="92" t="str">
        <f t="shared" si="64"/>
        <v>"%USERPROFILE%\Documents\GitHub\eaglep3\Utilities\RefineRTDCRunTimes.py" --tripid 839-19 --locoid 4016 --swversion DE.1.0.8.0 --startMP 204:969 --initTime 2016-12-19T18:27:48 --startdatetime 2016-12-19T18:51:14 --delay 0 --endMP 300:58924 --enddatetime 2016-12-19T19:04:32 --enforcementcount 0 &gt;&gt;C:\Users\stu\Documents\GitHub\eaglep3-reporting\EC\2016-12-19-refined-times.txt</v>
      </c>
      <c r="AI198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{"issue":{"subject":"","project_id":79,"tracker_id":40,"status_id":1,"priority_id":2,"assigned_to_id":23,"start_date":"2016-12-19","description":"","custom_fields":[{"id":1,"name":"Subdivision","value":"NW"},{"id":4,"name":"Milepost","value":"5.8924"},{"id":17,"name":"Train ID","value":"839-19"},{"id":16,"name":"Locomotive ID","value":"4016"},{"id":130,"name":"Impact","value":""},{"id":150,"name":"Time of Event (Mountain Time)","value":"19:04:32"},{"id":151,"name":"Denver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563</v>
      </c>
      <c r="B199" s="7">
        <v>4041</v>
      </c>
      <c r="C199" s="22" t="s">
        <v>205</v>
      </c>
      <c r="D199" s="22" t="s">
        <v>310</v>
      </c>
      <c r="E199" s="13">
        <v>42723.817048611112</v>
      </c>
      <c r="F199" s="13">
        <v>42723.818923611114</v>
      </c>
      <c r="G199" s="7">
        <v>1</v>
      </c>
      <c r="H199" s="22" t="s">
        <v>936</v>
      </c>
      <c r="I199" s="13">
        <v>42723.829502314817</v>
      </c>
      <c r="J199" s="7">
        <v>0</v>
      </c>
      <c r="K199" s="109" t="str">
        <f t="shared" si="49"/>
        <v>4041/4042</v>
      </c>
      <c r="L199" s="22" t="str">
        <f>VLOOKUP(A199,'Trips&amp;Operators'!$C$1:$G$99999,5,FALSE)</f>
        <v>LEVIN SCOTT</v>
      </c>
      <c r="M199" s="6">
        <f t="shared" si="50"/>
        <v>1.0578703702776693E-2</v>
      </c>
      <c r="N199" s="7">
        <f t="shared" si="51"/>
        <v>15.233333331998438</v>
      </c>
      <c r="O199" s="7"/>
      <c r="P199" s="7"/>
      <c r="Q199" s="23"/>
      <c r="R199" s="23"/>
      <c r="S199" s="35">
        <f t="shared" si="52"/>
        <v>1</v>
      </c>
      <c r="T199" s="50" t="str">
        <f t="shared" si="53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18:36:33-700',mode:absolute,to:'2016-12-19 20:54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9" s="52" t="str">
        <f t="shared" si="55"/>
        <v>N</v>
      </c>
      <c r="X199" s="177">
        <f t="shared" si="56"/>
        <v>1</v>
      </c>
      <c r="Y199" s="67">
        <f t="shared" si="57"/>
        <v>5.8615000000000004</v>
      </c>
      <c r="Z199" s="67">
        <f t="shared" si="58"/>
        <v>6.9099999999999995E-2</v>
      </c>
      <c r="AA199" s="67">
        <f t="shared" si="59"/>
        <v>5.7924000000000007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60"/>
        <v>0840-19</v>
      </c>
      <c r="AE199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199" s="88" t="str">
        <f t="shared" si="62"/>
        <v>"C:\Program Files (x86)\AstroGrep\AstroGrep.exe" /spath="%USERPROFILE%\AppData\Local\Temp\OnboardLogs" /stypes="app*4041*20161220*" /stext=" 02:.+((SYSTEM_STATE.+slice.+state.+changed )|(ment ac)|(multiple cpu faults)|(system.+state.+changed )|(\[timeout)|(PRM\|1\|D)|(kpr)|(kdp)|(\|lc)|(penalty))" /e /r /s</v>
      </c>
      <c r="AG199" s="1" t="str">
        <f t="shared" si="63"/>
        <v>NW</v>
      </c>
      <c r="AH199" s="92" t="str">
        <f t="shared" si="64"/>
        <v>"%USERPROFILE%\Documents\GitHub\eaglep3\Utilities\RefineRTDCRunTimes.py" --tripid 840-19 --locoid 4041 --swversion DE.1.0.8.0 --startMP 300:58615 --initTime 2016-12-19T19:36:33 --startdatetime 2016-12-19T19:39:15 --delay 1 --endMP 204:691 --enddatetime 2016-12-19T19:54:29 --enforcementcount 0 &gt;&gt;C:\Users\stu\Documents\GitHub\eaglep3-reporting\EC\2016-12-19-refined-times.txt</v>
      </c>
      <c r="AI199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{"issue":{"subject":"","project_id":79,"tracker_id":40,"status_id":1,"priority_id":2,"assigned_to_id":23,"start_date":"2016-12-19","description":"","custom_fields":[{"id":1,"name":"Subdivision","value":"NW"},{"id":4,"name":"Milepost","value":"0.0691"},{"id":17,"name":"Train ID","value":"840-19"},{"id":16,"name":"Locomotive ID","value":"4041"},{"id":130,"name":"Impact","value":""},{"id":150,"name":"Time of Event (Mountain Time)","value":"19:54:29"},{"id":151,"name":"Denver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733</v>
      </c>
      <c r="B200" s="7">
        <v>4042</v>
      </c>
      <c r="C200" s="22" t="s">
        <v>205</v>
      </c>
      <c r="D200" s="22" t="s">
        <v>937</v>
      </c>
      <c r="E200" s="13">
        <v>42723.802569444444</v>
      </c>
      <c r="F200" s="13">
        <v>42723.806597222225</v>
      </c>
      <c r="G200" s="7">
        <v>1</v>
      </c>
      <c r="H200" s="22" t="s">
        <v>448</v>
      </c>
      <c r="I200" s="13">
        <v>42723.815879629627</v>
      </c>
      <c r="J200" s="7">
        <v>0</v>
      </c>
      <c r="K200" s="109" t="str">
        <f t="shared" si="49"/>
        <v>4041/4042</v>
      </c>
      <c r="L200" s="22" t="str">
        <f>VLOOKUP(A200,'Trips&amp;Operators'!$C$1:$G$99999,5,FALSE)</f>
        <v>LEVIN SCOTT</v>
      </c>
      <c r="M200" s="6">
        <f t="shared" si="50"/>
        <v>9.2824074017698877E-3</v>
      </c>
      <c r="N200" s="7">
        <f t="shared" si="51"/>
        <v>13.366666658548638</v>
      </c>
      <c r="O200" s="7"/>
      <c r="P200" s="7"/>
      <c r="Q200" s="23"/>
      <c r="R200" s="23"/>
      <c r="S200" s="35">
        <f t="shared" si="52"/>
        <v>1</v>
      </c>
      <c r="T200" s="50" t="str">
        <f t="shared" si="53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18:15:42-700',mode:absolute,to:'2016-12-19 20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0" s="52" t="str">
        <f t="shared" si="55"/>
        <v>N</v>
      </c>
      <c r="X200" s="177">
        <f t="shared" si="56"/>
        <v>1</v>
      </c>
      <c r="Y200" s="67">
        <f t="shared" si="57"/>
        <v>9.8500000000000004E-2</v>
      </c>
      <c r="Z200" s="67">
        <f t="shared" si="58"/>
        <v>5.8929</v>
      </c>
      <c r="AA200" s="67">
        <f t="shared" si="59"/>
        <v>5.7944000000000004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60"/>
        <v>0841-19</v>
      </c>
      <c r="AE200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200" s="88" t="str">
        <f t="shared" si="62"/>
        <v>"C:\Program Files (x86)\AstroGrep\AstroGrep.exe" /spath="%USERPROFILE%\AppData\Local\Temp\OnboardLogs" /stypes="app*4042*20161220*" /stext=" 02:.+((SYSTEM_STATE.+slice.+state.+changed )|(ment ac)|(multiple cpu faults)|(system.+state.+changed )|(\[timeout)|(PRM\|1\|D)|(kpr)|(kdp)|(\|lc)|(penalty))" /e /r /s</v>
      </c>
      <c r="AG200" s="1" t="str">
        <f t="shared" si="63"/>
        <v>NW</v>
      </c>
      <c r="AH200" s="92" t="str">
        <f t="shared" si="64"/>
        <v>"%USERPROFILE%\Documents\GitHub\eaglep3\Utilities\RefineRTDCRunTimes.py" --tripid 841-19 --locoid 4042 --swversion DE.1.0.8.0 --startMP 204:985 --initTime 2016-12-19T19:15:42 --startdatetime 2016-12-19T19:21:30 --delay 1 --endMP 300:58929 --enddatetime 2016-12-19T19:34:52 --enforcementcount 0 &gt;&gt;C:\Users\stu\Documents\GitHub\eaglep3-reporting\EC\2016-12-19-refined-times.txt</v>
      </c>
      <c r="AI200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{"issue":{"subject":"","project_id":79,"tracker_id":40,"status_id":1,"priority_id":2,"assigned_to_id":23,"start_date":"2016-12-19","description":"","custom_fields":[{"id":1,"name":"Subdivision","value":"NW"},{"id":4,"name":"Milepost","value":"5.8929"},{"id":17,"name":"Train ID","value":"841-19"},{"id":16,"name":"Locomotive ID","value":"4042"},{"id":130,"name":"Impact","value":""},{"id":150,"name":"Time of Event (Mountain Time)","value":"19:34:52"},{"id":151,"name":"Denver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742</v>
      </c>
      <c r="B201" s="7">
        <v>4041</v>
      </c>
      <c r="C201" s="22" t="s">
        <v>205</v>
      </c>
      <c r="D201" s="22" t="s">
        <v>451</v>
      </c>
      <c r="E201" s="13">
        <v>42723.859363425923</v>
      </c>
      <c r="F201" s="13">
        <v>42723.860601851855</v>
      </c>
      <c r="G201" s="7">
        <v>1</v>
      </c>
      <c r="H201" s="22" t="s">
        <v>938</v>
      </c>
      <c r="I201" s="13">
        <v>42723.871539351851</v>
      </c>
      <c r="J201" s="7">
        <v>0</v>
      </c>
      <c r="K201" s="109" t="str">
        <f t="shared" si="49"/>
        <v>4041/4042</v>
      </c>
      <c r="L201" s="22" t="str">
        <f>VLOOKUP(A201,'Trips&amp;Operators'!$C$1:$G$99999,5,FALSE)</f>
        <v>LEVIN SCOTT</v>
      </c>
      <c r="M201" s="6">
        <f t="shared" si="50"/>
        <v>1.0937499995634425E-2</v>
      </c>
      <c r="N201" s="7">
        <f t="shared" si="51"/>
        <v>15.749999993713573</v>
      </c>
      <c r="O201" s="7"/>
      <c r="P201" s="7"/>
      <c r="Q201" s="23"/>
      <c r="R201" s="23"/>
      <c r="S201" s="35">
        <f t="shared" si="52"/>
        <v>1</v>
      </c>
      <c r="T201" s="50" t="str">
        <f t="shared" si="53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19:37:29-700',mode:absolute,to:'2016-12-19 21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1" s="52" t="str">
        <f t="shared" si="55"/>
        <v>N</v>
      </c>
      <c r="X201" s="177">
        <f t="shared" si="56"/>
        <v>1</v>
      </c>
      <c r="Y201" s="67">
        <f t="shared" si="57"/>
        <v>5.8619000000000003</v>
      </c>
      <c r="Z201" s="67">
        <f t="shared" si="58"/>
        <v>7.2599999999999998E-2</v>
      </c>
      <c r="AA201" s="67">
        <f t="shared" si="59"/>
        <v>5.7893000000000008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60"/>
        <v>0842-19</v>
      </c>
      <c r="AE201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201" s="88" t="str">
        <f t="shared" si="62"/>
        <v>"C:\Program Files (x86)\AstroGrep\AstroGrep.exe" /spath="%USERPROFILE%\AppData\Local\Temp\OnboardLogs" /stypes="app*4041*20161220*" /stext=" 03:.+((SYSTEM_STATE.+slice.+state.+changed )|(ment ac)|(multiple cpu faults)|(system.+state.+changed )|(\[timeout)|(PRM\|1\|D)|(kpr)|(kdp)|(\|lc)|(penalty))" /e /r /s</v>
      </c>
      <c r="AG201" s="1" t="str">
        <f t="shared" si="63"/>
        <v>NW</v>
      </c>
      <c r="AH201" s="92" t="str">
        <f t="shared" si="64"/>
        <v>"%USERPROFILE%\Documents\GitHub\eaglep3\Utilities\RefineRTDCRunTimes.py" --tripid 842-19 --locoid 4041 --swversion DE.1.0.8.0 --startMP 300:58619 --initTime 2016-12-19T20:37:29 --startdatetime 2016-12-19T20:39:16 --delay 1 --endMP 204:726 --enddatetime 2016-12-19T20:55:01 --enforcementcount 0 &gt;&gt;C:\Users\stu\Documents\GitHub\eaglep3-reporting\EC\2016-12-19-refined-times.txt</v>
      </c>
      <c r="AI201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{"issue":{"subject":"","project_id":79,"tracker_id":40,"status_id":1,"priority_id":2,"assigned_to_id":23,"start_date":"2016-12-19","description":"","custom_fields":[{"id":1,"name":"Subdivision","value":"NW"},{"id":4,"name":"Milepost","value":"0.0726"},{"id":17,"name":"Train ID","value":"842-19"},{"id":16,"name":"Locomotive ID","value":"4041"},{"id":130,"name":"Impact","value":""},{"id":150,"name":"Time of Event (Mountain Time)","value":"20:55:01"},{"id":151,"name":"Denver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s="21" customFormat="1" x14ac:dyDescent="0.25">
      <c r="A202" s="37" t="s">
        <v>741</v>
      </c>
      <c r="B202" s="7">
        <v>4042</v>
      </c>
      <c r="C202" s="22" t="s">
        <v>205</v>
      </c>
      <c r="D202" s="22" t="s">
        <v>939</v>
      </c>
      <c r="E202" s="13">
        <v>42723.845000000001</v>
      </c>
      <c r="F202" s="13">
        <v>42723.848090277781</v>
      </c>
      <c r="G202" s="7">
        <v>1</v>
      </c>
      <c r="H202" s="22" t="s">
        <v>927</v>
      </c>
      <c r="I202" s="13">
        <v>42723.858032407406</v>
      </c>
      <c r="J202" s="7">
        <v>0</v>
      </c>
      <c r="K202" s="109" t="str">
        <f t="shared" si="49"/>
        <v>4041/4042</v>
      </c>
      <c r="L202" s="22" t="str">
        <f>VLOOKUP(A202,'Trips&amp;Operators'!$C$1:$G$99999,5,FALSE)</f>
        <v>LEVIN SCOTT</v>
      </c>
      <c r="M202" s="6">
        <f t="shared" si="50"/>
        <v>9.9421296254149638E-3</v>
      </c>
      <c r="N202" s="7">
        <f t="shared" si="51"/>
        <v>14.316666660597548</v>
      </c>
      <c r="O202" s="7"/>
      <c r="P202" s="7"/>
      <c r="Q202" s="23"/>
      <c r="R202" s="23"/>
      <c r="S202" s="35">
        <f t="shared" si="52"/>
        <v>1</v>
      </c>
      <c r="T202" s="50" t="str">
        <f t="shared" si="53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19:16:48-700',mode:absolute,to:'2016-12-19 21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2" t="str">
        <f t="shared" si="55"/>
        <v>N</v>
      </c>
      <c r="X202" s="177">
        <f t="shared" si="56"/>
        <v>1</v>
      </c>
      <c r="Y202" s="67">
        <f t="shared" si="57"/>
        <v>0.1009</v>
      </c>
      <c r="Z202" s="67">
        <f t="shared" si="58"/>
        <v>5.8921999999999999</v>
      </c>
      <c r="AA202" s="67">
        <f t="shared" si="59"/>
        <v>5.7912999999999997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60"/>
        <v>0843-19</v>
      </c>
      <c r="AE202" s="91" t="str">
        <f t="shared" si="61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202" s="88" t="str">
        <f t="shared" si="62"/>
        <v>"C:\Program Files (x86)\AstroGrep\AstroGrep.exe" /spath="%USERPROFILE%\AppData\Local\Temp\OnboardLogs" /stypes="app*4042*20161220*" /stext=" 03:.+((SYSTEM_STATE.+slice.+state.+changed )|(ment ac)|(multiple cpu faults)|(system.+state.+changed )|(\[timeout)|(PRM\|1\|D)|(kpr)|(kdp)|(\|lc)|(penalty))" /e /r /s</v>
      </c>
      <c r="AG202" s="1" t="str">
        <f t="shared" si="63"/>
        <v>NW</v>
      </c>
      <c r="AH202" s="92" t="str">
        <f t="shared" si="64"/>
        <v>"%USERPROFILE%\Documents\GitHub\eaglep3\Utilities\RefineRTDCRunTimes.py" --tripid 843-19 --locoid 4042 --swversion DE.1.0.8.0 --startMP 204:1009 --initTime 2016-12-19T20:16:48 --startdatetime 2016-12-19T20:21:15 --delay 1 --endMP 300:58922 --enddatetime 2016-12-19T20:35:34 --enforcementcount 0 &gt;&gt;C:\Users\stu\Documents\GitHub\eaglep3-reporting\EC\2016-12-19-refined-times.txt</v>
      </c>
      <c r="AI202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{"issue":{"subject":"","project_id":79,"tracker_id":40,"status_id":1,"priority_id":2,"assigned_to_id":23,"start_date":"2016-12-19","description":"","custom_fields":[{"id":1,"name":"Subdivision","value":"NW"},{"id":4,"name":"Milepost","value":"5.8922"},{"id":17,"name":"Train ID","value":"843-19"},{"id":16,"name":"Locomotive ID","value":"4042"},{"id":130,"name":"Impact","value":""},{"id":150,"name":"Time of Event (Mountain Time)","value":"20:35:34"},{"id":151,"name":"Denver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564</v>
      </c>
      <c r="B203" s="7">
        <v>4041</v>
      </c>
      <c r="C203" s="22" t="s">
        <v>205</v>
      </c>
      <c r="D203" s="22" t="s">
        <v>508</v>
      </c>
      <c r="E203" s="13">
        <v>42723.899861111109</v>
      </c>
      <c r="F203" s="13">
        <v>42723.901550925926</v>
      </c>
      <c r="G203" s="7">
        <v>1</v>
      </c>
      <c r="H203" s="22" t="s">
        <v>940</v>
      </c>
      <c r="I203" s="13">
        <v>42723.908402777779</v>
      </c>
      <c r="J203" s="7">
        <v>0</v>
      </c>
      <c r="K203" s="109" t="str">
        <f t="shared" si="49"/>
        <v>4041/4042</v>
      </c>
      <c r="L203" s="22" t="str">
        <f>VLOOKUP(A203,'Trips&amp;Operators'!$C$1:$G$99999,5,FALSE)</f>
        <v>NEWELL JAMES</v>
      </c>
      <c r="M203" s="6">
        <f t="shared" si="50"/>
        <v>6.8518518528435379E-3</v>
      </c>
      <c r="N203" s="7"/>
      <c r="O203" s="7"/>
      <c r="P203" s="7">
        <f t="shared" si="51"/>
        <v>9.8666666680946946</v>
      </c>
      <c r="Q203" s="23"/>
      <c r="R203" s="23" t="s">
        <v>976</v>
      </c>
      <c r="S203" s="35">
        <f t="shared" si="52"/>
        <v>0</v>
      </c>
      <c r="T203" s="50" t="str">
        <f t="shared" si="53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https://search-rtdc-monitor-bjffxe2xuh6vdkpspy63sjmuny.us-east-1.es.amazonaws.com/_plugin/kibana/#/discover/Steve-Slow-Train-Analysis-(2080s-and-2083s)?_g=(refreshInterval:(display:Off,section:0,value:0),time:(from:'2016-12-19 20:35:48-700',mode:absolute,to:'2016-12-19 22:48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3" s="52" t="str">
        <f t="shared" si="55"/>
        <v>Y</v>
      </c>
      <c r="X203" s="177">
        <f t="shared" si="56"/>
        <v>1</v>
      </c>
      <c r="Y203" s="67">
        <f t="shared" si="57"/>
        <v>5.8611000000000004</v>
      </c>
      <c r="Z203" s="67">
        <f t="shared" si="58"/>
        <v>2.3801999999999999</v>
      </c>
      <c r="AA203" s="67">
        <f t="shared" si="59"/>
        <v>3.4809000000000005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60"/>
        <v>0844-19</v>
      </c>
      <c r="AE203" s="91" t="str">
        <f t="shared" si="61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203" s="88" t="str">
        <f t="shared" si="62"/>
        <v>"C:\Program Files (x86)\AstroGrep\AstroGrep.exe" /spath="%USERPROFILE%\AppData\Local\Temp\OnboardLogs" /stypes="app*4041*20161220*" /stext=" 04:.+((SYSTEM_STATE.+slice.+state.+changed )|(ment ac)|(multiple cpu faults)|(system.+state.+changed )|(\[timeout)|(PRM\|1\|D)|(kpr)|(kdp)|(\|lc)|(penalty))" /e /r /s</v>
      </c>
      <c r="AG203" s="1" t="str">
        <f t="shared" si="63"/>
        <v>NW</v>
      </c>
      <c r="AH203" s="92" t="str">
        <f t="shared" si="64"/>
        <v>"%USERPROFILE%\Documents\GitHub\eaglep3\Utilities\RefineRTDCRunTimes.py" --tripid 844-19 --locoid 4041 --swversion DE.1.0.8.0 --startMP 300:58611 --initTime 2016-12-19T21:35:48 --startdatetime 2016-12-19T21:38:14 --delay 1 --endMP 300:23802 --enddatetime 2016-12-19T21:48:06 --enforcementcount 0 &gt;&gt;C:\Users\stu\Documents\GitHub\eaglep3-reporting\EC\2016-12-19-refined-times.txt</v>
      </c>
      <c r="AI203" s="119" t="str">
        <f t="shared" si="65"/>
        <v>echo {"issue":{"subject":"Wi-MAX data drop","project_id":79,"tracker_id":40,"status_id":1,"priority_id":2,"assigned_to_id":23,"start_date":"2016-12-19","description":"","custom_fields":[{"id":1,"name":"Subdivision","value":"NW"},{"id":4,"name":"Milepost","value":"2.3802"},{"id":17,"name":"Train ID","value":"844-19"},{"id":16,"name":"Locomotive ID","value":"4041"},{"id":130,"name":"Impact","value":""},{"id":150,"name":"Time of Event (Mountain Time)","value":"21:48:06"},{"id":151,"name":"Denver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745</v>
      </c>
      <c r="B204" s="7">
        <v>4042</v>
      </c>
      <c r="C204" s="22" t="s">
        <v>205</v>
      </c>
      <c r="D204" s="22" t="s">
        <v>939</v>
      </c>
      <c r="E204" s="13">
        <v>42723.878055555557</v>
      </c>
      <c r="F204" s="13">
        <v>42723.889733796299</v>
      </c>
      <c r="G204" s="7">
        <v>1</v>
      </c>
      <c r="H204" s="22" t="s">
        <v>941</v>
      </c>
      <c r="I204" s="13">
        <v>42723.898854166669</v>
      </c>
      <c r="J204" s="7">
        <v>0</v>
      </c>
      <c r="K204" s="109" t="str">
        <f t="shared" ref="K204:K230" si="66">IF(ISEVEN(B204),(B204-1)&amp;"/"&amp;B204,B204&amp;"/"&amp;(B204+1))</f>
        <v>4041/4042</v>
      </c>
      <c r="L204" s="22" t="str">
        <f>VLOOKUP(A204,'Trips&amp;Operators'!$C$1:$G$99999,5,FALSE)</f>
        <v>NEWELL JAMES</v>
      </c>
      <c r="M204" s="6">
        <f t="shared" ref="M204:M230" si="67">I204-F204</f>
        <v>9.1203703705104999E-3</v>
      </c>
      <c r="N204" s="7">
        <f t="shared" ref="N204:N230" si="68">24*60*SUM($M204:$M204)</f>
        <v>13.13333333353512</v>
      </c>
      <c r="O204" s="7"/>
      <c r="P204" s="7"/>
      <c r="Q204" s="23"/>
      <c r="R204" s="23"/>
      <c r="S204" s="35">
        <f t="shared" ref="S204:S230" si="69">SUM(U204:U204)/IF(AG204="EC",12,1)</f>
        <v>1</v>
      </c>
      <c r="T204" s="50" t="str">
        <f t="shared" ref="T204:T230" si="70"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ref="V204:V230" si="71"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https://search-rtdc-monitor-bjffxe2xuh6vdkpspy63sjmuny.us-east-1.es.amazonaws.com/_plugin/kibana/#/discover/Steve-Slow-Train-Analysis-(2080s-and-2083s)?_g=(refreshInterval:(display:Off,section:0,value:0),time:(from:'2016-12-19 20:04:24-700',mode:absolute,to:'2016-12-19 22:34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4" s="52" t="str">
        <f t="shared" ref="W204:W230" si="72">IF(AA204&lt;IF(AG204="EC",23,5.65),"Y","N")</f>
        <v>N</v>
      </c>
      <c r="X204" s="177">
        <f t="shared" ref="X204:X230" si="73">VALUE(LEFT(AD204,4))-VALUE(LEFT(AD203,4))</f>
        <v>1</v>
      </c>
      <c r="Y204" s="67">
        <f t="shared" ref="Y204:Y230" si="74">RIGHT(D204,LEN(D204)-4)/10000</f>
        <v>0.1009</v>
      </c>
      <c r="Z204" s="67">
        <f t="shared" ref="Z204:Z230" si="75">RIGHT(H204,LEN(H204)-4)/10000</f>
        <v>5.8916000000000004</v>
      </c>
      <c r="AA204" s="67">
        <f t="shared" ref="AA204:AA230" si="76">ABS(Z204-Y204)</f>
        <v>5.7907000000000002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ref="AD204:AD230" si="77">IF(LEN(A204)=6,"0"&amp;A204,A204)</f>
        <v>0845-19</v>
      </c>
      <c r="AE204" s="91" t="str">
        <f t="shared" ref="AE204:AE230" si="78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204" s="88" t="str">
        <f t="shared" ref="AF204:AF230" si="79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/stypes="app*4042*20161220*" /stext=" 04:.+((SYSTEM_STATE.+slice.+state.+changed )|(ment ac)|(multiple cpu faults)|(system.+state.+changed )|(\[timeout)|(PRM\|1\|D)|(kpr)|(kdp)|(\|lc)|(penalty))" /e /r /s</v>
      </c>
      <c r="AG204" s="1" t="str">
        <f t="shared" ref="AG204:AG230" si="80">IFERROR(IF(VALUE(LEFT(AD204,2))&lt;=2,"EC",IF(OR(VALUE(LEFT(AD204,2))=8,VALUE(LEFT(AD204,2))=18),"NW","Other")),"Other")</f>
        <v>NW</v>
      </c>
      <c r="AH204" s="92" t="str">
        <f t="shared" si="64"/>
        <v>"%USERPROFILE%\Documents\GitHub\eaglep3\Utilities\RefineRTDCRunTimes.py" --tripid 845-19 --locoid 4042 --swversion DE.1.0.8.0 --startMP 204:1009 --initTime 2016-12-19T21:04:24 --startdatetime 2016-12-19T21:21:13 --delay 1 --endMP 300:58916 --enddatetime 2016-12-19T21:34:21 --enforcementcount 0 &gt;&gt;C:\Users\stu\Documents\GitHub\eaglep3-reporting\EC\2016-12-19-refined-times.txt</v>
      </c>
      <c r="AI204" s="119" t="str">
        <f t="shared" si="65"/>
        <v>echo {"issue":{"subject":"","project_id":79,"tracker_id":40,"status_id":1,"priority_id":2,"assigned_to_id":23,"start_date":"2016-12-19","description":"","custom_fields":[{"id":1,"name":"Subdivision","value":"NW"},{"id":4,"name":"Milepost","value":"5.8916"},{"id":17,"name":"Train ID","value":"845-19"},{"id":16,"name":"Locomotive ID","value":"4042"},{"id":130,"name":"Impact","value":""},{"id":150,"name":"Time of Event (Mountain Time)","value":"21:34:21"},{"id":151,"name":"Denver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749</v>
      </c>
      <c r="B205" s="7">
        <v>4042</v>
      </c>
      <c r="C205" s="22" t="s">
        <v>205</v>
      </c>
      <c r="D205" s="22" t="s">
        <v>942</v>
      </c>
      <c r="E205" s="13">
        <v>42723.918287037035</v>
      </c>
      <c r="F205" s="13">
        <v>42723.931354166663</v>
      </c>
      <c r="G205" s="7">
        <v>0</v>
      </c>
      <c r="H205" s="22" t="s">
        <v>927</v>
      </c>
      <c r="I205" s="13">
        <v>42723.940497685187</v>
      </c>
      <c r="J205" s="7">
        <v>0</v>
      </c>
      <c r="K205" s="109" t="str">
        <f t="shared" si="66"/>
        <v>4041/4042</v>
      </c>
      <c r="L205" s="22" t="str">
        <f>VLOOKUP(A205,'Trips&amp;Operators'!$C$1:$G$99999,5,FALSE)</f>
        <v>NEWELL JAMES</v>
      </c>
      <c r="M205" s="6">
        <f t="shared" si="67"/>
        <v>9.1435185240698047E-3</v>
      </c>
      <c r="N205" s="7">
        <f t="shared" si="68"/>
        <v>13.166666674660519</v>
      </c>
      <c r="O205" s="7"/>
      <c r="P205" s="7"/>
      <c r="Q205" s="23"/>
      <c r="R205" s="23"/>
      <c r="S205" s="35">
        <f t="shared" si="69"/>
        <v>1</v>
      </c>
      <c r="T205" s="50" t="str">
        <f t="shared" si="70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21:02:20-700',mode:absolute,to:'2016-12-19 23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 t="shared" si="72"/>
        <v>N</v>
      </c>
      <c r="X205" s="177">
        <f t="shared" si="73"/>
        <v>2</v>
      </c>
      <c r="Y205" s="67">
        <f t="shared" si="74"/>
        <v>9.1600000000000001E-2</v>
      </c>
      <c r="Z205" s="67">
        <f t="shared" si="75"/>
        <v>5.8921999999999999</v>
      </c>
      <c r="AA205" s="67">
        <f t="shared" si="76"/>
        <v>5.8006000000000002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77"/>
        <v>0847-19</v>
      </c>
      <c r="AE205" s="91" t="str">
        <f t="shared" si="78"/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AF205" s="88" t="str">
        <f t="shared" si="79"/>
        <v>"C:\Program Files (x86)\AstroGrep\AstroGrep.exe" /spath="%USERPROFILE%\AppData\Local\Temp\OnboardLogs" /stypes="app*4042*20161220*" /stext=" 05:.+((SYSTEM_STATE.+slice.+state.+changed )|(ment ac)|(multiple cpu faults)|(system.+state.+changed )|(\[timeout)|(PRM\|1\|D)|(kpr)|(kdp)|(\|lc)|(penalty))" /e /r /s</v>
      </c>
      <c r="AG205" s="1" t="str">
        <f t="shared" si="80"/>
        <v>NW</v>
      </c>
      <c r="AH205" s="92" t="str">
        <f t="shared" ref="AH205:AH230" si="81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847-19 --locoid 4042 --swversion DE.1.0.8.0 --startMP 204:916 --initTime 2016-12-19T22:02:20 --startdatetime 2016-12-19T22:21:09 --delay 0 --endMP 300:58922 --enddatetime 2016-12-19T22:34:19 --enforcementcount 0 &gt;&gt;C:\Users\stu\Documents\GitHub\eaglep3-reporting\EC\2016-12-19-refined-times.txt</v>
      </c>
      <c r="AI205" s="119" t="str">
        <f t="shared" ref="AI205:AI230" si="82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{"issue":{"subject":"","project_id":79,"tracker_id":40,"status_id":1,"priority_id":2,"assigned_to_id":23,"start_date":"2016-12-19","description":"","custom_fields":[{"id":1,"name":"Subdivision","value":"NW"},{"id":4,"name":"Milepost","value":"5.8922"},{"id":17,"name":"Train ID","value":"847-19"},{"id":16,"name":"Locomotive ID","value":"4042"},{"id":130,"name":"Impact","value":""},{"id":150,"name":"Time of Event (Mountain Time)","value":"22:34:19"},{"id":151,"name":"Denver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495</v>
      </c>
      <c r="B206" s="7">
        <v>4012</v>
      </c>
      <c r="C206" s="22" t="s">
        <v>205</v>
      </c>
      <c r="D206" s="22" t="s">
        <v>867</v>
      </c>
      <c r="E206" s="13">
        <v>42723.114074074074</v>
      </c>
      <c r="F206" s="13">
        <v>42723.115011574075</v>
      </c>
      <c r="G206" s="7">
        <v>1</v>
      </c>
      <c r="H206" s="22" t="s">
        <v>521</v>
      </c>
      <c r="I206" s="13">
        <v>42723.12300925926</v>
      </c>
      <c r="J206" s="7">
        <v>0</v>
      </c>
      <c r="K206" s="109" t="str">
        <f t="shared" si="66"/>
        <v>4011/4012</v>
      </c>
      <c r="L206" s="22" t="str">
        <f>VLOOKUP(A206,'Trips&amp;Operators'!$C$1:$G$99999,5,FALSE)</f>
        <v>OUN ZACK</v>
      </c>
      <c r="M206" s="6">
        <f t="shared" si="67"/>
        <v>7.9976851848186925E-3</v>
      </c>
      <c r="N206" s="7">
        <f t="shared" si="68"/>
        <v>11.516666666138917</v>
      </c>
      <c r="O206" s="7"/>
      <c r="P206" s="7"/>
      <c r="Q206" s="23"/>
      <c r="R206" s="23"/>
      <c r="S206" s="35">
        <f t="shared" si="69"/>
        <v>1</v>
      </c>
      <c r="T206" s="50" t="str">
        <f t="shared" si="70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01:44:16-700',mode:absolute,to:'2016-12-19 03:57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6" s="52" t="str">
        <f t="shared" si="72"/>
        <v>Y</v>
      </c>
      <c r="X206" s="177">
        <f t="shared" si="73"/>
        <v>-545</v>
      </c>
      <c r="Y206" s="67">
        <f t="shared" si="74"/>
        <v>2.3197000000000001</v>
      </c>
      <c r="Z206" s="67">
        <f t="shared" si="75"/>
        <v>1.2999999999999999E-2</v>
      </c>
      <c r="AA206" s="67">
        <f t="shared" si="76"/>
        <v>2.3067000000000002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77"/>
        <v>0302-19</v>
      </c>
      <c r="AE206" s="91" t="str">
        <f t="shared" si="78"/>
        <v>aws s3 cp s3://rtdc.mdm.uploadarchive.raw/RTDC4012/ "%USERPROFILE%\AppData\Local\Temp\OnboardLogs"\RTDC4012\2016-12-19 --exclude "*" --recursive --include "*20161219*" &amp; "%USERPROFILE%\Documents\GitHub\mrs-test-scripts\Headless Mode &amp; Sideloading\WalkAndUnGZ.bat" "%USERPROFILE%\AppData\Local\Temp\OnboardLogs"\RTDC4012\2016-12-19 &amp; 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</v>
      </c>
      <c r="AF206" s="88" t="str">
        <f t="shared" si="79"/>
        <v>"C:\Program Files (x86)\AstroGrep\AstroGrep.exe" /spath="%USERPROFILE%\AppData\Local\Temp\OnboardLogs" /stypes="app*4012*20161219*" /stext=" 09:.+((SYSTEM_STATE.+slice.+state.+changed )|(ment ac)|(multiple cpu faults)|(system.+state.+changed )|(\[timeout)|(PRM\|1\|D)|(kpr)|(kdp)|(\|lc)|(penalty))" /e /r /s</v>
      </c>
      <c r="AG206" s="1" t="str">
        <f t="shared" si="80"/>
        <v>Other</v>
      </c>
      <c r="AH206" s="92" t="str">
        <f t="shared" si="81"/>
        <v>"%USERPROFILE%\Documents\GitHub\eaglep3\Utilities\RefineRTDCRunTimes.py" --tripid 302-19 --locoid 4012 --swversion DE.1.0.8.0 --startMP 300:23197 --initTime 2016-12-19T02:44:16 --startdatetime 2016-12-19T02:45:37 --delay 1 --endMP 204:130 --enddatetime 2016-12-19T02:57:08 --enforcementcount 0 &gt;&gt;C:\Users\stu\Documents\GitHub\eaglep3-reporting\EC\2016-12-19-refined-times.txt</v>
      </c>
      <c r="AI206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{"issue":{"subject":"","project_id":79,"tracker_id":40,"status_id":1,"priority_id":2,"assigned_to_id":23,"start_date":"2016-12-19","description":"","custom_fields":[{"id":1,"name":"Subdivision","value":"Other"},{"id":4,"name":"Milepost","value":"0.013"},{"id":17,"name":"Train ID","value":"302-19"},{"id":16,"name":"Locomotive ID","value":"4012"},{"id":130,"name":"Impact","value":""},{"id":150,"name":"Time of Event (Mountain Time)","value":"02:57:08"},{"id":151,"name":"Denver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495</v>
      </c>
      <c r="B207" s="7">
        <v>4012</v>
      </c>
      <c r="C207" s="22" t="s">
        <v>205</v>
      </c>
      <c r="D207" s="22" t="s">
        <v>520</v>
      </c>
      <c r="E207" s="13">
        <v>42723.11109953704</v>
      </c>
      <c r="F207" s="13">
        <v>42723.115011574075</v>
      </c>
      <c r="G207" s="7">
        <v>5</v>
      </c>
      <c r="H207" s="22" t="s">
        <v>521</v>
      </c>
      <c r="I207" s="13">
        <v>42723.12300925926</v>
      </c>
      <c r="J207" s="7">
        <v>0</v>
      </c>
      <c r="K207" s="109" t="str">
        <f t="shared" si="66"/>
        <v>4011/4012</v>
      </c>
      <c r="L207" s="22" t="str">
        <f>VLOOKUP(A207,'Trips&amp;Operators'!$C$1:$G$99999,5,FALSE)</f>
        <v>OUN ZACK</v>
      </c>
      <c r="M207" s="6">
        <f t="shared" si="67"/>
        <v>7.9976851848186925E-3</v>
      </c>
      <c r="N207" s="7">
        <f t="shared" si="68"/>
        <v>11.516666666138917</v>
      </c>
      <c r="O207" s="7"/>
      <c r="P207" s="7"/>
      <c r="Q207" s="23"/>
      <c r="R207" s="23"/>
      <c r="S207" s="35">
        <f t="shared" si="69"/>
        <v>1</v>
      </c>
      <c r="T207" s="50" t="str">
        <f t="shared" si="70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01:39:59-700',mode:absolute,to:'2016-12-19 03:57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7" s="52" t="str">
        <f t="shared" si="72"/>
        <v>Y</v>
      </c>
      <c r="X207" s="177">
        <f t="shared" si="73"/>
        <v>0</v>
      </c>
      <c r="Y207" s="67">
        <f t="shared" si="74"/>
        <v>2.3199000000000001</v>
      </c>
      <c r="Z207" s="67">
        <f t="shared" si="75"/>
        <v>1.2999999999999999E-2</v>
      </c>
      <c r="AA207" s="67">
        <f t="shared" si="76"/>
        <v>2.3069000000000002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77"/>
        <v>0302-19</v>
      </c>
      <c r="AE207" s="91" t="str">
        <f t="shared" si="78"/>
        <v>aws s3 cp s3://rtdc.mdm.uploadarchive.raw/RTDC4012/ "%USERPROFILE%\AppData\Local\Temp\OnboardLogs"\RTDC4012\2016-12-19 --exclude "*" --recursive --include "*20161219*" &amp; "%USERPROFILE%\Documents\GitHub\mrs-test-scripts\Headless Mode &amp; Sideloading\WalkAndUnGZ.bat" "%USERPROFILE%\AppData\Local\Temp\OnboardLogs"\RTDC4012\2016-12-19 &amp; 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</v>
      </c>
      <c r="AF207" s="88" t="str">
        <f t="shared" si="79"/>
        <v>"C:\Program Files (x86)\AstroGrep\AstroGrep.exe" /spath="%USERPROFILE%\AppData\Local\Temp\OnboardLogs" /stypes="app*4012*20161219*" /stext=" 09:.+((SYSTEM_STATE.+slice.+state.+changed )|(ment ac)|(multiple cpu faults)|(system.+state.+changed )|(\[timeout)|(PRM\|1\|D)|(kpr)|(kdp)|(\|lc)|(penalty))" /e /r /s</v>
      </c>
      <c r="AG207" s="1" t="str">
        <f t="shared" si="80"/>
        <v>Other</v>
      </c>
      <c r="AH207" s="92" t="str">
        <f t="shared" si="81"/>
        <v>"%USERPROFILE%\Documents\GitHub\eaglep3\Utilities\RefineRTDCRunTimes.py" --tripid 302-19 --locoid 4012 --swversion DE.1.0.8.0 --startMP 300:23199 --initTime 2016-12-19T02:39:59 --startdatetime 2016-12-19T02:45:37 --delay 5 --endMP 204:130 --enddatetime 2016-12-19T02:57:08 --enforcementcount 0 &gt;&gt;C:\Users\stu\Documents\GitHub\eaglep3-reporting\EC\2016-12-19-refined-times.txt</v>
      </c>
      <c r="AI207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{"issue":{"subject":"","project_id":79,"tracker_id":40,"status_id":1,"priority_id":2,"assigned_to_id":23,"start_date":"2016-12-19","description":"","custom_fields":[{"id":1,"name":"Subdivision","value":"Other"},{"id":4,"name":"Milepost","value":"0.013"},{"id":17,"name":"Train ID","value":"302-19"},{"id":16,"name":"Locomotive ID","value":"4012"},{"id":130,"name":"Impact","value":""},{"id":150,"name":"Time of Event (Mountain Time)","value":"02:57:08"},{"id":151,"name":"Denver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764</v>
      </c>
      <c r="B208" s="7">
        <v>4043</v>
      </c>
      <c r="C208" s="22" t="s">
        <v>205</v>
      </c>
      <c r="D208" s="22" t="s">
        <v>868</v>
      </c>
      <c r="E208" s="13">
        <v>42724.112615740742</v>
      </c>
      <c r="F208" s="13">
        <v>42724.115763888891</v>
      </c>
      <c r="G208" s="7">
        <v>3</v>
      </c>
      <c r="H208" s="22" t="s">
        <v>283</v>
      </c>
      <c r="I208" s="13">
        <v>42724.123240740744</v>
      </c>
      <c r="J208" s="7">
        <v>0</v>
      </c>
      <c r="K208" s="109" t="str">
        <f t="shared" si="66"/>
        <v>4043/4044</v>
      </c>
      <c r="L208" s="22" t="str">
        <f>VLOOKUP(A208,'Trips&amp;Operators'!$C$1:$G$99999,5,FALSE)</f>
        <v>OUN ZACK</v>
      </c>
      <c r="M208" s="6">
        <f t="shared" si="67"/>
        <v>7.4768518534256145E-3</v>
      </c>
      <c r="N208" s="7">
        <f t="shared" si="68"/>
        <v>10.766666668932885</v>
      </c>
      <c r="O208" s="7"/>
      <c r="P208" s="7"/>
      <c r="Q208" s="23"/>
      <c r="R208" s="23"/>
      <c r="S208" s="35">
        <f t="shared" si="69"/>
        <v>1</v>
      </c>
      <c r="T208" s="50" t="str">
        <f t="shared" si="70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https://search-rtdc-monitor-bjffxe2xuh6vdkpspy63sjmuny.us-east-1.es.amazonaws.com/_plugin/kibana/#/discover/Steve-Slow-Train-Analysis-(2080s-and-2083s)?_g=(refreshInterval:(display:Off,section:0,value:0),time:(from:'2016-12-20 01:42:10-700',mode:absolute,to:'2016-12-20 03:57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8" s="52" t="str">
        <f t="shared" si="72"/>
        <v>Y</v>
      </c>
      <c r="X208" s="177">
        <f t="shared" si="73"/>
        <v>0</v>
      </c>
      <c r="Y208" s="67">
        <f t="shared" si="74"/>
        <v>2.3127</v>
      </c>
      <c r="Z208" s="67">
        <f t="shared" si="75"/>
        <v>1.38E-2</v>
      </c>
      <c r="AA208" s="67">
        <f t="shared" si="76"/>
        <v>2.2989000000000002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77"/>
        <v>0302-20</v>
      </c>
      <c r="AE208" s="91" t="str">
        <f t="shared" si="78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208" s="88" t="str">
        <f t="shared" si="79"/>
        <v>"C:\Program Files (x86)\AstroGrep\AstroGrep.exe" /spath="%USERPROFILE%\AppData\Local\Temp\OnboardLogs" /stypes="app*4043*20161220*" /stext=" 09:.+((SYSTEM_STATE.+slice.+state.+changed )|(ment ac)|(multiple cpu faults)|(system.+state.+changed )|(\[timeout)|(PRM\|1\|D)|(kpr)|(kdp)|(\|lc)|(penalty))" /e /r /s</v>
      </c>
      <c r="AG208" s="1" t="str">
        <f t="shared" si="80"/>
        <v>Other</v>
      </c>
      <c r="AH208" s="92" t="str">
        <f t="shared" si="81"/>
        <v>"%USERPROFILE%\Documents\GitHub\eaglep3\Utilities\RefineRTDCRunTimes.py" --tripid 302-20 --locoid 4043 --swversion DE.1.0.8.0 --startMP 300:23127 --initTime 2016-12-20T02:42:10 --startdatetime 2016-12-20T02:46:42 --delay 3 --endMP 204:138 --enddatetime 2016-12-20T02:57:28 --enforcementcount 0 &gt;&gt;C:\Users\stu\Documents\GitHub\eaglep3-reporting\EC\2016-12-19-refined-times.txt</v>
      </c>
      <c r="AI208" s="119" t="str">
        <f t="shared" si="82"/>
        <v>echo {"issue":{"subject":"","project_id":79,"tracker_id":40,"status_id":1,"priority_id":2,"assigned_to_id":23,"start_date":"2016-12-20","description":"","custom_fields":[{"id":1,"name":"Subdivision","value":"Other"},{"id":4,"name":"Milepost","value":"0.0138"},{"id":17,"name":"Train ID","value":"302-20"},{"id":16,"name":"Locomotive ID","value":"4043"},{"id":130,"name":"Impact","value":""},{"id":150,"name":"Time of Event (Mountain Time)","value":"02:57:28"},{"id":151,"name":"Denver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569</v>
      </c>
      <c r="B209" s="7">
        <v>4019</v>
      </c>
      <c r="C209" s="22" t="s">
        <v>205</v>
      </c>
      <c r="D209" s="22" t="s">
        <v>869</v>
      </c>
      <c r="E209" s="13">
        <v>42723.140555555554</v>
      </c>
      <c r="F209" s="13">
        <v>42723.143796296295</v>
      </c>
      <c r="G209" s="7">
        <v>4</v>
      </c>
      <c r="H209" s="22" t="s">
        <v>235</v>
      </c>
      <c r="I209" s="13">
        <v>42723.149675925924</v>
      </c>
      <c r="J209" s="7">
        <v>0</v>
      </c>
      <c r="K209" s="109" t="str">
        <f t="shared" si="66"/>
        <v>4019/4020</v>
      </c>
      <c r="L209" s="22" t="str">
        <f>VLOOKUP(A209,'Trips&amp;Operators'!$C$1:$G$99999,5,FALSE)</f>
        <v>MAELZER KURT</v>
      </c>
      <c r="M209" s="6">
        <f t="shared" si="67"/>
        <v>5.8796296289074235E-3</v>
      </c>
      <c r="N209" s="7">
        <f t="shared" si="68"/>
        <v>8.4666666656266898</v>
      </c>
      <c r="O209" s="7"/>
      <c r="P209" s="7"/>
      <c r="Q209" s="23"/>
      <c r="R209" s="23"/>
      <c r="S209" s="35">
        <f t="shared" si="69"/>
        <v>1</v>
      </c>
      <c r="T209" s="50" t="str">
        <f t="shared" si="70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02:22:24-700',mode:absolute,to:'2016-12-19 04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9" s="52" t="str">
        <f t="shared" si="72"/>
        <v>Y</v>
      </c>
      <c r="X209" s="177">
        <f t="shared" si="73"/>
        <v>2</v>
      </c>
      <c r="Y209" s="67">
        <f t="shared" si="74"/>
        <v>2.0537999999999998</v>
      </c>
      <c r="Z209" s="67">
        <f t="shared" si="75"/>
        <v>1.4500000000000001E-2</v>
      </c>
      <c r="AA209" s="67">
        <f t="shared" si="76"/>
        <v>2.0392999999999999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77"/>
        <v>0304-19</v>
      </c>
      <c r="AE209" s="91" t="str">
        <f t="shared" si="78"/>
        <v>aws s3 cp s3://rtdc.mdm.uploadarchive.raw/RTDC4019/ "%USERPROFILE%\AppData\Local\Temp\OnboardLogs"\RTDC4019\2016-12-19 --exclude "*" --recursive --include "*20161219*" &amp; "%USERPROFILE%\Documents\GitHub\mrs-test-scripts\Headless Mode &amp; Sideloading\WalkAndUnGZ.bat" "%USERPROFILE%\AppData\Local\Temp\OnboardLogs"\RTDC4019\2016-12-19 &amp; 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</v>
      </c>
      <c r="AF209" s="88" t="str">
        <f t="shared" si="79"/>
        <v>"C:\Program Files (x86)\AstroGrep\AstroGrep.exe" /spath="%USERPROFILE%\AppData\Local\Temp\OnboardLogs" /stypes="app*4019*20161219*" /stext=" 10:.+((SYSTEM_STATE.+slice.+state.+changed )|(ment ac)|(multiple cpu faults)|(system.+state.+changed )|(\[timeout)|(PRM\|1\|D)|(kpr)|(kdp)|(\|lc)|(penalty))" /e /r /s</v>
      </c>
      <c r="AG209" s="1" t="str">
        <f t="shared" si="80"/>
        <v>Other</v>
      </c>
      <c r="AH209" s="92" t="str">
        <f t="shared" si="81"/>
        <v>"%USERPROFILE%\Documents\GitHub\eaglep3\Utilities\RefineRTDCRunTimes.py" --tripid 304-19 --locoid 4019 --swversion DE.1.0.8.0 --startMP 300:20538 --initTime 2016-12-19T03:22:24 --startdatetime 2016-12-19T03:27:04 --delay 4 --endMP 204:145 --enddatetime 2016-12-19T03:35:32 --enforcementcount 0 &gt;&gt;C:\Users\stu\Documents\GitHub\eaglep3-reporting\EC\2016-12-19-refined-times.txt</v>
      </c>
      <c r="AI209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{"issue":{"subject":"","project_id":79,"tracker_id":40,"status_id":1,"priority_id":2,"assigned_to_id":23,"start_date":"2016-12-19","description":"","custom_fields":[{"id":1,"name":"Subdivision","value":"Other"},{"id":4,"name":"Milepost","value":"0.0145"},{"id":17,"name":"Train ID","value":"304-19"},{"id":16,"name":"Locomotive ID","value":"4019"},{"id":130,"name":"Impact","value":""},{"id":150,"name":"Time of Event (Mountain Time)","value":"03:35:32"},{"id":151,"name":"Denver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732</v>
      </c>
      <c r="B210" s="7">
        <v>4046</v>
      </c>
      <c r="C210" s="22" t="s">
        <v>205</v>
      </c>
      <c r="D210" s="22" t="s">
        <v>775</v>
      </c>
      <c r="E210" s="13">
        <v>42723.798009259262</v>
      </c>
      <c r="F210" s="13">
        <v>42723.800856481481</v>
      </c>
      <c r="G210" s="7">
        <v>1</v>
      </c>
      <c r="H210" s="22" t="s">
        <v>286</v>
      </c>
      <c r="I210" s="13">
        <v>42723.805810185186</v>
      </c>
      <c r="J210" s="7">
        <v>0</v>
      </c>
      <c r="K210" s="109" t="str">
        <f t="shared" si="66"/>
        <v>4045/4046</v>
      </c>
      <c r="L210" s="22" t="str">
        <f>VLOOKUP(A210,'Trips&amp;Operators'!$C$1:$G$99999,5,FALSE)</f>
        <v>BARTLETT KIANDRA</v>
      </c>
      <c r="M210" s="6">
        <f t="shared" si="67"/>
        <v>4.9537037048139609E-3</v>
      </c>
      <c r="N210" s="7">
        <f t="shared" si="68"/>
        <v>7.1333333349321038</v>
      </c>
      <c r="O210" s="7"/>
      <c r="P210" s="7"/>
      <c r="Q210" s="23"/>
      <c r="R210" s="23"/>
      <c r="S210" s="35">
        <f t="shared" si="69"/>
        <v>1</v>
      </c>
      <c r="T210" s="50" t="str">
        <f t="shared" si="70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18:09:08-700',mode:absolute,to:'2016-12-19 20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0" s="52" t="str">
        <f t="shared" si="72"/>
        <v>Y</v>
      </c>
      <c r="X210" s="177">
        <f t="shared" si="73"/>
        <v>1</v>
      </c>
      <c r="Y210" s="67">
        <f t="shared" si="74"/>
        <v>4.8000000000000001E-2</v>
      </c>
      <c r="Z210" s="67">
        <f t="shared" si="75"/>
        <v>2.3304</v>
      </c>
      <c r="AA210" s="67">
        <f t="shared" si="76"/>
        <v>2.2824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77"/>
        <v>0305-19</v>
      </c>
      <c r="AE210" s="91" t="str">
        <f t="shared" si="78"/>
        <v>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 &amp; 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</v>
      </c>
      <c r="AF210" s="88" t="str">
        <f t="shared" si="79"/>
        <v>"C:\Program Files (x86)\AstroGrep\AstroGrep.exe" /spath="%USERPROFILE%\AppData\Local\Temp\OnboardLogs" /stypes="app*4046*20161220*" /stext=" 02:.+((SYSTEM_STATE.+slice.+state.+changed )|(ment ac)|(multiple cpu faults)|(system.+state.+changed )|(\[timeout)|(PRM\|1\|D)|(kpr)|(kdp)|(\|lc)|(penalty))" /e /r /s</v>
      </c>
      <c r="AG210" s="1" t="str">
        <f t="shared" si="80"/>
        <v>Other</v>
      </c>
      <c r="AH210" s="92" t="str">
        <f t="shared" si="81"/>
        <v>"%USERPROFILE%\Documents\GitHub\eaglep3\Utilities\RefineRTDCRunTimes.py" --tripid 305-19 --locoid 4046 --swversion DE.1.0.8.0 --startMP 204:480 --initTime 2016-12-19T19:09:08 --startdatetime 2016-12-19T19:13:14 --delay 1 --endMP 300:23304 --enddatetime 2016-12-19T19:20:22 --enforcementcount 0 &gt;&gt;C:\Users\stu\Documents\GitHub\eaglep3-reporting\EC\2016-12-19-refined-times.txt</v>
      </c>
      <c r="AI210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{"issue":{"subject":"","project_id":79,"tracker_id":40,"status_id":1,"priority_id":2,"assigned_to_id":23,"start_date":"2016-12-19","description":"","custom_fields":[{"id":1,"name":"Subdivision","value":"Other"},{"id":4,"name":"Milepost","value":"2.3304"},{"id":17,"name":"Train ID","value":"305-19"},{"id":16,"name":"Locomotive ID","value":"4046"},{"id":130,"name":"Impact","value":""},{"id":150,"name":"Time of Event (Mountain Time)","value":"19:20:22"},{"id":151,"name":"Denver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737</v>
      </c>
      <c r="B211" s="7">
        <v>4018</v>
      </c>
      <c r="C211" s="22" t="s">
        <v>205</v>
      </c>
      <c r="D211" s="22" t="s">
        <v>284</v>
      </c>
      <c r="E211" s="13">
        <v>42723.829085648147</v>
      </c>
      <c r="F211" s="13">
        <v>42723.831678240742</v>
      </c>
      <c r="G211" s="7">
        <v>1</v>
      </c>
      <c r="H211" s="22" t="s">
        <v>286</v>
      </c>
      <c r="I211" s="13">
        <v>42723.837222222224</v>
      </c>
      <c r="J211" s="7">
        <v>0</v>
      </c>
      <c r="K211" s="109" t="str">
        <f t="shared" si="66"/>
        <v>4017/4018</v>
      </c>
      <c r="L211" s="22" t="str">
        <f>VLOOKUP(A211,'Trips&amp;Operators'!$C$1:$G$99999,5,FALSE)</f>
        <v>KILLION DAVID</v>
      </c>
      <c r="M211" s="6">
        <f t="shared" si="67"/>
        <v>5.543981482333038E-3</v>
      </c>
      <c r="N211" s="7">
        <f t="shared" si="68"/>
        <v>7.9833333345595747</v>
      </c>
      <c r="O211" s="7"/>
      <c r="P211" s="7"/>
      <c r="Q211" s="23"/>
      <c r="R211" s="23"/>
      <c r="S211" s="35">
        <f t="shared" si="69"/>
        <v>1</v>
      </c>
      <c r="T211" s="50" t="str">
        <f t="shared" si="70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18:53:53-700',mode:absolute,to:'2016-12-19 21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1" s="52" t="str">
        <f t="shared" si="72"/>
        <v>Y</v>
      </c>
      <c r="X211" s="177">
        <f t="shared" si="73"/>
        <v>2</v>
      </c>
      <c r="Y211" s="67">
        <f t="shared" si="74"/>
        <v>4.4400000000000002E-2</v>
      </c>
      <c r="Z211" s="67">
        <f t="shared" si="75"/>
        <v>2.3304</v>
      </c>
      <c r="AA211" s="67">
        <f t="shared" si="76"/>
        <v>2.286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77"/>
        <v>0307-19</v>
      </c>
      <c r="AE211" s="91" t="str">
        <f t="shared" si="78"/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AF211" s="88" t="str">
        <f t="shared" si="79"/>
        <v>"C:\Program Files (x86)\AstroGrep\AstroGrep.exe" /spath="%USERPROFILE%\AppData\Local\Temp\OnboardLogs" /stypes="app*4018*20161220*" /stext=" 03:.+((SYSTEM_STATE.+slice.+state.+changed )|(ment ac)|(multiple cpu faults)|(system.+state.+changed )|(\[timeout)|(PRM\|1\|D)|(kpr)|(kdp)|(\|lc)|(penalty))" /e /r /s</v>
      </c>
      <c r="AG211" s="1" t="str">
        <f t="shared" si="80"/>
        <v>Other</v>
      </c>
      <c r="AH211" s="92" t="str">
        <f t="shared" si="81"/>
        <v>"%USERPROFILE%\Documents\GitHub\eaglep3\Utilities\RefineRTDCRunTimes.py" --tripid 307-19 --locoid 4018 --swversion DE.1.0.8.0 --startMP 204:444 --initTime 2016-12-19T19:53:53 --startdatetime 2016-12-19T19:57:37 --delay 1 --endMP 300:23304 --enddatetime 2016-12-19T20:05:36 --enforcementcount 0 &gt;&gt;C:\Users\stu\Documents\GitHub\eaglep3-reporting\EC\2016-12-19-refined-times.txt</v>
      </c>
      <c r="AI211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{"issue":{"subject":"","project_id":79,"tracker_id":40,"status_id":1,"priority_id":2,"assigned_to_id":23,"start_date":"2016-12-19","description":"","custom_fields":[{"id":1,"name":"Subdivision","value":"Other"},{"id":4,"name":"Milepost","value":"2.3304"},{"id":17,"name":"Train ID","value":"307-19"},{"id":16,"name":"Locomotive ID","value":"4018"},{"id":130,"name":"Impact","value":""},{"id":150,"name":"Time of Event (Mountain Time)","value":"20:05:36"},{"id":151,"name":"Denver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575</v>
      </c>
      <c r="B212" s="7">
        <v>4021</v>
      </c>
      <c r="C212" s="22" t="s">
        <v>205</v>
      </c>
      <c r="D212" s="22" t="s">
        <v>870</v>
      </c>
      <c r="E212" s="13">
        <v>42723.16920138889</v>
      </c>
      <c r="F212" s="13">
        <v>42723.170798611114</v>
      </c>
      <c r="G212" s="7">
        <v>1</v>
      </c>
      <c r="H212" s="22" t="s">
        <v>504</v>
      </c>
      <c r="I212" s="13">
        <v>42723.183946759258</v>
      </c>
      <c r="J212" s="7">
        <v>0</v>
      </c>
      <c r="K212" s="109" t="str">
        <f t="shared" si="66"/>
        <v>4021/4022</v>
      </c>
      <c r="L212" s="22" t="str">
        <f>VLOOKUP(A212,'Trips&amp;Operators'!$C$1:$G$99999,5,FALSE)</f>
        <v>DAVIDSON DAVID</v>
      </c>
      <c r="M212" s="6">
        <f t="shared" si="67"/>
        <v>1.3148148143955041E-2</v>
      </c>
      <c r="N212" s="7">
        <f t="shared" si="68"/>
        <v>18.933333327295259</v>
      </c>
      <c r="O212" s="7"/>
      <c r="P212" s="7"/>
      <c r="Q212" s="23"/>
      <c r="R212" s="23"/>
      <c r="S212" s="35">
        <f t="shared" si="69"/>
        <v>1</v>
      </c>
      <c r="T212" s="50" t="str">
        <f t="shared" si="70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03:03:39-700',mode:absolute,to:'2016-12-19 05:24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2" s="52" t="str">
        <f t="shared" si="72"/>
        <v>Y</v>
      </c>
      <c r="X212" s="177">
        <f t="shared" si="73"/>
        <v>1</v>
      </c>
      <c r="Y212" s="67">
        <f t="shared" si="74"/>
        <v>2.2193000000000001</v>
      </c>
      <c r="Z212" s="67">
        <f t="shared" si="75"/>
        <v>1.5599999999999999E-2</v>
      </c>
      <c r="AA212" s="67">
        <f t="shared" si="76"/>
        <v>2.2037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77"/>
        <v>0308-19</v>
      </c>
      <c r="AE212" s="91" t="str">
        <f t="shared" si="78"/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AF212" s="88" t="str">
        <f t="shared" si="79"/>
        <v>"C:\Program Files (x86)\AstroGrep\AstroGrep.exe" /spath="%USERPROFILE%\AppData\Local\Temp\OnboardLogs" /stypes="app*4021*20161219*" /stext=" 11:.+((SYSTEM_STATE.+slice.+state.+changed )|(ment ac)|(multiple cpu faults)|(system.+state.+changed )|(\[timeout)|(PRM\|1\|D)|(kpr)|(kdp)|(\|lc)|(penalty))" /e /r /s</v>
      </c>
      <c r="AG212" s="1" t="str">
        <f t="shared" si="80"/>
        <v>Other</v>
      </c>
      <c r="AH212" s="92" t="str">
        <f t="shared" si="81"/>
        <v>"%USERPROFILE%\Documents\GitHub\eaglep3\Utilities\RefineRTDCRunTimes.py" --tripid 308-19 --locoid 4021 --swversion DE.1.0.8.0 --startMP 300:22193 --initTime 2016-12-19T04:03:39 --startdatetime 2016-12-19T04:05:57 --delay 1 --endMP 204:156 --enddatetime 2016-12-19T04:24:53 --enforcementcount 0 &gt;&gt;C:\Users\stu\Documents\GitHub\eaglep3-reporting\EC\2016-12-19-refined-times.txt</v>
      </c>
      <c r="AI212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{"issue":{"subject":"","project_id":79,"tracker_id":40,"status_id":1,"priority_id":2,"assigned_to_id":23,"start_date":"2016-12-19","description":"","custom_fields":[{"id":1,"name":"Subdivision","value":"Other"},{"id":4,"name":"Milepost","value":"0.0156"},{"id":17,"name":"Train ID","value":"308-19"},{"id":16,"name":"Locomotive ID","value":"4021"},{"id":130,"name":"Impact","value":""},{"id":150,"name":"Time of Event (Mountain Time)","value":"04:24:53"},{"id":151,"name":"Denver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577</v>
      </c>
      <c r="B213" s="7">
        <v>4032</v>
      </c>
      <c r="C213" s="22" t="s">
        <v>205</v>
      </c>
      <c r="D213" s="22" t="s">
        <v>871</v>
      </c>
      <c r="E213" s="13">
        <v>42723.176874999997</v>
      </c>
      <c r="F213" s="13">
        <v>42723.177997685183</v>
      </c>
      <c r="G213" s="7">
        <v>1</v>
      </c>
      <c r="H213" s="22" t="s">
        <v>211</v>
      </c>
      <c r="I213" s="13">
        <v>42723.191099537034</v>
      </c>
      <c r="J213" s="7">
        <v>0</v>
      </c>
      <c r="K213" s="109" t="str">
        <f t="shared" si="66"/>
        <v>4031/4032</v>
      </c>
      <c r="L213" s="22" t="str">
        <f>VLOOKUP(A213,'Trips&amp;Operators'!$C$1:$G$99999,5,FALSE)</f>
        <v>SHOOK JOHN</v>
      </c>
      <c r="M213" s="6">
        <f t="shared" si="67"/>
        <v>1.3101851851388346E-2</v>
      </c>
      <c r="N213" s="7">
        <f t="shared" si="68"/>
        <v>18.866666665999219</v>
      </c>
      <c r="O213" s="7"/>
      <c r="P213" s="7"/>
      <c r="Q213" s="23"/>
      <c r="R213" s="23"/>
      <c r="S213" s="35">
        <f t="shared" si="69"/>
        <v>1</v>
      </c>
      <c r="T213" s="50" t="str">
        <f t="shared" si="70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03:14:42-700',mode:absolute,to:'2016-12-19 05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3" s="52" t="str">
        <f t="shared" si="72"/>
        <v>Y</v>
      </c>
      <c r="X213" s="177">
        <f t="shared" si="73"/>
        <v>2</v>
      </c>
      <c r="Y213" s="67">
        <f t="shared" si="74"/>
        <v>2.2869999999999999</v>
      </c>
      <c r="Z213" s="67">
        <f t="shared" si="75"/>
        <v>1.4999999999999999E-2</v>
      </c>
      <c r="AA213" s="67">
        <f t="shared" si="76"/>
        <v>2.2719999999999998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77"/>
        <v>0310-19</v>
      </c>
      <c r="AE213" s="91" t="str">
        <f t="shared" si="78"/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AF213" s="88" t="str">
        <f t="shared" si="79"/>
        <v>"C:\Program Files (x86)\AstroGrep\AstroGrep.exe" /spath="%USERPROFILE%\AppData\Local\Temp\OnboardLogs" /stypes="app*4032*20161219*" /stext=" 11:.+((SYSTEM_STATE.+slice.+state.+changed )|(ment ac)|(multiple cpu faults)|(system.+state.+changed )|(\[timeout)|(PRM\|1\|D)|(kpr)|(kdp)|(\|lc)|(penalty))" /e /r /s</v>
      </c>
      <c r="AG213" s="1" t="str">
        <f t="shared" si="80"/>
        <v>Other</v>
      </c>
      <c r="AH213" s="92" t="str">
        <f t="shared" si="81"/>
        <v>"%USERPROFILE%\Documents\GitHub\eaglep3\Utilities\RefineRTDCRunTimes.py" --tripid 310-19 --locoid 4032 --swversion DE.1.0.8.0 --startMP 300:22870 --initTime 2016-12-19T04:14:42 --startdatetime 2016-12-19T04:16:19 --delay 1 --endMP 204:150 --enddatetime 2016-12-19T04:35:11 --enforcementcount 0 &gt;&gt;C:\Users\stu\Documents\GitHub\eaglep3-reporting\EC\2016-12-19-refined-times.txt</v>
      </c>
      <c r="AI213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{"issue":{"subject":"","project_id":79,"tracker_id":40,"status_id":1,"priority_id":2,"assigned_to_id":23,"start_date":"2016-12-19","description":"","custom_fields":[{"id":1,"name":"Subdivision","value":"Other"},{"id":4,"name":"Milepost","value":"0.015"},{"id":17,"name":"Train ID","value":"310-19"},{"id":16,"name":"Locomotive ID","value":"4032"},{"id":130,"name":"Impact","value":""},{"id":150,"name":"Time of Event (Mountain Time)","value":"04:35:11"},{"id":151,"name":"Denver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760</v>
      </c>
      <c r="B214" s="7">
        <v>4022</v>
      </c>
      <c r="C214" s="22" t="s">
        <v>205</v>
      </c>
      <c r="D214" s="22" t="s">
        <v>837</v>
      </c>
      <c r="E214" s="13">
        <v>42724.048935185187</v>
      </c>
      <c r="F214" s="13">
        <v>25568.708333333332</v>
      </c>
      <c r="G214" s="7">
        <v>1</v>
      </c>
      <c r="H214" s="22" t="s">
        <v>872</v>
      </c>
      <c r="I214" s="13">
        <v>25568.708333333332</v>
      </c>
      <c r="J214" s="7">
        <v>0</v>
      </c>
      <c r="K214" s="109" t="str">
        <f t="shared" si="66"/>
        <v>4021/4022</v>
      </c>
      <c r="L214" s="22" t="str">
        <f>VLOOKUP(A214,'Trips&amp;Operators'!$C$1:$G$99999,5,FALSE)</f>
        <v>YANG JAN</v>
      </c>
      <c r="M214" s="6">
        <f t="shared" si="67"/>
        <v>0</v>
      </c>
      <c r="N214" s="7">
        <f t="shared" si="68"/>
        <v>0</v>
      </c>
      <c r="O214" s="7"/>
      <c r="P214" s="7"/>
      <c r="Q214" s="23"/>
      <c r="R214" s="23"/>
      <c r="S214" s="35">
        <f t="shared" si="69"/>
        <v>1</v>
      </c>
      <c r="T214" s="50" t="str">
        <f t="shared" si="70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https://search-rtdc-monitor-bjffxe2xuh6vdkpspy63sjmuny.us-east-1.es.amazonaws.com/_plugin/kibana/#/discover/Steve-Slow-Train-Analysis-(2080s-and-2083s)?_g=(refreshInterval:(display:Off,section:0,value:0),time:(from:'2016-12-20 00:10:28-700',mode:absolute,to:'1969-12-31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4" s="52" t="str">
        <f t="shared" si="72"/>
        <v>Y</v>
      </c>
      <c r="X214" s="177">
        <f t="shared" si="73"/>
        <v>1</v>
      </c>
      <c r="Y214" s="67">
        <f t="shared" si="74"/>
        <v>4.6600000000000003E-2</v>
      </c>
      <c r="Z214" s="67">
        <f t="shared" si="75"/>
        <v>2.3294999999999999</v>
      </c>
      <c r="AA214" s="67">
        <f t="shared" si="76"/>
        <v>2.2828999999999997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77"/>
        <v>0311-19</v>
      </c>
      <c r="AE214" s="91" t="str">
        <f t="shared" si="78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4" s="88" t="str">
        <f t="shared" si="79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4" s="1" t="str">
        <f t="shared" si="80"/>
        <v>Other</v>
      </c>
      <c r="AH214" s="92" t="str">
        <f t="shared" si="81"/>
        <v>"%USERPROFILE%\Documents\GitHub\eaglep3\Utilities\RefineRTDCRunTimes.py" --tripid 311-19 --locoid 4022 --swversion DE.1.0.8.0 --startMP 204:466 --initTime 2016-12-20T01:10:28 --startdatetime 1969-12-31T17:00:00 --delay 1 --endMP 300:23295 --enddatetime 1969-12-31T17:00:00 --enforcementcount 0 &gt;&gt;C:\Users\stu\Documents\GitHub\eaglep3-reporting\EC\2016-12-19-refined-times.txt</v>
      </c>
      <c r="AI214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ID","value":"311-19"},{"id":16,"name":"Locomotive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762</v>
      </c>
      <c r="B215" s="7">
        <v>4027</v>
      </c>
      <c r="C215" s="22" t="s">
        <v>205</v>
      </c>
      <c r="D215" s="22" t="s">
        <v>266</v>
      </c>
      <c r="E215" s="13">
        <v>42724.073287037034</v>
      </c>
      <c r="F215" s="13">
        <v>42724.074537037035</v>
      </c>
      <c r="G215" s="7">
        <v>1</v>
      </c>
      <c r="H215" s="22" t="s">
        <v>873</v>
      </c>
      <c r="I215" s="13">
        <v>42724.082303240742</v>
      </c>
      <c r="J215" s="7">
        <v>0</v>
      </c>
      <c r="K215" s="109" t="str">
        <f t="shared" si="66"/>
        <v>4027/4028</v>
      </c>
      <c r="L215" s="22" t="str">
        <f>VLOOKUP(A215,'Trips&amp;Operators'!$C$1:$G$99999,5,FALSE)</f>
        <v>CHANDLER KELVIN</v>
      </c>
      <c r="M215" s="6">
        <f t="shared" si="67"/>
        <v>7.7662037074333057E-3</v>
      </c>
      <c r="N215" s="7">
        <f t="shared" si="68"/>
        <v>11.18333333870396</v>
      </c>
      <c r="O215" s="7"/>
      <c r="P215" s="7"/>
      <c r="Q215" s="23"/>
      <c r="R215" s="23"/>
      <c r="S215" s="35">
        <f t="shared" si="69"/>
        <v>1</v>
      </c>
      <c r="T215" s="50" t="str">
        <f t="shared" si="70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https://search-rtdc-monitor-bjffxe2xuh6vdkpspy63sjmuny.us-east-1.es.amazonaws.com/_plugin/kibana/#/discover/Steve-Slow-Train-Analysis-(2080s-and-2083s)?_g=(refreshInterval:(display:Off,section:0,value:0),time:(from:'2016-12-20 00:45:32-700',mode:absolute,to:'2016-12-20 02:58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5" s="52" t="str">
        <f t="shared" si="72"/>
        <v>Y</v>
      </c>
      <c r="X215" s="177">
        <f t="shared" si="73"/>
        <v>2</v>
      </c>
      <c r="Y215" s="67">
        <f t="shared" si="74"/>
        <v>4.6699999999999998E-2</v>
      </c>
      <c r="Z215" s="67">
        <f t="shared" si="75"/>
        <v>2.2827999999999999</v>
      </c>
      <c r="AA215" s="67">
        <f t="shared" si="76"/>
        <v>2.2361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77"/>
        <v>0313-19</v>
      </c>
      <c r="AE215" s="91" t="str">
        <f t="shared" si="78"/>
        <v>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 &amp; 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</v>
      </c>
      <c r="AF215" s="88" t="str">
        <f t="shared" si="79"/>
        <v>"C:\Program Files (x86)\AstroGrep\AstroGrep.exe" /spath="%USERPROFILE%\AppData\Local\Temp\OnboardLogs" /stypes="app*4027*20161220*" /stext=" 08:.+((SYSTEM_STATE.+slice.+state.+changed )|(ment ac)|(multiple cpu faults)|(system.+state.+changed )|(\[timeout)|(PRM\|1\|D)|(kpr)|(kdp)|(\|lc)|(penalty))" /e /r /s</v>
      </c>
      <c r="AG215" s="1" t="str">
        <f t="shared" si="80"/>
        <v>Other</v>
      </c>
      <c r="AH215" s="92" t="str">
        <f t="shared" si="81"/>
        <v>"%USERPROFILE%\Documents\GitHub\eaglep3\Utilities\RefineRTDCRunTimes.py" --tripid 313-19 --locoid 4027 --swversion DE.1.0.8.0 --startMP 204:467 --initTime 2016-12-20T01:45:32 --startdatetime 2016-12-20T01:47:20 --delay 1 --endMP 300:22828 --enddatetime 2016-12-20T01:58:31 --enforcementcount 0 &gt;&gt;C:\Users\stu\Documents\GitHub\eaglep3-reporting\EC\2016-12-19-refined-times.txt</v>
      </c>
      <c r="AI215" s="119" t="str">
        <f t="shared" si="82"/>
        <v>echo {"issue":{"subject":"","project_id":79,"tracker_id":40,"status_id":1,"priority_id":2,"assigned_to_id":23,"start_date":"2016-12-20","description":"","custom_fields":[{"id":1,"name":"Subdivision","value":"Other"},{"id":4,"name":"Milepost","value":"2.2828"},{"id":17,"name":"Train ID","value":"313-19"},{"id":16,"name":"Locomotive ID","value":"4027"},{"id":130,"name":"Impact","value":""},{"id":150,"name":"Time of Event (Mountain Time)","value":"01:58:31"},{"id":151,"name":"Denver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763</v>
      </c>
      <c r="B216" s="7">
        <v>4009</v>
      </c>
      <c r="C216" s="22" t="s">
        <v>205</v>
      </c>
      <c r="D216" s="22" t="s">
        <v>837</v>
      </c>
      <c r="E216" s="13">
        <v>42724.093356481484</v>
      </c>
      <c r="F216" s="13">
        <v>25568.708333333332</v>
      </c>
      <c r="G216" s="7">
        <v>1</v>
      </c>
      <c r="H216" s="22" t="s">
        <v>286</v>
      </c>
      <c r="I216" s="13">
        <v>25568.708333333332</v>
      </c>
      <c r="J216" s="7">
        <v>0</v>
      </c>
      <c r="K216" s="109" t="str">
        <f t="shared" si="66"/>
        <v>4009/4010</v>
      </c>
      <c r="L216" s="22" t="str">
        <f>VLOOKUP(A216,'Trips&amp;Operators'!$C$1:$G$99999,5,FALSE)</f>
        <v>SMITH MICHAEL</v>
      </c>
      <c r="M216" s="6">
        <f t="shared" si="67"/>
        <v>0</v>
      </c>
      <c r="N216" s="7">
        <f t="shared" si="68"/>
        <v>0</v>
      </c>
      <c r="O216" s="7"/>
      <c r="P216" s="7"/>
      <c r="Q216" s="23"/>
      <c r="R216" s="23"/>
      <c r="S216" s="35">
        <f t="shared" si="69"/>
        <v>1</v>
      </c>
      <c r="T216" s="50" t="str">
        <f t="shared" si="70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https://search-rtdc-monitor-bjffxe2xuh6vdkpspy63sjmuny.us-east-1.es.amazonaws.com/_plugin/kibana/#/discover/Steve-Slow-Train-Analysis-(2080s-and-2083s)?_g=(refreshInterval:(display:Off,section:0,value:0),time:(from:'2016-12-20 01:14:26-700',mode:absolute,to:'1969-12-31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6" s="52" t="str">
        <f t="shared" si="72"/>
        <v>Y</v>
      </c>
      <c r="X216" s="177">
        <f t="shared" si="73"/>
        <v>2</v>
      </c>
      <c r="Y216" s="67">
        <f t="shared" si="74"/>
        <v>4.6600000000000003E-2</v>
      </c>
      <c r="Z216" s="67">
        <f t="shared" si="75"/>
        <v>2.3304</v>
      </c>
      <c r="AA216" s="67">
        <f t="shared" si="76"/>
        <v>2.2837999999999998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77"/>
        <v>0315-19</v>
      </c>
      <c r="AE216" s="91" t="str">
        <f t="shared" si="78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6" s="88" t="str">
        <f t="shared" si="79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6" s="1" t="str">
        <f t="shared" si="80"/>
        <v>Other</v>
      </c>
      <c r="AH216" s="92" t="str">
        <f t="shared" si="81"/>
        <v>"%USERPROFILE%\Documents\GitHub\eaglep3\Utilities\RefineRTDCRunTimes.py" --tripid 315-19 --locoid 4009 --swversion DE.1.0.8.0 --startMP 204:466 --initTime 2016-12-20T02:14:26 --startdatetime 1969-12-31T17:00:00 --delay 1 --endMP 300:23304 --enddatetime 1969-12-31T17:00:00 --enforcementcount 0 &gt;&gt;C:\Users\stu\Documents\GitHub\eaglep3-reporting\EC\2016-12-19-refined-times.txt</v>
      </c>
      <c r="AI216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ID","value":"315-19"},{"id":16,"name":"Locomotive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529</v>
      </c>
      <c r="B217" s="7">
        <v>4016</v>
      </c>
      <c r="C217" s="22" t="s">
        <v>205</v>
      </c>
      <c r="D217" s="22" t="s">
        <v>943</v>
      </c>
      <c r="E217" s="13">
        <v>42723.207094907404</v>
      </c>
      <c r="F217" s="13">
        <v>42723.208356481482</v>
      </c>
      <c r="G217" s="7">
        <v>1</v>
      </c>
      <c r="H217" s="22" t="s">
        <v>894</v>
      </c>
      <c r="I217" s="13">
        <v>42723.213969907411</v>
      </c>
      <c r="J217" s="7">
        <v>0</v>
      </c>
      <c r="K217" s="109" t="str">
        <f t="shared" si="66"/>
        <v>4015/4016</v>
      </c>
      <c r="L217" s="22" t="str">
        <f>VLOOKUP(A217,'Trips&amp;Operators'!$C$1:$G$99999,5,FALSE)</f>
        <v>DAVIS WENDY</v>
      </c>
      <c r="M217" s="6">
        <f t="shared" si="67"/>
        <v>5.6134259284590371E-3</v>
      </c>
      <c r="N217" s="7">
        <f t="shared" si="68"/>
        <v>8.0833333369810134</v>
      </c>
      <c r="O217" s="7"/>
      <c r="P217" s="7"/>
      <c r="Q217" s="23"/>
      <c r="R217" s="23"/>
      <c r="S217" s="35">
        <f t="shared" si="69"/>
        <v>0</v>
      </c>
      <c r="T217" s="50" t="str">
        <f t="shared" si="70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03:58:13-700',mode:absolute,to:'2016-12-19 06:08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7" s="52" t="str">
        <f t="shared" si="72"/>
        <v>Y</v>
      </c>
      <c r="X217" s="177">
        <f t="shared" si="73"/>
        <v>586</v>
      </c>
      <c r="Y217" s="67">
        <f t="shared" si="74"/>
        <v>3.0297999999999998</v>
      </c>
      <c r="Z217" s="67">
        <f t="shared" si="75"/>
        <v>5.9013999999999998</v>
      </c>
      <c r="AA217" s="67">
        <f t="shared" si="76"/>
        <v>2.8715999999999999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77"/>
        <v>0901-19</v>
      </c>
      <c r="AE217" s="91" t="str">
        <f t="shared" si="78"/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AF217" s="88" t="str">
        <f t="shared" si="79"/>
        <v>"C:\Program Files (x86)\AstroGrep\AstroGrep.exe" /spath="%USERPROFILE%\AppData\Local\Temp\OnboardLogs" /stypes="app*4016*20161219*" /stext=" 12:.+((SYSTEM_STATE.+slice.+state.+changed )|(ment ac)|(multiple cpu faults)|(system.+state.+changed )|(\[timeout)|(PRM\|1\|D)|(kpr)|(kdp)|(\|lc)|(penalty))" /e /r /s</v>
      </c>
      <c r="AG217" s="1" t="str">
        <f t="shared" si="80"/>
        <v>Other</v>
      </c>
      <c r="AH217" s="92" t="str">
        <f t="shared" si="81"/>
        <v>"%USERPROFILE%\Documents\GitHub\eaglep3\Utilities\RefineRTDCRunTimes.py" --tripid 901-19 --locoid 4016 --swversion DE.1.0.8.0 --startMP 300:30298 --initTime 2016-12-19T04:58:13 --startdatetime 2016-12-19T05:00:02 --delay 1 --endMP 300:59014 --enddatetime 2016-12-19T05:08:07 --enforcementcount 0 &gt;&gt;C:\Users\stu\Documents\GitHub\eaglep3-reporting\EC\2016-12-19-refined-times.txt</v>
      </c>
      <c r="AI217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{"issue":{"subject":"","project_id":79,"tracker_id":40,"status_id":1,"priority_id":2,"assigned_to_id":23,"start_date":"2016-12-19","description":"","custom_fields":[{"id":1,"name":"Subdivision","value":"Other"},{"id":4,"name":"Milepost","value":"5.9014"},{"id":17,"name":"Train ID","value":"901-19"},{"id":16,"name":"Locomotive ID","value":"4016"},{"id":130,"name":"Impact","value":""},{"id":150,"name":"Time of Event (Mountain Time)","value":"05:08:07"},{"id":151,"name":"Denver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593</v>
      </c>
      <c r="B218" s="7">
        <v>4041</v>
      </c>
      <c r="C218" s="22" t="s">
        <v>205</v>
      </c>
      <c r="D218" s="22" t="s">
        <v>944</v>
      </c>
      <c r="E218" s="13">
        <v>42723.248344907406</v>
      </c>
      <c r="F218" s="13">
        <v>42723.254016203704</v>
      </c>
      <c r="G218" s="7">
        <v>7</v>
      </c>
      <c r="H218" s="22" t="s">
        <v>450</v>
      </c>
      <c r="I218" s="13">
        <v>42723.261770833335</v>
      </c>
      <c r="J218" s="7">
        <v>0</v>
      </c>
      <c r="K218" s="109" t="str">
        <f t="shared" si="66"/>
        <v>4041/4042</v>
      </c>
      <c r="L218" s="22" t="str">
        <f>VLOOKUP(A218,'Trips&amp;Operators'!$C$1:$G$99999,5,FALSE)</f>
        <v>SIMONEAUX TERA</v>
      </c>
      <c r="M218" s="6">
        <f t="shared" si="67"/>
        <v>7.7546296306536533E-3</v>
      </c>
      <c r="N218" s="7">
        <f t="shared" si="68"/>
        <v>11.166666668141261</v>
      </c>
      <c r="O218" s="7"/>
      <c r="P218" s="7"/>
      <c r="Q218" s="23"/>
      <c r="R218" s="23"/>
      <c r="S218" s="35">
        <f t="shared" si="69"/>
        <v>1</v>
      </c>
      <c r="T218" s="50" t="str">
        <f t="shared" si="70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04:57:37-700',mode:absolute,to:'2016-12-19 07:16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8" s="52" t="str">
        <f t="shared" si="72"/>
        <v>Y</v>
      </c>
      <c r="X218" s="177">
        <f t="shared" si="73"/>
        <v>1</v>
      </c>
      <c r="Y218" s="67">
        <f t="shared" si="74"/>
        <v>2.3395999999999999</v>
      </c>
      <c r="Z218" s="67">
        <f t="shared" si="75"/>
        <v>7.1900000000000006E-2</v>
      </c>
      <c r="AA218" s="67">
        <f t="shared" si="76"/>
        <v>2.2677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77"/>
        <v>0902-19</v>
      </c>
      <c r="AE218" s="91" t="str">
        <f t="shared" si="78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218" s="88" t="str">
        <f t="shared" si="79"/>
        <v>"C:\Program Files (x86)\AstroGrep\AstroGrep.exe" /spath="%USERPROFILE%\AppData\Local\Temp\OnboardLogs" /stypes="app*4041*20161219*" /stext=" 13:.+((SYSTEM_STATE.+slice.+state.+changed )|(ment ac)|(multiple cpu faults)|(system.+state.+changed )|(\[timeout)|(PRM\|1\|D)|(kpr)|(kdp)|(\|lc)|(penalty))" /e /r /s</v>
      </c>
      <c r="AG218" s="1" t="str">
        <f t="shared" si="80"/>
        <v>Other</v>
      </c>
      <c r="AH218" s="92" t="str">
        <f t="shared" si="81"/>
        <v>"%USERPROFILE%\Documents\GitHub\eaglep3\Utilities\RefineRTDCRunTimes.py" --tripid 902-19 --locoid 4041 --swversion DE.1.0.8.0 --startMP 300:23396 --initTime 2016-12-19T05:57:37 --startdatetime 2016-12-19T06:05:47 --delay 7 --endMP 204:719 --enddatetime 2016-12-19T06:16:57 --enforcementcount 0 &gt;&gt;C:\Users\stu\Documents\GitHub\eaglep3-reporting\EC\2016-12-19-refined-times.txt</v>
      </c>
      <c r="AI218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{"issue":{"subject":"","project_id":79,"tracker_id":40,"status_id":1,"priority_id":2,"assigned_to_id":23,"start_date":"2016-12-19","description":"","custom_fields":[{"id":1,"name":"Subdivision","value":"Other"},{"id":4,"name":"Milepost","value":"0.0719"},{"id":17,"name":"Train ID","value":"902-19"},{"id":16,"name":"Locomotive ID","value":"4041"},{"id":130,"name":"Impact","value":""},{"id":150,"name":"Time of Event (Mountain Time)","value":"06:16:57"},{"id":151,"name":"Denver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618</v>
      </c>
      <c r="B219" s="7">
        <v>4016</v>
      </c>
      <c r="C219" s="22" t="s">
        <v>205</v>
      </c>
      <c r="D219" s="22" t="s">
        <v>945</v>
      </c>
      <c r="E219" s="13">
        <v>42723.352997685186</v>
      </c>
      <c r="F219" s="13">
        <v>42723.355231481481</v>
      </c>
      <c r="G219" s="7">
        <v>1</v>
      </c>
      <c r="H219" s="22" t="s">
        <v>946</v>
      </c>
      <c r="I219" s="13">
        <v>42723.363078703704</v>
      </c>
      <c r="J219" s="7">
        <v>0</v>
      </c>
      <c r="K219" s="109" t="str">
        <f t="shared" si="66"/>
        <v>4015/4016</v>
      </c>
      <c r="L219" s="22" t="str">
        <f>VLOOKUP(A219,'Trips&amp;Operators'!$C$1:$G$99999,5,FALSE)</f>
        <v>DAVIS WENDY</v>
      </c>
      <c r="M219" s="6">
        <f t="shared" si="67"/>
        <v>7.8472222230629995E-3</v>
      </c>
      <c r="N219" s="7">
        <f t="shared" si="68"/>
        <v>11.300000001210719</v>
      </c>
      <c r="O219" s="7"/>
      <c r="P219" s="7"/>
      <c r="Q219" s="23"/>
      <c r="R219" s="23"/>
      <c r="S219" s="35">
        <f t="shared" si="69"/>
        <v>1</v>
      </c>
      <c r="T219" s="50" t="str">
        <f t="shared" si="70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07:28:19-700',mode:absolute,to:'2016-12-19 09:42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9" s="52" t="str">
        <f t="shared" si="72"/>
        <v>Y</v>
      </c>
      <c r="X219" s="177">
        <f t="shared" si="73"/>
        <v>1</v>
      </c>
      <c r="Y219" s="67">
        <f t="shared" si="74"/>
        <v>9.2899999999999996E-2</v>
      </c>
      <c r="Z219" s="67">
        <f t="shared" si="75"/>
        <v>2.5446</v>
      </c>
      <c r="AA219" s="67">
        <f t="shared" si="76"/>
        <v>2.4516999999999998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77"/>
        <v>0903-19</v>
      </c>
      <c r="AE219" s="91" t="str">
        <f t="shared" si="78"/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AF219" s="88" t="str">
        <f t="shared" si="79"/>
        <v>"C:\Program Files (x86)\AstroGrep\AstroGrep.exe" /spath="%USERPROFILE%\AppData\Local\Temp\OnboardLogs" /stypes="app*4016*20161219*" /stext=" 15:.+((SYSTEM_STATE.+slice.+state.+changed )|(ment ac)|(multiple cpu faults)|(system.+state.+changed )|(\[timeout)|(PRM\|1\|D)|(kpr)|(kdp)|(\|lc)|(penalty))" /e /r /s</v>
      </c>
      <c r="AG219" s="1" t="str">
        <f t="shared" si="80"/>
        <v>Other</v>
      </c>
      <c r="AH219" s="92" t="str">
        <f t="shared" si="81"/>
        <v>"%USERPROFILE%\Documents\GitHub\eaglep3\Utilities\RefineRTDCRunTimes.py" --tripid 903-19 --locoid 4016 --swversion DE.1.0.8.0 --startMP 204:929 --initTime 2016-12-19T08:28:19 --startdatetime 2016-12-19T08:31:32 --delay 1 --endMP 300:25446 --enddatetime 2016-12-19T08:42:50 --enforcementcount 0 &gt;&gt;C:\Users\stu\Documents\GitHub\eaglep3-reporting\EC\2016-12-19-refined-times.txt</v>
      </c>
      <c r="AI219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{"issue":{"subject":"","project_id":79,"tracker_id":40,"status_id":1,"priority_id":2,"assigned_to_id":23,"start_date":"2016-12-19","description":"","custom_fields":[{"id":1,"name":"Subdivision","value":"Other"},{"id":4,"name":"Milepost","value":"2.5446"},{"id":17,"name":"Train ID","value":"903-19"},{"id":16,"name":"Locomotive ID","value":"4016"},{"id":130,"name":"Impact","value":""},{"id":150,"name":"Time of Event (Mountain Time)","value":"08:42:50"},{"id":151,"name":"Denver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686</v>
      </c>
      <c r="B220" s="7">
        <v>4015</v>
      </c>
      <c r="C220" s="22" t="s">
        <v>205</v>
      </c>
      <c r="D220" s="22" t="s">
        <v>947</v>
      </c>
      <c r="E220" s="13">
        <v>42723.637800925928</v>
      </c>
      <c r="F220" s="13">
        <v>42723.639699074076</v>
      </c>
      <c r="G220" s="7">
        <v>2</v>
      </c>
      <c r="H220" s="22" t="s">
        <v>453</v>
      </c>
      <c r="I220" s="13">
        <v>42723.644803240742</v>
      </c>
      <c r="J220" s="7">
        <v>0</v>
      </c>
      <c r="K220" s="109" t="str">
        <f t="shared" si="66"/>
        <v>4015/4016</v>
      </c>
      <c r="L220" s="22" t="str">
        <f>VLOOKUP(A220,'Trips&amp;Operators'!$C$1:$G$99999,5,FALSE)</f>
        <v>NEWELL JAMES</v>
      </c>
      <c r="M220" s="6">
        <f t="shared" si="67"/>
        <v>5.1041666665696539E-3</v>
      </c>
      <c r="N220" s="7">
        <f t="shared" si="68"/>
        <v>7.3499999998603016</v>
      </c>
      <c r="O220" s="7"/>
      <c r="P220" s="7"/>
      <c r="Q220" s="23"/>
      <c r="R220" s="23"/>
      <c r="S220" s="35">
        <f t="shared" si="69"/>
        <v>1</v>
      </c>
      <c r="T220" s="50" t="str">
        <f t="shared" si="70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14:18:26-700',mode:absolute,to:'2016-12-19 16:28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0" s="52" t="str">
        <f t="shared" si="72"/>
        <v>Y</v>
      </c>
      <c r="X220" s="177">
        <f t="shared" si="73"/>
        <v>1</v>
      </c>
      <c r="Y220" s="67">
        <f t="shared" si="74"/>
        <v>2.3144</v>
      </c>
      <c r="Z220" s="67">
        <f t="shared" si="75"/>
        <v>6.6799999999999998E-2</v>
      </c>
      <c r="AA220" s="67">
        <f t="shared" si="76"/>
        <v>2.2475999999999998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77"/>
        <v>0904-19</v>
      </c>
      <c r="AE220" s="91" t="str">
        <f t="shared" si="78"/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AF220" s="88" t="str">
        <f t="shared" si="79"/>
        <v>"C:\Program Files (x86)\AstroGrep\AstroGrep.exe" /spath="%USERPROFILE%\AppData\Local\Temp\OnboardLogs" /stypes="app*4015*20161219*" /stext=" 22:.+((SYSTEM_STATE.+slice.+state.+changed )|(ment ac)|(multiple cpu faults)|(system.+state.+changed )|(\[timeout)|(PRM\|1\|D)|(kpr)|(kdp)|(\|lc)|(penalty))" /e /r /s</v>
      </c>
      <c r="AG220" s="1" t="str">
        <f t="shared" si="80"/>
        <v>Other</v>
      </c>
      <c r="AH220" s="92" t="str">
        <f t="shared" si="81"/>
        <v>"%USERPROFILE%\Documents\GitHub\eaglep3\Utilities\RefineRTDCRunTimes.py" --tripid 904-19 --locoid 4015 --swversion DE.1.0.8.0 --startMP 300:23144 --initTime 2016-12-19T15:18:26 --startdatetime 2016-12-19T15:21:10 --delay 2 --endMP 204:668 --enddatetime 2016-12-19T15:28:31 --enforcementcount 0 &gt;&gt;C:\Users\stu\Documents\GitHub\eaglep3-reporting\EC\2016-12-19-refined-times.txt</v>
      </c>
      <c r="AI220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{"issue":{"subject":"","project_id":79,"tracker_id":40,"status_id":1,"priority_id":2,"assigned_to_id":23,"start_date":"2016-12-19","description":"","custom_fields":[{"id":1,"name":"Subdivision","value":"Other"},{"id":4,"name":"Milepost","value":"0.0668"},{"id":17,"name":"Train ID","value":"904-19"},{"id":16,"name":"Locomotive ID","value":"4015"},{"id":130,"name":"Impact","value":""},{"id":150,"name":"Time of Event (Mountain Time)","value":"15:28:31"},{"id":151,"name":"Denver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731</v>
      </c>
      <c r="B221" s="7">
        <v>4015</v>
      </c>
      <c r="C221" s="22" t="s">
        <v>205</v>
      </c>
      <c r="D221" s="22" t="s">
        <v>918</v>
      </c>
      <c r="E221" s="13">
        <v>42723.795706018522</v>
      </c>
      <c r="F221" s="13">
        <v>25568.708333333332</v>
      </c>
      <c r="G221" s="7">
        <v>0</v>
      </c>
      <c r="H221" s="22" t="s">
        <v>948</v>
      </c>
      <c r="I221" s="13">
        <v>25568.708333333332</v>
      </c>
      <c r="J221" s="7">
        <v>0</v>
      </c>
      <c r="K221" s="109" t="str">
        <f t="shared" si="66"/>
        <v>4015/4016</v>
      </c>
      <c r="L221" s="22" t="str">
        <f>VLOOKUP(A221,'Trips&amp;Operators'!$C$1:$G$99999,5,FALSE)</f>
        <v>NEWELL JAMES</v>
      </c>
      <c r="M221" s="6">
        <f t="shared" si="67"/>
        <v>0</v>
      </c>
      <c r="N221" s="7">
        <f t="shared" si="68"/>
        <v>0</v>
      </c>
      <c r="O221" s="7"/>
      <c r="P221" s="7"/>
      <c r="Q221" s="23"/>
      <c r="R221" s="23"/>
      <c r="S221" s="35">
        <f t="shared" si="69"/>
        <v>0</v>
      </c>
      <c r="T221" s="50" t="str">
        <f t="shared" si="70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18:05:49-700',mode:absolute,to:'1969-12-31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1" s="52" t="str">
        <f t="shared" si="72"/>
        <v>Y</v>
      </c>
      <c r="X221" s="177">
        <f t="shared" si="73"/>
        <v>2</v>
      </c>
      <c r="Y221" s="67">
        <f t="shared" si="74"/>
        <v>5.8609</v>
      </c>
      <c r="Z221" s="67">
        <f t="shared" si="75"/>
        <v>2.8723000000000001</v>
      </c>
      <c r="AA221" s="67">
        <f t="shared" si="76"/>
        <v>2.9885999999999999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77"/>
        <v>0906-19</v>
      </c>
      <c r="AE221" s="91" t="str">
        <f t="shared" si="78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21" s="88" t="str">
        <f t="shared" si="79"/>
        <v>"C:\Program Files (x86)\AstroGrep\AstroGrep.exe" /spath="%USERPROFILE%\AppData\Local\Temp\OnboardLogs" /stypes="app*4015*19700101*" /stext=" 00:.+((SYSTEM_STATE.+slice.+state.+changed )|(ment ac)|(multiple cpu faults)|(system.+state.+changed )|(\[timeout)|(PRM\|1\|D)|(kpr)|(kdp)|(\|lc)|(penalty))" /e /r /s</v>
      </c>
      <c r="AG221" s="1" t="str">
        <f t="shared" si="80"/>
        <v>Other</v>
      </c>
      <c r="AH221" s="92" t="str">
        <f t="shared" si="81"/>
        <v>"%USERPROFILE%\Documents\GitHub\eaglep3\Utilities\RefineRTDCRunTimes.py" --tripid 906-19 --locoid 4015 --swversion DE.1.0.8.0 --startMP 300:58609 --initTime 2016-12-19T19:05:49 --startdatetime 1969-12-31T17:00:00 --delay 0 --endMP 300:28723 --enddatetime 1969-12-31T17:00:00 --enforcementcount 0 &gt;&gt;C:\Users\stu\Documents\GitHub\eaglep3-reporting\EC\2016-12-19-refined-times.txt</v>
      </c>
      <c r="AI221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{"issue":{"subject":"","project_id":79,"tracker_id":40,"status_id":1,"priority_id":2,"assigned_to_id":23,"start_date":"1969-12-31","description":"","custom_fields":[{"id":1,"name":"Subdivision","value":"Other"},{"id":4,"name":"Milepost","value":"2.8723"},{"id":17,"name":"Train ID","value":"906-19"},{"id":16,"name":"Locomotive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752</v>
      </c>
      <c r="B222" s="7">
        <v>4041</v>
      </c>
      <c r="C222" s="22" t="s">
        <v>205</v>
      </c>
      <c r="D222" s="22" t="s">
        <v>905</v>
      </c>
      <c r="E222" s="13">
        <v>42723.94159722222</v>
      </c>
      <c r="F222" s="13">
        <v>42723.942916666667</v>
      </c>
      <c r="G222" s="7">
        <v>1</v>
      </c>
      <c r="H222" s="22" t="s">
        <v>949</v>
      </c>
      <c r="I222" s="13">
        <v>42723.947094907409</v>
      </c>
      <c r="J222" s="7">
        <v>0</v>
      </c>
      <c r="K222" s="109" t="str">
        <f t="shared" si="66"/>
        <v>4041/4042</v>
      </c>
      <c r="L222" s="22" t="str">
        <f>VLOOKUP(A222,'Trips&amp;Operators'!$C$1:$G$99999,5,FALSE)</f>
        <v>NEWELL JAMES</v>
      </c>
      <c r="M222" s="6">
        <f t="shared" si="67"/>
        <v>4.1782407424761914E-3</v>
      </c>
      <c r="N222" s="7">
        <f t="shared" si="68"/>
        <v>6.0166666691657156</v>
      </c>
      <c r="O222" s="7"/>
      <c r="P222" s="7"/>
      <c r="Q222" s="23"/>
      <c r="R222" s="23"/>
      <c r="S222" s="35">
        <f t="shared" si="69"/>
        <v>0</v>
      </c>
      <c r="T222" s="50" t="str">
        <f t="shared" si="70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21:35:54-700',mode:absolute,to:'2016-12-19 23:43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2" s="52" t="str">
        <f t="shared" si="72"/>
        <v>Y</v>
      </c>
      <c r="X222" s="177">
        <f t="shared" si="73"/>
        <v>2</v>
      </c>
      <c r="Y222" s="67">
        <f t="shared" si="74"/>
        <v>5.8596000000000004</v>
      </c>
      <c r="Z222" s="67">
        <f t="shared" si="75"/>
        <v>2.1709999999999998</v>
      </c>
      <c r="AA222" s="67">
        <f t="shared" si="76"/>
        <v>3.6886000000000005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77"/>
        <v>0908-19</v>
      </c>
      <c r="AE222" s="91" t="str">
        <f t="shared" si="78"/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AF222" s="88" t="str">
        <f t="shared" si="79"/>
        <v>"C:\Program Files (x86)\AstroGrep\AstroGrep.exe" /spath="%USERPROFILE%\AppData\Local\Temp\OnboardLogs" /stypes="app*4041*20161220*" /stext=" 05:.+((SYSTEM_STATE.+slice.+state.+changed )|(ment ac)|(multiple cpu faults)|(system.+state.+changed )|(\[timeout)|(PRM\|1\|D)|(kpr)|(kdp)|(\|lc)|(penalty))" /e /r /s</v>
      </c>
      <c r="AG222" s="1" t="str">
        <f t="shared" si="80"/>
        <v>Other</v>
      </c>
      <c r="AH222" s="92" t="str">
        <f t="shared" si="81"/>
        <v>"%USERPROFILE%\Documents\GitHub\eaglep3\Utilities\RefineRTDCRunTimes.py" --tripid 908-19 --locoid 4041 --swversion DE.1.0.8.0 --startMP 300:58596 --initTime 2016-12-19T22:35:54 --startdatetime 2016-12-19T22:37:48 --delay 1 --endMP 300:21710 --enddatetime 2016-12-19T22:43:49 --enforcementcount 0 &gt;&gt;C:\Users\stu\Documents\GitHub\eaglep3-reporting\EC\2016-12-19-refined-times.txt</v>
      </c>
      <c r="AI222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{"issue":{"subject":"","project_id":79,"tracker_id":40,"status_id":1,"priority_id":2,"assigned_to_id":23,"start_date":"2016-12-19","description":"","custom_fields":[{"id":1,"name":"Subdivision","value":"Other"},{"id":4,"name":"Milepost","value":"2.171"},{"id":17,"name":"Train ID","value":"908-19"},{"id":16,"name":"Locomotive ID","value":"4041"},{"id":130,"name":"Impact","value":""},{"id":150,"name":"Time of Event (Mountain Time)","value":"22:43:49"},{"id":151,"name":"Denver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613</v>
      </c>
      <c r="B223" s="7">
        <v>4012</v>
      </c>
      <c r="C223" s="22" t="s">
        <v>205</v>
      </c>
      <c r="D223" s="22" t="s">
        <v>874</v>
      </c>
      <c r="E223" s="13">
        <v>42723.331296296295</v>
      </c>
      <c r="F223" s="13">
        <v>42723.34003472222</v>
      </c>
      <c r="G223" s="7">
        <v>1</v>
      </c>
      <c r="H223" s="22" t="s">
        <v>875</v>
      </c>
      <c r="I223" s="13">
        <v>42723.357523148145</v>
      </c>
      <c r="J223" s="7">
        <v>0</v>
      </c>
      <c r="K223" s="109" t="str">
        <f t="shared" si="66"/>
        <v>4011/4012</v>
      </c>
      <c r="L223" s="22" t="str">
        <f>VLOOKUP(A223,'Trips&amp;Operators'!$C$1:$G$99999,5,FALSE)</f>
        <v>OUN ZACK</v>
      </c>
      <c r="M223" s="6">
        <f t="shared" si="67"/>
        <v>1.7488425924966577E-2</v>
      </c>
      <c r="N223" s="7">
        <f t="shared" si="68"/>
        <v>25.183333331951872</v>
      </c>
      <c r="O223" s="7"/>
      <c r="P223" s="7"/>
      <c r="Q223" s="23"/>
      <c r="R223" s="23"/>
      <c r="S223" s="35">
        <f t="shared" si="69"/>
        <v>0</v>
      </c>
      <c r="T223" s="50" t="e">
        <f t="shared" si="70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06:57:04-700',mode:absolute,to:'2016-12-19 09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3" s="52" t="str">
        <f t="shared" si="72"/>
        <v>N</v>
      </c>
      <c r="X223" s="177" t="e">
        <f t="shared" si="73"/>
        <v>#VALUE!</v>
      </c>
      <c r="Y223" s="67">
        <f t="shared" si="74"/>
        <v>10.6853</v>
      </c>
      <c r="Z223" s="67">
        <f t="shared" si="75"/>
        <v>9.11E-2</v>
      </c>
      <c r="AA223" s="67">
        <f t="shared" si="76"/>
        <v>10.594199999999999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77"/>
        <v>50-19</v>
      </c>
      <c r="AE223" s="91" t="str">
        <f t="shared" si="78"/>
        <v>aws s3 cp s3://rtdc.mdm.uploadarchive.raw/RTDC4012/ "%USERPROFILE%\AppData\Local\Temp\OnboardLogs"\RTDC4012\2016-12-19 --exclude "*" --recursive --include "*20161219*" &amp; "%USERPROFILE%\Documents\GitHub\mrs-test-scripts\Headless Mode &amp; Sideloading\WalkAndUnGZ.bat" "%USERPROFILE%\AppData\Local\Temp\OnboardLogs"\RTDC4012\2016-12-19 &amp; 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</v>
      </c>
      <c r="AF223" s="88" t="str">
        <f t="shared" si="79"/>
        <v>"C:\Program Files (x86)\AstroGrep\AstroGrep.exe" /spath="%USERPROFILE%\AppData\Local\Temp\OnboardLogs" /stypes="app*4012*20161219*" /stext=" 15:.+((SYSTEM_STATE.+slice.+state.+changed )|(ment ac)|(multiple cpu faults)|(system.+state.+changed )|(\[timeout)|(PRM\|1\|D)|(kpr)|(kdp)|(\|lc)|(penalty))" /e /r /s</v>
      </c>
      <c r="AG223" s="1" t="str">
        <f t="shared" si="80"/>
        <v>Other</v>
      </c>
      <c r="AH223" s="92" t="str">
        <f t="shared" si="81"/>
        <v>"%USERPROFILE%\Documents\GitHub\eaglep3\Utilities\RefineRTDCRunTimes.py" --tripid 50-19 --locoid 4012 --swversion DE.1.0.8.0 --startMP 204:106853 --initTime 2016-12-19T07:57:04 --startdatetime 2016-12-19T08:09:39 --delay 1 --endMP 204:911 --enddatetime 2016-12-19T08:34:50 --enforcementcount 0 &gt;&gt;C:\Users\stu\Documents\GitHub\eaglep3-reporting\EC\2016-12-19-refined-times.txt</v>
      </c>
      <c r="AI223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{"issue":{"subject":"","project_id":79,"tracker_id":40,"status_id":1,"priority_id":2,"assigned_to_id":23,"start_date":"2016-12-19","description":"","custom_fields":[{"id":1,"name":"Subdivision","value":"Other"},{"id":4,"name":"Milepost","value":"0.0911"},{"id":17,"name":"Train ID","value":"50-19"},{"id":16,"name":"Locomotive ID","value":"4012"},{"id":130,"name":"Impact","value":""},{"id":150,"name":"Time of Event (Mountain Time)","value":"08:34:50"},{"id":151,"name":"Denver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628</v>
      </c>
      <c r="B224" s="7">
        <v>4039</v>
      </c>
      <c r="C224" s="22" t="s">
        <v>205</v>
      </c>
      <c r="D224" s="22" t="s">
        <v>876</v>
      </c>
      <c r="E224" s="13">
        <v>42723.401319444441</v>
      </c>
      <c r="F224" s="13">
        <v>42723.40347222222</v>
      </c>
      <c r="G224" s="7">
        <v>1</v>
      </c>
      <c r="H224" s="22" t="s">
        <v>877</v>
      </c>
      <c r="I224" s="13">
        <v>42723.422222222223</v>
      </c>
      <c r="J224" s="7">
        <v>0</v>
      </c>
      <c r="K224" s="109" t="str">
        <f t="shared" si="66"/>
        <v>4039/4040</v>
      </c>
      <c r="L224" s="22" t="str">
        <f>VLOOKUP(A224,'Trips&amp;Operators'!$C$1:$G$99999,5,FALSE)</f>
        <v>SPECTOR MICHAEL</v>
      </c>
      <c r="M224" s="6">
        <f t="shared" si="67"/>
        <v>1.8750000002910383E-2</v>
      </c>
      <c r="N224" s="7">
        <f t="shared" si="68"/>
        <v>27.000000004190952</v>
      </c>
      <c r="O224" s="7"/>
      <c r="P224" s="7"/>
      <c r="Q224" s="23"/>
      <c r="R224" s="23"/>
      <c r="S224" s="35">
        <f t="shared" si="69"/>
        <v>0</v>
      </c>
      <c r="T224" s="50" t="e">
        <f t="shared" si="70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08:37:54-700',mode:absolute,to:'2016-12-19 11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4" s="52" t="str">
        <f t="shared" si="72"/>
        <v>Y</v>
      </c>
      <c r="X224" s="177" t="e">
        <f t="shared" si="73"/>
        <v>#VALUE!</v>
      </c>
      <c r="Y224" s="67">
        <f t="shared" si="74"/>
        <v>3.0937999999999999</v>
      </c>
      <c r="Z224" s="67">
        <f t="shared" si="75"/>
        <v>0.1181</v>
      </c>
      <c r="AA224" s="67">
        <f t="shared" si="76"/>
        <v>2.9756999999999998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77"/>
        <v>52-19</v>
      </c>
      <c r="AE224" s="91" t="str">
        <f t="shared" si="78"/>
        <v>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 &amp; 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</v>
      </c>
      <c r="AF224" s="88" t="str">
        <f t="shared" si="79"/>
        <v>"C:\Program Files (x86)\AstroGrep\AstroGrep.exe" /spath="%USERPROFILE%\AppData\Local\Temp\OnboardLogs" /stypes="app*4039*20161219*" /stext=" 17:.+((SYSTEM_STATE.+slice.+state.+changed )|(ment ac)|(multiple cpu faults)|(system.+state.+changed )|(\[timeout)|(PRM\|1\|D)|(kpr)|(kdp)|(\|lc)|(penalty))" /e /r /s</v>
      </c>
      <c r="AG224" s="1" t="str">
        <f t="shared" si="80"/>
        <v>Other</v>
      </c>
      <c r="AH224" s="92" t="str">
        <f t="shared" si="81"/>
        <v>"%USERPROFILE%\Documents\GitHub\eaglep3\Utilities\RefineRTDCRunTimes.py" --tripid 52-19 --locoid 4039 --swversion DE.1.0.8.0 --startMP 300:30938 --initTime 2016-12-19T09:37:54 --startdatetime 2016-12-19T09:41:00 --delay 1 --endMP 204:1181 --enddatetime 2016-12-19T10:08:00 --enforcementcount 0 &gt;&gt;C:\Users\stu\Documents\GitHub\eaglep3-reporting\EC\2016-12-19-refined-times.txt</v>
      </c>
      <c r="AI224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{"issue":{"subject":"","project_id":79,"tracker_id":40,"status_id":1,"priority_id":2,"assigned_to_id":23,"start_date":"2016-12-19","description":"","custom_fields":[{"id":1,"name":"Subdivision","value":"Other"},{"id":4,"name":"Milepost","value":"0.1181"},{"id":17,"name":"Train ID","value":"52-19"},{"id":16,"name":"Locomotive ID","value":"4039"},{"id":130,"name":"Impact","value":""},{"id":150,"name":"Time of Event (Mountain Time)","value":"10:08:00"},{"id":151,"name":"Denver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647</v>
      </c>
      <c r="B225" s="7">
        <v>4026</v>
      </c>
      <c r="C225" s="22" t="s">
        <v>205</v>
      </c>
      <c r="D225" s="22" t="s">
        <v>878</v>
      </c>
      <c r="E225" s="13">
        <v>42723.478726851848</v>
      </c>
      <c r="F225" s="13">
        <v>42723.480034722219</v>
      </c>
      <c r="G225" s="7">
        <v>1</v>
      </c>
      <c r="H225" s="22">
        <v>8.5298611111111118</v>
      </c>
      <c r="I225" s="13">
        <v>42723.485949074071</v>
      </c>
      <c r="J225" s="7">
        <v>0</v>
      </c>
      <c r="K225" s="109" t="str">
        <f t="shared" si="66"/>
        <v>4025/4026</v>
      </c>
      <c r="L225" s="22" t="str">
        <f>VLOOKUP(A225,'Trips&amp;Operators'!$C$1:$G$99999,5,FALSE)</f>
        <v>BARTLETT KIANDRA</v>
      </c>
      <c r="M225" s="6">
        <f t="shared" si="67"/>
        <v>5.914351851970423E-3</v>
      </c>
      <c r="N225" s="7">
        <f t="shared" si="68"/>
        <v>8.5166666668374091</v>
      </c>
      <c r="O225" s="7"/>
      <c r="P225" s="7"/>
      <c r="Q225" s="23"/>
      <c r="R225" s="23"/>
      <c r="S225" s="35">
        <f t="shared" si="69"/>
        <v>0</v>
      </c>
      <c r="T225" s="50" t="e">
        <f t="shared" si="70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10:29:22-700',mode:absolute,to:'2016-12-19 12:39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5" s="52" t="str">
        <f t="shared" si="72"/>
        <v>N</v>
      </c>
      <c r="X225" s="177" t="e">
        <f t="shared" si="73"/>
        <v>#VALUE!</v>
      </c>
      <c r="Y225" s="67">
        <f t="shared" si="74"/>
        <v>2.1979000000000002</v>
      </c>
      <c r="Z225" s="67">
        <f t="shared" si="75"/>
        <v>98611111.111100003</v>
      </c>
      <c r="AA225" s="67">
        <f t="shared" si="76"/>
        <v>98611108.913200006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77"/>
        <v>54-19</v>
      </c>
      <c r="AE225" s="91" t="str">
        <f t="shared" si="78"/>
        <v>aws s3 cp s3://rtdc.mdm.uploadarchive.raw/RTDC4026/ "%USERPROFILE%\AppData\Local\Temp\OnboardLogs"\RTDC4026\2016-12-19 --exclude "*" --recursive --include "*20161219*" &amp; "%USERPROFILE%\Documents\GitHub\mrs-test-scripts\Headless Mode &amp; Sideloading\WalkAndUnGZ.bat" "%USERPROFILE%\AppData\Local\Temp\OnboardLogs"\RTDC4026\2016-12-19 &amp; aws s3 cp s3://rtdc.mdm.uploadarchive.raw/RTDC4026/ "%USERPROFILE%\AppData\Local\Temp\OnboardLogs"\RTDC4026\2016-12-20 --exclude "*" --recursive --include "*20161220*" &amp; "%USERPROFILE%\Documents\GitHub\mrs-test-scripts\Headless Mode &amp; Sideloading\WalkAndUnGZ.bat" "%USERPROFILE%\AppData\Local\Temp\OnboardLogs"\RTDC4026\2016-12-20</v>
      </c>
      <c r="AF225" s="88" t="str">
        <f t="shared" si="79"/>
        <v>"C:\Program Files (x86)\AstroGrep\AstroGrep.exe" /spath="%USERPROFILE%\AppData\Local\Temp\OnboardLogs" /stypes="app*4026*20161219*" /stext=" 18:.+((SYSTEM_STATE.+slice.+state.+changed )|(ment ac)|(multiple cpu faults)|(system.+state.+changed )|(\[timeout)|(PRM\|1\|D)|(kpr)|(kdp)|(\|lc)|(penalty))" /e /r /s</v>
      </c>
      <c r="AG225" s="1" t="str">
        <f t="shared" si="80"/>
        <v>Other</v>
      </c>
      <c r="AH225" s="92" t="str">
        <f t="shared" si="81"/>
        <v>"%USERPROFILE%\Documents\GitHub\eaglep3\Utilities\RefineRTDCRunTimes.py" --tripid 54-19 --locoid 4026 --swversion DE.1.0.8.0 --startMP 300:21979 --initTime 2016-12-19T11:29:22 --startdatetime 2016-12-19T11:31:15 --delay 1 --endMP 8.52986111111111 --enddatetime 2016-12-19T11:39:46 --enforcementcount 0 &gt;&gt;C:\Users\stu\Documents\GitHub\eaglep3-reporting\EC\2016-12-19-refined-times.txt</v>
      </c>
      <c r="AI225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98611111.1111"},{"id":17,"name":"Train ID","value":"54-19"},{"id":16,"name":"Locomotive ID","value":"4026"},{"id":130,"name":"Impact","value":""},{"id":150,"name":"Time of Event (Mountain Time)","value":"11:39:46"},{"id":151,"name":"Denver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552</v>
      </c>
      <c r="B226" s="7">
        <v>4025</v>
      </c>
      <c r="C226" s="22" t="s">
        <v>205</v>
      </c>
      <c r="D226" s="22" t="s">
        <v>879</v>
      </c>
      <c r="E226" s="13">
        <v>42723.510023148148</v>
      </c>
      <c r="F226" s="13">
        <v>42723.511562500003</v>
      </c>
      <c r="G226" s="7">
        <v>1</v>
      </c>
      <c r="H226" s="22" t="s">
        <v>880</v>
      </c>
      <c r="I226" s="13">
        <v>42723.517361111109</v>
      </c>
      <c r="J226" s="7">
        <v>0</v>
      </c>
      <c r="K226" s="109" t="str">
        <f t="shared" si="66"/>
        <v>4025/4026</v>
      </c>
      <c r="L226" s="22" t="str">
        <f>VLOOKUP(A226,'Trips&amp;Operators'!$C$1:$G$99999,5,FALSE)</f>
        <v>YORK EDGAR</v>
      </c>
      <c r="M226" s="6">
        <f t="shared" si="67"/>
        <v>5.798611106001772E-3</v>
      </c>
      <c r="N226" s="7">
        <f t="shared" si="68"/>
        <v>8.3499999926425517</v>
      </c>
      <c r="O226" s="7"/>
      <c r="P226" s="7"/>
      <c r="Q226" s="23"/>
      <c r="R226" s="23"/>
      <c r="S226" s="35">
        <f t="shared" si="69"/>
        <v>0</v>
      </c>
      <c r="T226" s="50" t="e">
        <f t="shared" si="70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11:14:26-700',mode:absolute,to:'2016-12-19 13:25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6" s="52" t="str">
        <f t="shared" si="72"/>
        <v>Y</v>
      </c>
      <c r="X226" s="177" t="e">
        <f t="shared" si="73"/>
        <v>#VALUE!</v>
      </c>
      <c r="Y226" s="67">
        <f t="shared" si="74"/>
        <v>3.6999999999999998E-2</v>
      </c>
      <c r="Z226" s="67">
        <f t="shared" si="75"/>
        <v>2.4222000000000001</v>
      </c>
      <c r="AA226" s="67">
        <f t="shared" si="76"/>
        <v>2.3852000000000002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77"/>
        <v>55-19</v>
      </c>
      <c r="AE226" s="91" t="str">
        <f t="shared" si="78"/>
        <v>aws s3 cp s3://rtdc.mdm.uploadarchive.raw/RTDC4025/ "%USERPROFILE%\AppData\Local\Temp\OnboardLogs"\RTDC4025\2016-12-19 --exclude "*" --recursive --include "*20161219*" &amp; "%USERPROFILE%\Documents\GitHub\mrs-test-scripts\Headless Mode &amp; Sideloading\WalkAndUnGZ.bat" "%USERPROFILE%\AppData\Local\Temp\OnboardLogs"\RTDC4025\2016-12-19 &amp; aws s3 cp s3://rtdc.mdm.uploadarchive.raw/RTDC4025/ "%USERPROFILE%\AppData\Local\Temp\OnboardLogs"\RTDC4025\2016-12-20 --exclude "*" --recursive --include "*20161220*" &amp; "%USERPROFILE%\Documents\GitHub\mrs-test-scripts\Headless Mode &amp; Sideloading\WalkAndUnGZ.bat" "%USERPROFILE%\AppData\Local\Temp\OnboardLogs"\RTDC4025\2016-12-20</v>
      </c>
      <c r="AF226" s="88" t="str">
        <f t="shared" si="79"/>
        <v>"C:\Program Files (x86)\AstroGrep\AstroGrep.exe" /spath="%USERPROFILE%\AppData\Local\Temp\OnboardLogs" /stypes="app*4025*20161219*" /stext=" 19:.+((SYSTEM_STATE.+slice.+state.+changed )|(ment ac)|(multiple cpu faults)|(system.+state.+changed )|(\[timeout)|(PRM\|1\|D)|(kpr)|(kdp)|(\|lc)|(penalty))" /e /r /s</v>
      </c>
      <c r="AG226" s="1" t="str">
        <f t="shared" si="80"/>
        <v>Other</v>
      </c>
      <c r="AH226" s="92" t="str">
        <f t="shared" si="81"/>
        <v>"%USERPROFILE%\Documents\GitHub\eaglep3\Utilities\RefineRTDCRunTimes.py" --tripid 55-19 --locoid 4025 --swversion DE.1.0.8.0 --startMP 204:370 --initTime 2016-12-19T12:14:26 --startdatetime 2016-12-19T12:16:39 --delay 1 --endMP 300:24222 --enddatetime 2016-12-19T12:25:00 --enforcementcount 0 &gt;&gt;C:\Users\stu\Documents\GitHub\eaglep3-reporting\EC\2016-12-19-refined-times.txt</v>
      </c>
      <c r="AI226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{"issue":{"subject":"","project_id":79,"tracker_id":40,"status_id":1,"priority_id":2,"assigned_to_id":23,"start_date":"2016-12-19","description":"","custom_fields":[{"id":1,"name":"Subdivision","value":"Other"},{"id":4,"name":"Milepost","value":"2.4222"},{"id":17,"name":"Train ID","value":"55-19"},{"id":16,"name":"Locomotive ID","value":"4025"},{"id":130,"name":"Impact","value":""},{"id":150,"name":"Time of Event (Mountain Time)","value":"12:25:00"},{"id":151,"name":"Denver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707</v>
      </c>
      <c r="B227" s="7">
        <v>4043</v>
      </c>
      <c r="C227" s="22" t="s">
        <v>205</v>
      </c>
      <c r="D227" s="22" t="s">
        <v>881</v>
      </c>
      <c r="E227" s="13">
        <v>42723.716631944444</v>
      </c>
      <c r="F227" s="13">
        <v>42723.717824074076</v>
      </c>
      <c r="G227" s="7">
        <v>1</v>
      </c>
      <c r="H227" s="22" t="s">
        <v>882</v>
      </c>
      <c r="I227" s="13">
        <v>42723.723738425928</v>
      </c>
      <c r="J227" s="7">
        <v>0</v>
      </c>
      <c r="K227" s="109" t="str">
        <f t="shared" si="66"/>
        <v>4043/4044</v>
      </c>
      <c r="L227" s="22" t="str">
        <f>VLOOKUP(A227,'Trips&amp;Operators'!$C$1:$G$99999,5,FALSE)</f>
        <v>SMITH MICHAEL</v>
      </c>
      <c r="M227" s="6">
        <f t="shared" si="67"/>
        <v>5.914351851970423E-3</v>
      </c>
      <c r="N227" s="7">
        <f t="shared" si="68"/>
        <v>8.5166666668374091</v>
      </c>
      <c r="O227" s="7"/>
      <c r="P227" s="7"/>
      <c r="Q227" s="23"/>
      <c r="R227" s="23"/>
      <c r="S227" s="35">
        <f t="shared" si="69"/>
        <v>0</v>
      </c>
      <c r="T227" s="50" t="e">
        <f t="shared" si="70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16:11:57-700',mode:absolute,to:'2016-12-19 18:22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7" s="52" t="str">
        <f t="shared" si="72"/>
        <v>Y</v>
      </c>
      <c r="X227" s="177" t="e">
        <f t="shared" si="73"/>
        <v>#VALUE!</v>
      </c>
      <c r="Y227" s="67">
        <f t="shared" si="74"/>
        <v>2.2039</v>
      </c>
      <c r="Z227" s="67">
        <f t="shared" si="75"/>
        <v>1.5100000000000001E-2</v>
      </c>
      <c r="AA227" s="67">
        <f t="shared" si="76"/>
        <v>2.1888000000000001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77"/>
        <v>56-19</v>
      </c>
      <c r="AE227" s="91" t="str">
        <f t="shared" si="78"/>
        <v>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 &amp; 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</v>
      </c>
      <c r="AF227" s="88" t="str">
        <f t="shared" si="79"/>
        <v>"C:\Program Files (x86)\AstroGrep\AstroGrep.exe" /spath="%USERPROFILE%\AppData\Local\Temp\OnboardLogs" /stypes="app*4043*20161220*" /stext=" 00:.+((SYSTEM_STATE.+slice.+state.+changed )|(ment ac)|(multiple cpu faults)|(system.+state.+changed )|(\[timeout)|(PRM\|1\|D)|(kpr)|(kdp)|(\|lc)|(penalty))" /e /r /s</v>
      </c>
      <c r="AG227" s="1" t="str">
        <f t="shared" si="80"/>
        <v>Other</v>
      </c>
      <c r="AH227" s="92" t="str">
        <f t="shared" si="81"/>
        <v>"%USERPROFILE%\Documents\GitHub\eaglep3\Utilities\RefineRTDCRunTimes.py" --tripid 56-19 --locoid 4043 --swversion DE.1.0.8.0 --startMP 300:22039 --initTime 2016-12-19T17:11:57 --startdatetime 2016-12-19T17:13:40 --delay 1 --endMP 204:151 --enddatetime 2016-12-19T17:22:11 --enforcementcount 0 &gt;&gt;C:\Users\stu\Documents\GitHub\eaglep3-reporting\EC\2016-12-19-refined-times.txt</v>
      </c>
      <c r="AI227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{"issue":{"subject":"","project_id":79,"tracker_id":40,"status_id":1,"priority_id":2,"assigned_to_id":23,"start_date":"2016-12-19","description":"","custom_fields":[{"id":1,"name":"Subdivision","value":"Other"},{"id":4,"name":"Milepost","value":"0.0151"},{"id":17,"name":"Train ID","value":"56-19"},{"id":16,"name":"Locomotive ID","value":"4043"},{"id":130,"name":"Impact","value":""},{"id":150,"name":"Time of Event (Mountain Time)","value":"17:22:11"},{"id":151,"name":"Denver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715</v>
      </c>
      <c r="B228" s="7">
        <v>4013</v>
      </c>
      <c r="C228" s="22" t="s">
        <v>205</v>
      </c>
      <c r="D228" s="22" t="s">
        <v>883</v>
      </c>
      <c r="E228" s="13">
        <v>42723.743402777778</v>
      </c>
      <c r="F228" s="13">
        <v>42723.744687500002</v>
      </c>
      <c r="G228" s="7">
        <v>1</v>
      </c>
      <c r="H228" s="22" t="s">
        <v>884</v>
      </c>
      <c r="I228" s="13">
        <v>42723.750115740739</v>
      </c>
      <c r="J228" s="7">
        <v>0</v>
      </c>
      <c r="K228" s="109" t="str">
        <f t="shared" si="66"/>
        <v>4013/4014</v>
      </c>
      <c r="L228" s="22" t="str">
        <f>VLOOKUP(A228,'Trips&amp;Operators'!$C$1:$G$99999,5,FALSE)</f>
        <v>SAFIEF AEIMEN</v>
      </c>
      <c r="M228" s="6">
        <f t="shared" si="67"/>
        <v>5.428240736364387E-3</v>
      </c>
      <c r="N228" s="7">
        <f t="shared" si="68"/>
        <v>7.8166666603647172</v>
      </c>
      <c r="O228" s="7"/>
      <c r="P228" s="7"/>
      <c r="Q228" s="23"/>
      <c r="R228" s="23"/>
      <c r="S228" s="35">
        <f t="shared" si="69"/>
        <v>0</v>
      </c>
      <c r="T228" s="50" t="e">
        <f t="shared" si="70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16:50:30-700',mode:absolute,to:'2016-12-19 19:00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8" s="52" t="str">
        <f t="shared" si="72"/>
        <v>Y</v>
      </c>
      <c r="X228" s="177" t="e">
        <f t="shared" si="73"/>
        <v>#VALUE!</v>
      </c>
      <c r="Y228" s="67">
        <f t="shared" si="74"/>
        <v>2.2063999999999999</v>
      </c>
      <c r="Z228" s="67">
        <f t="shared" si="75"/>
        <v>9.1899999999999996E-2</v>
      </c>
      <c r="AA228" s="67">
        <f t="shared" si="76"/>
        <v>2.1145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77"/>
        <v>60-19</v>
      </c>
      <c r="AE228" s="91" t="str">
        <f t="shared" si="78"/>
        <v>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 &amp; aws s3 cp s3://rtdc.mdm.uploadarchive.raw/RTDC4013/ "%USERPROFILE%\AppData\Local\Temp\OnboardLogs"\RTDC4013\2016-12-20 --exclude "*" --recursive --include "*20161220*" &amp; "%USERPROFILE%\Documents\GitHub\mrs-test-scripts\Headless Mode &amp; Sideloading\WalkAndUnGZ.bat" "%USERPROFILE%\AppData\Local\Temp\OnboardLogs"\RTDC4013\2016-12-20</v>
      </c>
      <c r="AF228" s="88" t="str">
        <f t="shared" si="79"/>
        <v>"C:\Program Files (x86)\AstroGrep\AstroGrep.exe" /spath="%USERPROFILE%\AppData\Local\Temp\OnboardLogs" /stypes="app*4013*20161220*" /stext=" 01:.+((SYSTEM_STATE.+slice.+state.+changed )|(ment ac)|(multiple cpu faults)|(system.+state.+changed )|(\[timeout)|(PRM\|1\|D)|(kpr)|(kdp)|(\|lc)|(penalty))" /e /r /s</v>
      </c>
      <c r="AG228" s="1" t="str">
        <f t="shared" si="80"/>
        <v>Other</v>
      </c>
      <c r="AH228" s="92" t="str">
        <f t="shared" si="81"/>
        <v>"%USERPROFILE%\Documents\GitHub\eaglep3\Utilities\RefineRTDCRunTimes.py" --tripid 60-19 --locoid 4013 --swversion DE.1.0.8.0 --startMP 300:22064 --initTime 2016-12-19T17:50:30 --startdatetime 2016-12-19T17:52:21 --delay 1 --endMP 204:919 --enddatetime 2016-12-19T18:00:10 --enforcementcount 0 &gt;&gt;C:\Users\stu\Documents\GitHub\eaglep3-reporting\EC\2016-12-19-refined-times.txt</v>
      </c>
      <c r="AI228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{"issue":{"subject":"","project_id":79,"tracker_id":40,"status_id":1,"priority_id":2,"assigned_to_id":23,"start_date":"2016-12-19","description":"","custom_fields":[{"id":1,"name":"Subdivision","value":"Other"},{"id":4,"name":"Milepost","value":"0.0919"},{"id":17,"name":"Train ID","value":"60-19"},{"id":16,"name":"Locomotive ID","value":"4013"},{"id":130,"name":"Impact","value":""},{"id":150,"name":"Time of Event (Mountain Time)","value":"18:00:10"},{"id":151,"name":"Denver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721</v>
      </c>
      <c r="B229" s="7">
        <v>4044</v>
      </c>
      <c r="C229" s="22" t="s">
        <v>205</v>
      </c>
      <c r="D229" s="22" t="s">
        <v>194</v>
      </c>
      <c r="E229" s="13">
        <v>42723.762592592589</v>
      </c>
      <c r="F229" s="13">
        <v>25568.708333333332</v>
      </c>
      <c r="G229" s="7">
        <v>3</v>
      </c>
      <c r="H229" s="22" t="s">
        <v>885</v>
      </c>
      <c r="I229" s="13">
        <v>25568.708333333332</v>
      </c>
      <c r="J229" s="7">
        <v>0</v>
      </c>
      <c r="K229" s="109" t="str">
        <f t="shared" si="66"/>
        <v>4043/4044</v>
      </c>
      <c r="L229" s="22" t="str">
        <f>VLOOKUP(A229,'Trips&amp;Operators'!$C$1:$G$99999,5,FALSE)</f>
        <v>STEWART MICHAEL</v>
      </c>
      <c r="M229" s="6">
        <f t="shared" si="67"/>
        <v>0</v>
      </c>
      <c r="N229" s="7">
        <f t="shared" si="68"/>
        <v>0</v>
      </c>
      <c r="O229" s="7"/>
      <c r="P229" s="7"/>
      <c r="Q229" s="23"/>
      <c r="R229" s="23"/>
      <c r="S229" s="35">
        <f t="shared" si="69"/>
        <v>0</v>
      </c>
      <c r="T229" s="50" t="e">
        <f t="shared" si="70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17:18:08-700',mode:absolute,to:'1969-12-31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9" s="52" t="str">
        <f t="shared" si="72"/>
        <v>Y</v>
      </c>
      <c r="X229" s="177" t="e">
        <f t="shared" si="73"/>
        <v>#VALUE!</v>
      </c>
      <c r="Y229" s="67">
        <f t="shared" si="74"/>
        <v>4.5100000000000001E-2</v>
      </c>
      <c r="Z229" s="67">
        <f t="shared" si="75"/>
        <v>2.3298999999999999</v>
      </c>
      <c r="AA229" s="67">
        <f t="shared" si="76"/>
        <v>2.2847999999999997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77"/>
        <v>65-19</v>
      </c>
      <c r="AE229" s="91" t="str">
        <f t="shared" si="78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9" s="88" t="str">
        <f t="shared" si="79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9" s="1" t="str">
        <f t="shared" si="80"/>
        <v>Other</v>
      </c>
      <c r="AH229" s="92" t="str">
        <f t="shared" si="81"/>
        <v>"%USERPROFILE%\Documents\GitHub\eaglep3\Utilities\RefineRTDCRunTimes.py" --tripid 65-19 --locoid 4044 --swversion DE.1.0.8.0 --startMP 204:451 --initTime 2016-12-19T18:18:08 --startdatetime 1969-12-31T17:00:00 --delay 3 --endMP 300:23299 --enddatetime 1969-12-31T17:00:00 --enforcementcount 0 &gt;&gt;C:\Users\stu\Documents\GitHub\eaglep3-reporting\EC\2016-12-19-refined-times.txt</v>
      </c>
      <c r="AI229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ID","value":"65-19"},{"id":16,"name":"Locomotive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751</v>
      </c>
      <c r="B230" s="7">
        <v>4020</v>
      </c>
      <c r="C230" s="22" t="s">
        <v>205</v>
      </c>
      <c r="D230" s="22" t="s">
        <v>886</v>
      </c>
      <c r="E230" s="13">
        <v>42723.920914351853</v>
      </c>
      <c r="F230" s="13">
        <v>42723.922743055555</v>
      </c>
      <c r="G230" s="7">
        <v>1</v>
      </c>
      <c r="H230" s="22" t="s">
        <v>523</v>
      </c>
      <c r="I230" s="13">
        <v>42723.928657407407</v>
      </c>
      <c r="J230" s="7">
        <v>0</v>
      </c>
      <c r="K230" s="109" t="str">
        <f t="shared" si="66"/>
        <v>4019/4020</v>
      </c>
      <c r="L230" s="22" t="str">
        <f>VLOOKUP(A230,'Trips&amp;Operators'!$C$1:$G$99999,5,FALSE)</f>
        <v>BADERTSCHER DIANE</v>
      </c>
      <c r="M230" s="6">
        <f t="shared" si="67"/>
        <v>5.914351851970423E-3</v>
      </c>
      <c r="N230" s="7">
        <f t="shared" si="68"/>
        <v>8.5166666668374091</v>
      </c>
      <c r="O230" s="7"/>
      <c r="P230" s="7"/>
      <c r="Q230" s="23"/>
      <c r="R230" s="23"/>
      <c r="S230" s="35">
        <f t="shared" si="69"/>
        <v>0</v>
      </c>
      <c r="T230" s="50" t="e">
        <f t="shared" si="70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https://search-rtdc-monitor-bjffxe2xuh6vdkpspy63sjmuny.us-east-1.es.amazonaws.com/_plugin/kibana/#/discover/Steve-Slow-Train-Analysis-(2080s-and-2083s)?_g=(refreshInterval:(display:Off,section:0,value:0),time:(from:'2016-12-19 21:06:07-700',mode:absolute,to:'2016-12-19 23:17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30" s="52" t="str">
        <f t="shared" si="72"/>
        <v>Y</v>
      </c>
      <c r="X230" s="177" t="e">
        <f t="shared" si="73"/>
        <v>#VALUE!</v>
      </c>
      <c r="Y230" s="67">
        <f t="shared" si="74"/>
        <v>0.14879999999999999</v>
      </c>
      <c r="Z230" s="67">
        <f t="shared" si="75"/>
        <v>2.3302</v>
      </c>
      <c r="AA230" s="67">
        <f t="shared" si="76"/>
        <v>2.1814</v>
      </c>
      <c r="AB230" s="64" t="e">
        <f>VLOOKUP(A230,Enforcements!$C$7:$K$19,8,0)</f>
        <v>#N/A</v>
      </c>
      <c r="AC230" s="60" t="e">
        <f>VLOOKUP(A230,Enforcements!$C$7:$E$19,3,0)</f>
        <v>#N/A</v>
      </c>
      <c r="AD230" s="61" t="str">
        <f t="shared" si="77"/>
        <v>77-19</v>
      </c>
      <c r="AE230" s="91" t="str">
        <f t="shared" si="78"/>
        <v>aws s3 cp s3://rtdc.mdm.uploadarchive.raw/RTDC4020/ "%USERPROFILE%\AppData\Local\Temp\OnboardLogs"\RTDC4020\2016-12-19 --exclude "*" --recursive --include "*20161219*" &amp; "%USERPROFILE%\Documents\GitHub\mrs-test-scripts\Headless Mode &amp; Sideloading\WalkAndUnGZ.bat" "%USERPROFILE%\AppData\Local\Temp\OnboardLogs"\RTDC4020\2016-12-19 &amp; 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</v>
      </c>
      <c r="AF230" s="88" t="str">
        <f t="shared" si="79"/>
        <v>"C:\Program Files (x86)\AstroGrep\AstroGrep.exe" /spath="%USERPROFILE%\AppData\Local\Temp\OnboardLogs" /stypes="app*4020*20161220*" /stext=" 05:.+((SYSTEM_STATE.+slice.+state.+changed )|(ment ac)|(multiple cpu faults)|(system.+state.+changed )|(\[timeout)|(PRM\|1\|D)|(kpr)|(kdp)|(\|lc)|(penalty))" /e /r /s</v>
      </c>
      <c r="AG230" s="1" t="str">
        <f t="shared" si="80"/>
        <v>Other</v>
      </c>
      <c r="AH230" s="92" t="str">
        <f t="shared" si="81"/>
        <v>"%USERPROFILE%\Documents\GitHub\eaglep3\Utilities\RefineRTDCRunTimes.py" --tripid 77-19 --locoid 4020 --swversion DE.1.0.8.0 --startMP 204:1488 --initTime 2016-12-19T22:06:07 --startdatetime 2016-12-19T22:08:45 --delay 1 --endMP 300:23302 --enddatetime 2016-12-19T22:17:16 --enforcementcount 0 &gt;&gt;C:\Users\stu\Documents\GitHub\eaglep3-reporting\EC\2016-12-19-refined-times.txt</v>
      </c>
      <c r="AI230" s="119" t="str">
        <f t="shared" si="82"/>
        <v>echo {"issue":{"subject":"","project_id":79,"tracker_id":40,"status_id":1,"priority_id":2,"assigned_to_id":23,"start_date":"2016-12-19","description":"","custom_fields":[{"id":1,"name":"Subdivision","value":"Other"},{"id":4,"name":"Milepost","value":"2.3302"},{"id":17,"name":"Train ID","value":"77-19"},{"id":16,"name":"Locomotive ID","value":"4020"},{"id":130,"name":"Impact","value":""},{"id":150,"name":"Time of Event (Mountain Time)","value":"22:17:16"},{"id":151,"name":"Denver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V231"/>
      <c r="W231"/>
      <c r="X231" s="169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V232"/>
      <c r="W232"/>
      <c r="X232" s="169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V233"/>
      <c r="W233"/>
      <c r="X233" s="169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V234"/>
      <c r="W234"/>
      <c r="X234" s="169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V235"/>
      <c r="W235"/>
      <c r="X235" s="169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V236"/>
      <c r="W236"/>
      <c r="X236" s="169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V237"/>
      <c r="W237"/>
      <c r="X237" s="169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V238"/>
      <c r="W238"/>
      <c r="X238" s="169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V239"/>
      <c r="W239"/>
      <c r="X239" s="16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V240"/>
      <c r="W240"/>
      <c r="X240" s="169"/>
      <c r="Y240"/>
      <c r="Z240"/>
      <c r="AA240"/>
      <c r="AB240"/>
      <c r="AC240"/>
      <c r="AD240"/>
      <c r="AE240"/>
      <c r="AF240"/>
      <c r="AH240"/>
      <c r="AI240"/>
    </row>
  </sheetData>
  <autoFilter ref="A12:AG227">
    <sortState ref="A13:AG231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41:X1048576 W13:X230">
    <cfRule type="cellIs" dxfId="10" priority="344" operator="equal">
      <formula>"Y"</formula>
    </cfRule>
  </conditionalFormatting>
  <conditionalFormatting sqref="X241:X1048576 X13:X230">
    <cfRule type="cellIs" dxfId="9" priority="327" operator="greaterThan">
      <formula>1</formula>
    </cfRule>
  </conditionalFormatting>
  <conditionalFormatting sqref="X241:X1048576 X12:X230">
    <cfRule type="cellIs" dxfId="8" priority="324" operator="equal">
      <formula>0</formula>
    </cfRule>
  </conditionalFormatting>
  <conditionalFormatting sqref="A13:S230">
    <cfRule type="expression" dxfId="7" priority="318" stopIfTrue="1">
      <formula>$P13&gt;0</formula>
    </cfRule>
    <cfRule type="expression" dxfId="6" priority="319" stopIfTrue="1">
      <formula>$O13&gt;0</formula>
    </cfRule>
  </conditionalFormatting>
  <hyperlinks>
    <hyperlink ref="AJ2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2" zoomScaleNormal="100" workbookViewId="0">
      <selection activeCell="P10" sqref="P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3">
        <f>COUNTIF($O$7:$O$332,"=Y")</f>
        <v>8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4">
        <f>COUNTA($O$7:$O$332)-O2</f>
        <v>42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1" t="str">
        <f>"Eagle P3 Braking Events - "&amp;TEXT(Variables!$A$2,"YYYY-mm-dd")</f>
        <v>Eagle P3 Braking Events - 2016-12-19</v>
      </c>
      <c r="B5" s="181"/>
      <c r="C5" s="181"/>
      <c r="D5" s="181"/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5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42723.495300925926</v>
      </c>
      <c r="B7" s="31" t="s">
        <v>460</v>
      </c>
      <c r="C7" s="31" t="s">
        <v>551</v>
      </c>
      <c r="D7" s="31" t="s">
        <v>49</v>
      </c>
      <c r="E7" s="31" t="s">
        <v>248</v>
      </c>
      <c r="F7" s="47">
        <v>0</v>
      </c>
      <c r="G7" s="47">
        <v>214</v>
      </c>
      <c r="H7" s="47">
        <v>26899</v>
      </c>
      <c r="I7" s="47">
        <v>27194</v>
      </c>
      <c r="J7" s="31" t="s">
        <v>249</v>
      </c>
      <c r="K7" s="47">
        <v>27053</v>
      </c>
      <c r="L7" s="154" t="s">
        <v>50</v>
      </c>
      <c r="M7" s="155">
        <f t="shared" ref="M7:M38" si="0">CONVERT((I7-K7)/10000,"mi","ft")*IF(L7="Increasing Mileposts (1)",-1,1)</f>
        <v>-74.447999999999993</v>
      </c>
      <c r="N7" s="156" t="str">
        <f>VLOOKUP(C7,'Trips&amp;Operators'!$C$1:$G$99999,5,FALSE)</f>
        <v>ADANE ELSHADAY</v>
      </c>
      <c r="O7" s="186" t="s">
        <v>195</v>
      </c>
      <c r="P7" s="157" t="s">
        <v>978</v>
      </c>
      <c r="Q7" s="31"/>
      <c r="R7" s="100" t="str">
        <f>VLOOKUP(C7,'Train Runs'!$A$13:$AE$9971,31,0)</f>
        <v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v>
      </c>
      <c r="S7" s="103" t="str">
        <f>VLOOKUP(C7,'Train Runs'!$A$13:$AE$9971,22,0)</f>
        <v>https://search-rtdc-monitor-bjffxe2xuh6vdkpspy63sjmuny.us-east-1.es.amazonaws.com/_plugin/kibana/#/discover/Steve-Slow-Train-Analysis-(2080s-and-2083s)?_g=(refreshInterval:(display:Off,section:0,value:0),time:(from:'2016-12-19 10:43:34-700',mode:absolute,to:'2016-12-19 13:22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/stypes="*4031*201612191*" /stext=" 18:.+((SYSTEM_STATE.+slice.+state.+changed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4031</v>
      </c>
      <c r="V7" s="36">
        <f t="shared" ref="V7:V38" si="3">A7-utc_offset/24</f>
        <v>42723.78696759259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1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arrival","project_id":79,"tracker_id":40,"status_id":1,"priority_id":2,"assigned_to_id":23,"start_date":"2016-12-19","description":"","custom_fields":[{"id":1,"name":"Subdivision","value":"EC"},{"id":4,"name":"Milepost","value":"2.7053"},{"id":17,"name":"Train ID","value":"165-19"},{"id":16,"name":"Locomotive ID","value":"4031"},{"id":130,"name":"Impact","value":""},{"id":150,"name":"Time of Event (Mountain Time)","value":"11:53:14"},{"id":151,"name":"Denver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"%USERPROFILE%\AppData\Local\Temp\OnboardLogs"\RTDC4031\*4031*201612191*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"%USERPROFILE%\AppData\Local\Temp\OnboardLogs"\RTDC4031\*4031*201612191* &gt;&gt; 42723-slicedisagreementcheck.txt</v>
      </c>
    </row>
    <row r="8" spans="1:30" s="1" customFormat="1" x14ac:dyDescent="0.25">
      <c r="A8" s="36">
        <v>42723.402731481481</v>
      </c>
      <c r="B8" s="31" t="s">
        <v>287</v>
      </c>
      <c r="C8" s="31" t="s">
        <v>544</v>
      </c>
      <c r="D8" s="31" t="s">
        <v>49</v>
      </c>
      <c r="E8" s="31" t="s">
        <v>248</v>
      </c>
      <c r="F8" s="47">
        <v>60</v>
      </c>
      <c r="G8" s="47">
        <v>117</v>
      </c>
      <c r="H8" s="47">
        <v>33032</v>
      </c>
      <c r="I8" s="47">
        <v>33141</v>
      </c>
      <c r="J8" s="31" t="s">
        <v>249</v>
      </c>
      <c r="K8" s="47">
        <v>33137</v>
      </c>
      <c r="L8" s="154" t="s">
        <v>50</v>
      </c>
      <c r="M8" s="155">
        <f t="shared" si="0"/>
        <v>-2.1120000000000001</v>
      </c>
      <c r="N8" s="156" t="str">
        <f>VLOOKUP(C8,'Trips&amp;Operators'!$C$1:$G$99999,5,FALSE)</f>
        <v>STARKS ANGELINA</v>
      </c>
      <c r="O8" s="186" t="s">
        <v>195</v>
      </c>
      <c r="P8" s="157" t="s">
        <v>978</v>
      </c>
      <c r="Q8" s="31"/>
      <c r="R8" s="100" t="str">
        <f>VLOOKUP(C8,'Train Runs'!$A$13:$AE$9971,31,0)</f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S8" s="103" t="str">
        <f>VLOOKUP(C8,'Train Runs'!$A$13:$AE$9971,22,0)</f>
        <v>https://search-rtdc-monitor-bjffxe2xuh6vdkpspy63sjmuny.us-east-1.es.amazonaws.com/_plugin/kibana/#/discover/Steve-Slow-Train-Analysis-(2080s-and-2083s)?_g=(refreshInterval:(display:Off,section:0,value:0),time:(from:'2016-12-19 08:28:14-700',mode:absolute,to:'2016-12-19 11:09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8" s="105" t="str">
        <f t="shared" si="1"/>
        <v>"C:\Program Files (x86)\AstroGrep\AstroGrep.exe" /spath="%USERPROFILE%\AppData\Local\Temp\OnboardLogs" /stypes="*4018*201612191*" /stext=" 16:.+((SYSTEM_STATE.+slice.+state.+changed )|(ment ac)|(multiple cpu faults)|(system.+state.+changed )|(\[timeout)|(PRM\|1\|D)|(kpr)|(kdp)|(\|lc)|(penalty))" /e /r /s</v>
      </c>
      <c r="U8" s="9" t="str">
        <f t="shared" si="2"/>
        <v>4018</v>
      </c>
      <c r="V8" s="36">
        <f t="shared" si="3"/>
        <v>42723.694398148145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arrival","project_id":79,"tracker_id":40,"status_id":1,"priority_id":2,"assigned_to_id":23,"start_date":"2016-12-19","description":"","custom_fields":[{"id":1,"name":"Subdivision","value":"EC"},{"id":4,"name":"Milepost","value":"3.3137"},{"id":17,"name":"Train ID","value":"147-19"},{"id":16,"name":"Locomotive ID","value":"4018"},{"id":130,"name":"Impact","value":""},{"id":150,"name":"Time of Event (Mountain Time)","value":"09:39:56"},{"id":151,"name":"Denver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"%USERPROFILE%\AppData\Local\Temp\OnboardLogs"\RTDC4018\*4018*201612191*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"%USERPROFILE%\AppData\Local\Temp\OnboardLogs"\RTDC4018\*4018*201612191* &gt;&gt; 42723-slicedisagreementcheck.txt</v>
      </c>
    </row>
    <row r="9" spans="1:30" s="1" customFormat="1" x14ac:dyDescent="0.25">
      <c r="A9" s="36">
        <v>42723.402291666665</v>
      </c>
      <c r="B9" s="31" t="s">
        <v>287</v>
      </c>
      <c r="C9" s="31" t="s">
        <v>544</v>
      </c>
      <c r="D9" s="31" t="s">
        <v>49</v>
      </c>
      <c r="E9" s="31" t="s">
        <v>248</v>
      </c>
      <c r="F9" s="47">
        <v>290</v>
      </c>
      <c r="G9" s="47">
        <v>341</v>
      </c>
      <c r="H9" s="47">
        <v>32150</v>
      </c>
      <c r="I9" s="47">
        <v>32839</v>
      </c>
      <c r="J9" s="31" t="s">
        <v>249</v>
      </c>
      <c r="K9" s="47">
        <v>33137</v>
      </c>
      <c r="L9" s="154" t="s">
        <v>50</v>
      </c>
      <c r="M9" s="155">
        <f t="shared" si="0"/>
        <v>157.34399999999999</v>
      </c>
      <c r="N9" s="156" t="str">
        <f>VLOOKUP(C9,'Trips&amp;Operators'!$C$1:$G$99999,5,FALSE)</f>
        <v>STARKS ANGELINA</v>
      </c>
      <c r="O9" s="186" t="s">
        <v>195</v>
      </c>
      <c r="P9" s="157" t="s">
        <v>978</v>
      </c>
      <c r="Q9" s="31"/>
      <c r="R9" s="100" t="str">
        <f>VLOOKUP(C9,'Train Runs'!$A$13:$AE$9971,31,0)</f>
        <v>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 &amp; 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</v>
      </c>
      <c r="S9" s="103" t="str">
        <f>VLOOKUP(C9,'Train Runs'!$A$13:$AE$9971,22,0)</f>
        <v>https://search-rtdc-monitor-bjffxe2xuh6vdkpspy63sjmuny.us-east-1.es.amazonaws.com/_plugin/kibana/#/discover/Steve-Slow-Train-Analysis-(2080s-and-2083s)?_g=(refreshInterval:(display:Off,section:0,value:0),time:(from:'2016-12-19 08:28:14-700',mode:absolute,to:'2016-12-19 11:09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9" s="105" t="str">
        <f t="shared" si="1"/>
        <v>"C:\Program Files (x86)\AstroGrep\AstroGrep.exe" /spath="%USERPROFILE%\AppData\Local\Temp\OnboardLogs" /stypes="*4018*201612191*" /stext=" 16:.+((SYSTEM_STATE.+slice.+state.+changed )|(ment ac)|(multiple cpu faults)|(system.+state.+changed )|(\[timeout)|(PRM\|1\|D)|(kpr)|(kdp)|(\|lc)|(penalty))" /e /r /s</v>
      </c>
      <c r="U9" s="9" t="str">
        <f t="shared" si="2"/>
        <v>4018</v>
      </c>
      <c r="V9" s="36">
        <f t="shared" si="3"/>
        <v>42723.69395833333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arrival","project_id":79,"tracker_id":40,"status_id":1,"priority_id":2,"assigned_to_id":23,"start_date":"2016-12-19","description":"","custom_fields":[{"id":1,"name":"Subdivision","value":"EC"},{"id":4,"name":"Milepost","value":"3.3137"},{"id":17,"name":"Train ID","value":"147-19"},{"id":16,"name":"Locomotive ID","value":"4018"},{"id":130,"name":"Impact","value":""},{"id":150,"name":"Time of Event (Mountain Time)","value":"09:39:18"},{"id":151,"name":"Denver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"%USERPROFILE%\AppData\Local\Temp\OnboardLogs"\RTDC4018\*4018*201612191*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"%USERPROFILE%\AppData\Local\Temp\OnboardLogs"\RTDC4018\*4018*201612191* &gt;&gt; 42723-slicedisagreementcheck.txt</v>
      </c>
    </row>
    <row r="10" spans="1:30" s="1" customFormat="1" x14ac:dyDescent="0.25">
      <c r="A10" s="36">
        <v>42723.435150462959</v>
      </c>
      <c r="B10" s="31" t="s">
        <v>458</v>
      </c>
      <c r="C10" s="31" t="s">
        <v>546</v>
      </c>
      <c r="D10" s="31" t="s">
        <v>49</v>
      </c>
      <c r="E10" s="31" t="s">
        <v>248</v>
      </c>
      <c r="F10" s="47">
        <v>510</v>
      </c>
      <c r="G10" s="47">
        <v>564</v>
      </c>
      <c r="H10" s="47">
        <v>41356</v>
      </c>
      <c r="I10" s="47">
        <v>43423</v>
      </c>
      <c r="J10" s="31" t="s">
        <v>249</v>
      </c>
      <c r="K10" s="47">
        <v>42779</v>
      </c>
      <c r="L10" s="154" t="s">
        <v>50</v>
      </c>
      <c r="M10" s="155">
        <f t="shared" si="0"/>
        <v>-340.03199999999998</v>
      </c>
      <c r="N10" s="156" t="str">
        <f>VLOOKUP(C10,'Trips&amp;Operators'!$C$1:$G$99999,5,FALSE)</f>
        <v>SIMMONS SHYHESHA</v>
      </c>
      <c r="O10" s="186" t="s">
        <v>195</v>
      </c>
      <c r="P10" s="157" t="s">
        <v>978</v>
      </c>
      <c r="Q10" s="31"/>
      <c r="R10" s="100" t="str">
        <f>VLOOKUP(C10,'Train Runs'!$A$13:$AE$9971,31,0)</f>
        <v>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 &amp; 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</v>
      </c>
      <c r="S10" s="103" t="str">
        <f>VLOOKUP(C10,'Train Runs'!$A$13:$AE$9971,22,0)</f>
        <v>https://search-rtdc-monitor-bjffxe2xuh6vdkpspy63sjmuny.us-east-1.es.amazonaws.com/_plugin/kibana/#/discover/Steve-Slow-Train-Analysis-(2080s-and-2083s)?_g=(refreshInterval:(display:Off,section:0,value:0),time:(from:'2016-12-19 09:08:29-700',mode:absolute,to:'2016-12-19 11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0" s="105" t="str">
        <f t="shared" si="1"/>
        <v>"C:\Program Files (x86)\AstroGrep\AstroGrep.exe" /spath="%USERPROFILE%\AppData\Local\Temp\OnboardLogs" /stypes="*4027*201612191*" /stext=" 17:.+((SYSTEM_STATE.+slice.+state.+changed )|(ment ac)|(multiple cpu faults)|(system.+state.+changed )|(\[timeout)|(PRM\|1\|D)|(kpr)|(kdp)|(\|lc)|(penalty))" /e /r /s</v>
      </c>
      <c r="U10" s="9" t="str">
        <f t="shared" si="2"/>
        <v>4027</v>
      </c>
      <c r="V10" s="36">
        <f t="shared" si="3"/>
        <v>42723.726817129624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arrival","project_id":79,"tracker_id":40,"status_id":1,"priority_id":2,"assigned_to_id":23,"start_date":"2016-12-19","description":"","custom_fields":[{"id":1,"name":"Subdivision","value":"EC"},{"id":4,"name":"Milepost","value":"4.2779"},{"id":17,"name":"Train ID","value":"153-19"},{"id":16,"name":"Locomotive ID","value":"4027"},{"id":130,"name":"Impact","value":""},{"id":150,"name":"Time of Event (Mountain Time)","value":"10:26:37"},{"id":151,"name":"Denver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"%USERPROFILE%\AppData\Local\Temp\OnboardLogs"\RTDC4027\*4027*201612191*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"%USERPROFILE%\AppData\Local\Temp\OnboardLogs"\RTDC4027\*4027*201612191* &gt;&gt; 42723-slicedisagreementcheck.txt</v>
      </c>
    </row>
    <row r="11" spans="1:30" s="1" customFormat="1" x14ac:dyDescent="0.25">
      <c r="A11" s="36">
        <v>42723.692939814813</v>
      </c>
      <c r="B11" s="31" t="s">
        <v>236</v>
      </c>
      <c r="C11" s="31" t="s">
        <v>557</v>
      </c>
      <c r="D11" s="31" t="s">
        <v>49</v>
      </c>
      <c r="E11" s="31" t="s">
        <v>248</v>
      </c>
      <c r="F11" s="47">
        <v>0</v>
      </c>
      <c r="G11" s="47">
        <v>416</v>
      </c>
      <c r="H11" s="47">
        <v>53650</v>
      </c>
      <c r="I11" s="47">
        <v>52590</v>
      </c>
      <c r="J11" s="31" t="s">
        <v>249</v>
      </c>
      <c r="K11" s="47">
        <v>53277</v>
      </c>
      <c r="L11" s="154" t="s">
        <v>51</v>
      </c>
      <c r="M11" s="155">
        <f t="shared" si="0"/>
        <v>-362.73599999999999</v>
      </c>
      <c r="N11" s="156" t="str">
        <f>VLOOKUP(C11,'Trips&amp;Operators'!$C$1:$G$99999,5,FALSE)</f>
        <v>ADANE ELSHADAY</v>
      </c>
      <c r="O11" s="186" t="s">
        <v>195</v>
      </c>
      <c r="P11" s="157" t="s">
        <v>978</v>
      </c>
      <c r="Q11" s="31"/>
      <c r="R11" s="100" t="str">
        <f>VLOOKUP(C11,'Train Runs'!$A$13:$AE$9971,31,0)</f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S11" s="103" t="str">
        <f>VLOOKUP(C11,'Train Runs'!$A$13:$AE$9971,22,0)</f>
        <v>https://search-rtdc-monitor-bjffxe2xuh6vdkpspy63sjmuny.us-east-1.es.amazonaws.com/_plugin/kibana/#/discover/Steve-Slow-Train-Analysis-(2080s-and-2083s)?_g=(refreshInterval:(display:Off,section:0,value:0),time:(from:'2016-12-19 14:55:21-700',mode:absolute,to:'2016-12-19 17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1" s="105" t="str">
        <f t="shared" si="1"/>
        <v>"C:\Program Files (x86)\AstroGrep\AstroGrep.exe" /spath="%USERPROFILE%\AppData\Local\Temp\OnboardLogs" /stypes="*4032*201612192*" /stext=" 23:.+((SYSTEM_STATE.+slice.+state.+changed )|(ment ac)|(multiple cpu faults)|(system.+state.+changed )|(\[timeout)|(PRM\|1\|D)|(kpr)|(kdp)|(\|lc)|(penalty))" /e /r /s</v>
      </c>
      <c r="U11" s="9" t="str">
        <f t="shared" si="2"/>
        <v>4032</v>
      </c>
      <c r="V11" s="36">
        <f t="shared" si="3"/>
        <v>42723.984606481477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arrival","project_id":79,"tracker_id":40,"status_id":1,"priority_id":2,"assigned_to_id":23,"start_date":"2016-12-19","description":"","custom_fields":[{"id":1,"name":"Subdivision","value":"EC"},{"id":4,"name":"Milepost","value":"5.3277"},{"id":17,"name":"Train ID","value":"194-19"},{"id":16,"name":"Locomotive ID","value":"4032"},{"id":130,"name":"Impact","value":""},{"id":150,"name":"Time of Event (Mountain Time)","value":"16:37:50"},{"id":151,"name":"Denver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"%USERPROFILE%\AppData\Local\Temp\OnboardLogs"\RTDC4032\*4032*201612192*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"%USERPROFILE%\AppData\Local\Temp\OnboardLogs"\RTDC4032\*4032*201612192* &gt;&gt; 42723-slicedisagreementcheck.txt</v>
      </c>
    </row>
    <row r="12" spans="1:30" s="1" customFormat="1" x14ac:dyDescent="0.25">
      <c r="A12" s="36">
        <v>42723.338333333333</v>
      </c>
      <c r="B12" s="31" t="s">
        <v>457</v>
      </c>
      <c r="C12" s="31" t="s">
        <v>540</v>
      </c>
      <c r="D12" s="31" t="s">
        <v>49</v>
      </c>
      <c r="E12" s="31" t="s">
        <v>248</v>
      </c>
      <c r="F12" s="47">
        <v>550</v>
      </c>
      <c r="G12" s="47">
        <v>610</v>
      </c>
      <c r="H12" s="47">
        <v>80061</v>
      </c>
      <c r="I12" s="47">
        <v>77387</v>
      </c>
      <c r="J12" s="31" t="s">
        <v>249</v>
      </c>
      <c r="K12" s="47">
        <v>78469</v>
      </c>
      <c r="L12" s="154" t="s">
        <v>51</v>
      </c>
      <c r="M12" s="155">
        <f t="shared" si="0"/>
        <v>-571.29600000000005</v>
      </c>
      <c r="N12" s="156" t="str">
        <f>VLOOKUP(C12,'Trips&amp;Operators'!$C$1:$G$99999,5,FALSE)</f>
        <v>SIMMONS SHYHESHA</v>
      </c>
      <c r="O12" s="186" t="s">
        <v>195</v>
      </c>
      <c r="P12" s="157" t="s">
        <v>978</v>
      </c>
      <c r="Q12" s="31"/>
      <c r="R12" s="100" t="str">
        <f>VLOOKUP(C12,'Train Runs'!$A$13:$AE$9971,31,0)</f>
        <v>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 &amp; 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</v>
      </c>
      <c r="S12" s="103" t="str">
        <f>VLOOKUP(C12,'Train Runs'!$A$13:$AE$9971,22,0)</f>
        <v>https://search-rtdc-monitor-bjffxe2xuh6vdkpspy63sjmuny.us-east-1.es.amazonaws.com/_plugin/kibana/#/discover/Steve-Slow-Train-Analysis-(2080s-and-2083s)?_g=(refreshInterval:(display:Off,section:0,value:0),time:(from:'2016-12-19 06:25:37-700',mode:absolute,to:'2016-12-19 09:26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2" s="105" t="str">
        <f t="shared" si="1"/>
        <v>"C:\Program Files (x86)\AstroGrep\AstroGrep.exe" /spath="%USERPROFILE%\AppData\Local\Temp\OnboardLogs" /stypes="*4028*201612191*" /stext=" 15:.+((SYSTEM_STATE.+slice.+state.+changed )|(ment ac)|(multiple cpu faults)|(system.+state.+changed )|(\[timeout)|(PRM\|1\|D)|(kpr)|(kdp)|(\|lc)|(penalty))" /e /r /s</v>
      </c>
      <c r="U12" s="9" t="str">
        <f t="shared" si="2"/>
        <v>4028</v>
      </c>
      <c r="V12" s="36">
        <f t="shared" si="3"/>
        <v>42723.63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{"issue":{"subject":"Early arrival","project_id":79,"tracker_id":40,"status_id":1,"priority_id":2,"assigned_to_id":23,"start_date":"2016-12-19","description":"","custom_fields":[{"id":1,"name":"Subdivision","value":"EC"},{"id":4,"name":"Milepost","value":"7.8469"},{"id":17,"name":"Train ID","value":"126-19"},{"id":16,"name":"Locomotive ID","value":"4028"},{"id":130,"name":"Impact","value":""},{"id":150,"name":"Time of Event (Mountain Time)","value":"08:07:12"},{"id":151,"name":"Denver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"%USERPROFILE%\AppData\Local\Temp\OnboardLogs"\RTDC4028\*4028*201612191*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"%USERPROFILE%\AppData\Local\Temp\OnboardLogs"\RTDC4028\*4028*201612191* &gt;&gt; 42723-slicedisagreementcheck.txt</v>
      </c>
    </row>
    <row r="13" spans="1:30" s="1" customFormat="1" x14ac:dyDescent="0.25">
      <c r="A13" s="36">
        <v>42723.46806712963</v>
      </c>
      <c r="B13" s="31" t="s">
        <v>236</v>
      </c>
      <c r="C13" s="31" t="s">
        <v>548</v>
      </c>
      <c r="D13" s="31" t="s">
        <v>49</v>
      </c>
      <c r="E13" s="31" t="s">
        <v>248</v>
      </c>
      <c r="F13" s="47">
        <v>350</v>
      </c>
      <c r="G13" s="47">
        <v>410</v>
      </c>
      <c r="H13" s="47">
        <v>110129</v>
      </c>
      <c r="I13" s="47">
        <v>108858</v>
      </c>
      <c r="J13" s="31" t="s">
        <v>249</v>
      </c>
      <c r="K13" s="47">
        <v>109135</v>
      </c>
      <c r="L13" s="154" t="s">
        <v>51</v>
      </c>
      <c r="M13" s="155">
        <f t="shared" si="0"/>
        <v>-146.256</v>
      </c>
      <c r="N13" s="156" t="str">
        <f>VLOOKUP(C13,'Trips&amp;Operators'!$C$1:$G$99999,5,FALSE)</f>
        <v>SHOOK JOHN</v>
      </c>
      <c r="O13" s="186" t="s">
        <v>195</v>
      </c>
      <c r="P13" s="157" t="s">
        <v>978</v>
      </c>
      <c r="Q13" s="31"/>
      <c r="R13" s="100" t="str">
        <f>VLOOKUP(C13,'Train Runs'!$A$13:$AE$9971,31,0)</f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S13" s="103" t="str">
        <f>VLOOKUP(C13,'Train Runs'!$A$13:$AE$9971,22,0)</f>
        <v>https://search-rtdc-monitor-bjffxe2xuh6vdkpspy63sjmuny.us-east-1.es.amazonaws.com/_plugin/kibana/#/discover/Steve-Slow-Train-Analysis-(2080s-and-2083s)?_g=(refreshInterval:(display:Off,section:0,value:0),time:(from:'2016-12-19 09:48:07-700',mode:absolute,to:'2016-12-19 12:38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3" s="105" t="str">
        <f t="shared" si="1"/>
        <v>"C:\Program Files (x86)\AstroGrep\AstroGrep.exe" /spath="%USERPROFILE%\AppData\Local\Temp\OnboardLogs" /stypes="*4032*201612191*" /stext=" 18:.+((SYSTEM_STATE.+slice.+state.+changed )|(ment ac)|(multiple cpu faults)|(system.+state.+changed )|(\[timeout)|(PRM\|1\|D)|(kpr)|(kdp)|(\|lc)|(penalty))" /e /r /s</v>
      </c>
      <c r="U13" s="9" t="str">
        <f t="shared" si="2"/>
        <v>4032</v>
      </c>
      <c r="V13" s="36">
        <f t="shared" si="3"/>
        <v>42723.759733796294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{"issue":{"subject":"Early arrival","project_id":79,"tracker_id":40,"status_id":1,"priority_id":2,"assigned_to_id":23,"start_date":"2016-12-19","description":"","custom_fields":[{"id":1,"name":"Subdivision","value":"EC"},{"id":4,"name":"Milepost","value":"10.9135"},{"id":17,"name":"Train ID","value":"152-19"},{"id":16,"name":"Locomotive ID","value":"4032"},{"id":130,"name":"Impact","value":""},{"id":150,"name":"Time of Event (Mountain Time)","value":"11:14:01"},{"id":151,"name":"Denver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"%USERPROFILE%\AppData\Local\Temp\OnboardLogs"\RTDC4032\*4032*201612191*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"%USERPROFILE%\AppData\Local\Temp\OnboardLogs"\RTDC4032\*4032*201612191* &gt;&gt; 42723-slicedisagreementcheck.txt</v>
      </c>
    </row>
    <row r="14" spans="1:30" s="1" customFormat="1" x14ac:dyDescent="0.25">
      <c r="A14" s="36">
        <v>42723.514432870368</v>
      </c>
      <c r="B14" s="31" t="s">
        <v>460</v>
      </c>
      <c r="C14" s="31" t="s">
        <v>551</v>
      </c>
      <c r="D14" s="31" t="s">
        <v>49</v>
      </c>
      <c r="E14" s="31" t="s">
        <v>196</v>
      </c>
      <c r="F14" s="47">
        <v>150</v>
      </c>
      <c r="G14" s="47">
        <v>279</v>
      </c>
      <c r="H14" s="47">
        <v>229381</v>
      </c>
      <c r="I14" s="47">
        <v>229927</v>
      </c>
      <c r="J14" s="31" t="s">
        <v>197</v>
      </c>
      <c r="K14" s="47">
        <v>230436</v>
      </c>
      <c r="L14" s="154" t="s">
        <v>50</v>
      </c>
      <c r="M14" s="155">
        <f t="shared" si="0"/>
        <v>268.75200000000001</v>
      </c>
      <c r="N14" s="156" t="str">
        <f>VLOOKUP(C14,'Trips&amp;Operators'!$C$1:$G$99999,5,FALSE)</f>
        <v>ADANE ELSHADAY</v>
      </c>
      <c r="O14" s="186" t="s">
        <v>195</v>
      </c>
      <c r="P14" s="157"/>
      <c r="Q14" s="31"/>
      <c r="R14" s="100" t="str">
        <f>VLOOKUP(C14,'Train Runs'!$A$13:$AE$9971,31,0)</f>
        <v>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 &amp; 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</v>
      </c>
      <c r="S14" s="103" t="str">
        <f>VLOOKUP(C14,'Train Runs'!$A$13:$AE$9971,22,0)</f>
        <v>https://search-rtdc-monitor-bjffxe2xuh6vdkpspy63sjmuny.us-east-1.es.amazonaws.com/_plugin/kibana/#/discover/Steve-Slow-Train-Analysis-(2080s-and-2083s)?_g=(refreshInterval:(display:Off,section:0,value:0),time:(from:'2016-12-19 10:43:34-700',mode:absolute,to:'2016-12-19 13:22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4" s="105" t="str">
        <f t="shared" si="1"/>
        <v>"C:\Program Files (x86)\AstroGrep\AstroGrep.exe" /spath="%USERPROFILE%\AppData\Local\Temp\OnboardLogs" /stypes="*4031*201612191*" /stext=" 19:.+((SYSTEM_STATE.+slice.+state.+changed )|(ment ac)|(multiple cpu faults)|(system.+state.+changed )|(\[timeout)|(PRM\|1\|D)|(kpr)|(kdp)|(\|lc)|(penalty))" /e /r /s</v>
      </c>
      <c r="U14" s="9" t="str">
        <f t="shared" si="2"/>
        <v>4031</v>
      </c>
      <c r="V14" s="36">
        <f t="shared" si="3"/>
        <v>42723.806099537032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{"issue":{"subject":"","project_id":79,"tracker_id":40,"status_id":1,"priority_id":2,"assigned_to_id":23,"start_date":"2016-12-19","description":"","custom_fields":[{"id":1,"name":"Subdivision","value":"EC"},{"id":4,"name":"Milepost","value":"23.0436"},{"id":17,"name":"Train ID","value":"165-19"},{"id":16,"name":"Locomotive ID","value":"4031"},{"id":130,"name":"Impact","value":""},{"id":150,"name":"Time of Event (Mountain Time)","value":"12:20:47"},{"id":151,"name":"Denver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"%USERPROFILE%\AppData\Local\Temp\OnboardLogs"\RTDC4031\*4031*201612191*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"%USERPROFILE%\AppData\Local\Temp\OnboardLogs"\RTDC4031\*4031*201612191* &gt;&gt; 42723-slicedisagreementcheck.txt</v>
      </c>
    </row>
    <row r="15" spans="1:30" s="1" customFormat="1" x14ac:dyDescent="0.25">
      <c r="A15" s="36">
        <v>42723.239722222221</v>
      </c>
      <c r="B15" s="31" t="s">
        <v>183</v>
      </c>
      <c r="C15" s="31" t="s">
        <v>533</v>
      </c>
      <c r="D15" s="31" t="s">
        <v>49</v>
      </c>
      <c r="E15" s="31" t="s">
        <v>198</v>
      </c>
      <c r="F15" s="47">
        <v>0</v>
      </c>
      <c r="G15" s="47">
        <v>574</v>
      </c>
      <c r="H15" s="47">
        <v>60326</v>
      </c>
      <c r="I15" s="47">
        <v>62756</v>
      </c>
      <c r="J15" s="31" t="s">
        <v>199</v>
      </c>
      <c r="K15" s="47">
        <v>63995</v>
      </c>
      <c r="L15" s="154" t="s">
        <v>50</v>
      </c>
      <c r="M15" s="155">
        <f t="shared" si="0"/>
        <v>654.19200000000001</v>
      </c>
      <c r="N15" s="156" t="str">
        <f>VLOOKUP(C15,'Trips&amp;Operators'!$C$1:$G$99999,5,FALSE)</f>
        <v>ROBINSON KADDIBA</v>
      </c>
      <c r="O15" s="186" t="s">
        <v>227</v>
      </c>
      <c r="P15" s="157" t="s">
        <v>976</v>
      </c>
      <c r="Q15" s="31"/>
      <c r="R15" s="100" t="str">
        <f>VLOOKUP(C15,'Train Runs'!$A$13:$AE$9971,31,0)</f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S15" s="103" t="str">
        <f>VLOOKUP(C15,'Train Runs'!$A$13:$AE$9971,22,0)</f>
        <v>https://search-rtdc-monitor-bjffxe2xuh6vdkpspy63sjmuny.us-east-1.es.amazonaws.com/_plugin/kibana/#/discover/Steve-Slow-Train-Analysis-(2080s-and-2083s)?_g=(refreshInterval:(display:Off,section:0,value:0),time:(from:'2016-12-19 04:59:11-700',mode:absolute,to:'2016-12-19 07:11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5" s="105" t="str">
        <f t="shared" si="1"/>
        <v>"C:\Program Files (x86)\AstroGrep\AstroGrep.exe" /spath="%USERPROFILE%\AppData\Local\Temp\OnboardLogs" /stypes="*4009*201612191*" /stext=" 12:.+((SYSTEM_STATE.+slice.+state.+changed )|(ment ac)|(multiple cpu faults)|(system.+state.+changed )|(\[timeout)|(PRM\|1\|D)|(kpr)|(kdp)|(\|lc)|(penalty))" /e /r /s</v>
      </c>
      <c r="U15" s="9" t="str">
        <f t="shared" si="2"/>
        <v>4009</v>
      </c>
      <c r="V15" s="36">
        <f t="shared" si="3"/>
        <v>42723.531388888885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{"issue":{"subject":"Wi-MAX data drop","project_id":79,"tracker_id":40,"status_id":1,"priority_id":2,"assigned_to_id":23,"start_date":"2016-12-19","description":"","custom_fields":[{"id":1,"name":"Subdivision","value":"EC"},{"id":4,"name":"Milepost","value":"6.3995"},{"id":17,"name":"Train ID","value":"115-19"},{"id":16,"name":"Locomotive ID","value":"4009"},{"id":130,"name":"Impact","value":""},{"id":150,"name":"Time of Event (Mountain Time)","value":"05:45:12"},{"id":151,"name":"Denver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"%USERPROFILE%\AppData\Local\Temp\OnboardLogs"\RTDC4009\*4009*201612191*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"%USERPROFILE%\AppData\Local\Temp\OnboardLogs"\RTDC4009\*4009*201612191* &gt;&gt; 42723-slicedisagreementcheck.txt</v>
      </c>
    </row>
    <row r="16" spans="1:30" s="1" customFormat="1" x14ac:dyDescent="0.25">
      <c r="A16" s="36">
        <v>42723.240532407406</v>
      </c>
      <c r="B16" s="31" t="s">
        <v>183</v>
      </c>
      <c r="C16" s="31" t="s">
        <v>533</v>
      </c>
      <c r="D16" s="31" t="s">
        <v>49</v>
      </c>
      <c r="E16" s="31" t="s">
        <v>198</v>
      </c>
      <c r="F16" s="47">
        <v>0</v>
      </c>
      <c r="G16" s="47">
        <v>189</v>
      </c>
      <c r="H16" s="47">
        <v>63592</v>
      </c>
      <c r="I16" s="47">
        <v>64013</v>
      </c>
      <c r="J16" s="31" t="s">
        <v>199</v>
      </c>
      <c r="K16" s="47">
        <v>63995</v>
      </c>
      <c r="L16" s="154" t="s">
        <v>50</v>
      </c>
      <c r="M16" s="155">
        <f t="shared" si="0"/>
        <v>-9.5039999999999996</v>
      </c>
      <c r="N16" s="156" t="str">
        <f>VLOOKUP(C16,'Trips&amp;Operators'!$C$1:$G$99999,5,FALSE)</f>
        <v>ROBINSON KADDIBA</v>
      </c>
      <c r="O16" s="186" t="s">
        <v>227</v>
      </c>
      <c r="P16" s="157" t="s">
        <v>976</v>
      </c>
      <c r="Q16" s="31"/>
      <c r="R16" s="100" t="str">
        <f>VLOOKUP(C16,'Train Runs'!$A$13:$AE$9971,31,0)</f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S16" s="103" t="str">
        <f>VLOOKUP(C16,'Train Runs'!$A$13:$AE$9971,22,0)</f>
        <v>https://search-rtdc-monitor-bjffxe2xuh6vdkpspy63sjmuny.us-east-1.es.amazonaws.com/_plugin/kibana/#/discover/Steve-Slow-Train-Analysis-(2080s-and-2083s)?_g=(refreshInterval:(display:Off,section:0,value:0),time:(from:'2016-12-19 04:59:11-700',mode:absolute,to:'2016-12-19 07:11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6" s="105" t="str">
        <f t="shared" si="1"/>
        <v>"C:\Program Files (x86)\AstroGrep\AstroGrep.exe" /spath="%USERPROFILE%\AppData\Local\Temp\OnboardLogs" /stypes="*4009*201612191*" /stext=" 12:.+((SYSTEM_STATE.+slice.+state.+changed )|(ment ac)|(multiple cpu faults)|(system.+state.+changed )|(\[timeout)|(PRM\|1\|D)|(kpr)|(kdp)|(\|lc)|(penalty))" /e /r /s</v>
      </c>
      <c r="U16" s="9" t="str">
        <f t="shared" si="2"/>
        <v>4009</v>
      </c>
      <c r="V16" s="36">
        <f t="shared" si="3"/>
        <v>42723.53219907407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drop","project_id":79,"tracker_id":40,"status_id":1,"priority_id":2,"assigned_to_id":23,"start_date":"2016-12-19","description":"","custom_fields":[{"id":1,"name":"Subdivision","value":"EC"},{"id":4,"name":"Milepost","value":"6.3995"},{"id":17,"name":"Train ID","value":"115-19"},{"id":16,"name":"Locomotive ID","value":"4009"},{"id":130,"name":"Impact","value":""},{"id":150,"name":"Time of Event (Mountain Time)","value":"05:46:22"},{"id":151,"name":"Denver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"%USERPROFILE%\AppData\Local\Temp\OnboardLogs"\RTDC4009\*4009*201612191*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"%USERPROFILE%\AppData\Local\Temp\OnboardLogs"\RTDC4009\*4009*201612191* &gt;&gt; 42723-slicedisagreementcheck.txt</v>
      </c>
    </row>
    <row r="17" spans="1:30" s="1" customFormat="1" x14ac:dyDescent="0.25">
      <c r="A17" s="36">
        <v>42723.204375000001</v>
      </c>
      <c r="B17" s="31" t="s">
        <v>527</v>
      </c>
      <c r="C17" s="31" t="s">
        <v>528</v>
      </c>
      <c r="D17" s="31" t="s">
        <v>49</v>
      </c>
      <c r="E17" s="31" t="s">
        <v>198</v>
      </c>
      <c r="F17" s="47">
        <v>0</v>
      </c>
      <c r="G17" s="47">
        <v>318</v>
      </c>
      <c r="H17" s="47">
        <v>129733</v>
      </c>
      <c r="I17" s="47">
        <v>128949</v>
      </c>
      <c r="J17" s="31" t="s">
        <v>199</v>
      </c>
      <c r="K17" s="47">
        <v>127587</v>
      </c>
      <c r="L17" s="154" t="s">
        <v>51</v>
      </c>
      <c r="M17" s="155">
        <f t="shared" si="0"/>
        <v>719.13599999999997</v>
      </c>
      <c r="N17" s="156" t="str">
        <f>VLOOKUP(C17,'Trips&amp;Operators'!$C$1:$G$99999,5,FALSE)</f>
        <v>MAGEE KENYA</v>
      </c>
      <c r="O17" s="186" t="s">
        <v>195</v>
      </c>
      <c r="P17" s="157" t="s">
        <v>979</v>
      </c>
      <c r="Q17" s="31"/>
      <c r="R17" s="100" t="str">
        <f>VLOOKUP(C17,'Train Runs'!$A$13:$AE$9971,31,0)</f>
        <v>aws s3 cp s3://rtdc.mdm.uploadarchive.raw/RTDC4019/ "%USERPROFILE%\AppData\Local\Temp\OnboardLogs"\RTDC4019\2016-12-19 --exclude "*" --recursive --include "*20161219*" &amp; "%USERPROFILE%\Documents\GitHub\mrs-test-scripts\Headless Mode &amp; Sideloading\WalkAndUnGZ.bat" "%USERPROFILE%\AppData\Local\Temp\OnboardLogs"\RTDC4019\2016-12-19 &amp; 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</v>
      </c>
      <c r="S17" s="103" t="str">
        <f>VLOOKUP(C17,'Train Runs'!$A$13:$AE$9971,22,0)</f>
        <v>https://search-rtdc-monitor-bjffxe2xuh6vdkpspy63sjmuny.us-east-1.es.amazonaws.com/_plugin/kibana/#/discover/Steve-Slow-Train-Analysis-(2080s-and-2083s)?_g=(refreshInterval:(display:Off,section:0,value:0),time:(from:'2016-12-19 03:33:36-700',mode:absolute,to:'2016-12-19 06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7" s="105" t="str">
        <f t="shared" si="1"/>
        <v>"C:\Program Files (x86)\AstroGrep\AstroGrep.exe" /spath="%USERPROFILE%\AppData\Local\Temp\OnboardLogs" /stypes="*4019*201612191*" /stext=" 11:.+((SYSTEM_STATE.+slice.+state.+changed )|(ment ac)|(multiple cpu faults)|(system.+state.+changed )|(\[timeout)|(PRM\|1\|D)|(kpr)|(kdp)|(\|lc)|(penalty))" /e /r /s</v>
      </c>
      <c r="U17" s="9" t="str">
        <f t="shared" si="2"/>
        <v>4019</v>
      </c>
      <c r="V17" s="36">
        <f t="shared" si="3"/>
        <v>42723.496041666665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{"issue":{"subject":"40th 4S STOP","project_id":79,"tracker_id":40,"status_id":1,"priority_id":2,"assigned_to_id":23,"start_date":"2016-12-19","description":"","custom_fields":[{"id":1,"name":"Subdivision","value":"EC"},{"id":4,"name":"Milepost","value":"12.7587"},{"id":17,"name":"Train ID","value":"104-19"},{"id":16,"name":"Locomotive ID","value":"4019"},{"id":130,"name":"Impact","value":""},{"id":150,"name":"Time of Event (Mountain Time)","value":"04:54:18"},{"id":151,"name":"Denver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"%USERPROFILE%\AppData\Local\Temp\OnboardLogs"\RTDC4019\*4019*201612191*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"%USERPROFILE%\AppData\Local\Temp\OnboardLogs"\RTDC4019\*4019*201612191* &gt;&gt; 42723-slicedisagreementcheck.txt</v>
      </c>
    </row>
    <row r="18" spans="1:30" s="1" customFormat="1" x14ac:dyDescent="0.25">
      <c r="A18" s="36">
        <v>42723.181157407409</v>
      </c>
      <c r="B18" s="31" t="s">
        <v>183</v>
      </c>
      <c r="C18" s="31" t="s">
        <v>526</v>
      </c>
      <c r="D18" s="31" t="s">
        <v>49</v>
      </c>
      <c r="E18" s="31" t="s">
        <v>198</v>
      </c>
      <c r="F18" s="47">
        <v>0</v>
      </c>
      <c r="G18" s="47">
        <v>777</v>
      </c>
      <c r="H18" s="47">
        <v>205813</v>
      </c>
      <c r="I18" s="47">
        <v>210696</v>
      </c>
      <c r="J18" s="31" t="s">
        <v>199</v>
      </c>
      <c r="K18" s="47">
        <v>210929</v>
      </c>
      <c r="L18" s="154" t="s">
        <v>50</v>
      </c>
      <c r="M18" s="155">
        <f t="shared" si="0"/>
        <v>123.024</v>
      </c>
      <c r="N18" s="156" t="str">
        <f>VLOOKUP(C18,'Trips&amp;Operators'!$C$1:$G$99999,5,FALSE)</f>
        <v>MAGEE KENYA</v>
      </c>
      <c r="O18" s="186" t="s">
        <v>227</v>
      </c>
      <c r="P18" s="157" t="s">
        <v>976</v>
      </c>
      <c r="Q18" s="31"/>
      <c r="R18" s="100" t="str">
        <f>VLOOKUP(C18,'Train Runs'!$A$13:$AE$9971,31,0)</f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S18" s="103" t="str">
        <f>VLOOKUP(C18,'Train Runs'!$A$13:$AE$9971,22,0)</f>
        <v>https://search-rtdc-monitor-bjffxe2xuh6vdkpspy63sjmuny.us-east-1.es.amazonaws.com/_plugin/kibana/#/discover/Steve-Slow-Train-Analysis-(2080s-and-2083s)?_g=(refreshInterval:(display:Off,section:0,value:0),time:(from:'2016-12-19 02:39:41-700',mode:absolute,to:'2016-12-19 05:28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8" s="105" t="str">
        <f t="shared" si="1"/>
        <v>"C:\Program Files (x86)\AstroGrep\AstroGrep.exe" /spath="%USERPROFILE%\AppData\Local\Temp\OnboardLogs" /stypes="*4009*201612191*" /stext=" 11:.+((SYSTEM_STATE.+slice.+state.+changed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6">
        <f t="shared" si="3"/>
        <v>42723.472824074073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drop","project_id":79,"tracker_id":40,"status_id":1,"priority_id":2,"assigned_to_id":23,"start_date":"2016-12-19","description":"","custom_fields":[{"id":1,"name":"Subdivision","value":"EC"},{"id":4,"name":"Milepost","value":"21.0929"},{"id":17,"name":"Train ID","value":"103-19"},{"id":16,"name":"Locomotive ID","value":"4009"},{"id":130,"name":"Impact","value":""},{"id":150,"name":"Time of Event (Mountain Time)","value":"04:20:52"},{"id":151,"name":"Denver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"%USERPROFILE%\AppData\Local\Temp\OnboardLogs"\RTDC4009\*4009*201612191*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"%USERPROFILE%\AppData\Local\Temp\OnboardLogs"\RTDC4009\*4009*201612191* &gt;&gt; 42723-slicedisagreementcheck.txt</v>
      </c>
    </row>
    <row r="19" spans="1:30" s="1" customFormat="1" x14ac:dyDescent="0.25">
      <c r="A19" s="36">
        <v>42723.220694444448</v>
      </c>
      <c r="B19" s="31" t="s">
        <v>155</v>
      </c>
      <c r="C19" s="31" t="s">
        <v>530</v>
      </c>
      <c r="D19" s="31" t="s">
        <v>49</v>
      </c>
      <c r="E19" s="31" t="s">
        <v>198</v>
      </c>
      <c r="F19" s="47">
        <v>0</v>
      </c>
      <c r="G19" s="47">
        <v>360</v>
      </c>
      <c r="H19" s="47">
        <v>226069</v>
      </c>
      <c r="I19" s="47">
        <v>225151</v>
      </c>
      <c r="J19" s="31" t="s">
        <v>199</v>
      </c>
      <c r="K19" s="47">
        <v>224244</v>
      </c>
      <c r="L19" s="154" t="s">
        <v>51</v>
      </c>
      <c r="M19" s="155">
        <f t="shared" si="0"/>
        <v>478.89600000000002</v>
      </c>
      <c r="N19" s="156" t="str">
        <f>VLOOKUP(C19,'Trips&amp;Operators'!$C$1:$G$99999,5,FALSE)</f>
        <v>STARKS ANGELINA</v>
      </c>
      <c r="O19" s="186" t="s">
        <v>227</v>
      </c>
      <c r="P19" s="157" t="s">
        <v>976</v>
      </c>
      <c r="Q19" s="31"/>
      <c r="R19" s="100" t="str">
        <f>VLOOKUP(C19,'Train Runs'!$A$13:$AE$9971,31,0)</f>
        <v>aws s3 cp s3://rtdc.mdm.uploadarchive.raw/RTDC4052/ "%USERPROFILE%\AppData\Local\Temp\OnboardLogs"\RTDC4052\2016-12-19 --exclude "*" --recursive --include "*20161219*" &amp; "%USERPROFILE%\Documents\GitHub\mrs-test-scripts\Headless Mode &amp; Sideloading\WalkAndUnGZ.bat" "%USERPROFILE%\AppData\Local\Temp\OnboardLogs"\RTDC4052\2016-12-19 &amp; 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</v>
      </c>
      <c r="S19" s="103" t="str">
        <f>VLOOKUP(C19,'Train Runs'!$A$13:$AE$9971,22,0)</f>
        <v>https://search-rtdc-monitor-bjffxe2xuh6vdkpspy63sjmuny.us-east-1.es.amazonaws.com/_plugin/kibana/#/discover/Steve-Slow-Train-Analysis-(2080s-and-2083s)?_g=(refreshInterval:(display:Off,section:0,value:0),time:(from:'2016-12-19 04:09:04-700',mode:absolute,to:'2016-12-19 06:17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9" s="105" t="str">
        <f t="shared" si="1"/>
        <v>"C:\Program Files (x86)\AstroGrep\AstroGrep.exe" /spath="%USERPROFILE%\AppData\Local\Temp\OnboardLogs" /stypes="*4052*201612191*" /stext=" 12:.+((SYSTEM_STATE.+slice.+state.+changed )|(ment ac)|(multiple cpu faults)|(system.+state.+changed )|(\[timeout)|(PRM\|1\|D)|(kpr)|(kdp)|(\|lc)|(penalty))" /e /r /s</v>
      </c>
      <c r="U19" s="9" t="str">
        <f t="shared" si="2"/>
        <v>4052</v>
      </c>
      <c r="V19" s="36">
        <f t="shared" si="3"/>
        <v>42723.512361111112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{"issue":{"subject":"Wi-MAX data drop","project_id":79,"tracker_id":40,"status_id":1,"priority_id":2,"assigned_to_id":23,"start_date":"2016-12-19","description":"","custom_fields":[{"id":1,"name":"Subdivision","value":"EC"},{"id":4,"name":"Milepost","value":"22.4244"},{"id":17,"name":"Train ID","value":"106-19"},{"id":16,"name":"Locomotive ID","value":"4052"},{"id":130,"name":"Impact","value":""},{"id":150,"name":"Time of Event (Mountain Time)","value":"05:17:48"},{"id":151,"name":"Denver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"%USERPROFILE%\AppData\Local\Temp\OnboardLogs"\RTDC4052\*4052*201612191*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"%USERPROFILE%\AppData\Local\Temp\OnboardLogs"\RTDC4052\*4052*201612191* &gt;&gt; 42723-slicedisagreementcheck.txt</v>
      </c>
    </row>
    <row r="20" spans="1:30" x14ac:dyDescent="0.25">
      <c r="A20" s="36">
        <v>42723.471770833334</v>
      </c>
      <c r="B20" s="31" t="s">
        <v>183</v>
      </c>
      <c r="C20" s="31" t="s">
        <v>549</v>
      </c>
      <c r="D20" s="31" t="s">
        <v>98</v>
      </c>
      <c r="E20" s="31" t="s">
        <v>531</v>
      </c>
      <c r="F20" s="47">
        <v>0</v>
      </c>
      <c r="G20" s="47">
        <v>129</v>
      </c>
      <c r="H20" s="47">
        <v>229552</v>
      </c>
      <c r="I20" s="47">
        <v>229609</v>
      </c>
      <c r="J20" s="31" t="s">
        <v>532</v>
      </c>
      <c r="K20" s="47">
        <v>228572</v>
      </c>
      <c r="L20" s="154" t="s">
        <v>50</v>
      </c>
      <c r="M20" s="155">
        <f t="shared" si="0"/>
        <v>-547.53599999999994</v>
      </c>
      <c r="N20" s="156" t="str">
        <f>VLOOKUP(C20,'Trips&amp;Operators'!$C$1:$G$99999,5,FALSE)</f>
        <v>ROBINSON KADDIBA</v>
      </c>
      <c r="O20" s="186" t="s">
        <v>227</v>
      </c>
      <c r="P20" s="157" t="s">
        <v>976</v>
      </c>
      <c r="Q20" s="31"/>
      <c r="R20" s="100" t="str">
        <f>VLOOKUP(C20,'Train Runs'!$A$13:$AE$9971,31,0)</f>
        <v>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 &amp; 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</v>
      </c>
      <c r="S20" s="103" t="str">
        <f>VLOOKUP(C20,'Train Runs'!$A$13:$AE$9971,22,0)</f>
        <v>https://search-rtdc-monitor-bjffxe2xuh6vdkpspy63sjmuny.us-east-1.es.amazonaws.com/_plugin/kibana/#/discover/Steve-Slow-Train-Analysis-(2080s-and-2083s)?_g=(refreshInterval:(display:Off,section:0,value:0),time:(from:'2016-12-19 09:40:14-700',mode:absolute,to:'2016-12-19 12:22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0" s="105" t="str">
        <f t="shared" si="1"/>
        <v>"C:\Program Files (x86)\AstroGrep\AstroGrep.exe" /spath="%USERPROFILE%\AppData\Local\Temp\OnboardLogs" /stypes="*4009*201612191*" /stext=" 18:.+((SYSTEM_STATE.+slice.+state.+changed )|(ment ac)|(multiple cpu faults)|(system.+state.+changed )|(\[timeout)|(PRM\|1\|D)|(kpr)|(kdp)|(\|lc)|(penalty))" /e /r /s</v>
      </c>
      <c r="U20" s="9" t="str">
        <f t="shared" si="2"/>
        <v>4009</v>
      </c>
      <c r="V20" s="36">
        <f t="shared" si="3"/>
        <v>42723.763437499998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{"issue":{"subject":"Wi-MAX data drop","project_id":79,"tracker_id":40,"status_id":1,"priority_id":2,"assigned_to_id":23,"start_date":"2016-12-19","description":"","custom_fields":[{"id":1,"name":"Subdivision","value":"EC"},{"id":4,"name":"Milepost","value":"22.8572"},{"id":17,"name":"Train ID","value":"157-19"},{"id":16,"name":"Locomotive ID","value":"4009"},{"id":130,"name":"Impact","value":""},{"id":150,"name":"Time of Event (Mountain Time)","value":"11:19:21"},{"id":151,"name":"Denver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"%USERPROFILE%\AppData\Local\Temp\OnboardLogs"\RTDC4009\*4009*201612191*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"%USERPROFILE%\AppData\Local\Temp\OnboardLogs"\RTDC4009\*4009*201612191* &gt;&gt; 42723-slicedisagreementcheck.txt</v>
      </c>
    </row>
    <row r="21" spans="1:30" x14ac:dyDescent="0.25">
      <c r="A21" s="36">
        <v>42723.219259259262</v>
      </c>
      <c r="B21" s="31" t="s">
        <v>155</v>
      </c>
      <c r="C21" s="31" t="s">
        <v>530</v>
      </c>
      <c r="D21" s="31" t="s">
        <v>98</v>
      </c>
      <c r="E21" s="31" t="s">
        <v>531</v>
      </c>
      <c r="F21" s="47">
        <v>0</v>
      </c>
      <c r="G21" s="47">
        <v>168</v>
      </c>
      <c r="H21" s="47">
        <v>230880</v>
      </c>
      <c r="I21" s="47">
        <v>230338</v>
      </c>
      <c r="J21" s="31" t="s">
        <v>532</v>
      </c>
      <c r="K21" s="47">
        <v>231650</v>
      </c>
      <c r="L21" s="154" t="s">
        <v>51</v>
      </c>
      <c r="M21" s="155">
        <f t="shared" si="0"/>
        <v>-692.7360000000001</v>
      </c>
      <c r="N21" s="156" t="str">
        <f>VLOOKUP(C21,'Trips&amp;Operators'!$C$1:$G$99999,5,FALSE)</f>
        <v>STARKS ANGELINA</v>
      </c>
      <c r="O21" s="186" t="s">
        <v>227</v>
      </c>
      <c r="P21" s="157" t="s">
        <v>976</v>
      </c>
      <c r="Q21" s="31"/>
      <c r="R21" s="100" t="str">
        <f>VLOOKUP(C21,'Train Runs'!$A$13:$AE$9971,31,0)</f>
        <v>aws s3 cp s3://rtdc.mdm.uploadarchive.raw/RTDC4052/ "%USERPROFILE%\AppData\Local\Temp\OnboardLogs"\RTDC4052\2016-12-19 --exclude "*" --recursive --include "*20161219*" &amp; "%USERPROFILE%\Documents\GitHub\mrs-test-scripts\Headless Mode &amp; Sideloading\WalkAndUnGZ.bat" "%USERPROFILE%\AppData\Local\Temp\OnboardLogs"\RTDC4052\2016-12-19 &amp; 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</v>
      </c>
      <c r="S21" s="103" t="str">
        <f>VLOOKUP(C21,'Train Runs'!$A$13:$AE$9971,22,0)</f>
        <v>https://search-rtdc-monitor-bjffxe2xuh6vdkpspy63sjmuny.us-east-1.es.amazonaws.com/_plugin/kibana/#/discover/Steve-Slow-Train-Analysis-(2080s-and-2083s)?_g=(refreshInterval:(display:Off,section:0,value:0),time:(from:'2016-12-19 04:09:04-700',mode:absolute,to:'2016-12-19 06:17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1" s="105" t="str">
        <f t="shared" si="1"/>
        <v>"C:\Program Files (x86)\AstroGrep\AstroGrep.exe" /spath="%USERPROFILE%\AppData\Local\Temp\OnboardLogs" /stypes="*4052*201612191*" /stext=" 12:.+((SYSTEM_STATE.+slice.+state.+changed )|(ment ac)|(multiple cpu faults)|(system.+state.+changed )|(\[timeout)|(PRM\|1\|D)|(kpr)|(kdp)|(\|lc)|(penalty))" /e /r /s</v>
      </c>
      <c r="U21" s="9" t="str">
        <f t="shared" si="2"/>
        <v>4052</v>
      </c>
      <c r="V21" s="36">
        <f t="shared" si="3"/>
        <v>42723.510925925926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{"issue":{"subject":"Wi-MAX data drop","project_id":79,"tracker_id":40,"status_id":1,"priority_id":2,"assigned_to_id":23,"start_date":"2016-12-19","description":"","custom_fields":[{"id":1,"name":"Subdivision","value":"EC"},{"id":4,"name":"Milepost","value":"23.165"},{"id":17,"name":"Train ID","value":"106-19"},{"id":16,"name":"Locomotive ID","value":"4052"},{"id":130,"name":"Impact","value":""},{"id":150,"name":"Time of Event (Mountain Time)","value":"05:15:44"},{"id":151,"name":"Denver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"%USERPROFILE%\AppData\Local\Temp\OnboardLogs"\RTDC4052\*4052*201612191*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"%USERPROFILE%\AppData\Local\Temp\OnboardLogs"\RTDC4052\*4052*201612191* &gt;&gt; 42723-slicedisagreementcheck.txt</v>
      </c>
    </row>
    <row r="22" spans="1:30" ht="15" customHeight="1" x14ac:dyDescent="0.25">
      <c r="A22" s="36">
        <v>42723.454652777778</v>
      </c>
      <c r="B22" s="31" t="s">
        <v>288</v>
      </c>
      <c r="C22" s="31" t="s">
        <v>547</v>
      </c>
      <c r="D22" s="31" t="s">
        <v>49</v>
      </c>
      <c r="E22" s="31" t="s">
        <v>260</v>
      </c>
      <c r="F22" s="47">
        <v>100</v>
      </c>
      <c r="G22" s="47">
        <v>398</v>
      </c>
      <c r="H22" s="47">
        <v>68868</v>
      </c>
      <c r="I22" s="47">
        <v>67751</v>
      </c>
      <c r="J22" s="31" t="s">
        <v>249</v>
      </c>
      <c r="K22" s="47">
        <v>66500</v>
      </c>
      <c r="L22" s="154" t="s">
        <v>51</v>
      </c>
      <c r="M22" s="155">
        <f t="shared" si="0"/>
        <v>660.52799999999991</v>
      </c>
      <c r="N22" s="156" t="str">
        <f>VLOOKUP(C22,'Trips&amp;Operators'!$C$1:$G$99999,5,FALSE)</f>
        <v>STARKS ANGELINA</v>
      </c>
      <c r="O22" s="186" t="s">
        <v>195</v>
      </c>
      <c r="P22" s="157"/>
      <c r="Q22" s="31"/>
      <c r="R22" s="100" t="str">
        <f>VLOOKUP(C22,'Train Runs'!$A$13:$AE$9971,31,0)</f>
        <v>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 &amp; 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</v>
      </c>
      <c r="S22" s="103" t="str">
        <f>VLOOKUP(C22,'Train Runs'!$A$13:$AE$9971,22,0)</f>
        <v>https://search-rtdc-monitor-bjffxe2xuh6vdkpspy63sjmuny.us-east-1.es.amazonaws.com/_plugin/kibana/#/discover/Steve-Slow-Train-Analysis-(2080s-and-2083s)?_g=(refreshInterval:(display:Off,section:0,value:0),time:(from:'2016-12-19 09:20:49-700',mode:absolute,to:'2016-12-19 12:11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2" s="105" t="str">
        <f t="shared" si="1"/>
        <v>"C:\Program Files (x86)\AstroGrep\AstroGrep.exe" /spath="%USERPROFILE%\AppData\Local\Temp\OnboardLogs" /stypes="*4017*201612191*" /stext=" 17:.+((SYSTEM_STATE.+slice.+state.+changed )|(ment ac)|(multiple cpu faults)|(system.+state.+changed )|(\[timeout)|(PRM\|1\|D)|(kpr)|(kdp)|(\|lc)|(penalty))" /e /r /s</v>
      </c>
      <c r="U22" s="9" t="str">
        <f t="shared" si="2"/>
        <v>4017</v>
      </c>
      <c r="V22" s="36">
        <f t="shared" si="3"/>
        <v>42723.746319444443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{"issue":{"subject":"","project_id":79,"tracker_id":40,"status_id":1,"priority_id":2,"assigned_to_id":23,"start_date":"2016-12-19","description":"","custom_fields":[{"id":1,"name":"Subdivision","value":"EC"},{"id":4,"name":"Milepost","value":"6.65"},{"id":17,"name":"Train ID","value":"148-19"},{"id":16,"name":"Locomotive ID","value":"4017"},{"id":130,"name":"Impact","value":""},{"id":150,"name":"Time of Event (Mountain Time)","value":"10:54:42"},{"id":151,"name":"Denver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"%USERPROFILE%\AppData\Local\Temp\OnboardLogs"\RTDC4017\*4017*201612191*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"%USERPROFILE%\AppData\Local\Temp\OnboardLogs"\RTDC4017\*4017*201612191* &gt;&gt; 42723-slicedisagreementcheck.txt</v>
      </c>
    </row>
    <row r="23" spans="1:30" x14ac:dyDescent="0.25">
      <c r="A23" s="36">
        <v>42724.012604166666</v>
      </c>
      <c r="B23" s="31" t="s">
        <v>207</v>
      </c>
      <c r="C23" s="31" t="s">
        <v>566</v>
      </c>
      <c r="D23" s="31" t="s">
        <v>49</v>
      </c>
      <c r="E23" s="31" t="s">
        <v>260</v>
      </c>
      <c r="F23" s="47">
        <v>100</v>
      </c>
      <c r="G23" s="47">
        <v>396</v>
      </c>
      <c r="H23" s="47">
        <v>68114</v>
      </c>
      <c r="I23" s="47">
        <v>67106</v>
      </c>
      <c r="J23" s="31" t="s">
        <v>249</v>
      </c>
      <c r="K23" s="47">
        <v>66500</v>
      </c>
      <c r="L23" s="154" t="s">
        <v>51</v>
      </c>
      <c r="M23" s="155">
        <f t="shared" si="0"/>
        <v>319.96800000000002</v>
      </c>
      <c r="N23" s="156" t="str">
        <f>VLOOKUP(C23,'Trips&amp;Operators'!$C$1:$G$99999,5,FALSE)</f>
        <v>MACDONALD THOMAS</v>
      </c>
      <c r="O23" s="186" t="s">
        <v>195</v>
      </c>
      <c r="P23" s="157"/>
      <c r="Q23" s="31"/>
      <c r="R23" s="100" t="str">
        <f>VLOOKUP(C23,'Train Runs'!$A$13:$AE$9971,31,0)</f>
        <v>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 &amp; 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</v>
      </c>
      <c r="S23" s="103" t="str">
        <f>VLOOKUP(C23,'Train Runs'!$A$13:$AE$9971,22,0)</f>
        <v>https://search-rtdc-monitor-bjffxe2xuh6vdkpspy63sjmuny.us-east-1.es.amazonaws.com/_plugin/kibana/#/discover/Steve-Slow-Train-Analysis-(2080s-and-2083s)?_g=(refreshInterval:(display:Off,section:0,value:0),time:(from:'2016-12-19 22:51:16-700',mode:absolute,to:'2016-12-20 01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3" s="105" t="str">
        <f t="shared" si="1"/>
        <v>"C:\Program Files (x86)\AstroGrep\AstroGrep.exe" /spath="%USERPROFILE%\AppData\Local\Temp\OnboardLogs" /stypes="*4039*201612200*" /stext=" 07:.+((SYSTEM_STATE.+slice.+state.+changed )|(ment ac)|(multiple cpu faults)|(system.+state.+changed )|(\[timeout)|(PRM\|1\|D)|(kpr)|(kdp)|(\|lc)|(penalty))" /e /r /s</v>
      </c>
      <c r="U23" s="9" t="str">
        <f t="shared" si="2"/>
        <v>4039</v>
      </c>
      <c r="V23" s="36">
        <f t="shared" si="3"/>
        <v>42724.304270833331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{"issue":{"subject":"","project_id":79,"tracker_id":40,"status_id":1,"priority_id":2,"assigned_to_id":23,"start_date":"2016-12-20","description":"","custom_fields":[{"id":1,"name":"Subdivision","value":"EC"},{"id":4,"name":"Milepost","value":"6.65"},{"id":17,"name":"Train ID","value":"238-19"},{"id":16,"name":"Locomotive ID","value":"4039"},{"id":130,"name":"Impact","value":""},{"id":150,"name":"Time of Event (Mountain Time)","value":"00:18:09"},{"id":151,"name":"Denver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"%USERPROFILE%\AppData\Local\Temp\OnboardLogs"\RTDC4039\*4039*201612200*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"%USERPROFILE%\AppData\Local\Temp\OnboardLogs"\RTDC4039\*4039*201612200* &gt;&gt; 42723-slicedisagreementcheck.txt</v>
      </c>
    </row>
    <row r="24" spans="1:30" x14ac:dyDescent="0.25">
      <c r="A24" s="36">
        <v>42723.254872685182</v>
      </c>
      <c r="B24" s="31" t="s">
        <v>280</v>
      </c>
      <c r="C24" s="31" t="s">
        <v>534</v>
      </c>
      <c r="D24" s="31" t="s">
        <v>49</v>
      </c>
      <c r="E24" s="31" t="s">
        <v>200</v>
      </c>
      <c r="F24" s="47">
        <v>0</v>
      </c>
      <c r="G24" s="47">
        <v>41</v>
      </c>
      <c r="H24" s="47">
        <v>136</v>
      </c>
      <c r="I24" s="47">
        <v>103</v>
      </c>
      <c r="J24" s="31" t="s">
        <v>201</v>
      </c>
      <c r="K24" s="47">
        <v>1</v>
      </c>
      <c r="L24" s="154" t="s">
        <v>51</v>
      </c>
      <c r="M24" s="155">
        <f t="shared" si="0"/>
        <v>53.856000000000002</v>
      </c>
      <c r="N24" s="156" t="str">
        <f>VLOOKUP(C24,'Trips&amp;Operators'!$C$1:$G$99999,5,FALSE)</f>
        <v>DAVIDSON DAVID</v>
      </c>
      <c r="O24" s="186" t="s">
        <v>195</v>
      </c>
      <c r="P24" s="157"/>
      <c r="Q24" s="31"/>
      <c r="R24" s="100" t="str">
        <f>VLOOKUP(C24,'Train Runs'!$A$13:$AE$9971,31,0)</f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S24" s="103" t="str">
        <f>VLOOKUP(C24,'Train Runs'!$A$13:$AE$9971,22,0)</f>
        <v>https://search-rtdc-monitor-bjffxe2xuh6vdkpspy63sjmuny.us-east-1.es.amazonaws.com/_plugin/kibana/#/discover/Steve-Slow-Train-Analysis-(2080s-and-2083s)?_g=(refreshInterval:(display:Off,section:0,value:0),time:(from:'2016-12-19 04:14:35-700',mode:absolute,to:'2016-12-19 07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4" s="105" t="str">
        <f t="shared" si="1"/>
        <v>"C:\Program Files (x86)\AstroGrep\AstroGrep.exe" /spath="%USERPROFILE%\AppData\Local\Temp\OnboardLogs" /stypes="*4021*201612191*" /stext=" 13:.+((SYSTEM_STATE.+slice.+state.+changed )|(ment ac)|(multiple cpu faults)|(system.+state.+changed )|(\[timeout)|(PRM\|1\|D)|(kpr)|(kdp)|(\|lc)|(penalty))" /e /r /s</v>
      </c>
      <c r="U24" s="9" t="str">
        <f t="shared" si="2"/>
        <v>4021</v>
      </c>
      <c r="V24" s="36">
        <f t="shared" si="3"/>
        <v>42723.546539351846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{"issue":{"subject":"","project_id":79,"tracker_id":40,"status_id":1,"priority_id":2,"assigned_to_id":23,"start_date":"2016-12-19","description":"","custom_fields":[{"id":1,"name":"Subdivision","value":"EC"},{"id":4,"name":"Milepost","value":"0.0001"},{"id":17,"name":"Train ID","value":"108-19"},{"id":16,"name":"Locomotive ID","value":"4021"},{"id":130,"name":"Impact","value":""},{"id":150,"name":"Time of Event (Mountain Time)","value":"06:07:01"},{"id":151,"name":"Denver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"%USERPROFILE%\AppData\Local\Temp\OnboardLogs"\RTDC4021\*4021*201612191*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"%USERPROFILE%\AppData\Local\Temp\OnboardLogs"\RTDC4021\*4021*201612191* &gt;&gt; 42723-slicedisagreementcheck.txt</v>
      </c>
    </row>
    <row r="25" spans="1:30" x14ac:dyDescent="0.25">
      <c r="A25" s="36">
        <v>42723.472708333335</v>
      </c>
      <c r="B25" s="31" t="s">
        <v>280</v>
      </c>
      <c r="C25" s="31" t="s">
        <v>550</v>
      </c>
      <c r="D25" s="31" t="s">
        <v>49</v>
      </c>
      <c r="E25" s="31" t="s">
        <v>200</v>
      </c>
      <c r="F25" s="47">
        <v>0</v>
      </c>
      <c r="G25" s="47">
        <v>45</v>
      </c>
      <c r="H25" s="47">
        <v>160</v>
      </c>
      <c r="I25" s="47">
        <v>112</v>
      </c>
      <c r="J25" s="31" t="s">
        <v>201</v>
      </c>
      <c r="K25" s="47">
        <v>1</v>
      </c>
      <c r="L25" s="154" t="s">
        <v>51</v>
      </c>
      <c r="M25" s="155">
        <f t="shared" si="0"/>
        <v>58.607999999999997</v>
      </c>
      <c r="N25" s="156" t="str">
        <f>VLOOKUP(C25,'Trips&amp;Operators'!$C$1:$G$99999,5,FALSE)</f>
        <v>DAVIDSON DAVID</v>
      </c>
      <c r="O25" s="186" t="s">
        <v>195</v>
      </c>
      <c r="P25" s="157"/>
      <c r="Q25" s="31"/>
      <c r="R25" s="100" t="str">
        <f>VLOOKUP(C25,'Train Runs'!$A$13:$AE$9971,31,0)</f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S25" s="103" t="str">
        <f>VLOOKUP(C25,'Train Runs'!$A$13:$AE$9971,22,0)</f>
        <v>https://search-rtdc-monitor-bjffxe2xuh6vdkpspy63sjmuny.us-east-1.es.amazonaws.com/_plugin/kibana/#/discover/Steve-Slow-Train-Analysis-(2080s-and-2083s)?_g=(refreshInterval:(display:Off,section:0,value:0),time:(from:'2016-12-19 09:31:56-700',mode:absolute,to:'2016-12-19 12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5" s="105" t="str">
        <f t="shared" si="1"/>
        <v>"C:\Program Files (x86)\AstroGrep\AstroGrep.exe" /spath="%USERPROFILE%\AppData\Local\Temp\OnboardLogs" /stypes="*4021*201612191*" /stext=" 18:.+((SYSTEM_STATE.+slice.+state.+changed )|(ment ac)|(multiple cpu faults)|(system.+state.+changed )|(\[timeout)|(PRM\|1\|D)|(kpr)|(kdp)|(\|lc)|(penalty))" /e /r /s</v>
      </c>
      <c r="U25" s="9" t="str">
        <f t="shared" si="2"/>
        <v>4021</v>
      </c>
      <c r="V25" s="36">
        <f t="shared" si="3"/>
        <v>42723.764374999999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{"issue":{"subject":"","project_id":79,"tracker_id":40,"status_id":1,"priority_id":2,"assigned_to_id":23,"start_date":"2016-12-19","description":"","custom_fields":[{"id":1,"name":"Subdivision","value":"EC"},{"id":4,"name":"Milepost","value":"0.0001"},{"id":17,"name":"Train ID","value":"150-19"},{"id":16,"name":"Locomotive ID","value":"4021"},{"id":130,"name":"Impact","value":""},{"id":150,"name":"Time of Event (Mountain Time)","value":"11:20:42"},{"id":151,"name":"Denver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"%USERPROFILE%\AppData\Local\Temp\OnboardLogs"\RTDC4021\*4021*201612191*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"%USERPROFILE%\AppData\Local\Temp\OnboardLogs"\RTDC4021\*4021*201612191* &gt;&gt; 42723-slicedisagreementcheck.txt</v>
      </c>
    </row>
    <row r="26" spans="1:30" x14ac:dyDescent="0.25">
      <c r="A26" s="36">
        <v>42723.701435185183</v>
      </c>
      <c r="B26" s="31" t="s">
        <v>236</v>
      </c>
      <c r="C26" s="31" t="s">
        <v>557</v>
      </c>
      <c r="D26" s="31" t="s">
        <v>49</v>
      </c>
      <c r="E26" s="31" t="s">
        <v>200</v>
      </c>
      <c r="F26" s="47">
        <v>0</v>
      </c>
      <c r="G26" s="47">
        <v>44</v>
      </c>
      <c r="H26" s="47">
        <v>149</v>
      </c>
      <c r="I26" s="47">
        <v>119</v>
      </c>
      <c r="J26" s="31" t="s">
        <v>201</v>
      </c>
      <c r="K26" s="47">
        <v>1</v>
      </c>
      <c r="L26" s="154" t="s">
        <v>51</v>
      </c>
      <c r="M26" s="155">
        <f t="shared" si="0"/>
        <v>62.304000000000002</v>
      </c>
      <c r="N26" s="156" t="str">
        <f>VLOOKUP(C26,'Trips&amp;Operators'!$C$1:$G$99999,5,FALSE)</f>
        <v>ADANE ELSHADAY</v>
      </c>
      <c r="O26" s="186" t="s">
        <v>195</v>
      </c>
      <c r="P26" s="157"/>
      <c r="Q26" s="31"/>
      <c r="R26" s="100" t="str">
        <f>VLOOKUP(C26,'Train Runs'!$A$13:$AE$9971,31,0)</f>
        <v>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 &amp; 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</v>
      </c>
      <c r="S26" s="103" t="str">
        <f>VLOOKUP(C26,'Train Runs'!$A$13:$AE$9971,22,0)</f>
        <v>https://search-rtdc-monitor-bjffxe2xuh6vdkpspy63sjmuny.us-east-1.es.amazonaws.com/_plugin/kibana/#/discover/Steve-Slow-Train-Analysis-(2080s-and-2083s)?_g=(refreshInterval:(display:Off,section:0,value:0),time:(from:'2016-12-19 14:55:21-700',mode:absolute,to:'2016-12-19 17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6" s="105" t="str">
        <f t="shared" si="1"/>
        <v>"C:\Program Files (x86)\AstroGrep\AstroGrep.exe" /spath="%USERPROFILE%\AppData\Local\Temp\OnboardLogs" /stypes="*4032*201612192*" /stext=" 23:.+((SYSTEM_STATE.+slice.+state.+changed )|(ment ac)|(multiple cpu faults)|(system.+state.+changed )|(\[timeout)|(PRM\|1\|D)|(kpr)|(kdp)|(\|lc)|(penalty))" /e /r /s</v>
      </c>
      <c r="U26" s="9" t="str">
        <f t="shared" si="2"/>
        <v>4032</v>
      </c>
      <c r="V26" s="36">
        <f t="shared" si="3"/>
        <v>42723.993101851847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{"issue":{"subject":"","project_id":79,"tracker_id":40,"status_id":1,"priority_id":2,"assigned_to_id":23,"start_date":"2016-12-19","description":"","custom_fields":[{"id":1,"name":"Subdivision","value":"EC"},{"id":4,"name":"Milepost","value":"0.0001"},{"id":17,"name":"Train ID","value":"194-19"},{"id":16,"name":"Locomotive ID","value":"4032"},{"id":130,"name":"Impact","value":""},{"id":150,"name":"Time of Event (Mountain Time)","value":"16:50:04"},{"id":151,"name":"Denver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"%USERPROFILE%\AppData\Local\Temp\OnboardLogs"\RTDC4032\*4032*201612192*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"%USERPROFILE%\AppData\Local\Temp\OnboardLogs"\RTDC4032\*4032*201612192* &gt;&gt; 42723-slicedisagreementcheck.txt</v>
      </c>
    </row>
    <row r="27" spans="1:30" x14ac:dyDescent="0.25">
      <c r="A27" s="36">
        <v>42723.768854166665</v>
      </c>
      <c r="B27" s="31" t="s">
        <v>280</v>
      </c>
      <c r="C27" s="31" t="s">
        <v>561</v>
      </c>
      <c r="D27" s="31" t="s">
        <v>49</v>
      </c>
      <c r="E27" s="31" t="s">
        <v>200</v>
      </c>
      <c r="F27" s="47">
        <v>0</v>
      </c>
      <c r="G27" s="47">
        <v>56</v>
      </c>
      <c r="H27" s="47">
        <v>185</v>
      </c>
      <c r="I27" s="47">
        <v>139</v>
      </c>
      <c r="J27" s="31" t="s">
        <v>201</v>
      </c>
      <c r="K27" s="47">
        <v>1</v>
      </c>
      <c r="L27" s="154" t="s">
        <v>51</v>
      </c>
      <c r="M27" s="155">
        <f t="shared" si="0"/>
        <v>72.864000000000004</v>
      </c>
      <c r="N27" s="156" t="str">
        <f>VLOOKUP(C27,'Trips&amp;Operators'!$C$1:$G$99999,5,FALSE)</f>
        <v>CLARK KATHLEEN</v>
      </c>
      <c r="O27" s="186" t="s">
        <v>195</v>
      </c>
      <c r="P27" s="157"/>
      <c r="Q27" s="31"/>
      <c r="R27" s="100" t="str">
        <f>VLOOKUP(C27,'Train Runs'!$A$13:$AE$9971,31,0)</f>
        <v>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 &amp; aws s3 cp s3://rtdc.mdm.uploadarchive.raw/RTDC4021/ "%USERPROFILE%\AppData\Local\Temp\OnboardLogs"\RTDC4021\2016-12-20 --exclude "*" --recursive --include "*20161220*" &amp; "%USERPROFILE%\Documents\GitHub\mrs-test-scripts\Headless Mode &amp; Sideloading\WalkAndUnGZ.bat" "%USERPROFILE%\AppData\Local\Temp\OnboardLogs"\RTDC4021\2016-12-20</v>
      </c>
      <c r="S27" s="103" t="str">
        <f>VLOOKUP(C27,'Train Runs'!$A$13:$AE$9971,22,0)</f>
        <v>https://search-rtdc-monitor-bjffxe2xuh6vdkpspy63sjmuny.us-east-1.es.amazonaws.com/_plugin/kibana/#/discover/Steve-Slow-Train-Analysis-(2080s-and-2083s)?_g=(refreshInterval:(display:Off,section:0,value:0),time:(from:'2016-12-19 16:34:51-700',mode:absolute,to:'2016-12-19 19:27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7" s="105" t="str">
        <f t="shared" si="1"/>
        <v>"C:\Program Files (x86)\AstroGrep\AstroGrep.exe" /spath="%USERPROFILE%\AppData\Local\Temp\OnboardLogs" /stypes="*4021*201612200*" /stext=" 01:.+((SYSTEM_STATE.+slice.+state.+changed )|(ment ac)|(multiple cpu faults)|(system.+state.+changed )|(\[timeout)|(PRM\|1\|D)|(kpr)|(kdp)|(\|lc)|(penalty))" /e /r /s</v>
      </c>
      <c r="U27" s="9" t="str">
        <f t="shared" si="2"/>
        <v>4021</v>
      </c>
      <c r="V27" s="36">
        <f t="shared" si="3"/>
        <v>42724.060520833329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{"issue":{"subject":"","project_id":79,"tracker_id":40,"status_id":1,"priority_id":2,"assigned_to_id":23,"start_date":"2016-12-19","description":"","custom_fields":[{"id":1,"name":"Subdivision","value":"EC"},{"id":4,"name":"Milepost","value":"0.0001"},{"id":17,"name":"Train ID","value":"206-19"},{"id":16,"name":"Locomotive ID","value":"4021"},{"id":130,"name":"Impact","value":""},{"id":150,"name":"Time of Event (Mountain Time)","value":"18:27:09"},{"id":151,"name":"Denver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"%USERPROFILE%\AppData\Local\Temp\OnboardLogs"\RTDC4021\*4021*201612200*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"%USERPROFILE%\AppData\Local\Temp\OnboardLogs"\RTDC4021\*4021*201612200* &gt;&gt; 42723-slicedisagreementcheck.txt</v>
      </c>
    </row>
    <row r="28" spans="1:30" ht="15" customHeight="1" x14ac:dyDescent="0.25">
      <c r="A28" s="36">
        <v>42723.808599537035</v>
      </c>
      <c r="B28" s="31" t="s">
        <v>422</v>
      </c>
      <c r="C28" s="31" t="s">
        <v>562</v>
      </c>
      <c r="D28" s="31" t="s">
        <v>49</v>
      </c>
      <c r="E28" s="31" t="s">
        <v>200</v>
      </c>
      <c r="F28" s="47">
        <v>0</v>
      </c>
      <c r="G28" s="47">
        <v>62</v>
      </c>
      <c r="H28" s="47">
        <v>245</v>
      </c>
      <c r="I28" s="47">
        <v>167</v>
      </c>
      <c r="J28" s="31" t="s">
        <v>201</v>
      </c>
      <c r="K28" s="47">
        <v>1</v>
      </c>
      <c r="L28" s="154" t="s">
        <v>51</v>
      </c>
      <c r="M28" s="155">
        <f t="shared" si="0"/>
        <v>87.647999999999996</v>
      </c>
      <c r="N28" s="156" t="str">
        <f>VLOOKUP(C28,'Trips&amp;Operators'!$C$1:$G$99999,5,FALSE)</f>
        <v>SMITH MICHAEL</v>
      </c>
      <c r="O28" s="186" t="s">
        <v>195</v>
      </c>
      <c r="P28" s="157"/>
      <c r="Q28" s="31"/>
      <c r="R28" s="100" t="str">
        <f>VLOOKUP(C28,'Train Runs'!$A$13:$AE$9971,31,0)</f>
        <v>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 &amp; 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</v>
      </c>
      <c r="S28" s="103" t="str">
        <f>VLOOKUP(C28,'Train Runs'!$A$13:$AE$9971,22,0)</f>
        <v>https://search-rtdc-monitor-bjffxe2xuh6vdkpspy63sjmuny.us-east-1.es.amazonaws.com/_plugin/kibana/#/discover/Steve-Slow-Train-Analysis-(2080s-and-2083s)?_g=(refreshInterval:(display:Off,section:0,value:0),time:(from:'2016-12-19 17:27:26-700',mode:absolute,to:'2016-12-19 20:24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8" s="105" t="str">
        <f t="shared" si="1"/>
        <v>"C:\Program Files (x86)\AstroGrep\AstroGrep.exe" /spath="%USERPROFILE%\AppData\Local\Temp\OnboardLogs" /stypes="*4010*201612200*" /stext=" 02:.+((SYSTEM_STATE.+slice.+state.+changed )|(ment ac)|(multiple cpu faults)|(system.+state.+changed )|(\[timeout)|(PRM\|1\|D)|(kpr)|(kdp)|(\|lc)|(penalty))" /e /r /s</v>
      </c>
      <c r="U28" s="9" t="str">
        <f t="shared" si="2"/>
        <v>4010</v>
      </c>
      <c r="V28" s="36">
        <f t="shared" si="3"/>
        <v>42724.100266203699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{"issue":{"subject":"","project_id":79,"tracker_id":40,"status_id":1,"priority_id":2,"assigned_to_id":23,"start_date":"2016-12-19","description":"","custom_fields":[{"id":1,"name":"Subdivision","value":"EC"},{"id":4,"name":"Milepost","value":"0.0001"},{"id":17,"name":"Train ID","value":"214-19"},{"id":16,"name":"Locomotive ID","value":"4010"},{"id":130,"name":"Impact","value":""},{"id":150,"name":"Time of Event (Mountain Time)","value":"19:24:23"},{"id":151,"name":"Denver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"%USERPROFILE%\AppData\Local\Temp\OnboardLogs"\RTDC4010\*4010*201612200*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"%USERPROFILE%\AppData\Local\Temp\OnboardLogs"\RTDC4010\*4010*201612200* &gt;&gt; 42723-slicedisagreementcheck.txt</v>
      </c>
    </row>
    <row r="29" spans="1:30" ht="15" customHeight="1" x14ac:dyDescent="0.25">
      <c r="A29" s="36">
        <v>42723.985717592594</v>
      </c>
      <c r="B29" s="31" t="s">
        <v>274</v>
      </c>
      <c r="C29" s="31" t="s">
        <v>565</v>
      </c>
      <c r="D29" s="31" t="s">
        <v>49</v>
      </c>
      <c r="E29" s="31" t="s">
        <v>200</v>
      </c>
      <c r="F29" s="47">
        <v>0</v>
      </c>
      <c r="G29" s="47">
        <v>27</v>
      </c>
      <c r="H29" s="47">
        <v>913</v>
      </c>
      <c r="I29" s="47">
        <v>892</v>
      </c>
      <c r="J29" s="31" t="s">
        <v>201</v>
      </c>
      <c r="K29" s="47">
        <v>839</v>
      </c>
      <c r="L29" s="154" t="s">
        <v>51</v>
      </c>
      <c r="M29" s="155">
        <f t="shared" si="0"/>
        <v>27.984000000000002</v>
      </c>
      <c r="N29" s="156" t="str">
        <f>VLOOKUP(C29,'Trips&amp;Operators'!$C$1:$G$99999,5,FALSE)</f>
        <v>SAFIEF AEIMEN</v>
      </c>
      <c r="O29" s="186" t="s">
        <v>195</v>
      </c>
      <c r="P29" s="157"/>
      <c r="Q29" s="31"/>
      <c r="R29" s="100" t="str">
        <f>VLOOKUP(C29,'Train Runs'!$A$13:$AE$9971,31,0)</f>
        <v>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 &amp; aws s3 cp s3://rtdc.mdm.uploadarchive.raw/RTDC4013/ "%USERPROFILE%\AppData\Local\Temp\OnboardLogs"\RTDC4013\2016-12-20 --exclude "*" --recursive --include "*20161220*" &amp; "%USERPROFILE%\Documents\GitHub\mrs-test-scripts\Headless Mode &amp; Sideloading\WalkAndUnGZ.bat" "%USERPROFILE%\AppData\Local\Temp\OnboardLogs"\RTDC4013\2016-12-20</v>
      </c>
      <c r="S29" s="103" t="str">
        <f>VLOOKUP(C29,'Train Runs'!$A$13:$AE$9971,22,0)</f>
        <v>https://search-rtdc-monitor-bjffxe2xuh6vdkpspy63sjmuny.us-east-1.es.amazonaws.com/_plugin/kibana/#/discover/Steve-Slow-Train-Analysis-(2080s-and-2083s)?_g=(refreshInterval:(display:Off,section:0,value:0),time:(from:'2016-12-19 21:54:08-700',mode:absolute,to:'2016-12-20 00:39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5" t="str">
        <f t="shared" si="1"/>
        <v>"C:\Program Files (x86)\AstroGrep\AstroGrep.exe" /spath="%USERPROFILE%\AppData\Local\Temp\OnboardLogs" /stypes="*4013*201612200*" /stext=" 06:.+((SYSTEM_STATE.+slice.+state.+changed )|(ment ac)|(multiple cpu faults)|(system.+state.+changed )|(\[timeout)|(PRM\|1\|D)|(kpr)|(kdp)|(\|lc)|(penalty))" /e /r /s</v>
      </c>
      <c r="U29" s="9" t="str">
        <f t="shared" si="2"/>
        <v>4013</v>
      </c>
      <c r="V29" s="36">
        <f t="shared" si="3"/>
        <v>42724.277384259258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{"issue":{"subject":"","project_id":79,"tracker_id":40,"status_id":1,"priority_id":2,"assigned_to_id":23,"start_date":"2016-12-19","description":"","custom_fields":[{"id":1,"name":"Subdivision","value":"EC"},{"id":4,"name":"Milepost","value":"0.0839"},{"id":17,"name":"Train ID","value":"234-19"},{"id":16,"name":"Locomotive ID","value":"4013"},{"id":130,"name":"Impact","value":""},{"id":150,"name":"Time of Event (Mountain Time)","value":"23:39:26"},{"id":151,"name":"Denver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"%USERPROFILE%\AppData\Local\Temp\OnboardLogs"\RTDC4013\*4013*201612200*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"%USERPROFILE%\AppData\Local\Temp\OnboardLogs"\RTDC4013\*4013*201612200* &gt;&gt; 42723-slicedisagreementcheck.txt</v>
      </c>
    </row>
    <row r="30" spans="1:30" x14ac:dyDescent="0.25">
      <c r="A30" s="36">
        <v>42723.432280092595</v>
      </c>
      <c r="B30" s="31" t="s">
        <v>214</v>
      </c>
      <c r="C30" s="31" t="s">
        <v>545</v>
      </c>
      <c r="D30" s="31" t="s">
        <v>49</v>
      </c>
      <c r="E30" s="31" t="s">
        <v>200</v>
      </c>
      <c r="F30" s="47">
        <v>0</v>
      </c>
      <c r="G30" s="47">
        <v>160</v>
      </c>
      <c r="H30" s="47">
        <v>232500</v>
      </c>
      <c r="I30" s="47">
        <v>232777</v>
      </c>
      <c r="J30" s="31" t="s">
        <v>201</v>
      </c>
      <c r="K30" s="47">
        <v>233491</v>
      </c>
      <c r="L30" s="154" t="s">
        <v>50</v>
      </c>
      <c r="M30" s="155">
        <f t="shared" si="0"/>
        <v>376.99200000000002</v>
      </c>
      <c r="N30" s="156" t="str">
        <f>VLOOKUP(C30,'Trips&amp;Operators'!$C$1:$G$99999,5,FALSE)</f>
        <v>DAVIDSON DAVID</v>
      </c>
      <c r="O30" s="186" t="s">
        <v>195</v>
      </c>
      <c r="P30" s="157"/>
      <c r="Q30" s="31"/>
      <c r="R30" s="100" t="str">
        <f>VLOOKUP(C30,'Train Runs'!$A$13:$AE$9971,31,0)</f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S30" s="103" t="str">
        <f>VLOOKUP(C30,'Train Runs'!$A$13:$AE$9971,22,0)</f>
        <v>https://search-rtdc-monitor-bjffxe2xuh6vdkpspy63sjmuny.us-east-1.es.amazonaws.com/_plugin/kibana/#/discover/Steve-Slow-Train-Analysis-(2080s-and-2083s)?_g=(refreshInterval:(display:Off,section:0,value:0),time:(from:'2016-12-19 08:40:42-700',mode:absolute,to:'2016-12-19 11:23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0" s="105" t="str">
        <f t="shared" si="1"/>
        <v>"C:\Program Files (x86)\AstroGrep\AstroGrep.exe" /spath="%USERPROFILE%\AppData\Local\Temp\OnboardLogs" /stypes="*4022*201612191*" /stext=" 17:.+((SYSTEM_STATE.+slice.+state.+changed )|(ment ac)|(multiple cpu faults)|(system.+state.+changed )|(\[timeout)|(PRM\|1\|D)|(kpr)|(kdp)|(\|lc)|(penalty))" /e /r /s</v>
      </c>
      <c r="U30" s="9" t="str">
        <f t="shared" si="2"/>
        <v>4022</v>
      </c>
      <c r="V30" s="36">
        <f t="shared" si="3"/>
        <v>42723.723946759259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{"issue":{"subject":"","project_id":79,"tracker_id":40,"status_id":1,"priority_id":2,"assigned_to_id":23,"start_date":"2016-12-19","description":"","custom_fields":[{"id":1,"name":"Subdivision","value":"EC"},{"id":4,"name":"Milepost","value":"23.3491"},{"id":17,"name":"Train ID","value":"149-19"},{"id":16,"name":"Locomotive ID","value":"4022"},{"id":130,"name":"Impact","value":""},{"id":150,"name":"Time of Event (Mountain Time)","value":"10:22:29"},{"id":151,"name":"Denver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"%USERPROFILE%\AppData\Local\Temp\OnboardLogs"\RTDC4022\*4022*201612191*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"%USERPROFILE%\AppData\Local\Temp\OnboardLogs"\RTDC4022\*4022*201612191* &gt;&gt; 42723-slicedisagreementcheck.txt</v>
      </c>
    </row>
    <row r="31" spans="1:30" x14ac:dyDescent="0.25">
      <c r="A31" s="36">
        <v>42723.432719907411</v>
      </c>
      <c r="B31" s="31" t="s">
        <v>214</v>
      </c>
      <c r="C31" s="31" t="s">
        <v>545</v>
      </c>
      <c r="D31" s="31" t="s">
        <v>49</v>
      </c>
      <c r="E31" s="31" t="s">
        <v>200</v>
      </c>
      <c r="F31" s="47">
        <v>0</v>
      </c>
      <c r="G31" s="47">
        <v>89</v>
      </c>
      <c r="H31" s="47">
        <v>232936</v>
      </c>
      <c r="I31" s="47">
        <v>233025</v>
      </c>
      <c r="J31" s="31" t="s">
        <v>201</v>
      </c>
      <c r="K31" s="47">
        <v>233491</v>
      </c>
      <c r="L31" s="154" t="s">
        <v>50</v>
      </c>
      <c r="M31" s="155">
        <f t="shared" si="0"/>
        <v>246.048</v>
      </c>
      <c r="N31" s="156" t="str">
        <f>VLOOKUP(C31,'Trips&amp;Operators'!$C$1:$G$99999,5,FALSE)</f>
        <v>DAVIDSON DAVID</v>
      </c>
      <c r="O31" s="186" t="s">
        <v>195</v>
      </c>
      <c r="P31" s="157"/>
      <c r="Q31" s="31"/>
      <c r="R31" s="100" t="str">
        <f>VLOOKUP(C31,'Train Runs'!$A$13:$AE$9971,31,0)</f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S31" s="103" t="str">
        <f>VLOOKUP(C31,'Train Runs'!$A$13:$AE$9971,22,0)</f>
        <v>https://search-rtdc-monitor-bjffxe2xuh6vdkpspy63sjmuny.us-east-1.es.amazonaws.com/_plugin/kibana/#/discover/Steve-Slow-Train-Analysis-(2080s-and-2083s)?_g=(refreshInterval:(display:Off,section:0,value:0),time:(from:'2016-12-19 08:40:42-700',mode:absolute,to:'2016-12-19 11:23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1" s="105" t="str">
        <f t="shared" si="1"/>
        <v>"C:\Program Files (x86)\AstroGrep\AstroGrep.exe" /spath="%USERPROFILE%\AppData\Local\Temp\OnboardLogs" /stypes="*4022*201612191*" /stext=" 17:.+((SYSTEM_STATE.+slice.+state.+changed )|(ment ac)|(multiple cpu faults)|(system.+state.+changed )|(\[timeout)|(PRM\|1\|D)|(kpr)|(kdp)|(\|lc)|(penalty))" /e /r /s</v>
      </c>
      <c r="U31" s="9" t="str">
        <f t="shared" si="2"/>
        <v>4022</v>
      </c>
      <c r="V31" s="36">
        <f t="shared" si="3"/>
        <v>42723.724386574075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{"issue":{"subject":"","project_id":79,"tracker_id":40,"status_id":1,"priority_id":2,"assigned_to_id":23,"start_date":"2016-12-19","description":"","custom_fields":[{"id":1,"name":"Subdivision","value":"EC"},{"id":4,"name":"Milepost","value":"23.3491"},{"id":17,"name":"Train ID","value":"149-19"},{"id":16,"name":"Locomotive ID","value":"4022"},{"id":130,"name":"Impact","value":""},{"id":150,"name":"Time of Event (Mountain Time)","value":"10:23:07"},{"id":151,"name":"Denver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"%USERPROFILE%\AppData\Local\Temp\OnboardLogs"\RTDC4022\*4022*201612191*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"%USERPROFILE%\AppData\Local\Temp\OnboardLogs"\RTDC4022\*4022*201612191* &gt;&gt; 42723-slicedisagreementcheck.txt</v>
      </c>
    </row>
    <row r="32" spans="1:30" x14ac:dyDescent="0.25">
      <c r="A32" s="36">
        <v>42723.433125000003</v>
      </c>
      <c r="B32" s="31" t="s">
        <v>214</v>
      </c>
      <c r="C32" s="31" t="s">
        <v>545</v>
      </c>
      <c r="D32" s="31" t="s">
        <v>49</v>
      </c>
      <c r="E32" s="31" t="s">
        <v>200</v>
      </c>
      <c r="F32" s="47">
        <v>0</v>
      </c>
      <c r="G32" s="47">
        <v>55</v>
      </c>
      <c r="H32" s="47">
        <v>233064</v>
      </c>
      <c r="I32" s="47">
        <v>233145</v>
      </c>
      <c r="J32" s="31" t="s">
        <v>201</v>
      </c>
      <c r="K32" s="47">
        <v>233491</v>
      </c>
      <c r="L32" s="154" t="s">
        <v>50</v>
      </c>
      <c r="M32" s="155">
        <f t="shared" si="0"/>
        <v>182.68799999999999</v>
      </c>
      <c r="N32" s="156" t="str">
        <f>VLOOKUP(C32,'Trips&amp;Operators'!$C$1:$G$99999,5,FALSE)</f>
        <v>DAVIDSON DAVID</v>
      </c>
      <c r="O32" s="186" t="s">
        <v>195</v>
      </c>
      <c r="P32" s="157"/>
      <c r="Q32" s="31"/>
      <c r="R32" s="100" t="str">
        <f>VLOOKUP(C32,'Train Runs'!$A$13:$AE$9971,31,0)</f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S32" s="103" t="str">
        <f>VLOOKUP(C32,'Train Runs'!$A$13:$AE$9971,22,0)</f>
        <v>https://search-rtdc-monitor-bjffxe2xuh6vdkpspy63sjmuny.us-east-1.es.amazonaws.com/_plugin/kibana/#/discover/Steve-Slow-Train-Analysis-(2080s-and-2083s)?_g=(refreshInterval:(display:Off,section:0,value:0),time:(from:'2016-12-19 08:40:42-700',mode:absolute,to:'2016-12-19 11:23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2" s="105" t="str">
        <f t="shared" si="1"/>
        <v>"C:\Program Files (x86)\AstroGrep\AstroGrep.exe" /spath="%USERPROFILE%\AppData\Local\Temp\OnboardLogs" /stypes="*4022*201612191*" /stext=" 17:.+((SYSTEM_STATE.+slice.+state.+changed )|(ment ac)|(multiple cpu faults)|(system.+state.+changed )|(\[timeout)|(PRM\|1\|D)|(kpr)|(kdp)|(\|lc)|(penalty))" /e /r /s</v>
      </c>
      <c r="U32" s="9" t="str">
        <f t="shared" si="2"/>
        <v>4022</v>
      </c>
      <c r="V32" s="36">
        <f t="shared" si="3"/>
        <v>42723.724791666667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{"issue":{"subject":"","project_id":79,"tracker_id":40,"status_id":1,"priority_id":2,"assigned_to_id":23,"start_date":"2016-12-19","description":"","custom_fields":[{"id":1,"name":"Subdivision","value":"EC"},{"id":4,"name":"Milepost","value":"23.3491"},{"id":17,"name":"Train ID","value":"149-19"},{"id":16,"name":"Locomotive ID","value":"4022"},{"id":130,"name":"Impact","value":""},{"id":150,"name":"Time of Event (Mountain Time)","value":"10:23:42"},{"id":151,"name":"Denver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"%USERPROFILE%\AppData\Local\Temp\OnboardLogs"\RTDC4022\*4022*201612191*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"%USERPROFILE%\AppData\Local\Temp\OnboardLogs"\RTDC4022\*4022*201612191* &gt;&gt; 42723-slicedisagreementcheck.txt</v>
      </c>
    </row>
    <row r="33" spans="1:30" x14ac:dyDescent="0.25">
      <c r="A33" s="36">
        <v>42723.433495370373</v>
      </c>
      <c r="B33" s="31" t="s">
        <v>214</v>
      </c>
      <c r="C33" s="31" t="s">
        <v>545</v>
      </c>
      <c r="D33" s="31" t="s">
        <v>49</v>
      </c>
      <c r="E33" s="31" t="s">
        <v>200</v>
      </c>
      <c r="F33" s="47">
        <v>0</v>
      </c>
      <c r="G33" s="47">
        <v>43</v>
      </c>
      <c r="H33" s="47">
        <v>233168</v>
      </c>
      <c r="I33" s="47">
        <v>233242</v>
      </c>
      <c r="J33" s="31" t="s">
        <v>201</v>
      </c>
      <c r="K33" s="47">
        <v>233491</v>
      </c>
      <c r="L33" s="154" t="s">
        <v>50</v>
      </c>
      <c r="M33" s="155">
        <f t="shared" si="0"/>
        <v>131.47200000000001</v>
      </c>
      <c r="N33" s="156" t="str">
        <f>VLOOKUP(C33,'Trips&amp;Operators'!$C$1:$G$99999,5,FALSE)</f>
        <v>DAVIDSON DAVID</v>
      </c>
      <c r="O33" s="186" t="s">
        <v>195</v>
      </c>
      <c r="P33" s="157"/>
      <c r="Q33" s="31"/>
      <c r="R33" s="100" t="str">
        <f>VLOOKUP(C33,'Train Runs'!$A$13:$AE$9971,31,0)</f>
        <v>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 &amp; aws s3 cp s3://rtdc.mdm.uploadarchive.raw/RTDC4022/ "%USERPROFILE%\AppData\Local\Temp\OnboardLogs"\RTDC4022\2016-12-20 --exclude "*" --recursive --include "*20161220*" &amp; "%USERPROFILE%\Documents\GitHub\mrs-test-scripts\Headless Mode &amp; Sideloading\WalkAndUnGZ.bat" "%USERPROFILE%\AppData\Local\Temp\OnboardLogs"\RTDC4022\2016-12-20</v>
      </c>
      <c r="S33" s="103" t="str">
        <f>VLOOKUP(C33,'Train Runs'!$A$13:$AE$9971,22,0)</f>
        <v>https://search-rtdc-monitor-bjffxe2xuh6vdkpspy63sjmuny.us-east-1.es.amazonaws.com/_plugin/kibana/#/discover/Steve-Slow-Train-Analysis-(2080s-and-2083s)?_g=(refreshInterval:(display:Off,section:0,value:0),time:(from:'2016-12-19 08:40:42-700',mode:absolute,to:'2016-12-19 11:23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3" s="105" t="str">
        <f t="shared" si="1"/>
        <v>"C:\Program Files (x86)\AstroGrep\AstroGrep.exe" /spath="%USERPROFILE%\AppData\Local\Temp\OnboardLogs" /stypes="*4022*201612191*" /stext=" 17:.+((SYSTEM_STATE.+slice.+state.+changed )|(ment ac)|(multiple cpu faults)|(system.+state.+changed )|(\[timeout)|(PRM\|1\|D)|(kpr)|(kdp)|(\|lc)|(penalty))" /e /r /s</v>
      </c>
      <c r="U33" s="9" t="str">
        <f t="shared" si="2"/>
        <v>4022</v>
      </c>
      <c r="V33" s="36">
        <f t="shared" si="3"/>
        <v>42723.725162037037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{"issue":{"subject":"","project_id":79,"tracker_id":40,"status_id":1,"priority_id":2,"assigned_to_id":23,"start_date":"2016-12-19","description":"","custom_fields":[{"id":1,"name":"Subdivision","value":"EC"},{"id":4,"name":"Milepost","value":"23.3491"},{"id":17,"name":"Train ID","value":"149-19"},{"id":16,"name":"Locomotive ID","value":"4022"},{"id":130,"name":"Impact","value":""},{"id":150,"name":"Time of Event (Mountain Time)","value":"10:24:14"},{"id":151,"name":"Denver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"%USERPROFILE%\AppData\Local\Temp\OnboardLogs"\RTDC4022\*4022*201612191*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"%USERPROFILE%\AppData\Local\Temp\OnboardLogs"\RTDC4022\*4022*201612191* &gt;&gt; 42723-slicedisagreementcheck.txt</v>
      </c>
    </row>
    <row r="34" spans="1:30" x14ac:dyDescent="0.25">
      <c r="A34" s="36">
        <v>42723.660937499997</v>
      </c>
      <c r="B34" s="31" t="s">
        <v>233</v>
      </c>
      <c r="C34" s="31" t="s">
        <v>556</v>
      </c>
      <c r="D34" s="31" t="s">
        <v>49</v>
      </c>
      <c r="E34" s="31" t="s">
        <v>248</v>
      </c>
      <c r="F34" s="47">
        <v>340</v>
      </c>
      <c r="G34" s="47">
        <v>458</v>
      </c>
      <c r="H34" s="47">
        <v>17719</v>
      </c>
      <c r="I34" s="47">
        <v>16069</v>
      </c>
      <c r="J34" s="31" t="s">
        <v>249</v>
      </c>
      <c r="K34" s="47">
        <v>15777</v>
      </c>
      <c r="L34" s="154" t="s">
        <v>51</v>
      </c>
      <c r="M34" s="155">
        <f t="shared" si="0"/>
        <v>154.17599999999999</v>
      </c>
      <c r="N34" s="156" t="str">
        <f>VLOOKUP(C34,'Trips&amp;Operators'!$C$1:$G$99999,5,FALSE)</f>
        <v>LEVIN SCOTT</v>
      </c>
      <c r="O34" s="186" t="s">
        <v>227</v>
      </c>
      <c r="P34" s="157" t="s">
        <v>977</v>
      </c>
      <c r="Q34" s="31"/>
      <c r="R34" s="100" t="str">
        <f>VLOOKUP(C34,'Train Runs'!$A$13:$AE$9971,31,0)</f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S34" s="103" t="str">
        <f>VLOOKUP(C34,'Train Runs'!$A$13:$AE$9971,22,0)</f>
        <v>https://search-rtdc-monitor-bjffxe2xuh6vdkpspy63sjmuny.us-east-1.es.amazonaws.com/_plugin/kibana/#/discover/Steve-Slow-Train-Analysis-(2080s-and-2083s)?_g=(refreshInterval:(display:Off,section:0,value:0),time:(from:'2016-12-19 14:36:23-700',mode:absolute,to:'2016-12-19 16:57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4" s="105" t="str">
        <f t="shared" si="1"/>
        <v>"C:\Program Files (x86)\AstroGrep\AstroGrep.exe" /spath="%USERPROFILE%\AppData\Local\Temp\OnboardLogs" /stypes="*4041*201612192*" /stext=" 22:.+((SYSTEM_STATE.+slice.+state.+changed )|(ment ac)|(multiple cpu faults)|(system.+state.+changed )|(\[timeout)|(PRM\|1\|D)|(kpr)|(kdp)|(\|lc)|(penalty))" /e /r /s</v>
      </c>
      <c r="U34" s="9" t="str">
        <f t="shared" si="2"/>
        <v>4041</v>
      </c>
      <c r="V34" s="36">
        <f t="shared" si="3"/>
        <v>42723.952604166661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{"issue":{"subject":"Early arrival (41st)","project_id":79,"tracker_id":40,"status_id":1,"priority_id":2,"assigned_to_id":23,"start_date":"2016-12-19","description":"","custom_fields":[{"id":1,"name":"Subdivision","value":"NW"},{"id":4,"name":"Milepost","value":"1.5777"},{"id":17,"name":"Train ID","value":"826-19"},{"id":16,"name":"Locomotive ID","value":"4041"},{"id":130,"name":"Impact","value":""},{"id":150,"name":"Time of Event (Mountain Time)","value":"15:51:45"},{"id":151,"name":"Denver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"%USERPROFILE%\AppData\Local\Temp\OnboardLogs"\RTDC4041\*4041*201612192*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"%USERPROFILE%\AppData\Local\Temp\OnboardLogs"\RTDC4041\*4041*201612192* &gt;&gt; 42723-slicedisagreementcheck.txt</v>
      </c>
    </row>
    <row r="35" spans="1:30" x14ac:dyDescent="0.25">
      <c r="A35" s="36">
        <v>42723.520949074074</v>
      </c>
      <c r="B35" s="31" t="s">
        <v>232</v>
      </c>
      <c r="C35" s="31" t="s">
        <v>553</v>
      </c>
      <c r="D35" s="31" t="s">
        <v>49</v>
      </c>
      <c r="E35" s="31" t="s">
        <v>196</v>
      </c>
      <c r="F35" s="47">
        <v>400</v>
      </c>
      <c r="G35" s="47">
        <v>450</v>
      </c>
      <c r="H35" s="47">
        <v>37562</v>
      </c>
      <c r="I35" s="47">
        <v>39080</v>
      </c>
      <c r="J35" s="31" t="s">
        <v>197</v>
      </c>
      <c r="K35" s="47">
        <v>38171</v>
      </c>
      <c r="L35" s="154" t="s">
        <v>50</v>
      </c>
      <c r="M35" s="155">
        <f t="shared" si="0"/>
        <v>-479.952</v>
      </c>
      <c r="N35" s="156" t="str">
        <f>VLOOKUP(C35,'Trips&amp;Operators'!$C$1:$G$99999,5,FALSE)</f>
        <v>SIMONEAUX TERA</v>
      </c>
      <c r="O35" s="186" t="s">
        <v>195</v>
      </c>
      <c r="P35" s="157"/>
      <c r="Q35" s="31"/>
      <c r="R35" s="100" t="str">
        <f>VLOOKUP(C35,'Train Runs'!$A$13:$AE$9971,31,0)</f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S35" s="103" t="str">
        <f>VLOOKUP(C35,'Train Runs'!$A$13:$AE$9971,22,0)</f>
        <v>https://search-rtdc-monitor-bjffxe2xuh6vdkpspy63sjmuny.us-east-1.es.amazonaws.com/_plugin/kibana/#/discover/Steve-Slow-Train-Analysis-(2080s-and-2083s)?_g=(refreshInterval:(display:Off,section:0,value:0),time:(from:'2016-12-19 11:04:08-700',mode:absolute,to:'2016-12-19 13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5" s="105" t="str">
        <f t="shared" si="1"/>
        <v>"C:\Program Files (x86)\AstroGrep\AstroGrep.exe" /spath="%USERPROFILE%\AppData\Local\Temp\OnboardLogs" /stypes="*4042*201612191*" /stext=" 19:.+((SYSTEM_STATE.+slice.+state.+changed )|(ment ac)|(multiple cpu faults)|(system.+state.+changed )|(\[timeout)|(PRM\|1\|D)|(kpr)|(kdp)|(\|lc)|(penalty))" /e /r /s</v>
      </c>
      <c r="U35" s="9" t="str">
        <f t="shared" si="2"/>
        <v>4042</v>
      </c>
      <c r="V35" s="36">
        <f t="shared" si="3"/>
        <v>42723.812615740739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{"issue":{"subject":"","project_id":79,"tracker_id":40,"status_id":1,"priority_id":2,"assigned_to_id":23,"start_date":"2016-12-19","description":"","custom_fields":[{"id":1,"name":"Subdivision","value":"NW"},{"id":4,"name":"Milepost","value":"3.8171"},{"id":17,"name":"Train ID","value":"819-19"},{"id":16,"name":"Locomotive ID","value":"4042"},{"id":130,"name":"Impact","value":""},{"id":150,"name":"Time of Event (Mountain Time)","value":"12:30:10"},{"id":151,"name":"Denver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"%USERPROFILE%\AppData\Local\Temp\OnboardLogs"\RTDC4042\*4042*201612191*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"%USERPROFILE%\AppData\Local\Temp\OnboardLogs"\RTDC4042\*4042*201612191* &gt;&gt; 42723-slicedisagreementcheck.txt</v>
      </c>
    </row>
    <row r="36" spans="1:30" x14ac:dyDescent="0.25">
      <c r="A36" s="36">
        <v>42723.303263888891</v>
      </c>
      <c r="B36" s="31" t="s">
        <v>259</v>
      </c>
      <c r="C36" s="31" t="s">
        <v>537</v>
      </c>
      <c r="D36" s="31" t="s">
        <v>98</v>
      </c>
      <c r="E36" s="31" t="s">
        <v>196</v>
      </c>
      <c r="F36" s="47">
        <v>400</v>
      </c>
      <c r="G36" s="47">
        <v>456</v>
      </c>
      <c r="H36" s="47">
        <v>38606</v>
      </c>
      <c r="I36" s="47">
        <v>37309</v>
      </c>
      <c r="J36" s="31" t="s">
        <v>197</v>
      </c>
      <c r="K36" s="47">
        <v>40977</v>
      </c>
      <c r="L36" s="154" t="s">
        <v>51</v>
      </c>
      <c r="M36" s="155">
        <f t="shared" si="0"/>
        <v>-1936.704</v>
      </c>
      <c r="N36" s="156" t="str">
        <f>VLOOKUP(C36,'Trips&amp;Operators'!$C$1:$G$99999,5,FALSE)</f>
        <v>DAVIS WENDY</v>
      </c>
      <c r="O36" s="186" t="s">
        <v>195</v>
      </c>
      <c r="P36" s="157"/>
      <c r="Q36" s="31"/>
      <c r="R36" s="100" t="str">
        <f>VLOOKUP(C36,'Train Runs'!$A$13:$AE$9971,31,0)</f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S36" s="103" t="str">
        <f>VLOOKUP(C36,'Train Runs'!$A$13:$AE$9971,22,0)</f>
        <v>https://search-rtdc-monitor-bjffxe2xuh6vdkpspy63sjmuny.us-east-1.es.amazonaws.com/_plugin/kibana/#/discover/Steve-Slow-Train-Analysis-(2080s-and-2083s)?_g=(refreshInterval:(display:Off,section:0,value:0),time:(from:'2016-12-19 06:07:26-700',mode:absolute,to:'2016-12-19 08:27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6" s="105" t="str">
        <f t="shared" si="1"/>
        <v>"C:\Program Files (x86)\AstroGrep\AstroGrep.exe" /spath="%USERPROFILE%\AppData\Local\Temp\OnboardLogs" /stypes="*4015*201612191*" /stext=" 14:.+((SYSTEM_STATE.+slice.+state.+changed )|(ment ac)|(multiple cpu faults)|(system.+state.+changed )|(\[timeout)|(PRM\|1\|D)|(kpr)|(kdp)|(\|lc)|(penalty))" /e /r /s</v>
      </c>
      <c r="U36" s="9" t="str">
        <f t="shared" si="2"/>
        <v>4015</v>
      </c>
      <c r="V36" s="36">
        <f t="shared" si="3"/>
        <v>42723.594930555555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{"issue":{"subject":"","project_id":79,"tracker_id":40,"status_id":1,"priority_id":2,"assigned_to_id":23,"start_date":"2016-12-19","description":"","custom_fields":[{"id":1,"name":"Subdivision","value":"NW"},{"id":4,"name":"Milepost","value":"4.0977"},{"id":17,"name":"Train ID","value":"806-19"},{"id":16,"name":"Locomotive ID","value":"4015"},{"id":130,"name":"Impact","value":""},{"id":150,"name":"Time of Event (Mountain Time)","value":"07:16:42"},{"id":151,"name":"Denver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"%USERPROFILE%\AppData\Local\Temp\OnboardLogs"\RTDC4015\*4015*201612191*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"%USERPROFILE%\AppData\Local\Temp\OnboardLogs"\RTDC4015\*4015*201612191* &gt;&gt; 42723-slicedisagreementcheck.txt</v>
      </c>
    </row>
    <row r="37" spans="1:30" x14ac:dyDescent="0.25">
      <c r="A37" s="36">
        <v>42723.761400462965</v>
      </c>
      <c r="B37" s="31" t="s">
        <v>259</v>
      </c>
      <c r="C37" s="31" t="s">
        <v>560</v>
      </c>
      <c r="D37" s="31" t="s">
        <v>98</v>
      </c>
      <c r="E37" s="31" t="s">
        <v>196</v>
      </c>
      <c r="F37" s="47">
        <v>400</v>
      </c>
      <c r="G37" s="47">
        <v>450</v>
      </c>
      <c r="H37" s="47">
        <v>39360</v>
      </c>
      <c r="I37" s="47">
        <v>37908</v>
      </c>
      <c r="J37" s="31" t="s">
        <v>197</v>
      </c>
      <c r="K37" s="47">
        <v>40977</v>
      </c>
      <c r="L37" s="154" t="s">
        <v>51</v>
      </c>
      <c r="M37" s="155">
        <f t="shared" si="0"/>
        <v>-1620.432</v>
      </c>
      <c r="N37" s="156" t="str">
        <f>VLOOKUP(C37,'Trips&amp;Operators'!$C$1:$G$99999,5,FALSE)</f>
        <v>NEWELL JAMES</v>
      </c>
      <c r="O37" s="186" t="s">
        <v>195</v>
      </c>
      <c r="P37" s="157"/>
      <c r="Q37" s="31"/>
      <c r="R37" s="100" t="str">
        <f>VLOOKUP(C37,'Train Runs'!$A$13:$AE$9971,31,0)</f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S37" s="103" t="str">
        <f>VLOOKUP(C37,'Train Runs'!$A$13:$AE$9971,22,0)</f>
        <v>https://search-rtdc-monitor-bjffxe2xuh6vdkpspy63sjmuny.us-east-1.es.amazonaws.com/_plugin/kibana/#/discover/Steve-Slow-Train-Analysis-(2080s-and-2083s)?_g=(refreshInterval:(display:Off,section:0,value:0),time:(from:'2016-12-19 17:05:23-700',mode:absolute,to:'2016-12-19 19:25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7" s="105" t="str">
        <f t="shared" si="1"/>
        <v>"C:\Program Files (x86)\AstroGrep\AstroGrep.exe" /spath="%USERPROFILE%\AppData\Local\Temp\OnboardLogs" /stypes="*4015*201612200*" /stext=" 01:.+((SYSTEM_STATE.+slice.+state.+changed )|(ment ac)|(multiple cpu faults)|(system.+state.+changed )|(\[timeout)|(PRM\|1\|D)|(kpr)|(kdp)|(\|lc)|(penalty))" /e /r /s</v>
      </c>
      <c r="U37" s="9" t="str">
        <f t="shared" si="2"/>
        <v>4015</v>
      </c>
      <c r="V37" s="36">
        <f t="shared" si="3"/>
        <v>42724.053067129629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{"issue":{"subject":"","project_id":79,"tracker_id":40,"status_id":1,"priority_id":2,"assigned_to_id":23,"start_date":"2016-12-19","description":"","custom_fields":[{"id":1,"name":"Subdivision","value":"NW"},{"id":4,"name":"Milepost","value":"4.0977"},{"id":17,"name":"Train ID","value":"836-19"},{"id":16,"name":"Locomotive ID","value":"4015"},{"id":130,"name":"Impact","value":""},{"id":150,"name":"Time of Event (Mountain Time)","value":"18:16:25"},{"id":151,"name":"Denver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"%USERPROFILE%\AppData\Local\Temp\OnboardLogs"\RTDC4015\*4015*201612200*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"%USERPROFILE%\AppData\Local\Temp\OnboardLogs"\RTDC4015\*4015*201612200* &gt;&gt; 42723-slicedisagreementcheck.txt</v>
      </c>
    </row>
    <row r="38" spans="1:30" x14ac:dyDescent="0.25">
      <c r="A38" s="36">
        <v>42723.336076388892</v>
      </c>
      <c r="B38" s="31" t="s">
        <v>244</v>
      </c>
      <c r="C38" s="31" t="s">
        <v>539</v>
      </c>
      <c r="D38" s="31" t="s">
        <v>49</v>
      </c>
      <c r="E38" s="31" t="s">
        <v>196</v>
      </c>
      <c r="F38" s="47">
        <v>150</v>
      </c>
      <c r="G38" s="47">
        <v>309</v>
      </c>
      <c r="H38" s="47">
        <v>55862</v>
      </c>
      <c r="I38" s="47">
        <v>56481</v>
      </c>
      <c r="J38" s="31" t="s">
        <v>197</v>
      </c>
      <c r="K38" s="47">
        <v>57008</v>
      </c>
      <c r="L38" s="154" t="s">
        <v>50</v>
      </c>
      <c r="M38" s="155">
        <f t="shared" si="0"/>
        <v>278.25599999999997</v>
      </c>
      <c r="N38" s="156" t="str">
        <f>VLOOKUP(C38,'Trips&amp;Operators'!$C$1:$G$99999,5,FALSE)</f>
        <v>DAVIS WENDY</v>
      </c>
      <c r="O38" s="186" t="s">
        <v>195</v>
      </c>
      <c r="P38" s="157"/>
      <c r="Q38" s="31"/>
      <c r="R38" s="100" t="str">
        <f>VLOOKUP(C38,'Train Runs'!$A$13:$AE$9971,31,0)</f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S38" s="103" t="str">
        <f>VLOOKUP(C38,'Train Runs'!$A$13:$AE$9971,22,0)</f>
        <v>https://search-rtdc-monitor-bjffxe2xuh6vdkpspy63sjmuny.us-east-1.es.amazonaws.com/_plugin/kibana/#/discover/Steve-Slow-Train-Analysis-(2080s-and-2083s)?_g=(refreshInterval:(display:Off,section:0,value:0),time:(from:'2016-12-19 06:41:30-700',mode:absolute,to:'2016-12-19 09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 t="shared" si="1"/>
        <v>"C:\Program Files (x86)\AstroGrep\AstroGrep.exe" /spath="%USERPROFILE%\AppData\Local\Temp\OnboardLogs" /stypes="*4016*201612191*" /stext=" 15:.+((SYSTEM_STATE.+slice.+state.+changed )|(ment ac)|(multiple cpu faults)|(system.+state.+changed )|(\[timeout)|(PRM\|1\|D)|(kpr)|(kdp)|(\|lc)|(penalty))" /e /r /s</v>
      </c>
      <c r="U38" s="9" t="str">
        <f t="shared" si="2"/>
        <v>4016</v>
      </c>
      <c r="V38" s="36">
        <f t="shared" si="3"/>
        <v>42723.627743055556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{"issue":{"subject":"","project_id":79,"tracker_id":40,"status_id":1,"priority_id":2,"assigned_to_id":23,"start_date":"2016-12-19","description":"","custom_fields":[{"id":1,"name":"Subdivision","value":"NW"},{"id":4,"name":"Milepost","value":"5.7008"},{"id":17,"name":"Train ID","value":"809-19"},{"id":16,"name":"Locomotive ID","value":"4016"},{"id":130,"name":"Impact","value":""},{"id":150,"name":"Time of Event (Mountain Time)","value":"08:03:57"},{"id":151,"name":"Denver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"%USERPROFILE%\AppData\Local\Temp\OnboardLogs"\RTDC4016\*4016*201612191*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"%USERPROFILE%\AppData\Local\Temp\OnboardLogs"\RTDC4016\*4016*201612191* &gt;&gt; 42723-slicedisagreementcheck.txt</v>
      </c>
    </row>
    <row r="39" spans="1:30" x14ac:dyDescent="0.25">
      <c r="A39" s="36">
        <v>42723.908402777779</v>
      </c>
      <c r="B39" s="31" t="s">
        <v>233</v>
      </c>
      <c r="C39" s="31" t="s">
        <v>564</v>
      </c>
      <c r="D39" s="31" t="s">
        <v>49</v>
      </c>
      <c r="E39" s="31" t="s">
        <v>531</v>
      </c>
      <c r="F39" s="47">
        <v>0</v>
      </c>
      <c r="G39" s="47">
        <v>336</v>
      </c>
      <c r="H39" s="47">
        <v>24550</v>
      </c>
      <c r="I39" s="47">
        <v>23766</v>
      </c>
      <c r="J39" s="31" t="s">
        <v>532</v>
      </c>
      <c r="K39" s="47">
        <v>24235</v>
      </c>
      <c r="L39" s="154" t="s">
        <v>51</v>
      </c>
      <c r="M39" s="155">
        <f t="shared" ref="M39:M56" si="8">CONVERT((I39-K39)/10000,"mi","ft")*IF(L39="Increasing Mileposts (1)",-1,1)</f>
        <v>-247.63200000000001</v>
      </c>
      <c r="N39" s="156" t="str">
        <f>VLOOKUP(C39,'Trips&amp;Operators'!$C$1:$G$99999,5,FALSE)</f>
        <v>NEWELL JAMES</v>
      </c>
      <c r="O39" s="186" t="s">
        <v>227</v>
      </c>
      <c r="P39" s="157" t="s">
        <v>976</v>
      </c>
      <c r="Q39" s="31"/>
      <c r="R39" s="100" t="str">
        <f>VLOOKUP(C39,'Train Runs'!$A$13:$AE$9971,31,0)</f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S39" s="103" t="str">
        <f>VLOOKUP(C39,'Train Runs'!$A$13:$AE$9971,22,0)</f>
        <v>https://search-rtdc-monitor-bjffxe2xuh6vdkpspy63sjmuny.us-east-1.es.amazonaws.com/_plugin/kibana/#/discover/Steve-Slow-Train-Analysis-(2080s-and-2083s)?_g=(refreshInterval:(display:Off,section:0,value:0),time:(from:'2016-12-19 20:35:48-700',mode:absolute,to:'2016-12-19 22:48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9" s="105" t="str">
        <f t="shared" ref="T39:T56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/stypes="*4041*201612200*" /stext=" 04:.+((SYSTEM_STATE.+slice.+state.+changed )|(ment ac)|(multiple cpu faults)|(system.+state.+changed )|(\[timeout)|(PRM\|1\|D)|(kpr)|(kdp)|(\|lc)|(penalty))" /e /r /s</v>
      </c>
      <c r="U39" s="9" t="str">
        <f t="shared" ref="U39:U56" si="10">MID(B39,13,4)</f>
        <v>4041</v>
      </c>
      <c r="V39" s="36">
        <f t="shared" ref="V39:V56" si="11">A39-utc_offset/24</f>
        <v>42724.200069444443</v>
      </c>
      <c r="W39" s="50" t="str">
        <f t="shared" ref="W39:W56" si="12">IF(VALUE(LEFT(IF(LEN(C39)=6,"0"&amp;C39,C39),2))&lt;=2,"EC",IF(OR(VALUE(LEFT(IF(LEN(C39)=6,"0"&amp;C39,C39),2))=8,VALUE(LEFT(IF(LEN(C39)=6,"0"&amp;C39,C39),2))=18),"NW","Other"))</f>
        <v>NW</v>
      </c>
      <c r="X39" s="50" t="str">
        <f t="shared" ref="X39:X56" si="13">IF(AND(E39="TRACK WARRANT AUTHORITY",G39&lt;10),"OMIT","KEEP")</f>
        <v>KEEP</v>
      </c>
      <c r="Y39" s="119" t="str">
        <f t="shared" ref="Y39:Y56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drop","project_id":79,"tracker_id":40,"status_id":1,"priority_id":2,"assigned_to_id":23,"start_date":"2016-12-19","description":"","custom_fields":[{"id":1,"name":"Subdivision","value":"NW"},{"id":4,"name":"Milepost","value":"2.4235"},{"id":17,"name":"Train ID","value":"844-19"},{"id":16,"name":"Locomotive ID","value":"4041"},{"id":130,"name":"Impact","value":""},{"id":150,"name":"Time of Event (Mountain Time)","value":"21:48:06"},{"id":151,"name":"Denver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ref="AC39:AC56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"%USERPROFILE%\AppData\Local\Temp\OnboardLogs"\RTDC4041\*4041*201612200*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"%USERPROFILE%\AppData\Local\Temp\OnboardLogs"\RTDC4041\*4041*201612200* &gt;&gt; 42723-slicedisagreementcheck.txt</v>
      </c>
    </row>
    <row r="40" spans="1:30" x14ac:dyDescent="0.25">
      <c r="A40" s="36">
        <v>42723.269814814812</v>
      </c>
      <c r="B40" s="31" t="s">
        <v>259</v>
      </c>
      <c r="C40" s="31" t="s">
        <v>535</v>
      </c>
      <c r="D40" s="31" t="s">
        <v>49</v>
      </c>
      <c r="E40" s="31" t="s">
        <v>200</v>
      </c>
      <c r="F40" s="47">
        <v>0</v>
      </c>
      <c r="G40" s="47">
        <v>41</v>
      </c>
      <c r="H40" s="47">
        <v>670</v>
      </c>
      <c r="I40" s="47">
        <v>636</v>
      </c>
      <c r="J40" s="31" t="s">
        <v>201</v>
      </c>
      <c r="K40" s="47">
        <v>575</v>
      </c>
      <c r="L40" s="154" t="s">
        <v>51</v>
      </c>
      <c r="M40" s="155">
        <f t="shared" si="8"/>
        <v>32.207999999999998</v>
      </c>
      <c r="N40" s="156" t="str">
        <f>VLOOKUP(C40,'Trips&amp;Operators'!$C$1:$G$99999,5,FALSE)</f>
        <v>DAVIS WENDY</v>
      </c>
      <c r="O40" s="186" t="s">
        <v>195</v>
      </c>
      <c r="P40" s="157"/>
      <c r="Q40" s="31"/>
      <c r="R40" s="100" t="str">
        <f>VLOOKUP(C40,'Train Runs'!$A$13:$AE$9971,31,0)</f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S40" s="103" t="str">
        <f>VLOOKUP(C40,'Train Runs'!$A$13:$AE$9971,22,0)</f>
        <v>https://search-rtdc-monitor-bjffxe2xuh6vdkpspy63sjmuny.us-east-1.es.amazonaws.com/_plugin/kibana/#/discover/Steve-Slow-Train-Analysis-(2080s-and-2083s)?_g=(refreshInterval:(display:Off,section:0,value:0),time:(from:'2016-12-19 05:06:47-700',mode:absolute,to:'2016-12-19 07:28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0" s="105" t="str">
        <f t="shared" si="9"/>
        <v>"C:\Program Files (x86)\AstroGrep\AstroGrep.exe" /spath="%USERPROFILE%\AppData\Local\Temp\OnboardLogs" /stypes="*4015*201612191*" /stext=" 13:.+((SYSTEM_STATE.+slice.+state.+changed )|(ment ac)|(multiple cpu faults)|(system.+state.+changed )|(\[timeout)|(PRM\|1\|D)|(kpr)|(kdp)|(\|lc)|(penalty))" /e /r /s</v>
      </c>
      <c r="U40" s="9" t="str">
        <f t="shared" si="10"/>
        <v>4015</v>
      </c>
      <c r="V40" s="36">
        <f t="shared" si="11"/>
        <v>42723.561481481476</v>
      </c>
      <c r="W40" s="50" t="str">
        <f t="shared" si="12"/>
        <v>NW</v>
      </c>
      <c r="X40" s="50" t="str">
        <f t="shared" si="13"/>
        <v>KEEP</v>
      </c>
      <c r="Y40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{"issue":{"subject":"","project_id":79,"tracker_id":40,"status_id":1,"priority_id":2,"assigned_to_id":23,"start_date":"2016-12-19","description":"","custom_fields":[{"id":1,"name":"Subdivision","value":"NW"},{"id":4,"name":"Milepost","value":"0.0575"},{"id":17,"name":"Train ID","value":"802-19"},{"id":16,"name":"Locomotive ID","value":"4015"},{"id":130,"name":"Impact","value":""},{"id":150,"name":"Time of Event (Mountain Time)","value":"06:28:32"},{"id":151,"name":"Denver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15"/>
        <v>grep -hSE -A100 "Enforcement Action" "%USERPROFILE%\AppData\Local\Temp\OnboardLogs"\RTDC4015\*4015*201612191*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"%USERPROFILE%\AppData\Local\Temp\OnboardLogs"\RTDC4015\*4015*201612191* &gt;&gt; 42723-slicedisagreementcheck.txt</v>
      </c>
    </row>
    <row r="41" spans="1:30" x14ac:dyDescent="0.25">
      <c r="A41" s="36">
        <v>42723.3516087963</v>
      </c>
      <c r="B41" s="31" t="s">
        <v>259</v>
      </c>
      <c r="C41" s="31" t="s">
        <v>541</v>
      </c>
      <c r="D41" s="31" t="s">
        <v>49</v>
      </c>
      <c r="E41" s="31" t="s">
        <v>200</v>
      </c>
      <c r="F41" s="47">
        <v>0</v>
      </c>
      <c r="G41" s="47">
        <v>31</v>
      </c>
      <c r="H41" s="47">
        <v>645</v>
      </c>
      <c r="I41" s="47">
        <v>615</v>
      </c>
      <c r="J41" s="31" t="s">
        <v>201</v>
      </c>
      <c r="K41" s="47">
        <v>575</v>
      </c>
      <c r="L41" s="154" t="s">
        <v>51</v>
      </c>
      <c r="M41" s="155">
        <f t="shared" si="8"/>
        <v>21.12</v>
      </c>
      <c r="N41" s="156" t="str">
        <f>VLOOKUP(C41,'Trips&amp;Operators'!$C$1:$G$99999,5,FALSE)</f>
        <v>DAVIS WENDY</v>
      </c>
      <c r="O41" s="186" t="s">
        <v>195</v>
      </c>
      <c r="P41" s="157"/>
      <c r="Q41" s="31"/>
      <c r="R41" s="100" t="str">
        <f>VLOOKUP(C41,'Train Runs'!$A$13:$AE$9971,31,0)</f>
        <v>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 &amp; 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</v>
      </c>
      <c r="S41" s="103" t="str">
        <f>VLOOKUP(C41,'Train Runs'!$A$13:$AE$9971,22,0)</f>
        <v>https://search-rtdc-monitor-bjffxe2xuh6vdkpspy63sjmuny.us-east-1.es.amazonaws.com/_plugin/kibana/#/discover/Steve-Slow-Train-Analysis-(2080s-and-2083s)?_g=(refreshInterval:(display:Off,section:0,value:0),time:(from:'2016-12-19 07:08:52-700',mode:absolute,to:'2016-12-19 09:26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1" s="105" t="str">
        <f t="shared" si="9"/>
        <v>"C:\Program Files (x86)\AstroGrep\AstroGrep.exe" /spath="%USERPROFILE%\AppData\Local\Temp\OnboardLogs" /stypes="*4015*201612191*" /stext=" 15:.+((SYSTEM_STATE.+slice.+state.+changed )|(ment ac)|(multiple cpu faults)|(system.+state.+changed )|(\[timeout)|(PRM\|1\|D)|(kpr)|(kdp)|(\|lc)|(penalty))" /e /r /s</v>
      </c>
      <c r="U41" s="9" t="str">
        <f t="shared" si="10"/>
        <v>4015</v>
      </c>
      <c r="V41" s="36">
        <f t="shared" si="11"/>
        <v>42723.643275462964</v>
      </c>
      <c r="W41" s="50" t="str">
        <f t="shared" si="12"/>
        <v>NW</v>
      </c>
      <c r="X41" s="50" t="str">
        <f t="shared" si="13"/>
        <v>KEEP</v>
      </c>
      <c r="Y41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{"issue":{"subject":"","project_id":79,"tracker_id":40,"status_id":1,"priority_id":2,"assigned_to_id":23,"start_date":"2016-12-19","description":"","custom_fields":[{"id":1,"name":"Subdivision","value":"NW"},{"id":4,"name":"Milepost","value":"0.0575"},{"id":17,"name":"Train ID","value":"810-19"},{"id":16,"name":"Locomotive ID","value":"4015"},{"id":130,"name":"Impact","value":""},{"id":150,"name":"Time of Event (Mountain Time)","value":"08:26:19"},{"id":151,"name":"Denver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15"/>
        <v>grep -hSE -A100 "Enforcement Action" "%USERPROFILE%\AppData\Local\Temp\OnboardLogs"\RTDC4015\*4015*201612191*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"%USERPROFILE%\AppData\Local\Temp\OnboardLogs"\RTDC4015\*4015*201612191* &gt;&gt; 42723-slicedisagreementcheck.txt</v>
      </c>
    </row>
    <row r="42" spans="1:30" x14ac:dyDescent="0.25">
      <c r="A42" s="36">
        <v>42723.540046296293</v>
      </c>
      <c r="B42" s="31" t="s">
        <v>233</v>
      </c>
      <c r="C42" s="31" t="s">
        <v>554</v>
      </c>
      <c r="D42" s="31" t="s">
        <v>49</v>
      </c>
      <c r="E42" s="31" t="s">
        <v>200</v>
      </c>
      <c r="F42" s="47">
        <v>0</v>
      </c>
      <c r="G42" s="47">
        <v>74</v>
      </c>
      <c r="H42" s="47">
        <v>904</v>
      </c>
      <c r="I42" s="47">
        <v>834</v>
      </c>
      <c r="J42" s="31" t="s">
        <v>201</v>
      </c>
      <c r="K42" s="47">
        <v>575</v>
      </c>
      <c r="L42" s="154" t="s">
        <v>51</v>
      </c>
      <c r="M42" s="155">
        <f t="shared" si="8"/>
        <v>136.75200000000001</v>
      </c>
      <c r="N42" s="156" t="str">
        <f>VLOOKUP(C42,'Trips&amp;Operators'!$C$1:$G$99999,5,FALSE)</f>
        <v>SIMONEAUX TERA</v>
      </c>
      <c r="O42" s="186" t="s">
        <v>195</v>
      </c>
      <c r="P42" s="157"/>
      <c r="Q42" s="31"/>
      <c r="R42" s="100" t="str">
        <f>VLOOKUP(C42,'Train Runs'!$A$13:$AE$9971,31,0)</f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S42" s="103" t="str">
        <f>VLOOKUP(C42,'Train Runs'!$A$13:$AE$9971,22,0)</f>
        <v>https://search-rtdc-monitor-bjffxe2xuh6vdkpspy63sjmuny.us-east-1.es.amazonaws.com/_plugin/kibana/#/discover/Steve-Slow-Train-Analysis-(2080s-and-2083s)?_g=(refreshInterval:(display:Off,section:0,value:0),time:(from:'2016-12-19 11:39:33-700',mode:absolute,to:'2016-12-19 13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2" s="105" t="str">
        <f t="shared" si="9"/>
        <v>"C:\Program Files (x86)\AstroGrep\AstroGrep.exe" /spath="%USERPROFILE%\AppData\Local\Temp\OnboardLogs" /stypes="*4041*201612191*" /stext=" 19:.+((SYSTEM_STATE.+slice.+state.+changed )|(ment ac)|(multiple cpu faults)|(system.+state.+changed )|(\[timeout)|(PRM\|1\|D)|(kpr)|(kdp)|(\|lc)|(penalty))" /e /r /s</v>
      </c>
      <c r="U42" s="9" t="str">
        <f t="shared" si="10"/>
        <v>4041</v>
      </c>
      <c r="V42" s="36">
        <f t="shared" si="11"/>
        <v>42723.831712962958</v>
      </c>
      <c r="W42" s="50" t="str">
        <f t="shared" si="12"/>
        <v>NW</v>
      </c>
      <c r="X42" s="50" t="str">
        <f t="shared" si="13"/>
        <v>KEEP</v>
      </c>
      <c r="Y42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{"issue":{"subject":"","project_id":79,"tracker_id":40,"status_id":1,"priority_id":2,"assigned_to_id":23,"start_date":"2016-12-19","description":"","custom_fields":[{"id":1,"name":"Subdivision","value":"NW"},{"id":4,"name":"Milepost","value":"0.0575"},{"id":17,"name":"Train ID","value":"820-19"},{"id":16,"name":"Locomotive ID","value":"4041"},{"id":130,"name":"Impact","value":""},{"id":150,"name":"Time of Event (Mountain Time)","value":"12:57:40"},{"id":151,"name":"Denver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15"/>
        <v>grep -hSE -A100 "Enforcement Action" "%USERPROFILE%\AppData\Local\Temp\OnboardLogs"\RTDC4041\*4041*201612191*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"%USERPROFILE%\AppData\Local\Temp\OnboardLogs"\RTDC4041\*4041*201612191* &gt;&gt; 42723-slicedisagreementcheck.txt</v>
      </c>
    </row>
    <row r="43" spans="1:30" x14ac:dyDescent="0.25">
      <c r="A43" s="36">
        <v>42723.621053240742</v>
      </c>
      <c r="B43" s="31" t="s">
        <v>233</v>
      </c>
      <c r="C43" s="31" t="s">
        <v>555</v>
      </c>
      <c r="D43" s="31" t="s">
        <v>49</v>
      </c>
      <c r="E43" s="31" t="s">
        <v>200</v>
      </c>
      <c r="F43" s="47">
        <v>0</v>
      </c>
      <c r="G43" s="47">
        <v>71</v>
      </c>
      <c r="H43" s="47">
        <v>832</v>
      </c>
      <c r="I43" s="47">
        <v>771</v>
      </c>
      <c r="J43" s="31" t="s">
        <v>201</v>
      </c>
      <c r="K43" s="47">
        <v>575</v>
      </c>
      <c r="L43" s="154" t="s">
        <v>51</v>
      </c>
      <c r="M43" s="155">
        <f t="shared" si="8"/>
        <v>103.488</v>
      </c>
      <c r="N43" s="156" t="str">
        <f>VLOOKUP(C43,'Trips&amp;Operators'!$C$1:$G$99999,5,FALSE)</f>
        <v>LEVIN SCOTT</v>
      </c>
      <c r="O43" s="186" t="s">
        <v>195</v>
      </c>
      <c r="P43" s="157"/>
      <c r="Q43" s="31"/>
      <c r="R43" s="100" t="str">
        <f>VLOOKUP(C43,'Train Runs'!$A$13:$AE$9971,31,0)</f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S43" s="103" t="str">
        <f>VLOOKUP(C43,'Train Runs'!$A$13:$AE$9971,22,0)</f>
        <v>https://search-rtdc-monitor-bjffxe2xuh6vdkpspy63sjmuny.us-east-1.es.amazonaws.com/_plugin/kibana/#/discover/Steve-Slow-Train-Analysis-(2080s-and-2083s)?_g=(refreshInterval:(display:Off,section:0,value:0),time:(from:'2016-12-19 13:36:46-700',mode:absolute,to:'2016-12-19 15:54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3" s="105" t="str">
        <f t="shared" si="9"/>
        <v>"C:\Program Files (x86)\AstroGrep\AstroGrep.exe" /spath="%USERPROFILE%\AppData\Local\Temp\OnboardLogs" /stypes="*4041*201612192*" /stext=" 21:.+((SYSTEM_STATE.+slice.+state.+changed )|(ment ac)|(multiple cpu faults)|(system.+state.+changed )|(\[timeout)|(PRM\|1\|D)|(kpr)|(kdp)|(\|lc)|(penalty))" /e /r /s</v>
      </c>
      <c r="U43" s="9" t="str">
        <f t="shared" si="10"/>
        <v>4041</v>
      </c>
      <c r="V43" s="36">
        <f t="shared" si="11"/>
        <v>42723.912719907406</v>
      </c>
      <c r="W43" s="50" t="str">
        <f t="shared" si="12"/>
        <v>NW</v>
      </c>
      <c r="X43" s="50" t="str">
        <f t="shared" si="13"/>
        <v>KEEP</v>
      </c>
      <c r="Y43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{"issue":{"subject":"","project_id":79,"tracker_id":40,"status_id":1,"priority_id":2,"assigned_to_id":23,"start_date":"2016-12-19","description":"","custom_fields":[{"id":1,"name":"Subdivision","value":"NW"},{"id":4,"name":"Milepost","value":"0.0575"},{"id":17,"name":"Train ID","value":"824-19"},{"id":16,"name":"Locomotive ID","value":"4041"},{"id":130,"name":"Impact","value":""},{"id":150,"name":"Time of Event (Mountain Time)","value":"14:54:19"},{"id":151,"name":"Denver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15"/>
        <v>grep -hSE -A100 "Enforcement Action" "%USERPROFILE%\AppData\Local\Temp\OnboardLogs"\RTDC4041\*4041*201612192*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"%USERPROFILE%\AppData\Local\Temp\OnboardLogs"\RTDC4041\*4041*201612192* &gt;&gt; 42723-slicedisagreementcheck.txt</v>
      </c>
    </row>
    <row r="44" spans="1:30" x14ac:dyDescent="0.25">
      <c r="A44" s="36">
        <v>42723.705231481479</v>
      </c>
      <c r="B44" s="31" t="s">
        <v>233</v>
      </c>
      <c r="C44" s="31" t="s">
        <v>558</v>
      </c>
      <c r="D44" s="31" t="s">
        <v>49</v>
      </c>
      <c r="E44" s="31" t="s">
        <v>200</v>
      </c>
      <c r="F44" s="47">
        <v>0</v>
      </c>
      <c r="G44" s="47">
        <v>47</v>
      </c>
      <c r="H44" s="47">
        <v>750</v>
      </c>
      <c r="I44" s="47">
        <v>675</v>
      </c>
      <c r="J44" s="31" t="s">
        <v>201</v>
      </c>
      <c r="K44" s="47">
        <v>575</v>
      </c>
      <c r="L44" s="154" t="s">
        <v>51</v>
      </c>
      <c r="M44" s="155">
        <f t="shared" si="8"/>
        <v>52.8</v>
      </c>
      <c r="N44" s="156" t="str">
        <f>VLOOKUP(C44,'Trips&amp;Operators'!$C$1:$G$99999,5,FALSE)</f>
        <v>LEVIN SCOTT</v>
      </c>
      <c r="O44" s="186" t="s">
        <v>195</v>
      </c>
      <c r="P44" s="157"/>
      <c r="Q44" s="31"/>
      <c r="R44" s="100" t="str">
        <f>VLOOKUP(C44,'Train Runs'!$A$13:$AE$9971,31,0)</f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S44" s="103" t="str">
        <f>VLOOKUP(C44,'Train Runs'!$A$13:$AE$9971,22,0)</f>
        <v>https://search-rtdc-monitor-bjffxe2xuh6vdkpspy63sjmuny.us-east-1.es.amazonaws.com/_plugin/kibana/#/discover/Steve-Slow-Train-Analysis-(2080s-and-2083s)?_g=(refreshInterval:(display:Off,section:0,value:0),time:(from:'2016-12-19 15:37:04-700',mode:absolute,to:'2016-12-19 17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4" s="105" t="str">
        <f t="shared" si="9"/>
        <v>"C:\Program Files (x86)\AstroGrep\AstroGrep.exe" /spath="%USERPROFILE%\AppData\Local\Temp\OnboardLogs" /stypes="*4041*201612192*" /stext=" 23:.+((SYSTEM_STATE.+slice.+state.+changed )|(ment ac)|(multiple cpu faults)|(system.+state.+changed )|(\[timeout)|(PRM\|1\|D)|(kpr)|(kdp)|(\|lc)|(penalty))" /e /r /s</v>
      </c>
      <c r="U44" s="9" t="str">
        <f t="shared" si="10"/>
        <v>4041</v>
      </c>
      <c r="V44" s="36">
        <f t="shared" si="11"/>
        <v>42723.996898148143</v>
      </c>
      <c r="W44" s="50" t="str">
        <f t="shared" si="12"/>
        <v>NW</v>
      </c>
      <c r="X44" s="50" t="str">
        <f t="shared" si="13"/>
        <v>KEEP</v>
      </c>
      <c r="Y44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{"issue":{"subject":"","project_id":79,"tracker_id":40,"status_id":1,"priority_id":2,"assigned_to_id":23,"start_date":"2016-12-19","description":"","custom_fields":[{"id":1,"name":"Subdivision","value":"NW"},{"id":4,"name":"Milepost","value":"0.0575"},{"id":17,"name":"Train ID","value":"830-19"},{"id":16,"name":"Locomotive ID","value":"4041"},{"id":130,"name":"Impact","value":""},{"id":150,"name":"Time of Event (Mountain Time)","value":"16:55:32"},{"id":151,"name":"Denver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15"/>
        <v>grep -hSE -A100 "Enforcement Action" "%USERPROFILE%\AppData\Local\Temp\OnboardLogs"\RTDC4041\*4041*201612192*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"%USERPROFILE%\AppData\Local\Temp\OnboardLogs"\RTDC4041\*4041*201612192* &gt;&gt; 42723-slicedisagreementcheck.txt</v>
      </c>
    </row>
    <row r="45" spans="1:30" x14ac:dyDescent="0.25">
      <c r="A45" s="36">
        <v>42723.829502314817</v>
      </c>
      <c r="B45" s="31" t="s">
        <v>233</v>
      </c>
      <c r="C45" s="31" t="s">
        <v>563</v>
      </c>
      <c r="D45" s="31" t="s">
        <v>49</v>
      </c>
      <c r="E45" s="31" t="s">
        <v>200</v>
      </c>
      <c r="F45" s="47">
        <v>0</v>
      </c>
      <c r="G45" s="47">
        <v>36</v>
      </c>
      <c r="H45" s="47">
        <v>703</v>
      </c>
      <c r="I45" s="47">
        <v>671</v>
      </c>
      <c r="J45" s="31" t="s">
        <v>201</v>
      </c>
      <c r="K45" s="47">
        <v>575</v>
      </c>
      <c r="L45" s="154" t="s">
        <v>51</v>
      </c>
      <c r="M45" s="155">
        <f t="shared" si="8"/>
        <v>50.688000000000002</v>
      </c>
      <c r="N45" s="156" t="str">
        <f>VLOOKUP(C45,'Trips&amp;Operators'!$C$1:$G$99999,5,FALSE)</f>
        <v>LEVIN SCOTT</v>
      </c>
      <c r="O45" s="186" t="s">
        <v>195</v>
      </c>
      <c r="P45" s="157"/>
      <c r="Q45" s="31"/>
      <c r="R45" s="100" t="str">
        <f>VLOOKUP(C45,'Train Runs'!$A$13:$AE$9971,31,0)</f>
        <v>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 &amp; 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</v>
      </c>
      <c r="S45" s="103" t="str">
        <f>VLOOKUP(C45,'Train Runs'!$A$13:$AE$9971,22,0)</f>
        <v>https://search-rtdc-monitor-bjffxe2xuh6vdkpspy63sjmuny.us-east-1.es.amazonaws.com/_plugin/kibana/#/discover/Steve-Slow-Train-Analysis-(2080s-and-2083s)?_g=(refreshInterval:(display:Off,section:0,value:0),time:(from:'2016-12-19 18:36:33-700',mode:absolute,to:'2016-12-19 20:54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5" s="105" t="str">
        <f t="shared" si="9"/>
        <v>"C:\Program Files (x86)\AstroGrep\AstroGrep.exe" /spath="%USERPROFILE%\AppData\Local\Temp\OnboardLogs" /stypes="*4041*201612200*" /stext=" 02:.+((SYSTEM_STATE.+slice.+state.+changed )|(ment ac)|(multiple cpu faults)|(system.+state.+changed )|(\[timeout)|(PRM\|1\|D)|(kpr)|(kdp)|(\|lc)|(penalty))" /e /r /s</v>
      </c>
      <c r="U45" s="9" t="str">
        <f t="shared" si="10"/>
        <v>4041</v>
      </c>
      <c r="V45" s="36">
        <f t="shared" si="11"/>
        <v>42724.121168981481</v>
      </c>
      <c r="W45" s="50" t="str">
        <f t="shared" si="12"/>
        <v>NW</v>
      </c>
      <c r="X45" s="50" t="str">
        <f t="shared" si="13"/>
        <v>KEEP</v>
      </c>
      <c r="Y45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{"issue":{"subject":"","project_id":79,"tracker_id":40,"status_id":1,"priority_id":2,"assigned_to_id":23,"start_date":"2016-12-19","description":"","custom_fields":[{"id":1,"name":"Subdivision","value":"NW"},{"id":4,"name":"Milepost","value":"0.0575"},{"id":17,"name":"Train ID","value":"840-19"},{"id":16,"name":"Locomotive ID","value":"4041"},{"id":130,"name":"Impact","value":""},{"id":150,"name":"Time of Event (Mountain Time)","value":"19:54:29"},{"id":151,"name":"Denver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15"/>
        <v>grep -hSE -A100 "Enforcement Action" "%USERPROFILE%\AppData\Local\Temp\OnboardLogs"\RTDC4041\*4041*201612200*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"%USERPROFILE%\AppData\Local\Temp\OnboardLogs"\RTDC4041\*4041*201612200* &gt;&gt; 42723-slicedisagreementcheck.txt</v>
      </c>
    </row>
    <row r="46" spans="1:30" x14ac:dyDescent="0.25">
      <c r="A46" s="36">
        <v>42723.295752314814</v>
      </c>
      <c r="B46" s="31" t="s">
        <v>244</v>
      </c>
      <c r="C46" s="31" t="s">
        <v>536</v>
      </c>
      <c r="D46" s="31" t="s">
        <v>49</v>
      </c>
      <c r="E46" s="31" t="s">
        <v>200</v>
      </c>
      <c r="F46" s="47">
        <v>0</v>
      </c>
      <c r="G46" s="47">
        <v>4</v>
      </c>
      <c r="H46" s="47">
        <v>59044</v>
      </c>
      <c r="I46" s="47">
        <v>59046</v>
      </c>
      <c r="J46" s="31" t="s">
        <v>201</v>
      </c>
      <c r="K46" s="47">
        <v>59048</v>
      </c>
      <c r="L46" s="154" t="s">
        <v>50</v>
      </c>
      <c r="M46" s="155">
        <f t="shared" si="8"/>
        <v>1.056</v>
      </c>
      <c r="N46" s="156" t="str">
        <f>VLOOKUP(C46,'Trips&amp;Operators'!$C$1:$G$99999,5,FALSE)</f>
        <v>DAVIS WENDY</v>
      </c>
      <c r="O46" s="186" t="s">
        <v>195</v>
      </c>
      <c r="P46" s="157"/>
      <c r="Q46" s="31"/>
      <c r="R46" s="100" t="str">
        <f>VLOOKUP(C46,'Train Runs'!$A$13:$AE$9971,31,0)</f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S46" s="103" t="str">
        <f>VLOOKUP(C46,'Train Runs'!$A$13:$AE$9971,22,0)</f>
        <v>https://search-rtdc-monitor-bjffxe2xuh6vdkpspy63sjmuny.us-east-1.es.amazonaws.com/_plugin/kibana/#/discover/Steve-Slow-Train-Analysis-(2080s-and-2083s)?_g=(refreshInterval:(display:Off,section:0,value:0),time:(from:'2016-12-19 05:47:57-700',mode:absolute,to:'2016-12-19 08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6" s="105" t="str">
        <f t="shared" si="9"/>
        <v>"C:\Program Files (x86)\AstroGrep\AstroGrep.exe" /spath="%USERPROFILE%\AppData\Local\Temp\OnboardLogs" /stypes="*4016*201612191*" /stext=" 14:.+((SYSTEM_STATE.+slice.+state.+changed )|(ment ac)|(multiple cpu faults)|(system.+state.+changed )|(\[timeout)|(PRM\|1\|D)|(kpr)|(kdp)|(\|lc)|(penalty))" /e /r /s</v>
      </c>
      <c r="U46" s="9" t="str">
        <f t="shared" si="10"/>
        <v>4016</v>
      </c>
      <c r="V46" s="36">
        <f t="shared" si="11"/>
        <v>42723.587418981479</v>
      </c>
      <c r="W46" s="50" t="str">
        <f t="shared" si="12"/>
        <v>NW</v>
      </c>
      <c r="X46" s="50" t="str">
        <f t="shared" si="13"/>
        <v>OMIT</v>
      </c>
      <c r="Y46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{"issue":{"subject":"","project_id":79,"tracker_id":40,"status_id":1,"priority_id":2,"assigned_to_id":23,"start_date":"2016-12-19","description":"","custom_fields":[{"id":1,"name":"Subdivision","value":"NW"},{"id":4,"name":"Milepost","value":"5.9048"},{"id":17,"name":"Train ID","value":"805-19"},{"id":16,"name":"Locomotive ID","value":"4016"},{"id":130,"name":"Impact","value":""},{"id":150,"name":"Time of Event (Mountain Time)","value":"07:05:53"},{"id":151,"name":"Denver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15"/>
        <v>grep -hSE -A100 "Enforcement Action" "%USERPROFILE%\AppData\Local\Temp\OnboardLogs"\RTDC4016\*4016*201612191*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"%USERPROFILE%\AppData\Local\Temp\OnboardLogs"\RTDC4016\*4016*201612191* &gt;&gt; 42723-slicedisagreementcheck.txt</v>
      </c>
    </row>
    <row r="47" spans="1:30" x14ac:dyDescent="0.25">
      <c r="A47" s="36">
        <v>42723.31689814815</v>
      </c>
      <c r="B47" s="31" t="s">
        <v>232</v>
      </c>
      <c r="C47" s="31" t="s">
        <v>538</v>
      </c>
      <c r="D47" s="31" t="s">
        <v>49</v>
      </c>
      <c r="E47" s="31" t="s">
        <v>200</v>
      </c>
      <c r="F47" s="47">
        <v>0</v>
      </c>
      <c r="G47" s="47">
        <v>34</v>
      </c>
      <c r="H47" s="47">
        <v>58961</v>
      </c>
      <c r="I47" s="47">
        <v>58990</v>
      </c>
      <c r="J47" s="31" t="s">
        <v>201</v>
      </c>
      <c r="K47" s="47">
        <v>59048</v>
      </c>
      <c r="L47" s="154" t="s">
        <v>50</v>
      </c>
      <c r="M47" s="155">
        <f t="shared" si="8"/>
        <v>30.623999999999999</v>
      </c>
      <c r="N47" s="156" t="str">
        <f>VLOOKUP(C47,'Trips&amp;Operators'!$C$1:$G$99999,5,FALSE)</f>
        <v>SIMONEAUX TERA</v>
      </c>
      <c r="O47" s="186" t="s">
        <v>195</v>
      </c>
      <c r="P47" s="157"/>
      <c r="Q47" s="31"/>
      <c r="R47" s="100" t="str">
        <f>VLOOKUP(C47,'Train Runs'!$A$13:$AE$9971,31,0)</f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S47" s="103" t="str">
        <f>VLOOKUP(C47,'Train Runs'!$A$13:$AE$9971,22,0)</f>
        <v>https://search-rtdc-monitor-bjffxe2xuh6vdkpspy63sjmuny.us-east-1.es.amazonaws.com/_plugin/kibana/#/discover/Steve-Slow-Train-Analysis-(2080s-and-2083s)?_g=(refreshInterval:(display:Off,section:0,value:0),time:(from:'2016-12-19 06:18:50-700',mode:absolute,to:'2016-12-19 08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47" s="105" t="str">
        <f t="shared" si="9"/>
        <v>"C:\Program Files (x86)\AstroGrep\AstroGrep.exe" /spath="%USERPROFILE%\AppData\Local\Temp\OnboardLogs" /stypes="*4042*201612191*" /stext=" 14:.+((SYSTEM_STATE.+slice.+state.+changed )|(ment ac)|(multiple cpu faults)|(system.+state.+changed )|(\[timeout)|(PRM\|1\|D)|(kpr)|(kdp)|(\|lc)|(penalty))" /e /r /s</v>
      </c>
      <c r="U47" s="9" t="str">
        <f t="shared" si="10"/>
        <v>4042</v>
      </c>
      <c r="V47" s="36">
        <f t="shared" si="11"/>
        <v>42723.608564814815</v>
      </c>
      <c r="W47" s="50" t="str">
        <f t="shared" si="12"/>
        <v>NW</v>
      </c>
      <c r="X47" s="50" t="str">
        <f t="shared" si="13"/>
        <v>KEEP</v>
      </c>
      <c r="Y47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{"issue":{"subject":"","project_id":79,"tracker_id":40,"status_id":1,"priority_id":2,"assigned_to_id":23,"start_date":"2016-12-19","description":"","custom_fields":[{"id":1,"name":"Subdivision","value":"NW"},{"id":4,"name":"Milepost","value":"5.9048"},{"id":17,"name":"Train ID","value":"807-19"},{"id":16,"name":"Locomotive ID","value":"4042"},{"id":130,"name":"Impact","value":""},{"id":150,"name":"Time of Event (Mountain Time)","value":"07:36:20"},{"id":151,"name":"Denver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15"/>
        <v>grep -hSE -A100 "Enforcement Action" "%USERPROFILE%\AppData\Local\Temp\OnboardLogs"\RTDC4042\*4042*201612191*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"%USERPROFILE%\AppData\Local\Temp\OnboardLogs"\RTDC4042\*4042*201612191* &gt;&gt; 42723-slicedisagreementcheck.txt</v>
      </c>
    </row>
    <row r="48" spans="1:30" x14ac:dyDescent="0.25">
      <c r="A48" s="36">
        <v>42723.338159722225</v>
      </c>
      <c r="B48" s="31" t="s">
        <v>244</v>
      </c>
      <c r="C48" s="31" t="s">
        <v>539</v>
      </c>
      <c r="D48" s="31" t="s">
        <v>49</v>
      </c>
      <c r="E48" s="31" t="s">
        <v>200</v>
      </c>
      <c r="F48" s="47">
        <v>0</v>
      </c>
      <c r="G48" s="47">
        <v>51</v>
      </c>
      <c r="H48" s="47">
        <v>58911</v>
      </c>
      <c r="I48" s="47">
        <v>58952</v>
      </c>
      <c r="J48" s="31" t="s">
        <v>201</v>
      </c>
      <c r="K48" s="47">
        <v>59048</v>
      </c>
      <c r="L48" s="154" t="s">
        <v>50</v>
      </c>
      <c r="M48" s="155">
        <f t="shared" si="8"/>
        <v>50.688000000000002</v>
      </c>
      <c r="N48" s="156" t="str">
        <f>VLOOKUP(C48,'Trips&amp;Operators'!$C$1:$G$99999,5,FALSE)</f>
        <v>DAVIS WENDY</v>
      </c>
      <c r="O48" s="186" t="s">
        <v>195</v>
      </c>
      <c r="P48" s="157"/>
      <c r="Q48" s="31"/>
      <c r="R48" s="100" t="str">
        <f>VLOOKUP(C48,'Train Runs'!$A$13:$AE$9971,31,0)</f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S48" s="103" t="str">
        <f>VLOOKUP(C48,'Train Runs'!$A$13:$AE$9971,22,0)</f>
        <v>https://search-rtdc-monitor-bjffxe2xuh6vdkpspy63sjmuny.us-east-1.es.amazonaws.com/_plugin/kibana/#/discover/Steve-Slow-Train-Analysis-(2080s-and-2083s)?_g=(refreshInterval:(display:Off,section:0,value:0),time:(from:'2016-12-19 06:41:30-700',mode:absolute,to:'2016-12-19 09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8" s="105" t="str">
        <f t="shared" si="9"/>
        <v>"C:\Program Files (x86)\AstroGrep\AstroGrep.exe" /spath="%USERPROFILE%\AppData\Local\Temp\OnboardLogs" /stypes="*4016*201612191*" /stext=" 15:.+((SYSTEM_STATE.+slice.+state.+changed )|(ment ac)|(multiple cpu faults)|(system.+state.+changed )|(\[timeout)|(PRM\|1\|D)|(kpr)|(kdp)|(\|lc)|(penalty))" /e /r /s</v>
      </c>
      <c r="U48" s="9" t="str">
        <f t="shared" si="10"/>
        <v>4016</v>
      </c>
      <c r="V48" s="36">
        <f t="shared" si="11"/>
        <v>42723.629826388889</v>
      </c>
      <c r="W48" s="50" t="str">
        <f t="shared" si="12"/>
        <v>NW</v>
      </c>
      <c r="X48" s="50" t="str">
        <f t="shared" si="13"/>
        <v>KEEP</v>
      </c>
      <c r="Y48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{"issue":{"subject":"","project_id":79,"tracker_id":40,"status_id":1,"priority_id":2,"assigned_to_id":23,"start_date":"2016-12-19","description":"","custom_fields":[{"id":1,"name":"Subdivision","value":"NW"},{"id":4,"name":"Milepost","value":"5.9048"},{"id":17,"name":"Train ID","value":"809-19"},{"id":16,"name":"Locomotive ID","value":"4016"},{"id":130,"name":"Impact","value":""},{"id":150,"name":"Time of Event (Mountain Time)","value":"08:06:57"},{"id":151,"name":"Denver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15"/>
        <v>grep -hSE -A100 "Enforcement Action" "%USERPROFILE%\AppData\Local\Temp\OnboardLogs"\RTDC4016\*4016*201612191*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"%USERPROFILE%\AppData\Local\Temp\OnboardLogs"\RTDC4016\*4016*201612191* &gt;&gt; 42723-slicedisagreementcheck.txt</v>
      </c>
    </row>
    <row r="49" spans="1:30" x14ac:dyDescent="0.25">
      <c r="A49" s="36">
        <v>42723.338703703703</v>
      </c>
      <c r="B49" s="31" t="s">
        <v>244</v>
      </c>
      <c r="C49" s="31" t="s">
        <v>539</v>
      </c>
      <c r="D49" s="31" t="s">
        <v>49</v>
      </c>
      <c r="E49" s="31" t="s">
        <v>200</v>
      </c>
      <c r="F49" s="47">
        <v>0</v>
      </c>
      <c r="G49" s="47">
        <v>11</v>
      </c>
      <c r="H49" s="47">
        <v>59027</v>
      </c>
      <c r="I49" s="47">
        <v>59031</v>
      </c>
      <c r="J49" s="31" t="s">
        <v>201</v>
      </c>
      <c r="K49" s="47">
        <v>59048</v>
      </c>
      <c r="L49" s="154" t="s">
        <v>50</v>
      </c>
      <c r="M49" s="155">
        <f t="shared" si="8"/>
        <v>8.9760000000000009</v>
      </c>
      <c r="N49" s="156" t="str">
        <f>VLOOKUP(C49,'Trips&amp;Operators'!$C$1:$G$99999,5,FALSE)</f>
        <v>DAVIS WENDY</v>
      </c>
      <c r="O49" s="186" t="s">
        <v>195</v>
      </c>
      <c r="P49" s="157"/>
      <c r="Q49" s="31"/>
      <c r="R49" s="100" t="str">
        <f>VLOOKUP(C49,'Train Runs'!$A$13:$AE$9971,31,0)</f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S49" s="103" t="str">
        <f>VLOOKUP(C49,'Train Runs'!$A$13:$AE$9971,22,0)</f>
        <v>https://search-rtdc-monitor-bjffxe2xuh6vdkpspy63sjmuny.us-east-1.es.amazonaws.com/_plugin/kibana/#/discover/Steve-Slow-Train-Analysis-(2080s-and-2083s)?_g=(refreshInterval:(display:Off,section:0,value:0),time:(from:'2016-12-19 06:41:30-700',mode:absolute,to:'2016-12-19 09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9" s="105" t="str">
        <f t="shared" si="9"/>
        <v>"C:\Program Files (x86)\AstroGrep\AstroGrep.exe" /spath="%USERPROFILE%\AppData\Local\Temp\OnboardLogs" /stypes="*4016*201612191*" /stext=" 15:.+((SYSTEM_STATE.+slice.+state.+changed )|(ment ac)|(multiple cpu faults)|(system.+state.+changed )|(\[timeout)|(PRM\|1\|D)|(kpr)|(kdp)|(\|lc)|(penalty))" /e /r /s</v>
      </c>
      <c r="U49" s="9" t="str">
        <f t="shared" si="10"/>
        <v>4016</v>
      </c>
      <c r="V49" s="36">
        <f t="shared" si="11"/>
        <v>42723.630370370367</v>
      </c>
      <c r="W49" s="50" t="str">
        <f t="shared" si="12"/>
        <v>NW</v>
      </c>
      <c r="X49" s="50" t="str">
        <f t="shared" si="13"/>
        <v>KEEP</v>
      </c>
      <c r="Y49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{"issue":{"subject":"","project_id":79,"tracker_id":40,"status_id":1,"priority_id":2,"assigned_to_id":23,"start_date":"2016-12-19","description":"","custom_fields":[{"id":1,"name":"Subdivision","value":"NW"},{"id":4,"name":"Milepost","value":"5.9048"},{"id":17,"name":"Train ID","value":"809-19"},{"id":16,"name":"Locomotive ID","value":"4016"},{"id":130,"name":"Impact","value":""},{"id":150,"name":"Time of Event (Mountain Time)","value":"08:07:44"},{"id":151,"name":"Denver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15"/>
        <v>grep -hSE -A100 "Enforcement Action" "%USERPROFILE%\AppData\Local\Temp\OnboardLogs"\RTDC4016\*4016*201612191*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"%USERPROFILE%\AppData\Local\Temp\OnboardLogs"\RTDC4016\*4016*201612191* &gt;&gt; 42723-slicedisagreementcheck.txt</v>
      </c>
    </row>
    <row r="50" spans="1:30" x14ac:dyDescent="0.25">
      <c r="A50" s="36">
        <v>42723.358703703707</v>
      </c>
      <c r="B50" s="31" t="s">
        <v>232</v>
      </c>
      <c r="C50" s="31" t="s">
        <v>542</v>
      </c>
      <c r="D50" s="31" t="s">
        <v>49</v>
      </c>
      <c r="E50" s="31" t="s">
        <v>200</v>
      </c>
      <c r="F50" s="47">
        <v>0</v>
      </c>
      <c r="G50" s="47">
        <v>108</v>
      </c>
      <c r="H50" s="47">
        <v>58557</v>
      </c>
      <c r="I50" s="47">
        <v>58685</v>
      </c>
      <c r="J50" s="31" t="s">
        <v>201</v>
      </c>
      <c r="K50" s="47">
        <v>59048</v>
      </c>
      <c r="L50" s="154" t="s">
        <v>50</v>
      </c>
      <c r="M50" s="155">
        <f t="shared" si="8"/>
        <v>191.66399999999999</v>
      </c>
      <c r="N50" s="156" t="str">
        <f>VLOOKUP(C50,'Trips&amp;Operators'!$C$1:$G$99999,5,FALSE)</f>
        <v>SIMONEAUX TERA</v>
      </c>
      <c r="O50" s="186" t="s">
        <v>195</v>
      </c>
      <c r="P50" s="157"/>
      <c r="Q50" s="31"/>
      <c r="R50" s="100" t="str">
        <f>VLOOKUP(C50,'Train Runs'!$A$13:$AE$9971,31,0)</f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S50" s="103" t="str">
        <f>VLOOKUP(C50,'Train Runs'!$A$13:$AE$9971,22,0)</f>
        <v>https://search-rtdc-monitor-bjffxe2xuh6vdkpspy63sjmuny.us-east-1.es.amazonaws.com/_plugin/kibana/#/discover/Steve-Slow-Train-Analysis-(2080s-and-2083s)?_g=(refreshInterval:(display:Off,section:0,value:0),time:(from:'2016-12-19 07:06:51-700',mode:absolute,to:'2016-12-19 09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0" s="105" t="str">
        <f t="shared" si="9"/>
        <v>"C:\Program Files (x86)\AstroGrep\AstroGrep.exe" /spath="%USERPROFILE%\AppData\Local\Temp\OnboardLogs" /stypes="*4042*201612191*" /stext=" 15:.+((SYSTEM_STATE.+slice.+state.+changed )|(ment ac)|(multiple cpu faults)|(system.+state.+changed )|(\[timeout)|(PRM\|1\|D)|(kpr)|(kdp)|(\|lc)|(penalty))" /e /r /s</v>
      </c>
      <c r="U50" s="9" t="str">
        <f t="shared" si="10"/>
        <v>4042</v>
      </c>
      <c r="V50" s="36">
        <f t="shared" si="11"/>
        <v>42723.650370370371</v>
      </c>
      <c r="W50" s="50" t="str">
        <f t="shared" si="12"/>
        <v>NW</v>
      </c>
      <c r="X50" s="50" t="str">
        <f t="shared" si="13"/>
        <v>KEEP</v>
      </c>
      <c r="Y50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{"issue":{"subject":"","project_id":79,"tracker_id":40,"status_id":1,"priority_id":2,"assigned_to_id":23,"start_date":"2016-12-19","description":"","custom_fields":[{"id":1,"name":"Subdivision","value":"NW"},{"id":4,"name":"Milepost","value":"5.9048"},{"id":17,"name":"Train ID","value":"811-19"},{"id":16,"name":"Locomotive ID","value":"4042"},{"id":130,"name":"Impact","value":""},{"id":150,"name":"Time of Event (Mountain Time)","value":"08:36:32"},{"id":151,"name":"Denver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15"/>
        <v>grep -hSE -A100 "Enforcement Action" "%USERPROFILE%\AppData\Local\Temp\OnboardLogs"\RTDC4042\*4042*201612191*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"%USERPROFILE%\AppData\Local\Temp\OnboardLogs"\RTDC4042\*4042*201612191* &gt;&gt; 42723-slicedisagreementcheck.txt</v>
      </c>
    </row>
    <row r="51" spans="1:30" x14ac:dyDescent="0.25">
      <c r="A51" s="36">
        <v>42723.359560185185</v>
      </c>
      <c r="B51" s="31" t="s">
        <v>232</v>
      </c>
      <c r="C51" s="31" t="s">
        <v>542</v>
      </c>
      <c r="D51" s="31" t="s">
        <v>49</v>
      </c>
      <c r="E51" s="31" t="s">
        <v>200</v>
      </c>
      <c r="F51" s="47">
        <v>0</v>
      </c>
      <c r="G51" s="47">
        <v>29</v>
      </c>
      <c r="H51" s="47">
        <v>58924</v>
      </c>
      <c r="I51" s="47">
        <v>58948</v>
      </c>
      <c r="J51" s="31" t="s">
        <v>201</v>
      </c>
      <c r="K51" s="47">
        <v>59048</v>
      </c>
      <c r="L51" s="154" t="s">
        <v>50</v>
      </c>
      <c r="M51" s="155">
        <f t="shared" si="8"/>
        <v>52.8</v>
      </c>
      <c r="N51" s="156" t="str">
        <f>VLOOKUP(C51,'Trips&amp;Operators'!$C$1:$G$99999,5,FALSE)</f>
        <v>SIMONEAUX TERA</v>
      </c>
      <c r="O51" s="186" t="s">
        <v>195</v>
      </c>
      <c r="P51" s="157"/>
      <c r="Q51" s="31"/>
      <c r="R51" s="100" t="str">
        <f>VLOOKUP(C51,'Train Runs'!$A$13:$AE$9971,31,0)</f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S51" s="103" t="str">
        <f>VLOOKUP(C51,'Train Runs'!$A$13:$AE$9971,22,0)</f>
        <v>https://search-rtdc-monitor-bjffxe2xuh6vdkpspy63sjmuny.us-east-1.es.amazonaws.com/_plugin/kibana/#/discover/Steve-Slow-Train-Analysis-(2080s-and-2083s)?_g=(refreshInterval:(display:Off,section:0,value:0),time:(from:'2016-12-19 07:06:51-700',mode:absolute,to:'2016-12-19 09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1" s="105" t="str">
        <f t="shared" si="9"/>
        <v>"C:\Program Files (x86)\AstroGrep\AstroGrep.exe" /spath="%USERPROFILE%\AppData\Local\Temp\OnboardLogs" /stypes="*4042*201612191*" /stext=" 15:.+((SYSTEM_STATE.+slice.+state.+changed )|(ment ac)|(multiple cpu faults)|(system.+state.+changed )|(\[timeout)|(PRM\|1\|D)|(kpr)|(kdp)|(\|lc)|(penalty))" /e /r /s</v>
      </c>
      <c r="U51" s="9" t="str">
        <f t="shared" si="10"/>
        <v>4042</v>
      </c>
      <c r="V51" s="36">
        <f t="shared" si="11"/>
        <v>42723.651226851849</v>
      </c>
      <c r="W51" s="50" t="str">
        <f t="shared" si="12"/>
        <v>NW</v>
      </c>
      <c r="X51" s="50" t="str">
        <f t="shared" si="13"/>
        <v>KEEP</v>
      </c>
      <c r="Y51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{"issue":{"subject":"","project_id":79,"tracker_id":40,"status_id":1,"priority_id":2,"assigned_to_id":23,"start_date":"2016-12-19","description":"","custom_fields":[{"id":1,"name":"Subdivision","value":"NW"},{"id":4,"name":"Milepost","value":"5.9048"},{"id":17,"name":"Train ID","value":"811-19"},{"id":16,"name":"Locomotive ID","value":"4042"},{"id":130,"name":"Impact","value":""},{"id":150,"name":"Time of Event (Mountain Time)","value":"08:37:46"},{"id":151,"name":"Denver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15"/>
        <v>grep -hSE -A100 "Enforcement Action" "%USERPROFILE%\AppData\Local\Temp\OnboardLogs"\RTDC4042\*4042*201612191*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"%USERPROFILE%\AppData\Local\Temp\OnboardLogs"\RTDC4042\*4042*201612191* &gt;&gt; 42723-slicedisagreementcheck.txt</v>
      </c>
    </row>
    <row r="52" spans="1:30" x14ac:dyDescent="0.25">
      <c r="A52" s="36">
        <v>42723.401238425926</v>
      </c>
      <c r="B52" s="31" t="s">
        <v>232</v>
      </c>
      <c r="C52" s="31" t="s">
        <v>543</v>
      </c>
      <c r="D52" s="31" t="s">
        <v>49</v>
      </c>
      <c r="E52" s="31" t="s">
        <v>200</v>
      </c>
      <c r="F52" s="47">
        <v>0</v>
      </c>
      <c r="G52" s="47">
        <v>49</v>
      </c>
      <c r="H52" s="47">
        <v>58839</v>
      </c>
      <c r="I52" s="47">
        <v>58873</v>
      </c>
      <c r="J52" s="31" t="s">
        <v>201</v>
      </c>
      <c r="K52" s="47">
        <v>59048</v>
      </c>
      <c r="L52" s="154" t="s">
        <v>50</v>
      </c>
      <c r="M52" s="155">
        <f t="shared" si="8"/>
        <v>92.4</v>
      </c>
      <c r="N52" s="156" t="str">
        <f>VLOOKUP(C52,'Trips&amp;Operators'!$C$1:$G$99999,5,FALSE)</f>
        <v>SIMONEAUX TERA</v>
      </c>
      <c r="O52" s="186" t="s">
        <v>195</v>
      </c>
      <c r="P52" s="157"/>
      <c r="Q52" s="31"/>
      <c r="R52" s="100" t="str">
        <f>VLOOKUP(C52,'Train Runs'!$A$13:$AE$9971,31,0)</f>
        <v>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 &amp; 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</v>
      </c>
      <c r="S52" s="103" t="str">
        <f>VLOOKUP(C52,'Train Runs'!$A$13:$AE$9971,22,0)</f>
        <v>https://search-rtdc-monitor-bjffxe2xuh6vdkpspy63sjmuny.us-east-1.es.amazonaws.com/_plugin/kibana/#/discover/Steve-Slow-Train-Analysis-(2080s-and-2083s)?_g=(refreshInterval:(display:Off,section:0,value:0),time:(from:'2016-12-19 08:12:37-700',mode:absolute,to:'2016-12-19 10:37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2" s="105" t="str">
        <f t="shared" si="9"/>
        <v>"C:\Program Files (x86)\AstroGrep\AstroGrep.exe" /spath="%USERPROFILE%\AppData\Local\Temp\OnboardLogs" /stypes="*4042*201612191*" /stext=" 16:.+((SYSTEM_STATE.+slice.+state.+changed )|(ment ac)|(multiple cpu faults)|(system.+state.+changed )|(\[timeout)|(PRM\|1\|D)|(kpr)|(kdp)|(\|lc)|(penalty))" /e /r /s</v>
      </c>
      <c r="U52" s="9" t="str">
        <f t="shared" si="10"/>
        <v>4042</v>
      </c>
      <c r="V52" s="36">
        <f t="shared" si="11"/>
        <v>42723.69290509259</v>
      </c>
      <c r="W52" s="50" t="str">
        <f t="shared" si="12"/>
        <v>NW</v>
      </c>
      <c r="X52" s="50" t="str">
        <f t="shared" si="13"/>
        <v>KEEP</v>
      </c>
      <c r="Y52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{"issue":{"subject":"","project_id":79,"tracker_id":40,"status_id":1,"priority_id":2,"assigned_to_id":23,"start_date":"2016-12-19","description":"","custom_fields":[{"id":1,"name":"Subdivision","value":"NW"},{"id":4,"name":"Milepost","value":"5.9048"},{"id":17,"name":"Train ID","value":"813-19"},{"id":16,"name":"Locomotive ID","value":"4042"},{"id":130,"name":"Impact","value":""},{"id":150,"name":"Time of Event (Mountain Time)","value":"09:37:47"},{"id":151,"name":"Denver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 t="shared" si="15"/>
        <v>grep -hSE -A100 "Enforcement Action" "%USERPROFILE%\AppData\Local\Temp\OnboardLogs"\RTDC4042\*4042*201612191*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"%USERPROFILE%\AppData\Local\Temp\OnboardLogs"\RTDC4042\*4042*201612191* &gt;&gt; 42723-slicedisagreementcheck.txt</v>
      </c>
    </row>
    <row r="53" spans="1:30" x14ac:dyDescent="0.25">
      <c r="A53" s="36">
        <v>42723.752997685187</v>
      </c>
      <c r="B53" s="31" t="s">
        <v>244</v>
      </c>
      <c r="C53" s="31" t="s">
        <v>559</v>
      </c>
      <c r="D53" s="31" t="s">
        <v>49</v>
      </c>
      <c r="E53" s="31" t="s">
        <v>200</v>
      </c>
      <c r="F53" s="47">
        <v>0</v>
      </c>
      <c r="G53" s="47">
        <v>47</v>
      </c>
      <c r="H53" s="47">
        <v>58926</v>
      </c>
      <c r="I53" s="47">
        <v>58958</v>
      </c>
      <c r="J53" s="31" t="s">
        <v>201</v>
      </c>
      <c r="K53" s="47">
        <v>59048</v>
      </c>
      <c r="L53" s="154" t="s">
        <v>50</v>
      </c>
      <c r="M53" s="155">
        <f t="shared" si="8"/>
        <v>47.52</v>
      </c>
      <c r="N53" s="156" t="str">
        <f>VLOOKUP(C53,'Trips&amp;Operators'!$C$1:$G$99999,5,FALSE)</f>
        <v>NEWELL JAMES</v>
      </c>
      <c r="O53" s="186" t="s">
        <v>195</v>
      </c>
      <c r="P53" s="157"/>
      <c r="Q53" s="31"/>
      <c r="R53" s="100" t="str">
        <f>VLOOKUP(C53,'Train Runs'!$A$13:$AE$9971,31,0)</f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S53" s="103" t="str">
        <f>VLOOKUP(C53,'Train Runs'!$A$13:$AE$9971,22,0)</f>
        <v>https://search-rtdc-monitor-bjffxe2xuh6vdkpspy63sjmuny.us-east-1.es.amazonaws.com/_plugin/kibana/#/discover/Steve-Slow-Train-Analysis-(2080s-and-2083s)?_g=(refreshInterval:(display:Off,section:0,value:0),time:(from:'2016-12-19 16:27:28-700',mode:absolute,to:'2016-12-19 19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53" s="105" t="str">
        <f t="shared" si="9"/>
        <v>"C:\Program Files (x86)\AstroGrep\AstroGrep.exe" /spath="%USERPROFILE%\AppData\Local\Temp\OnboardLogs" /stypes="*4016*201612200*" /stext=" 01:.+((SYSTEM_STATE.+slice.+state.+changed )|(ment ac)|(multiple cpu faults)|(system.+state.+changed )|(\[timeout)|(PRM\|1\|D)|(kpr)|(kdp)|(\|lc)|(penalty))" /e /r /s</v>
      </c>
      <c r="U53" s="9" t="str">
        <f t="shared" si="10"/>
        <v>4016</v>
      </c>
      <c r="V53" s="36">
        <f t="shared" si="11"/>
        <v>42724.044664351852</v>
      </c>
      <c r="W53" s="50" t="str">
        <f t="shared" si="12"/>
        <v>NW</v>
      </c>
      <c r="X53" s="50" t="str">
        <f t="shared" si="13"/>
        <v>KEEP</v>
      </c>
      <c r="Y53" s="119" t="str">
        <f t="shared" si="14"/>
        <v>echo {"issue":{"subject":"","project_id":79,"tracker_id":40,"status_id":1,"priority_id":2,"assigned_to_id":23,"start_date":"2016-12-19","description":"","custom_fields":[{"id":1,"name":"Subdivision","value":"NW"},{"id":4,"name":"Milepost","value":"5.9048"},{"id":17,"name":"Train ID","value":"835-19"},{"id":16,"name":"Locomotive ID","value":"4016"},{"id":130,"name":"Impact","value":""},{"id":150,"name":"Time of Event (Mountain Time)","value":"18:04:19"},{"id":151,"name":"Denver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 t="shared" si="15"/>
        <v>grep -hSE -A100 "Enforcement Action" "%USERPROFILE%\AppData\Local\Temp\OnboardLogs"\RTDC4016\*4016*201612200*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"%USERPROFILE%\AppData\Local\Temp\OnboardLogs"\RTDC4016\*4016*201612200* &gt;&gt; 42723-slicedisagreementcheck.txt</v>
      </c>
    </row>
    <row r="54" spans="1:30" x14ac:dyDescent="0.25">
      <c r="A54" s="36">
        <v>42724.040497685186</v>
      </c>
      <c r="B54" s="31" t="s">
        <v>206</v>
      </c>
      <c r="C54" s="31" t="s">
        <v>567</v>
      </c>
      <c r="D54" s="31" t="s">
        <v>98</v>
      </c>
      <c r="E54" s="31" t="s">
        <v>196</v>
      </c>
      <c r="F54" s="47">
        <v>150</v>
      </c>
      <c r="G54" s="47">
        <v>205</v>
      </c>
      <c r="H54" s="47">
        <v>5091</v>
      </c>
      <c r="I54" s="47">
        <v>5410</v>
      </c>
      <c r="J54" s="31" t="s">
        <v>197</v>
      </c>
      <c r="K54" s="47">
        <v>3478</v>
      </c>
      <c r="L54" s="154" t="s">
        <v>50</v>
      </c>
      <c r="M54" s="155">
        <f t="shared" si="8"/>
        <v>-1020.096</v>
      </c>
      <c r="N54" s="156" t="str">
        <f>VLOOKUP(C54,'Trips&amp;Operators'!$C$1:$G$99999,5,FALSE)</f>
        <v>MACDONALD THOMAS</v>
      </c>
      <c r="O54" s="186" t="s">
        <v>195</v>
      </c>
      <c r="P54" s="157"/>
      <c r="Q54" s="31"/>
      <c r="R54" s="100" t="e">
        <f>VLOOKUP(C54,'Train Runs'!$A$13:$AE$9971,31,0)</f>
        <v>#N/A</v>
      </c>
      <c r="S54" s="103" t="e">
        <f>VLOOKUP(C54,'Train Runs'!$A$13:$AE$9971,22,0)</f>
        <v>#N/A</v>
      </c>
      <c r="T54" s="105" t="str">
        <f t="shared" si="9"/>
        <v>"C:\Program Files (x86)\AstroGrep\AstroGrep.exe" /spath="%USERPROFILE%\AppData\Local\Temp\OnboardLogs" /stypes="*4040*201612200*" /stext=" 07:.+((SYSTEM_STATE.+slice.+state.+changed )|(ment ac)|(multiple cpu faults)|(system.+state.+changed )|(\[timeout)|(PRM\|1\|D)|(kpr)|(kdp)|(\|lc)|(penalty))" /e /r /s</v>
      </c>
      <c r="U54" s="9" t="str">
        <f t="shared" si="10"/>
        <v>4040</v>
      </c>
      <c r="V54" s="36">
        <f t="shared" si="11"/>
        <v>42724.33216435185</v>
      </c>
      <c r="W54" s="50" t="str">
        <f t="shared" si="12"/>
        <v>Other</v>
      </c>
      <c r="X54" s="50" t="str">
        <f t="shared" si="13"/>
        <v>KEEP</v>
      </c>
      <c r="Y54" s="119" t="str">
        <f t="shared" si="14"/>
        <v>echo {"issue":{"subject":"","project_id":79,"tracker_id":40,"status_id":1,"priority_id":2,"assigned_to_id":23,"start_date":"2016-12-20","description":"","custom_fields":[{"id":1,"name":"Subdivision","value":"Other"},{"id":4,"name":"Milepost","value":"0.3478"},{"id":17,"name":"Train ID","value":"309-19"},{"id":16,"name":"Locomotive ID","value":"4040"},{"id":130,"name":"Impact","value":""},{"id":150,"name":"Time of Event (Mountain Time)","value":"00:58:19"},{"id":151,"name":"Denver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 t="shared" si="15"/>
        <v>grep -hSE -A100 "Enforcement Action" "%USERPROFILE%\AppData\Local\Temp\OnboardLogs"\RTDC4040\*4040*201612200*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"&amp;Variables!$A$2&amp;"-slicedisagreementcheck.txt"</f>
        <v>grep -hSE "Enforcement Action" "%USERPROFILE%\AppData\Local\Temp\OnboardLogs"\RTDC4040\*4040*201612200* &gt;&gt; 42723-slicedisagreementcheck.txt</v>
      </c>
    </row>
    <row r="55" spans="1:30" x14ac:dyDescent="0.25">
      <c r="A55" s="36">
        <v>42723.516469907408</v>
      </c>
      <c r="B55" s="31" t="s">
        <v>430</v>
      </c>
      <c r="C55" s="31" t="s">
        <v>552</v>
      </c>
      <c r="D55" s="31" t="s">
        <v>49</v>
      </c>
      <c r="E55" s="31" t="s">
        <v>196</v>
      </c>
      <c r="F55" s="47">
        <v>150</v>
      </c>
      <c r="G55" s="47">
        <v>203</v>
      </c>
      <c r="H55" s="47">
        <v>23279</v>
      </c>
      <c r="I55" s="47">
        <v>23557</v>
      </c>
      <c r="J55" s="31" t="s">
        <v>197</v>
      </c>
      <c r="K55" s="47">
        <v>23722</v>
      </c>
      <c r="L55" s="154" t="s">
        <v>50</v>
      </c>
      <c r="M55" s="155">
        <f t="shared" si="8"/>
        <v>87.12</v>
      </c>
      <c r="N55" s="156" t="str">
        <f>VLOOKUP(C55,'Trips&amp;Operators'!$C$1:$G$99999,5,FALSE)</f>
        <v>YORK EDGAR</v>
      </c>
      <c r="O55" s="186" t="s">
        <v>195</v>
      </c>
      <c r="P55" s="157"/>
      <c r="Q55" s="31"/>
      <c r="R55" s="100" t="str">
        <f>VLOOKUP(C55,'Train Runs'!$A$13:$AE$9971,31,0)</f>
        <v>aws s3 cp s3://rtdc.mdm.uploadarchive.raw/RTDC4025/ "%USERPROFILE%\AppData\Local\Temp\OnboardLogs"\RTDC4025\2016-12-19 --exclude "*" --recursive --include "*20161219*" &amp; "%USERPROFILE%\Documents\GitHub\mrs-test-scripts\Headless Mode &amp; Sideloading\WalkAndUnGZ.bat" "%USERPROFILE%\AppData\Local\Temp\OnboardLogs"\RTDC4025\2016-12-19 &amp; aws s3 cp s3://rtdc.mdm.uploadarchive.raw/RTDC4025/ "%USERPROFILE%\AppData\Local\Temp\OnboardLogs"\RTDC4025\2016-12-20 --exclude "*" --recursive --include "*20161220*" &amp; "%USERPROFILE%\Documents\GitHub\mrs-test-scripts\Headless Mode &amp; Sideloading\WalkAndUnGZ.bat" "%USERPROFILE%\AppData\Local\Temp\OnboardLogs"\RTDC4025\2016-12-20</v>
      </c>
      <c r="S55" s="103" t="str">
        <f>VLOOKUP(C55,'Train Runs'!$A$13:$AE$9971,22,0)</f>
        <v>https://search-rtdc-monitor-bjffxe2xuh6vdkpspy63sjmuny.us-east-1.es.amazonaws.com/_plugin/kibana/#/discover/Steve-Slow-Train-Analysis-(2080s-and-2083s)?_g=(refreshInterval:(display:Off,section:0,value:0),time:(from:'2016-12-19 11:14:26-700',mode:absolute,to:'2016-12-19 13:25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55" s="105" t="str">
        <f t="shared" si="9"/>
        <v>"C:\Program Files (x86)\AstroGrep\AstroGrep.exe" /spath="%USERPROFILE%\AppData\Local\Temp\OnboardLogs" /stypes="*4025*201612191*" /stext=" 19:.+((SYSTEM_STATE.+slice.+state.+changed )|(ment ac)|(multiple cpu faults)|(system.+state.+changed )|(\[timeout)|(PRM\|1\|D)|(kpr)|(kdp)|(\|lc)|(penalty))" /e /r /s</v>
      </c>
      <c r="U55" s="9" t="str">
        <f t="shared" si="10"/>
        <v>4025</v>
      </c>
      <c r="V55" s="36">
        <f t="shared" si="11"/>
        <v>42723.808136574073</v>
      </c>
      <c r="W55" s="50" t="str">
        <f t="shared" si="12"/>
        <v>Other</v>
      </c>
      <c r="X55" s="50" t="str">
        <f t="shared" si="13"/>
        <v>KEEP</v>
      </c>
      <c r="Y55" s="119" t="str">
        <f t="shared" si="14"/>
        <v>echo {"issue":{"subject":"","project_id":79,"tracker_id":40,"status_id":1,"priority_id":2,"assigned_to_id":23,"start_date":"2016-12-19","description":"","custom_fields":[{"id":1,"name":"Subdivision","value":"Other"},{"id":4,"name":"Milepost","value":"2.3722"},{"id":17,"name":"Train ID","value":"55-19"},{"id":16,"name":"Locomotive ID","value":"4025"},{"id":130,"name":"Impact","value":""},{"id":150,"name":"Time of Event (Mountain Time)","value":"12:23:43"},{"id":151,"name":"Denver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 t="shared" si="15"/>
        <v>grep -hSE -A100 "Enforcement Action" "%USERPROFILE%\AppData\Local\Temp\OnboardLogs"\RTDC4025\*4025*201612191*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"&amp;Variables!$A$2&amp;"-slicedisagreementcheck.txt"</f>
        <v>grep -hSE "Enforcement Action" "%USERPROFILE%\AppData\Local\Temp\OnboardLogs"\RTDC4025\*4025*201612191* &gt;&gt; 42723-slicedisagreementcheck.txt</v>
      </c>
    </row>
    <row r="56" spans="1:30" x14ac:dyDescent="0.25">
      <c r="A56" s="36">
        <v>42723.213969907411</v>
      </c>
      <c r="B56" s="31" t="s">
        <v>244</v>
      </c>
      <c r="C56" s="31" t="s">
        <v>529</v>
      </c>
      <c r="D56" s="31" t="s">
        <v>98</v>
      </c>
      <c r="E56" s="31" t="s">
        <v>200</v>
      </c>
      <c r="F56" s="47">
        <v>0</v>
      </c>
      <c r="G56" s="47">
        <v>8</v>
      </c>
      <c r="H56" s="47">
        <v>59048</v>
      </c>
      <c r="I56" s="47">
        <v>59048</v>
      </c>
      <c r="J56" s="31" t="s">
        <v>201</v>
      </c>
      <c r="K56" s="47">
        <v>59048</v>
      </c>
      <c r="L56" s="154" t="s">
        <v>50</v>
      </c>
      <c r="M56" s="155">
        <f t="shared" si="8"/>
        <v>0</v>
      </c>
      <c r="N56" s="156" t="str">
        <f>VLOOKUP(C56,'Trips&amp;Operators'!$C$1:$G$99999,5,FALSE)</f>
        <v>DAVIS WENDY</v>
      </c>
      <c r="O56" s="186" t="s">
        <v>195</v>
      </c>
      <c r="P56" s="157"/>
      <c r="Q56" s="31"/>
      <c r="R56" s="100" t="str">
        <f>VLOOKUP(C56,'Train Runs'!$A$13:$AE$9971,31,0)</f>
        <v>aws s3 cp s3://rtdc.mdm.uploadarchive.raw/RTDC4016/ "%USERPROFILE%\AppData\Local\Temp\OnboardLogs"\RTDC4016\2016-12-19 --exclude "*" --recursive --include "*20161219*" &amp; "%USERPROFILE%\Documents\GitHub\mrs-test-scripts\Headless Mode &amp; Sideloading\WalkAndUnGZ.bat" "%USERPROFILE%\AppData\Local\Temp\OnboardLogs"\RTDC4016\2016-12-19 &amp; 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</v>
      </c>
      <c r="S56" s="103" t="str">
        <f>VLOOKUP(C56,'Train Runs'!$A$13:$AE$9971,22,0)</f>
        <v>https://search-rtdc-monitor-bjffxe2xuh6vdkpspy63sjmuny.us-east-1.es.amazonaws.com/_plugin/kibana/#/discover/Steve-Slow-Train-Analysis-(2080s-and-2083s)?_g=(refreshInterval:(display:Off,section:0,value:0),time:(from:'2016-12-19 03:58:13-700',mode:absolute,to:'2016-12-19 06:08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56" s="105" t="str">
        <f t="shared" si="9"/>
        <v>"C:\Program Files (x86)\AstroGrep\AstroGrep.exe" /spath="%USERPROFILE%\AppData\Local\Temp\OnboardLogs" /stypes="*4016*201612191*" /stext=" 12:.+((SYSTEM_STATE.+slice.+state.+changed )|(ment ac)|(multiple cpu faults)|(system.+state.+changed )|(\[timeout)|(PRM\|1\|D)|(kpr)|(kdp)|(\|lc)|(penalty))" /e /r /s</v>
      </c>
      <c r="U56" s="9" t="str">
        <f t="shared" si="10"/>
        <v>4016</v>
      </c>
      <c r="V56" s="36">
        <f t="shared" si="11"/>
        <v>42723.505636574075</v>
      </c>
      <c r="W56" s="50" t="str">
        <f t="shared" si="12"/>
        <v>Other</v>
      </c>
      <c r="X56" s="50" t="str">
        <f t="shared" si="13"/>
        <v>OMIT</v>
      </c>
      <c r="Y56" s="119" t="str">
        <f t="shared" si="14"/>
        <v>echo {"issue":{"subject":"","project_id":79,"tracker_id":40,"status_id":1,"priority_id":2,"assigned_to_id":23,"start_date":"2016-12-19","description":"","custom_fields":[{"id":1,"name":"Subdivision","value":"Other"},{"id":4,"name":"Milepost","value":"5.9048"},{"id":17,"name":"Train ID","value":"901-19"},{"id":16,"name":"Locomotive ID","value":"4016"},{"id":130,"name":"Impact","value":""},{"id":150,"name":"Time of Event (Mountain Time)","value":"05:08:07"},{"id":151,"name":"Denver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 t="shared" si="15"/>
        <v>grep -hSE -A100 "Enforcement Action" "%USERPROFILE%\AppData\Local\Temp\OnboardLogs"\RTDC4016\*4016*201612191*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"&amp;Variables!$A$2&amp;"-slicedisagreementcheck.txt"</f>
        <v>grep -hSE "Enforcement Action" "%USERPROFILE%\AppData\Local\Temp\OnboardLogs"\RTDC4016\*4016*201612191* &gt;&gt; 42723-slicedisagreementcheck.txt</v>
      </c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P73"/>
      <c r="R73"/>
      <c r="S73"/>
      <c r="T73"/>
      <c r="V73"/>
      <c r="AC73"/>
    </row>
  </sheetData>
  <autoFilter ref="A6:AC44">
    <sortState ref="A7:AC56">
      <sortCondition ref="W7:W56"/>
      <sortCondition ref="E7:E56"/>
      <sortCondition ref="K7:K56"/>
      <sortCondition ref="F7:F56"/>
    </sortState>
  </autoFilter>
  <sortState ref="A7:AD48">
    <sortCondition ref="W7:W48"/>
    <sortCondition ref="E7:E48"/>
    <sortCondition ref="K7:K48"/>
    <sortCondition ref="C7:C48"/>
    <sortCondition ref="F7:F48"/>
  </sortState>
  <mergeCells count="1">
    <mergeCell ref="A5:O5"/>
  </mergeCells>
  <conditionalFormatting sqref="O6:P6 R6 O74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E8" sqref="E8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2" t="str">
        <f>"Trips that did not appear in PTC Data "&amp;TEXT(Variables!$A$2,"YYYY-mm-dd")</f>
        <v>Trips that did not appear in PTC Data 2016-12-19</v>
      </c>
      <c r="C1" s="182"/>
      <c r="D1" s="182"/>
      <c r="E1" s="182"/>
      <c r="F1" s="182"/>
    </row>
    <row r="2" spans="1:11" s="24" customFormat="1" ht="45" x14ac:dyDescent="0.25">
      <c r="A2" s="179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105</v>
      </c>
      <c r="B3" s="47" t="str">
        <f>A3&amp;"-"&amp;IF(DAY(Variables!$A$2)&lt;10,0,"")&amp;DAY(Variables!$A$2)</f>
        <v>105-19</v>
      </c>
      <c r="C3" s="158"/>
      <c r="D3" s="163"/>
      <c r="E3" s="31" t="s">
        <v>980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22105-19%22)),sort:!(Time,asc))</v>
      </c>
      <c r="J3" s="31" t="str">
        <f>VLOOKUP(B3,'Train Runs'!$A$13:$A$99968,1,FALSE)</f>
        <v>105-19</v>
      </c>
      <c r="K3" s="31" t="e">
        <f>IF(VLOOKUP(A3,$K$26:$K$49,1,FALSE),"Cancelled")</f>
        <v>#N/A</v>
      </c>
    </row>
    <row r="4" spans="1:11" x14ac:dyDescent="0.25">
      <c r="A4" s="171">
        <v>128</v>
      </c>
      <c r="B4" s="47" t="str">
        <f>A4&amp;"-"&amp;IF(DAY(Variables!$A$2)&lt;10,0,"")&amp;DAY(Variables!$A$2)</f>
        <v>128-19</v>
      </c>
      <c r="C4" s="158"/>
      <c r="D4" s="163"/>
      <c r="E4" s="31" t="s">
        <v>980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22128-19%22)),sort:!(Time,asc))</v>
      </c>
      <c r="J4" s="31" t="e">
        <f>VLOOKUP(B4,'Train Runs'!$A$13:$A$99968,1,FALSE)</f>
        <v>#N/A</v>
      </c>
      <c r="K4" s="31" t="e">
        <f>IF(VLOOKUP(A4,$K$26:$K$49,1,FALSE),"Cancelled")</f>
        <v>#N/A</v>
      </c>
    </row>
    <row r="5" spans="1:11" x14ac:dyDescent="0.25">
      <c r="A5" s="171">
        <v>232</v>
      </c>
      <c r="B5" s="47" t="str">
        <f>A5&amp;"-"&amp;IF(DAY(Variables!$A$2)&lt;10,0,"")&amp;DAY(Variables!$A$2)</f>
        <v>232-19</v>
      </c>
      <c r="C5" s="158"/>
      <c r="D5" s="163"/>
      <c r="E5" s="31" t="s">
        <v>980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22232-19%22)),sort:!(Time,asc))</v>
      </c>
      <c r="J5" s="31" t="e">
        <f>VLOOKUP(B5,'Train Runs'!$A$13:$A$99968,1,FALSE)</f>
        <v>#N/A</v>
      </c>
      <c r="K5" s="31" t="e">
        <f>IF(VLOOKUP(A5,$K$26:$K$49,1,FALSE),"Cancelled")</f>
        <v>#N/A</v>
      </c>
    </row>
    <row r="6" spans="1:11" x14ac:dyDescent="0.25">
      <c r="A6" s="171">
        <v>237</v>
      </c>
      <c r="B6" s="47" t="str">
        <f>A6&amp;"-"&amp;IF(DAY(Variables!$A$2)&lt;10,0,"")&amp;DAY(Variables!$A$2)</f>
        <v>237-19</v>
      </c>
      <c r="C6" s="158"/>
      <c r="D6" s="163"/>
      <c r="E6" s="31" t="s">
        <v>980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22237-19%22)),sort:!(Time,asc))</v>
      </c>
      <c r="J6" s="31" t="e">
        <f>VLOOKUP(B6,'Train Runs'!$A$13:$A$99968,1,FALSE)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-19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7" s="31" t="e">
        <f>VLOOKUP(B7,'Train Runs'!$A$13:$A$99968,1,FALSE)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-19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8" s="31" t="e">
        <f>VLOOKUP(B8,'Train Runs'!$A$13:$A$99968,1,FALSE)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-19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9" s="31" t="e">
        <f>VLOOKUP(B9,'Train Runs'!$A$13:$A$99968,1,FALSE)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-19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0" s="31" t="e">
        <f>VLOOKUP(B10,'Train Runs'!$A$13:$A$99968,1,FALSE)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-19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1" s="31" t="e">
        <f>VLOOKUP(B11,'Train Runs'!$A$13:$A$99968,1,FALSE)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-19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2" s="31" t="e">
        <f>VLOOKUP(B12,'Train Runs'!$A$13:$A$99968,1,FALSE)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-19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3" s="31" t="e">
        <f>VLOOKUP(B13,'Train Runs'!$A$13:$A$99968,1,FALSE)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-19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4" s="31" t="e">
        <f>VLOOKUP(B14,'Train Runs'!$A$13:$A$99968,1,FALSE)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-19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5" s="31" t="e">
        <f>VLOOKUP(B15,'Train Runs'!$A$13:$A$99968,1,FALSE)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-19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6" s="31" t="e">
        <f>VLOOKUP(B16,'Train Runs'!$A$13:$A$99968,1,FALSE)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-19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7" s="31" t="e">
        <f>VLOOKUP(B17,'Train Runs'!$A$13:$A$99968,1,FALSE)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-19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8" s="31" t="e">
        <f>VLOOKUP(B18,'Train Runs'!$A$13:$A$99968,1,FALSE)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254</v>
      </c>
      <c r="G1" s="8" t="s">
        <v>253</v>
      </c>
    </row>
    <row r="2" spans="1:7" x14ac:dyDescent="0.25">
      <c r="A2" s="8">
        <v>42723.047997685186</v>
      </c>
      <c r="B2" s="21" t="s">
        <v>282</v>
      </c>
      <c r="C2" s="21" t="s">
        <v>491</v>
      </c>
      <c r="D2" s="164">
        <v>1810000</v>
      </c>
      <c r="E2" s="21" t="s">
        <v>432</v>
      </c>
      <c r="F2" s="21" t="s">
        <v>252</v>
      </c>
      <c r="G2" s="8" t="str">
        <f>E2&amp;" "&amp;F2</f>
        <v>NEWELL JAMES</v>
      </c>
    </row>
    <row r="3" spans="1:7" x14ac:dyDescent="0.25">
      <c r="A3" s="8">
        <v>42723.057719907411</v>
      </c>
      <c r="B3" s="21" t="s">
        <v>461</v>
      </c>
      <c r="C3" s="21" t="s">
        <v>492</v>
      </c>
      <c r="D3" s="164">
        <v>2000000</v>
      </c>
      <c r="E3" s="21" t="s">
        <v>209</v>
      </c>
      <c r="F3" s="21" t="s">
        <v>252</v>
      </c>
      <c r="G3" s="8" t="str">
        <f t="shared" ref="G3:G66" si="0">E3&amp;" "&amp;F3</f>
        <v>STAMBAUGH JAMES</v>
      </c>
    </row>
    <row r="4" spans="1:7" x14ac:dyDescent="0.25">
      <c r="A4" s="8">
        <v>42723.07167824074</v>
      </c>
      <c r="B4" s="21" t="s">
        <v>225</v>
      </c>
      <c r="C4" s="21" t="s">
        <v>493</v>
      </c>
      <c r="D4" s="164">
        <v>2230000</v>
      </c>
      <c r="E4" s="21" t="s">
        <v>426</v>
      </c>
      <c r="F4" s="21" t="s">
        <v>264</v>
      </c>
      <c r="G4" s="8" t="str">
        <f t="shared" si="0"/>
        <v>SMITH MICHAEL</v>
      </c>
    </row>
    <row r="5" spans="1:7" x14ac:dyDescent="0.25">
      <c r="A5" s="8">
        <v>42723.08871527778</v>
      </c>
      <c r="B5" s="21" t="s">
        <v>459</v>
      </c>
      <c r="C5" s="21" t="s">
        <v>494</v>
      </c>
      <c r="D5" s="164">
        <v>2000000</v>
      </c>
      <c r="E5" s="21" t="s">
        <v>209</v>
      </c>
      <c r="F5" s="21" t="s">
        <v>252</v>
      </c>
      <c r="G5" s="8" t="str">
        <f t="shared" si="0"/>
        <v>STAMBAUGH JAMES</v>
      </c>
    </row>
    <row r="6" spans="1:7" x14ac:dyDescent="0.25">
      <c r="A6" s="8">
        <v>42723.111840277779</v>
      </c>
      <c r="B6" s="21" t="s">
        <v>210</v>
      </c>
      <c r="C6" s="21" t="s">
        <v>495</v>
      </c>
      <c r="D6" s="164">
        <v>2110000</v>
      </c>
      <c r="E6" s="21" t="s">
        <v>464</v>
      </c>
      <c r="F6" s="21" t="s">
        <v>465</v>
      </c>
      <c r="G6" s="8" t="str">
        <f t="shared" si="0"/>
        <v>OUN ZACK</v>
      </c>
    </row>
    <row r="7" spans="1:7" x14ac:dyDescent="0.25">
      <c r="A7" s="8">
        <v>42723.11440972222</v>
      </c>
      <c r="B7" s="21" t="s">
        <v>210</v>
      </c>
      <c r="C7" s="21" t="s">
        <v>495</v>
      </c>
      <c r="D7" s="164">
        <v>2110000</v>
      </c>
      <c r="E7" s="21" t="s">
        <v>464</v>
      </c>
      <c r="F7" s="21" t="s">
        <v>465</v>
      </c>
      <c r="G7" s="8" t="str">
        <f t="shared" si="0"/>
        <v>OUN ZACK</v>
      </c>
    </row>
    <row r="8" spans="1:7" x14ac:dyDescent="0.25">
      <c r="A8" s="8">
        <v>42723.131111111114</v>
      </c>
      <c r="B8" s="21" t="s">
        <v>458</v>
      </c>
      <c r="C8" s="21" t="s">
        <v>568</v>
      </c>
      <c r="D8" s="164">
        <v>2110000</v>
      </c>
      <c r="E8" s="21" t="s">
        <v>464</v>
      </c>
      <c r="F8" s="21" t="s">
        <v>465</v>
      </c>
      <c r="G8" s="8" t="str">
        <f t="shared" si="0"/>
        <v>OUN ZACK</v>
      </c>
    </row>
    <row r="9" spans="1:7" ht="15.75" thickBot="1" x14ac:dyDescent="0.3">
      <c r="A9" s="25">
        <v>42723.141053240739</v>
      </c>
      <c r="B9" s="21" t="s">
        <v>527</v>
      </c>
      <c r="C9" s="21" t="s">
        <v>569</v>
      </c>
      <c r="D9" s="164">
        <v>2010000</v>
      </c>
      <c r="E9" s="21" t="s">
        <v>289</v>
      </c>
      <c r="F9" s="21" t="s">
        <v>290</v>
      </c>
      <c r="G9" s="8" t="str">
        <f t="shared" si="0"/>
        <v>MAELZER KURT</v>
      </c>
    </row>
    <row r="10" spans="1:7" x14ac:dyDescent="0.25">
      <c r="A10" s="8">
        <v>42723.153240740743</v>
      </c>
      <c r="B10" s="21" t="s">
        <v>183</v>
      </c>
      <c r="C10" s="21" t="s">
        <v>526</v>
      </c>
      <c r="D10" s="164">
        <v>2610000</v>
      </c>
      <c r="E10" s="21" t="s">
        <v>570</v>
      </c>
      <c r="F10" s="21" t="s">
        <v>571</v>
      </c>
      <c r="G10" s="8" t="str">
        <f t="shared" si="0"/>
        <v>MAGEE KENYA</v>
      </c>
    </row>
    <row r="11" spans="1:7" x14ac:dyDescent="0.25">
      <c r="A11" s="8">
        <v>42723.163680555554</v>
      </c>
      <c r="B11" s="21" t="s">
        <v>155</v>
      </c>
      <c r="C11" s="21" t="s">
        <v>572</v>
      </c>
      <c r="D11" s="164">
        <v>1110000</v>
      </c>
      <c r="E11" s="21" t="s">
        <v>573</v>
      </c>
      <c r="F11" s="21" t="s">
        <v>574</v>
      </c>
      <c r="G11" s="8" t="str">
        <f t="shared" si="0"/>
        <v>STARKS ANGELINA</v>
      </c>
    </row>
    <row r="12" spans="1:7" x14ac:dyDescent="0.25">
      <c r="A12" s="8">
        <v>42723.169791666667</v>
      </c>
      <c r="B12" s="21" t="s">
        <v>280</v>
      </c>
      <c r="C12" s="21" t="s">
        <v>575</v>
      </c>
      <c r="D12" s="164">
        <v>2600000</v>
      </c>
      <c r="E12" s="21" t="s">
        <v>234</v>
      </c>
      <c r="F12" s="21" t="s">
        <v>251</v>
      </c>
      <c r="G12" s="8" t="str">
        <f t="shared" si="0"/>
        <v>DAVIDSON DAVID</v>
      </c>
    </row>
    <row r="13" spans="1:7" x14ac:dyDescent="0.25">
      <c r="A13" s="8">
        <v>42723.170173611114</v>
      </c>
      <c r="B13" s="21" t="s">
        <v>210</v>
      </c>
      <c r="C13" s="21" t="s">
        <v>576</v>
      </c>
      <c r="D13" s="164">
        <v>2110000</v>
      </c>
      <c r="E13" s="21" t="s">
        <v>464</v>
      </c>
      <c r="F13" s="21" t="s">
        <v>465</v>
      </c>
      <c r="G13" s="8" t="str">
        <f t="shared" si="0"/>
        <v>OUN ZACK</v>
      </c>
    </row>
    <row r="14" spans="1:7" x14ac:dyDescent="0.25">
      <c r="A14" s="8">
        <v>42723.177384259259</v>
      </c>
      <c r="B14" s="21" t="s">
        <v>236</v>
      </c>
      <c r="C14" s="21" t="s">
        <v>577</v>
      </c>
      <c r="D14" s="164">
        <v>2020000</v>
      </c>
      <c r="E14" s="21" t="s">
        <v>431</v>
      </c>
      <c r="F14" s="21" t="s">
        <v>250</v>
      </c>
      <c r="G14" s="8" t="str">
        <f t="shared" si="0"/>
        <v>SHOOK JOHN</v>
      </c>
    </row>
    <row r="15" spans="1:7" x14ac:dyDescent="0.25">
      <c r="A15" s="8">
        <v>42723.185810185183</v>
      </c>
      <c r="B15" s="21" t="s">
        <v>214</v>
      </c>
      <c r="C15" s="21" t="s">
        <v>578</v>
      </c>
      <c r="D15" s="164">
        <v>2600000</v>
      </c>
      <c r="E15" s="21" t="s">
        <v>234</v>
      </c>
      <c r="F15" s="21" t="s">
        <v>251</v>
      </c>
      <c r="G15" s="8" t="str">
        <f t="shared" si="0"/>
        <v>DAVIDSON DAVID</v>
      </c>
    </row>
    <row r="16" spans="1:7" x14ac:dyDescent="0.25">
      <c r="A16" s="8">
        <v>42723.19054398148</v>
      </c>
      <c r="B16" s="21" t="s">
        <v>527</v>
      </c>
      <c r="C16" s="21" t="s">
        <v>528</v>
      </c>
      <c r="D16" s="164">
        <v>2610000</v>
      </c>
      <c r="E16" s="21" t="s">
        <v>570</v>
      </c>
      <c r="F16" s="21" t="s">
        <v>571</v>
      </c>
      <c r="G16" s="8" t="str">
        <f t="shared" si="0"/>
        <v>MAGEE KENYA</v>
      </c>
    </row>
    <row r="17" spans="1:7" x14ac:dyDescent="0.25">
      <c r="A17" s="8">
        <v>42723.194178240738</v>
      </c>
      <c r="B17" s="21" t="s">
        <v>460</v>
      </c>
      <c r="C17" s="21" t="s">
        <v>579</v>
      </c>
      <c r="D17" s="164">
        <v>2020000</v>
      </c>
      <c r="E17" s="21" t="s">
        <v>431</v>
      </c>
      <c r="F17" s="21" t="s">
        <v>250</v>
      </c>
      <c r="G17" s="8" t="str">
        <f t="shared" si="0"/>
        <v>SHOOK JOHN</v>
      </c>
    </row>
    <row r="18" spans="1:7" x14ac:dyDescent="0.25">
      <c r="A18" s="8">
        <v>42723.207592592589</v>
      </c>
      <c r="B18" s="21" t="s">
        <v>244</v>
      </c>
      <c r="C18" s="21" t="s">
        <v>529</v>
      </c>
      <c r="D18" s="164">
        <v>1990000</v>
      </c>
      <c r="E18" s="21" t="s">
        <v>265</v>
      </c>
      <c r="F18" s="21" t="s">
        <v>423</v>
      </c>
      <c r="G18" s="8" t="str">
        <f t="shared" si="0"/>
        <v>DAVIS WENDY</v>
      </c>
    </row>
    <row r="19" spans="1:7" x14ac:dyDescent="0.25">
      <c r="A19" s="8">
        <v>42723.207800925928</v>
      </c>
      <c r="B19" s="21" t="s">
        <v>458</v>
      </c>
      <c r="C19" s="21" t="s">
        <v>580</v>
      </c>
      <c r="D19" s="164">
        <v>2710000</v>
      </c>
      <c r="E19" s="21" t="s">
        <v>581</v>
      </c>
      <c r="F19" s="21" t="s">
        <v>582</v>
      </c>
      <c r="G19" s="8" t="str">
        <f t="shared" si="0"/>
        <v>SIMMONS SHYHESHA</v>
      </c>
    </row>
    <row r="20" spans="1:7" x14ac:dyDescent="0.25">
      <c r="A20" s="8">
        <v>42723.214143518519</v>
      </c>
      <c r="B20" s="21" t="s">
        <v>204</v>
      </c>
      <c r="C20" s="21" t="s">
        <v>583</v>
      </c>
      <c r="D20" s="164">
        <v>2110000</v>
      </c>
      <c r="E20" s="21" t="s">
        <v>464</v>
      </c>
      <c r="F20" s="21" t="s">
        <v>465</v>
      </c>
      <c r="G20" s="8" t="str">
        <f t="shared" si="0"/>
        <v>OUN ZACK</v>
      </c>
    </row>
    <row r="21" spans="1:7" x14ac:dyDescent="0.25">
      <c r="A21" s="8">
        <v>42723.21533564815</v>
      </c>
      <c r="B21" s="21" t="s">
        <v>259</v>
      </c>
      <c r="C21" s="21" t="s">
        <v>584</v>
      </c>
      <c r="D21" s="164">
        <v>1990000</v>
      </c>
      <c r="E21" s="21" t="s">
        <v>265</v>
      </c>
      <c r="F21" s="21" t="s">
        <v>423</v>
      </c>
      <c r="G21" s="8" t="str">
        <f t="shared" si="0"/>
        <v>DAVIS WENDY</v>
      </c>
    </row>
    <row r="22" spans="1:7" x14ac:dyDescent="0.25">
      <c r="A22" s="27">
        <v>42723.217002314814</v>
      </c>
      <c r="B22" s="21" t="s">
        <v>155</v>
      </c>
      <c r="C22" s="21" t="s">
        <v>530</v>
      </c>
      <c r="D22" s="164">
        <v>1110000</v>
      </c>
      <c r="E22" s="21" t="s">
        <v>573</v>
      </c>
      <c r="F22" s="21" t="s">
        <v>574</v>
      </c>
      <c r="G22" s="8" t="str">
        <f t="shared" si="0"/>
        <v>STARKS ANGELINA</v>
      </c>
    </row>
    <row r="23" spans="1:7" x14ac:dyDescent="0.25">
      <c r="A23" s="8">
        <v>42723.218784722223</v>
      </c>
      <c r="B23" s="21" t="s">
        <v>280</v>
      </c>
      <c r="C23" s="21" t="s">
        <v>534</v>
      </c>
      <c r="D23" s="164">
        <v>2600000</v>
      </c>
      <c r="E23" s="21" t="s">
        <v>234</v>
      </c>
      <c r="F23" s="21" t="s">
        <v>251</v>
      </c>
      <c r="G23" s="8" t="str">
        <f t="shared" si="0"/>
        <v>DAVIDSON DAVID</v>
      </c>
    </row>
    <row r="24" spans="1:7" x14ac:dyDescent="0.25">
      <c r="A24" s="8">
        <v>42723.229837962965</v>
      </c>
      <c r="B24" s="21" t="s">
        <v>183</v>
      </c>
      <c r="C24" s="21" t="s">
        <v>533</v>
      </c>
      <c r="D24" s="164">
        <v>2140000</v>
      </c>
      <c r="E24" s="21" t="s">
        <v>424</v>
      </c>
      <c r="F24" s="21" t="s">
        <v>425</v>
      </c>
      <c r="G24" s="8" t="str">
        <f t="shared" si="0"/>
        <v>ROBINSON KADDIBA</v>
      </c>
    </row>
    <row r="25" spans="1:7" x14ac:dyDescent="0.25">
      <c r="A25" s="8">
        <v>42723.232928240737</v>
      </c>
      <c r="B25" s="21" t="s">
        <v>585</v>
      </c>
      <c r="C25" s="21" t="s">
        <v>586</v>
      </c>
      <c r="D25" s="164">
        <v>2610000</v>
      </c>
      <c r="E25" s="21" t="s">
        <v>570</v>
      </c>
      <c r="F25" s="21" t="s">
        <v>571</v>
      </c>
      <c r="G25" s="8" t="str">
        <f t="shared" si="0"/>
        <v>MAGEE KENYA</v>
      </c>
    </row>
    <row r="26" spans="1:7" x14ac:dyDescent="0.25">
      <c r="A26" s="8">
        <v>42723.233472222222</v>
      </c>
      <c r="B26" s="21" t="s">
        <v>236</v>
      </c>
      <c r="C26" s="21" t="s">
        <v>587</v>
      </c>
      <c r="D26" s="164">
        <v>2020000</v>
      </c>
      <c r="E26" s="21" t="s">
        <v>431</v>
      </c>
      <c r="F26" s="21" t="s">
        <v>250</v>
      </c>
      <c r="G26" s="8" t="str">
        <f t="shared" si="0"/>
        <v>SHOOK JOHN</v>
      </c>
    </row>
    <row r="27" spans="1:7" x14ac:dyDescent="0.25">
      <c r="A27" s="8">
        <v>42723.235949074071</v>
      </c>
      <c r="B27" s="21" t="s">
        <v>457</v>
      </c>
      <c r="C27" s="21" t="s">
        <v>588</v>
      </c>
      <c r="D27" s="164">
        <v>2710000</v>
      </c>
      <c r="E27" s="21" t="s">
        <v>581</v>
      </c>
      <c r="F27" s="21" t="s">
        <v>582</v>
      </c>
      <c r="G27" s="8" t="str">
        <f t="shared" si="0"/>
        <v>SIMMONS SHYHESHA</v>
      </c>
    </row>
    <row r="28" spans="1:7" x14ac:dyDescent="0.25">
      <c r="A28" s="8">
        <v>42723.242106481484</v>
      </c>
      <c r="B28" s="21" t="s">
        <v>244</v>
      </c>
      <c r="C28" s="21" t="s">
        <v>589</v>
      </c>
      <c r="D28" s="164">
        <v>1990000</v>
      </c>
      <c r="E28" s="21" t="s">
        <v>265</v>
      </c>
      <c r="F28" s="21" t="s">
        <v>423</v>
      </c>
      <c r="G28" s="8" t="str">
        <f t="shared" si="0"/>
        <v>DAVIS WENDY</v>
      </c>
    </row>
    <row r="29" spans="1:7" x14ac:dyDescent="0.25">
      <c r="A29" s="8">
        <v>42723.248784722222</v>
      </c>
      <c r="B29" s="21" t="s">
        <v>287</v>
      </c>
      <c r="C29" s="21" t="s">
        <v>590</v>
      </c>
      <c r="D29" s="164">
        <v>1230000</v>
      </c>
      <c r="E29" s="21" t="s">
        <v>591</v>
      </c>
      <c r="F29" s="21" t="s">
        <v>592</v>
      </c>
      <c r="G29" s="8" t="str">
        <f t="shared" si="0"/>
        <v>YANAI IAN</v>
      </c>
    </row>
    <row r="30" spans="1:7" x14ac:dyDescent="0.25">
      <c r="A30" s="8">
        <v>42723.249710648146</v>
      </c>
      <c r="B30" s="21" t="s">
        <v>183</v>
      </c>
      <c r="C30" s="21" t="s">
        <v>533</v>
      </c>
      <c r="D30" s="164">
        <v>2140000</v>
      </c>
      <c r="E30" s="21" t="s">
        <v>424</v>
      </c>
      <c r="F30" s="21" t="s">
        <v>425</v>
      </c>
      <c r="G30" s="8" t="str">
        <f t="shared" si="0"/>
        <v>ROBINSON KADDIBA</v>
      </c>
    </row>
    <row r="31" spans="1:7" x14ac:dyDescent="0.25">
      <c r="A31" s="8">
        <v>42723.252974537034</v>
      </c>
      <c r="B31" s="21" t="s">
        <v>233</v>
      </c>
      <c r="C31" s="21" t="s">
        <v>593</v>
      </c>
      <c r="D31" s="164">
        <v>2720000</v>
      </c>
      <c r="E31" s="21" t="s">
        <v>594</v>
      </c>
      <c r="F31" s="21" t="s">
        <v>595</v>
      </c>
      <c r="G31" s="8" t="str">
        <f t="shared" si="0"/>
        <v>SIMONEAUX TERA</v>
      </c>
    </row>
    <row r="32" spans="1:7" x14ac:dyDescent="0.25">
      <c r="A32" s="8">
        <v>42723.25371527778</v>
      </c>
      <c r="B32" s="21" t="s">
        <v>210</v>
      </c>
      <c r="C32" s="21" t="s">
        <v>596</v>
      </c>
      <c r="D32" s="164">
        <v>2110000</v>
      </c>
      <c r="E32" s="21" t="s">
        <v>464</v>
      </c>
      <c r="F32" s="21" t="s">
        <v>465</v>
      </c>
      <c r="G32" s="8" t="str">
        <f t="shared" si="0"/>
        <v>OUN ZACK</v>
      </c>
    </row>
    <row r="33" spans="1:7" x14ac:dyDescent="0.25">
      <c r="A33" s="8">
        <v>42723.255196759259</v>
      </c>
      <c r="B33" s="21" t="s">
        <v>259</v>
      </c>
      <c r="C33" s="21" t="s">
        <v>535</v>
      </c>
      <c r="D33" s="164">
        <v>1990000</v>
      </c>
      <c r="E33" s="21" t="s">
        <v>265</v>
      </c>
      <c r="F33" s="21" t="s">
        <v>423</v>
      </c>
      <c r="G33" s="8" t="str">
        <f t="shared" si="0"/>
        <v>DAVIS WENDY</v>
      </c>
    </row>
    <row r="34" spans="1:7" x14ac:dyDescent="0.25">
      <c r="A34" s="8">
        <v>42723.256342592591</v>
      </c>
      <c r="B34" s="21" t="s">
        <v>214</v>
      </c>
      <c r="C34" s="21" t="s">
        <v>597</v>
      </c>
      <c r="D34" s="164">
        <v>2600000</v>
      </c>
      <c r="E34" s="21" t="s">
        <v>234</v>
      </c>
      <c r="F34" s="21" t="s">
        <v>251</v>
      </c>
      <c r="G34" s="8" t="str">
        <f t="shared" si="0"/>
        <v>DAVIDSON DAVID</v>
      </c>
    </row>
    <row r="35" spans="1:7" x14ac:dyDescent="0.25">
      <c r="A35" s="8">
        <v>42723.260208333333</v>
      </c>
      <c r="B35" s="21" t="s">
        <v>422</v>
      </c>
      <c r="C35" s="21" t="s">
        <v>598</v>
      </c>
      <c r="D35" s="164">
        <v>2140000</v>
      </c>
      <c r="E35" s="21" t="s">
        <v>424</v>
      </c>
      <c r="F35" s="21" t="s">
        <v>425</v>
      </c>
      <c r="G35" s="8" t="str">
        <f t="shared" si="0"/>
        <v>ROBINSON KADDIBA</v>
      </c>
    </row>
    <row r="36" spans="1:7" x14ac:dyDescent="0.25">
      <c r="A36" s="8">
        <v>42723.265104166669</v>
      </c>
      <c r="B36" s="21" t="s">
        <v>232</v>
      </c>
      <c r="C36" s="21" t="s">
        <v>599</v>
      </c>
      <c r="D36" s="164">
        <v>2720000</v>
      </c>
      <c r="E36" s="21" t="s">
        <v>594</v>
      </c>
      <c r="F36" s="21" t="s">
        <v>595</v>
      </c>
      <c r="G36" s="8" t="str">
        <f t="shared" si="0"/>
        <v>SIMONEAUX TERA</v>
      </c>
    </row>
    <row r="37" spans="1:7" x14ac:dyDescent="0.25">
      <c r="A37" s="8">
        <v>42723.268726851849</v>
      </c>
      <c r="B37" s="21" t="s">
        <v>460</v>
      </c>
      <c r="C37" s="21" t="s">
        <v>600</v>
      </c>
      <c r="D37" s="164">
        <v>2020000</v>
      </c>
      <c r="E37" s="21" t="s">
        <v>431</v>
      </c>
      <c r="F37" s="21" t="s">
        <v>250</v>
      </c>
      <c r="G37" s="8" t="str">
        <f t="shared" si="0"/>
        <v>SHOOK JOHN</v>
      </c>
    </row>
    <row r="38" spans="1:7" x14ac:dyDescent="0.25">
      <c r="A38" s="8">
        <v>42723.275821759256</v>
      </c>
      <c r="B38" s="21" t="s">
        <v>527</v>
      </c>
      <c r="C38" s="21" t="s">
        <v>601</v>
      </c>
      <c r="D38" s="164">
        <v>2610000</v>
      </c>
      <c r="E38" s="21" t="s">
        <v>570</v>
      </c>
      <c r="F38" s="21" t="s">
        <v>571</v>
      </c>
      <c r="G38" s="8" t="str">
        <f t="shared" si="0"/>
        <v>MAGEE KENYA</v>
      </c>
    </row>
    <row r="39" spans="1:7" x14ac:dyDescent="0.25">
      <c r="A39" s="8">
        <v>42723.276782407411</v>
      </c>
      <c r="B39" s="21" t="s">
        <v>288</v>
      </c>
      <c r="C39" s="21" t="s">
        <v>602</v>
      </c>
      <c r="D39" s="164">
        <v>1230000</v>
      </c>
      <c r="E39" s="21" t="s">
        <v>591</v>
      </c>
      <c r="F39" s="21" t="s">
        <v>592</v>
      </c>
      <c r="G39" s="8" t="str">
        <f t="shared" si="0"/>
        <v>YANAI IAN</v>
      </c>
    </row>
    <row r="40" spans="1:7" x14ac:dyDescent="0.25">
      <c r="A40" s="8">
        <v>42723.278020833335</v>
      </c>
      <c r="B40" s="26" t="s">
        <v>458</v>
      </c>
      <c r="C40" s="21" t="s">
        <v>603</v>
      </c>
      <c r="D40" s="164">
        <v>2710000</v>
      </c>
      <c r="E40" s="21" t="s">
        <v>581</v>
      </c>
      <c r="F40" s="21" t="s">
        <v>582</v>
      </c>
      <c r="G40" s="8" t="str">
        <f t="shared" si="0"/>
        <v>SIMMONS SHYHESHA</v>
      </c>
    </row>
    <row r="41" spans="1:7" x14ac:dyDescent="0.25">
      <c r="A41" s="8">
        <v>42723.27915509259</v>
      </c>
      <c r="B41" s="21" t="s">
        <v>233</v>
      </c>
      <c r="C41" s="21" t="s">
        <v>604</v>
      </c>
      <c r="D41" s="164">
        <v>2720000</v>
      </c>
      <c r="E41" s="21" t="s">
        <v>594</v>
      </c>
      <c r="F41" s="21" t="s">
        <v>595</v>
      </c>
      <c r="G41" s="8" t="str">
        <f t="shared" si="0"/>
        <v>SIMONEAUX TERA</v>
      </c>
    </row>
    <row r="42" spans="1:7" x14ac:dyDescent="0.25">
      <c r="A42" s="8">
        <v>42723.28361111111</v>
      </c>
      <c r="B42" s="21" t="s">
        <v>244</v>
      </c>
      <c r="C42" s="21" t="s">
        <v>536</v>
      </c>
      <c r="D42" s="164">
        <v>1990000</v>
      </c>
      <c r="E42" s="21" t="s">
        <v>265</v>
      </c>
      <c r="F42" s="21" t="s">
        <v>423</v>
      </c>
      <c r="G42" s="8" t="str">
        <f t="shared" si="0"/>
        <v>DAVIS WENDY</v>
      </c>
    </row>
    <row r="43" spans="1:7" x14ac:dyDescent="0.25">
      <c r="A43" s="8">
        <v>42723.289710648147</v>
      </c>
      <c r="B43" s="21" t="s">
        <v>204</v>
      </c>
      <c r="C43" s="21" t="s">
        <v>605</v>
      </c>
      <c r="D43" s="164">
        <v>2110000</v>
      </c>
      <c r="E43" s="21" t="s">
        <v>464</v>
      </c>
      <c r="F43" s="21" t="s">
        <v>465</v>
      </c>
      <c r="G43" s="8" t="str">
        <f t="shared" si="0"/>
        <v>OUN ZACK</v>
      </c>
    </row>
    <row r="44" spans="1:7" x14ac:dyDescent="0.25">
      <c r="A44" s="8">
        <v>42723.295682870368</v>
      </c>
      <c r="B44" s="21" t="s">
        <v>280</v>
      </c>
      <c r="C44" s="21" t="s">
        <v>606</v>
      </c>
      <c r="D44" s="164">
        <v>2600000</v>
      </c>
      <c r="E44" s="21" t="s">
        <v>234</v>
      </c>
      <c r="F44" s="21" t="s">
        <v>251</v>
      </c>
      <c r="G44" s="8" t="str">
        <f t="shared" si="0"/>
        <v>DAVIDSON DAVID</v>
      </c>
    </row>
    <row r="45" spans="1:7" x14ac:dyDescent="0.25">
      <c r="A45" s="8">
        <v>42723.297233796293</v>
      </c>
      <c r="B45" s="21" t="s">
        <v>259</v>
      </c>
      <c r="C45" s="21" t="s">
        <v>537</v>
      </c>
      <c r="D45" s="164">
        <v>1990000</v>
      </c>
      <c r="E45" s="21" t="s">
        <v>265</v>
      </c>
      <c r="F45" s="21" t="s">
        <v>423</v>
      </c>
      <c r="G45" s="8" t="str">
        <f t="shared" si="0"/>
        <v>DAVIS WENDY</v>
      </c>
    </row>
    <row r="46" spans="1:7" x14ac:dyDescent="0.25">
      <c r="A46" s="8">
        <v>42723.298564814817</v>
      </c>
      <c r="B46" s="21" t="s">
        <v>183</v>
      </c>
      <c r="C46" s="21" t="s">
        <v>607</v>
      </c>
      <c r="D46" s="164">
        <v>2140000</v>
      </c>
      <c r="E46" s="21" t="s">
        <v>424</v>
      </c>
      <c r="F46" s="21" t="s">
        <v>425</v>
      </c>
      <c r="G46" s="8" t="str">
        <f t="shared" si="0"/>
        <v>ROBINSON KADDIBA</v>
      </c>
    </row>
    <row r="47" spans="1:7" x14ac:dyDescent="0.25">
      <c r="A47" s="8">
        <v>42723.305150462962</v>
      </c>
      <c r="B47" s="21" t="s">
        <v>232</v>
      </c>
      <c r="C47" s="21" t="s">
        <v>538</v>
      </c>
      <c r="D47" s="164">
        <v>2720000</v>
      </c>
      <c r="E47" s="21" t="s">
        <v>594</v>
      </c>
      <c r="F47" s="21" t="s">
        <v>595</v>
      </c>
      <c r="G47" s="8" t="str">
        <f t="shared" si="0"/>
        <v>SIMONEAUX TERA</v>
      </c>
    </row>
    <row r="48" spans="1:7" x14ac:dyDescent="0.25">
      <c r="A48" s="8">
        <v>42723.307083333333</v>
      </c>
      <c r="B48" s="21" t="s">
        <v>236</v>
      </c>
      <c r="C48" s="21" t="s">
        <v>608</v>
      </c>
      <c r="D48" s="164">
        <v>2020000</v>
      </c>
      <c r="E48" s="21" t="s">
        <v>431</v>
      </c>
      <c r="F48" s="21" t="s">
        <v>250</v>
      </c>
      <c r="G48" s="8" t="str">
        <f t="shared" si="0"/>
        <v>SHOOK JOHN</v>
      </c>
    </row>
    <row r="49" spans="1:7" x14ac:dyDescent="0.25">
      <c r="A49" s="8">
        <v>42723.309259259258</v>
      </c>
      <c r="B49" s="21" t="s">
        <v>585</v>
      </c>
      <c r="C49" s="21" t="s">
        <v>609</v>
      </c>
      <c r="D49" s="164">
        <v>2610000</v>
      </c>
      <c r="E49" s="21" t="s">
        <v>570</v>
      </c>
      <c r="F49" s="21" t="s">
        <v>571</v>
      </c>
      <c r="G49" s="8" t="str">
        <f t="shared" si="0"/>
        <v>MAGEE KENYA</v>
      </c>
    </row>
    <row r="50" spans="1:7" x14ac:dyDescent="0.25">
      <c r="A50" s="8">
        <v>42723.310069444444</v>
      </c>
      <c r="B50" s="21" t="s">
        <v>457</v>
      </c>
      <c r="C50" s="21" t="s">
        <v>540</v>
      </c>
      <c r="D50" s="164">
        <v>2710000</v>
      </c>
      <c r="E50" s="21" t="s">
        <v>581</v>
      </c>
      <c r="F50" s="21" t="s">
        <v>582</v>
      </c>
      <c r="G50" s="8" t="str">
        <f t="shared" si="0"/>
        <v>SIMMONS SHYHESHA</v>
      </c>
    </row>
    <row r="51" spans="1:7" x14ac:dyDescent="0.25">
      <c r="A51" s="8">
        <v>42723.318483796298</v>
      </c>
      <c r="B51" s="21" t="s">
        <v>233</v>
      </c>
      <c r="C51" s="21" t="s">
        <v>610</v>
      </c>
      <c r="D51" s="164">
        <v>2720000</v>
      </c>
      <c r="E51" s="21" t="s">
        <v>594</v>
      </c>
      <c r="F51" s="21" t="s">
        <v>595</v>
      </c>
      <c r="G51" s="8" t="str">
        <f t="shared" si="0"/>
        <v>SIMONEAUX TERA</v>
      </c>
    </row>
    <row r="52" spans="1:7" x14ac:dyDescent="0.25">
      <c r="A52" s="8">
        <v>42723.320405092592</v>
      </c>
      <c r="B52" s="21" t="s">
        <v>287</v>
      </c>
      <c r="C52" s="21" t="s">
        <v>611</v>
      </c>
      <c r="D52" s="164">
        <v>1110000</v>
      </c>
      <c r="E52" s="21" t="s">
        <v>573</v>
      </c>
      <c r="F52" s="21" t="s">
        <v>574</v>
      </c>
      <c r="G52" s="8" t="str">
        <f t="shared" si="0"/>
        <v>STARKS ANGELINA</v>
      </c>
    </row>
    <row r="53" spans="1:7" x14ac:dyDescent="0.25">
      <c r="A53" s="8">
        <v>42723.320856481485</v>
      </c>
      <c r="B53" s="21" t="s">
        <v>244</v>
      </c>
      <c r="C53" s="21" t="s">
        <v>539</v>
      </c>
      <c r="D53" s="164">
        <v>1990000</v>
      </c>
      <c r="E53" s="21" t="s">
        <v>265</v>
      </c>
      <c r="F53" s="21" t="s">
        <v>423</v>
      </c>
      <c r="G53" s="8" t="str">
        <f t="shared" si="0"/>
        <v>DAVIS WENDY</v>
      </c>
    </row>
    <row r="54" spans="1:7" x14ac:dyDescent="0.25">
      <c r="A54" s="8">
        <v>42723.329097222224</v>
      </c>
      <c r="B54" s="21" t="s">
        <v>214</v>
      </c>
      <c r="C54" s="21" t="s">
        <v>612</v>
      </c>
      <c r="D54" s="164">
        <v>2600000</v>
      </c>
      <c r="E54" s="21" t="s">
        <v>234</v>
      </c>
      <c r="F54" s="21" t="s">
        <v>251</v>
      </c>
      <c r="G54" s="8" t="str">
        <f t="shared" si="0"/>
        <v>DAVIDSON DAVID</v>
      </c>
    </row>
    <row r="55" spans="1:7" x14ac:dyDescent="0.25">
      <c r="A55" s="8">
        <v>42723.330011574071</v>
      </c>
      <c r="B55" s="21" t="s">
        <v>210</v>
      </c>
      <c r="C55" s="21" t="s">
        <v>613</v>
      </c>
      <c r="D55" s="164">
        <v>2110000</v>
      </c>
      <c r="E55" s="21" t="s">
        <v>464</v>
      </c>
      <c r="F55" s="21" t="s">
        <v>465</v>
      </c>
      <c r="G55" s="8" t="str">
        <f t="shared" si="0"/>
        <v>OUN ZACK</v>
      </c>
    </row>
    <row r="56" spans="1:7" x14ac:dyDescent="0.25">
      <c r="A56" s="8">
        <v>42723.330682870372</v>
      </c>
      <c r="B56" s="21" t="s">
        <v>210</v>
      </c>
      <c r="C56" s="21" t="s">
        <v>613</v>
      </c>
      <c r="D56" s="164">
        <v>2110000</v>
      </c>
      <c r="E56" s="21" t="s">
        <v>464</v>
      </c>
      <c r="F56" s="21" t="s">
        <v>465</v>
      </c>
      <c r="G56" s="8" t="str">
        <f t="shared" si="0"/>
        <v>OUN ZACK</v>
      </c>
    </row>
    <row r="57" spans="1:7" x14ac:dyDescent="0.25">
      <c r="A57" s="8">
        <v>42723.331655092596</v>
      </c>
      <c r="B57" s="21" t="s">
        <v>210</v>
      </c>
      <c r="C57" s="21" t="s">
        <v>613</v>
      </c>
      <c r="D57" s="164">
        <v>2110000</v>
      </c>
      <c r="E57" s="21" t="s">
        <v>464</v>
      </c>
      <c r="F57" s="21" t="s">
        <v>465</v>
      </c>
      <c r="G57" s="8" t="str">
        <f t="shared" si="0"/>
        <v>OUN ZACK</v>
      </c>
    </row>
    <row r="58" spans="1:7" x14ac:dyDescent="0.25">
      <c r="A58" s="8">
        <v>42723.338587962964</v>
      </c>
      <c r="B58" s="21" t="s">
        <v>232</v>
      </c>
      <c r="C58" s="21" t="s">
        <v>542</v>
      </c>
      <c r="D58" s="164">
        <v>2720000</v>
      </c>
      <c r="E58" s="21" t="s">
        <v>594</v>
      </c>
      <c r="F58" s="21" t="s">
        <v>595</v>
      </c>
      <c r="G58" s="8" t="str">
        <f t="shared" si="0"/>
        <v>SIMONEAUX TERA</v>
      </c>
    </row>
    <row r="59" spans="1:7" x14ac:dyDescent="0.25">
      <c r="A59" s="8">
        <v>42723.339814814812</v>
      </c>
      <c r="B59" s="21" t="s">
        <v>259</v>
      </c>
      <c r="C59" s="21" t="s">
        <v>541</v>
      </c>
      <c r="D59" s="164">
        <v>1990000</v>
      </c>
      <c r="E59" s="21" t="s">
        <v>265</v>
      </c>
      <c r="F59" s="21" t="s">
        <v>423</v>
      </c>
      <c r="G59" s="8" t="str">
        <f t="shared" si="0"/>
        <v>DAVIS WENDY</v>
      </c>
    </row>
    <row r="60" spans="1:7" x14ac:dyDescent="0.25">
      <c r="A60" s="8">
        <v>42723.339884259258</v>
      </c>
      <c r="B60" s="21" t="s">
        <v>460</v>
      </c>
      <c r="C60" s="21" t="s">
        <v>614</v>
      </c>
      <c r="D60" s="164">
        <v>2020000</v>
      </c>
      <c r="E60" s="21" t="s">
        <v>431</v>
      </c>
      <c r="F60" s="21" t="s">
        <v>250</v>
      </c>
      <c r="G60" s="8" t="str">
        <f t="shared" si="0"/>
        <v>SHOOK JOHN</v>
      </c>
    </row>
    <row r="61" spans="1:7" x14ac:dyDescent="0.25">
      <c r="A61" s="8">
        <v>42723.346562500003</v>
      </c>
      <c r="B61" s="21" t="s">
        <v>422</v>
      </c>
      <c r="C61" s="21" t="s">
        <v>615</v>
      </c>
      <c r="D61" s="164">
        <v>2140000</v>
      </c>
      <c r="E61" s="21" t="s">
        <v>424</v>
      </c>
      <c r="F61" s="21" t="s">
        <v>425</v>
      </c>
      <c r="G61" s="8" t="str">
        <f t="shared" si="0"/>
        <v>ROBINSON KADDIBA</v>
      </c>
    </row>
    <row r="62" spans="1:7" x14ac:dyDescent="0.25">
      <c r="A62" s="8">
        <v>42723.349918981483</v>
      </c>
      <c r="B62" s="21" t="s">
        <v>527</v>
      </c>
      <c r="C62" s="21" t="s">
        <v>616</v>
      </c>
      <c r="D62" s="164">
        <v>2610000</v>
      </c>
      <c r="E62" s="21" t="s">
        <v>570</v>
      </c>
      <c r="F62" s="21" t="s">
        <v>571</v>
      </c>
      <c r="G62" s="8" t="str">
        <f t="shared" si="0"/>
        <v>MAGEE KENYA</v>
      </c>
    </row>
    <row r="63" spans="1:7" x14ac:dyDescent="0.25">
      <c r="A63" s="8">
        <v>42723.352546296293</v>
      </c>
      <c r="B63" s="21" t="s">
        <v>458</v>
      </c>
      <c r="C63" s="21" t="s">
        <v>617</v>
      </c>
      <c r="D63" s="164">
        <v>2710000</v>
      </c>
      <c r="E63" s="21" t="s">
        <v>581</v>
      </c>
      <c r="F63" s="21" t="s">
        <v>582</v>
      </c>
      <c r="G63" s="8" t="str">
        <f t="shared" si="0"/>
        <v>SIMMONS SHYHESHA</v>
      </c>
    </row>
    <row r="64" spans="1:7" x14ac:dyDescent="0.25">
      <c r="A64" s="27">
        <v>42723.353310185186</v>
      </c>
      <c r="B64" s="21" t="s">
        <v>244</v>
      </c>
      <c r="C64" s="21" t="s">
        <v>618</v>
      </c>
      <c r="D64" s="164">
        <v>1990000</v>
      </c>
      <c r="E64" s="21" t="s">
        <v>265</v>
      </c>
      <c r="F64" s="21" t="s">
        <v>423</v>
      </c>
      <c r="G64" s="8" t="str">
        <f t="shared" si="0"/>
        <v>DAVIS WENDY</v>
      </c>
    </row>
    <row r="65" spans="1:7" x14ac:dyDescent="0.25">
      <c r="A65" s="8">
        <v>42723.356585648151</v>
      </c>
      <c r="B65" s="21" t="s">
        <v>229</v>
      </c>
      <c r="C65" s="21" t="s">
        <v>619</v>
      </c>
      <c r="D65" s="164">
        <v>1230000</v>
      </c>
      <c r="E65" s="21" t="s">
        <v>591</v>
      </c>
      <c r="F65" s="21" t="s">
        <v>592</v>
      </c>
      <c r="G65" s="8" t="str">
        <f t="shared" si="0"/>
        <v>YANAI IAN</v>
      </c>
    </row>
    <row r="66" spans="1:7" x14ac:dyDescent="0.25">
      <c r="A66" s="8">
        <v>42723.360671296294</v>
      </c>
      <c r="B66" s="21" t="s">
        <v>288</v>
      </c>
      <c r="C66" s="21" t="s">
        <v>620</v>
      </c>
      <c r="D66" s="164">
        <v>1110000</v>
      </c>
      <c r="E66" s="21" t="s">
        <v>573</v>
      </c>
      <c r="F66" s="21" t="s">
        <v>574</v>
      </c>
      <c r="G66" s="8" t="str">
        <f t="shared" si="0"/>
        <v>STARKS ANGELINA</v>
      </c>
    </row>
    <row r="67" spans="1:7" x14ac:dyDescent="0.25">
      <c r="A67" s="8">
        <v>42723.361180555556</v>
      </c>
      <c r="B67" s="21" t="s">
        <v>233</v>
      </c>
      <c r="C67" s="21" t="s">
        <v>621</v>
      </c>
      <c r="D67" s="164">
        <v>2720000</v>
      </c>
      <c r="E67" s="21" t="s">
        <v>594</v>
      </c>
      <c r="F67" s="21" t="s">
        <v>595</v>
      </c>
      <c r="G67" s="8" t="str">
        <f t="shared" ref="G67:G130" si="1">E67&amp;" "&amp;F67</f>
        <v>SIMONEAUX TERA</v>
      </c>
    </row>
    <row r="68" spans="1:7" x14ac:dyDescent="0.25">
      <c r="A68" s="8">
        <v>42723.369490740741</v>
      </c>
      <c r="B68" s="21" t="s">
        <v>280</v>
      </c>
      <c r="C68" s="21" t="s">
        <v>622</v>
      </c>
      <c r="D68" s="164">
        <v>2600000</v>
      </c>
      <c r="E68" s="21" t="s">
        <v>234</v>
      </c>
      <c r="F68" s="21" t="s">
        <v>251</v>
      </c>
      <c r="G68" s="8" t="str">
        <f t="shared" si="1"/>
        <v>DAVIDSON DAVID</v>
      </c>
    </row>
    <row r="69" spans="1:7" x14ac:dyDescent="0.25">
      <c r="A69" s="8">
        <v>42723.376631944448</v>
      </c>
      <c r="B69" s="21" t="s">
        <v>183</v>
      </c>
      <c r="C69" s="21" t="s">
        <v>623</v>
      </c>
      <c r="D69" s="164">
        <v>2140000</v>
      </c>
      <c r="E69" s="21" t="s">
        <v>424</v>
      </c>
      <c r="F69" s="21" t="s">
        <v>425</v>
      </c>
      <c r="G69" s="8" t="str">
        <f t="shared" si="1"/>
        <v>ROBINSON KADDIBA</v>
      </c>
    </row>
    <row r="70" spans="1:7" x14ac:dyDescent="0.25">
      <c r="A70" s="8">
        <v>42723.379699074074</v>
      </c>
      <c r="B70" s="21" t="s">
        <v>236</v>
      </c>
      <c r="C70" s="21" t="s">
        <v>624</v>
      </c>
      <c r="D70" s="164">
        <v>2020000</v>
      </c>
      <c r="E70" s="21" t="s">
        <v>431</v>
      </c>
      <c r="F70" s="21" t="s">
        <v>250</v>
      </c>
      <c r="G70" s="8" t="str">
        <f t="shared" si="1"/>
        <v>SHOOK JOHN</v>
      </c>
    </row>
    <row r="71" spans="1:7" x14ac:dyDescent="0.25">
      <c r="A71" s="8">
        <v>42723.380497685182</v>
      </c>
      <c r="B71" s="21" t="s">
        <v>457</v>
      </c>
      <c r="C71" s="21" t="s">
        <v>625</v>
      </c>
      <c r="D71" s="164">
        <v>2710000</v>
      </c>
      <c r="E71" s="21" t="s">
        <v>581</v>
      </c>
      <c r="F71" s="21" t="s">
        <v>582</v>
      </c>
      <c r="G71" s="8" t="str">
        <f t="shared" si="1"/>
        <v>SIMMONS SHYHESHA</v>
      </c>
    </row>
    <row r="72" spans="1:7" x14ac:dyDescent="0.25">
      <c r="A72" s="8">
        <v>42723.382627314815</v>
      </c>
      <c r="B72" s="21" t="s">
        <v>585</v>
      </c>
      <c r="C72" s="21" t="s">
        <v>626</v>
      </c>
      <c r="D72" s="164">
        <v>2610000</v>
      </c>
      <c r="E72" s="21" t="s">
        <v>570</v>
      </c>
      <c r="F72" s="21" t="s">
        <v>571</v>
      </c>
      <c r="G72" s="8" t="str">
        <f t="shared" si="1"/>
        <v>MAGEE KENYA</v>
      </c>
    </row>
    <row r="73" spans="1:7" x14ac:dyDescent="0.25">
      <c r="A73" s="8">
        <v>42723.384155092594</v>
      </c>
      <c r="B73" s="21" t="s">
        <v>232</v>
      </c>
      <c r="C73" s="21" t="s">
        <v>543</v>
      </c>
      <c r="D73" s="164">
        <v>2720000</v>
      </c>
      <c r="E73" s="21" t="s">
        <v>594</v>
      </c>
      <c r="F73" s="21" t="s">
        <v>595</v>
      </c>
      <c r="G73" s="8" t="str">
        <f t="shared" si="1"/>
        <v>SIMONEAUX TERA</v>
      </c>
    </row>
    <row r="74" spans="1:7" x14ac:dyDescent="0.25">
      <c r="A74" s="8">
        <v>42723.391643518517</v>
      </c>
      <c r="B74" s="21" t="s">
        <v>261</v>
      </c>
      <c r="C74" s="21" t="s">
        <v>627</v>
      </c>
      <c r="D74" s="164">
        <v>1230000</v>
      </c>
      <c r="E74" s="21" t="s">
        <v>591</v>
      </c>
      <c r="F74" s="21" t="s">
        <v>592</v>
      </c>
      <c r="G74" s="8" t="str">
        <f t="shared" si="1"/>
        <v>YANAI IAN</v>
      </c>
    </row>
    <row r="75" spans="1:7" x14ac:dyDescent="0.25">
      <c r="A75" s="8">
        <v>42723.394976851851</v>
      </c>
      <c r="B75" s="21" t="s">
        <v>287</v>
      </c>
      <c r="C75" s="21" t="s">
        <v>544</v>
      </c>
      <c r="D75" s="164">
        <v>1110000</v>
      </c>
      <c r="E75" s="21" t="s">
        <v>573</v>
      </c>
      <c r="F75" s="21" t="s">
        <v>574</v>
      </c>
      <c r="G75" s="8" t="str">
        <f t="shared" si="1"/>
        <v>STARKS ANGELINA</v>
      </c>
    </row>
    <row r="76" spans="1:7" x14ac:dyDescent="0.25">
      <c r="A76" s="8">
        <v>42723.401898148149</v>
      </c>
      <c r="B76" s="21" t="s">
        <v>207</v>
      </c>
      <c r="C76" s="21" t="s">
        <v>628</v>
      </c>
      <c r="D76" s="164">
        <v>1090000</v>
      </c>
      <c r="E76" s="21" t="s">
        <v>629</v>
      </c>
      <c r="F76" s="21" t="s">
        <v>264</v>
      </c>
      <c r="G76" s="8" t="str">
        <f t="shared" si="1"/>
        <v>SPECTOR MICHAEL</v>
      </c>
    </row>
    <row r="77" spans="1:7" x14ac:dyDescent="0.25">
      <c r="A77" s="8">
        <v>42723.403599537036</v>
      </c>
      <c r="B77" s="21" t="s">
        <v>233</v>
      </c>
      <c r="C77" s="21" t="s">
        <v>630</v>
      </c>
      <c r="D77" s="164">
        <v>2720000</v>
      </c>
      <c r="E77" s="21" t="s">
        <v>594</v>
      </c>
      <c r="F77" s="21" t="s">
        <v>595</v>
      </c>
      <c r="G77" s="8" t="str">
        <f t="shared" si="1"/>
        <v>SIMONEAUX TERA</v>
      </c>
    </row>
    <row r="78" spans="1:7" x14ac:dyDescent="0.25">
      <c r="A78" s="8">
        <v>42723.403784722221</v>
      </c>
      <c r="B78" s="21" t="s">
        <v>214</v>
      </c>
      <c r="C78" s="21" t="s">
        <v>545</v>
      </c>
      <c r="D78" s="164">
        <v>2600000</v>
      </c>
      <c r="E78" s="21" t="s">
        <v>234</v>
      </c>
      <c r="F78" s="21" t="s">
        <v>251</v>
      </c>
      <c r="G78" s="8" t="str">
        <f t="shared" si="1"/>
        <v>DAVIDSON DAVID</v>
      </c>
    </row>
    <row r="79" spans="1:7" x14ac:dyDescent="0.25">
      <c r="A79" s="8">
        <v>42723.409988425927</v>
      </c>
      <c r="B79" s="21" t="s">
        <v>422</v>
      </c>
      <c r="C79" s="21" t="s">
        <v>631</v>
      </c>
      <c r="D79" s="164">
        <v>2140000</v>
      </c>
      <c r="E79" s="21" t="s">
        <v>424</v>
      </c>
      <c r="F79" s="21" t="s">
        <v>425</v>
      </c>
      <c r="G79" s="8" t="str">
        <f t="shared" si="1"/>
        <v>ROBINSON KADDIBA</v>
      </c>
    </row>
    <row r="80" spans="1:7" x14ac:dyDescent="0.25">
      <c r="A80" s="8">
        <v>42723.41265046296</v>
      </c>
      <c r="B80" s="21" t="s">
        <v>460</v>
      </c>
      <c r="C80" s="21" t="s">
        <v>632</v>
      </c>
      <c r="D80" s="164">
        <v>2020000</v>
      </c>
      <c r="E80" s="21" t="s">
        <v>431</v>
      </c>
      <c r="F80" s="21" t="s">
        <v>250</v>
      </c>
      <c r="G80" s="8" t="str">
        <f t="shared" si="1"/>
        <v>SHOOK JOHN</v>
      </c>
    </row>
    <row r="81" spans="1:7" x14ac:dyDescent="0.25">
      <c r="A81" s="8">
        <v>42723.419756944444</v>
      </c>
      <c r="B81" s="21" t="s">
        <v>527</v>
      </c>
      <c r="C81" s="21" t="s">
        <v>633</v>
      </c>
      <c r="D81" s="164">
        <v>2610000</v>
      </c>
      <c r="E81" s="21" t="s">
        <v>570</v>
      </c>
      <c r="F81" s="21" t="s">
        <v>571</v>
      </c>
      <c r="G81" s="8" t="str">
        <f t="shared" si="1"/>
        <v>MAGEE KENYA</v>
      </c>
    </row>
    <row r="82" spans="1:7" x14ac:dyDescent="0.25">
      <c r="A82" s="8">
        <v>42723.423043981478</v>
      </c>
      <c r="B82" s="21" t="s">
        <v>458</v>
      </c>
      <c r="C82" s="21" t="s">
        <v>546</v>
      </c>
      <c r="D82" s="164">
        <v>2710000</v>
      </c>
      <c r="E82" s="21" t="s">
        <v>581</v>
      </c>
      <c r="F82" s="21" t="s">
        <v>582</v>
      </c>
      <c r="G82" s="8" t="str">
        <f t="shared" si="1"/>
        <v>SIMMONS SHYHESHA</v>
      </c>
    </row>
    <row r="83" spans="1:7" x14ac:dyDescent="0.25">
      <c r="A83" s="8">
        <v>42723.427615740744</v>
      </c>
      <c r="B83" s="21" t="s">
        <v>232</v>
      </c>
      <c r="C83" s="21" t="s">
        <v>634</v>
      </c>
      <c r="D83" s="164">
        <v>2720000</v>
      </c>
      <c r="E83" s="21" t="s">
        <v>594</v>
      </c>
      <c r="F83" s="21" t="s">
        <v>595</v>
      </c>
      <c r="G83" s="8" t="str">
        <f t="shared" si="1"/>
        <v>SIMONEAUX TERA</v>
      </c>
    </row>
    <row r="84" spans="1:7" x14ac:dyDescent="0.25">
      <c r="A84" s="8">
        <v>42723.431574074071</v>
      </c>
      <c r="B84" s="21" t="s">
        <v>288</v>
      </c>
      <c r="C84" s="21" t="s">
        <v>547</v>
      </c>
      <c r="D84" s="164">
        <v>1110000</v>
      </c>
      <c r="E84" s="21" t="s">
        <v>573</v>
      </c>
      <c r="F84" s="21" t="s">
        <v>574</v>
      </c>
      <c r="G84" s="8" t="str">
        <f t="shared" si="1"/>
        <v>STARKS ANGELINA</v>
      </c>
    </row>
    <row r="85" spans="1:7" x14ac:dyDescent="0.25">
      <c r="A85" s="8">
        <v>42723.433344907404</v>
      </c>
      <c r="B85" s="21" t="s">
        <v>229</v>
      </c>
      <c r="C85" s="21" t="s">
        <v>635</v>
      </c>
      <c r="D85" s="164">
        <v>1990000</v>
      </c>
      <c r="E85" s="21" t="s">
        <v>265</v>
      </c>
      <c r="F85" s="21" t="s">
        <v>423</v>
      </c>
      <c r="G85" s="8" t="str">
        <f t="shared" si="1"/>
        <v>DAVIS WENDY</v>
      </c>
    </row>
    <row r="86" spans="1:7" x14ac:dyDescent="0.25">
      <c r="A86" s="8">
        <v>42723.439293981479</v>
      </c>
      <c r="B86" s="21" t="s">
        <v>280</v>
      </c>
      <c r="C86" s="21" t="s">
        <v>550</v>
      </c>
      <c r="D86" s="164">
        <v>2600000</v>
      </c>
      <c r="E86" s="21" t="s">
        <v>234</v>
      </c>
      <c r="F86" s="21" t="s">
        <v>251</v>
      </c>
      <c r="G86" s="8" t="str">
        <f t="shared" si="1"/>
        <v>DAVIDSON DAVID</v>
      </c>
    </row>
    <row r="87" spans="1:7" x14ac:dyDescent="0.25">
      <c r="A87" s="8">
        <v>42723.444027777776</v>
      </c>
      <c r="B87" s="21" t="s">
        <v>233</v>
      </c>
      <c r="C87" s="21" t="s">
        <v>636</v>
      </c>
      <c r="D87" s="164">
        <v>2720000</v>
      </c>
      <c r="E87" s="21" t="s">
        <v>594</v>
      </c>
      <c r="F87" s="21" t="s">
        <v>595</v>
      </c>
      <c r="G87" s="8" t="str">
        <f t="shared" si="1"/>
        <v>SIMONEAUX TERA</v>
      </c>
    </row>
    <row r="88" spans="1:7" x14ac:dyDescent="0.25">
      <c r="A88" s="8">
        <v>42723.444976851853</v>
      </c>
      <c r="B88" s="21" t="s">
        <v>183</v>
      </c>
      <c r="C88" s="21" t="s">
        <v>549</v>
      </c>
      <c r="D88" s="164">
        <v>2140000</v>
      </c>
      <c r="E88" s="21" t="s">
        <v>424</v>
      </c>
      <c r="F88" s="21" t="s">
        <v>425</v>
      </c>
      <c r="G88" s="8" t="str">
        <f t="shared" si="1"/>
        <v>ROBINSON KADDIBA</v>
      </c>
    </row>
    <row r="89" spans="1:7" x14ac:dyDescent="0.25">
      <c r="A89" s="8">
        <v>42723.446481481478</v>
      </c>
      <c r="B89" s="21" t="s">
        <v>288</v>
      </c>
      <c r="C89" s="21" t="s">
        <v>547</v>
      </c>
      <c r="D89" s="164">
        <v>1110000</v>
      </c>
      <c r="E89" s="21" t="s">
        <v>573</v>
      </c>
      <c r="F89" s="21" t="s">
        <v>574</v>
      </c>
      <c r="G89" s="8" t="str">
        <f t="shared" si="1"/>
        <v>STARKS ANGELINA</v>
      </c>
    </row>
    <row r="90" spans="1:7" x14ac:dyDescent="0.25">
      <c r="A90" s="8">
        <v>42723.449560185189</v>
      </c>
      <c r="B90" s="21" t="s">
        <v>236</v>
      </c>
      <c r="C90" s="21" t="s">
        <v>632</v>
      </c>
      <c r="D90" s="164">
        <v>2020000</v>
      </c>
      <c r="E90" s="21" t="s">
        <v>431</v>
      </c>
      <c r="F90" s="21" t="s">
        <v>250</v>
      </c>
      <c r="G90" s="8" t="str">
        <f t="shared" si="1"/>
        <v>SHOOK JOHN</v>
      </c>
    </row>
    <row r="91" spans="1:7" x14ac:dyDescent="0.25">
      <c r="A91" s="8">
        <v>42723.450416666667</v>
      </c>
      <c r="B91" s="21" t="s">
        <v>236</v>
      </c>
      <c r="C91" s="21" t="s">
        <v>548</v>
      </c>
      <c r="D91" s="164">
        <v>2020000</v>
      </c>
      <c r="E91" s="21" t="s">
        <v>431</v>
      </c>
      <c r="F91" s="21" t="s">
        <v>250</v>
      </c>
      <c r="G91" s="8" t="str">
        <f t="shared" si="1"/>
        <v>SHOOK JOHN</v>
      </c>
    </row>
    <row r="92" spans="1:7" x14ac:dyDescent="0.25">
      <c r="A92" s="8">
        <v>42723.455891203703</v>
      </c>
      <c r="B92" s="21" t="s">
        <v>457</v>
      </c>
      <c r="C92" s="21" t="s">
        <v>637</v>
      </c>
      <c r="D92" s="164">
        <v>2710000</v>
      </c>
      <c r="E92" s="21" t="s">
        <v>581</v>
      </c>
      <c r="F92" s="21" t="s">
        <v>582</v>
      </c>
      <c r="G92" s="8" t="str">
        <f t="shared" si="1"/>
        <v>SIMMONS SHYHESHA</v>
      </c>
    </row>
    <row r="93" spans="1:7" x14ac:dyDescent="0.25">
      <c r="A93" s="8">
        <v>42723.456863425927</v>
      </c>
      <c r="B93" s="21" t="s">
        <v>585</v>
      </c>
      <c r="C93" s="21" t="s">
        <v>638</v>
      </c>
      <c r="D93" s="164">
        <v>2680000</v>
      </c>
      <c r="E93" s="21" t="s">
        <v>639</v>
      </c>
      <c r="F93" s="21" t="s">
        <v>640</v>
      </c>
      <c r="G93" s="8" t="str">
        <f t="shared" si="1"/>
        <v>DUNCAN SHEILA</v>
      </c>
    </row>
    <row r="94" spans="1:7" x14ac:dyDescent="0.25">
      <c r="A94" s="8">
        <v>42723.468738425923</v>
      </c>
      <c r="B94" s="21" t="s">
        <v>232</v>
      </c>
      <c r="C94" s="21" t="s">
        <v>641</v>
      </c>
      <c r="D94" s="164">
        <v>2720000</v>
      </c>
      <c r="E94" s="21" t="s">
        <v>594</v>
      </c>
      <c r="F94" s="21" t="s">
        <v>595</v>
      </c>
      <c r="G94" s="8" t="str">
        <f t="shared" si="1"/>
        <v>SIMONEAUX TERA</v>
      </c>
    </row>
    <row r="95" spans="1:7" x14ac:dyDescent="0.25">
      <c r="A95" s="8">
        <v>42723.468854166669</v>
      </c>
      <c r="B95" s="21" t="s">
        <v>287</v>
      </c>
      <c r="C95" s="21" t="s">
        <v>642</v>
      </c>
      <c r="D95" s="164">
        <v>2150000</v>
      </c>
      <c r="E95" s="21" t="s">
        <v>428</v>
      </c>
      <c r="F95" s="21" t="s">
        <v>429</v>
      </c>
      <c r="G95" s="8" t="str">
        <f t="shared" si="1"/>
        <v>SWANSON BRYCE</v>
      </c>
    </row>
    <row r="96" spans="1:7" x14ac:dyDescent="0.25">
      <c r="A96" s="8">
        <v>42723.474224537036</v>
      </c>
      <c r="B96" s="21" t="s">
        <v>261</v>
      </c>
      <c r="C96" s="21" t="s">
        <v>643</v>
      </c>
      <c r="D96" s="164">
        <v>1990000</v>
      </c>
      <c r="E96" s="21" t="s">
        <v>265</v>
      </c>
      <c r="F96" s="21" t="s">
        <v>423</v>
      </c>
      <c r="G96" s="8" t="str">
        <f t="shared" si="1"/>
        <v>DAVIS WENDY</v>
      </c>
    </row>
    <row r="97" spans="1:7" x14ac:dyDescent="0.25">
      <c r="A97" s="8">
        <v>42723.475451388891</v>
      </c>
      <c r="B97" s="21" t="s">
        <v>214</v>
      </c>
      <c r="C97" s="21" t="s">
        <v>644</v>
      </c>
      <c r="D97" s="164">
        <v>930000</v>
      </c>
      <c r="E97" s="21" t="s">
        <v>645</v>
      </c>
      <c r="F97" s="21" t="s">
        <v>646</v>
      </c>
      <c r="G97" s="8" t="str">
        <f t="shared" si="1"/>
        <v>CLARK KATHLEEN</v>
      </c>
    </row>
    <row r="98" spans="1:7" x14ac:dyDescent="0.25">
      <c r="A98" s="8">
        <v>42723.47929398148</v>
      </c>
      <c r="B98" s="21" t="s">
        <v>427</v>
      </c>
      <c r="C98" s="21" t="s">
        <v>647</v>
      </c>
      <c r="D98" s="164">
        <v>1280000</v>
      </c>
      <c r="E98" s="21" t="s">
        <v>470</v>
      </c>
      <c r="F98" s="21" t="s">
        <v>471</v>
      </c>
      <c r="G98" s="8" t="str">
        <f t="shared" si="1"/>
        <v>BARTLETT KIANDRA</v>
      </c>
    </row>
    <row r="99" spans="1:7" x14ac:dyDescent="0.25">
      <c r="A99" s="8">
        <v>42723.483935185184</v>
      </c>
      <c r="B99" s="21" t="s">
        <v>422</v>
      </c>
      <c r="C99" s="21" t="s">
        <v>648</v>
      </c>
      <c r="D99" s="164">
        <v>2140000</v>
      </c>
      <c r="E99" s="21" t="s">
        <v>424</v>
      </c>
      <c r="F99" s="21" t="s">
        <v>425</v>
      </c>
      <c r="G99" s="8" t="str">
        <f t="shared" si="1"/>
        <v>ROBINSON KADDIBA</v>
      </c>
    </row>
    <row r="100" spans="1:7" x14ac:dyDescent="0.25">
      <c r="A100" s="8">
        <v>42723.484872685185</v>
      </c>
      <c r="B100" s="21" t="s">
        <v>233</v>
      </c>
      <c r="C100" s="21" t="s">
        <v>649</v>
      </c>
      <c r="D100" s="164">
        <v>2720000</v>
      </c>
      <c r="E100" s="21" t="s">
        <v>594</v>
      </c>
      <c r="F100" s="21" t="s">
        <v>595</v>
      </c>
      <c r="G100" s="8" t="str">
        <f t="shared" si="1"/>
        <v>SIMONEAUX TERA</v>
      </c>
    </row>
    <row r="101" spans="1:7" x14ac:dyDescent="0.25">
      <c r="A101" s="8">
        <v>42723.489444444444</v>
      </c>
      <c r="B101" s="21" t="s">
        <v>460</v>
      </c>
      <c r="C101" s="21" t="s">
        <v>551</v>
      </c>
      <c r="D101" s="164">
        <v>1820000</v>
      </c>
      <c r="E101" s="21" t="s">
        <v>291</v>
      </c>
      <c r="F101" s="21" t="s">
        <v>292</v>
      </c>
      <c r="G101" s="8" t="str">
        <f t="shared" si="1"/>
        <v>ADANE ELSHADAY</v>
      </c>
    </row>
    <row r="102" spans="1:7" x14ac:dyDescent="0.25">
      <c r="A102" s="8">
        <v>42723.495104166665</v>
      </c>
      <c r="B102" s="21" t="s">
        <v>527</v>
      </c>
      <c r="C102" s="21" t="s">
        <v>650</v>
      </c>
      <c r="D102" s="164">
        <v>2680000</v>
      </c>
      <c r="E102" s="21" t="s">
        <v>639</v>
      </c>
      <c r="F102" s="21" t="s">
        <v>640</v>
      </c>
      <c r="G102" s="8" t="str">
        <f t="shared" si="1"/>
        <v>DUNCAN SHEILA</v>
      </c>
    </row>
    <row r="103" spans="1:7" x14ac:dyDescent="0.25">
      <c r="A103" s="8">
        <v>42723.496296296296</v>
      </c>
      <c r="B103" s="21" t="s">
        <v>458</v>
      </c>
      <c r="C103" s="21" t="s">
        <v>651</v>
      </c>
      <c r="D103" s="164">
        <v>1280000</v>
      </c>
      <c r="E103" s="21" t="s">
        <v>470</v>
      </c>
      <c r="F103" s="21" t="s">
        <v>471</v>
      </c>
      <c r="G103" s="8" t="str">
        <f t="shared" si="1"/>
        <v>BARTLETT KIANDRA</v>
      </c>
    </row>
    <row r="104" spans="1:7" x14ac:dyDescent="0.25">
      <c r="A104" s="8">
        <v>42723.499189814815</v>
      </c>
      <c r="B104" s="21" t="s">
        <v>288</v>
      </c>
      <c r="C104" s="21" t="s">
        <v>652</v>
      </c>
      <c r="D104" s="164">
        <v>2150000</v>
      </c>
      <c r="E104" s="21" t="s">
        <v>428</v>
      </c>
      <c r="F104" s="21" t="s">
        <v>429</v>
      </c>
      <c r="G104" s="8" t="str">
        <f t="shared" si="1"/>
        <v>SWANSON BRYCE</v>
      </c>
    </row>
    <row r="105" spans="1:7" x14ac:dyDescent="0.25">
      <c r="A105" s="8">
        <v>42723.50341435185</v>
      </c>
      <c r="B105" s="21" t="s">
        <v>232</v>
      </c>
      <c r="C105" s="21" t="s">
        <v>553</v>
      </c>
      <c r="D105" s="164">
        <v>2720000</v>
      </c>
      <c r="E105" s="21" t="s">
        <v>594</v>
      </c>
      <c r="F105" s="21" t="s">
        <v>595</v>
      </c>
      <c r="G105" s="8" t="str">
        <f t="shared" si="1"/>
        <v>SIMONEAUX TERA</v>
      </c>
    </row>
    <row r="106" spans="1:7" x14ac:dyDescent="0.25">
      <c r="A106" s="8">
        <v>42723.510729166665</v>
      </c>
      <c r="B106" s="21" t="s">
        <v>430</v>
      </c>
      <c r="C106" s="21" t="s">
        <v>552</v>
      </c>
      <c r="D106" s="164">
        <v>1830000</v>
      </c>
      <c r="E106" s="21" t="s">
        <v>467</v>
      </c>
      <c r="F106" s="21" t="s">
        <v>468</v>
      </c>
      <c r="G106" s="8" t="str">
        <f t="shared" si="1"/>
        <v>YORK EDGAR</v>
      </c>
    </row>
    <row r="107" spans="1:7" x14ac:dyDescent="0.25">
      <c r="A107" s="8">
        <v>42723.510995370372</v>
      </c>
      <c r="B107" s="21" t="s">
        <v>229</v>
      </c>
      <c r="C107" s="21" t="s">
        <v>653</v>
      </c>
      <c r="D107" s="164">
        <v>2670000</v>
      </c>
      <c r="E107" s="21" t="s">
        <v>654</v>
      </c>
      <c r="F107" s="21" t="s">
        <v>655</v>
      </c>
      <c r="G107" s="8" t="str">
        <f t="shared" si="1"/>
        <v>COMELLA JUSTIN</v>
      </c>
    </row>
    <row r="108" spans="1:7" x14ac:dyDescent="0.25">
      <c r="A108" s="8">
        <v>42723.516932870371</v>
      </c>
      <c r="B108" s="21" t="s">
        <v>280</v>
      </c>
      <c r="C108" s="21" t="s">
        <v>656</v>
      </c>
      <c r="D108" s="164">
        <v>930000</v>
      </c>
      <c r="E108" s="21" t="s">
        <v>645</v>
      </c>
      <c r="F108" s="21" t="s">
        <v>646</v>
      </c>
      <c r="G108" s="8" t="str">
        <f t="shared" si="1"/>
        <v>CLARK KATHLEEN</v>
      </c>
    </row>
    <row r="109" spans="1:7" x14ac:dyDescent="0.25">
      <c r="A109" s="8">
        <v>42723.518368055556</v>
      </c>
      <c r="B109" s="21" t="s">
        <v>236</v>
      </c>
      <c r="C109" s="21" t="s">
        <v>657</v>
      </c>
      <c r="D109" s="164">
        <v>1820000</v>
      </c>
      <c r="E109" s="21" t="s">
        <v>291</v>
      </c>
      <c r="F109" s="21" t="s">
        <v>292</v>
      </c>
      <c r="G109" s="8" t="str">
        <f t="shared" si="1"/>
        <v>ADANE ELSHADAY</v>
      </c>
    </row>
    <row r="110" spans="1:7" x14ac:dyDescent="0.25">
      <c r="A110" s="8">
        <v>42723.520995370367</v>
      </c>
      <c r="B110" s="21" t="s">
        <v>183</v>
      </c>
      <c r="C110" s="21" t="s">
        <v>658</v>
      </c>
      <c r="D110" s="164">
        <v>2030000</v>
      </c>
      <c r="E110" s="21" t="s">
        <v>472</v>
      </c>
      <c r="F110" s="21" t="s">
        <v>251</v>
      </c>
      <c r="G110" s="8" t="str">
        <f t="shared" si="1"/>
        <v>KILLION DAVID</v>
      </c>
    </row>
    <row r="111" spans="1:7" x14ac:dyDescent="0.25">
      <c r="A111" s="8">
        <v>42723.52789351852</v>
      </c>
      <c r="B111" s="21" t="s">
        <v>233</v>
      </c>
      <c r="C111" s="21" t="s">
        <v>554</v>
      </c>
      <c r="D111" s="164">
        <v>2720000</v>
      </c>
      <c r="E111" s="21" t="s">
        <v>594</v>
      </c>
      <c r="F111" s="21" t="s">
        <v>595</v>
      </c>
      <c r="G111" s="8" t="str">
        <f t="shared" si="1"/>
        <v>SIMONEAUX TERA</v>
      </c>
    </row>
    <row r="112" spans="1:7" x14ac:dyDescent="0.25">
      <c r="A112" s="8">
        <v>42723.528726851851</v>
      </c>
      <c r="B112" s="21" t="s">
        <v>457</v>
      </c>
      <c r="C112" s="21" t="s">
        <v>659</v>
      </c>
      <c r="D112" s="164">
        <v>1280000</v>
      </c>
      <c r="E112" s="21" t="s">
        <v>470</v>
      </c>
      <c r="F112" s="21" t="s">
        <v>471</v>
      </c>
      <c r="G112" s="8" t="str">
        <f t="shared" si="1"/>
        <v>BARTLETT KIANDRA</v>
      </c>
    </row>
    <row r="113" spans="1:7" x14ac:dyDescent="0.25">
      <c r="A113" s="8">
        <v>42723.531168981484</v>
      </c>
      <c r="B113" s="21" t="s">
        <v>585</v>
      </c>
      <c r="C113" s="21" t="s">
        <v>660</v>
      </c>
      <c r="D113" s="164">
        <v>2680000</v>
      </c>
      <c r="E113" s="21" t="s">
        <v>639</v>
      </c>
      <c r="F113" s="21" t="s">
        <v>640</v>
      </c>
      <c r="G113" s="8" t="str">
        <f t="shared" si="1"/>
        <v>DUNCAN SHEILA</v>
      </c>
    </row>
    <row r="114" spans="1:7" x14ac:dyDescent="0.25">
      <c r="A114" s="8">
        <v>42723.540856481479</v>
      </c>
      <c r="B114" s="21" t="s">
        <v>287</v>
      </c>
      <c r="C114" s="21" t="s">
        <v>661</v>
      </c>
      <c r="D114" s="164">
        <v>2150000</v>
      </c>
      <c r="E114" s="21" t="s">
        <v>428</v>
      </c>
      <c r="F114" s="21" t="s">
        <v>429</v>
      </c>
      <c r="G114" s="8" t="str">
        <f t="shared" si="1"/>
        <v>SWANSON BRYCE</v>
      </c>
    </row>
    <row r="115" spans="1:7" x14ac:dyDescent="0.25">
      <c r="A115" s="8">
        <v>42723.547708333332</v>
      </c>
      <c r="B115" s="21" t="s">
        <v>261</v>
      </c>
      <c r="C115" s="21" t="s">
        <v>662</v>
      </c>
      <c r="D115" s="164">
        <v>2670000</v>
      </c>
      <c r="E115" s="21" t="s">
        <v>654</v>
      </c>
      <c r="F115" s="21" t="s">
        <v>655</v>
      </c>
      <c r="G115" s="8" t="str">
        <f t="shared" si="1"/>
        <v>COMELLA JUSTIN</v>
      </c>
    </row>
    <row r="116" spans="1:7" x14ac:dyDescent="0.25">
      <c r="A116" s="8">
        <v>42723.55027777778</v>
      </c>
      <c r="B116" s="21" t="s">
        <v>214</v>
      </c>
      <c r="C116" s="21" t="s">
        <v>663</v>
      </c>
      <c r="D116" s="164">
        <v>930000</v>
      </c>
      <c r="E116" s="21" t="s">
        <v>645</v>
      </c>
      <c r="F116" s="21" t="s">
        <v>646</v>
      </c>
      <c r="G116" s="8" t="str">
        <f t="shared" si="1"/>
        <v>CLARK KATHLEEN</v>
      </c>
    </row>
    <row r="117" spans="1:7" x14ac:dyDescent="0.25">
      <c r="A117" s="8">
        <v>42723.552199074074</v>
      </c>
      <c r="B117" s="21" t="s">
        <v>232</v>
      </c>
      <c r="C117" s="21" t="s">
        <v>664</v>
      </c>
      <c r="D117" s="164">
        <v>1300000</v>
      </c>
      <c r="E117" s="21" t="s">
        <v>113</v>
      </c>
      <c r="F117" s="21" t="s">
        <v>281</v>
      </c>
      <c r="G117" s="8" t="str">
        <f t="shared" si="1"/>
        <v>LEVIN SCOTT</v>
      </c>
    </row>
    <row r="118" spans="1:7" x14ac:dyDescent="0.25">
      <c r="A118" s="8">
        <v>42723.558680555558</v>
      </c>
      <c r="B118" s="21" t="s">
        <v>460</v>
      </c>
      <c r="C118" s="21" t="s">
        <v>665</v>
      </c>
      <c r="D118" s="164">
        <v>1820000</v>
      </c>
      <c r="E118" s="21" t="s">
        <v>291</v>
      </c>
      <c r="F118" s="21" t="s">
        <v>292</v>
      </c>
      <c r="G118" s="8" t="str">
        <f t="shared" si="1"/>
        <v>ADANE ELSHADAY</v>
      </c>
    </row>
    <row r="119" spans="1:7" x14ac:dyDescent="0.25">
      <c r="A119" s="8">
        <v>42723.559629629628</v>
      </c>
      <c r="B119" s="21" t="s">
        <v>422</v>
      </c>
      <c r="C119" s="21" t="s">
        <v>666</v>
      </c>
      <c r="D119" s="164">
        <v>2030000</v>
      </c>
      <c r="E119" s="21" t="s">
        <v>472</v>
      </c>
      <c r="F119" s="21" t="s">
        <v>251</v>
      </c>
      <c r="G119" s="8" t="str">
        <f t="shared" si="1"/>
        <v>KILLION DAVID</v>
      </c>
    </row>
    <row r="120" spans="1:7" x14ac:dyDescent="0.25">
      <c r="A120" s="8">
        <v>42723.567789351851</v>
      </c>
      <c r="B120" s="21" t="s">
        <v>233</v>
      </c>
      <c r="C120" s="21" t="s">
        <v>667</v>
      </c>
      <c r="D120" s="164">
        <v>1300000</v>
      </c>
      <c r="E120" s="21" t="s">
        <v>113</v>
      </c>
      <c r="F120" s="21" t="s">
        <v>281</v>
      </c>
      <c r="G120" s="8" t="str">
        <f t="shared" si="1"/>
        <v>LEVIN SCOTT</v>
      </c>
    </row>
    <row r="121" spans="1:7" x14ac:dyDescent="0.25">
      <c r="A121" s="8">
        <v>42723.56927083333</v>
      </c>
      <c r="B121" s="21" t="s">
        <v>527</v>
      </c>
      <c r="C121" s="21" t="s">
        <v>668</v>
      </c>
      <c r="D121" s="164">
        <v>2680000</v>
      </c>
      <c r="E121" s="21" t="s">
        <v>639</v>
      </c>
      <c r="F121" s="21" t="s">
        <v>640</v>
      </c>
      <c r="G121" s="8" t="str">
        <f t="shared" si="1"/>
        <v>DUNCAN SHEILA</v>
      </c>
    </row>
    <row r="122" spans="1:7" x14ac:dyDescent="0.25">
      <c r="A122" s="8">
        <v>42723.569918981484</v>
      </c>
      <c r="B122" s="26" t="s">
        <v>458</v>
      </c>
      <c r="C122" s="21" t="s">
        <v>669</v>
      </c>
      <c r="D122" s="164">
        <v>1280000</v>
      </c>
      <c r="E122" s="21" t="s">
        <v>470</v>
      </c>
      <c r="F122" s="21" t="s">
        <v>471</v>
      </c>
      <c r="G122" s="8" t="str">
        <f t="shared" si="1"/>
        <v>BARTLETT KIANDRA</v>
      </c>
    </row>
    <row r="123" spans="1:7" x14ac:dyDescent="0.25">
      <c r="A123" s="8">
        <v>42723.57304398148</v>
      </c>
      <c r="B123" s="21" t="s">
        <v>288</v>
      </c>
      <c r="C123" s="21" t="s">
        <v>670</v>
      </c>
      <c r="D123" s="164">
        <v>2150000</v>
      </c>
      <c r="E123" s="21" t="s">
        <v>428</v>
      </c>
      <c r="F123" s="21" t="s">
        <v>429</v>
      </c>
      <c r="G123" s="8" t="str">
        <f t="shared" si="1"/>
        <v>SWANSON BRYCE</v>
      </c>
    </row>
    <row r="124" spans="1:7" x14ac:dyDescent="0.25">
      <c r="A124" s="8">
        <v>42723.580983796295</v>
      </c>
      <c r="B124" s="21" t="s">
        <v>229</v>
      </c>
      <c r="C124" s="21" t="s">
        <v>671</v>
      </c>
      <c r="D124" s="164">
        <v>2670000</v>
      </c>
      <c r="E124" s="21" t="s">
        <v>654</v>
      </c>
      <c r="F124" s="21" t="s">
        <v>655</v>
      </c>
      <c r="G124" s="8" t="str">
        <f t="shared" si="1"/>
        <v>COMELLA JUSTIN</v>
      </c>
    </row>
    <row r="125" spans="1:7" x14ac:dyDescent="0.25">
      <c r="A125" s="8">
        <v>42723.587835648148</v>
      </c>
      <c r="B125" s="21" t="s">
        <v>280</v>
      </c>
      <c r="C125" s="21" t="s">
        <v>672</v>
      </c>
      <c r="D125" s="164">
        <v>930000</v>
      </c>
      <c r="E125" s="21" t="s">
        <v>645</v>
      </c>
      <c r="F125" s="21" t="s">
        <v>646</v>
      </c>
      <c r="G125" s="8" t="str">
        <f t="shared" si="1"/>
        <v>CLARK KATHLEEN</v>
      </c>
    </row>
    <row r="126" spans="1:7" x14ac:dyDescent="0.25">
      <c r="A126" s="8">
        <v>42723.591724537036</v>
      </c>
      <c r="B126" s="21" t="s">
        <v>236</v>
      </c>
      <c r="C126" s="21" t="s">
        <v>673</v>
      </c>
      <c r="D126" s="164">
        <v>1820000</v>
      </c>
      <c r="E126" s="21" t="s">
        <v>291</v>
      </c>
      <c r="F126" s="21" t="s">
        <v>292</v>
      </c>
      <c r="G126" s="8" t="str">
        <f t="shared" si="1"/>
        <v>ADANE ELSHADAY</v>
      </c>
    </row>
    <row r="127" spans="1:7" x14ac:dyDescent="0.25">
      <c r="A127" s="8">
        <v>42723.59302083333</v>
      </c>
      <c r="B127" s="21" t="s">
        <v>183</v>
      </c>
      <c r="C127" s="21" t="s">
        <v>674</v>
      </c>
      <c r="D127" s="164">
        <v>2030000</v>
      </c>
      <c r="E127" s="21" t="s">
        <v>472</v>
      </c>
      <c r="F127" s="21" t="s">
        <v>251</v>
      </c>
      <c r="G127" s="8" t="str">
        <f t="shared" si="1"/>
        <v>KILLION DAVID</v>
      </c>
    </row>
    <row r="128" spans="1:7" x14ac:dyDescent="0.25">
      <c r="A128" s="8">
        <v>42723.594675925924</v>
      </c>
      <c r="B128" s="21" t="s">
        <v>232</v>
      </c>
      <c r="C128" s="21" t="s">
        <v>675</v>
      </c>
      <c r="D128" s="164">
        <v>1300000</v>
      </c>
      <c r="E128" s="21" t="s">
        <v>113</v>
      </c>
      <c r="F128" s="21" t="s">
        <v>281</v>
      </c>
      <c r="G128" s="8" t="str">
        <f t="shared" si="1"/>
        <v>LEVIN SCOTT</v>
      </c>
    </row>
    <row r="129" spans="1:7" x14ac:dyDescent="0.25">
      <c r="A129" s="8">
        <v>42723.605925925927</v>
      </c>
      <c r="B129" s="21" t="s">
        <v>206</v>
      </c>
      <c r="C129" s="21" t="s">
        <v>676</v>
      </c>
      <c r="D129" s="164">
        <v>2280000</v>
      </c>
      <c r="E129" s="21" t="s">
        <v>677</v>
      </c>
      <c r="F129" s="21" t="s">
        <v>678</v>
      </c>
      <c r="G129" s="8" t="str">
        <f t="shared" si="1"/>
        <v>MAHAN DUANE</v>
      </c>
    </row>
    <row r="130" spans="1:7" x14ac:dyDescent="0.25">
      <c r="A130" s="8">
        <v>42723.607118055559</v>
      </c>
      <c r="B130" s="21" t="s">
        <v>457</v>
      </c>
      <c r="C130" s="21" t="s">
        <v>679</v>
      </c>
      <c r="D130" s="164">
        <v>1280000</v>
      </c>
      <c r="E130" s="21" t="s">
        <v>470</v>
      </c>
      <c r="F130" s="21" t="s">
        <v>471</v>
      </c>
      <c r="G130" s="8" t="str">
        <f t="shared" si="1"/>
        <v>BARTLETT KIANDRA</v>
      </c>
    </row>
    <row r="131" spans="1:7" x14ac:dyDescent="0.25">
      <c r="A131" s="8">
        <v>42723.609259259261</v>
      </c>
      <c r="B131" s="21" t="s">
        <v>233</v>
      </c>
      <c r="C131" s="21" t="s">
        <v>555</v>
      </c>
      <c r="D131" s="164">
        <v>1300000</v>
      </c>
      <c r="E131" s="21" t="s">
        <v>113</v>
      </c>
      <c r="F131" s="21" t="s">
        <v>281</v>
      </c>
      <c r="G131" s="8" t="str">
        <f t="shared" ref="G131:G194" si="2">E131&amp;" "&amp;F131</f>
        <v>LEVIN SCOTT</v>
      </c>
    </row>
    <row r="132" spans="1:7" x14ac:dyDescent="0.25">
      <c r="A132" s="8">
        <v>42723.61440972222</v>
      </c>
      <c r="B132" s="21" t="s">
        <v>287</v>
      </c>
      <c r="C132" s="21" t="s">
        <v>680</v>
      </c>
      <c r="D132" s="164">
        <v>2150000</v>
      </c>
      <c r="E132" s="21" t="s">
        <v>428</v>
      </c>
      <c r="F132" s="21" t="s">
        <v>429</v>
      </c>
      <c r="G132" s="8" t="str">
        <f t="shared" si="2"/>
        <v>SWANSON BRYCE</v>
      </c>
    </row>
    <row r="133" spans="1:7" x14ac:dyDescent="0.25">
      <c r="A133" s="8">
        <v>42723.615868055553</v>
      </c>
      <c r="B133" s="21" t="s">
        <v>261</v>
      </c>
      <c r="C133" s="21" t="s">
        <v>681</v>
      </c>
      <c r="D133" s="164">
        <v>2670000</v>
      </c>
      <c r="E133" s="21" t="s">
        <v>654</v>
      </c>
      <c r="F133" s="21" t="s">
        <v>655</v>
      </c>
      <c r="G133" s="8" t="str">
        <f t="shared" si="2"/>
        <v>COMELLA JUSTIN</v>
      </c>
    </row>
    <row r="134" spans="1:7" x14ac:dyDescent="0.25">
      <c r="A134" s="8">
        <v>42723.62296296296</v>
      </c>
      <c r="B134" s="21" t="s">
        <v>214</v>
      </c>
      <c r="C134" s="21" t="s">
        <v>682</v>
      </c>
      <c r="D134" s="164">
        <v>930000</v>
      </c>
      <c r="E134" s="21" t="s">
        <v>645</v>
      </c>
      <c r="F134" s="21" t="s">
        <v>646</v>
      </c>
      <c r="G134" s="8" t="str">
        <f t="shared" si="2"/>
        <v>CLARK KATHLEEN</v>
      </c>
    </row>
    <row r="135" spans="1:7" x14ac:dyDescent="0.25">
      <c r="A135" s="8">
        <v>42723.626655092594</v>
      </c>
      <c r="B135" s="21" t="s">
        <v>422</v>
      </c>
      <c r="C135" s="21" t="s">
        <v>683</v>
      </c>
      <c r="D135" s="164">
        <v>2030000</v>
      </c>
      <c r="E135" s="21" t="s">
        <v>472</v>
      </c>
      <c r="F135" s="21" t="s">
        <v>251</v>
      </c>
      <c r="G135" s="8" t="str">
        <f t="shared" si="2"/>
        <v>KILLION DAVID</v>
      </c>
    </row>
    <row r="136" spans="1:7" x14ac:dyDescent="0.25">
      <c r="A136" s="8">
        <v>42723.631793981483</v>
      </c>
      <c r="B136" s="21" t="s">
        <v>460</v>
      </c>
      <c r="C136" s="21" t="s">
        <v>684</v>
      </c>
      <c r="D136" s="164">
        <v>1820000</v>
      </c>
      <c r="E136" s="21" t="s">
        <v>291</v>
      </c>
      <c r="F136" s="21" t="s">
        <v>292</v>
      </c>
      <c r="G136" s="8" t="str">
        <f t="shared" si="2"/>
        <v>ADANE ELSHADAY</v>
      </c>
    </row>
    <row r="137" spans="1:7" x14ac:dyDescent="0.25">
      <c r="A137" s="8">
        <v>42723.637743055559</v>
      </c>
      <c r="B137" s="21" t="s">
        <v>232</v>
      </c>
      <c r="C137" s="21" t="s">
        <v>685</v>
      </c>
      <c r="D137" s="164">
        <v>1300000</v>
      </c>
      <c r="E137" s="21" t="s">
        <v>113</v>
      </c>
      <c r="F137" s="21" t="s">
        <v>281</v>
      </c>
      <c r="G137" s="8" t="str">
        <f t="shared" si="2"/>
        <v>LEVIN SCOTT</v>
      </c>
    </row>
    <row r="138" spans="1:7" x14ac:dyDescent="0.25">
      <c r="A138" s="8">
        <v>42723.638877314814</v>
      </c>
      <c r="B138" s="21" t="s">
        <v>259</v>
      </c>
      <c r="C138" s="21" t="s">
        <v>686</v>
      </c>
      <c r="D138" s="164">
        <v>1810000</v>
      </c>
      <c r="E138" s="21" t="s">
        <v>432</v>
      </c>
      <c r="F138" s="21" t="s">
        <v>252</v>
      </c>
      <c r="G138" s="8" t="str">
        <f t="shared" si="2"/>
        <v>NEWELL JAMES</v>
      </c>
    </row>
    <row r="139" spans="1:7" x14ac:dyDescent="0.25">
      <c r="A139" s="8">
        <v>42723.63958333333</v>
      </c>
      <c r="B139" s="21" t="s">
        <v>207</v>
      </c>
      <c r="C139" s="21" t="s">
        <v>687</v>
      </c>
      <c r="D139" s="164">
        <v>2280000</v>
      </c>
      <c r="E139" s="21" t="s">
        <v>677</v>
      </c>
      <c r="F139" s="21" t="s">
        <v>678</v>
      </c>
      <c r="G139" s="8" t="str">
        <f t="shared" si="2"/>
        <v>MAHAN DUANE</v>
      </c>
    </row>
    <row r="140" spans="1:7" x14ac:dyDescent="0.25">
      <c r="A140" s="8">
        <v>42723.64334490741</v>
      </c>
      <c r="B140" s="21" t="s">
        <v>458</v>
      </c>
      <c r="C140" s="21" t="s">
        <v>688</v>
      </c>
      <c r="D140" s="164">
        <v>1280000</v>
      </c>
      <c r="E140" s="21" t="s">
        <v>470</v>
      </c>
      <c r="F140" s="21" t="s">
        <v>471</v>
      </c>
      <c r="G140" s="8" t="str">
        <f t="shared" si="2"/>
        <v>BARTLETT KIANDRA</v>
      </c>
    </row>
    <row r="141" spans="1:7" x14ac:dyDescent="0.25">
      <c r="A141" s="8">
        <v>42723.644768518519</v>
      </c>
      <c r="B141" s="21" t="s">
        <v>288</v>
      </c>
      <c r="C141" s="21" t="s">
        <v>689</v>
      </c>
      <c r="D141" s="164">
        <v>2150000</v>
      </c>
      <c r="E141" s="21" t="s">
        <v>428</v>
      </c>
      <c r="F141" s="21" t="s">
        <v>429</v>
      </c>
      <c r="G141" s="8" t="str">
        <f t="shared" si="2"/>
        <v>SWANSON BRYCE</v>
      </c>
    </row>
    <row r="142" spans="1:7" x14ac:dyDescent="0.25">
      <c r="A142" s="8">
        <v>42723.650717592594</v>
      </c>
      <c r="B142" s="21" t="s">
        <v>233</v>
      </c>
      <c r="C142" s="21" t="s">
        <v>556</v>
      </c>
      <c r="D142" s="164">
        <v>1300000</v>
      </c>
      <c r="E142" s="21" t="s">
        <v>113</v>
      </c>
      <c r="F142" s="21" t="s">
        <v>281</v>
      </c>
      <c r="G142" s="8" t="str">
        <f t="shared" si="2"/>
        <v>LEVIN SCOTT</v>
      </c>
    </row>
    <row r="143" spans="1:7" x14ac:dyDescent="0.25">
      <c r="A143" s="8">
        <v>42723.655138888891</v>
      </c>
      <c r="B143" s="21" t="s">
        <v>229</v>
      </c>
      <c r="C143" s="21" t="s">
        <v>690</v>
      </c>
      <c r="D143" s="164">
        <v>2670000</v>
      </c>
      <c r="E143" s="21" t="s">
        <v>654</v>
      </c>
      <c r="F143" s="21" t="s">
        <v>655</v>
      </c>
      <c r="G143" s="8" t="str">
        <f t="shared" si="2"/>
        <v>COMELLA JUSTIN</v>
      </c>
    </row>
    <row r="144" spans="1:7" x14ac:dyDescent="0.25">
      <c r="A144" s="8">
        <v>42723.657500000001</v>
      </c>
      <c r="B144" s="21" t="s">
        <v>244</v>
      </c>
      <c r="C144" s="21" t="s">
        <v>691</v>
      </c>
      <c r="D144" s="164">
        <v>1810000</v>
      </c>
      <c r="E144" s="21" t="s">
        <v>432</v>
      </c>
      <c r="F144" s="21" t="s">
        <v>252</v>
      </c>
      <c r="G144" s="8" t="str">
        <f t="shared" si="2"/>
        <v>NEWELL JAMES</v>
      </c>
    </row>
    <row r="145" spans="1:7" x14ac:dyDescent="0.25">
      <c r="A145" s="8">
        <v>42723.659895833334</v>
      </c>
      <c r="B145" s="21" t="s">
        <v>280</v>
      </c>
      <c r="C145" s="21" t="s">
        <v>692</v>
      </c>
      <c r="D145" s="164">
        <v>930000</v>
      </c>
      <c r="E145" s="21" t="s">
        <v>645</v>
      </c>
      <c r="F145" s="21" t="s">
        <v>646</v>
      </c>
      <c r="G145" s="8" t="str">
        <f t="shared" si="2"/>
        <v>CLARK KATHLEEN</v>
      </c>
    </row>
    <row r="146" spans="1:7" x14ac:dyDescent="0.25">
      <c r="A146" s="8">
        <v>42723.663877314815</v>
      </c>
      <c r="B146" s="21" t="s">
        <v>236</v>
      </c>
      <c r="C146" s="21" t="s">
        <v>557</v>
      </c>
      <c r="D146" s="164">
        <v>1820000</v>
      </c>
      <c r="E146" s="21" t="s">
        <v>291</v>
      </c>
      <c r="F146" s="21" t="s">
        <v>292</v>
      </c>
      <c r="G146" s="8" t="str">
        <f t="shared" si="2"/>
        <v>ADANE ELSHADAY</v>
      </c>
    </row>
    <row r="147" spans="1:7" x14ac:dyDescent="0.25">
      <c r="A147" s="8">
        <v>42723.665266203701</v>
      </c>
      <c r="B147" s="21" t="s">
        <v>183</v>
      </c>
      <c r="C147" s="21" t="s">
        <v>693</v>
      </c>
      <c r="D147" s="164">
        <v>2030000</v>
      </c>
      <c r="E147" s="21" t="s">
        <v>472</v>
      </c>
      <c r="F147" s="21" t="s">
        <v>251</v>
      </c>
      <c r="G147" s="8" t="str">
        <f t="shared" si="2"/>
        <v>KILLION DAVID</v>
      </c>
    </row>
    <row r="148" spans="1:7" x14ac:dyDescent="0.25">
      <c r="A148" s="8">
        <v>42723.671365740738</v>
      </c>
      <c r="B148" s="21" t="s">
        <v>259</v>
      </c>
      <c r="C148" s="21" t="s">
        <v>694</v>
      </c>
      <c r="D148" s="164">
        <v>1810000</v>
      </c>
      <c r="E148" s="21" t="s">
        <v>432</v>
      </c>
      <c r="F148" s="21" t="s">
        <v>252</v>
      </c>
      <c r="G148" s="8" t="str">
        <f t="shared" si="2"/>
        <v>NEWELL JAMES</v>
      </c>
    </row>
    <row r="149" spans="1:7" x14ac:dyDescent="0.25">
      <c r="A149" s="8">
        <v>42723.673506944448</v>
      </c>
      <c r="B149" s="21" t="s">
        <v>457</v>
      </c>
      <c r="C149" s="21" t="s">
        <v>695</v>
      </c>
      <c r="D149" s="164">
        <v>1280000</v>
      </c>
      <c r="E149" s="21" t="s">
        <v>470</v>
      </c>
      <c r="F149" s="21" t="s">
        <v>471</v>
      </c>
      <c r="G149" s="8" t="str">
        <f t="shared" si="2"/>
        <v>BARTLETT KIANDRA</v>
      </c>
    </row>
    <row r="150" spans="1:7" x14ac:dyDescent="0.25">
      <c r="A150" s="8">
        <v>42723.675115740742</v>
      </c>
      <c r="B150" s="21" t="s">
        <v>206</v>
      </c>
      <c r="C150" s="21" t="s">
        <v>696</v>
      </c>
      <c r="D150" s="164">
        <v>2680000</v>
      </c>
      <c r="E150" s="21" t="s">
        <v>639</v>
      </c>
      <c r="F150" s="21" t="s">
        <v>640</v>
      </c>
      <c r="G150" s="8" t="str">
        <f t="shared" si="2"/>
        <v>DUNCAN SHEILA</v>
      </c>
    </row>
    <row r="151" spans="1:7" x14ac:dyDescent="0.25">
      <c r="A151" s="8">
        <v>42723.678611111114</v>
      </c>
      <c r="B151" s="21" t="s">
        <v>232</v>
      </c>
      <c r="C151" s="21" t="s">
        <v>697</v>
      </c>
      <c r="D151" s="164">
        <v>1300000</v>
      </c>
      <c r="E151" s="21" t="s">
        <v>113</v>
      </c>
      <c r="F151" s="21" t="s">
        <v>281</v>
      </c>
      <c r="G151" s="8" t="str">
        <f t="shared" si="2"/>
        <v>LEVIN SCOTT</v>
      </c>
    </row>
    <row r="152" spans="1:7" x14ac:dyDescent="0.25">
      <c r="A152" s="8">
        <v>42723.684374999997</v>
      </c>
      <c r="B152" s="21" t="s">
        <v>287</v>
      </c>
      <c r="C152" s="21" t="s">
        <v>698</v>
      </c>
      <c r="D152" s="164">
        <v>2150000</v>
      </c>
      <c r="E152" s="21" t="s">
        <v>428</v>
      </c>
      <c r="F152" s="21" t="s">
        <v>429</v>
      </c>
      <c r="G152" s="8" t="str">
        <f t="shared" si="2"/>
        <v>SWANSON BRYCE</v>
      </c>
    </row>
    <row r="153" spans="1:7" x14ac:dyDescent="0.25">
      <c r="A153" s="8">
        <v>42723.687337962961</v>
      </c>
      <c r="B153" s="21" t="s">
        <v>244</v>
      </c>
      <c r="C153" s="21" t="s">
        <v>699</v>
      </c>
      <c r="D153" s="164">
        <v>1810000</v>
      </c>
      <c r="E153" s="21" t="s">
        <v>432</v>
      </c>
      <c r="F153" s="21" t="s">
        <v>252</v>
      </c>
      <c r="G153" s="8" t="str">
        <f t="shared" si="2"/>
        <v>NEWELL JAMES</v>
      </c>
    </row>
    <row r="154" spans="1:7" x14ac:dyDescent="0.25">
      <c r="A154" s="8">
        <v>42723.687384259261</v>
      </c>
      <c r="B154" s="21" t="s">
        <v>261</v>
      </c>
      <c r="C154" s="21" t="s">
        <v>700</v>
      </c>
      <c r="D154" s="164">
        <v>2670000</v>
      </c>
      <c r="E154" s="21" t="s">
        <v>654</v>
      </c>
      <c r="F154" s="21" t="s">
        <v>655</v>
      </c>
      <c r="G154" s="8" t="str">
        <f t="shared" si="2"/>
        <v>COMELLA JUSTIN</v>
      </c>
    </row>
    <row r="155" spans="1:7" x14ac:dyDescent="0.25">
      <c r="A155" s="8">
        <v>42723.692847222221</v>
      </c>
      <c r="B155" s="21" t="s">
        <v>233</v>
      </c>
      <c r="C155" s="21" t="s">
        <v>558</v>
      </c>
      <c r="D155" s="164">
        <v>1300000</v>
      </c>
      <c r="E155" s="21" t="s">
        <v>113</v>
      </c>
      <c r="F155" s="21" t="s">
        <v>281</v>
      </c>
      <c r="G155" s="8" t="str">
        <f t="shared" si="2"/>
        <v>LEVIN SCOTT</v>
      </c>
    </row>
    <row r="156" spans="1:7" x14ac:dyDescent="0.25">
      <c r="A156" s="8">
        <v>42723.695115740738</v>
      </c>
      <c r="B156" s="21" t="s">
        <v>214</v>
      </c>
      <c r="C156" s="21" t="s">
        <v>701</v>
      </c>
      <c r="D156" s="164">
        <v>930000</v>
      </c>
      <c r="E156" s="21" t="s">
        <v>645</v>
      </c>
      <c r="F156" s="21" t="s">
        <v>646</v>
      </c>
      <c r="G156" s="8" t="str">
        <f t="shared" si="2"/>
        <v>CLARK KATHLEEN</v>
      </c>
    </row>
    <row r="157" spans="1:7" x14ac:dyDescent="0.25">
      <c r="A157" s="8">
        <v>42723.698923611111</v>
      </c>
      <c r="B157" s="21" t="s">
        <v>422</v>
      </c>
      <c r="C157" s="21" t="s">
        <v>702</v>
      </c>
      <c r="D157" s="164">
        <v>2030000</v>
      </c>
      <c r="E157" s="21" t="s">
        <v>472</v>
      </c>
      <c r="F157" s="21" t="s">
        <v>251</v>
      </c>
      <c r="G157" s="8" t="str">
        <f t="shared" si="2"/>
        <v>KILLION DAVID</v>
      </c>
    </row>
    <row r="158" spans="1:7" x14ac:dyDescent="0.25">
      <c r="A158" s="8">
        <v>42723.703842592593</v>
      </c>
      <c r="B158" s="21" t="s">
        <v>460</v>
      </c>
      <c r="C158" s="21" t="s">
        <v>703</v>
      </c>
      <c r="D158" s="164">
        <v>1820000</v>
      </c>
      <c r="E158" s="21" t="s">
        <v>291</v>
      </c>
      <c r="F158" s="21" t="s">
        <v>292</v>
      </c>
      <c r="G158" s="8" t="str">
        <f t="shared" si="2"/>
        <v>ADANE ELSHADAY</v>
      </c>
    </row>
    <row r="159" spans="1:7" x14ac:dyDescent="0.25">
      <c r="A159" s="8">
        <v>42723.712650462963</v>
      </c>
      <c r="B159" s="21" t="s">
        <v>259</v>
      </c>
      <c r="C159" s="21" t="s">
        <v>704</v>
      </c>
      <c r="D159" s="164">
        <v>1810000</v>
      </c>
      <c r="E159" s="21" t="s">
        <v>432</v>
      </c>
      <c r="F159" s="21" t="s">
        <v>252</v>
      </c>
      <c r="G159" s="8" t="str">
        <f t="shared" si="2"/>
        <v>NEWELL JAMES</v>
      </c>
    </row>
    <row r="160" spans="1:7" x14ac:dyDescent="0.25">
      <c r="A160" s="8">
        <v>42723.713969907411</v>
      </c>
      <c r="B160" s="21" t="s">
        <v>207</v>
      </c>
      <c r="C160" s="21" t="s">
        <v>705</v>
      </c>
      <c r="D160" s="164">
        <v>2680000</v>
      </c>
      <c r="E160" s="21" t="s">
        <v>639</v>
      </c>
      <c r="F160" s="21" t="s">
        <v>640</v>
      </c>
      <c r="G160" s="8" t="str">
        <f t="shared" si="2"/>
        <v>DUNCAN SHEILA</v>
      </c>
    </row>
    <row r="161" spans="1:7" x14ac:dyDescent="0.25">
      <c r="A161" s="8">
        <v>42723.714953703704</v>
      </c>
      <c r="B161" s="21" t="s">
        <v>232</v>
      </c>
      <c r="C161" s="21" t="s">
        <v>706</v>
      </c>
      <c r="D161" s="164">
        <v>1300000</v>
      </c>
      <c r="E161" s="21" t="s">
        <v>113</v>
      </c>
      <c r="F161" s="21" t="s">
        <v>281</v>
      </c>
      <c r="G161" s="8" t="str">
        <f t="shared" si="2"/>
        <v>LEVIN SCOTT</v>
      </c>
    </row>
    <row r="162" spans="1:7" x14ac:dyDescent="0.25">
      <c r="A162" s="8">
        <v>42723.717210648145</v>
      </c>
      <c r="B162" s="21" t="s">
        <v>461</v>
      </c>
      <c r="C162" s="21" t="s">
        <v>707</v>
      </c>
      <c r="D162" s="164">
        <v>2230000</v>
      </c>
      <c r="E162" s="21" t="s">
        <v>426</v>
      </c>
      <c r="F162" s="21" t="s">
        <v>264</v>
      </c>
      <c r="G162" s="8" t="str">
        <f t="shared" si="2"/>
        <v>SMITH MICHAEL</v>
      </c>
    </row>
    <row r="163" spans="1:7" x14ac:dyDescent="0.25">
      <c r="A163" s="8">
        <v>42723.717465277776</v>
      </c>
      <c r="B163" s="21" t="s">
        <v>288</v>
      </c>
      <c r="C163" s="21" t="s">
        <v>708</v>
      </c>
      <c r="D163" s="164">
        <v>2150000</v>
      </c>
      <c r="E163" s="21" t="s">
        <v>428</v>
      </c>
      <c r="F163" s="21" t="s">
        <v>429</v>
      </c>
      <c r="G163" s="8" t="str">
        <f t="shared" si="2"/>
        <v>SWANSON BRYCE</v>
      </c>
    </row>
    <row r="164" spans="1:7" x14ac:dyDescent="0.25">
      <c r="A164" s="8">
        <v>42723.717604166668</v>
      </c>
      <c r="B164" s="21" t="s">
        <v>458</v>
      </c>
      <c r="C164" s="21" t="s">
        <v>709</v>
      </c>
      <c r="D164" s="164">
        <v>1800000</v>
      </c>
      <c r="E164" s="21" t="s">
        <v>237</v>
      </c>
      <c r="F164" s="21" t="s">
        <v>255</v>
      </c>
      <c r="G164" s="8" t="str">
        <f t="shared" si="2"/>
        <v>CHANDLER KELVIN</v>
      </c>
    </row>
    <row r="165" spans="1:7" x14ac:dyDescent="0.25">
      <c r="A165" s="8">
        <v>42723.727951388886</v>
      </c>
      <c r="B165" s="21" t="s">
        <v>244</v>
      </c>
      <c r="C165" s="21" t="s">
        <v>559</v>
      </c>
      <c r="D165" s="164">
        <v>1810000</v>
      </c>
      <c r="E165" s="21" t="s">
        <v>432</v>
      </c>
      <c r="F165" s="21" t="s">
        <v>252</v>
      </c>
      <c r="G165" s="8" t="str">
        <f t="shared" si="2"/>
        <v>NEWELL JAMES</v>
      </c>
    </row>
    <row r="166" spans="1:7" x14ac:dyDescent="0.25">
      <c r="A166" s="8">
        <v>42723.729131944441</v>
      </c>
      <c r="B166" s="21" t="s">
        <v>229</v>
      </c>
      <c r="C166" s="21" t="s">
        <v>710</v>
      </c>
      <c r="D166" s="164">
        <v>1280000</v>
      </c>
      <c r="E166" s="21" t="s">
        <v>470</v>
      </c>
      <c r="F166" s="21" t="s">
        <v>471</v>
      </c>
      <c r="G166" s="8" t="str">
        <f t="shared" si="2"/>
        <v>BARTLETT KIANDRA</v>
      </c>
    </row>
    <row r="167" spans="1:7" x14ac:dyDescent="0.25">
      <c r="A167" s="8">
        <v>42723.732939814814</v>
      </c>
      <c r="B167" s="21" t="s">
        <v>280</v>
      </c>
      <c r="C167" s="21" t="s">
        <v>561</v>
      </c>
      <c r="D167" s="164">
        <v>930000</v>
      </c>
      <c r="E167" s="21" t="s">
        <v>645</v>
      </c>
      <c r="F167" s="21" t="s">
        <v>646</v>
      </c>
      <c r="G167" s="8" t="str">
        <f t="shared" si="2"/>
        <v>CLARK KATHLEEN</v>
      </c>
    </row>
    <row r="168" spans="1:7" x14ac:dyDescent="0.25">
      <c r="A168" s="8">
        <v>42723.733101851853</v>
      </c>
      <c r="B168" s="21" t="s">
        <v>585</v>
      </c>
      <c r="C168" s="21" t="s">
        <v>711</v>
      </c>
      <c r="D168" s="164">
        <v>2090000</v>
      </c>
      <c r="E168" s="21" t="s">
        <v>466</v>
      </c>
      <c r="F168" s="21" t="s">
        <v>264</v>
      </c>
      <c r="G168" s="8" t="str">
        <f t="shared" si="2"/>
        <v>HAITHCOX MICHAEL</v>
      </c>
    </row>
    <row r="169" spans="1:7" x14ac:dyDescent="0.25">
      <c r="A169" s="8">
        <v>42723.734317129631</v>
      </c>
      <c r="B169" s="21" t="s">
        <v>233</v>
      </c>
      <c r="C169" s="21" t="s">
        <v>712</v>
      </c>
      <c r="D169" s="164">
        <v>1300000</v>
      </c>
      <c r="E169" s="21" t="s">
        <v>113</v>
      </c>
      <c r="F169" s="21" t="s">
        <v>281</v>
      </c>
      <c r="G169" s="8" t="str">
        <f t="shared" si="2"/>
        <v>LEVIN SCOTT</v>
      </c>
    </row>
    <row r="170" spans="1:7" x14ac:dyDescent="0.25">
      <c r="A170" s="8">
        <v>42723.734965277778</v>
      </c>
      <c r="B170" s="21" t="s">
        <v>236</v>
      </c>
      <c r="C170" s="21" t="s">
        <v>713</v>
      </c>
      <c r="D170" s="164">
        <v>1820000</v>
      </c>
      <c r="E170" s="21" t="s">
        <v>291</v>
      </c>
      <c r="F170" s="21" t="s">
        <v>292</v>
      </c>
      <c r="G170" s="8" t="str">
        <f t="shared" si="2"/>
        <v>ADANE ELSHADAY</v>
      </c>
    </row>
    <row r="171" spans="1:7" x14ac:dyDescent="0.25">
      <c r="A171" s="8">
        <v>42723.736990740741</v>
      </c>
      <c r="B171" s="21" t="s">
        <v>183</v>
      </c>
      <c r="C171" s="21" t="s">
        <v>714</v>
      </c>
      <c r="D171" s="164">
        <v>2230000</v>
      </c>
      <c r="E171" s="21" t="s">
        <v>426</v>
      </c>
      <c r="F171" s="21" t="s">
        <v>264</v>
      </c>
      <c r="G171" s="8" t="str">
        <f t="shared" si="2"/>
        <v>SMITH MICHAEL</v>
      </c>
    </row>
    <row r="172" spans="1:7" x14ac:dyDescent="0.25">
      <c r="A172" s="8">
        <v>42723.744027777779</v>
      </c>
      <c r="B172" s="21" t="s">
        <v>274</v>
      </c>
      <c r="C172" s="21" t="s">
        <v>715</v>
      </c>
      <c r="D172" s="164">
        <v>2630000</v>
      </c>
      <c r="E172" s="21" t="s">
        <v>294</v>
      </c>
      <c r="F172" s="21" t="s">
        <v>295</v>
      </c>
      <c r="G172" s="8" t="str">
        <f t="shared" si="2"/>
        <v>SAFIEF AEIMEN</v>
      </c>
    </row>
    <row r="173" spans="1:7" x14ac:dyDescent="0.25">
      <c r="A173" s="8">
        <v>42723.747048611112</v>
      </c>
      <c r="B173" s="21" t="s">
        <v>233</v>
      </c>
      <c r="C173" s="21" t="s">
        <v>712</v>
      </c>
      <c r="D173" s="164">
        <v>1300000</v>
      </c>
      <c r="E173" s="21" t="s">
        <v>113</v>
      </c>
      <c r="F173" s="21" t="s">
        <v>281</v>
      </c>
      <c r="G173" s="8" t="str">
        <f t="shared" si="2"/>
        <v>LEVIN SCOTT</v>
      </c>
    </row>
    <row r="174" spans="1:7" x14ac:dyDescent="0.25">
      <c r="A174" s="8">
        <v>42723.75409722222</v>
      </c>
      <c r="B174" s="21" t="s">
        <v>259</v>
      </c>
      <c r="C174" s="21" t="s">
        <v>560</v>
      </c>
      <c r="D174" s="164">
        <v>1810000</v>
      </c>
      <c r="E174" s="21" t="s">
        <v>432</v>
      </c>
      <c r="F174" s="21" t="s">
        <v>252</v>
      </c>
      <c r="G174" s="8" t="str">
        <f t="shared" si="2"/>
        <v>NEWELL JAMES</v>
      </c>
    </row>
    <row r="175" spans="1:7" x14ac:dyDescent="0.25">
      <c r="A175" s="8">
        <v>42723.754756944443</v>
      </c>
      <c r="B175" s="21" t="s">
        <v>206</v>
      </c>
      <c r="C175" s="21" t="s">
        <v>716</v>
      </c>
      <c r="D175" s="164">
        <v>2030000</v>
      </c>
      <c r="E175" s="21" t="s">
        <v>472</v>
      </c>
      <c r="F175" s="21" t="s">
        <v>251</v>
      </c>
      <c r="G175" s="8" t="str">
        <f t="shared" si="2"/>
        <v>KILLION DAVID</v>
      </c>
    </row>
    <row r="176" spans="1:7" x14ac:dyDescent="0.25">
      <c r="A176" s="8">
        <v>42723.757638888892</v>
      </c>
      <c r="B176" s="21" t="s">
        <v>457</v>
      </c>
      <c r="C176" s="21" t="s">
        <v>717</v>
      </c>
      <c r="D176" s="164">
        <v>1800000</v>
      </c>
      <c r="E176" s="21" t="s">
        <v>237</v>
      </c>
      <c r="F176" s="21" t="s">
        <v>255</v>
      </c>
      <c r="G176" s="8" t="str">
        <f t="shared" si="2"/>
        <v>CHANDLER KELVIN</v>
      </c>
    </row>
    <row r="177" spans="1:7" x14ac:dyDescent="0.25">
      <c r="A177" s="8">
        <v>42723.758483796293</v>
      </c>
      <c r="B177" s="21" t="s">
        <v>261</v>
      </c>
      <c r="C177" s="21" t="s">
        <v>718</v>
      </c>
      <c r="D177" s="164">
        <v>1280000</v>
      </c>
      <c r="E177" s="21" t="s">
        <v>470</v>
      </c>
      <c r="F177" s="21" t="s">
        <v>471</v>
      </c>
      <c r="G177" s="8" t="str">
        <f t="shared" si="2"/>
        <v>BARTLETT KIANDRA</v>
      </c>
    </row>
    <row r="178" spans="1:7" x14ac:dyDescent="0.25">
      <c r="A178" s="8">
        <v>42723.759097222224</v>
      </c>
      <c r="B178" s="21" t="s">
        <v>287</v>
      </c>
      <c r="C178" s="21" t="s">
        <v>719</v>
      </c>
      <c r="D178" s="164">
        <v>2560000</v>
      </c>
      <c r="E178" s="21" t="s">
        <v>434</v>
      </c>
      <c r="F178" s="21" t="s">
        <v>435</v>
      </c>
      <c r="G178" s="8" t="str">
        <f t="shared" si="2"/>
        <v>MACDONALD THOMAS</v>
      </c>
    </row>
    <row r="179" spans="1:7" x14ac:dyDescent="0.25">
      <c r="A179" s="8">
        <v>42723.760937500003</v>
      </c>
      <c r="B179" s="21" t="s">
        <v>232</v>
      </c>
      <c r="C179" s="21" t="s">
        <v>720</v>
      </c>
      <c r="D179" s="164">
        <v>1300000</v>
      </c>
      <c r="E179" s="21" t="s">
        <v>113</v>
      </c>
      <c r="F179" s="21" t="s">
        <v>281</v>
      </c>
      <c r="G179" s="8" t="str">
        <f t="shared" si="2"/>
        <v>LEVIN SCOTT</v>
      </c>
    </row>
    <row r="180" spans="1:7" x14ac:dyDescent="0.25">
      <c r="A180" s="8">
        <v>42723.76421296296</v>
      </c>
      <c r="B180" s="21" t="s">
        <v>459</v>
      </c>
      <c r="C180" s="21" t="s">
        <v>721</v>
      </c>
      <c r="D180" s="164">
        <v>880000</v>
      </c>
      <c r="E180" s="21" t="s">
        <v>469</v>
      </c>
      <c r="F180" s="21" t="s">
        <v>264</v>
      </c>
      <c r="G180" s="8" t="str">
        <f t="shared" si="2"/>
        <v>STEWART MICHAEL</v>
      </c>
    </row>
    <row r="181" spans="1:7" x14ac:dyDescent="0.25">
      <c r="A181" s="8">
        <v>42723.769687499997</v>
      </c>
      <c r="B181" s="21" t="s">
        <v>244</v>
      </c>
      <c r="C181" s="21" t="s">
        <v>722</v>
      </c>
      <c r="D181" s="164">
        <v>1810000</v>
      </c>
      <c r="E181" s="21" t="s">
        <v>432</v>
      </c>
      <c r="F181" s="21" t="s">
        <v>252</v>
      </c>
      <c r="G181" s="8" t="str">
        <f t="shared" si="2"/>
        <v>NEWELL JAMES</v>
      </c>
    </row>
    <row r="182" spans="1:7" x14ac:dyDescent="0.25">
      <c r="A182" s="8">
        <v>42723.769953703704</v>
      </c>
      <c r="B182" s="21" t="s">
        <v>422</v>
      </c>
      <c r="C182" s="21" t="s">
        <v>562</v>
      </c>
      <c r="D182" s="164">
        <v>2230000</v>
      </c>
      <c r="E182" s="21" t="s">
        <v>426</v>
      </c>
      <c r="F182" s="21" t="s">
        <v>264</v>
      </c>
      <c r="G182" s="8" t="str">
        <f t="shared" si="2"/>
        <v>SMITH MICHAEL</v>
      </c>
    </row>
    <row r="183" spans="1:7" x14ac:dyDescent="0.25">
      <c r="A183" s="8">
        <v>42723.772916666669</v>
      </c>
      <c r="B183" s="21" t="s">
        <v>214</v>
      </c>
      <c r="C183" s="21" t="s">
        <v>723</v>
      </c>
      <c r="D183" s="164">
        <v>2730000</v>
      </c>
      <c r="E183" s="21" t="s">
        <v>724</v>
      </c>
      <c r="F183" s="21" t="s">
        <v>725</v>
      </c>
      <c r="G183" s="8" t="str">
        <f t="shared" si="2"/>
        <v>YANG JAN</v>
      </c>
    </row>
    <row r="184" spans="1:7" x14ac:dyDescent="0.25">
      <c r="A184" s="8">
        <v>42723.776030092595</v>
      </c>
      <c r="B184" s="21" t="s">
        <v>233</v>
      </c>
      <c r="C184" s="21" t="s">
        <v>726</v>
      </c>
      <c r="D184" s="164">
        <v>1300000</v>
      </c>
      <c r="E184" s="21" t="s">
        <v>113</v>
      </c>
      <c r="F184" s="21" t="s">
        <v>281</v>
      </c>
      <c r="G184" s="8" t="str">
        <f t="shared" si="2"/>
        <v>LEVIN SCOTT</v>
      </c>
    </row>
    <row r="185" spans="1:7" x14ac:dyDescent="0.25">
      <c r="A185" s="8">
        <v>42723.776493055557</v>
      </c>
      <c r="B185" s="21" t="s">
        <v>460</v>
      </c>
      <c r="C185" s="21" t="s">
        <v>727</v>
      </c>
      <c r="D185" s="164">
        <v>1820000</v>
      </c>
      <c r="E185" s="21" t="s">
        <v>291</v>
      </c>
      <c r="F185" s="21" t="s">
        <v>292</v>
      </c>
      <c r="G185" s="8" t="str">
        <f t="shared" si="2"/>
        <v>ADANE ELSHADAY</v>
      </c>
    </row>
    <row r="186" spans="1:7" x14ac:dyDescent="0.25">
      <c r="A186" s="8">
        <v>42723.787476851852</v>
      </c>
      <c r="B186" s="21" t="s">
        <v>207</v>
      </c>
      <c r="C186" s="21" t="s">
        <v>728</v>
      </c>
      <c r="D186" s="164">
        <v>2030000</v>
      </c>
      <c r="E186" s="21" t="s">
        <v>472</v>
      </c>
      <c r="F186" s="21" t="s">
        <v>251</v>
      </c>
      <c r="G186" s="8" t="str">
        <f t="shared" si="2"/>
        <v>KILLION DAVID</v>
      </c>
    </row>
    <row r="187" spans="1:7" x14ac:dyDescent="0.25">
      <c r="A187" s="8">
        <v>42723.790798611109</v>
      </c>
      <c r="B187" s="21" t="s">
        <v>458</v>
      </c>
      <c r="C187" s="21" t="s">
        <v>729</v>
      </c>
      <c r="D187" s="164">
        <v>1800000</v>
      </c>
      <c r="E187" s="21" t="s">
        <v>237</v>
      </c>
      <c r="F187" s="21" t="s">
        <v>255</v>
      </c>
      <c r="G187" s="8" t="str">
        <f t="shared" si="2"/>
        <v>CHANDLER KELVIN</v>
      </c>
    </row>
    <row r="188" spans="1:7" x14ac:dyDescent="0.25">
      <c r="A188" s="8">
        <v>42723.792222222219</v>
      </c>
      <c r="B188" s="21" t="s">
        <v>288</v>
      </c>
      <c r="C188" s="21" t="s">
        <v>730</v>
      </c>
      <c r="D188" s="164">
        <v>2560000</v>
      </c>
      <c r="E188" s="21" t="s">
        <v>434</v>
      </c>
      <c r="F188" s="21" t="s">
        <v>435</v>
      </c>
      <c r="G188" s="8" t="str">
        <f t="shared" si="2"/>
        <v>MACDONALD THOMAS</v>
      </c>
    </row>
    <row r="189" spans="1:7" x14ac:dyDescent="0.25">
      <c r="A189" s="8">
        <v>42723.795995370368</v>
      </c>
      <c r="B189" s="21" t="s">
        <v>259</v>
      </c>
      <c r="C189" s="21" t="s">
        <v>731</v>
      </c>
      <c r="D189" s="164">
        <v>1810000</v>
      </c>
      <c r="E189" s="21" t="s">
        <v>432</v>
      </c>
      <c r="F189" s="21" t="s">
        <v>252</v>
      </c>
      <c r="G189" s="8" t="str">
        <f t="shared" si="2"/>
        <v>NEWELL JAMES</v>
      </c>
    </row>
    <row r="190" spans="1:7" x14ac:dyDescent="0.25">
      <c r="A190" s="8">
        <v>42723.798958333333</v>
      </c>
      <c r="B190" s="21" t="s">
        <v>229</v>
      </c>
      <c r="C190" s="21" t="s">
        <v>732</v>
      </c>
      <c r="D190" s="164">
        <v>1280000</v>
      </c>
      <c r="E190" s="21" t="s">
        <v>470</v>
      </c>
      <c r="F190" s="21" t="s">
        <v>471</v>
      </c>
      <c r="G190" s="8" t="str">
        <f t="shared" si="2"/>
        <v>BARTLETT KIANDRA</v>
      </c>
    </row>
    <row r="191" spans="1:7" x14ac:dyDescent="0.25">
      <c r="A191" s="8">
        <v>42723.802997685183</v>
      </c>
      <c r="B191" s="21" t="s">
        <v>232</v>
      </c>
      <c r="C191" s="21" t="s">
        <v>733</v>
      </c>
      <c r="D191" s="164">
        <v>1300000</v>
      </c>
      <c r="E191" s="21" t="s">
        <v>113</v>
      </c>
      <c r="F191" s="21" t="s">
        <v>281</v>
      </c>
      <c r="G191" s="8" t="str">
        <f t="shared" si="2"/>
        <v>LEVIN SCOTT</v>
      </c>
    </row>
    <row r="192" spans="1:7" x14ac:dyDescent="0.25">
      <c r="A192" s="8">
        <v>42723.807928240742</v>
      </c>
      <c r="B192" s="21" t="s">
        <v>280</v>
      </c>
      <c r="C192" s="21" t="s">
        <v>734</v>
      </c>
      <c r="D192" s="164">
        <v>2730000</v>
      </c>
      <c r="E192" s="21" t="s">
        <v>724</v>
      </c>
      <c r="F192" s="21" t="s">
        <v>725</v>
      </c>
      <c r="G192" s="8" t="str">
        <f t="shared" si="2"/>
        <v>YANG JAN</v>
      </c>
    </row>
    <row r="193" spans="1:7" x14ac:dyDescent="0.25">
      <c r="A193" s="8">
        <v>42723.810555555552</v>
      </c>
      <c r="B193" s="21" t="s">
        <v>183</v>
      </c>
      <c r="C193" s="21" t="s">
        <v>735</v>
      </c>
      <c r="D193" s="164">
        <v>2230000</v>
      </c>
      <c r="E193" s="21" t="s">
        <v>426</v>
      </c>
      <c r="F193" s="21" t="s">
        <v>264</v>
      </c>
      <c r="G193" s="8" t="str">
        <f t="shared" si="2"/>
        <v>SMITH MICHAEL</v>
      </c>
    </row>
    <row r="194" spans="1:7" x14ac:dyDescent="0.25">
      <c r="A194" s="8">
        <v>42723.817418981482</v>
      </c>
      <c r="B194" s="21" t="s">
        <v>233</v>
      </c>
      <c r="C194" s="21" t="s">
        <v>563</v>
      </c>
      <c r="D194" s="164">
        <v>1300000</v>
      </c>
      <c r="E194" s="21" t="s">
        <v>113</v>
      </c>
      <c r="F194" s="21" t="s">
        <v>281</v>
      </c>
      <c r="G194" s="8" t="str">
        <f t="shared" si="2"/>
        <v>LEVIN SCOTT</v>
      </c>
    </row>
    <row r="195" spans="1:7" x14ac:dyDescent="0.25">
      <c r="A195" s="8">
        <v>42723.829375000001</v>
      </c>
      <c r="B195" s="21" t="s">
        <v>457</v>
      </c>
      <c r="C195" s="21" t="s">
        <v>736</v>
      </c>
      <c r="D195" s="164">
        <v>1800000</v>
      </c>
      <c r="E195" s="21" t="s">
        <v>237</v>
      </c>
      <c r="F195" s="21" t="s">
        <v>255</v>
      </c>
      <c r="G195" s="8" t="str">
        <f t="shared" ref="G195:G258" si="3">E195&amp;" "&amp;F195</f>
        <v>CHANDLER KELVIN</v>
      </c>
    </row>
    <row r="196" spans="1:7" x14ac:dyDescent="0.25">
      <c r="A196" s="8">
        <v>42723.829618055555</v>
      </c>
      <c r="B196" s="21" t="s">
        <v>287</v>
      </c>
      <c r="C196" s="21" t="s">
        <v>737</v>
      </c>
      <c r="D196" s="164">
        <v>2030000</v>
      </c>
      <c r="E196" s="21" t="s">
        <v>472</v>
      </c>
      <c r="F196" s="21" t="s">
        <v>251</v>
      </c>
      <c r="G196" s="8" t="str">
        <f t="shared" si="3"/>
        <v>KILLION DAVID</v>
      </c>
    </row>
    <row r="197" spans="1:7" x14ac:dyDescent="0.25">
      <c r="A197" s="8">
        <v>42723.831574074073</v>
      </c>
      <c r="B197" s="21" t="s">
        <v>206</v>
      </c>
      <c r="C197" s="21" t="s">
        <v>738</v>
      </c>
      <c r="D197" s="164">
        <v>2530000</v>
      </c>
      <c r="E197" s="21" t="s">
        <v>238</v>
      </c>
      <c r="F197" s="21" t="s">
        <v>433</v>
      </c>
      <c r="G197" s="8" t="str">
        <f t="shared" si="3"/>
        <v>LALONDE GREGORY</v>
      </c>
    </row>
    <row r="198" spans="1:7" x14ac:dyDescent="0.25">
      <c r="A198" s="8">
        <v>42723.844675925924</v>
      </c>
      <c r="B198" s="21" t="s">
        <v>422</v>
      </c>
      <c r="C198" s="21" t="s">
        <v>739</v>
      </c>
      <c r="D198" s="164">
        <v>2230000</v>
      </c>
      <c r="E198" s="21" t="s">
        <v>426</v>
      </c>
      <c r="F198" s="21" t="s">
        <v>264</v>
      </c>
      <c r="G198" s="8" t="str">
        <f t="shared" si="3"/>
        <v>SMITH MICHAEL</v>
      </c>
    </row>
    <row r="199" spans="1:7" x14ac:dyDescent="0.25">
      <c r="A199" s="8">
        <v>42723.845439814817</v>
      </c>
      <c r="B199" s="21" t="s">
        <v>214</v>
      </c>
      <c r="C199" s="21" t="s">
        <v>740</v>
      </c>
      <c r="D199" s="164">
        <v>2730000</v>
      </c>
      <c r="E199" s="21" t="s">
        <v>724</v>
      </c>
      <c r="F199" s="21" t="s">
        <v>725</v>
      </c>
      <c r="G199" s="8" t="str">
        <f t="shared" si="3"/>
        <v>YANG JAN</v>
      </c>
    </row>
    <row r="200" spans="1:7" x14ac:dyDescent="0.25">
      <c r="A200" s="8">
        <v>42723.845486111109</v>
      </c>
      <c r="B200" s="21" t="s">
        <v>232</v>
      </c>
      <c r="C200" s="21" t="s">
        <v>741</v>
      </c>
      <c r="D200" s="164">
        <v>1300000</v>
      </c>
      <c r="E200" s="21" t="s">
        <v>113</v>
      </c>
      <c r="F200" s="21" t="s">
        <v>281</v>
      </c>
      <c r="G200" s="8" t="str">
        <f t="shared" si="3"/>
        <v>LEVIN SCOTT</v>
      </c>
    </row>
    <row r="201" spans="1:7" x14ac:dyDescent="0.25">
      <c r="A201" s="8">
        <v>42723.859768518516</v>
      </c>
      <c r="B201" s="21" t="s">
        <v>233</v>
      </c>
      <c r="C201" s="21" t="s">
        <v>742</v>
      </c>
      <c r="D201" s="164">
        <v>1300000</v>
      </c>
      <c r="E201" s="21" t="s">
        <v>113</v>
      </c>
      <c r="F201" s="21" t="s">
        <v>281</v>
      </c>
      <c r="G201" s="8" t="str">
        <f t="shared" si="3"/>
        <v>LEVIN SCOTT</v>
      </c>
    </row>
    <row r="202" spans="1:7" x14ac:dyDescent="0.25">
      <c r="A202" s="27">
        <v>42723.860462962963</v>
      </c>
      <c r="B202" s="21" t="s">
        <v>207</v>
      </c>
      <c r="C202" s="21" t="s">
        <v>743</v>
      </c>
      <c r="D202" s="164">
        <v>2530000</v>
      </c>
      <c r="E202" s="21" t="s">
        <v>238</v>
      </c>
      <c r="F202" s="21" t="s">
        <v>433</v>
      </c>
      <c r="G202" s="8" t="str">
        <f t="shared" si="3"/>
        <v>LALONDE GREGORY</v>
      </c>
    </row>
    <row r="203" spans="1:7" x14ac:dyDescent="0.25">
      <c r="A203" s="8">
        <v>42723.874513888892</v>
      </c>
      <c r="B203" s="21" t="s">
        <v>458</v>
      </c>
      <c r="C203" s="21" t="s">
        <v>744</v>
      </c>
      <c r="D203" s="164">
        <v>1800000</v>
      </c>
      <c r="E203" s="21" t="s">
        <v>237</v>
      </c>
      <c r="F203" s="21" t="s">
        <v>255</v>
      </c>
      <c r="G203" s="8" t="str">
        <f t="shared" si="3"/>
        <v>CHANDLER KELVIN</v>
      </c>
    </row>
    <row r="204" spans="1:7" x14ac:dyDescent="0.25">
      <c r="A204" s="8">
        <v>42723.878923611112</v>
      </c>
      <c r="B204" s="21" t="s">
        <v>232</v>
      </c>
      <c r="C204" s="21" t="s">
        <v>745</v>
      </c>
      <c r="D204" s="164">
        <v>1810000</v>
      </c>
      <c r="E204" s="21" t="s">
        <v>432</v>
      </c>
      <c r="F204" s="21" t="s">
        <v>252</v>
      </c>
      <c r="G204" s="8" t="str">
        <f t="shared" si="3"/>
        <v>NEWELL JAMES</v>
      </c>
    </row>
    <row r="205" spans="1:7" x14ac:dyDescent="0.25">
      <c r="A205" s="8">
        <v>42723.891585648147</v>
      </c>
      <c r="B205" s="21" t="s">
        <v>422</v>
      </c>
      <c r="C205" s="21" t="s">
        <v>739</v>
      </c>
      <c r="D205" s="164">
        <v>2230000</v>
      </c>
      <c r="E205" s="21" t="s">
        <v>426</v>
      </c>
      <c r="F205" s="21" t="s">
        <v>264</v>
      </c>
      <c r="G205" s="8" t="str">
        <f t="shared" si="3"/>
        <v>SMITH MICHAEL</v>
      </c>
    </row>
    <row r="206" spans="1:7" x14ac:dyDescent="0.25">
      <c r="A206" s="8">
        <v>42723.897129629629</v>
      </c>
      <c r="B206" s="21" t="s">
        <v>225</v>
      </c>
      <c r="C206" s="21" t="s">
        <v>746</v>
      </c>
      <c r="D206" s="164">
        <v>2630000</v>
      </c>
      <c r="E206" s="21" t="s">
        <v>294</v>
      </c>
      <c r="F206" s="21" t="s">
        <v>295</v>
      </c>
      <c r="G206" s="8" t="str">
        <f t="shared" si="3"/>
        <v>SAFIEF AEIMEN</v>
      </c>
    </row>
    <row r="207" spans="1:7" x14ac:dyDescent="0.25">
      <c r="A207" s="8">
        <v>42723.900439814817</v>
      </c>
      <c r="B207" s="21" t="s">
        <v>233</v>
      </c>
      <c r="C207" s="21" t="s">
        <v>564</v>
      </c>
      <c r="D207" s="164">
        <v>1810000</v>
      </c>
      <c r="E207" s="21" t="s">
        <v>432</v>
      </c>
      <c r="F207" s="21" t="s">
        <v>252</v>
      </c>
      <c r="G207" s="8" t="str">
        <f t="shared" si="3"/>
        <v>NEWELL JAMES</v>
      </c>
    </row>
    <row r="208" spans="1:7" x14ac:dyDescent="0.25">
      <c r="A208" s="8">
        <v>42723.913831018515</v>
      </c>
      <c r="B208" s="21" t="s">
        <v>183</v>
      </c>
      <c r="C208" s="21" t="s">
        <v>747</v>
      </c>
      <c r="D208" s="164">
        <v>2230000</v>
      </c>
      <c r="E208" s="21" t="s">
        <v>426</v>
      </c>
      <c r="F208" s="21" t="s">
        <v>264</v>
      </c>
      <c r="G208" s="8" t="str">
        <f t="shared" si="3"/>
        <v>SMITH MICHAEL</v>
      </c>
    </row>
    <row r="209" spans="1:7" x14ac:dyDescent="0.25">
      <c r="A209" s="8">
        <v>42723.914548611108</v>
      </c>
      <c r="B209" s="21" t="s">
        <v>280</v>
      </c>
      <c r="C209" s="21" t="s">
        <v>748</v>
      </c>
      <c r="D209" s="164">
        <v>2730000</v>
      </c>
      <c r="E209" s="21" t="s">
        <v>724</v>
      </c>
      <c r="F209" s="21" t="s">
        <v>725</v>
      </c>
      <c r="G209" s="8" t="str">
        <f t="shared" si="3"/>
        <v>YANG JAN</v>
      </c>
    </row>
    <row r="210" spans="1:7" x14ac:dyDescent="0.25">
      <c r="A210" s="8">
        <v>42723.918599537035</v>
      </c>
      <c r="B210" s="21" t="s">
        <v>232</v>
      </c>
      <c r="C210" s="21" t="s">
        <v>749</v>
      </c>
      <c r="D210" s="164">
        <v>1810000</v>
      </c>
      <c r="E210" s="21" t="s">
        <v>432</v>
      </c>
      <c r="F210" s="21" t="s">
        <v>252</v>
      </c>
      <c r="G210" s="8" t="str">
        <f t="shared" si="3"/>
        <v>NEWELL JAMES</v>
      </c>
    </row>
    <row r="211" spans="1:7" x14ac:dyDescent="0.25">
      <c r="A211" s="8">
        <v>42723.920636574076</v>
      </c>
      <c r="B211" s="21" t="s">
        <v>207</v>
      </c>
      <c r="C211" s="21" t="s">
        <v>750</v>
      </c>
      <c r="D211" s="164">
        <v>2530000</v>
      </c>
      <c r="E211" s="21" t="s">
        <v>238</v>
      </c>
      <c r="F211" s="21" t="s">
        <v>433</v>
      </c>
      <c r="G211" s="8" t="str">
        <f t="shared" si="3"/>
        <v>LALONDE GREGORY</v>
      </c>
    </row>
    <row r="212" spans="1:7" x14ac:dyDescent="0.25">
      <c r="A212" s="8">
        <v>42723.921527777777</v>
      </c>
      <c r="B212" s="21" t="s">
        <v>585</v>
      </c>
      <c r="C212" s="21" t="s">
        <v>751</v>
      </c>
      <c r="D212" s="164">
        <v>2550000</v>
      </c>
      <c r="E212" s="21" t="s">
        <v>213</v>
      </c>
      <c r="F212" s="21" t="s">
        <v>293</v>
      </c>
      <c r="G212" s="8" t="str">
        <f t="shared" si="3"/>
        <v>BADERTSCHER DIANE</v>
      </c>
    </row>
    <row r="213" spans="1:7" x14ac:dyDescent="0.25">
      <c r="A213" s="8">
        <v>42723.937557870369</v>
      </c>
      <c r="B213" s="21" t="s">
        <v>183</v>
      </c>
      <c r="C213" s="21" t="s">
        <v>747</v>
      </c>
      <c r="D213" s="164">
        <v>2230000</v>
      </c>
      <c r="E213" s="21" t="s">
        <v>426</v>
      </c>
      <c r="F213" s="21" t="s">
        <v>264</v>
      </c>
      <c r="G213" s="8" t="str">
        <f t="shared" si="3"/>
        <v>SMITH MICHAEL</v>
      </c>
    </row>
    <row r="214" spans="1:7" x14ac:dyDescent="0.25">
      <c r="A214" s="8">
        <v>42723.940428240741</v>
      </c>
      <c r="B214" s="21" t="s">
        <v>225</v>
      </c>
      <c r="C214" s="21" t="s">
        <v>746</v>
      </c>
      <c r="D214" s="164">
        <v>2630000</v>
      </c>
      <c r="E214" s="21" t="s">
        <v>294</v>
      </c>
      <c r="F214" s="21" t="s">
        <v>295</v>
      </c>
      <c r="G214" s="8" t="str">
        <f t="shared" si="3"/>
        <v>SAFIEF AEIMEN</v>
      </c>
    </row>
    <row r="215" spans="1:7" x14ac:dyDescent="0.25">
      <c r="A215" s="8">
        <v>42723.942002314812</v>
      </c>
      <c r="B215" s="21" t="s">
        <v>233</v>
      </c>
      <c r="C215" s="21" t="s">
        <v>752</v>
      </c>
      <c r="D215" s="164">
        <v>1810000</v>
      </c>
      <c r="E215" s="21" t="s">
        <v>432</v>
      </c>
      <c r="F215" s="21" t="s">
        <v>252</v>
      </c>
      <c r="G215" s="8" t="str">
        <f t="shared" si="3"/>
        <v>NEWELL JAMES</v>
      </c>
    </row>
    <row r="216" spans="1:7" x14ac:dyDescent="0.25">
      <c r="A216" s="8">
        <v>42723.948888888888</v>
      </c>
      <c r="B216" s="21" t="s">
        <v>206</v>
      </c>
      <c r="C216" s="21" t="s">
        <v>753</v>
      </c>
      <c r="D216" s="164">
        <v>2560000</v>
      </c>
      <c r="E216" s="21" t="s">
        <v>434</v>
      </c>
      <c r="F216" s="21" t="s">
        <v>435</v>
      </c>
      <c r="G216" s="8" t="str">
        <f t="shared" si="3"/>
        <v>MACDONALD THOMAS</v>
      </c>
    </row>
    <row r="217" spans="1:7" x14ac:dyDescent="0.25">
      <c r="A217" s="8">
        <v>42723.949513888889</v>
      </c>
      <c r="B217" s="21" t="s">
        <v>280</v>
      </c>
      <c r="C217" s="21" t="s">
        <v>748</v>
      </c>
      <c r="D217" s="164">
        <v>2730000</v>
      </c>
      <c r="E217" s="21" t="s">
        <v>724</v>
      </c>
      <c r="F217" s="21" t="s">
        <v>725</v>
      </c>
      <c r="G217" s="8" t="str">
        <f t="shared" si="3"/>
        <v>YANG JAN</v>
      </c>
    </row>
    <row r="218" spans="1:7" x14ac:dyDescent="0.25">
      <c r="A218" s="8">
        <v>42723.954976851855</v>
      </c>
      <c r="B218" s="21" t="s">
        <v>274</v>
      </c>
      <c r="C218" s="21" t="s">
        <v>565</v>
      </c>
      <c r="D218" s="164">
        <v>2630000</v>
      </c>
      <c r="E218" s="21" t="s">
        <v>294</v>
      </c>
      <c r="F218" s="21" t="s">
        <v>295</v>
      </c>
      <c r="G218" s="8" t="str">
        <f t="shared" si="3"/>
        <v>SAFIEF AEIMEN</v>
      </c>
    </row>
    <row r="219" spans="1:7" x14ac:dyDescent="0.25">
      <c r="A219" s="8">
        <v>42723.963263888887</v>
      </c>
      <c r="B219" s="21" t="s">
        <v>422</v>
      </c>
      <c r="C219" s="21" t="s">
        <v>754</v>
      </c>
      <c r="D219" s="164">
        <v>2230000</v>
      </c>
      <c r="E219" s="21" t="s">
        <v>426</v>
      </c>
      <c r="F219" s="21" t="s">
        <v>264</v>
      </c>
      <c r="G219" s="8" t="str">
        <f t="shared" si="3"/>
        <v>SMITH MICHAEL</v>
      </c>
    </row>
    <row r="220" spans="1:7" x14ac:dyDescent="0.25">
      <c r="A220" s="8">
        <v>42723.977673611109</v>
      </c>
      <c r="B220" s="21" t="s">
        <v>214</v>
      </c>
      <c r="C220" s="21" t="s">
        <v>755</v>
      </c>
      <c r="D220" s="164">
        <v>2730000</v>
      </c>
      <c r="E220" s="21" t="s">
        <v>724</v>
      </c>
      <c r="F220" s="21" t="s">
        <v>725</v>
      </c>
      <c r="G220" s="8" t="str">
        <f t="shared" si="3"/>
        <v>YANG JAN</v>
      </c>
    </row>
    <row r="221" spans="1:7" x14ac:dyDescent="0.25">
      <c r="A221" s="8">
        <v>42723.994398148148</v>
      </c>
      <c r="B221" s="21" t="s">
        <v>207</v>
      </c>
      <c r="C221" s="21" t="s">
        <v>566</v>
      </c>
      <c r="D221" s="164">
        <v>2560000</v>
      </c>
      <c r="E221" s="21" t="s">
        <v>434</v>
      </c>
      <c r="F221" s="21" t="s">
        <v>435</v>
      </c>
      <c r="G221" s="8" t="str">
        <f t="shared" si="3"/>
        <v>MACDONALD THOMAS</v>
      </c>
    </row>
    <row r="222" spans="1:7" x14ac:dyDescent="0.25">
      <c r="A222" s="8">
        <v>42723.99863425926</v>
      </c>
      <c r="B222" s="21" t="s">
        <v>458</v>
      </c>
      <c r="C222" s="21" t="s">
        <v>756</v>
      </c>
      <c r="D222" s="164">
        <v>1800000</v>
      </c>
      <c r="E222" s="21" t="s">
        <v>237</v>
      </c>
      <c r="F222" s="21" t="s">
        <v>255</v>
      </c>
      <c r="G222" s="8" t="str">
        <f t="shared" si="3"/>
        <v>CHANDLER KELVIN</v>
      </c>
    </row>
    <row r="223" spans="1:7" x14ac:dyDescent="0.25">
      <c r="A223" s="8">
        <v>42724.009664351855</v>
      </c>
      <c r="B223" s="21" t="s">
        <v>183</v>
      </c>
      <c r="C223" s="21" t="s">
        <v>757</v>
      </c>
      <c r="D223" s="164">
        <v>2230000</v>
      </c>
      <c r="E223" s="21" t="s">
        <v>426</v>
      </c>
      <c r="F223" s="21" t="s">
        <v>264</v>
      </c>
      <c r="G223" s="8" t="str">
        <f t="shared" si="3"/>
        <v>SMITH MICHAEL</v>
      </c>
    </row>
    <row r="224" spans="1:7" x14ac:dyDescent="0.25">
      <c r="A224" s="8">
        <v>42724.011666666665</v>
      </c>
      <c r="B224" t="s">
        <v>280</v>
      </c>
      <c r="C224" t="s">
        <v>758</v>
      </c>
      <c r="D224" s="164">
        <v>2730000</v>
      </c>
      <c r="E224" t="s">
        <v>724</v>
      </c>
      <c r="F224" s="21" t="s">
        <v>725</v>
      </c>
      <c r="G224" s="8" t="str">
        <f t="shared" si="3"/>
        <v>YANG JAN</v>
      </c>
    </row>
    <row r="225" spans="1:7" x14ac:dyDescent="0.25">
      <c r="A225" s="8">
        <v>42724.019131944442</v>
      </c>
      <c r="B225" t="s">
        <v>183</v>
      </c>
      <c r="C225" t="s">
        <v>757</v>
      </c>
      <c r="D225" s="164">
        <v>2230000</v>
      </c>
      <c r="E225" t="s">
        <v>426</v>
      </c>
      <c r="F225" s="21" t="s">
        <v>264</v>
      </c>
      <c r="G225" s="8" t="str">
        <f t="shared" si="3"/>
        <v>SMITH MICHAEL</v>
      </c>
    </row>
    <row r="226" spans="1:7" x14ac:dyDescent="0.25">
      <c r="A226" s="8">
        <v>42724.020254629628</v>
      </c>
      <c r="B226" t="s">
        <v>183</v>
      </c>
      <c r="C226" t="s">
        <v>757</v>
      </c>
      <c r="D226" s="164">
        <v>2230000</v>
      </c>
      <c r="E226" t="s">
        <v>426</v>
      </c>
      <c r="F226" s="21" t="s">
        <v>264</v>
      </c>
      <c r="G226" s="8" t="str">
        <f t="shared" si="3"/>
        <v>SMITH MICHAEL</v>
      </c>
    </row>
    <row r="227" spans="1:7" x14ac:dyDescent="0.25">
      <c r="A227" s="8">
        <v>42724.026331018518</v>
      </c>
      <c r="B227" t="s">
        <v>206</v>
      </c>
      <c r="C227" t="s">
        <v>567</v>
      </c>
      <c r="D227" s="164">
        <v>2560000</v>
      </c>
      <c r="E227" t="s">
        <v>434</v>
      </c>
      <c r="F227" s="21" t="s">
        <v>435</v>
      </c>
      <c r="G227" s="8" t="str">
        <f t="shared" si="3"/>
        <v>MACDONALD THOMAS</v>
      </c>
    </row>
    <row r="228" spans="1:7" x14ac:dyDescent="0.25">
      <c r="A228" s="8">
        <v>42724.04215277778</v>
      </c>
      <c r="B228" t="s">
        <v>457</v>
      </c>
      <c r="C228" t="s">
        <v>759</v>
      </c>
      <c r="D228" s="164">
        <v>1800000</v>
      </c>
      <c r="E228" t="s">
        <v>237</v>
      </c>
      <c r="F228" s="21" t="s">
        <v>255</v>
      </c>
      <c r="G228" s="8" t="str">
        <f t="shared" si="3"/>
        <v>CHANDLER KELVIN</v>
      </c>
    </row>
    <row r="229" spans="1:7" x14ac:dyDescent="0.25">
      <c r="A229" s="8">
        <v>42724.049270833333</v>
      </c>
      <c r="B229" t="s">
        <v>214</v>
      </c>
      <c r="C229" t="s">
        <v>760</v>
      </c>
      <c r="D229" s="164">
        <v>2730000</v>
      </c>
      <c r="E229" t="s">
        <v>724</v>
      </c>
      <c r="F229" s="21" t="s">
        <v>725</v>
      </c>
      <c r="G229" s="8" t="str">
        <f t="shared" si="3"/>
        <v>YANG JAN</v>
      </c>
    </row>
    <row r="230" spans="1:7" x14ac:dyDescent="0.25">
      <c r="A230" s="8">
        <v>42724.052777777775</v>
      </c>
      <c r="B230" t="s">
        <v>422</v>
      </c>
      <c r="C230" t="s">
        <v>761</v>
      </c>
      <c r="D230" s="164">
        <v>2230000</v>
      </c>
      <c r="E230" t="s">
        <v>426</v>
      </c>
      <c r="F230" s="21" t="s">
        <v>264</v>
      </c>
      <c r="G230" s="8" t="str">
        <f t="shared" si="3"/>
        <v>SMITH MICHAEL</v>
      </c>
    </row>
    <row r="231" spans="1:7" x14ac:dyDescent="0.25">
      <c r="A231" s="8">
        <v>42724.073611111111</v>
      </c>
      <c r="B231" t="s">
        <v>458</v>
      </c>
      <c r="C231" t="s">
        <v>762</v>
      </c>
      <c r="D231" s="164">
        <v>1800000</v>
      </c>
      <c r="E231" t="s">
        <v>237</v>
      </c>
      <c r="F231" s="21" t="s">
        <v>255</v>
      </c>
      <c r="G231" s="8" t="str">
        <f t="shared" si="3"/>
        <v>CHANDLER KELVIN</v>
      </c>
    </row>
    <row r="232" spans="1:7" x14ac:dyDescent="0.25">
      <c r="A232" s="8">
        <v>42724.093993055554</v>
      </c>
      <c r="B232" t="s">
        <v>183</v>
      </c>
      <c r="C232" t="s">
        <v>763</v>
      </c>
      <c r="D232" s="164">
        <v>2230000</v>
      </c>
      <c r="E232" t="s">
        <v>426</v>
      </c>
      <c r="F232" s="21" t="s">
        <v>264</v>
      </c>
      <c r="G232" s="8" t="str">
        <f t="shared" si="3"/>
        <v>SMITH MICHAEL</v>
      </c>
    </row>
    <row r="233" spans="1:7" x14ac:dyDescent="0.25">
      <c r="A233" s="8">
        <v>42724.113333333335</v>
      </c>
      <c r="B233" t="s">
        <v>461</v>
      </c>
      <c r="C233" t="s">
        <v>764</v>
      </c>
      <c r="D233" s="164">
        <v>2110000</v>
      </c>
      <c r="E233" t="s">
        <v>464</v>
      </c>
      <c r="F233" s="21" t="s">
        <v>465</v>
      </c>
      <c r="G233" s="8" t="str">
        <f t="shared" si="3"/>
        <v>OUN ZACK</v>
      </c>
    </row>
    <row r="234" spans="1:7" x14ac:dyDescent="0.25">
      <c r="A234" s="8">
        <v>42722.900891203702</v>
      </c>
      <c r="B234" t="s">
        <v>280</v>
      </c>
      <c r="C234" t="s">
        <v>476</v>
      </c>
      <c r="D234" s="164">
        <v>2530000</v>
      </c>
      <c r="E234" t="s">
        <v>238</v>
      </c>
      <c r="F234" s="21" t="s">
        <v>433</v>
      </c>
      <c r="G234" s="8" t="str">
        <f t="shared" si="3"/>
        <v>LALONDE GREGORY</v>
      </c>
    </row>
    <row r="235" spans="1:7" x14ac:dyDescent="0.25">
      <c r="A235" s="8">
        <v>42722.907824074071</v>
      </c>
      <c r="B235" t="s">
        <v>229</v>
      </c>
      <c r="C235" t="s">
        <v>475</v>
      </c>
      <c r="D235" s="164">
        <v>2540000</v>
      </c>
      <c r="E235" t="s">
        <v>473</v>
      </c>
      <c r="F235" s="21" t="s">
        <v>474</v>
      </c>
      <c r="G235" s="8" t="str">
        <f t="shared" si="3"/>
        <v>MCREYNOLDS KYLE</v>
      </c>
    </row>
    <row r="236" spans="1:7" x14ac:dyDescent="0.25">
      <c r="A236" s="8">
        <v>42722.908703703702</v>
      </c>
      <c r="B236" t="s">
        <v>229</v>
      </c>
      <c r="C236" t="s">
        <v>475</v>
      </c>
      <c r="D236" s="164">
        <v>2540000</v>
      </c>
      <c r="E236" t="s">
        <v>473</v>
      </c>
      <c r="F236" s="21" t="s">
        <v>474</v>
      </c>
      <c r="G236" s="8" t="str">
        <f t="shared" si="3"/>
        <v>MCREYNOLDS KYLE</v>
      </c>
    </row>
    <row r="237" spans="1:7" x14ac:dyDescent="0.25">
      <c r="A237" s="8">
        <v>42722.908842592595</v>
      </c>
      <c r="B237" t="s">
        <v>225</v>
      </c>
      <c r="C237" t="s">
        <v>477</v>
      </c>
      <c r="D237" s="164">
        <v>2230000</v>
      </c>
      <c r="E237" t="s">
        <v>426</v>
      </c>
      <c r="F237" s="21" t="s">
        <v>264</v>
      </c>
      <c r="G237" s="8" t="str">
        <f t="shared" si="3"/>
        <v>SMITH MICHAEL</v>
      </c>
    </row>
    <row r="238" spans="1:7" x14ac:dyDescent="0.25">
      <c r="A238" s="8">
        <v>42722.910370370373</v>
      </c>
      <c r="B238" t="s">
        <v>229</v>
      </c>
      <c r="C238" t="s">
        <v>475</v>
      </c>
      <c r="D238" s="164">
        <v>2540000</v>
      </c>
      <c r="E238" t="s">
        <v>473</v>
      </c>
      <c r="F238" s="21" t="s">
        <v>474</v>
      </c>
      <c r="G238" s="8" t="str">
        <f t="shared" si="3"/>
        <v>MCREYNOLDS KYLE</v>
      </c>
    </row>
    <row r="239" spans="1:7" x14ac:dyDescent="0.25">
      <c r="A239" s="8">
        <v>42722.910717592589</v>
      </c>
      <c r="B239" t="s">
        <v>207</v>
      </c>
      <c r="C239" t="s">
        <v>478</v>
      </c>
      <c r="D239" s="164">
        <v>1800000</v>
      </c>
      <c r="E239" t="s">
        <v>237</v>
      </c>
      <c r="F239" s="21" t="s">
        <v>255</v>
      </c>
      <c r="G239" s="8" t="str">
        <f t="shared" si="3"/>
        <v>CHANDLER KELVIN</v>
      </c>
    </row>
    <row r="240" spans="1:7" x14ac:dyDescent="0.25">
      <c r="A240" s="8">
        <v>42722.916539351849</v>
      </c>
      <c r="B240" t="s">
        <v>214</v>
      </c>
      <c r="C240" t="s">
        <v>479</v>
      </c>
      <c r="D240" s="164">
        <v>2530000</v>
      </c>
      <c r="E240" t="s">
        <v>238</v>
      </c>
      <c r="F240" s="21" t="s">
        <v>433</v>
      </c>
      <c r="G240" s="8" t="str">
        <f t="shared" si="3"/>
        <v>LALONDE GREGORY</v>
      </c>
    </row>
    <row r="241" spans="1:7" x14ac:dyDescent="0.25">
      <c r="A241" s="8">
        <v>42722.923055555555</v>
      </c>
      <c r="B241" t="s">
        <v>459</v>
      </c>
      <c r="C241" t="s">
        <v>463</v>
      </c>
      <c r="D241" s="164">
        <v>2000000</v>
      </c>
      <c r="E241" t="s">
        <v>209</v>
      </c>
      <c r="F241" s="21" t="s">
        <v>252</v>
      </c>
      <c r="G241" s="8" t="str">
        <f t="shared" si="3"/>
        <v>STAMBAUGH JAMES</v>
      </c>
    </row>
    <row r="242" spans="1:7" x14ac:dyDescent="0.25">
      <c r="A242" s="8">
        <v>42722.93068287037</v>
      </c>
      <c r="B242" t="s">
        <v>279</v>
      </c>
      <c r="C242" t="s">
        <v>480</v>
      </c>
      <c r="D242" s="164">
        <v>1810000</v>
      </c>
      <c r="E242" t="s">
        <v>432</v>
      </c>
      <c r="F242" s="21" t="s">
        <v>252</v>
      </c>
      <c r="G242" s="8" t="str">
        <f t="shared" si="3"/>
        <v>NEWELL JAMES</v>
      </c>
    </row>
    <row r="243" spans="1:7" x14ac:dyDescent="0.25">
      <c r="A243" s="8">
        <v>42722.942569444444</v>
      </c>
      <c r="B243" t="s">
        <v>280</v>
      </c>
      <c r="C243" t="s">
        <v>481</v>
      </c>
      <c r="D243" s="164">
        <v>2530000</v>
      </c>
      <c r="E243" t="s">
        <v>238</v>
      </c>
      <c r="F243" s="21" t="s">
        <v>433</v>
      </c>
      <c r="G243" s="8" t="str">
        <f t="shared" si="3"/>
        <v>LALONDE GREGORY</v>
      </c>
    </row>
    <row r="244" spans="1:7" x14ac:dyDescent="0.25">
      <c r="A244" s="8">
        <v>42722.946111111109</v>
      </c>
      <c r="B244" t="s">
        <v>274</v>
      </c>
      <c r="C244" t="s">
        <v>462</v>
      </c>
      <c r="D244" s="164">
        <v>2230000</v>
      </c>
      <c r="E244" t="s">
        <v>426</v>
      </c>
      <c r="F244" s="21" t="s">
        <v>264</v>
      </c>
      <c r="G244" s="8" t="str">
        <f t="shared" si="3"/>
        <v>SMITH MICHAEL</v>
      </c>
    </row>
    <row r="245" spans="1:7" x14ac:dyDescent="0.25">
      <c r="A245" s="8">
        <v>42722.957858796297</v>
      </c>
      <c r="B245" t="s">
        <v>206</v>
      </c>
      <c r="C245" t="s">
        <v>482</v>
      </c>
      <c r="D245" s="164">
        <v>1800000</v>
      </c>
      <c r="E245" t="s">
        <v>237</v>
      </c>
      <c r="F245" s="21" t="s">
        <v>255</v>
      </c>
      <c r="G245" s="8" t="str">
        <f t="shared" si="3"/>
        <v>CHANDLER KELVIN</v>
      </c>
    </row>
    <row r="246" spans="1:7" x14ac:dyDescent="0.25">
      <c r="A246" s="8">
        <v>42722.974085648151</v>
      </c>
      <c r="B246" t="s">
        <v>461</v>
      </c>
      <c r="C246" t="s">
        <v>483</v>
      </c>
      <c r="D246" s="164">
        <v>2000000</v>
      </c>
      <c r="E246" t="s">
        <v>209</v>
      </c>
      <c r="F246" s="21" t="s">
        <v>252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282</v>
      </c>
      <c r="C247" t="s">
        <v>484</v>
      </c>
      <c r="D247" s="164">
        <v>1810000</v>
      </c>
      <c r="E247" t="s">
        <v>432</v>
      </c>
      <c r="F247" s="21" t="s">
        <v>252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485</v>
      </c>
      <c r="D248" s="164">
        <v>2230000</v>
      </c>
      <c r="E248" t="s">
        <v>426</v>
      </c>
      <c r="F248" s="21" t="s">
        <v>264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486</v>
      </c>
      <c r="D249" s="164">
        <v>1800000</v>
      </c>
      <c r="E249" t="s">
        <v>237</v>
      </c>
      <c r="F249" s="21" t="s">
        <v>255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279</v>
      </c>
      <c r="C250" t="s">
        <v>487</v>
      </c>
      <c r="D250" s="164">
        <v>1810000</v>
      </c>
      <c r="E250" t="s">
        <v>432</v>
      </c>
      <c r="F250" s="21" t="s">
        <v>252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459</v>
      </c>
      <c r="C251" t="s">
        <v>488</v>
      </c>
      <c r="D251" s="164">
        <v>2000000</v>
      </c>
      <c r="E251" t="s">
        <v>209</v>
      </c>
      <c r="F251" s="21" t="s">
        <v>252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489</v>
      </c>
      <c r="D252" s="164">
        <v>1800000</v>
      </c>
      <c r="E252" t="s">
        <v>237</v>
      </c>
      <c r="F252" s="21" t="s">
        <v>255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274</v>
      </c>
      <c r="C253" t="s">
        <v>490</v>
      </c>
      <c r="D253" s="164">
        <v>2230000</v>
      </c>
      <c r="E253" t="s">
        <v>426</v>
      </c>
      <c r="F253" s="21" t="s">
        <v>264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282</v>
      </c>
      <c r="C254" t="s">
        <v>491</v>
      </c>
      <c r="D254" s="164">
        <v>1810000</v>
      </c>
      <c r="E254" t="s">
        <v>432</v>
      </c>
      <c r="F254" s="21" t="s">
        <v>252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461</v>
      </c>
      <c r="C255" t="s">
        <v>492</v>
      </c>
      <c r="D255" s="164">
        <v>2000000</v>
      </c>
      <c r="E255" t="s">
        <v>209</v>
      </c>
      <c r="F255" s="21" t="s">
        <v>252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493</v>
      </c>
      <c r="D256" s="164">
        <v>2230000</v>
      </c>
      <c r="E256" t="s">
        <v>426</v>
      </c>
      <c r="F256" s="21" t="s">
        <v>264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459</v>
      </c>
      <c r="C257" t="s">
        <v>494</v>
      </c>
      <c r="D257" s="164">
        <v>2000000</v>
      </c>
      <c r="E257" t="s">
        <v>209</v>
      </c>
      <c r="F257" s="21" t="s">
        <v>252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495</v>
      </c>
      <c r="D258" s="164">
        <v>2110000</v>
      </c>
      <c r="E258" t="s">
        <v>464</v>
      </c>
      <c r="F258" s="21" t="s">
        <v>465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495</v>
      </c>
      <c r="D259" s="164">
        <v>2110000</v>
      </c>
      <c r="E259" t="s">
        <v>464</v>
      </c>
      <c r="F259" s="21" t="s">
        <v>465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232</v>
      </c>
      <c r="C260" t="s">
        <v>240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239</v>
      </c>
      <c r="D261" s="164">
        <v>2530000</v>
      </c>
      <c r="E261" t="s">
        <v>238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241</v>
      </c>
      <c r="D262" s="164">
        <v>2600000</v>
      </c>
      <c r="E262" t="s">
        <v>234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80" t="s">
        <v>165</v>
      </c>
      <c r="B1" s="180" t="s">
        <v>168</v>
      </c>
      <c r="C1" s="180" t="s">
        <v>161</v>
      </c>
      <c r="D1" s="159" t="s">
        <v>173</v>
      </c>
      <c r="E1" s="180" t="s">
        <v>162</v>
      </c>
      <c r="F1" s="180" t="s">
        <v>160</v>
      </c>
      <c r="G1" s="180" t="s">
        <v>158</v>
      </c>
      <c r="H1" s="180" t="s">
        <v>171</v>
      </c>
      <c r="I1" s="180" t="s">
        <v>172</v>
      </c>
      <c r="J1" s="180" t="s">
        <v>166</v>
      </c>
      <c r="K1" s="180" t="s">
        <v>164</v>
      </c>
      <c r="L1" s="180" t="s">
        <v>159</v>
      </c>
      <c r="M1" s="180" t="s">
        <v>169</v>
      </c>
      <c r="N1" s="180" t="s">
        <v>163</v>
      </c>
      <c r="O1" s="180" t="s">
        <v>170</v>
      </c>
      <c r="P1" s="180" t="s">
        <v>167</v>
      </c>
      <c r="Q1"/>
      <c r="R1"/>
    </row>
    <row r="2" spans="1:18" x14ac:dyDescent="0.25">
      <c r="A2" s="169">
        <v>9.9</v>
      </c>
      <c r="B2" s="169">
        <v>0.28000000000000003</v>
      </c>
      <c r="C2" s="169">
        <v>1.56</v>
      </c>
      <c r="D2" s="8">
        <v>42723</v>
      </c>
      <c r="E2" s="169">
        <v>0.68</v>
      </c>
      <c r="F2" s="169" t="s">
        <v>242</v>
      </c>
      <c r="G2" s="169">
        <v>278.95999999999998</v>
      </c>
      <c r="H2" s="169">
        <v>0</v>
      </c>
      <c r="I2" s="169">
        <v>0</v>
      </c>
      <c r="J2" s="169">
        <v>1038.3599999999999</v>
      </c>
      <c r="K2" s="169" t="s">
        <v>247</v>
      </c>
      <c r="L2" s="169">
        <v>9.9</v>
      </c>
      <c r="M2" s="169">
        <v>1482130800</v>
      </c>
      <c r="N2" s="169">
        <v>5.29</v>
      </c>
      <c r="O2" s="169">
        <v>260</v>
      </c>
      <c r="P2" s="169">
        <v>1.79</v>
      </c>
      <c r="Q2"/>
      <c r="R2"/>
    </row>
    <row r="3" spans="1:18" x14ac:dyDescent="0.25">
      <c r="A3" s="169">
        <v>9.7100000000000009</v>
      </c>
      <c r="B3" s="169">
        <v>0.28000000000000003</v>
      </c>
      <c r="C3" s="169">
        <v>1.44</v>
      </c>
      <c r="D3" s="8">
        <v>42723.041666666664</v>
      </c>
      <c r="E3" s="169">
        <v>0.68</v>
      </c>
      <c r="F3" s="169" t="s">
        <v>242</v>
      </c>
      <c r="G3" s="169">
        <v>283.02999999999997</v>
      </c>
      <c r="H3" s="169">
        <v>0</v>
      </c>
      <c r="I3" s="169">
        <v>0</v>
      </c>
      <c r="J3" s="169">
        <v>1038.1099999999999</v>
      </c>
      <c r="K3" s="169" t="s">
        <v>247</v>
      </c>
      <c r="L3" s="169">
        <v>9.7100000000000009</v>
      </c>
      <c r="M3" s="169">
        <v>1482134400</v>
      </c>
      <c r="N3" s="169">
        <v>4.9000000000000004</v>
      </c>
      <c r="O3" s="169">
        <v>228</v>
      </c>
      <c r="P3" s="169">
        <v>1.93</v>
      </c>
      <c r="Q3"/>
      <c r="R3"/>
    </row>
    <row r="4" spans="1:18" x14ac:dyDescent="0.25">
      <c r="A4" s="169">
        <v>2.92</v>
      </c>
      <c r="B4" s="169">
        <v>0.28000000000000003</v>
      </c>
      <c r="C4" s="169">
        <v>0.69</v>
      </c>
      <c r="D4" s="8">
        <v>42723.083333333336</v>
      </c>
      <c r="E4" s="169">
        <v>0.69</v>
      </c>
      <c r="F4" s="169" t="s">
        <v>242</v>
      </c>
      <c r="G4" s="169">
        <v>287.08999999999997</v>
      </c>
      <c r="H4" s="169">
        <v>0</v>
      </c>
      <c r="I4" s="169">
        <v>0</v>
      </c>
      <c r="J4" s="169">
        <v>1037.8499999999999</v>
      </c>
      <c r="K4" s="169" t="s">
        <v>247</v>
      </c>
      <c r="L4" s="169">
        <v>8.8699999999999992</v>
      </c>
      <c r="M4" s="169">
        <v>1482138000</v>
      </c>
      <c r="N4" s="169">
        <v>4.1500000000000004</v>
      </c>
      <c r="O4" s="169">
        <v>232</v>
      </c>
      <c r="P4" s="169">
        <v>3.12</v>
      </c>
      <c r="Q4"/>
      <c r="R4"/>
    </row>
    <row r="5" spans="1:18" x14ac:dyDescent="0.25">
      <c r="A5" s="169">
        <v>5.69</v>
      </c>
      <c r="B5" s="169">
        <v>0.28999999999999998</v>
      </c>
      <c r="C5" s="169">
        <v>2.4700000000000002</v>
      </c>
      <c r="D5" s="8">
        <v>42723.125</v>
      </c>
      <c r="E5" s="169">
        <v>0.65</v>
      </c>
      <c r="F5" s="169" t="s">
        <v>242</v>
      </c>
      <c r="G5" s="169">
        <v>289.39999999999998</v>
      </c>
      <c r="H5" s="169">
        <v>0</v>
      </c>
      <c r="I5" s="169">
        <v>0</v>
      </c>
      <c r="J5" s="169">
        <v>1036.5899999999999</v>
      </c>
      <c r="K5" s="169" t="s">
        <v>247</v>
      </c>
      <c r="L5" s="169">
        <v>12.05</v>
      </c>
      <c r="M5" s="169">
        <v>1482141600</v>
      </c>
      <c r="N5" s="169">
        <v>3.53</v>
      </c>
      <c r="O5" s="169">
        <v>215</v>
      </c>
      <c r="P5" s="169">
        <v>3.58</v>
      </c>
      <c r="Q5"/>
      <c r="R5"/>
    </row>
    <row r="6" spans="1:18" x14ac:dyDescent="0.25">
      <c r="A6" s="169">
        <v>7.77</v>
      </c>
      <c r="B6" s="169">
        <v>0.28000000000000003</v>
      </c>
      <c r="C6" s="169">
        <v>1.96</v>
      </c>
      <c r="D6" s="8">
        <v>42723.166666666664</v>
      </c>
      <c r="E6" s="169">
        <v>0.59</v>
      </c>
      <c r="F6" s="169" t="s">
        <v>242</v>
      </c>
      <c r="G6" s="169">
        <v>290.70999999999998</v>
      </c>
      <c r="H6" s="169">
        <v>0</v>
      </c>
      <c r="I6" s="169">
        <v>0</v>
      </c>
      <c r="J6" s="169">
        <v>1035.1400000000001</v>
      </c>
      <c r="K6" s="169" t="s">
        <v>247</v>
      </c>
      <c r="L6" s="169">
        <v>13.51</v>
      </c>
      <c r="M6" s="169">
        <v>1482145200</v>
      </c>
      <c r="N6" s="169">
        <v>10</v>
      </c>
      <c r="O6" s="169">
        <v>230</v>
      </c>
      <c r="P6" s="169">
        <v>3.34</v>
      </c>
      <c r="Q6"/>
      <c r="R6"/>
    </row>
    <row r="7" spans="1:18" x14ac:dyDescent="0.25">
      <c r="A7" s="169">
        <v>9.2200000000000006</v>
      </c>
      <c r="B7" s="169">
        <v>0.27</v>
      </c>
      <c r="C7" s="169">
        <v>2.2000000000000002</v>
      </c>
      <c r="D7" s="8">
        <v>42723.208333333336</v>
      </c>
      <c r="E7" s="169">
        <v>0.56000000000000005</v>
      </c>
      <c r="F7" s="169" t="s">
        <v>242</v>
      </c>
      <c r="G7" s="169">
        <v>290.27999999999997</v>
      </c>
      <c r="H7" s="169">
        <v>0</v>
      </c>
      <c r="I7" s="169">
        <v>0</v>
      </c>
      <c r="J7" s="169">
        <v>1034.3399999999999</v>
      </c>
      <c r="K7" s="169" t="s">
        <v>247</v>
      </c>
      <c r="L7" s="169">
        <v>15.02</v>
      </c>
      <c r="M7" s="169">
        <v>1482148800</v>
      </c>
      <c r="N7" s="169">
        <v>5.46</v>
      </c>
      <c r="O7" s="169">
        <v>234</v>
      </c>
      <c r="P7" s="169">
        <v>3.51</v>
      </c>
      <c r="Q7"/>
      <c r="R7"/>
    </row>
    <row r="8" spans="1:18" x14ac:dyDescent="0.25">
      <c r="A8" s="169">
        <v>7.57</v>
      </c>
      <c r="B8" s="169">
        <v>0.27</v>
      </c>
      <c r="C8" s="169">
        <v>0.91</v>
      </c>
      <c r="D8" s="8">
        <v>42723.25</v>
      </c>
      <c r="E8" s="169">
        <v>0.57999999999999996</v>
      </c>
      <c r="F8" s="169" t="s">
        <v>242</v>
      </c>
      <c r="G8" s="169">
        <v>287.36</v>
      </c>
      <c r="H8" s="169">
        <v>0</v>
      </c>
      <c r="I8" s="169">
        <v>0</v>
      </c>
      <c r="J8" s="169">
        <v>1034.9100000000001</v>
      </c>
      <c r="K8" s="169" t="s">
        <v>247</v>
      </c>
      <c r="L8" s="169">
        <v>12.89</v>
      </c>
      <c r="M8" s="169">
        <v>1482152400</v>
      </c>
      <c r="N8" s="169">
        <v>4.16</v>
      </c>
      <c r="O8" s="169">
        <v>230</v>
      </c>
      <c r="P8" s="169">
        <v>3.07</v>
      </c>
      <c r="Q8"/>
      <c r="R8"/>
    </row>
    <row r="9" spans="1:18" x14ac:dyDescent="0.25">
      <c r="A9" s="169">
        <v>6.53</v>
      </c>
      <c r="B9" s="169">
        <v>0.25</v>
      </c>
      <c r="C9" s="169">
        <v>2.29</v>
      </c>
      <c r="D9" s="8">
        <v>42723.291666666664</v>
      </c>
      <c r="E9" s="169">
        <v>0.62</v>
      </c>
      <c r="F9" s="169" t="s">
        <v>242</v>
      </c>
      <c r="G9" s="169">
        <v>282.7</v>
      </c>
      <c r="H9" s="169">
        <v>0</v>
      </c>
      <c r="I9" s="169">
        <v>0</v>
      </c>
      <c r="J9" s="169">
        <v>1036.1400000000001</v>
      </c>
      <c r="K9" s="169" t="s">
        <v>247</v>
      </c>
      <c r="L9" s="169">
        <v>12.81</v>
      </c>
      <c r="M9" s="169">
        <v>1482156000</v>
      </c>
      <c r="N9" s="169">
        <v>3.21</v>
      </c>
      <c r="O9" s="169">
        <v>232</v>
      </c>
      <c r="P9" s="169">
        <v>3.61</v>
      </c>
      <c r="Q9"/>
      <c r="R9"/>
    </row>
    <row r="10" spans="1:18" x14ac:dyDescent="0.25">
      <c r="A10" s="169">
        <v>7.43</v>
      </c>
      <c r="B10" s="169">
        <v>0.25</v>
      </c>
      <c r="C10" s="169">
        <v>3.83</v>
      </c>
      <c r="D10" s="8">
        <v>42723.333333333336</v>
      </c>
      <c r="E10" s="169">
        <v>0.63</v>
      </c>
      <c r="F10" s="169" t="s">
        <v>765</v>
      </c>
      <c r="G10" s="169">
        <v>277.87</v>
      </c>
      <c r="H10" s="169">
        <v>0</v>
      </c>
      <c r="I10" s="169">
        <v>0</v>
      </c>
      <c r="J10" s="169">
        <v>1036.03</v>
      </c>
      <c r="K10" s="169" t="s">
        <v>247</v>
      </c>
      <c r="L10" s="169">
        <v>13.9</v>
      </c>
      <c r="M10" s="169">
        <v>1482159600</v>
      </c>
      <c r="N10" s="169">
        <v>2.96</v>
      </c>
      <c r="O10" s="169">
        <v>226</v>
      </c>
      <c r="P10" s="169">
        <v>3.83</v>
      </c>
      <c r="Q10"/>
      <c r="R10"/>
    </row>
    <row r="11" spans="1:18" x14ac:dyDescent="0.25">
      <c r="A11" s="169">
        <v>13.82</v>
      </c>
      <c r="B11" s="169">
        <v>0.25</v>
      </c>
      <c r="C11" s="169">
        <v>7.18</v>
      </c>
      <c r="D11" s="8">
        <v>42723.375</v>
      </c>
      <c r="E11" s="169">
        <v>0.59</v>
      </c>
      <c r="F11" s="169" t="s">
        <v>765</v>
      </c>
      <c r="G11" s="169">
        <v>273.12</v>
      </c>
      <c r="H11" s="169">
        <v>0</v>
      </c>
      <c r="I11" s="169">
        <v>0</v>
      </c>
      <c r="J11" s="169">
        <v>1033.3499999999999</v>
      </c>
      <c r="K11" s="169" t="s">
        <v>247</v>
      </c>
      <c r="L11" s="169">
        <v>19.32</v>
      </c>
      <c r="M11" s="169">
        <v>1482163200</v>
      </c>
      <c r="N11" s="169">
        <v>10</v>
      </c>
      <c r="O11" s="169">
        <v>229</v>
      </c>
      <c r="P11" s="169">
        <v>3.73</v>
      </c>
      <c r="Q11"/>
      <c r="R11"/>
    </row>
    <row r="12" spans="1:18" x14ac:dyDescent="0.25">
      <c r="A12" s="169">
        <v>23.56</v>
      </c>
      <c r="B12" s="169">
        <v>0.24</v>
      </c>
      <c r="C12" s="169">
        <v>12.28</v>
      </c>
      <c r="D12" s="8">
        <v>42723.416666666664</v>
      </c>
      <c r="E12" s="169">
        <v>0.51</v>
      </c>
      <c r="F12" s="169" t="s">
        <v>496</v>
      </c>
      <c r="G12" s="169">
        <v>268.2</v>
      </c>
      <c r="H12" s="169">
        <v>0</v>
      </c>
      <c r="I12" s="169">
        <v>0</v>
      </c>
      <c r="J12" s="169">
        <v>1028.69</v>
      </c>
      <c r="K12" s="169" t="s">
        <v>271</v>
      </c>
      <c r="L12" s="169">
        <v>27.95</v>
      </c>
      <c r="M12" s="169">
        <v>1482166800</v>
      </c>
      <c r="N12" s="169">
        <v>2.74</v>
      </c>
      <c r="O12" s="169">
        <v>212</v>
      </c>
      <c r="P12" s="169">
        <v>3.87</v>
      </c>
      <c r="Q12"/>
      <c r="R12"/>
    </row>
    <row r="13" spans="1:18" x14ac:dyDescent="0.25">
      <c r="A13" s="169">
        <v>30.97</v>
      </c>
      <c r="B13" s="169">
        <v>0.24</v>
      </c>
      <c r="C13" s="169">
        <v>16.55</v>
      </c>
      <c r="D13" s="8">
        <v>42723.458333333336</v>
      </c>
      <c r="E13" s="169">
        <v>0.49</v>
      </c>
      <c r="F13" s="169" t="s">
        <v>496</v>
      </c>
      <c r="G13" s="169">
        <v>263.98</v>
      </c>
      <c r="H13" s="169">
        <v>0</v>
      </c>
      <c r="I13" s="169">
        <v>0</v>
      </c>
      <c r="J13" s="169">
        <v>1026.04</v>
      </c>
      <c r="K13" s="169" t="s">
        <v>271</v>
      </c>
      <c r="L13" s="169">
        <v>33.869999999999997</v>
      </c>
      <c r="M13" s="169">
        <v>1482170400</v>
      </c>
      <c r="N13" s="169">
        <v>2.73</v>
      </c>
      <c r="O13" s="169">
        <v>214</v>
      </c>
      <c r="P13" s="169">
        <v>3.36</v>
      </c>
      <c r="Q13"/>
      <c r="R13"/>
    </row>
    <row r="14" spans="1:18" x14ac:dyDescent="0.25">
      <c r="A14" s="169">
        <v>38.880000000000003</v>
      </c>
      <c r="B14" s="169">
        <v>0.19</v>
      </c>
      <c r="C14" s="169">
        <v>24.36</v>
      </c>
      <c r="D14" s="8">
        <v>42723.5</v>
      </c>
      <c r="E14" s="169">
        <v>0.56000000000000005</v>
      </c>
      <c r="F14" s="169" t="s">
        <v>496</v>
      </c>
      <c r="G14" s="169">
        <v>260.89</v>
      </c>
      <c r="H14" s="169">
        <v>0</v>
      </c>
      <c r="I14" s="169">
        <v>0</v>
      </c>
      <c r="J14" s="169">
        <v>1024.74</v>
      </c>
      <c r="K14" s="169" t="s">
        <v>271</v>
      </c>
      <c r="L14" s="169">
        <v>38.880000000000003</v>
      </c>
      <c r="M14" s="169">
        <v>1482174000</v>
      </c>
      <c r="N14" s="169">
        <v>3.86</v>
      </c>
      <c r="O14" s="169">
        <v>228</v>
      </c>
      <c r="P14" s="169">
        <v>2.21</v>
      </c>
      <c r="Q14"/>
      <c r="R14"/>
    </row>
    <row r="15" spans="1:18" x14ac:dyDescent="0.25">
      <c r="A15" s="169">
        <v>42</v>
      </c>
      <c r="B15" s="169">
        <v>0.17</v>
      </c>
      <c r="C15" s="169">
        <v>31.93</v>
      </c>
      <c r="D15" s="8">
        <v>42723.541666666664</v>
      </c>
      <c r="E15" s="169">
        <v>0.67</v>
      </c>
      <c r="F15" s="169" t="s">
        <v>496</v>
      </c>
      <c r="G15" s="169">
        <v>258.49</v>
      </c>
      <c r="H15" s="169">
        <v>0</v>
      </c>
      <c r="I15" s="169">
        <v>0</v>
      </c>
      <c r="J15" s="169">
        <v>1023.9</v>
      </c>
      <c r="K15" s="169" t="s">
        <v>271</v>
      </c>
      <c r="L15" s="169">
        <v>42</v>
      </c>
      <c r="M15" s="169">
        <v>1482177600</v>
      </c>
      <c r="N15" s="169">
        <v>4.68</v>
      </c>
      <c r="O15" s="169">
        <v>254</v>
      </c>
      <c r="P15" s="169">
        <v>1.68</v>
      </c>
      <c r="Q15"/>
      <c r="R15"/>
    </row>
    <row r="16" spans="1:18" x14ac:dyDescent="0.25">
      <c r="A16" s="169">
        <v>46.01</v>
      </c>
      <c r="B16" s="169">
        <v>0.2</v>
      </c>
      <c r="C16" s="169">
        <v>37.840000000000003</v>
      </c>
      <c r="D16" s="8">
        <v>42723.583333333336</v>
      </c>
      <c r="E16" s="169">
        <v>0.73</v>
      </c>
      <c r="F16" s="169" t="s">
        <v>496</v>
      </c>
      <c r="G16" s="169">
        <v>256.29000000000002</v>
      </c>
      <c r="H16" s="169">
        <v>0</v>
      </c>
      <c r="I16" s="169">
        <v>0</v>
      </c>
      <c r="J16" s="169">
        <v>1023.09</v>
      </c>
      <c r="K16" s="169" t="s">
        <v>271</v>
      </c>
      <c r="L16" s="169">
        <v>46.01</v>
      </c>
      <c r="M16" s="169">
        <v>1482181200</v>
      </c>
      <c r="N16" s="169">
        <v>2.75</v>
      </c>
      <c r="O16" s="169">
        <v>296</v>
      </c>
      <c r="P16" s="169">
        <v>2.2200000000000002</v>
      </c>
      <c r="Q16"/>
      <c r="R16"/>
    </row>
    <row r="17" spans="1:18" x14ac:dyDescent="0.25">
      <c r="A17" s="169">
        <v>43.24</v>
      </c>
      <c r="B17" s="169">
        <v>0.19</v>
      </c>
      <c r="C17" s="169">
        <v>33.32</v>
      </c>
      <c r="D17" s="8">
        <v>42723.625</v>
      </c>
      <c r="E17" s="169">
        <v>0.68</v>
      </c>
      <c r="F17" s="169" t="s">
        <v>496</v>
      </c>
      <c r="G17" s="169">
        <v>254.1</v>
      </c>
      <c r="H17" s="169">
        <v>0</v>
      </c>
      <c r="I17" s="169">
        <v>0</v>
      </c>
      <c r="J17" s="169">
        <v>1022.04</v>
      </c>
      <c r="K17" s="169" t="s">
        <v>271</v>
      </c>
      <c r="L17" s="169">
        <v>43.24</v>
      </c>
      <c r="M17" s="169">
        <v>1482184800</v>
      </c>
      <c r="N17" s="169">
        <v>2.86</v>
      </c>
      <c r="O17" s="169">
        <v>290</v>
      </c>
      <c r="P17" s="169">
        <v>2.58</v>
      </c>
      <c r="Q17"/>
      <c r="R17"/>
    </row>
    <row r="18" spans="1:18" x14ac:dyDescent="0.25">
      <c r="A18" s="169">
        <v>40.65</v>
      </c>
      <c r="B18" s="169">
        <v>0.21</v>
      </c>
      <c r="C18" s="169">
        <v>23.87</v>
      </c>
      <c r="D18" s="8">
        <v>42723.666666666664</v>
      </c>
      <c r="E18" s="169">
        <v>0.51</v>
      </c>
      <c r="F18" s="169" t="s">
        <v>496</v>
      </c>
      <c r="G18" s="169">
        <v>252.1</v>
      </c>
      <c r="H18" s="169">
        <v>0</v>
      </c>
      <c r="I18" s="169">
        <v>0</v>
      </c>
      <c r="J18" s="169">
        <v>1021.14</v>
      </c>
      <c r="K18" s="169" t="s">
        <v>271</v>
      </c>
      <c r="L18" s="169">
        <v>40.65</v>
      </c>
      <c r="M18" s="169">
        <v>1482188400</v>
      </c>
      <c r="N18" s="169">
        <v>5.46</v>
      </c>
      <c r="O18" s="169">
        <v>256</v>
      </c>
      <c r="P18" s="169">
        <v>1.71</v>
      </c>
      <c r="Q18"/>
      <c r="R18"/>
    </row>
    <row r="19" spans="1:18" x14ac:dyDescent="0.25">
      <c r="A19" s="169">
        <v>38.36</v>
      </c>
      <c r="B19" s="169">
        <v>0.17</v>
      </c>
      <c r="C19" s="169">
        <v>19.7</v>
      </c>
      <c r="D19" s="8">
        <v>42723.708333333336</v>
      </c>
      <c r="E19" s="169">
        <v>0.47</v>
      </c>
      <c r="F19" s="169" t="s">
        <v>270</v>
      </c>
      <c r="G19" s="169">
        <v>250.38</v>
      </c>
      <c r="H19" s="169">
        <v>0</v>
      </c>
      <c r="I19" s="169">
        <v>0</v>
      </c>
      <c r="J19" s="169">
        <v>1020.83</v>
      </c>
      <c r="K19" s="169" t="s">
        <v>271</v>
      </c>
      <c r="L19" s="169">
        <v>38.36</v>
      </c>
      <c r="M19" s="169">
        <v>1482192000</v>
      </c>
      <c r="N19" s="169">
        <v>5.67</v>
      </c>
      <c r="O19" s="169">
        <v>301</v>
      </c>
      <c r="P19" s="169">
        <v>1.19</v>
      </c>
      <c r="Q19"/>
      <c r="R19"/>
    </row>
    <row r="20" spans="1:18" x14ac:dyDescent="0.25">
      <c r="A20" s="169">
        <v>36.22</v>
      </c>
      <c r="B20" s="169">
        <v>0.23</v>
      </c>
      <c r="C20" s="169">
        <v>16.02</v>
      </c>
      <c r="D20" s="8">
        <v>42723.75</v>
      </c>
      <c r="E20" s="169">
        <v>0.43</v>
      </c>
      <c r="F20" s="169" t="s">
        <v>270</v>
      </c>
      <c r="G20" s="169">
        <v>248.99</v>
      </c>
      <c r="H20" s="169">
        <v>0</v>
      </c>
      <c r="I20" s="169">
        <v>0</v>
      </c>
      <c r="J20" s="169">
        <v>1020.72</v>
      </c>
      <c r="K20" s="169" t="s">
        <v>271</v>
      </c>
      <c r="L20" s="169">
        <v>36.22</v>
      </c>
      <c r="M20" s="169">
        <v>1482195600</v>
      </c>
      <c r="N20" s="169">
        <v>6.32</v>
      </c>
      <c r="O20" s="169">
        <v>279</v>
      </c>
      <c r="P20" s="169">
        <v>1.73</v>
      </c>
      <c r="Q20"/>
      <c r="R20"/>
    </row>
    <row r="21" spans="1:18" x14ac:dyDescent="0.25">
      <c r="A21" s="169">
        <v>35.520000000000003</v>
      </c>
      <c r="B21" s="169">
        <v>0.22</v>
      </c>
      <c r="C21" s="169">
        <v>17.829999999999998</v>
      </c>
      <c r="D21" s="8">
        <v>42723.791666666664</v>
      </c>
      <c r="E21" s="169">
        <v>0.43</v>
      </c>
      <c r="F21" s="169" t="s">
        <v>270</v>
      </c>
      <c r="G21" s="169">
        <v>247.86</v>
      </c>
      <c r="H21" s="169">
        <v>0</v>
      </c>
      <c r="I21" s="169">
        <v>0</v>
      </c>
      <c r="J21" s="169">
        <v>1022.28</v>
      </c>
      <c r="K21" s="169" t="s">
        <v>271</v>
      </c>
      <c r="L21" s="169">
        <v>38.32</v>
      </c>
      <c r="M21" s="169">
        <v>1482199200</v>
      </c>
      <c r="N21" s="169">
        <v>7.64</v>
      </c>
      <c r="O21" s="169">
        <v>255</v>
      </c>
      <c r="P21" s="169">
        <v>3.86</v>
      </c>
      <c r="Q21"/>
      <c r="R21"/>
    </row>
    <row r="22" spans="1:18" x14ac:dyDescent="0.25">
      <c r="A22" s="169">
        <v>33.659999999999997</v>
      </c>
      <c r="B22" s="169">
        <v>0.25</v>
      </c>
      <c r="C22" s="169">
        <v>16.82</v>
      </c>
      <c r="D22" s="8">
        <v>42723.833333333336</v>
      </c>
      <c r="E22" s="169">
        <v>0.44</v>
      </c>
      <c r="F22" s="169" t="s">
        <v>242</v>
      </c>
      <c r="G22" s="169">
        <v>246.95</v>
      </c>
      <c r="H22" s="169">
        <v>0</v>
      </c>
      <c r="I22" s="169">
        <v>0</v>
      </c>
      <c r="J22" s="169">
        <v>1023.56</v>
      </c>
      <c r="K22" s="169" t="s">
        <v>247</v>
      </c>
      <c r="L22" s="169">
        <v>36.450000000000003</v>
      </c>
      <c r="M22" s="169">
        <v>1482202800</v>
      </c>
      <c r="N22" s="169">
        <v>7.41</v>
      </c>
      <c r="O22" s="169">
        <v>255</v>
      </c>
      <c r="P22" s="169">
        <v>3.58</v>
      </c>
      <c r="Q22"/>
      <c r="R22"/>
    </row>
    <row r="23" spans="1:18" x14ac:dyDescent="0.25">
      <c r="A23" s="169">
        <v>34.17</v>
      </c>
      <c r="B23" s="169">
        <v>0.41</v>
      </c>
      <c r="C23" s="169">
        <v>16.37</v>
      </c>
      <c r="D23" s="8">
        <v>42723.875</v>
      </c>
      <c r="E23" s="169">
        <v>0.42</v>
      </c>
      <c r="F23" s="169" t="s">
        <v>242</v>
      </c>
      <c r="G23" s="169">
        <v>246.22</v>
      </c>
      <c r="H23" s="169">
        <v>0</v>
      </c>
      <c r="I23" s="169">
        <v>0</v>
      </c>
      <c r="J23" s="169">
        <v>1022.95</v>
      </c>
      <c r="K23" s="169" t="s">
        <v>247</v>
      </c>
      <c r="L23" s="169">
        <v>37.49</v>
      </c>
      <c r="M23" s="169">
        <v>1482206400</v>
      </c>
      <c r="N23" s="169">
        <v>5.95</v>
      </c>
      <c r="O23" s="169">
        <v>263</v>
      </c>
      <c r="P23" s="169">
        <v>4.25</v>
      </c>
      <c r="Q23"/>
      <c r="R23"/>
    </row>
    <row r="24" spans="1:18" x14ac:dyDescent="0.25">
      <c r="A24" s="169">
        <v>34.9</v>
      </c>
      <c r="B24" s="169">
        <v>0.56999999999999995</v>
      </c>
      <c r="C24" s="169">
        <v>13.44</v>
      </c>
      <c r="D24" s="8">
        <v>42723.916666666664</v>
      </c>
      <c r="E24" s="169">
        <v>0.37</v>
      </c>
      <c r="F24" s="169" t="s">
        <v>242</v>
      </c>
      <c r="G24" s="169">
        <v>245.7</v>
      </c>
      <c r="H24" s="169">
        <v>0</v>
      </c>
      <c r="I24" s="169">
        <v>0</v>
      </c>
      <c r="J24" s="169">
        <v>1021.48</v>
      </c>
      <c r="K24" s="169" t="s">
        <v>247</v>
      </c>
      <c r="L24" s="169">
        <v>37.57</v>
      </c>
      <c r="M24" s="169">
        <v>1482210000</v>
      </c>
      <c r="N24" s="169">
        <v>6.18</v>
      </c>
      <c r="O24" s="169">
        <v>271</v>
      </c>
      <c r="P24" s="169">
        <v>3.62</v>
      </c>
      <c r="Q24"/>
      <c r="R24"/>
    </row>
    <row r="25" spans="1:18" x14ac:dyDescent="0.25">
      <c r="A25" s="169">
        <v>36.659999999999997</v>
      </c>
      <c r="B25" s="169">
        <v>0.65</v>
      </c>
      <c r="C25" s="169">
        <v>12.83</v>
      </c>
      <c r="D25" s="8">
        <v>42723.958333333336</v>
      </c>
      <c r="E25" s="169">
        <v>0.34</v>
      </c>
      <c r="F25" s="169" t="s">
        <v>242</v>
      </c>
      <c r="G25" s="169">
        <v>245.36</v>
      </c>
      <c r="H25" s="169">
        <v>0</v>
      </c>
      <c r="I25" s="169">
        <v>0</v>
      </c>
      <c r="J25" s="169">
        <v>1020.75</v>
      </c>
      <c r="K25" s="169" t="s">
        <v>766</v>
      </c>
      <c r="L25" s="169">
        <v>38.659999999999997</v>
      </c>
      <c r="M25" s="169">
        <v>1482213600</v>
      </c>
      <c r="N25" s="169">
        <v>6.91</v>
      </c>
      <c r="O25" s="169">
        <v>262</v>
      </c>
      <c r="P25" s="169">
        <v>3.15</v>
      </c>
      <c r="Q25"/>
      <c r="R25"/>
    </row>
    <row r="26" spans="1:18" x14ac:dyDescent="0.25">
      <c r="A26" s="169">
        <v>34.54</v>
      </c>
      <c r="B26" s="169">
        <v>0.66</v>
      </c>
      <c r="C26" s="169">
        <v>13.32</v>
      </c>
      <c r="D26" s="8">
        <v>42724</v>
      </c>
      <c r="E26" s="169">
        <v>0.36</v>
      </c>
      <c r="F26" s="169" t="s">
        <v>242</v>
      </c>
      <c r="G26" s="169">
        <v>245.35</v>
      </c>
      <c r="H26" s="169">
        <v>0</v>
      </c>
      <c r="I26" s="169">
        <v>0</v>
      </c>
      <c r="J26" s="169">
        <v>1022.46</v>
      </c>
      <c r="K26" s="169" t="s">
        <v>766</v>
      </c>
      <c r="L26" s="169">
        <v>37.979999999999997</v>
      </c>
      <c r="M26" s="169">
        <v>1482217200</v>
      </c>
      <c r="N26" s="169">
        <v>7.3</v>
      </c>
      <c r="O26" s="169">
        <v>260</v>
      </c>
      <c r="P26" s="169">
        <v>4.4800000000000004</v>
      </c>
      <c r="Q26"/>
      <c r="R26"/>
    </row>
    <row r="27" spans="1:18" x14ac:dyDescent="0.25">
      <c r="A27" s="169">
        <v>35.43</v>
      </c>
      <c r="B27" s="169">
        <v>0.68</v>
      </c>
      <c r="C27" s="169">
        <v>14.97</v>
      </c>
      <c r="D27" s="8">
        <v>42724.041666666664</v>
      </c>
      <c r="E27" s="169">
        <v>0.38</v>
      </c>
      <c r="F27" s="169" t="s">
        <v>242</v>
      </c>
      <c r="G27" s="169">
        <v>245.33</v>
      </c>
      <c r="H27" s="169">
        <v>0</v>
      </c>
      <c r="I27" s="169">
        <v>0</v>
      </c>
      <c r="J27" s="169">
        <v>1023.94</v>
      </c>
      <c r="K27" s="169" t="s">
        <v>766</v>
      </c>
      <c r="L27" s="169">
        <v>38.6</v>
      </c>
      <c r="M27" s="169">
        <v>1482220800</v>
      </c>
      <c r="N27" s="169">
        <v>7.07</v>
      </c>
      <c r="O27" s="169">
        <v>285</v>
      </c>
      <c r="P27" s="169">
        <v>4.3</v>
      </c>
      <c r="Q27"/>
      <c r="R27"/>
    </row>
    <row r="28" spans="1:18" x14ac:dyDescent="0.25">
      <c r="A28" s="169">
        <v>35.049999999999997</v>
      </c>
      <c r="B28" s="169">
        <v>0.69</v>
      </c>
      <c r="C28" s="169">
        <v>21.25</v>
      </c>
      <c r="D28" s="8">
        <v>42724.083333333336</v>
      </c>
      <c r="E28" s="169">
        <v>0.48</v>
      </c>
      <c r="F28" s="169" t="s">
        <v>242</v>
      </c>
      <c r="G28" s="169">
        <v>245.32</v>
      </c>
      <c r="H28" s="169">
        <v>0</v>
      </c>
      <c r="I28" s="169">
        <v>0</v>
      </c>
      <c r="J28" s="169">
        <v>1025.46</v>
      </c>
      <c r="K28" s="169" t="s">
        <v>766</v>
      </c>
      <c r="L28" s="169">
        <v>39.200000000000003</v>
      </c>
      <c r="M28" s="169">
        <v>1482224400</v>
      </c>
      <c r="N28" s="169">
        <v>5</v>
      </c>
      <c r="O28" s="169">
        <v>298</v>
      </c>
      <c r="P28" s="169">
        <v>5.65</v>
      </c>
      <c r="Q28"/>
      <c r="R28"/>
    </row>
    <row r="29" spans="1:18" x14ac:dyDescent="0.25">
      <c r="A29" s="169">
        <v>27.8</v>
      </c>
      <c r="B29" s="169">
        <v>0.75</v>
      </c>
      <c r="C29" s="169">
        <v>16.54</v>
      </c>
      <c r="D29" s="8">
        <v>42724.125</v>
      </c>
      <c r="E29" s="169">
        <v>0.51</v>
      </c>
      <c r="F29" s="169" t="s">
        <v>242</v>
      </c>
      <c r="G29" s="169">
        <v>246.07</v>
      </c>
      <c r="H29" s="169">
        <v>0</v>
      </c>
      <c r="I29" s="169">
        <v>0</v>
      </c>
      <c r="J29" s="169">
        <v>1026.7</v>
      </c>
      <c r="K29" s="169" t="s">
        <v>766</v>
      </c>
      <c r="L29" s="169">
        <v>32.840000000000003</v>
      </c>
      <c r="M29" s="169">
        <v>1482228000</v>
      </c>
      <c r="N29" s="169">
        <v>7.02</v>
      </c>
      <c r="O29" s="169">
        <v>295</v>
      </c>
      <c r="P29" s="169">
        <v>5.3</v>
      </c>
      <c r="Q29"/>
      <c r="R29"/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8"/>
  <sheetViews>
    <sheetView topLeftCell="A10"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42723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950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951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952</v>
      </c>
      <c r="J20" t="s">
        <v>87</v>
      </c>
      <c r="M20" s="164" t="s">
        <v>246</v>
      </c>
    </row>
    <row r="21" spans="3:13" x14ac:dyDescent="0.25">
      <c r="C21" t="s">
        <v>953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954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955</v>
      </c>
      <c r="J23" s="29" t="s">
        <v>95</v>
      </c>
      <c r="K23" s="21"/>
      <c r="M23" s="164">
        <v>-7</v>
      </c>
    </row>
    <row r="24" spans="3:13" x14ac:dyDescent="0.25">
      <c r="C24" t="s">
        <v>956</v>
      </c>
      <c r="J24" s="21" t="s">
        <v>108</v>
      </c>
      <c r="K24" s="21"/>
      <c r="M24" s="164" t="s">
        <v>110</v>
      </c>
    </row>
    <row r="25" spans="3:13" x14ac:dyDescent="0.25">
      <c r="C25" t="s">
        <v>957</v>
      </c>
      <c r="J25" t="s">
        <v>151</v>
      </c>
      <c r="M25" s="164" t="b">
        <v>1</v>
      </c>
    </row>
    <row r="26" spans="3:13" x14ac:dyDescent="0.25">
      <c r="C26" t="s">
        <v>958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C:\Users\stu\Documents\GitHub\eaglep3-reporting\EC\2016-12-19-refined-times.txt</v>
      </c>
    </row>
    <row r="27" spans="3:13" x14ac:dyDescent="0.25">
      <c r="C27" t="s">
        <v>959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C:\Users\stu\Documents\GitHub\eaglep3-reporting\EC\2016-12-19-Enforcements.txt</v>
      </c>
    </row>
    <row r="28" spans="3:13" x14ac:dyDescent="0.25">
      <c r="C28" t="s">
        <v>960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C:\Users\stu\Documents\GitHub\eaglep3-reporting\EC\2016-12-19-Runs-refined.txt</v>
      </c>
    </row>
    <row r="29" spans="3:13" x14ac:dyDescent="0.25">
      <c r="C29" t="s">
        <v>961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C:\Users\stu\Documents\GitHub\eaglep3-reporting\EC\2016-12-19-Trips.txt</v>
      </c>
    </row>
    <row r="30" spans="3:13" x14ac:dyDescent="0.25">
      <c r="C30" t="s">
        <v>962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C:\Users\stu\Documents\GitHub\eaglep3-reporting\EC\2016-12-19-Weather.txt</v>
      </c>
    </row>
    <row r="31" spans="3:13" x14ac:dyDescent="0.25">
      <c r="C31" t="s">
        <v>963</v>
      </c>
    </row>
    <row r="32" spans="3:13" x14ac:dyDescent="0.25">
      <c r="C32" t="s">
        <v>964</v>
      </c>
    </row>
    <row r="33" spans="3:3" x14ac:dyDescent="0.25">
      <c r="C33" t="s">
        <v>965</v>
      </c>
    </row>
    <row r="34" spans="3:3" x14ac:dyDescent="0.25">
      <c r="C34" t="s">
        <v>966</v>
      </c>
    </row>
    <row r="35" spans="3:3" x14ac:dyDescent="0.25">
      <c r="C35" t="s">
        <v>967</v>
      </c>
    </row>
    <row r="36" spans="3:3" x14ac:dyDescent="0.25">
      <c r="C36" t="s">
        <v>968</v>
      </c>
    </row>
    <row r="37" spans="3:3" x14ac:dyDescent="0.25">
      <c r="C37" t="s">
        <v>969</v>
      </c>
    </row>
    <row r="38" spans="3:3" x14ac:dyDescent="0.25">
      <c r="C38" t="s">
        <v>970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J129" sqref="J12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311</v>
      </c>
      <c r="B1" t="str">
        <f t="shared" ref="B1:B52" si="0">MID(A1,6,23)</f>
        <v>2016/12/14 10:32:11.283</v>
      </c>
      <c r="C1" t="e">
        <f>ABS(B1-#REF!)</f>
        <v>#REF!</v>
      </c>
    </row>
    <row r="2" spans="1:3" x14ac:dyDescent="0.25">
      <c r="A2" t="s">
        <v>312</v>
      </c>
      <c r="B2" s="21" t="str">
        <f t="shared" si="0"/>
        <v>2016/12/14 12:39:29.984</v>
      </c>
      <c r="C2">
        <f>ABS(B2-B1)</f>
        <v>8.841089120687684E-2</v>
      </c>
    </row>
    <row r="3" spans="1:3" x14ac:dyDescent="0.25">
      <c r="A3" t="s">
        <v>313</v>
      </c>
      <c r="B3" s="21" t="str">
        <f t="shared" si="0"/>
        <v>2016/12/14 12:39:30.145</v>
      </c>
      <c r="C3" s="21">
        <f t="shared" ref="C3:C52" si="1">ABS(B3-B2)</f>
        <v>1.8634236766956747E-6</v>
      </c>
    </row>
    <row r="4" spans="1:3" x14ac:dyDescent="0.25">
      <c r="A4" t="s">
        <v>314</v>
      </c>
      <c r="B4" s="21" t="str">
        <f t="shared" si="0"/>
        <v>2016/12/14 12:39:30.815</v>
      </c>
      <c r="C4" s="21">
        <f t="shared" si="1"/>
        <v>7.7546355896629393E-6</v>
      </c>
    </row>
    <row r="5" spans="1:3" x14ac:dyDescent="0.25">
      <c r="A5" t="s">
        <v>315</v>
      </c>
      <c r="B5" s="21" t="str">
        <f t="shared" si="0"/>
        <v>2016/12/14 12:51:01.148</v>
      </c>
      <c r="C5" s="21">
        <f t="shared" si="1"/>
        <v>7.9899652773747221E-3</v>
      </c>
    </row>
    <row r="6" spans="1:3" x14ac:dyDescent="0.25">
      <c r="A6" t="s">
        <v>316</v>
      </c>
      <c r="B6" s="21" t="str">
        <f t="shared" si="0"/>
        <v>2016/12/14 12:51:01.990</v>
      </c>
      <c r="C6" s="21">
        <f t="shared" si="1"/>
        <v>9.7453666967339814E-6</v>
      </c>
    </row>
    <row r="7" spans="1:3" x14ac:dyDescent="0.25">
      <c r="A7" t="s">
        <v>317</v>
      </c>
      <c r="B7" s="21" t="str">
        <f t="shared" si="0"/>
        <v>2016/12/14 12:51:02.826</v>
      </c>
      <c r="C7" s="21">
        <f t="shared" si="1"/>
        <v>9.6759249572642148E-6</v>
      </c>
    </row>
    <row r="8" spans="1:3" x14ac:dyDescent="0.25">
      <c r="A8" t="s">
        <v>318</v>
      </c>
      <c r="B8" s="21" t="str">
        <f t="shared" si="0"/>
        <v>2016/12/14 12:52:28.631</v>
      </c>
      <c r="C8" s="21">
        <f t="shared" si="1"/>
        <v>9.9311342637520283E-4</v>
      </c>
    </row>
    <row r="9" spans="1:3" x14ac:dyDescent="0.25">
      <c r="A9" t="s">
        <v>319</v>
      </c>
      <c r="B9" s="21" t="str">
        <f t="shared" si="0"/>
        <v>2016/12/14 12:52:29.264</v>
      </c>
      <c r="C9" s="21">
        <f t="shared" si="1"/>
        <v>7.3263872764073312E-6</v>
      </c>
    </row>
    <row r="10" spans="1:3" x14ac:dyDescent="0.25">
      <c r="A10" t="s">
        <v>320</v>
      </c>
      <c r="B10" s="21" t="str">
        <f t="shared" si="0"/>
        <v>2016/12/14 12:52:29.472</v>
      </c>
      <c r="C10" s="21">
        <f t="shared" si="1"/>
        <v>2.4074106477200985E-6</v>
      </c>
    </row>
    <row r="11" spans="1:3" x14ac:dyDescent="0.25">
      <c r="A11" t="s">
        <v>321</v>
      </c>
      <c r="B11" s="21" t="str">
        <f t="shared" si="0"/>
        <v>2016/12/14 13:01:15.737</v>
      </c>
      <c r="C11" s="21">
        <f t="shared" si="1"/>
        <v>6.0910300890100189E-3</v>
      </c>
    </row>
    <row r="12" spans="1:3" x14ac:dyDescent="0.25">
      <c r="A12" t="s">
        <v>322</v>
      </c>
      <c r="B12" s="21" t="str">
        <f t="shared" si="0"/>
        <v>2016/12/14 14:41:17.411</v>
      </c>
      <c r="C12" s="21">
        <f t="shared" si="1"/>
        <v>6.9463819447264541E-2</v>
      </c>
    </row>
    <row r="13" spans="1:3" x14ac:dyDescent="0.25">
      <c r="A13" t="s">
        <v>323</v>
      </c>
      <c r="B13" s="21" t="str">
        <f t="shared" si="0"/>
        <v>2016/12/14 14:41:17.754</v>
      </c>
      <c r="C13" s="21">
        <f t="shared" si="1"/>
        <v>3.9699079934507608E-6</v>
      </c>
    </row>
    <row r="14" spans="1:3" x14ac:dyDescent="0.25">
      <c r="A14" t="s">
        <v>324</v>
      </c>
      <c r="B14" s="21" t="str">
        <f t="shared" si="0"/>
        <v>2016/12/14 14:41:18.047</v>
      </c>
      <c r="C14" s="21">
        <f t="shared" si="1"/>
        <v>3.3912001526914537E-6</v>
      </c>
    </row>
    <row r="15" spans="1:3" x14ac:dyDescent="0.25">
      <c r="A15" t="s">
        <v>325</v>
      </c>
      <c r="B15" s="21" t="str">
        <f t="shared" si="0"/>
        <v>2016/12/14 14:51:33.969</v>
      </c>
      <c r="C15" s="21">
        <f t="shared" si="1"/>
        <v>7.1287268583546393E-3</v>
      </c>
    </row>
    <row r="16" spans="1:3" x14ac:dyDescent="0.25">
      <c r="A16" t="s">
        <v>326</v>
      </c>
      <c r="B16" s="21" t="str">
        <f t="shared" si="0"/>
        <v>2016/12/14 14:51:34.128</v>
      </c>
      <c r="C16" s="21">
        <f t="shared" si="1"/>
        <v>1.840271579567343E-6</v>
      </c>
    </row>
    <row r="17" spans="1:3" x14ac:dyDescent="0.25">
      <c r="A17" t="s">
        <v>327</v>
      </c>
      <c r="B17" s="21" t="str">
        <f t="shared" si="0"/>
        <v>2016/12/14 14:57:19.018</v>
      </c>
      <c r="C17" s="21">
        <f t="shared" si="1"/>
        <v>3.9917824105941691E-3</v>
      </c>
    </row>
    <row r="18" spans="1:3" x14ac:dyDescent="0.25">
      <c r="A18" t="s">
        <v>328</v>
      </c>
      <c r="B18" s="21" t="str">
        <f t="shared" si="0"/>
        <v>2016/12/14 14:57:19.968</v>
      </c>
      <c r="C18" s="21">
        <f t="shared" si="1"/>
        <v>1.099536893889308E-5</v>
      </c>
    </row>
    <row r="19" spans="1:3" x14ac:dyDescent="0.25">
      <c r="A19" t="s">
        <v>329</v>
      </c>
      <c r="B19" s="21" t="str">
        <f t="shared" si="0"/>
        <v>2016/12/14 14:57:20.091</v>
      </c>
      <c r="C19" s="21">
        <f t="shared" si="1"/>
        <v>1.4236138667911291E-6</v>
      </c>
    </row>
    <row r="20" spans="1:3" x14ac:dyDescent="0.25">
      <c r="A20" t="s">
        <v>330</v>
      </c>
      <c r="B20" s="21" t="str">
        <f t="shared" si="0"/>
        <v>2016/12/14 15:02:26.052</v>
      </c>
      <c r="C20" s="21">
        <f t="shared" si="1"/>
        <v>3.5412152792559937E-3</v>
      </c>
    </row>
    <row r="21" spans="1:3" x14ac:dyDescent="0.25">
      <c r="A21" t="s">
        <v>331</v>
      </c>
      <c r="B21" s="21" t="str">
        <f t="shared" si="0"/>
        <v>2016/12/14 15:02:26.397</v>
      </c>
      <c r="C21" s="21">
        <f t="shared" si="1"/>
        <v>3.9930528146214783E-6</v>
      </c>
    </row>
    <row r="22" spans="1:3" x14ac:dyDescent="0.25">
      <c r="A22" t="s">
        <v>332</v>
      </c>
      <c r="B22" s="21" t="str">
        <f t="shared" si="0"/>
        <v>2016/12/14 15:02:26.763</v>
      </c>
      <c r="C22" s="21">
        <f t="shared" si="1"/>
        <v>4.2361134546808898E-6</v>
      </c>
    </row>
    <row r="23" spans="1:3" x14ac:dyDescent="0.25">
      <c r="A23" t="s">
        <v>333</v>
      </c>
      <c r="B23" s="21" t="str">
        <f t="shared" si="0"/>
        <v>2016/12/14 15:33:49.866</v>
      </c>
      <c r="C23" s="21">
        <f t="shared" si="1"/>
        <v>2.179517361219041E-2</v>
      </c>
    </row>
    <row r="24" spans="1:3" x14ac:dyDescent="0.25">
      <c r="A24" t="s">
        <v>334</v>
      </c>
      <c r="B24" s="21" t="str">
        <f t="shared" si="0"/>
        <v>2016/12/14 15:38:00.008</v>
      </c>
      <c r="C24" s="21">
        <f t="shared" si="1"/>
        <v>2.8951620333828032E-3</v>
      </c>
    </row>
    <row r="25" spans="1:3" x14ac:dyDescent="0.25">
      <c r="A25" t="s">
        <v>335</v>
      </c>
      <c r="B25" s="21" t="str">
        <f t="shared" si="0"/>
        <v>2016/12/14 15:38:00.075</v>
      </c>
      <c r="C25" s="21">
        <f t="shared" si="1"/>
        <v>7.7546428656205535E-7</v>
      </c>
    </row>
    <row r="26" spans="1:3" x14ac:dyDescent="0.25">
      <c r="A26" t="s">
        <v>336</v>
      </c>
      <c r="B26" s="21" t="str">
        <f t="shared" si="0"/>
        <v>2016/12/14 15:38:00.143</v>
      </c>
      <c r="C26" s="21">
        <f t="shared" si="1"/>
        <v>7.87033059168607E-7</v>
      </c>
    </row>
    <row r="27" spans="1:3" x14ac:dyDescent="0.25">
      <c r="A27" t="s">
        <v>337</v>
      </c>
      <c r="B27" s="21" t="str">
        <f t="shared" si="0"/>
        <v>2016/12/14 16:31:06.806</v>
      </c>
      <c r="C27" s="21">
        <f t="shared" si="1"/>
        <v>3.6882673615764361E-2</v>
      </c>
    </row>
    <row r="28" spans="1:3" x14ac:dyDescent="0.25">
      <c r="A28" t="s">
        <v>338</v>
      </c>
      <c r="B28" s="21" t="str">
        <f t="shared" si="0"/>
        <v>2016/12/14 16:31:07.049</v>
      </c>
      <c r="C28" s="21">
        <f t="shared" si="1"/>
        <v>2.8124995878897607E-6</v>
      </c>
    </row>
    <row r="29" spans="1:3" x14ac:dyDescent="0.25">
      <c r="A29" t="s">
        <v>339</v>
      </c>
      <c r="B29" s="21" t="str">
        <f t="shared" si="0"/>
        <v>2016/12/14 16:31:07.416</v>
      </c>
      <c r="C29" s="21">
        <f t="shared" si="1"/>
        <v>4.2476822272874415E-6</v>
      </c>
    </row>
    <row r="30" spans="1:3" x14ac:dyDescent="0.25">
      <c r="A30" t="s">
        <v>340</v>
      </c>
      <c r="B30" s="21" t="str">
        <f t="shared" si="0"/>
        <v>2016/12/14 16:31:44.840</v>
      </c>
      <c r="C30" s="21">
        <f t="shared" si="1"/>
        <v>4.331481468398124E-4</v>
      </c>
    </row>
    <row r="31" spans="1:3" x14ac:dyDescent="0.25">
      <c r="A31" t="s">
        <v>341</v>
      </c>
      <c r="B31" s="21" t="str">
        <f t="shared" si="0"/>
        <v>2016/12/14 16:37:12.664</v>
      </c>
      <c r="C31" s="21">
        <f t="shared" si="1"/>
        <v>3.7942592607578263E-3</v>
      </c>
    </row>
    <row r="32" spans="1:3" x14ac:dyDescent="0.25">
      <c r="A32" t="s">
        <v>342</v>
      </c>
      <c r="B32" s="21" t="str">
        <f t="shared" si="0"/>
        <v>2016/12/14 16:54:03.388</v>
      </c>
      <c r="C32" s="21">
        <f t="shared" si="1"/>
        <v>1.1698194444761612E-2</v>
      </c>
    </row>
    <row r="33" spans="1:3" x14ac:dyDescent="0.25">
      <c r="A33" t="s">
        <v>343</v>
      </c>
      <c r="B33" s="21" t="str">
        <f t="shared" si="0"/>
        <v>2016/12/14 17:27:14.441</v>
      </c>
      <c r="C33" s="21">
        <f t="shared" si="1"/>
        <v>2.3044594905513804E-2</v>
      </c>
    </row>
    <row r="34" spans="1:3" x14ac:dyDescent="0.25">
      <c r="A34" t="s">
        <v>344</v>
      </c>
      <c r="B34" s="21" t="str">
        <f t="shared" si="0"/>
        <v>2016/12/14 17:27:15.071</v>
      </c>
      <c r="C34" s="21">
        <f t="shared" si="1"/>
        <v>7.2916664066724479E-6</v>
      </c>
    </row>
    <row r="35" spans="1:3" x14ac:dyDescent="0.25">
      <c r="A35" t="s">
        <v>345</v>
      </c>
      <c r="B35" s="21" t="str">
        <f t="shared" si="0"/>
        <v>2016/12/14 17:27:15.462</v>
      </c>
      <c r="C35" s="21">
        <f t="shared" si="1"/>
        <v>4.5254637370817363E-6</v>
      </c>
    </row>
    <row r="36" spans="1:3" x14ac:dyDescent="0.25">
      <c r="A36" t="s">
        <v>346</v>
      </c>
      <c r="B36" s="21" t="str">
        <f t="shared" si="0"/>
        <v>2016/12/14 17:34:00.303</v>
      </c>
      <c r="C36" s="21">
        <f t="shared" si="1"/>
        <v>4.6856597255100496E-3</v>
      </c>
    </row>
    <row r="37" spans="1:3" x14ac:dyDescent="0.25">
      <c r="A37" t="s">
        <v>347</v>
      </c>
      <c r="B37" s="21" t="str">
        <f t="shared" si="0"/>
        <v>2016/12/14 17:34:00.386</v>
      </c>
      <c r="C37" s="21">
        <f t="shared" si="1"/>
        <v>9.6064468380063772E-7</v>
      </c>
    </row>
    <row r="38" spans="1:3" x14ac:dyDescent="0.25">
      <c r="A38" t="s">
        <v>348</v>
      </c>
      <c r="B38" s="21" t="str">
        <f t="shared" si="0"/>
        <v>2016/12/14 17:34:00.993</v>
      </c>
      <c r="C38" s="21">
        <f t="shared" si="1"/>
        <v>7.0254682213999331E-6</v>
      </c>
    </row>
    <row r="39" spans="1:3" x14ac:dyDescent="0.25">
      <c r="A39" t="s">
        <v>349</v>
      </c>
      <c r="B39" s="21" t="str">
        <f t="shared" si="0"/>
        <v>2016/12/14 17:36:14.708</v>
      </c>
      <c r="C39" s="21">
        <f t="shared" si="1"/>
        <v>1.5476273110834882E-3</v>
      </c>
    </row>
    <row r="40" spans="1:3" x14ac:dyDescent="0.25">
      <c r="A40" t="s">
        <v>350</v>
      </c>
      <c r="B40" s="21" t="str">
        <f t="shared" si="0"/>
        <v>2016/12/14 17:36:14.845</v>
      </c>
      <c r="C40" s="21">
        <f t="shared" si="1"/>
        <v>1.585649442858994E-6</v>
      </c>
    </row>
    <row r="41" spans="1:3" x14ac:dyDescent="0.25">
      <c r="A41" t="s">
        <v>351</v>
      </c>
      <c r="B41" s="21" t="str">
        <f t="shared" si="0"/>
        <v>2016/12/14 17:52:35.665</v>
      </c>
      <c r="C41" s="21">
        <f t="shared" si="1"/>
        <v>1.1352083332894836E-2</v>
      </c>
    </row>
    <row r="42" spans="1:3" x14ac:dyDescent="0.25">
      <c r="A42" t="s">
        <v>352</v>
      </c>
      <c r="B42" s="21" t="str">
        <f t="shared" si="0"/>
        <v>2016/12/14 17:52:36.716</v>
      </c>
      <c r="C42" s="21">
        <f t="shared" si="1"/>
        <v>1.2164353393018246E-5</v>
      </c>
    </row>
    <row r="43" spans="1:3" x14ac:dyDescent="0.25">
      <c r="A43" t="s">
        <v>353</v>
      </c>
      <c r="B43" s="21" t="str">
        <f t="shared" si="0"/>
        <v>2016/12/14 18:01:02.988</v>
      </c>
      <c r="C43" s="21">
        <f t="shared" si="1"/>
        <v>5.859629629412666E-3</v>
      </c>
    </row>
    <row r="44" spans="1:3" x14ac:dyDescent="0.25">
      <c r="A44" t="s">
        <v>354</v>
      </c>
      <c r="B44" s="21" t="str">
        <f t="shared" si="0"/>
        <v>2016/12/14 18:01:03.161</v>
      </c>
      <c r="C44" s="21">
        <f t="shared" si="1"/>
        <v>2.0023144315928221E-6</v>
      </c>
    </row>
    <row r="45" spans="1:3" x14ac:dyDescent="0.25">
      <c r="A45" t="s">
        <v>355</v>
      </c>
      <c r="B45" s="21" t="str">
        <f t="shared" si="0"/>
        <v>2016/12/14 18:01:03.821</v>
      </c>
      <c r="C45" s="21">
        <f t="shared" si="1"/>
        <v>7.6388896559365094E-6</v>
      </c>
    </row>
    <row r="46" spans="1:3" x14ac:dyDescent="0.25">
      <c r="A46" t="s">
        <v>356</v>
      </c>
      <c r="B46" s="21" t="str">
        <f t="shared" si="0"/>
        <v>2016/12/14 18:08:47.821</v>
      </c>
      <c r="C46" s="21">
        <f t="shared" si="1"/>
        <v>5.3703703670180403E-3</v>
      </c>
    </row>
    <row r="47" spans="1:3" x14ac:dyDescent="0.25">
      <c r="A47" t="s">
        <v>357</v>
      </c>
      <c r="B47" s="21" t="str">
        <f t="shared" si="0"/>
        <v>2016/12/14 18:08:47.981</v>
      </c>
      <c r="C47" s="21">
        <f t="shared" si="1"/>
        <v>1.851854904089123E-6</v>
      </c>
    </row>
    <row r="48" spans="1:3" x14ac:dyDescent="0.25">
      <c r="A48" t="s">
        <v>358</v>
      </c>
      <c r="B48" s="21" t="str">
        <f t="shared" si="0"/>
        <v>2016/12/14 18:08:48.151</v>
      </c>
      <c r="C48" s="21">
        <f t="shared" si="1"/>
        <v>1.9675935618579388E-6</v>
      </c>
    </row>
    <row r="49" spans="1:3" x14ac:dyDescent="0.25">
      <c r="A49" t="s">
        <v>359</v>
      </c>
      <c r="B49" s="21" t="str">
        <f t="shared" si="0"/>
        <v>2016/12/14 18:49:32.997</v>
      </c>
      <c r="C49" s="21">
        <f t="shared" si="1"/>
        <v>2.8296828699239995E-2</v>
      </c>
    </row>
    <row r="50" spans="1:3" x14ac:dyDescent="0.25">
      <c r="A50" t="s">
        <v>360</v>
      </c>
      <c r="B50" s="21" t="str">
        <f t="shared" si="0"/>
        <v>2016/12/14 18:51:08.610</v>
      </c>
      <c r="C50" s="21">
        <f t="shared" si="1"/>
        <v>1.10663194936933E-3</v>
      </c>
    </row>
    <row r="51" spans="1:3" x14ac:dyDescent="0.25">
      <c r="A51" t="s">
        <v>361</v>
      </c>
      <c r="B51" s="21" t="str">
        <f t="shared" si="0"/>
        <v>2016/12/14 18:53:47.083</v>
      </c>
      <c r="C51" s="21">
        <f t="shared" si="1"/>
        <v>1.8341782415518537E-3</v>
      </c>
    </row>
    <row r="52" spans="1:3" x14ac:dyDescent="0.25">
      <c r="A52" t="s">
        <v>362</v>
      </c>
      <c r="B52" s="21" t="str">
        <f t="shared" si="0"/>
        <v>2016/12/14 18:53:47.432</v>
      </c>
      <c r="C52" s="21">
        <f t="shared" si="1"/>
        <v>4.0393497329205275E-6</v>
      </c>
    </row>
    <row r="53" spans="1:3" x14ac:dyDescent="0.25">
      <c r="A53" t="s">
        <v>363</v>
      </c>
      <c r="B53" s="21" t="str">
        <f t="shared" ref="B53:B80" si="2">MID(A53,6,23)</f>
        <v>2016/12/14 18:53:47.463</v>
      </c>
      <c r="C53" s="21">
        <f t="shared" ref="C53:C80" si="3">ABS(B53-B52)</f>
        <v>3.587920218706131E-7</v>
      </c>
    </row>
    <row r="54" spans="1:3" x14ac:dyDescent="0.25">
      <c r="A54" t="s">
        <v>364</v>
      </c>
      <c r="B54" s="21" t="str">
        <f t="shared" si="2"/>
        <v>2016/12/14 18:56:13.431</v>
      </c>
      <c r="C54" s="21">
        <f t="shared" si="3"/>
        <v>1.6894444488571025E-3</v>
      </c>
    </row>
    <row r="55" spans="1:3" x14ac:dyDescent="0.25">
      <c r="A55" t="s">
        <v>365</v>
      </c>
      <c r="B55" s="21" t="str">
        <f t="shared" si="2"/>
        <v>2016/12/14 19:04:10.481</v>
      </c>
      <c r="C55" s="21">
        <f t="shared" si="3"/>
        <v>5.5214120366144925E-3</v>
      </c>
    </row>
    <row r="56" spans="1:3" x14ac:dyDescent="0.25">
      <c r="A56" t="s">
        <v>366</v>
      </c>
      <c r="B56" s="21" t="str">
        <f t="shared" si="2"/>
        <v>2016/12/14 19:20:19.060</v>
      </c>
      <c r="C56" s="21">
        <f t="shared" si="3"/>
        <v>1.1210405093152076E-2</v>
      </c>
    </row>
    <row r="57" spans="1:3" x14ac:dyDescent="0.25">
      <c r="A57" t="s">
        <v>367</v>
      </c>
      <c r="B57" s="21" t="str">
        <f t="shared" si="2"/>
        <v>2016/12/14 19:20:19.434</v>
      </c>
      <c r="C57" s="21">
        <f t="shared" si="3"/>
        <v>4.3287000153213739E-6</v>
      </c>
    </row>
    <row r="58" spans="1:3" x14ac:dyDescent="0.25">
      <c r="A58" t="s">
        <v>368</v>
      </c>
      <c r="B58" s="21" t="str">
        <f t="shared" si="2"/>
        <v>2016/12/14 19:20:21.373</v>
      </c>
      <c r="C58" s="21">
        <f t="shared" si="3"/>
        <v>2.2442131012212485E-5</v>
      </c>
    </row>
    <row r="59" spans="1:3" x14ac:dyDescent="0.25">
      <c r="A59" t="s">
        <v>369</v>
      </c>
      <c r="B59" s="21" t="str">
        <f t="shared" si="2"/>
        <v>2016/12/14 19:26:14.284</v>
      </c>
      <c r="C59" s="21">
        <f t="shared" si="3"/>
        <v>4.0846180563676171E-3</v>
      </c>
    </row>
    <row r="60" spans="1:3" x14ac:dyDescent="0.25">
      <c r="A60" t="s">
        <v>370</v>
      </c>
      <c r="B60" s="21" t="str">
        <f t="shared" si="2"/>
        <v>2016/12/14 19:26:14.954</v>
      </c>
      <c r="C60" s="21">
        <f t="shared" si="3"/>
        <v>7.7546283137053251E-6</v>
      </c>
    </row>
    <row r="61" spans="1:3" x14ac:dyDescent="0.25">
      <c r="A61" t="s">
        <v>371</v>
      </c>
      <c r="B61" s="21" t="str">
        <f t="shared" si="2"/>
        <v>2016/12/14 19:26:15.397</v>
      </c>
      <c r="C61" s="21">
        <f t="shared" si="3"/>
        <v>5.127316399011761E-6</v>
      </c>
    </row>
    <row r="62" spans="1:3" x14ac:dyDescent="0.25">
      <c r="A62" t="s">
        <v>372</v>
      </c>
      <c r="B62" s="21" t="str">
        <f t="shared" si="2"/>
        <v>2016/12/14 19:27:45.954</v>
      </c>
      <c r="C62" s="21">
        <f t="shared" si="3"/>
        <v>1.0481134231667966E-3</v>
      </c>
    </row>
    <row r="63" spans="1:3" x14ac:dyDescent="0.25">
      <c r="A63" t="s">
        <v>373</v>
      </c>
      <c r="B63" s="21" t="str">
        <f t="shared" si="2"/>
        <v>2016/12/14 19:27:46.275</v>
      </c>
      <c r="C63" s="21">
        <f t="shared" si="3"/>
        <v>3.7152785807847977E-6</v>
      </c>
    </row>
    <row r="64" spans="1:3" x14ac:dyDescent="0.25">
      <c r="A64" t="s">
        <v>374</v>
      </c>
      <c r="B64" s="21" t="str">
        <f t="shared" si="2"/>
        <v>2016/12/14 19:27:46.397</v>
      </c>
      <c r="C64" s="21">
        <f t="shared" si="3"/>
        <v>1.4120378182269633E-6</v>
      </c>
    </row>
    <row r="65" spans="1:3" x14ac:dyDescent="0.25">
      <c r="A65" t="s">
        <v>375</v>
      </c>
      <c r="B65" s="21" t="str">
        <f t="shared" si="2"/>
        <v>2016/12/14 20:03:30.075</v>
      </c>
      <c r="C65" s="21">
        <f t="shared" si="3"/>
        <v>2.481108796200715E-2</v>
      </c>
    </row>
    <row r="66" spans="1:3" x14ac:dyDescent="0.25">
      <c r="A66" t="s">
        <v>376</v>
      </c>
      <c r="B66" s="21" t="str">
        <f t="shared" si="2"/>
        <v>2016/12/14 20:03:34.474</v>
      </c>
      <c r="C66" s="21">
        <f t="shared" si="3"/>
        <v>5.0914350140374154E-5</v>
      </c>
    </row>
    <row r="67" spans="1:3" x14ac:dyDescent="0.25">
      <c r="A67" t="s">
        <v>377</v>
      </c>
      <c r="B67" s="21" t="str">
        <f t="shared" si="2"/>
        <v>2016/12/14 20:03:34.634</v>
      </c>
      <c r="C67" s="21">
        <f t="shared" si="3"/>
        <v>1.851854904089123E-6</v>
      </c>
    </row>
    <row r="68" spans="1:3" x14ac:dyDescent="0.25">
      <c r="A68" t="s">
        <v>378</v>
      </c>
      <c r="B68" s="21" t="str">
        <f t="shared" si="2"/>
        <v>2016/12/14 21:05:09.276</v>
      </c>
      <c r="C68" s="21">
        <f t="shared" si="3"/>
        <v>4.2762060184031725E-2</v>
      </c>
    </row>
    <row r="69" spans="1:3" x14ac:dyDescent="0.25">
      <c r="A69" t="s">
        <v>379</v>
      </c>
      <c r="B69" s="21" t="str">
        <f t="shared" si="2"/>
        <v>2016/12/14 21:48:54.478</v>
      </c>
      <c r="C69" s="21">
        <f t="shared" si="3"/>
        <v>3.0384282406885177E-2</v>
      </c>
    </row>
    <row r="70" spans="1:3" x14ac:dyDescent="0.25">
      <c r="A70" t="s">
        <v>380</v>
      </c>
      <c r="B70" s="21" t="str">
        <f t="shared" si="2"/>
        <v>2016/12/14 21:48:54.641</v>
      </c>
      <c r="C70" s="21">
        <f t="shared" si="3"/>
        <v>1.8865757738240063E-6</v>
      </c>
    </row>
    <row r="71" spans="1:3" x14ac:dyDescent="0.25">
      <c r="A71" t="s">
        <v>381</v>
      </c>
      <c r="B71" s="21" t="str">
        <f t="shared" si="2"/>
        <v>2016/12/14 21:48:55.069</v>
      </c>
      <c r="C71" s="21">
        <f t="shared" si="3"/>
        <v>4.9537047743797302E-6</v>
      </c>
    </row>
    <row r="72" spans="1:3" x14ac:dyDescent="0.25">
      <c r="A72" t="s">
        <v>382</v>
      </c>
      <c r="B72" s="21" t="str">
        <f t="shared" si="2"/>
        <v>2016/12/14 22:48:51.273</v>
      </c>
      <c r="C72" s="21">
        <f t="shared" si="3"/>
        <v>4.1622731478128117E-2</v>
      </c>
    </row>
    <row r="73" spans="1:3" x14ac:dyDescent="0.25">
      <c r="A73" t="s">
        <v>383</v>
      </c>
      <c r="B73" s="21" t="str">
        <f t="shared" si="2"/>
        <v>2016/12/14 22:48:51.958</v>
      </c>
      <c r="C73" s="21">
        <f t="shared" si="3"/>
        <v>7.9282399383373559E-6</v>
      </c>
    </row>
    <row r="74" spans="1:3" x14ac:dyDescent="0.25">
      <c r="A74" t="s">
        <v>384</v>
      </c>
      <c r="B74" s="21" t="str">
        <f t="shared" si="2"/>
        <v>2016/12/14 22:48:52.396</v>
      </c>
      <c r="C74" s="21">
        <f t="shared" si="3"/>
        <v>5.0694507081061602E-6</v>
      </c>
    </row>
    <row r="75" spans="1:3" x14ac:dyDescent="0.25">
      <c r="A75" t="s">
        <v>385</v>
      </c>
      <c r="B75" s="21" t="str">
        <f t="shared" si="2"/>
        <v>2016/12/14 23:41:59.135</v>
      </c>
      <c r="C75" s="21">
        <f t="shared" si="3"/>
        <v>3.688355323538417E-2</v>
      </c>
    </row>
    <row r="76" spans="1:3" x14ac:dyDescent="0.25">
      <c r="A76" t="s">
        <v>386</v>
      </c>
      <c r="B76" s="21" t="str">
        <f t="shared" si="2"/>
        <v>2016/12/14 23:41:59.475</v>
      </c>
      <c r="C76" s="21">
        <f t="shared" si="3"/>
        <v>3.9351871237158775E-6</v>
      </c>
    </row>
    <row r="77" spans="1:3" x14ac:dyDescent="0.25">
      <c r="A77" t="s">
        <v>387</v>
      </c>
      <c r="B77" s="21" t="str">
        <f t="shared" si="2"/>
        <v>2016/12/14 23:42:01.118</v>
      </c>
      <c r="C77" s="21">
        <f t="shared" si="3"/>
        <v>1.9016202713828534E-5</v>
      </c>
    </row>
    <row r="78" spans="1:3" x14ac:dyDescent="0.25">
      <c r="A78" t="s">
        <v>388</v>
      </c>
      <c r="B78" s="21" t="str">
        <f t="shared" si="2"/>
        <v>2016/12/14 23:42:41.456</v>
      </c>
      <c r="C78" s="21">
        <f t="shared" si="3"/>
        <v>4.6687500434927642E-4</v>
      </c>
    </row>
    <row r="79" spans="1:3" x14ac:dyDescent="0.25">
      <c r="A79" t="s">
        <v>389</v>
      </c>
      <c r="B79" s="21" t="str">
        <f t="shared" si="2"/>
        <v>2016/12/14 23:42:42.111</v>
      </c>
      <c r="C79" s="21">
        <f t="shared" si="3"/>
        <v>7.5810166890732944E-6</v>
      </c>
    </row>
    <row r="80" spans="1:3" x14ac:dyDescent="0.25">
      <c r="A80" t="s">
        <v>390</v>
      </c>
      <c r="B80" s="21" t="str">
        <f t="shared" si="2"/>
        <v>2016/12/14 23:42:42.124</v>
      </c>
      <c r="C80" s="21">
        <f t="shared" si="3"/>
        <v>1.5045952750369906E-7</v>
      </c>
    </row>
    <row r="81" spans="1:3" x14ac:dyDescent="0.25">
      <c r="A81" t="s">
        <v>391</v>
      </c>
      <c r="B81" s="21" t="str">
        <f t="shared" ref="B81:B85" si="4">MID(A81,6,23)</f>
        <v>2016/12/14 23:51:34.620</v>
      </c>
      <c r="C81" s="21">
        <f t="shared" ref="C81:C85" si="5">ABS(B81-B80)</f>
        <v>6.1631481512449682E-3</v>
      </c>
    </row>
    <row r="82" spans="1:3" x14ac:dyDescent="0.25">
      <c r="A82" t="s">
        <v>392</v>
      </c>
      <c r="B82" s="21" t="str">
        <f t="shared" si="4"/>
        <v>2016/12/14 23:52:14.619</v>
      </c>
      <c r="C82" s="21">
        <f t="shared" si="5"/>
        <v>4.629513859981671E-4</v>
      </c>
    </row>
    <row r="83" spans="1:3" x14ac:dyDescent="0.25">
      <c r="A83" t="s">
        <v>393</v>
      </c>
      <c r="B83" s="21" t="str">
        <f t="shared" si="4"/>
        <v>2016/12/15 00:19:51.666</v>
      </c>
      <c r="C83" s="21">
        <f t="shared" si="5"/>
        <v>1.9178784721589182E-2</v>
      </c>
    </row>
    <row r="84" spans="1:3" x14ac:dyDescent="0.25">
      <c r="A84" t="s">
        <v>394</v>
      </c>
      <c r="B84" s="21" t="str">
        <f t="shared" si="4"/>
        <v>2016/12/15 00:19:51.712</v>
      </c>
      <c r="C84" s="21">
        <f t="shared" si="5"/>
        <v>5.3241092246025801E-7</v>
      </c>
    </row>
    <row r="85" spans="1:3" x14ac:dyDescent="0.25">
      <c r="A85" t="s">
        <v>395</v>
      </c>
      <c r="B85" s="21" t="str">
        <f t="shared" si="4"/>
        <v>2016/12/15 00:19:52.465</v>
      </c>
      <c r="C85" s="21">
        <f t="shared" si="5"/>
        <v>8.715280273463577E-6</v>
      </c>
    </row>
    <row r="86" spans="1:3" x14ac:dyDescent="0.25">
      <c r="A86" t="s">
        <v>396</v>
      </c>
      <c r="B86" s="21" t="str">
        <f t="shared" ref="B86:B111" si="6">MID(A86,6,23)</f>
        <v>2016/12/15 01:03:25.592</v>
      </c>
      <c r="C86" s="21">
        <f t="shared" ref="C86:C111" si="7">ABS(B86-B85)</f>
        <v>3.0244525456510019E-2</v>
      </c>
    </row>
    <row r="87" spans="1:3" x14ac:dyDescent="0.25">
      <c r="A87" t="s">
        <v>397</v>
      </c>
      <c r="B87" s="21" t="str">
        <f t="shared" si="6"/>
        <v>2016/12/15 01:03:25.882</v>
      </c>
      <c r="C87" s="21">
        <f t="shared" si="7"/>
        <v>3.3564865589141846E-6</v>
      </c>
    </row>
    <row r="88" spans="1:3" x14ac:dyDescent="0.25">
      <c r="A88" t="s">
        <v>398</v>
      </c>
      <c r="B88" s="21" t="str">
        <f t="shared" si="6"/>
        <v>2016/12/15 01:03:26.126</v>
      </c>
      <c r="C88" s="21">
        <f t="shared" si="7"/>
        <v>2.8240756364539266E-6</v>
      </c>
    </row>
    <row r="89" spans="1:3" x14ac:dyDescent="0.25">
      <c r="A89" t="s">
        <v>399</v>
      </c>
      <c r="B89" s="21" t="str">
        <f t="shared" si="6"/>
        <v>2016/12/15 02:06:46.998</v>
      </c>
      <c r="C89" s="21">
        <f t="shared" si="7"/>
        <v>4.3991574071696959E-2</v>
      </c>
    </row>
    <row r="90" spans="1:3" x14ac:dyDescent="0.25">
      <c r="A90" t="s">
        <v>400</v>
      </c>
      <c r="B90" s="21" t="str">
        <f t="shared" si="6"/>
        <v>2016/12/15 02:33:01.023</v>
      </c>
      <c r="C90" s="21">
        <f t="shared" si="7"/>
        <v>1.8217881945020054E-2</v>
      </c>
    </row>
    <row r="91" spans="1:3" x14ac:dyDescent="0.25">
      <c r="A91" t="s">
        <v>401</v>
      </c>
      <c r="B91" s="21" t="str">
        <f t="shared" si="6"/>
        <v>2016/12/15 02:48:08.893</v>
      </c>
      <c r="C91" s="21">
        <f t="shared" si="7"/>
        <v>1.0507754624995869E-2</v>
      </c>
    </row>
    <row r="92" spans="1:3" x14ac:dyDescent="0.25">
      <c r="A92" t="s">
        <v>402</v>
      </c>
      <c r="B92" s="21" t="str">
        <f t="shared" si="6"/>
        <v>2016/12/15 02:48:09.133</v>
      </c>
      <c r="C92" s="21">
        <f t="shared" si="7"/>
        <v>2.7777787181548774E-6</v>
      </c>
    </row>
    <row r="93" spans="1:3" x14ac:dyDescent="0.25">
      <c r="A93" t="s">
        <v>403</v>
      </c>
      <c r="B93" s="21" t="str">
        <f t="shared" si="6"/>
        <v>2016/12/15 02:48:09.600</v>
      </c>
      <c r="C93" s="21">
        <f t="shared" si="7"/>
        <v>5.4050979088060558E-6</v>
      </c>
    </row>
    <row r="94" spans="1:3" x14ac:dyDescent="0.25">
      <c r="A94" t="s">
        <v>404</v>
      </c>
      <c r="B94" s="21" t="str">
        <f t="shared" si="6"/>
        <v>2016/12/15 03:33:30.993</v>
      </c>
      <c r="C94" s="21">
        <f t="shared" si="7"/>
        <v>3.1497604162723292E-2</v>
      </c>
    </row>
    <row r="95" spans="1:3" x14ac:dyDescent="0.25">
      <c r="A95" t="s">
        <v>405</v>
      </c>
      <c r="B95" s="21" t="str">
        <f t="shared" si="6"/>
        <v>2016/12/15 03:33:31.394</v>
      </c>
      <c r="C95" s="21">
        <f t="shared" si="7"/>
        <v>4.6412023948505521E-6</v>
      </c>
    </row>
    <row r="96" spans="1:3" x14ac:dyDescent="0.25">
      <c r="A96" t="s">
        <v>406</v>
      </c>
      <c r="B96" s="21" t="str">
        <f t="shared" si="6"/>
        <v>2016/12/15 03:55:06.113</v>
      </c>
      <c r="C96" s="21">
        <f t="shared" si="7"/>
        <v>1.4985173613240477E-2</v>
      </c>
    </row>
    <row r="97" spans="1:3" x14ac:dyDescent="0.25">
      <c r="A97" t="s">
        <v>407</v>
      </c>
      <c r="B97" s="21" t="str">
        <f t="shared" si="6"/>
        <v>2016/12/15 03:55:06.458</v>
      </c>
      <c r="C97" s="21">
        <f t="shared" si="7"/>
        <v>3.9930528146214783E-6</v>
      </c>
    </row>
    <row r="98" spans="1:3" x14ac:dyDescent="0.25">
      <c r="A98" t="s">
        <v>408</v>
      </c>
      <c r="B98" s="21" t="str">
        <f t="shared" si="6"/>
        <v>2016/12/15 04:10:06.205</v>
      </c>
      <c r="C98" s="21">
        <f t="shared" si="7"/>
        <v>1.0413738425995689E-2</v>
      </c>
    </row>
    <row r="99" spans="1:3" x14ac:dyDescent="0.25">
      <c r="A99" t="s">
        <v>409</v>
      </c>
      <c r="B99" s="21" t="str">
        <f t="shared" si="6"/>
        <v>2016/12/15 04:10:06.428</v>
      </c>
      <c r="C99" s="21">
        <f t="shared" si="7"/>
        <v>2.5810222723521292E-6</v>
      </c>
    </row>
    <row r="100" spans="1:3" x14ac:dyDescent="0.25">
      <c r="A100" t="s">
        <v>410</v>
      </c>
      <c r="B100" s="21" t="str">
        <f t="shared" si="6"/>
        <v>2016/12/15 04:36:28.698</v>
      </c>
      <c r="C100" s="21">
        <f t="shared" si="7"/>
        <v>1.831331018183846E-2</v>
      </c>
    </row>
    <row r="101" spans="1:3" x14ac:dyDescent="0.25">
      <c r="A101" t="s">
        <v>411</v>
      </c>
      <c r="B101" s="21" t="str">
        <f t="shared" si="6"/>
        <v>2016/12/15 04:36:28.792</v>
      </c>
      <c r="C101" s="21">
        <f t="shared" si="7"/>
        <v>1.0879666660912335E-6</v>
      </c>
    </row>
    <row r="102" spans="1:3" x14ac:dyDescent="0.25">
      <c r="A102" t="s">
        <v>412</v>
      </c>
      <c r="B102" s="21" t="str">
        <f t="shared" si="6"/>
        <v>2016/12/15 04:36:28.835</v>
      </c>
      <c r="C102" s="21">
        <f t="shared" si="7"/>
        <v>4.9768277676776052E-7</v>
      </c>
    </row>
    <row r="103" spans="1:3" x14ac:dyDescent="0.25">
      <c r="A103" t="s">
        <v>413</v>
      </c>
      <c r="B103" s="21" t="str">
        <f t="shared" si="6"/>
        <v>2016/12/15 05:30:06.715</v>
      </c>
      <c r="C103" s="21">
        <f t="shared" si="7"/>
        <v>3.7243981481879018E-2</v>
      </c>
    </row>
    <row r="104" spans="1:3" x14ac:dyDescent="0.25">
      <c r="A104" t="s">
        <v>414</v>
      </c>
      <c r="B104" s="21" t="str">
        <f t="shared" si="6"/>
        <v>2016/12/15 05:30:06.807</v>
      </c>
      <c r="C104" s="21">
        <f t="shared" si="7"/>
        <v>1.0648145689629018E-6</v>
      </c>
    </row>
    <row r="105" spans="1:3" x14ac:dyDescent="0.25">
      <c r="A105" t="s">
        <v>415</v>
      </c>
      <c r="B105" s="21" t="str">
        <f t="shared" si="6"/>
        <v>2016/12/15 05:30:06.852</v>
      </c>
      <c r="C105" s="21">
        <f t="shared" si="7"/>
        <v>5.2083487389609218E-7</v>
      </c>
    </row>
    <row r="106" spans="1:3" x14ac:dyDescent="0.25">
      <c r="A106" t="s">
        <v>416</v>
      </c>
      <c r="B106" s="21" t="str">
        <f t="shared" si="6"/>
        <v>2016/12/15 06:29:05.594</v>
      </c>
      <c r="C106" s="21">
        <f t="shared" si="7"/>
        <v>4.0957662036817055E-2</v>
      </c>
    </row>
    <row r="107" spans="1:3" x14ac:dyDescent="0.25">
      <c r="A107" t="s">
        <v>417</v>
      </c>
      <c r="B107" s="21" t="str">
        <f t="shared" si="6"/>
        <v>2016/12/15 06:29:05.877</v>
      </c>
      <c r="C107" s="21">
        <f t="shared" si="7"/>
        <v>3.2754614949226379E-6</v>
      </c>
    </row>
    <row r="108" spans="1:3" x14ac:dyDescent="0.25">
      <c r="A108" t="s">
        <v>418</v>
      </c>
      <c r="B108" s="21" t="str">
        <f t="shared" si="6"/>
        <v>2016/12/15 06:29:06.133</v>
      </c>
      <c r="C108" s="21">
        <f t="shared" si="7"/>
        <v>2.962966391351074E-6</v>
      </c>
    </row>
    <row r="109" spans="1:3" x14ac:dyDescent="0.25">
      <c r="A109" t="s">
        <v>419</v>
      </c>
      <c r="B109" s="21" t="str">
        <f t="shared" si="6"/>
        <v>2016/12/15 08:03:31.211</v>
      </c>
      <c r="C109" s="21">
        <f t="shared" si="7"/>
        <v>6.5568032405280974E-2</v>
      </c>
    </row>
    <row r="110" spans="1:3" x14ac:dyDescent="0.25">
      <c r="A110" t="s">
        <v>420</v>
      </c>
      <c r="B110" s="21" t="str">
        <f t="shared" si="6"/>
        <v>2016/12/15 08:03:31.442</v>
      </c>
      <c r="C110" s="21">
        <f t="shared" si="7"/>
        <v>2.6736088329926133E-6</v>
      </c>
    </row>
    <row r="111" spans="1:3" x14ac:dyDescent="0.25">
      <c r="A111" t="s">
        <v>421</v>
      </c>
      <c r="B111" s="21" t="str">
        <f t="shared" si="6"/>
        <v>2016/12/15 08:03:32.067</v>
      </c>
      <c r="C111" s="21">
        <f t="shared" si="7"/>
        <v>7.2338007157668471E-6</v>
      </c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2016-12-20T16:59:34Z</dcterms:modified>
</cp:coreProperties>
</file>