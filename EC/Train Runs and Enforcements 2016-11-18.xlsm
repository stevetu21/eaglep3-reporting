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" l="1"/>
  <c r="L13" i="1"/>
  <c r="M13" i="1"/>
  <c r="N13" i="1" s="1"/>
  <c r="V13" i="1"/>
  <c r="Y13" i="1"/>
  <c r="Z13" i="1"/>
  <c r="AB13" i="1"/>
  <c r="AC13" i="1"/>
  <c r="AD13" i="1"/>
  <c r="AE13" i="1"/>
  <c r="AF13" i="1"/>
  <c r="AH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7" i="3" s="1"/>
  <c r="Y16" i="1"/>
  <c r="Z16" i="1"/>
  <c r="AB16" i="1"/>
  <c r="AC16" i="1"/>
  <c r="AD16" i="1"/>
  <c r="T16" i="1" s="1"/>
  <c r="AE16" i="1"/>
  <c r="R17" i="3" s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S12" i="3" s="1"/>
  <c r="Y26" i="1"/>
  <c r="Z26" i="1"/>
  <c r="AB26" i="1"/>
  <c r="AC26" i="1"/>
  <c r="AD26" i="1"/>
  <c r="T26" i="1" s="1"/>
  <c r="AE26" i="1"/>
  <c r="R12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P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S22" i="3" s="1"/>
  <c r="Y34" i="1"/>
  <c r="Z34" i="1"/>
  <c r="AB34" i="1"/>
  <c r="AC34" i="1"/>
  <c r="AD34" i="1"/>
  <c r="T34" i="1" s="1"/>
  <c r="AE34" i="1"/>
  <c r="R22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S23" i="3" s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S24" i="3" s="1"/>
  <c r="Y43" i="1"/>
  <c r="Z43" i="1"/>
  <c r="AB43" i="1"/>
  <c r="AC43" i="1"/>
  <c r="AD43" i="1"/>
  <c r="T43" i="1" s="1"/>
  <c r="AE43" i="1"/>
  <c r="R24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S13" i="3" s="1"/>
  <c r="Y52" i="1"/>
  <c r="Z52" i="1"/>
  <c r="AB52" i="1"/>
  <c r="AC52" i="1"/>
  <c r="AD52" i="1"/>
  <c r="AE52" i="1"/>
  <c r="R13" i="3" s="1"/>
  <c r="AF52" i="1"/>
  <c r="AH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P55" i="1" s="1"/>
  <c r="V55" i="1"/>
  <c r="S20" i="3" s="1"/>
  <c r="Y55" i="1"/>
  <c r="Z55" i="1"/>
  <c r="AB55" i="1"/>
  <c r="AC55" i="1"/>
  <c r="AD55" i="1"/>
  <c r="AG55" i="1" s="1"/>
  <c r="AE55" i="1"/>
  <c r="R20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P63" i="1" s="1"/>
  <c r="V63" i="1"/>
  <c r="S19" i="3" s="1"/>
  <c r="Y63" i="1"/>
  <c r="Z63" i="1"/>
  <c r="AB63" i="1"/>
  <c r="AC63" i="1"/>
  <c r="AD63" i="1"/>
  <c r="AE63" i="1"/>
  <c r="R19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K65" i="1"/>
  <c r="L65" i="1"/>
  <c r="M65" i="1"/>
  <c r="N65" i="1" s="1"/>
  <c r="V65" i="1"/>
  <c r="S7" i="3" s="1"/>
  <c r="Y65" i="1"/>
  <c r="Z65" i="1"/>
  <c r="AB65" i="1"/>
  <c r="AC65" i="1"/>
  <c r="AD65" i="1"/>
  <c r="AE65" i="1"/>
  <c r="R10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I67" i="1" s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I78" i="1" s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S25" i="3" s="1"/>
  <c r="Y83" i="1"/>
  <c r="Z83" i="1"/>
  <c r="AB83" i="1"/>
  <c r="AC83" i="1"/>
  <c r="AD83" i="1"/>
  <c r="T83" i="1" s="1"/>
  <c r="AE83" i="1"/>
  <c r="R25" i="3" s="1"/>
  <c r="AF83" i="1"/>
  <c r="AH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S8" i="3" s="1"/>
  <c r="Y88" i="1"/>
  <c r="Z88" i="1"/>
  <c r="AB88" i="1"/>
  <c r="AC88" i="1"/>
  <c r="AD88" i="1"/>
  <c r="T88" i="1" s="1"/>
  <c r="AE88" i="1"/>
  <c r="R8" i="3" s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S14" i="3" s="1"/>
  <c r="Y91" i="1"/>
  <c r="Z91" i="1"/>
  <c r="AB91" i="1"/>
  <c r="AC91" i="1"/>
  <c r="AD91" i="1"/>
  <c r="T91" i="1" s="1"/>
  <c r="AE91" i="1"/>
  <c r="R14" i="3" s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S27" i="3" s="1"/>
  <c r="Y99" i="1"/>
  <c r="Z99" i="1"/>
  <c r="AB99" i="1"/>
  <c r="AC99" i="1"/>
  <c r="AD99" i="1"/>
  <c r="T99" i="1" s="1"/>
  <c r="AE99" i="1"/>
  <c r="R27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S15" i="3" s="1"/>
  <c r="Y103" i="1"/>
  <c r="Z103" i="1"/>
  <c r="AB103" i="1"/>
  <c r="AC103" i="1"/>
  <c r="AD103" i="1"/>
  <c r="T103" i="1" s="1"/>
  <c r="AE103" i="1"/>
  <c r="R15" i="3" s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S16" i="3" s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T115" i="1"/>
  <c r="V115" i="1"/>
  <c r="Y115" i="1"/>
  <c r="Z115" i="1"/>
  <c r="AA115" i="1"/>
  <c r="AB115" i="1"/>
  <c r="AC115" i="1"/>
  <c r="AD115" i="1"/>
  <c r="AG115" i="1" s="1"/>
  <c r="AI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S21" i="3" s="1"/>
  <c r="Y128" i="1"/>
  <c r="Z128" i="1"/>
  <c r="AB128" i="1"/>
  <c r="AC128" i="1"/>
  <c r="AD128" i="1"/>
  <c r="AE128" i="1"/>
  <c r="R18" i="3" s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A148" i="1" s="1"/>
  <c r="W148" i="1" s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7" i="1"/>
  <c r="K206" i="1"/>
  <c r="L206" i="1"/>
  <c r="M206" i="1"/>
  <c r="N206" i="1" s="1"/>
  <c r="V206" i="1"/>
  <c r="S42" i="3" s="1"/>
  <c r="Y206" i="1"/>
  <c r="Z206" i="1"/>
  <c r="AB206" i="1"/>
  <c r="AC206" i="1"/>
  <c r="AD206" i="1"/>
  <c r="AE206" i="1"/>
  <c r="AF206" i="1"/>
  <c r="AH158" i="1"/>
  <c r="K207" i="1"/>
  <c r="L207" i="1"/>
  <c r="M207" i="1"/>
  <c r="N207" i="1" s="1"/>
  <c r="T207" i="1"/>
  <c r="V207" i="1"/>
  <c r="Y207" i="1"/>
  <c r="Z207" i="1"/>
  <c r="AB207" i="1"/>
  <c r="AC207" i="1"/>
  <c r="AD207" i="1"/>
  <c r="AE207" i="1"/>
  <c r="AF207" i="1"/>
  <c r="AH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K218" i="1"/>
  <c r="L218" i="1"/>
  <c r="M218" i="1"/>
  <c r="N218" i="1" s="1"/>
  <c r="V218" i="1"/>
  <c r="S48" i="3" s="1"/>
  <c r="Y218" i="1"/>
  <c r="Z218" i="1"/>
  <c r="AA218" i="1" s="1"/>
  <c r="W218" i="1" s="1"/>
  <c r="AB218" i="1"/>
  <c r="AC218" i="1"/>
  <c r="AD218" i="1"/>
  <c r="AG218" i="1" s="1"/>
  <c r="AE218" i="1"/>
  <c r="AF218" i="1"/>
  <c r="AH16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6" i="1"/>
  <c r="K221" i="1"/>
  <c r="L221" i="1"/>
  <c r="M221" i="1"/>
  <c r="N221" i="1" s="1"/>
  <c r="V221" i="1"/>
  <c r="S43" i="3" s="1"/>
  <c r="Y221" i="1"/>
  <c r="Z221" i="1"/>
  <c r="AB221" i="1"/>
  <c r="AC221" i="1"/>
  <c r="AD221" i="1"/>
  <c r="T221" i="1" s="1"/>
  <c r="AE221" i="1"/>
  <c r="R43" i="3" s="1"/>
  <c r="AF221" i="1"/>
  <c r="AH167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44" i="3" s="1"/>
  <c r="AF224" i="1"/>
  <c r="AH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R47" i="3" s="1"/>
  <c r="AF225" i="1"/>
  <c r="AH171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5" i="1"/>
  <c r="K159" i="1"/>
  <c r="L159" i="1"/>
  <c r="M159" i="1"/>
  <c r="N159" i="1" s="1"/>
  <c r="V159" i="1"/>
  <c r="S35" i="3" s="1"/>
  <c r="Y159" i="1"/>
  <c r="Z159" i="1"/>
  <c r="AB159" i="1"/>
  <c r="AC159" i="1"/>
  <c r="AD159" i="1"/>
  <c r="AE159" i="1"/>
  <c r="R35" i="3" s="1"/>
  <c r="AF159" i="1"/>
  <c r="AH176" i="1"/>
  <c r="K160" i="1"/>
  <c r="L160" i="1"/>
  <c r="M160" i="1"/>
  <c r="N160" i="1" s="1"/>
  <c r="V160" i="1"/>
  <c r="S32" i="3" s="1"/>
  <c r="Y160" i="1"/>
  <c r="Z160" i="1"/>
  <c r="AB160" i="1"/>
  <c r="AC160" i="1"/>
  <c r="AD160" i="1"/>
  <c r="T160" i="1" s="1"/>
  <c r="AE160" i="1"/>
  <c r="R32" i="3" s="1"/>
  <c r="AF160" i="1"/>
  <c r="AH17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8" i="1"/>
  <c r="K162" i="1"/>
  <c r="L162" i="1"/>
  <c r="M162" i="1"/>
  <c r="N162" i="1" s="1"/>
  <c r="V162" i="1"/>
  <c r="S29" i="3" s="1"/>
  <c r="Y162" i="1"/>
  <c r="AA162" i="1" s="1"/>
  <c r="Z162" i="1"/>
  <c r="AB162" i="1"/>
  <c r="AC162" i="1"/>
  <c r="AD162" i="1"/>
  <c r="AE162" i="1"/>
  <c r="R29" i="3" s="1"/>
  <c r="AF162" i="1"/>
  <c r="AH179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2" i="1"/>
  <c r="K166" i="1"/>
  <c r="L166" i="1"/>
  <c r="M166" i="1"/>
  <c r="N166" i="1" s="1"/>
  <c r="V166" i="1"/>
  <c r="S31" i="3" s="1"/>
  <c r="Y166" i="1"/>
  <c r="Z166" i="1"/>
  <c r="AB166" i="1"/>
  <c r="AC166" i="1"/>
  <c r="AD166" i="1"/>
  <c r="T166" i="1" s="1"/>
  <c r="AE166" i="1"/>
  <c r="R36" i="3" s="1"/>
  <c r="AF166" i="1"/>
  <c r="AH18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6" i="1"/>
  <c r="K170" i="1"/>
  <c r="L170" i="1"/>
  <c r="M170" i="1"/>
  <c r="N170" i="1" s="1"/>
  <c r="V170" i="1"/>
  <c r="S39" i="3" s="1"/>
  <c r="Y170" i="1"/>
  <c r="Z170" i="1"/>
  <c r="AB170" i="1"/>
  <c r="AC170" i="1"/>
  <c r="AD170" i="1"/>
  <c r="X170" i="1" s="1"/>
  <c r="AE170" i="1"/>
  <c r="R39" i="3" s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9" i="1"/>
  <c r="K173" i="1"/>
  <c r="L173" i="1"/>
  <c r="M173" i="1"/>
  <c r="N173" i="1" s="1"/>
  <c r="V173" i="1"/>
  <c r="S28" i="3" s="1"/>
  <c r="Y173" i="1"/>
  <c r="Z173" i="1"/>
  <c r="AB173" i="1"/>
  <c r="AC173" i="1"/>
  <c r="AD173" i="1"/>
  <c r="T173" i="1" s="1"/>
  <c r="AE173" i="1"/>
  <c r="R28" i="3" s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2" i="1"/>
  <c r="K176" i="1"/>
  <c r="L176" i="1"/>
  <c r="M176" i="1"/>
  <c r="N176" i="1" s="1"/>
  <c r="V176" i="1"/>
  <c r="S40" i="3" s="1"/>
  <c r="Y176" i="1"/>
  <c r="Z176" i="1"/>
  <c r="AB176" i="1"/>
  <c r="AC176" i="1"/>
  <c r="AD176" i="1"/>
  <c r="AE176" i="1"/>
  <c r="R40" i="3" s="1"/>
  <c r="AF176" i="1"/>
  <c r="AH193" i="1"/>
  <c r="K177" i="1"/>
  <c r="L177" i="1"/>
  <c r="M177" i="1"/>
  <c r="N177" i="1" s="1"/>
  <c r="V177" i="1"/>
  <c r="S30" i="3" s="1"/>
  <c r="Y177" i="1"/>
  <c r="Z177" i="1"/>
  <c r="AB177" i="1"/>
  <c r="AC177" i="1"/>
  <c r="AD177" i="1"/>
  <c r="AE177" i="1"/>
  <c r="R30" i="3" s="1"/>
  <c r="AF177" i="1"/>
  <c r="AG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7" i="1"/>
  <c r="K181" i="1"/>
  <c r="L181" i="1"/>
  <c r="M181" i="1"/>
  <c r="N181" i="1" s="1"/>
  <c r="V181" i="1"/>
  <c r="S33" i="3" s="1"/>
  <c r="Y181" i="1"/>
  <c r="Z181" i="1"/>
  <c r="AB181" i="1"/>
  <c r="AC181" i="1"/>
  <c r="AD181" i="1"/>
  <c r="AE181" i="1"/>
  <c r="AF181" i="1"/>
  <c r="AH19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0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05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L193" i="1"/>
  <c r="M193" i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V194" i="1"/>
  <c r="Y194" i="1"/>
  <c r="Z194" i="1"/>
  <c r="AB194" i="1"/>
  <c r="AC194" i="1"/>
  <c r="AD194" i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L197" i="1"/>
  <c r="M197" i="1"/>
  <c r="N197" i="1" s="1"/>
  <c r="V197" i="1"/>
  <c r="S41" i="3" s="1"/>
  <c r="Y197" i="1"/>
  <c r="Z197" i="1"/>
  <c r="AB197" i="1"/>
  <c r="AC197" i="1"/>
  <c r="AD197" i="1"/>
  <c r="T197" i="1" s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G202" i="1"/>
  <c r="AH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2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2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2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9" i="1"/>
  <c r="M48" i="3"/>
  <c r="N48" i="3"/>
  <c r="R48" i="3"/>
  <c r="U48" i="3"/>
  <c r="T48" i="3" s="1"/>
  <c r="V48" i="3"/>
  <c r="W48" i="3"/>
  <c r="X48" i="3"/>
  <c r="AC48" i="3"/>
  <c r="M17" i="3"/>
  <c r="N17" i="3"/>
  <c r="U17" i="3"/>
  <c r="T17" i="3" s="1"/>
  <c r="V17" i="3"/>
  <c r="W17" i="3"/>
  <c r="Y17" i="3" s="1"/>
  <c r="X17" i="3"/>
  <c r="AC17" i="3"/>
  <c r="M35" i="3"/>
  <c r="N35" i="3"/>
  <c r="U35" i="3"/>
  <c r="T35" i="3" s="1"/>
  <c r="V35" i="3"/>
  <c r="W35" i="3"/>
  <c r="X35" i="3"/>
  <c r="AC35" i="3"/>
  <c r="M32" i="3"/>
  <c r="N32" i="3"/>
  <c r="U32" i="3"/>
  <c r="T32" i="3" s="1"/>
  <c r="V32" i="3"/>
  <c r="W32" i="3"/>
  <c r="X32" i="3"/>
  <c r="AC32" i="3"/>
  <c r="M29" i="3"/>
  <c r="N29" i="3"/>
  <c r="U29" i="3"/>
  <c r="T29" i="3" s="1"/>
  <c r="V29" i="3"/>
  <c r="W29" i="3"/>
  <c r="X29" i="3"/>
  <c r="AC29" i="3"/>
  <c r="M12" i="3"/>
  <c r="N12" i="3"/>
  <c r="U12" i="3"/>
  <c r="T12" i="3" s="1"/>
  <c r="V12" i="3"/>
  <c r="W12" i="3"/>
  <c r="Y12" i="3" s="1"/>
  <c r="X12" i="3"/>
  <c r="AC12" i="3"/>
  <c r="M11" i="3"/>
  <c r="N11" i="3"/>
  <c r="U11" i="3"/>
  <c r="T11" i="3" s="1"/>
  <c r="V11" i="3"/>
  <c r="W11" i="3"/>
  <c r="X11" i="3"/>
  <c r="AC11" i="3"/>
  <c r="M23" i="3"/>
  <c r="N23" i="3"/>
  <c r="R23" i="3"/>
  <c r="U23" i="3"/>
  <c r="T23" i="3" s="1"/>
  <c r="V23" i="3"/>
  <c r="W23" i="3"/>
  <c r="X23" i="3"/>
  <c r="AC23" i="3"/>
  <c r="M31" i="3"/>
  <c r="N31" i="3"/>
  <c r="R31" i="3"/>
  <c r="U31" i="3"/>
  <c r="T31" i="3" s="1"/>
  <c r="V31" i="3"/>
  <c r="W31" i="3"/>
  <c r="X31" i="3"/>
  <c r="AC31" i="3"/>
  <c r="M36" i="3"/>
  <c r="N36" i="3"/>
  <c r="U36" i="3"/>
  <c r="T36" i="3" s="1"/>
  <c r="V36" i="3"/>
  <c r="W36" i="3"/>
  <c r="X36" i="3"/>
  <c r="AC36" i="3"/>
  <c r="M37" i="3"/>
  <c r="N37" i="3"/>
  <c r="R37" i="3"/>
  <c r="S37" i="3"/>
  <c r="U37" i="3"/>
  <c r="T37" i="3" s="1"/>
  <c r="V37" i="3"/>
  <c r="W37" i="3"/>
  <c r="X37" i="3"/>
  <c r="AC37" i="3"/>
  <c r="M38" i="3"/>
  <c r="N38" i="3"/>
  <c r="R38" i="3"/>
  <c r="S38" i="3"/>
  <c r="U38" i="3"/>
  <c r="T38" i="3" s="1"/>
  <c r="V38" i="3"/>
  <c r="W38" i="3"/>
  <c r="Y38" i="3" s="1"/>
  <c r="X38" i="3"/>
  <c r="AC38" i="3"/>
  <c r="M22" i="3"/>
  <c r="N22" i="3"/>
  <c r="U22" i="3"/>
  <c r="T22" i="3" s="1"/>
  <c r="V22" i="3"/>
  <c r="W22" i="3"/>
  <c r="X22" i="3"/>
  <c r="AC22" i="3"/>
  <c r="M24" i="3"/>
  <c r="N24" i="3"/>
  <c r="U24" i="3"/>
  <c r="T24" i="3" s="1"/>
  <c r="V24" i="3"/>
  <c r="W24" i="3"/>
  <c r="X24" i="3"/>
  <c r="AC24" i="3"/>
  <c r="M34" i="3"/>
  <c r="N34" i="3"/>
  <c r="R34" i="3"/>
  <c r="U34" i="3"/>
  <c r="T34" i="3" s="1"/>
  <c r="V34" i="3"/>
  <c r="W34" i="3"/>
  <c r="X34" i="3"/>
  <c r="AC34" i="3"/>
  <c r="M20" i="3"/>
  <c r="N20" i="3"/>
  <c r="U20" i="3"/>
  <c r="T20" i="3" s="1"/>
  <c r="V20" i="3"/>
  <c r="W20" i="3"/>
  <c r="X20" i="3"/>
  <c r="AC20" i="3"/>
  <c r="M39" i="3"/>
  <c r="N39" i="3"/>
  <c r="U39" i="3"/>
  <c r="T39" i="3" s="1"/>
  <c r="V39" i="3"/>
  <c r="W39" i="3"/>
  <c r="Y39" i="3" s="1"/>
  <c r="X39" i="3"/>
  <c r="AC39" i="3"/>
  <c r="M13" i="3"/>
  <c r="N13" i="3"/>
  <c r="U13" i="3"/>
  <c r="T13" i="3" s="1"/>
  <c r="V13" i="3"/>
  <c r="W13" i="3"/>
  <c r="X13" i="3"/>
  <c r="AC13" i="3"/>
  <c r="M19" i="3"/>
  <c r="N19" i="3"/>
  <c r="U19" i="3"/>
  <c r="T19" i="3" s="1"/>
  <c r="V19" i="3"/>
  <c r="W19" i="3"/>
  <c r="X19" i="3"/>
  <c r="AC19" i="3"/>
  <c r="M10" i="3"/>
  <c r="N10" i="3"/>
  <c r="U10" i="3"/>
  <c r="T10" i="3" s="1"/>
  <c r="V10" i="3"/>
  <c r="W10" i="3"/>
  <c r="X10" i="3"/>
  <c r="AC10" i="3"/>
  <c r="M28" i="3"/>
  <c r="N28" i="3"/>
  <c r="U28" i="3"/>
  <c r="T28" i="3" s="1"/>
  <c r="V28" i="3"/>
  <c r="W28" i="3"/>
  <c r="Y28" i="3" s="1"/>
  <c r="X28" i="3"/>
  <c r="AC28" i="3"/>
  <c r="M7" i="3"/>
  <c r="N7" i="3"/>
  <c r="U7" i="3"/>
  <c r="T7" i="3" s="1"/>
  <c r="V7" i="3"/>
  <c r="W7" i="3"/>
  <c r="X7" i="3"/>
  <c r="AC7" i="3"/>
  <c r="M43" i="3"/>
  <c r="N43" i="3"/>
  <c r="U43" i="3"/>
  <c r="T43" i="3" s="1"/>
  <c r="V43" i="3"/>
  <c r="W43" i="3"/>
  <c r="X43" i="3"/>
  <c r="AC43" i="3"/>
  <c r="M45" i="3"/>
  <c r="N45" i="3"/>
  <c r="U45" i="3"/>
  <c r="T45" i="3" s="1"/>
  <c r="V45" i="3"/>
  <c r="W45" i="3"/>
  <c r="X45" i="3"/>
  <c r="AC45" i="3"/>
  <c r="M46" i="3"/>
  <c r="N46" i="3"/>
  <c r="U46" i="3"/>
  <c r="T46" i="3" s="1"/>
  <c r="V46" i="3"/>
  <c r="W46" i="3"/>
  <c r="Y46" i="3" s="1"/>
  <c r="X46" i="3"/>
  <c r="AC46" i="3"/>
  <c r="M40" i="3"/>
  <c r="N40" i="3"/>
  <c r="U40" i="3"/>
  <c r="T40" i="3" s="1"/>
  <c r="V40" i="3"/>
  <c r="W40" i="3"/>
  <c r="X40" i="3"/>
  <c r="AC40" i="3"/>
  <c r="M30" i="3"/>
  <c r="N30" i="3"/>
  <c r="U30" i="3"/>
  <c r="T30" i="3" s="1"/>
  <c r="V30" i="3"/>
  <c r="W30" i="3"/>
  <c r="X30" i="3"/>
  <c r="M25" i="3"/>
  <c r="N25" i="3"/>
  <c r="U25" i="3"/>
  <c r="T25" i="3" s="1"/>
  <c r="V25" i="3"/>
  <c r="W25" i="3"/>
  <c r="Y25" i="3" s="1"/>
  <c r="X25" i="3"/>
  <c r="AC25" i="3"/>
  <c r="M26" i="3"/>
  <c r="N26" i="3"/>
  <c r="U26" i="3"/>
  <c r="T26" i="3" s="1"/>
  <c r="V26" i="3"/>
  <c r="W26" i="3"/>
  <c r="Y26" i="3" s="1"/>
  <c r="X26" i="3"/>
  <c r="AC26" i="3"/>
  <c r="M14" i="3"/>
  <c r="N14" i="3"/>
  <c r="U14" i="3"/>
  <c r="T14" i="3" s="1"/>
  <c r="V14" i="3"/>
  <c r="W14" i="3"/>
  <c r="X14" i="3"/>
  <c r="AC14" i="3"/>
  <c r="M8" i="3"/>
  <c r="N8" i="3"/>
  <c r="U8" i="3"/>
  <c r="T8" i="3" s="1"/>
  <c r="V8" i="3"/>
  <c r="W8" i="3"/>
  <c r="X8" i="3"/>
  <c r="AC8" i="3"/>
  <c r="M33" i="3"/>
  <c r="N33" i="3"/>
  <c r="R33" i="3"/>
  <c r="U33" i="3"/>
  <c r="T33" i="3" s="1"/>
  <c r="V33" i="3"/>
  <c r="W33" i="3"/>
  <c r="X33" i="3"/>
  <c r="AC33" i="3"/>
  <c r="M27" i="3"/>
  <c r="N27" i="3"/>
  <c r="U27" i="3"/>
  <c r="T27" i="3" s="1"/>
  <c r="V27" i="3"/>
  <c r="W27" i="3"/>
  <c r="Y27" i="3" s="1"/>
  <c r="X27" i="3"/>
  <c r="AC27" i="3"/>
  <c r="M15" i="3"/>
  <c r="N15" i="3"/>
  <c r="U15" i="3"/>
  <c r="T15" i="3" s="1"/>
  <c r="V15" i="3"/>
  <c r="W15" i="3"/>
  <c r="X15" i="3"/>
  <c r="AC15" i="3"/>
  <c r="M16" i="3"/>
  <c r="N16" i="3"/>
  <c r="R16" i="3"/>
  <c r="U16" i="3"/>
  <c r="T16" i="3" s="1"/>
  <c r="V16" i="3"/>
  <c r="W16" i="3"/>
  <c r="X16" i="3"/>
  <c r="AC16" i="3"/>
  <c r="M44" i="3"/>
  <c r="N44" i="3"/>
  <c r="S44" i="3"/>
  <c r="U44" i="3"/>
  <c r="T44" i="3" s="1"/>
  <c r="V44" i="3"/>
  <c r="W44" i="3"/>
  <c r="Y44" i="3" s="1"/>
  <c r="X44" i="3"/>
  <c r="AC44" i="3"/>
  <c r="M47" i="3"/>
  <c r="N47" i="3"/>
  <c r="S47" i="3"/>
  <c r="U47" i="3"/>
  <c r="T47" i="3" s="1"/>
  <c r="V47" i="3"/>
  <c r="W47" i="3"/>
  <c r="Y47" i="3" s="1"/>
  <c r="X47" i="3"/>
  <c r="AC47" i="3"/>
  <c r="M42" i="3"/>
  <c r="N42" i="3"/>
  <c r="R42" i="3"/>
  <c r="U42" i="3"/>
  <c r="T42" i="3" s="1"/>
  <c r="V42" i="3"/>
  <c r="W42" i="3"/>
  <c r="Y42" i="3" s="1"/>
  <c r="X42" i="3"/>
  <c r="AC42" i="3"/>
  <c r="M41" i="3"/>
  <c r="N41" i="3"/>
  <c r="R41" i="3"/>
  <c r="U41" i="3"/>
  <c r="T41" i="3" s="1"/>
  <c r="V41" i="3"/>
  <c r="W41" i="3"/>
  <c r="X41" i="3"/>
  <c r="M18" i="3"/>
  <c r="N18" i="3"/>
  <c r="U18" i="3"/>
  <c r="T18" i="3" s="1"/>
  <c r="V18" i="3"/>
  <c r="W18" i="3"/>
  <c r="X18" i="3"/>
  <c r="AC18" i="3"/>
  <c r="M21" i="3"/>
  <c r="N21" i="3"/>
  <c r="U21" i="3"/>
  <c r="T21" i="3" s="1"/>
  <c r="V21" i="3"/>
  <c r="W21" i="3"/>
  <c r="Y21" i="3" s="1"/>
  <c r="X21" i="3"/>
  <c r="AC21" i="3"/>
  <c r="Y45" i="3" l="1"/>
  <c r="Y10" i="3"/>
  <c r="Y20" i="3"/>
  <c r="Y29" i="3"/>
  <c r="Y48" i="3"/>
  <c r="AC30" i="3"/>
  <c r="Y40" i="3"/>
  <c r="Y7" i="3"/>
  <c r="Y13" i="3"/>
  <c r="Y22" i="3"/>
  <c r="Y31" i="3"/>
  <c r="Y23" i="3"/>
  <c r="Y11" i="3"/>
  <c r="Y35" i="3"/>
  <c r="Y33" i="3"/>
  <c r="Y24" i="3"/>
  <c r="Y36" i="3"/>
  <c r="Y32" i="3"/>
  <c r="S36" i="3"/>
  <c r="S11" i="3"/>
  <c r="AG165" i="1"/>
  <c r="R21" i="3"/>
  <c r="S18" i="3"/>
  <c r="AG221" i="1"/>
  <c r="P193" i="1"/>
  <c r="AI221" i="1"/>
  <c r="AI105" i="1"/>
  <c r="S26" i="3"/>
  <c r="T107" i="1"/>
  <c r="R7" i="3"/>
  <c r="S10" i="3"/>
  <c r="AG76" i="1"/>
  <c r="X76" i="1"/>
  <c r="AG74" i="1"/>
  <c r="AI74" i="1" s="1"/>
  <c r="X74" i="1"/>
  <c r="AA42" i="1"/>
  <c r="AA32" i="1"/>
  <c r="AA31" i="1"/>
  <c r="AA28" i="1"/>
  <c r="R26" i="3"/>
  <c r="AA203" i="1"/>
  <c r="W203" i="1" s="1"/>
  <c r="T182" i="1"/>
  <c r="U182" i="1" s="1"/>
  <c r="S182" i="1" s="1"/>
  <c r="AA171" i="1"/>
  <c r="AG146" i="1"/>
  <c r="AI123" i="1"/>
  <c r="AA112" i="1"/>
  <c r="AA47" i="1"/>
  <c r="AI45" i="1"/>
  <c r="AA202" i="1"/>
  <c r="AA198" i="1"/>
  <c r="AA194" i="1"/>
  <c r="AA229" i="1"/>
  <c r="AG210" i="1"/>
  <c r="AG134" i="1"/>
  <c r="U134" i="1" s="1"/>
  <c r="S134" i="1" s="1"/>
  <c r="T65" i="1"/>
  <c r="X65" i="1"/>
  <c r="AG63" i="1"/>
  <c r="AI63" i="1" s="1"/>
  <c r="X63" i="1"/>
  <c r="AG27" i="1"/>
  <c r="AI27" i="1" s="1"/>
  <c r="X27" i="1"/>
  <c r="T118" i="1"/>
  <c r="T110" i="1"/>
  <c r="U110" i="1" s="1"/>
  <c r="S110" i="1" s="1"/>
  <c r="AA71" i="1"/>
  <c r="W71" i="1" s="1"/>
  <c r="AA43" i="1"/>
  <c r="T42" i="1"/>
  <c r="U42" i="1" s="1"/>
  <c r="S42" i="1" s="1"/>
  <c r="AA26" i="1"/>
  <c r="T18" i="1"/>
  <c r="X131" i="1"/>
  <c r="W115" i="1"/>
  <c r="AI56" i="1"/>
  <c r="AG139" i="1"/>
  <c r="AA136" i="1"/>
  <c r="AG131" i="1"/>
  <c r="U131" i="1" s="1"/>
  <c r="S131" i="1" s="1"/>
  <c r="AG111" i="1"/>
  <c r="AI111" i="1" s="1"/>
  <c r="AG62" i="1"/>
  <c r="AG56" i="1"/>
  <c r="X56" i="1"/>
  <c r="AG47" i="1"/>
  <c r="AI47" i="1" s="1"/>
  <c r="S45" i="3"/>
  <c r="S34" i="3"/>
  <c r="AA217" i="1"/>
  <c r="X182" i="1"/>
  <c r="AA179" i="1"/>
  <c r="AA166" i="1"/>
  <c r="AA165" i="1"/>
  <c r="W165" i="1" s="1"/>
  <c r="AA164" i="1"/>
  <c r="AG151" i="1"/>
  <c r="X136" i="1"/>
  <c r="X84" i="1"/>
  <c r="AG69" i="1"/>
  <c r="U69" i="1" s="1"/>
  <c r="S69" i="1" s="1"/>
  <c r="T55" i="1"/>
  <c r="U55" i="1" s="1"/>
  <c r="S55" i="1" s="1"/>
  <c r="X55" i="1"/>
  <c r="AA27" i="1"/>
  <c r="W27" i="1" s="1"/>
  <c r="AG23" i="1"/>
  <c r="AI23" i="1" s="1"/>
  <c r="R11" i="3"/>
  <c r="AG198" i="1"/>
  <c r="AI198" i="1" s="1"/>
  <c r="AA178" i="1"/>
  <c r="AG166" i="1"/>
  <c r="AI166" i="1" s="1"/>
  <c r="X166" i="1"/>
  <c r="AA222" i="1"/>
  <c r="W222" i="1" s="1"/>
  <c r="X140" i="1"/>
  <c r="AA127" i="1"/>
  <c r="AG119" i="1"/>
  <c r="X119" i="1"/>
  <c r="AA108" i="1"/>
  <c r="AA103" i="1"/>
  <c r="AG82" i="1"/>
  <c r="AG66" i="1"/>
  <c r="AI66" i="1" s="1"/>
  <c r="AG53" i="1"/>
  <c r="AI53" i="1" s="1"/>
  <c r="R46" i="3"/>
  <c r="AG213" i="1"/>
  <c r="AG193" i="1"/>
  <c r="U193" i="1" s="1"/>
  <c r="S193" i="1" s="1"/>
  <c r="AG185" i="1"/>
  <c r="U185" i="1" s="1"/>
  <c r="S185" i="1" s="1"/>
  <c r="X185" i="1"/>
  <c r="AG178" i="1"/>
  <c r="U178" i="1" s="1"/>
  <c r="S178" i="1" s="1"/>
  <c r="X178" i="1"/>
  <c r="AA177" i="1"/>
  <c r="AG174" i="1"/>
  <c r="U174" i="1" s="1"/>
  <c r="S174" i="1" s="1"/>
  <c r="AA169" i="1"/>
  <c r="AA168" i="1"/>
  <c r="AA159" i="1"/>
  <c r="AG225" i="1"/>
  <c r="AI225" i="1" s="1"/>
  <c r="AA221" i="1"/>
  <c r="W221" i="1" s="1"/>
  <c r="AA211" i="1"/>
  <c r="AG155" i="1"/>
  <c r="U155" i="1" s="1"/>
  <c r="S155" i="1" s="1"/>
  <c r="AA151" i="1"/>
  <c r="W151" i="1" s="1"/>
  <c r="AA147" i="1"/>
  <c r="AG135" i="1"/>
  <c r="U135" i="1" s="1"/>
  <c r="S135" i="1" s="1"/>
  <c r="AG127" i="1"/>
  <c r="U127" i="1" s="1"/>
  <c r="S127" i="1" s="1"/>
  <c r="AA111" i="1"/>
  <c r="W111" i="1" s="1"/>
  <c r="AA110" i="1"/>
  <c r="T87" i="1"/>
  <c r="U87" i="1" s="1"/>
  <c r="S87" i="1" s="1"/>
  <c r="AA77" i="1"/>
  <c r="AA76" i="1"/>
  <c r="W76" i="1" s="1"/>
  <c r="AA75" i="1"/>
  <c r="AG58" i="1"/>
  <c r="AI58" i="1" s="1"/>
  <c r="AG43" i="1"/>
  <c r="AI43" i="1" s="1"/>
  <c r="X43" i="1"/>
  <c r="W42" i="1"/>
  <c r="AG26" i="1"/>
  <c r="AG216" i="1"/>
  <c r="AI216" i="1" s="1"/>
  <c r="AG228" i="1"/>
  <c r="AI228" i="1" s="1"/>
  <c r="AA152" i="1"/>
  <c r="AG130" i="1"/>
  <c r="AI130" i="1" s="1"/>
  <c r="AA63" i="1"/>
  <c r="W63" i="1" s="1"/>
  <c r="R45" i="3"/>
  <c r="AA195" i="1"/>
  <c r="W195" i="1" s="1"/>
  <c r="X187" i="1"/>
  <c r="AA175" i="1"/>
  <c r="W175" i="1" s="1"/>
  <c r="AA226" i="1"/>
  <c r="W226" i="1" s="1"/>
  <c r="AA156" i="1"/>
  <c r="AA140" i="1"/>
  <c r="W140" i="1" s="1"/>
  <c r="AA119" i="1"/>
  <c r="W119" i="1" s="1"/>
  <c r="AA114" i="1"/>
  <c r="AA113" i="1"/>
  <c r="X106" i="1"/>
  <c r="AA105" i="1"/>
  <c r="W105" i="1" s="1"/>
  <c r="AA104" i="1"/>
  <c r="W104" i="1" s="1"/>
  <c r="AA96" i="1"/>
  <c r="AA94" i="1"/>
  <c r="W94" i="1" s="1"/>
  <c r="AA93" i="1"/>
  <c r="AA74" i="1"/>
  <c r="W74" i="1" s="1"/>
  <c r="AA44" i="1"/>
  <c r="AA16" i="1"/>
  <c r="AA15" i="1"/>
  <c r="AA13" i="1"/>
  <c r="S46" i="3"/>
  <c r="AA214" i="1"/>
  <c r="W214" i="1" s="1"/>
  <c r="X202" i="1"/>
  <c r="AA201" i="1"/>
  <c r="AA200" i="1"/>
  <c r="AA199" i="1"/>
  <c r="W199" i="1" s="1"/>
  <c r="X198" i="1"/>
  <c r="AA184" i="1"/>
  <c r="X174" i="1"/>
  <c r="AA173" i="1"/>
  <c r="AA172" i="1"/>
  <c r="X225" i="1"/>
  <c r="AA224" i="1"/>
  <c r="AA223" i="1"/>
  <c r="X221" i="1"/>
  <c r="AA220" i="1"/>
  <c r="AA219" i="1"/>
  <c r="AA208" i="1"/>
  <c r="X155" i="1"/>
  <c r="AA154" i="1"/>
  <c r="AA153" i="1"/>
  <c r="X151" i="1"/>
  <c r="AA150" i="1"/>
  <c r="AA149" i="1"/>
  <c r="AA144" i="1"/>
  <c r="W144" i="1" s="1"/>
  <c r="AA132" i="1"/>
  <c r="AA124" i="1"/>
  <c r="U107" i="1"/>
  <c r="S107" i="1" s="1"/>
  <c r="AA106" i="1"/>
  <c r="T106" i="1"/>
  <c r="U106" i="1" s="1"/>
  <c r="S106" i="1" s="1"/>
  <c r="AA72" i="1"/>
  <c r="AA67" i="1"/>
  <c r="W67" i="1" s="1"/>
  <c r="X66" i="1"/>
  <c r="AA60" i="1"/>
  <c r="AA56" i="1"/>
  <c r="W56" i="1" s="1"/>
  <c r="U26" i="1"/>
  <c r="S26" i="1" s="1"/>
  <c r="X203" i="1"/>
  <c r="AG201" i="1"/>
  <c r="U201" i="1" s="1"/>
  <c r="S201" i="1" s="1"/>
  <c r="X199" i="1"/>
  <c r="AG197" i="1"/>
  <c r="AI197" i="1" s="1"/>
  <c r="AG190" i="1"/>
  <c r="AG229" i="1"/>
  <c r="X229" i="1"/>
  <c r="AA228" i="1"/>
  <c r="AA186" i="1"/>
  <c r="X175" i="1"/>
  <c r="AA167" i="1"/>
  <c r="AA163" i="1"/>
  <c r="W163" i="1" s="1"/>
  <c r="AG161" i="1"/>
  <c r="U161" i="1" s="1"/>
  <c r="S161" i="1" s="1"/>
  <c r="X226" i="1"/>
  <c r="X222" i="1"/>
  <c r="AG220" i="1"/>
  <c r="AI220" i="1" s="1"/>
  <c r="X156" i="1"/>
  <c r="X152" i="1"/>
  <c r="AG150" i="1"/>
  <c r="W150" i="1" s="1"/>
  <c r="X143" i="1"/>
  <c r="AA135" i="1"/>
  <c r="AA131" i="1"/>
  <c r="T130" i="1"/>
  <c r="T126" i="1"/>
  <c r="U126" i="1" s="1"/>
  <c r="S126" i="1" s="1"/>
  <c r="AA123" i="1"/>
  <c r="W123" i="1" s="1"/>
  <c r="AA121" i="1"/>
  <c r="AA120" i="1"/>
  <c r="U118" i="1"/>
  <c r="S118" i="1" s="1"/>
  <c r="AA117" i="1"/>
  <c r="AA116" i="1"/>
  <c r="X111" i="1"/>
  <c r="W110" i="1"/>
  <c r="AG106" i="1"/>
  <c r="AI106" i="1" s="1"/>
  <c r="AA83" i="1"/>
  <c r="AG80" i="1"/>
  <c r="AI80" i="1" s="1"/>
  <c r="AG77" i="1"/>
  <c r="W77" i="1" s="1"/>
  <c r="X77" i="1"/>
  <c r="AG73" i="1"/>
  <c r="U73" i="1" s="1"/>
  <c r="S73" i="1" s="1"/>
  <c r="AI71" i="1"/>
  <c r="X67" i="1"/>
  <c r="AG65" i="1"/>
  <c r="AA59" i="1"/>
  <c r="AG51" i="1"/>
  <c r="U51" i="1" s="1"/>
  <c r="AA49" i="1"/>
  <c r="W49" i="1" s="1"/>
  <c r="AA48" i="1"/>
  <c r="W48" i="1" s="1"/>
  <c r="AG34" i="1"/>
  <c r="AI34" i="1" s="1"/>
  <c r="X217" i="1"/>
  <c r="X194" i="1"/>
  <c r="AA191" i="1"/>
  <c r="W179" i="1"/>
  <c r="T170" i="1"/>
  <c r="X167" i="1"/>
  <c r="X147" i="1"/>
  <c r="X139" i="1"/>
  <c r="AA138" i="1"/>
  <c r="AA137" i="1"/>
  <c r="X135" i="1"/>
  <c r="AA134" i="1"/>
  <c r="AA133" i="1"/>
  <c r="AA130" i="1"/>
  <c r="X107" i="1"/>
  <c r="AA107" i="1"/>
  <c r="W107" i="1" s="1"/>
  <c r="AA95" i="1"/>
  <c r="AA88" i="1"/>
  <c r="AA84" i="1"/>
  <c r="W84" i="1" s="1"/>
  <c r="AG83" i="1"/>
  <c r="U83" i="1" s="1"/>
  <c r="S83" i="1" s="1"/>
  <c r="X83" i="1"/>
  <c r="AA81" i="1"/>
  <c r="AA70" i="1"/>
  <c r="AA66" i="1"/>
  <c r="AG59" i="1"/>
  <c r="U59" i="1" s="1"/>
  <c r="S59" i="1" s="1"/>
  <c r="X59" i="1"/>
  <c r="AA57" i="1"/>
  <c r="AA53" i="1"/>
  <c r="AA39" i="1"/>
  <c r="W39" i="1" s="1"/>
  <c r="AA36" i="1"/>
  <c r="AA35" i="1"/>
  <c r="AA20" i="1"/>
  <c r="AA19" i="1"/>
  <c r="T217" i="1"/>
  <c r="AA212" i="1"/>
  <c r="AA204" i="1"/>
  <c r="T195" i="1"/>
  <c r="U195" i="1" s="1"/>
  <c r="S195" i="1" s="1"/>
  <c r="T194" i="1"/>
  <c r="AA189" i="1"/>
  <c r="AA188" i="1"/>
  <c r="AA181" i="1"/>
  <c r="AA180" i="1"/>
  <c r="W180" i="1" s="1"/>
  <c r="AG171" i="1"/>
  <c r="U171" i="1" s="1"/>
  <c r="X171" i="1"/>
  <c r="T169" i="1"/>
  <c r="AG169" i="1"/>
  <c r="W169" i="1" s="1"/>
  <c r="T157" i="1"/>
  <c r="AG157" i="1"/>
  <c r="T206" i="1"/>
  <c r="AG206" i="1"/>
  <c r="AG159" i="1"/>
  <c r="X159" i="1"/>
  <c r="AG208" i="1"/>
  <c r="AI208" i="1" s="1"/>
  <c r="X208" i="1"/>
  <c r="T191" i="1"/>
  <c r="U191" i="1" s="1"/>
  <c r="S191" i="1" s="1"/>
  <c r="AG217" i="1"/>
  <c r="W217" i="1" s="1"/>
  <c r="AA213" i="1"/>
  <c r="AG212" i="1"/>
  <c r="U212" i="1" s="1"/>
  <c r="S212" i="1" s="1"/>
  <c r="T203" i="1"/>
  <c r="U203" i="1" s="1"/>
  <c r="S203" i="1" s="1"/>
  <c r="AA197" i="1"/>
  <c r="AA196" i="1"/>
  <c r="X195" i="1"/>
  <c r="AG194" i="1"/>
  <c r="AA190" i="1"/>
  <c r="AG189" i="1"/>
  <c r="U189" i="1" s="1"/>
  <c r="S189" i="1" s="1"/>
  <c r="T187" i="1"/>
  <c r="U187" i="1" s="1"/>
  <c r="S187" i="1" s="1"/>
  <c r="X179" i="1"/>
  <c r="T214" i="1"/>
  <c r="U214" i="1" s="1"/>
  <c r="S214" i="1" s="1"/>
  <c r="T181" i="1"/>
  <c r="AG181" i="1"/>
  <c r="AA216" i="1"/>
  <c r="AA215" i="1"/>
  <c r="X214" i="1"/>
  <c r="X213" i="1"/>
  <c r="W202" i="1"/>
  <c r="T199" i="1"/>
  <c r="U199" i="1" s="1"/>
  <c r="S199" i="1" s="1"/>
  <c r="AA193" i="1"/>
  <c r="AA192" i="1"/>
  <c r="X191" i="1"/>
  <c r="X190" i="1"/>
  <c r="T183" i="1"/>
  <c r="U183" i="1" s="1"/>
  <c r="S183" i="1" s="1"/>
  <c r="X162" i="1"/>
  <c r="AG162" i="1"/>
  <c r="W162" i="1" s="1"/>
  <c r="T162" i="1"/>
  <c r="T159" i="1"/>
  <c r="X158" i="1"/>
  <c r="X211" i="1"/>
  <c r="AG211" i="1"/>
  <c r="T211" i="1"/>
  <c r="X207" i="1"/>
  <c r="T163" i="1"/>
  <c r="U163" i="1" s="1"/>
  <c r="S163" i="1" s="1"/>
  <c r="AA157" i="1"/>
  <c r="AA227" i="1"/>
  <c r="T218" i="1"/>
  <c r="U218" i="1" s="1"/>
  <c r="S218" i="1" s="1"/>
  <c r="AA206" i="1"/>
  <c r="AA205" i="1"/>
  <c r="T148" i="1"/>
  <c r="U148" i="1" s="1"/>
  <c r="S148" i="1" s="1"/>
  <c r="T147" i="1"/>
  <c r="AA142" i="1"/>
  <c r="AA141" i="1"/>
  <c r="AG132" i="1"/>
  <c r="AI132" i="1" s="1"/>
  <c r="T132" i="1"/>
  <c r="X122" i="1"/>
  <c r="AG122" i="1"/>
  <c r="U119" i="1"/>
  <c r="S119" i="1" s="1"/>
  <c r="AI119" i="1"/>
  <c r="AG100" i="1"/>
  <c r="AI100" i="1" s="1"/>
  <c r="X100" i="1"/>
  <c r="X95" i="1"/>
  <c r="AG95" i="1"/>
  <c r="AG92" i="1"/>
  <c r="AI92" i="1" s="1"/>
  <c r="X92" i="1"/>
  <c r="AI39" i="1"/>
  <c r="T38" i="1"/>
  <c r="AG38" i="1"/>
  <c r="X35" i="1"/>
  <c r="AG35" i="1"/>
  <c r="X30" i="1"/>
  <c r="AG30" i="1"/>
  <c r="T144" i="1"/>
  <c r="T123" i="1"/>
  <c r="U123" i="1" s="1"/>
  <c r="S123" i="1" s="1"/>
  <c r="AG103" i="1"/>
  <c r="T102" i="1"/>
  <c r="X102" i="1"/>
  <c r="AG102" i="1"/>
  <c r="AI102" i="1" s="1"/>
  <c r="AG96" i="1"/>
  <c r="AI96" i="1" s="1"/>
  <c r="X96" i="1"/>
  <c r="AG60" i="1"/>
  <c r="X60" i="1"/>
  <c r="AA23" i="1"/>
  <c r="W23" i="1" s="1"/>
  <c r="T175" i="1"/>
  <c r="U175" i="1" s="1"/>
  <c r="S175" i="1" s="1"/>
  <c r="AA170" i="1"/>
  <c r="X163" i="1"/>
  <c r="AA158" i="1"/>
  <c r="T226" i="1"/>
  <c r="U226" i="1" s="1"/>
  <c r="S226" i="1" s="1"/>
  <c r="X218" i="1"/>
  <c r="AA207" i="1"/>
  <c r="T156" i="1"/>
  <c r="U156" i="1" s="1"/>
  <c r="S156" i="1" s="1"/>
  <c r="X148" i="1"/>
  <c r="AG147" i="1"/>
  <c r="AI147" i="1" s="1"/>
  <c r="AA143" i="1"/>
  <c r="AG142" i="1"/>
  <c r="T140" i="1"/>
  <c r="X132" i="1"/>
  <c r="T122" i="1"/>
  <c r="X115" i="1"/>
  <c r="AG114" i="1"/>
  <c r="AI107" i="1"/>
  <c r="AI104" i="1"/>
  <c r="AA99" i="1"/>
  <c r="T92" i="1"/>
  <c r="X91" i="1"/>
  <c r="AG91" i="1"/>
  <c r="U91" i="1" s="1"/>
  <c r="S91" i="1" s="1"/>
  <c r="AA91" i="1"/>
  <c r="X70" i="1"/>
  <c r="AG70" i="1"/>
  <c r="AI70" i="1" s="1"/>
  <c r="T70" i="1"/>
  <c r="X52" i="1"/>
  <c r="AG52" i="1"/>
  <c r="T52" i="1"/>
  <c r="AI48" i="1"/>
  <c r="T35" i="1"/>
  <c r="T30" i="1"/>
  <c r="X18" i="1"/>
  <c r="AG17" i="1"/>
  <c r="AI17" i="1" s="1"/>
  <c r="X15" i="1"/>
  <c r="AG15" i="1"/>
  <c r="AI15" i="1" s="1"/>
  <c r="AA183" i="1"/>
  <c r="W183" i="1" s="1"/>
  <c r="AA182" i="1"/>
  <c r="W182" i="1" s="1"/>
  <c r="T179" i="1"/>
  <c r="U179" i="1" s="1"/>
  <c r="S179" i="1" s="1"/>
  <c r="AA176" i="1"/>
  <c r="AA174" i="1"/>
  <c r="AG173" i="1"/>
  <c r="U173" i="1" s="1"/>
  <c r="AG170" i="1"/>
  <c r="T167" i="1"/>
  <c r="U167" i="1" s="1"/>
  <c r="S167" i="1" s="1"/>
  <c r="AA161" i="1"/>
  <c r="W161" i="1" s="1"/>
  <c r="AA160" i="1"/>
  <c r="AG158" i="1"/>
  <c r="AI158" i="1" s="1"/>
  <c r="AA225" i="1"/>
  <c r="AG224" i="1"/>
  <c r="T222" i="1"/>
  <c r="U222" i="1" s="1"/>
  <c r="S222" i="1" s="1"/>
  <c r="AA210" i="1"/>
  <c r="W210" i="1" s="1"/>
  <c r="AA209" i="1"/>
  <c r="AG207" i="1"/>
  <c r="U207" i="1" s="1"/>
  <c r="S207" i="1" s="1"/>
  <c r="AA155" i="1"/>
  <c r="AG154" i="1"/>
  <c r="U154" i="1" s="1"/>
  <c r="S154" i="1" s="1"/>
  <c r="T152" i="1"/>
  <c r="AA146" i="1"/>
  <c r="W146" i="1" s="1"/>
  <c r="AA145" i="1"/>
  <c r="X144" i="1"/>
  <c r="AG143" i="1"/>
  <c r="U143" i="1" s="1"/>
  <c r="S143" i="1" s="1"/>
  <c r="AA139" i="1"/>
  <c r="W139" i="1" s="1"/>
  <c r="AG138" i="1"/>
  <c r="AI138" i="1" s="1"/>
  <c r="T136" i="1"/>
  <c r="U136" i="1" s="1"/>
  <c r="S136" i="1" s="1"/>
  <c r="AA129" i="1"/>
  <c r="AA128" i="1"/>
  <c r="X127" i="1"/>
  <c r="X123" i="1"/>
  <c r="AA122" i="1"/>
  <c r="AG121" i="1"/>
  <c r="U121" i="1" s="1"/>
  <c r="S121" i="1" s="1"/>
  <c r="U115" i="1"/>
  <c r="S115" i="1" s="1"/>
  <c r="AA100" i="1"/>
  <c r="AG99" i="1"/>
  <c r="U99" i="1" s="1"/>
  <c r="S99" i="1" s="1"/>
  <c r="T95" i="1"/>
  <c r="AA92" i="1"/>
  <c r="AA90" i="1"/>
  <c r="W90" i="1" s="1"/>
  <c r="AG88" i="1"/>
  <c r="AI88" i="1" s="1"/>
  <c r="X88" i="1"/>
  <c r="AG81" i="1"/>
  <c r="T81" i="1"/>
  <c r="T60" i="1"/>
  <c r="X39" i="1"/>
  <c r="W35" i="1"/>
  <c r="X34" i="1"/>
  <c r="AG33" i="1"/>
  <c r="AI33" i="1" s="1"/>
  <c r="X31" i="1"/>
  <c r="AG31" i="1"/>
  <c r="T22" i="1"/>
  <c r="AG22" i="1"/>
  <c r="X19" i="1"/>
  <c r="AG19" i="1"/>
  <c r="T14" i="1"/>
  <c r="AG14" i="1"/>
  <c r="AI14" i="1" s="1"/>
  <c r="AA85" i="1"/>
  <c r="X81" i="1"/>
  <c r="T71" i="1"/>
  <c r="U71" i="1" s="1"/>
  <c r="S71" i="1" s="1"/>
  <c r="AA68" i="1"/>
  <c r="T56" i="1"/>
  <c r="U56" i="1" s="1"/>
  <c r="S56" i="1" s="1"/>
  <c r="AA54" i="1"/>
  <c r="T53" i="1"/>
  <c r="AA52" i="1"/>
  <c r="W52" i="1" s="1"/>
  <c r="AA50" i="1"/>
  <c r="AA45" i="1"/>
  <c r="W45" i="1" s="1"/>
  <c r="AA40" i="1"/>
  <c r="T39" i="1"/>
  <c r="U39" i="1" s="1"/>
  <c r="S39" i="1" s="1"/>
  <c r="AA30" i="1"/>
  <c r="AA29" i="1"/>
  <c r="W29" i="1" s="1"/>
  <c r="AA24" i="1"/>
  <c r="T23" i="1"/>
  <c r="AA118" i="1"/>
  <c r="W118" i="1" s="1"/>
  <c r="AA109" i="1"/>
  <c r="W109" i="1" s="1"/>
  <c r="AA101" i="1"/>
  <c r="W101" i="1" s="1"/>
  <c r="AA87" i="1"/>
  <c r="W87" i="1" s="1"/>
  <c r="T78" i="1"/>
  <c r="T74" i="1"/>
  <c r="X71" i="1"/>
  <c r="AA65" i="1"/>
  <c r="T63" i="1"/>
  <c r="U63" i="1" s="1"/>
  <c r="S63" i="1" s="1"/>
  <c r="AA61" i="1"/>
  <c r="AA86" i="1"/>
  <c r="T84" i="1"/>
  <c r="U82" i="1"/>
  <c r="S82" i="1" s="1"/>
  <c r="AA78" i="1"/>
  <c r="W78" i="1" s="1"/>
  <c r="AA69" i="1"/>
  <c r="T67" i="1"/>
  <c r="U67" i="1" s="1"/>
  <c r="S67" i="1" s="1"/>
  <c r="AA64" i="1"/>
  <c r="AA55" i="1"/>
  <c r="W55" i="1" s="1"/>
  <c r="AA51" i="1"/>
  <c r="AA41" i="1"/>
  <c r="AA25" i="1"/>
  <c r="AI226" i="1"/>
  <c r="AI210" i="1"/>
  <c r="AI222" i="1"/>
  <c r="AI218" i="1"/>
  <c r="AI214" i="1"/>
  <c r="W191" i="1"/>
  <c r="U213" i="1"/>
  <c r="S213" i="1" s="1"/>
  <c r="U202" i="1"/>
  <c r="S202" i="1" s="1"/>
  <c r="U190" i="1"/>
  <c r="S190" i="1" s="1"/>
  <c r="X181" i="1"/>
  <c r="W167" i="1"/>
  <c r="AI156" i="1"/>
  <c r="W152" i="1"/>
  <c r="U140" i="1"/>
  <c r="S140" i="1" s="1"/>
  <c r="AI140" i="1"/>
  <c r="W136" i="1"/>
  <c r="U216" i="1"/>
  <c r="S216" i="1" s="1"/>
  <c r="U228" i="1"/>
  <c r="S228" i="1" s="1"/>
  <c r="AI202" i="1"/>
  <c r="X212" i="1"/>
  <c r="AG204" i="1"/>
  <c r="AI204" i="1" s="1"/>
  <c r="X201" i="1"/>
  <c r="AG200" i="1"/>
  <c r="AI200" i="1" s="1"/>
  <c r="X197" i="1"/>
  <c r="AG196" i="1"/>
  <c r="AI196" i="1" s="1"/>
  <c r="AI213" i="1"/>
  <c r="X193" i="1"/>
  <c r="AG192" i="1"/>
  <c r="AI192" i="1" s="1"/>
  <c r="X189" i="1"/>
  <c r="AG188" i="1"/>
  <c r="AI188" i="1" s="1"/>
  <c r="X228" i="1"/>
  <c r="AG186" i="1"/>
  <c r="AI186" i="1" s="1"/>
  <c r="T184" i="1"/>
  <c r="X184" i="1"/>
  <c r="X183" i="1"/>
  <c r="AI195" i="1"/>
  <c r="W177" i="1"/>
  <c r="T176" i="1"/>
  <c r="X176" i="1"/>
  <c r="AG176" i="1"/>
  <c r="AI176" i="1" s="1"/>
  <c r="AI180" i="1"/>
  <c r="AI148" i="1"/>
  <c r="T180" i="1"/>
  <c r="U180" i="1" s="1"/>
  <c r="S180" i="1" s="1"/>
  <c r="X180" i="1"/>
  <c r="U152" i="1"/>
  <c r="S152" i="1" s="1"/>
  <c r="AI152" i="1"/>
  <c r="AI136" i="1"/>
  <c r="X216" i="1"/>
  <c r="AG215" i="1"/>
  <c r="X215" i="1"/>
  <c r="X204" i="1"/>
  <c r="X200" i="1"/>
  <c r="X196" i="1"/>
  <c r="X192" i="1"/>
  <c r="X188" i="1"/>
  <c r="X186" i="1"/>
  <c r="AA185" i="1"/>
  <c r="AG184" i="1"/>
  <c r="AI199" i="1"/>
  <c r="T177" i="1"/>
  <c r="U177" i="1" s="1"/>
  <c r="S177" i="1" s="1"/>
  <c r="X177" i="1"/>
  <c r="AI190" i="1"/>
  <c r="T172" i="1"/>
  <c r="X172" i="1"/>
  <c r="AG172" i="1"/>
  <c r="AI172" i="1" s="1"/>
  <c r="U208" i="1"/>
  <c r="S208" i="1" s="1"/>
  <c r="W156" i="1"/>
  <c r="U144" i="1"/>
  <c r="S144" i="1" s="1"/>
  <c r="AI144" i="1"/>
  <c r="U221" i="1"/>
  <c r="S221" i="1" s="1"/>
  <c r="U151" i="1"/>
  <c r="S151" i="1" s="1"/>
  <c r="U139" i="1"/>
  <c r="S139" i="1" s="1"/>
  <c r="AA126" i="1"/>
  <c r="W126" i="1" s="1"/>
  <c r="AA125" i="1"/>
  <c r="AI117" i="1"/>
  <c r="W113" i="1"/>
  <c r="U165" i="1"/>
  <c r="S165" i="1" s="1"/>
  <c r="U210" i="1"/>
  <c r="S210" i="1" s="1"/>
  <c r="U146" i="1"/>
  <c r="S146" i="1" s="1"/>
  <c r="T128" i="1"/>
  <c r="X128" i="1"/>
  <c r="AG128" i="1"/>
  <c r="T125" i="1"/>
  <c r="X125" i="1"/>
  <c r="AI113" i="1"/>
  <c r="AI191" i="1"/>
  <c r="X173" i="1"/>
  <c r="AI187" i="1"/>
  <c r="X169" i="1"/>
  <c r="AG168" i="1"/>
  <c r="AI168" i="1" s="1"/>
  <c r="AI183" i="1"/>
  <c r="X165" i="1"/>
  <c r="AG164" i="1"/>
  <c r="AI164" i="1" s="1"/>
  <c r="AI179" i="1"/>
  <c r="X161" i="1"/>
  <c r="AG160" i="1"/>
  <c r="AI160" i="1" s="1"/>
  <c r="AI175" i="1"/>
  <c r="X157" i="1"/>
  <c r="AG227" i="1"/>
  <c r="X224" i="1"/>
  <c r="AG223" i="1"/>
  <c r="AI167" i="1"/>
  <c r="X220" i="1"/>
  <c r="AG219" i="1"/>
  <c r="AI163" i="1"/>
  <c r="X210" i="1"/>
  <c r="AG209" i="1"/>
  <c r="X206" i="1"/>
  <c r="AG205" i="1"/>
  <c r="AI205" i="1" s="1"/>
  <c r="X154" i="1"/>
  <c r="AG153" i="1"/>
  <c r="AI151" i="1"/>
  <c r="X150" i="1"/>
  <c r="AG149" i="1"/>
  <c r="X146" i="1"/>
  <c r="AG145" i="1"/>
  <c r="AI143" i="1"/>
  <c r="X142" i="1"/>
  <c r="AG141" i="1"/>
  <c r="AI139" i="1"/>
  <c r="X138" i="1"/>
  <c r="AG137" i="1"/>
  <c r="AI135" i="1"/>
  <c r="X134" i="1"/>
  <c r="AG133" i="1"/>
  <c r="T129" i="1"/>
  <c r="X129" i="1"/>
  <c r="AI126" i="1"/>
  <c r="X126" i="1"/>
  <c r="AG125" i="1"/>
  <c r="X168" i="1"/>
  <c r="AI182" i="1"/>
  <c r="X164" i="1"/>
  <c r="AI178" i="1"/>
  <c r="X160" i="1"/>
  <c r="X227" i="1"/>
  <c r="X223" i="1"/>
  <c r="X219" i="1"/>
  <c r="X209" i="1"/>
  <c r="X205" i="1"/>
  <c r="X153" i="1"/>
  <c r="AI150" i="1"/>
  <c r="X149" i="1"/>
  <c r="AI146" i="1"/>
  <c r="X145" i="1"/>
  <c r="X141" i="1"/>
  <c r="X137" i="1"/>
  <c r="X133" i="1"/>
  <c r="X130" i="1"/>
  <c r="AG129" i="1"/>
  <c r="W117" i="1"/>
  <c r="AI109" i="1"/>
  <c r="AI101" i="1"/>
  <c r="AG124" i="1"/>
  <c r="X121" i="1"/>
  <c r="AG120" i="1"/>
  <c r="AI118" i="1"/>
  <c r="X117" i="1"/>
  <c r="T117" i="1"/>
  <c r="U117" i="1" s="1"/>
  <c r="S117" i="1" s="1"/>
  <c r="AG116" i="1"/>
  <c r="X113" i="1"/>
  <c r="T113" i="1"/>
  <c r="U113" i="1" s="1"/>
  <c r="S113" i="1" s="1"/>
  <c r="AG112" i="1"/>
  <c r="AI110" i="1"/>
  <c r="X109" i="1"/>
  <c r="T109" i="1"/>
  <c r="U109" i="1" s="1"/>
  <c r="S109" i="1" s="1"/>
  <c r="AG108" i="1"/>
  <c r="T105" i="1"/>
  <c r="U105" i="1" s="1"/>
  <c r="S105" i="1" s="1"/>
  <c r="X105" i="1"/>
  <c r="X104" i="1"/>
  <c r="X103" i="1"/>
  <c r="AA102" i="1"/>
  <c r="AA98" i="1"/>
  <c r="T97" i="1"/>
  <c r="X97" i="1"/>
  <c r="AG97" i="1"/>
  <c r="T94" i="1"/>
  <c r="U94" i="1" s="1"/>
  <c r="S94" i="1" s="1"/>
  <c r="X94" i="1"/>
  <c r="AI90" i="1"/>
  <c r="AA82" i="1"/>
  <c r="X124" i="1"/>
  <c r="X120" i="1"/>
  <c r="X116" i="1"/>
  <c r="X112" i="1"/>
  <c r="X108" i="1"/>
  <c r="T98" i="1"/>
  <c r="X98" i="1"/>
  <c r="AI94" i="1"/>
  <c r="T85" i="1"/>
  <c r="X85" i="1"/>
  <c r="AG85" i="1"/>
  <c r="T100" i="1"/>
  <c r="X99" i="1"/>
  <c r="AG98" i="1"/>
  <c r="T89" i="1"/>
  <c r="X89" i="1"/>
  <c r="AG89" i="1"/>
  <c r="T86" i="1"/>
  <c r="X86" i="1"/>
  <c r="U84" i="1"/>
  <c r="S84" i="1" s="1"/>
  <c r="AI82" i="1"/>
  <c r="X118" i="1"/>
  <c r="X114" i="1"/>
  <c r="X110" i="1"/>
  <c r="T104" i="1"/>
  <c r="U104" i="1" s="1"/>
  <c r="S104" i="1" s="1"/>
  <c r="T101" i="1"/>
  <c r="U101" i="1" s="1"/>
  <c r="S101" i="1" s="1"/>
  <c r="X101" i="1"/>
  <c r="T93" i="1"/>
  <c r="X93" i="1"/>
  <c r="AG93" i="1"/>
  <c r="T90" i="1"/>
  <c r="U90" i="1" s="1"/>
  <c r="S90" i="1" s="1"/>
  <c r="X90" i="1"/>
  <c r="AI87" i="1"/>
  <c r="X87" i="1"/>
  <c r="AG86" i="1"/>
  <c r="T80" i="1"/>
  <c r="U78" i="1"/>
  <c r="S78" i="1" s="1"/>
  <c r="AI76" i="1"/>
  <c r="AA73" i="1"/>
  <c r="T64" i="1"/>
  <c r="AG64" i="1"/>
  <c r="AA58" i="1"/>
  <c r="X50" i="1"/>
  <c r="T50" i="1"/>
  <c r="AG50" i="1"/>
  <c r="AI49" i="1"/>
  <c r="T21" i="1"/>
  <c r="X21" i="1"/>
  <c r="AG21" i="1"/>
  <c r="X22" i="1"/>
  <c r="AI62" i="1"/>
  <c r="T61" i="1"/>
  <c r="X61" i="1"/>
  <c r="AG61" i="1"/>
  <c r="T40" i="1"/>
  <c r="X40" i="1"/>
  <c r="AG40" i="1"/>
  <c r="X82" i="1"/>
  <c r="T79" i="1"/>
  <c r="X79" i="1"/>
  <c r="X78" i="1"/>
  <c r="T75" i="1"/>
  <c r="AG75" i="1"/>
  <c r="AI73" i="1"/>
  <c r="T72" i="1"/>
  <c r="X72" i="1"/>
  <c r="AG72" i="1"/>
  <c r="U62" i="1"/>
  <c r="S62" i="1" s="1"/>
  <c r="T57" i="1"/>
  <c r="AG57" i="1"/>
  <c r="U43" i="1"/>
  <c r="S43" i="1" s="1"/>
  <c r="T24" i="1"/>
  <c r="X24" i="1"/>
  <c r="AG24" i="1"/>
  <c r="AI18" i="1"/>
  <c r="U18" i="1"/>
  <c r="S18" i="1" s="1"/>
  <c r="AA80" i="1"/>
  <c r="AG79" i="1"/>
  <c r="T76" i="1"/>
  <c r="U76" i="1" s="1"/>
  <c r="S76" i="1" s="1"/>
  <c r="T68" i="1"/>
  <c r="X68" i="1"/>
  <c r="AG68" i="1"/>
  <c r="AA62" i="1"/>
  <c r="W62" i="1" s="1"/>
  <c r="U58" i="1"/>
  <c r="S58" i="1" s="1"/>
  <c r="AI55" i="1"/>
  <c r="T54" i="1"/>
  <c r="X54" i="1"/>
  <c r="AG54" i="1"/>
  <c r="X47" i="1"/>
  <c r="X46" i="1"/>
  <c r="AG46" i="1"/>
  <c r="T37" i="1"/>
  <c r="X37" i="1"/>
  <c r="AG37" i="1"/>
  <c r="X38" i="1"/>
  <c r="U27" i="1"/>
  <c r="S27" i="1" s="1"/>
  <c r="X73" i="1"/>
  <c r="X69" i="1"/>
  <c r="X62" i="1"/>
  <c r="X58" i="1"/>
  <c r="AI52" i="1"/>
  <c r="X51" i="1"/>
  <c r="T44" i="1"/>
  <c r="X44" i="1"/>
  <c r="AG44" i="1"/>
  <c r="T41" i="1"/>
  <c r="X41" i="1"/>
  <c r="T28" i="1"/>
  <c r="X28" i="1"/>
  <c r="AG28" i="1"/>
  <c r="T25" i="1"/>
  <c r="X25" i="1"/>
  <c r="AI22" i="1"/>
  <c r="T48" i="1"/>
  <c r="U48" i="1" s="1"/>
  <c r="S48" i="1" s="1"/>
  <c r="T45" i="1"/>
  <c r="U45" i="1" s="1"/>
  <c r="S45" i="1" s="1"/>
  <c r="X45" i="1"/>
  <c r="AI42" i="1"/>
  <c r="X42" i="1"/>
  <c r="AG41" i="1"/>
  <c r="AA34" i="1"/>
  <c r="AA33" i="1"/>
  <c r="W33" i="1" s="1"/>
  <c r="T32" i="1"/>
  <c r="X32" i="1"/>
  <c r="AG32" i="1"/>
  <c r="T29" i="1"/>
  <c r="U29" i="1" s="1"/>
  <c r="S29" i="1" s="1"/>
  <c r="X29" i="1"/>
  <c r="X26" i="1"/>
  <c r="AG25" i="1"/>
  <c r="AA18" i="1"/>
  <c r="W18" i="1" s="1"/>
  <c r="AA17" i="1"/>
  <c r="T13" i="1"/>
  <c r="AG13" i="1"/>
  <c r="X14" i="1"/>
  <c r="T49" i="1"/>
  <c r="U49" i="1" s="1"/>
  <c r="S49" i="1" s="1"/>
  <c r="X49" i="1"/>
  <c r="X48" i="1"/>
  <c r="AA46" i="1"/>
  <c r="AA38" i="1"/>
  <c r="AA37" i="1"/>
  <c r="T36" i="1"/>
  <c r="X36" i="1"/>
  <c r="AG36" i="1"/>
  <c r="T33" i="1"/>
  <c r="X33" i="1"/>
  <c r="AI29" i="1"/>
  <c r="AA22" i="1"/>
  <c r="AA21" i="1"/>
  <c r="T20" i="1"/>
  <c r="X20" i="1"/>
  <c r="AG20" i="1"/>
  <c r="T17" i="1"/>
  <c r="X17" i="1"/>
  <c r="AA14" i="1"/>
  <c r="AG16" i="1"/>
  <c r="X16" i="1"/>
  <c r="AC41" i="3"/>
  <c r="Y18" i="3"/>
  <c r="Y41" i="3"/>
  <c r="Y16" i="3"/>
  <c r="Y8" i="3"/>
  <c r="Y30" i="3"/>
  <c r="Y43" i="3"/>
  <c r="Y19" i="3"/>
  <c r="Y34" i="3"/>
  <c r="Y37" i="3"/>
  <c r="AD48" i="3"/>
  <c r="Y15" i="3"/>
  <c r="Y14" i="3"/>
  <c r="AD18" i="3"/>
  <c r="AD42" i="3"/>
  <c r="AD44" i="3"/>
  <c r="AD15" i="3"/>
  <c r="AD33" i="3"/>
  <c r="AD14" i="3"/>
  <c r="AD25" i="3"/>
  <c r="AD40" i="3"/>
  <c r="AD45" i="3"/>
  <c r="AD7" i="3"/>
  <c r="AD10" i="3"/>
  <c r="AD13" i="3"/>
  <c r="AD20" i="3"/>
  <c r="AD24" i="3"/>
  <c r="AD38" i="3"/>
  <c r="AD36" i="3"/>
  <c r="AD23" i="3"/>
  <c r="AD12" i="3"/>
  <c r="AD32" i="3"/>
  <c r="AD21" i="3"/>
  <c r="AD41" i="3"/>
  <c r="AD47" i="3"/>
  <c r="AD16" i="3"/>
  <c r="AD27" i="3"/>
  <c r="AD8" i="3"/>
  <c r="AD26" i="3"/>
  <c r="AD30" i="3"/>
  <c r="AD46" i="3"/>
  <c r="AD43" i="3"/>
  <c r="AD28" i="3"/>
  <c r="AD19" i="3"/>
  <c r="AD39" i="3"/>
  <c r="AD34" i="3"/>
  <c r="AD22" i="3"/>
  <c r="AD37" i="3"/>
  <c r="AD31" i="3"/>
  <c r="AD11" i="3"/>
  <c r="AD29" i="3"/>
  <c r="AD3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U158" i="1" l="1"/>
  <c r="S158" i="1" s="1"/>
  <c r="U74" i="1"/>
  <c r="S74" i="1" s="1"/>
  <c r="W31" i="1"/>
  <c r="W112" i="1"/>
  <c r="U166" i="1"/>
  <c r="S166" i="1" s="1"/>
  <c r="W174" i="1"/>
  <c r="W37" i="1"/>
  <c r="W54" i="1"/>
  <c r="W80" i="1"/>
  <c r="AI51" i="1"/>
  <c r="W53" i="1"/>
  <c r="W28" i="1"/>
  <c r="W58" i="1"/>
  <c r="U66" i="1"/>
  <c r="S66" i="1" s="1"/>
  <c r="W122" i="1"/>
  <c r="W135" i="1"/>
  <c r="AI69" i="1"/>
  <c r="AI174" i="1"/>
  <c r="U47" i="1"/>
  <c r="S47" i="1" s="1"/>
  <c r="U23" i="1"/>
  <c r="S23" i="1" s="1"/>
  <c r="W225" i="1"/>
  <c r="AI171" i="1"/>
  <c r="U225" i="1"/>
  <c r="S225" i="1" s="1"/>
  <c r="W69" i="1"/>
  <c r="U111" i="1"/>
  <c r="S111" i="1" s="1"/>
  <c r="W134" i="1"/>
  <c r="W228" i="1"/>
  <c r="W166" i="1"/>
  <c r="AI134" i="1"/>
  <c r="W59" i="1"/>
  <c r="U130" i="1"/>
  <c r="S130" i="1" s="1"/>
  <c r="U150" i="1"/>
  <c r="S150" i="1" s="1"/>
  <c r="S171" i="1"/>
  <c r="U198" i="1"/>
  <c r="S198" i="1" s="1"/>
  <c r="W64" i="1"/>
  <c r="U102" i="1"/>
  <c r="S102" i="1" s="1"/>
  <c r="W141" i="1"/>
  <c r="U162" i="1"/>
  <c r="S162" i="1" s="1"/>
  <c r="W193" i="1"/>
  <c r="W213" i="1"/>
  <c r="W130" i="1"/>
  <c r="W208" i="1"/>
  <c r="W178" i="1"/>
  <c r="W47" i="1"/>
  <c r="W44" i="1"/>
  <c r="W50" i="1"/>
  <c r="S51" i="1"/>
  <c r="AI162" i="1"/>
  <c r="AI131" i="1"/>
  <c r="U197" i="1"/>
  <c r="S197" i="1" s="1"/>
  <c r="W26" i="1"/>
  <c r="AI26" i="1"/>
  <c r="W34" i="1"/>
  <c r="W73" i="1"/>
  <c r="AI83" i="1"/>
  <c r="W82" i="1"/>
  <c r="W102" i="1"/>
  <c r="U217" i="1"/>
  <c r="S217" i="1" s="1"/>
  <c r="W171" i="1"/>
  <c r="U181" i="1"/>
  <c r="S181" i="1" s="1"/>
  <c r="U206" i="1"/>
  <c r="S206" i="1" s="1"/>
  <c r="W131" i="1"/>
  <c r="W43" i="1"/>
  <c r="W127" i="1"/>
  <c r="W22" i="1"/>
  <c r="U34" i="1"/>
  <c r="S34" i="1" s="1"/>
  <c r="AI99" i="1"/>
  <c r="W120" i="1"/>
  <c r="AI154" i="1"/>
  <c r="AI170" i="1"/>
  <c r="AI155" i="1"/>
  <c r="U170" i="1"/>
  <c r="S170" i="1" s="1"/>
  <c r="W224" i="1"/>
  <c r="AI127" i="1"/>
  <c r="W220" i="1"/>
  <c r="U132" i="1"/>
  <c r="S132" i="1" s="1"/>
  <c r="W227" i="1"/>
  <c r="U157" i="1"/>
  <c r="S157" i="1" s="1"/>
  <c r="W198" i="1"/>
  <c r="AI217" i="1"/>
  <c r="W66" i="1"/>
  <c r="W95" i="1"/>
  <c r="W83" i="1"/>
  <c r="W60" i="1"/>
  <c r="U53" i="1"/>
  <c r="S53" i="1" s="1"/>
  <c r="W155" i="1"/>
  <c r="AI77" i="1"/>
  <c r="U14" i="1"/>
  <c r="S14" i="1" s="1"/>
  <c r="W57" i="1"/>
  <c r="U80" i="1"/>
  <c r="S80" i="1" s="1"/>
  <c r="U92" i="1"/>
  <c r="S92" i="1" s="1"/>
  <c r="U220" i="1"/>
  <c r="S220" i="1" s="1"/>
  <c r="W185" i="1"/>
  <c r="W92" i="1"/>
  <c r="W170" i="1"/>
  <c r="U122" i="1"/>
  <c r="S122" i="1" s="1"/>
  <c r="W216" i="1"/>
  <c r="W70" i="1"/>
  <c r="W209" i="1"/>
  <c r="AI209" i="1"/>
  <c r="U114" i="1"/>
  <c r="S114" i="1" s="1"/>
  <c r="W114" i="1"/>
  <c r="U142" i="1"/>
  <c r="S142" i="1" s="1"/>
  <c r="AI142" i="1"/>
  <c r="U65" i="1"/>
  <c r="S65" i="1" s="1"/>
  <c r="AI65" i="1"/>
  <c r="U229" i="1"/>
  <c r="S229" i="1" s="1"/>
  <c r="W229" i="1"/>
  <c r="W201" i="1"/>
  <c r="W194" i="1"/>
  <c r="AI194" i="1"/>
  <c r="U194" i="1"/>
  <c r="W159" i="1"/>
  <c r="U159" i="1"/>
  <c r="S159" i="1" s="1"/>
  <c r="AI159" i="1"/>
  <c r="AI229" i="1"/>
  <c r="U30" i="1"/>
  <c r="S30" i="1" s="1"/>
  <c r="AI30" i="1"/>
  <c r="AI38" i="1"/>
  <c r="U38" i="1"/>
  <c r="S38" i="1" s="1"/>
  <c r="U211" i="1"/>
  <c r="S211" i="1" s="1"/>
  <c r="W20" i="1"/>
  <c r="U33" i="1"/>
  <c r="S33" i="1" s="1"/>
  <c r="AI114" i="1"/>
  <c r="W124" i="1"/>
  <c r="U224" i="1"/>
  <c r="S224" i="1" s="1"/>
  <c r="W40" i="1"/>
  <c r="U103" i="1"/>
  <c r="S103" i="1" s="1"/>
  <c r="W103" i="1"/>
  <c r="W143" i="1"/>
  <c r="W36" i="1"/>
  <c r="AI59" i="1"/>
  <c r="W24" i="1"/>
  <c r="W51" i="1"/>
  <c r="W68" i="1"/>
  <c r="W154" i="1"/>
  <c r="W158" i="1"/>
  <c r="U95" i="1"/>
  <c r="W142" i="1"/>
  <c r="W212" i="1"/>
  <c r="W106" i="1"/>
  <c r="W21" i="1"/>
  <c r="U77" i="1"/>
  <c r="S77" i="1" s="1"/>
  <c r="U88" i="1"/>
  <c r="S88" i="1" s="1"/>
  <c r="W85" i="1"/>
  <c r="W128" i="1"/>
  <c r="U147" i="1"/>
  <c r="S147" i="1" s="1"/>
  <c r="W184" i="1"/>
  <c r="AI212" i="1"/>
  <c r="W65" i="1"/>
  <c r="W100" i="1"/>
  <c r="W138" i="1"/>
  <c r="W88" i="1"/>
  <c r="W147" i="1"/>
  <c r="W132" i="1"/>
  <c r="W190" i="1"/>
  <c r="W197" i="1"/>
  <c r="W181" i="1"/>
  <c r="W164" i="1"/>
  <c r="U19" i="1"/>
  <c r="S19" i="1" s="1"/>
  <c r="AI19" i="1"/>
  <c r="U81" i="1"/>
  <c r="S81" i="1" s="1"/>
  <c r="AI81" i="1"/>
  <c r="U17" i="1"/>
  <c r="S17" i="1" s="1"/>
  <c r="W17" i="1"/>
  <c r="AI95" i="1"/>
  <c r="AI121" i="1"/>
  <c r="U138" i="1"/>
  <c r="S138" i="1" s="1"/>
  <c r="AI184" i="1"/>
  <c r="W192" i="1"/>
  <c r="AI206" i="1"/>
  <c r="W196" i="1"/>
  <c r="U52" i="1"/>
  <c r="S52" i="1" s="1"/>
  <c r="W81" i="1"/>
  <c r="W207" i="1"/>
  <c r="W38" i="1"/>
  <c r="U100" i="1"/>
  <c r="S100" i="1" s="1"/>
  <c r="S95" i="1"/>
  <c r="U31" i="1"/>
  <c r="S31" i="1" s="1"/>
  <c r="AI31" i="1"/>
  <c r="W19" i="1"/>
  <c r="W96" i="1"/>
  <c r="W206" i="1"/>
  <c r="W157" i="1"/>
  <c r="W211" i="1"/>
  <c r="W14" i="1"/>
  <c r="U15" i="1"/>
  <c r="S15" i="1" s="1"/>
  <c r="U96" i="1"/>
  <c r="S96" i="1" s="1"/>
  <c r="AI103" i="1"/>
  <c r="AI91" i="1"/>
  <c r="AI122" i="1"/>
  <c r="S173" i="1"/>
  <c r="AI224" i="1"/>
  <c r="W30" i="1"/>
  <c r="U22" i="1"/>
  <c r="S22" i="1" s="1"/>
  <c r="U70" i="1"/>
  <c r="S70" i="1" s="1"/>
  <c r="W91" i="1"/>
  <c r="W99" i="1"/>
  <c r="W15" i="1"/>
  <c r="U60" i="1"/>
  <c r="S60" i="1" s="1"/>
  <c r="AI60" i="1"/>
  <c r="W121" i="1"/>
  <c r="U35" i="1"/>
  <c r="S35" i="1" s="1"/>
  <c r="AI35" i="1"/>
  <c r="U169" i="1"/>
  <c r="S169" i="1" s="1"/>
  <c r="W173" i="1"/>
  <c r="W189" i="1"/>
  <c r="AI41" i="1"/>
  <c r="U41" i="1"/>
  <c r="S41" i="1" s="1"/>
  <c r="U223" i="1"/>
  <c r="S223" i="1" s="1"/>
  <c r="AI169" i="1"/>
  <c r="W223" i="1"/>
  <c r="AI25" i="1"/>
  <c r="U25" i="1"/>
  <c r="S25" i="1" s="1"/>
  <c r="AI86" i="1"/>
  <c r="U86" i="1"/>
  <c r="S86" i="1" s="1"/>
  <c r="AI98" i="1"/>
  <c r="U98" i="1"/>
  <c r="S98" i="1" s="1"/>
  <c r="AI46" i="1"/>
  <c r="U46" i="1"/>
  <c r="S46" i="1" s="1"/>
  <c r="U79" i="1"/>
  <c r="S79" i="1" s="1"/>
  <c r="AI79" i="1"/>
  <c r="AI50" i="1"/>
  <c r="U50" i="1"/>
  <c r="S50" i="1" s="1"/>
  <c r="U93" i="1"/>
  <c r="S93" i="1" s="1"/>
  <c r="AI93" i="1"/>
  <c r="AI108" i="1"/>
  <c r="U108" i="1"/>
  <c r="S108" i="1" s="1"/>
  <c r="U137" i="1"/>
  <c r="S137" i="1" s="1"/>
  <c r="AI137" i="1"/>
  <c r="U168" i="1"/>
  <c r="S168" i="1" s="1"/>
  <c r="AI185" i="1"/>
  <c r="U215" i="1"/>
  <c r="S215" i="1" s="1"/>
  <c r="AI227" i="1"/>
  <c r="U188" i="1"/>
  <c r="S188" i="1" s="1"/>
  <c r="AI207" i="1"/>
  <c r="U204" i="1"/>
  <c r="S204" i="1" s="1"/>
  <c r="AI223" i="1"/>
  <c r="W46" i="1"/>
  <c r="U75" i="1"/>
  <c r="S75" i="1" s="1"/>
  <c r="AI75" i="1"/>
  <c r="AI72" i="1"/>
  <c r="U72" i="1"/>
  <c r="S72" i="1" s="1"/>
  <c r="U97" i="1"/>
  <c r="S97" i="1" s="1"/>
  <c r="AI97" i="1"/>
  <c r="U153" i="1"/>
  <c r="S153" i="1" s="1"/>
  <c r="AI153" i="1"/>
  <c r="W204" i="1"/>
  <c r="AI37" i="1"/>
  <c r="U37" i="1"/>
  <c r="S37" i="1" s="1"/>
  <c r="AI54" i="1"/>
  <c r="U54" i="1"/>
  <c r="S54" i="1" s="1"/>
  <c r="U24" i="1"/>
  <c r="S24" i="1" s="1"/>
  <c r="AI24" i="1"/>
  <c r="W41" i="1"/>
  <c r="W75" i="1"/>
  <c r="U89" i="1"/>
  <c r="S89" i="1" s="1"/>
  <c r="AI89" i="1"/>
  <c r="W79" i="1"/>
  <c r="W86" i="1"/>
  <c r="AI112" i="1"/>
  <c r="U112" i="1"/>
  <c r="S112" i="1" s="1"/>
  <c r="AI129" i="1"/>
  <c r="U129" i="1"/>
  <c r="S129" i="1" s="1"/>
  <c r="U133" i="1"/>
  <c r="S133" i="1" s="1"/>
  <c r="AI133" i="1"/>
  <c r="U149" i="1"/>
  <c r="S149" i="1" s="1"/>
  <c r="AI149" i="1"/>
  <c r="U219" i="1"/>
  <c r="S219" i="1" s="1"/>
  <c r="AI165" i="1"/>
  <c r="U164" i="1"/>
  <c r="S164" i="1" s="1"/>
  <c r="AI181" i="1"/>
  <c r="W89" i="1"/>
  <c r="W97" i="1"/>
  <c r="W153" i="1"/>
  <c r="U172" i="1"/>
  <c r="S172" i="1" s="1"/>
  <c r="AI189" i="1"/>
  <c r="U176" i="1"/>
  <c r="S176" i="1" s="1"/>
  <c r="AI193" i="1"/>
  <c r="U186" i="1"/>
  <c r="S186" i="1" s="1"/>
  <c r="AI203" i="1"/>
  <c r="U200" i="1"/>
  <c r="S200" i="1" s="1"/>
  <c r="AI219" i="1"/>
  <c r="W219" i="1"/>
  <c r="U36" i="1"/>
  <c r="S36" i="1" s="1"/>
  <c r="AI36" i="1"/>
  <c r="U44" i="1"/>
  <c r="S44" i="1" s="1"/>
  <c r="AI44" i="1"/>
  <c r="W25" i="1"/>
  <c r="AI57" i="1"/>
  <c r="U57" i="1"/>
  <c r="S57" i="1" s="1"/>
  <c r="U40" i="1"/>
  <c r="S40" i="1" s="1"/>
  <c r="AI40" i="1"/>
  <c r="AI61" i="1"/>
  <c r="U61" i="1"/>
  <c r="S61" i="1" s="1"/>
  <c r="AI21" i="1"/>
  <c r="U21" i="1"/>
  <c r="S21" i="1" s="1"/>
  <c r="W61" i="1"/>
  <c r="U85" i="1"/>
  <c r="S85" i="1" s="1"/>
  <c r="AI85" i="1"/>
  <c r="AI116" i="1"/>
  <c r="U116" i="1"/>
  <c r="S116" i="1" s="1"/>
  <c r="AI125" i="1"/>
  <c r="U125" i="1"/>
  <c r="S125" i="1" s="1"/>
  <c r="U145" i="1"/>
  <c r="S145" i="1" s="1"/>
  <c r="AI145" i="1"/>
  <c r="U209" i="1"/>
  <c r="S209" i="1" s="1"/>
  <c r="AI161" i="1"/>
  <c r="U160" i="1"/>
  <c r="S160" i="1" s="1"/>
  <c r="AI177" i="1"/>
  <c r="W93" i="1"/>
  <c r="W129" i="1"/>
  <c r="W137" i="1"/>
  <c r="U196" i="1"/>
  <c r="S196" i="1" s="1"/>
  <c r="AI215" i="1"/>
  <c r="W145" i="1"/>
  <c r="W149" i="1"/>
  <c r="W188" i="1"/>
  <c r="W186" i="1"/>
  <c r="U16" i="1"/>
  <c r="S16" i="1" s="1"/>
  <c r="AI16" i="1"/>
  <c r="W16" i="1"/>
  <c r="U20" i="1"/>
  <c r="S20" i="1" s="1"/>
  <c r="AI20" i="1"/>
  <c r="AI13" i="1"/>
  <c r="U13" i="1"/>
  <c r="S13" i="1" s="1"/>
  <c r="U32" i="1"/>
  <c r="S32" i="1" s="1"/>
  <c r="AI32" i="1"/>
  <c r="W32" i="1"/>
  <c r="W13" i="1"/>
  <c r="U28" i="1"/>
  <c r="S28" i="1" s="1"/>
  <c r="AI28" i="1"/>
  <c r="AI68" i="1"/>
  <c r="U68" i="1"/>
  <c r="S68" i="1" s="1"/>
  <c r="W72" i="1"/>
  <c r="AI64" i="1"/>
  <c r="U64" i="1"/>
  <c r="S64" i="1" s="1"/>
  <c r="W98" i="1"/>
  <c r="AI120" i="1"/>
  <c r="U120" i="1"/>
  <c r="S120" i="1" s="1"/>
  <c r="AI124" i="1"/>
  <c r="U124" i="1"/>
  <c r="S124" i="1" s="1"/>
  <c r="W108" i="1"/>
  <c r="U141" i="1"/>
  <c r="S141" i="1" s="1"/>
  <c r="AI141" i="1"/>
  <c r="U205" i="1"/>
  <c r="S205" i="1" s="1"/>
  <c r="AI157" i="1"/>
  <c r="U227" i="1"/>
  <c r="S227" i="1" s="1"/>
  <c r="AI173" i="1"/>
  <c r="U128" i="1"/>
  <c r="S128" i="1" s="1"/>
  <c r="AI128" i="1"/>
  <c r="W116" i="1"/>
  <c r="W125" i="1"/>
  <c r="W168" i="1"/>
  <c r="U184" i="1"/>
  <c r="S184" i="1" s="1"/>
  <c r="AI201" i="1"/>
  <c r="W160" i="1"/>
  <c r="W176" i="1"/>
  <c r="W205" i="1"/>
  <c r="W172" i="1"/>
  <c r="U192" i="1"/>
  <c r="S192" i="1" s="1"/>
  <c r="AI211" i="1"/>
  <c r="W133" i="1"/>
  <c r="W215" i="1"/>
  <c r="W200" i="1"/>
  <c r="S9" i="3"/>
  <c r="R9" i="3"/>
  <c r="M9" i="3"/>
  <c r="N9" i="3"/>
  <c r="U9" i="3"/>
  <c r="V9" i="3"/>
  <c r="W9" i="3"/>
  <c r="X9" i="3"/>
  <c r="T9" i="3" l="1"/>
  <c r="AD17" i="3"/>
  <c r="AC9" i="3"/>
  <c r="AD9" i="3"/>
  <c r="Y9" i="3"/>
  <c r="X13" i="1" l="1"/>
  <c r="C26" i="9" l="1"/>
  <c r="C50" i="9"/>
  <c r="C48" i="9"/>
  <c r="B1" i="9"/>
  <c r="C1" i="9" s="1"/>
  <c r="C4" i="9"/>
  <c r="C7" i="9"/>
  <c r="C24" i="9"/>
  <c r="C33" i="9"/>
  <c r="C45" i="9"/>
  <c r="C44" i="9"/>
  <c r="C42" i="9"/>
  <c r="C57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54" i="9"/>
  <c r="C22" i="9"/>
  <c r="C17" i="9"/>
  <c r="C18" i="9"/>
  <c r="C20" i="9"/>
  <c r="C34" i="9"/>
  <c r="C52" i="9"/>
  <c r="C55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53" i="9"/>
  <c r="C40" i="9"/>
  <c r="C41" i="9"/>
  <c r="C43" i="9"/>
  <c r="C56" i="9"/>
  <c r="C2" i="9"/>
  <c r="C3" i="9"/>
  <c r="C49" i="9"/>
  <c r="C21" i="9"/>
  <c r="C23" i="9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<sst xmlns="http://schemas.openxmlformats.org/spreadsheetml/2006/main" count="2356" uniqueCount="897">
  <si>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</si>
  <si>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</si>
  <si>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</si>
  <si>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</si>
  <si>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</si>
  <si>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</si>
  <si>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</si>
  <si>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</si>
  <si>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</si>
  <si>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</si>
  <si>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</si>
  <si>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</si>
  <si>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</si>
  <si>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</si>
  <si>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</si>
  <si>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</si>
  <si>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</si>
  <si>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</si>
  <si>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</si>
  <si>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</si>
  <si>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</si>
  <si>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</si>
  <si>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</si>
  <si>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</si>
  <si>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</si>
  <si>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</si>
  <si>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</si>
  <si>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</si>
  <si>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</si>
  <si>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</si>
  <si>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</si>
  <si>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</si>
  <si>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</si>
  <si>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</si>
  <si>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</si>
  <si>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</si>
  <si>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</si>
  <si>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</si>
  <si>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</si>
  <si>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</si>
  <si>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</si>
  <si>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</si>
  <si>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</si>
  <si>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</si>
  <si>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</si>
  <si>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</si>
  <si>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</si>
  <si>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</si>
  <si>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</si>
  <si>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</si>
  <si>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</si>
  <si>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</si>
  <si>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</si>
  <si>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</si>
  <si>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</si>
  <si>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</si>
  <si>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</si>
  <si>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</si>
  <si>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</si>
  <si>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</si>
  <si>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</si>
  <si>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</si>
  <si>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</si>
  <si>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</si>
  <si>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</si>
  <si>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</si>
  <si>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</si>
  <si>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</si>
  <si>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</si>
  <si>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</si>
  <si>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</si>
  <si>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</si>
  <si>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</si>
  <si>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</si>
  <si>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</si>
  <si>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</si>
  <si>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</si>
  <si>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</si>
  <si>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</si>
  <si>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</si>
  <si>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</si>
  <si>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</si>
  <si>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</si>
  <si>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</si>
  <si>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</si>
  <si>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</si>
  <si>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</si>
  <si>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</si>
  <si>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</si>
  <si>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</si>
  <si>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</si>
  <si>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</si>
  <si>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</si>
  <si>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</si>
  <si>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</si>
  <si>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</si>
  <si>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</si>
  <si>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</si>
  <si>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</si>
  <si>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</si>
  <si>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</si>
  <si>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</si>
  <si>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</si>
  <si>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</si>
  <si>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</si>
  <si>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</si>
  <si>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</si>
  <si>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</si>
  <si>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</si>
  <si>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</si>
  <si>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</si>
  <si>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</si>
  <si>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</si>
  <si>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</si>
  <si>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</si>
  <si>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</si>
  <si>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</si>
  <si>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</si>
  <si>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</si>
  <si>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</si>
  <si>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</si>
  <si>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</si>
  <si>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</si>
  <si>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</si>
  <si>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</si>
  <si>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</si>
  <si>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</si>
  <si>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</si>
  <si>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</si>
  <si>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</si>
  <si>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</si>
  <si>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</si>
  <si>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</si>
  <si>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</si>
  <si>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</si>
  <si>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</si>
  <si>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</si>
  <si>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</si>
  <si>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</si>
  <si>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</si>
  <si>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</si>
  <si>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</si>
  <si>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</si>
  <si>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</si>
  <si>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</si>
  <si>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</si>
  <si>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</si>
  <si>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</si>
  <si>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</si>
  <si>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</si>
  <si>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</si>
  <si>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</si>
  <si>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</si>
  <si>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</si>
  <si>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</si>
  <si>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</si>
  <si>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</si>
  <si>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</si>
  <si>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</si>
  <si>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</si>
  <si>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</si>
  <si>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</si>
  <si>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</si>
  <si>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</si>
  <si>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</si>
  <si>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</si>
  <si>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</si>
  <si>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</si>
  <si>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</si>
  <si>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</si>
  <si>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</si>
  <si>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</si>
  <si>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</si>
  <si>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</si>
  <si>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</si>
  <si>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</si>
  <si>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</si>
  <si>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</si>
  <si>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</si>
  <si>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</si>
  <si>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</si>
  <si>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</si>
  <si>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</si>
  <si>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</si>
  <si>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</si>
  <si>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</si>
  <si>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</si>
  <si>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</si>
  <si>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</si>
  <si>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</si>
  <si>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</si>
  <si>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</si>
  <si>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</si>
  <si>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</si>
  <si>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</si>
  <si>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</si>
  <si>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</si>
  <si>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</si>
  <si>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</si>
  <si>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</si>
  <si>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</si>
  <si>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</si>
  <si>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</si>
  <si>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</si>
  <si>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</si>
  <si>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</si>
  <si>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</si>
  <si>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</si>
  <si>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</si>
  <si>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</si>
  <si>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</si>
  <si>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</si>
  <si>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</si>
  <si>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</si>
  <si>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</si>
  <si>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</si>
  <si>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</si>
  <si>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</si>
  <si>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</si>
  <si>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</si>
  <si>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</si>
  <si>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</si>
  <si>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</si>
  <si>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</si>
  <si>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</si>
  <si>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</si>
  <si>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</si>
  <si>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</si>
  <si>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204:469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</si>
  <si>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</si>
  <si>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</si>
  <si>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</si>
  <si>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</si>
  <si>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</si>
  <si>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</si>
  <si>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</si>
  <si>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</si>
  <si>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</si>
  <si>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</si>
  <si>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204:438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</si>
  <si>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</si>
  <si>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</si>
  <si>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</si>
  <si>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</si>
  <si>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</si>
  <si>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204:473</t>
  </si>
  <si>
    <t>204:480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</si>
  <si>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</si>
  <si>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</si>
  <si>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</si>
  <si>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</si>
  <si>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</si>
  <si>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</si>
  <si>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</si>
  <si>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</si>
  <si>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</si>
  <si>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</si>
  <si>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</si>
  <si>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</si>
  <si>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</si>
  <si>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</si>
  <si>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</si>
  <si>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</si>
  <si>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</si>
  <si>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</si>
  <si>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</si>
  <si>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</si>
  <si>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</si>
  <si>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</si>
  <si>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204:232980</t>
  </si>
  <si>
    <t>204:449</t>
  </si>
  <si>
    <t>204:141</t>
  </si>
  <si>
    <t>CHANDLER</t>
  </si>
  <si>
    <t>204:444</t>
  </si>
  <si>
    <t>204:232987</t>
  </si>
  <si>
    <t>204:233315</t>
  </si>
  <si>
    <t>rtdc.l.rtdc.4014:itc</t>
  </si>
  <si>
    <t>rtdc.l.rtdc.4013:itc</t>
  </si>
  <si>
    <t>204:233301</t>
  </si>
  <si>
    <t>204:232989</t>
  </si>
  <si>
    <t>204:232975</t>
  </si>
  <si>
    <t>300:58935</t>
  </si>
  <si>
    <t>CRAYTON</t>
  </si>
  <si>
    <t>204:233000</t>
  </si>
  <si>
    <t>204:232994</t>
  </si>
  <si>
    <t>204:233289</t>
  </si>
  <si>
    <t>204:167</t>
  </si>
  <si>
    <t>300:58929</t>
  </si>
  <si>
    <t>204:233308</t>
  </si>
  <si>
    <t>rtdc.l.rtdc.4018:itc</t>
  </si>
  <si>
    <t>JOHNSON</t>
  </si>
  <si>
    <t>MCREYNOLDS</t>
  </si>
  <si>
    <t>NELSON</t>
  </si>
  <si>
    <t>PERKINS</t>
  </si>
  <si>
    <t>204:132</t>
  </si>
  <si>
    <t>204:440</t>
  </si>
  <si>
    <t>204:232984</t>
  </si>
  <si>
    <t>300:58924</t>
  </si>
  <si>
    <t>204:724</t>
  </si>
  <si>
    <t>CLI Grep2 (for slice disagreement)</t>
  </si>
  <si>
    <t>rtdc.l.rtdc.4003:itc</t>
  </si>
  <si>
    <t>rtdc.l.rtdc.4041:itc</t>
  </si>
  <si>
    <t>rtdc.l.rtdc.4042:itc</t>
  </si>
  <si>
    <t>SAFIEF</t>
  </si>
  <si>
    <t>DAVIDSON</t>
  </si>
  <si>
    <t>NICHOLSON</t>
  </si>
  <si>
    <t>309-15</t>
  </si>
  <si>
    <t>243-15</t>
  </si>
  <si>
    <t>242-15</t>
  </si>
  <si>
    <t>311-15</t>
  </si>
  <si>
    <t>244-15</t>
  </si>
  <si>
    <t>313-15</t>
  </si>
  <si>
    <t>204:435</t>
  </si>
  <si>
    <t>204:233309</t>
  </si>
  <si>
    <t>204:233317</t>
  </si>
  <si>
    <t>204:145</t>
  </si>
  <si>
    <t>204:233307</t>
  </si>
  <si>
    <t>204:429</t>
  </si>
  <si>
    <t>204:232998</t>
  </si>
  <si>
    <t>300:58623</t>
  </si>
  <si>
    <t>Y</t>
  </si>
  <si>
    <t>TEMPORARY SPEED RESTRICTION</t>
  </si>
  <si>
    <t>MAELZER</t>
  </si>
  <si>
    <t>STRICKLAND</t>
  </si>
  <si>
    <t>RICHARDSON</t>
  </si>
  <si>
    <t>MACDONALD</t>
  </si>
  <si>
    <t>BROWN</t>
  </si>
  <si>
    <t>CUSHING</t>
  </si>
  <si>
    <t>BERLING</t>
  </si>
  <si>
    <t>HILLS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</si>
  <si>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</si>
  <si>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</si>
  <si>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</si>
  <si>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</si>
  <si>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</si>
  <si>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</si>
  <si>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</si>
  <si>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</si>
  <si>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</si>
  <si>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</si>
  <si>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</si>
  <si>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partly-cloudy-night</t>
  </si>
  <si>
    <t>204:734</t>
  </si>
  <si>
    <t>204:232996</t>
  </si>
  <si>
    <t>204:741</t>
  </si>
  <si>
    <t>204:147</t>
  </si>
  <si>
    <t>204:233304</t>
  </si>
  <si>
    <t>204:232993</t>
  </si>
  <si>
    <t>204:233318</t>
  </si>
  <si>
    <t>204:437</t>
  </si>
  <si>
    <t>204:232978</t>
  </si>
  <si>
    <t>204:467</t>
  </si>
  <si>
    <t>204:165</t>
  </si>
  <si>
    <t>204:232982</t>
  </si>
  <si>
    <t>204:233293</t>
  </si>
  <si>
    <t>204:233314</t>
  </si>
  <si>
    <t>204:233015</t>
  </si>
  <si>
    <t>204:455</t>
  </si>
  <si>
    <t>204:233009</t>
  </si>
  <si>
    <t>204:233324</t>
  </si>
  <si>
    <t>204:233300</t>
  </si>
  <si>
    <t>204:232983</t>
  </si>
  <si>
    <t>204:1049</t>
  </si>
  <si>
    <t>300:58613</t>
  </si>
  <si>
    <t>204:748</t>
  </si>
  <si>
    <t>204:1009</t>
  </si>
  <si>
    <t>300:58645</t>
  </si>
  <si>
    <t>300:58624</t>
  </si>
  <si>
    <t>rtdc.l.rtdc.4031:itc</t>
  </si>
  <si>
    <t>rtdc.l.rtdc.4017:itc</t>
  </si>
  <si>
    <t>rtdc.l.rtdc.4032:itc</t>
  </si>
  <si>
    <t>EQUIPMENT RESTRICTION</t>
  </si>
  <si>
    <t>238-17</t>
  </si>
  <si>
    <t>SHOOK</t>
  </si>
  <si>
    <t>LALONDE</t>
  </si>
  <si>
    <t>BONDS</t>
  </si>
  <si>
    <t>SMITH</t>
  </si>
  <si>
    <t>DELGADO</t>
  </si>
  <si>
    <t>241-17</t>
  </si>
  <si>
    <t>243-17</t>
  </si>
  <si>
    <t>240-17</t>
  </si>
  <si>
    <t>309-17</t>
  </si>
  <si>
    <t>242-17</t>
  </si>
  <si>
    <t>311-17</t>
  </si>
  <si>
    <t>244-17</t>
  </si>
  <si>
    <t>precipAccumulation</t>
  </si>
  <si>
    <t>precipType</t>
  </si>
  <si>
    <t>snow</t>
  </si>
  <si>
    <t>Light Snow</t>
  </si>
  <si>
    <t>204:233332</t>
  </si>
  <si>
    <t>204:232991</t>
  </si>
  <si>
    <t>204:233282</t>
  </si>
  <si>
    <t>204:232967</t>
  </si>
  <si>
    <t>204:233268</t>
  </si>
  <si>
    <t>204:232990</t>
  </si>
  <si>
    <t>204:475</t>
  </si>
  <si>
    <t>204:442</t>
  </si>
  <si>
    <t>204:446</t>
  </si>
  <si>
    <t>204:233281</t>
  </si>
  <si>
    <t>204:176</t>
  </si>
  <si>
    <t>204:130</t>
  </si>
  <si>
    <t>204:233316</t>
  </si>
  <si>
    <t>204:192</t>
  </si>
  <si>
    <t>204:134</t>
  </si>
  <si>
    <t>204:433</t>
  </si>
  <si>
    <t>204:232981</t>
  </si>
  <si>
    <t>204:482</t>
  </si>
  <si>
    <t>204:233287</t>
  </si>
  <si>
    <t>204:233034</t>
  </si>
  <si>
    <t>204:233336</t>
  </si>
  <si>
    <t>204:233364</t>
  </si>
  <si>
    <t>204:233325</t>
  </si>
  <si>
    <t>204:233305</t>
  </si>
  <si>
    <t>204:233019</t>
  </si>
  <si>
    <t>204:233346</t>
  </si>
  <si>
    <t>204:232966</t>
  </si>
  <si>
    <t>204:233334</t>
  </si>
  <si>
    <t>204:431</t>
  </si>
  <si>
    <t>300:23306</t>
  </si>
  <si>
    <t>204:1028</t>
  </si>
  <si>
    <t>204:684</t>
  </si>
  <si>
    <t>204:983</t>
  </si>
  <si>
    <t>204:1199</t>
  </si>
  <si>
    <t>204:1021</t>
  </si>
  <si>
    <t>204:720</t>
  </si>
  <si>
    <t>300:58621</t>
  </si>
  <si>
    <t>300:58643</t>
  </si>
  <si>
    <t>300:58928</t>
  </si>
  <si>
    <t>204:1025</t>
  </si>
  <si>
    <t>204:689</t>
  </si>
  <si>
    <t>105-18</t>
  </si>
  <si>
    <t>50-18</t>
  </si>
  <si>
    <t>rtdc.l.rtdc.4026:itc</t>
  </si>
  <si>
    <t>106-18</t>
  </si>
  <si>
    <t>rtdc.l.rtdc.4008:itc</t>
  </si>
  <si>
    <t>802-18</t>
  </si>
  <si>
    <t>803-18</t>
  </si>
  <si>
    <t>rtdc.l.rtdc.4007:itc</t>
  </si>
  <si>
    <t>805-18</t>
  </si>
  <si>
    <t>116-18</t>
  </si>
  <si>
    <t>129-18</t>
  </si>
  <si>
    <t>809-18</t>
  </si>
  <si>
    <t>124-18</t>
  </si>
  <si>
    <t>133-18</t>
  </si>
  <si>
    <t>813-18</t>
  </si>
  <si>
    <t>145-18</t>
  </si>
  <si>
    <t>rtdc.l.rtdc.4045:itc</t>
  </si>
  <si>
    <t>142-18</t>
  </si>
  <si>
    <t>rtdc.l.rtdc.4025:itc</t>
  </si>
  <si>
    <t>153-18</t>
  </si>
  <si>
    <t>rtdc.l.rtdc.4046:itc</t>
  </si>
  <si>
    <t>155-18</t>
  </si>
  <si>
    <t>816-18</t>
  </si>
  <si>
    <t>52-18</t>
  </si>
  <si>
    <t>819-18</t>
  </si>
  <si>
    <t>820-18</t>
  </si>
  <si>
    <t>173-18</t>
  </si>
  <si>
    <t>181-18</t>
  </si>
  <si>
    <t>178-18</t>
  </si>
  <si>
    <t>824-18</t>
  </si>
  <si>
    <t>189-18</t>
  </si>
  <si>
    <t>193-18</t>
  </si>
  <si>
    <t>199-18</t>
  </si>
  <si>
    <t>66-18</t>
  </si>
  <si>
    <t>68-18</t>
  </si>
  <si>
    <t>303-18</t>
  </si>
  <si>
    <t>839-18</t>
  </si>
  <si>
    <t>218-18</t>
  </si>
  <si>
    <t>51-18</t>
  </si>
  <si>
    <t>302-18</t>
  </si>
  <si>
    <t>101-18</t>
  </si>
  <si>
    <t>103-18</t>
  </si>
  <si>
    <t>DAVIS</t>
  </si>
  <si>
    <t>ROBINSON</t>
  </si>
  <si>
    <t>107-18</t>
  </si>
  <si>
    <t>104-18</t>
  </si>
  <si>
    <t>109-18</t>
  </si>
  <si>
    <t>901-18</t>
  </si>
  <si>
    <t>111-18</t>
  </si>
  <si>
    <t>ISHMAEL</t>
  </si>
  <si>
    <t>113-18</t>
  </si>
  <si>
    <t>800-18</t>
  </si>
  <si>
    <t>108-18</t>
  </si>
  <si>
    <t>801-18</t>
  </si>
  <si>
    <t>115-18</t>
  </si>
  <si>
    <t>110-18</t>
  </si>
  <si>
    <t>117-18</t>
  </si>
  <si>
    <t>112-18</t>
  </si>
  <si>
    <t>119-18</t>
  </si>
  <si>
    <t>902-18</t>
  </si>
  <si>
    <t>114-18</t>
  </si>
  <si>
    <t>121-18</t>
  </si>
  <si>
    <t>123-18</t>
  </si>
  <si>
    <t>804-18</t>
  </si>
  <si>
    <t>118-18</t>
  </si>
  <si>
    <t>125-18</t>
  </si>
  <si>
    <t>120-18</t>
  </si>
  <si>
    <t>127-18</t>
  </si>
  <si>
    <t>122-18</t>
  </si>
  <si>
    <t>807-18</t>
  </si>
  <si>
    <t>806-18</t>
  </si>
  <si>
    <t>131-18</t>
  </si>
  <si>
    <t>126-18</t>
  </si>
  <si>
    <t>808-18</t>
  </si>
  <si>
    <t>128-18</t>
  </si>
  <si>
    <t>135-18</t>
  </si>
  <si>
    <t>130-18</t>
  </si>
  <si>
    <t>810-18</t>
  </si>
  <si>
    <t>811-18</t>
  </si>
  <si>
    <t>137-18</t>
  </si>
  <si>
    <t>132-18</t>
  </si>
  <si>
    <t>139-18</t>
  </si>
  <si>
    <t>134-18</t>
  </si>
  <si>
    <t>903-18</t>
  </si>
  <si>
    <t>812-18</t>
  </si>
  <si>
    <t>141-18</t>
  </si>
  <si>
    <t>136-18</t>
  </si>
  <si>
    <t>138-18</t>
  </si>
  <si>
    <t>143-18</t>
  </si>
  <si>
    <t>140-18</t>
  </si>
  <si>
    <t>147-18</t>
  </si>
  <si>
    <t>149-18</t>
  </si>
  <si>
    <t>814-18</t>
  </si>
  <si>
    <t>144-18</t>
  </si>
  <si>
    <t>151-18</t>
  </si>
  <si>
    <t>815-18</t>
  </si>
  <si>
    <t>146-18</t>
  </si>
  <si>
    <t>148-18</t>
  </si>
  <si>
    <t>150-18</t>
  </si>
  <si>
    <t>157-18</t>
  </si>
  <si>
    <t>152-18</t>
  </si>
  <si>
    <t>159-18</t>
  </si>
  <si>
    <t>STEWART</t>
  </si>
  <si>
    <t>154-18</t>
  </si>
  <si>
    <t>161-18</t>
  </si>
  <si>
    <t>CLARK</t>
  </si>
  <si>
    <t>156-18</t>
  </si>
  <si>
    <t>53-18</t>
  </si>
  <si>
    <t>HAITHCOX</t>
  </si>
  <si>
    <t>817-18</t>
  </si>
  <si>
    <t>163-18</t>
  </si>
  <si>
    <t>158-18</t>
  </si>
  <si>
    <t>818-18</t>
  </si>
  <si>
    <t>54-18</t>
  </si>
  <si>
    <t>165-18</t>
  </si>
  <si>
    <t>160-18</t>
  </si>
  <si>
    <t>167-18</t>
  </si>
  <si>
    <t>162-18</t>
  </si>
  <si>
    <t>169-18</t>
  </si>
  <si>
    <t>55-18</t>
  </si>
  <si>
    <t>164-18</t>
  </si>
  <si>
    <t>171-18</t>
  </si>
  <si>
    <t>166-18</t>
  </si>
  <si>
    <t>168-18</t>
  </si>
  <si>
    <t>175-18</t>
  </si>
  <si>
    <t>821-18</t>
  </si>
  <si>
    <t>170-18</t>
  </si>
  <si>
    <t>177-18</t>
  </si>
  <si>
    <t>172-18</t>
  </si>
  <si>
    <t>179-18</t>
  </si>
  <si>
    <t>174-18</t>
  </si>
  <si>
    <t>822-18</t>
  </si>
  <si>
    <t>176-18</t>
  </si>
  <si>
    <t>183-18</t>
  </si>
  <si>
    <t>185-18</t>
  </si>
  <si>
    <t>823-18</t>
  </si>
  <si>
    <t>180-18</t>
  </si>
  <si>
    <t>187-18</t>
  </si>
  <si>
    <t>182-18</t>
  </si>
  <si>
    <t>184-18</t>
  </si>
  <si>
    <t>191-18</t>
  </si>
  <si>
    <t>186-18</t>
  </si>
  <si>
    <t>825-18</t>
  </si>
  <si>
    <t>904-18</t>
  </si>
  <si>
    <t>188-18</t>
  </si>
  <si>
    <t>195-18</t>
  </si>
  <si>
    <t>190-18</t>
  </si>
  <si>
    <t>826-18</t>
  </si>
  <si>
    <t>197-18</t>
  </si>
  <si>
    <t>827-18</t>
  </si>
  <si>
    <t>192-18</t>
  </si>
  <si>
    <t>194-18</t>
  </si>
  <si>
    <t>828-18</t>
  </si>
  <si>
    <t>829-18</t>
  </si>
  <si>
    <t>201-18</t>
  </si>
  <si>
    <t>196-18</t>
  </si>
  <si>
    <t>203-18</t>
  </si>
  <si>
    <t>831-18</t>
  </si>
  <si>
    <t>198-18</t>
  </si>
  <si>
    <t>830-18</t>
  </si>
  <si>
    <t>205-18</t>
  </si>
  <si>
    <t>200-18</t>
  </si>
  <si>
    <t>207-18</t>
  </si>
  <si>
    <t>83-18</t>
  </si>
  <si>
    <t>202-18</t>
  </si>
  <si>
    <t>832-18</t>
  </si>
  <si>
    <t>209-18</t>
  </si>
  <si>
    <t>833-18</t>
  </si>
  <si>
    <t>204-18</t>
  </si>
  <si>
    <t>211-18</t>
  </si>
  <si>
    <t>206-18</t>
  </si>
  <si>
    <t>835-18</t>
  </si>
  <si>
    <t>834-18</t>
  </si>
  <si>
    <t>213-18</t>
  </si>
  <si>
    <t>208-18</t>
  </si>
  <si>
    <t>210-18</t>
  </si>
  <si>
    <t>215-18</t>
  </si>
  <si>
    <t>836-18</t>
  </si>
  <si>
    <t>217-18</t>
  </si>
  <si>
    <t>212-18</t>
  </si>
  <si>
    <t>837-18</t>
  </si>
  <si>
    <t>219-18</t>
  </si>
  <si>
    <t>WHITED</t>
  </si>
  <si>
    <t>71-18</t>
  </si>
  <si>
    <t>214-18</t>
  </si>
  <si>
    <t>838-18</t>
  </si>
  <si>
    <t>216-18</t>
  </si>
  <si>
    <t>221-18</t>
  </si>
  <si>
    <t>906-18</t>
  </si>
  <si>
    <t>305-18</t>
  </si>
  <si>
    <t>841-18</t>
  </si>
  <si>
    <t>220-18</t>
  </si>
  <si>
    <t>223-18</t>
  </si>
  <si>
    <t>840-18</t>
  </si>
  <si>
    <t>307-18</t>
  </si>
  <si>
    <t>222-18</t>
  </si>
  <si>
    <t>225-18</t>
  </si>
  <si>
    <t>843-18</t>
  </si>
  <si>
    <t>224-18</t>
  </si>
  <si>
    <t>227-18</t>
  </si>
  <si>
    <t>842-18</t>
  </si>
  <si>
    <t>226-18</t>
  </si>
  <si>
    <t>229-18</t>
  </si>
  <si>
    <t>845-18</t>
  </si>
  <si>
    <t>228-18</t>
  </si>
  <si>
    <t>231-18</t>
  </si>
  <si>
    <t>YANAI</t>
  </si>
  <si>
    <t>844-18</t>
  </si>
  <si>
    <t>230-18</t>
  </si>
  <si>
    <t>233-18</t>
  </si>
  <si>
    <t>847-18</t>
  </si>
  <si>
    <t>232-18</t>
  </si>
  <si>
    <t>235-18</t>
  </si>
  <si>
    <t>908-18</t>
  </si>
  <si>
    <t>234-18</t>
  </si>
  <si>
    <t>237-18</t>
  </si>
  <si>
    <t>239-18</t>
  </si>
  <si>
    <t>236-18</t>
  </si>
  <si>
    <t>238-18</t>
  </si>
  <si>
    <t>241-18</t>
  </si>
  <si>
    <t>240-18</t>
  </si>
  <si>
    <t>243-18</t>
  </si>
  <si>
    <t>245-18</t>
  </si>
  <si>
    <t>242-18</t>
  </si>
  <si>
    <t>309-18</t>
  </si>
  <si>
    <t>244-18</t>
  </si>
  <si>
    <t>clear-day</t>
  </si>
  <si>
    <t>Clear</t>
  </si>
  <si>
    <t>clear-night</t>
  </si>
  <si>
    <t>204:775</t>
  </si>
  <si>
    <t>204:768</t>
  </si>
  <si>
    <t>204:233321</t>
  </si>
  <si>
    <t>204:232685</t>
  </si>
  <si>
    <t>204:161</t>
  </si>
  <si>
    <t>204:781</t>
  </si>
  <si>
    <t>204:232668</t>
  </si>
  <si>
    <t>204:103</t>
  </si>
  <si>
    <t>204:309</t>
  </si>
  <si>
    <t>204:777</t>
  </si>
  <si>
    <t>204:232986</t>
  </si>
  <si>
    <t>204:233323</t>
  </si>
  <si>
    <t>204:233013</t>
  </si>
  <si>
    <t>204:233310</t>
  </si>
  <si>
    <t>204:610</t>
  </si>
  <si>
    <t>204:39736</t>
  </si>
  <si>
    <t>204:233299</t>
  </si>
  <si>
    <t>204:232988</t>
  </si>
  <si>
    <t>204:233320</t>
  </si>
  <si>
    <t>204:233328</t>
  </si>
  <si>
    <t>204:19129</t>
  </si>
  <si>
    <t>204:172</t>
  </si>
  <si>
    <t>204:127</t>
  </si>
  <si>
    <t>204:233319</t>
  </si>
  <si>
    <t>204:233276</t>
  </si>
  <si>
    <t>204:232955</t>
  </si>
  <si>
    <t>204:19551</t>
  </si>
  <si>
    <t>204:233329</t>
  </si>
  <si>
    <t>204:233283</t>
  </si>
  <si>
    <t>204:232951</t>
  </si>
  <si>
    <t>204:136</t>
  </si>
  <si>
    <t>204:478</t>
  </si>
  <si>
    <t>204:233008</t>
  </si>
  <si>
    <t>204:460</t>
  </si>
  <si>
    <t>204:233391</t>
  </si>
  <si>
    <t>204:233076</t>
  </si>
  <si>
    <t>204:233062</t>
  </si>
  <si>
    <t>204:232992</t>
  </si>
  <si>
    <t>204:233162</t>
  </si>
  <si>
    <t>204:232847</t>
  </si>
  <si>
    <t>204:101</t>
  </si>
  <si>
    <t>204:233374</t>
  </si>
  <si>
    <t>204:233004</t>
  </si>
  <si>
    <t>204:393</t>
  </si>
  <si>
    <t>204:233372</t>
  </si>
  <si>
    <t>204:233023</t>
  </si>
  <si>
    <t>204:94</t>
  </si>
  <si>
    <t>204:233381</t>
  </si>
  <si>
    <t>204:233072</t>
  </si>
  <si>
    <t>204:232973</t>
  </si>
  <si>
    <t>204:178</t>
  </si>
  <si>
    <t>204:233311</t>
  </si>
  <si>
    <t>204:387</t>
  </si>
  <si>
    <t>204:233353</t>
  </si>
  <si>
    <t>204:233057</t>
  </si>
  <si>
    <t>204:63</t>
  </si>
  <si>
    <t>204:233046</t>
  </si>
  <si>
    <t>204:232979</t>
  </si>
  <si>
    <t>204:380</t>
  </si>
  <si>
    <t>204:233001</t>
  </si>
  <si>
    <t>204:121</t>
  </si>
  <si>
    <t>204:163</t>
  </si>
  <si>
    <t>204:118</t>
  </si>
  <si>
    <t>204:233255</t>
  </si>
  <si>
    <t>204:232976</t>
  </si>
  <si>
    <t>204:411</t>
  </si>
  <si>
    <t>246-18</t>
  </si>
  <si>
    <t>300:23156</t>
  </si>
  <si>
    <t>300:23302</t>
  </si>
  <si>
    <t>300:23310</t>
  </si>
  <si>
    <t>311-18</t>
  </si>
  <si>
    <t>300:22833</t>
  </si>
  <si>
    <t>313-18</t>
  </si>
  <si>
    <t>300:23304</t>
  </si>
  <si>
    <t>204:58238</t>
  </si>
  <si>
    <t>204:871</t>
  </si>
  <si>
    <t>204:64389</t>
  </si>
  <si>
    <t>204:64161</t>
  </si>
  <si>
    <t>204:1160</t>
  </si>
  <si>
    <t>204:64726</t>
  </si>
  <si>
    <t>300:22214</t>
  </si>
  <si>
    <t>204:1073</t>
  </si>
  <si>
    <t>204:1537</t>
  </si>
  <si>
    <t>300:31310</t>
  </si>
  <si>
    <t>300:30996</t>
  </si>
  <si>
    <t>300:21986</t>
  </si>
  <si>
    <t>204:90</t>
  </si>
  <si>
    <t>300:23243</t>
  </si>
  <si>
    <t>204:900</t>
  </si>
  <si>
    <t>204:388</t>
  </si>
  <si>
    <t>300:23301</t>
  </si>
  <si>
    <t>204:740</t>
  </si>
  <si>
    <t>300:58958</t>
  </si>
  <si>
    <t>204:1020</t>
  </si>
  <si>
    <t>300:58931</t>
  </si>
  <si>
    <t>204:733</t>
  </si>
  <si>
    <t>204:1027</t>
  </si>
  <si>
    <t>300:58933</t>
  </si>
  <si>
    <t>204:755</t>
  </si>
  <si>
    <t>300:58611</t>
  </si>
  <si>
    <t>204:1053</t>
  </si>
  <si>
    <t>300:58602</t>
  </si>
  <si>
    <t>204:794</t>
  </si>
  <si>
    <t>204:1034</t>
  </si>
  <si>
    <t>300:58606</t>
  </si>
  <si>
    <t>300:58922</t>
  </si>
  <si>
    <t>204:982</t>
  </si>
  <si>
    <t>204:1303</t>
  </si>
  <si>
    <t>300:58926</t>
  </si>
  <si>
    <t>204:666</t>
  </si>
  <si>
    <t>204:976</t>
  </si>
  <si>
    <t>300:58943</t>
  </si>
  <si>
    <t>300:58617</t>
  </si>
  <si>
    <t>204:761</t>
  </si>
  <si>
    <t>204:1030</t>
  </si>
  <si>
    <t>204:726</t>
  </si>
  <si>
    <t>204:1013</t>
  </si>
  <si>
    <t>204:925</t>
  </si>
  <si>
    <t>204:670</t>
  </si>
  <si>
    <t>300:58920</t>
  </si>
  <si>
    <t>204:1522</t>
  </si>
  <si>
    <t>300:23346</t>
  </si>
  <si>
    <t>204:754</t>
  </si>
  <si>
    <t>204:944</t>
  </si>
  <si>
    <t>204:696</t>
  </si>
  <si>
    <t>204:1048</t>
  </si>
  <si>
    <t>300:58632</t>
  </si>
  <si>
    <t>204:971</t>
  </si>
  <si>
    <t>300:58944</t>
  </si>
  <si>
    <t>300:24743</t>
  </si>
  <si>
    <t>204:691</t>
  </si>
  <si>
    <t>300:58626</t>
  </si>
  <si>
    <t>300:27726</t>
  </si>
  <si>
    <t>300:58941</t>
  </si>
  <si>
    <t>300:58619</t>
  </si>
  <si>
    <t>204:747</t>
  </si>
  <si>
    <t>204:1035</t>
  </si>
  <si>
    <t>300:58939</t>
  </si>
  <si>
    <t>204:974</t>
  </si>
  <si>
    <t>300:58916</t>
  </si>
  <si>
    <t>300:30561</t>
  </si>
  <si>
    <t>300:58971</t>
  </si>
  <si>
    <t>300:23491</t>
  </si>
  <si>
    <t>204:1063</t>
  </si>
  <si>
    <t>300:26883</t>
  </si>
  <si>
    <t>300:23739</t>
  </si>
  <si>
    <t>204:650</t>
  </si>
  <si>
    <t>300:28774</t>
  </si>
  <si>
    <t>300:58600</t>
  </si>
  <si>
    <t>300:21791</t>
  </si>
  <si>
    <t>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 &amp; aws s3 cp s3://rtdc.mdm.uploadarchive.raw/RTDC4009/ "%USERPROFILE%\AppData\Local\Temp\OnboardLogs"\RTDC4009\2016-11-19 --exclude "*" --recursive --include "*20161119*" &amp; "%USERPROFILE%\Documents\GitHub\mrs-test-scripts\Headless Mode &amp; Sideloading\WalkAndUnGZ.bat" "%USERPROFILE%\AppData\Local\Temp\OnboardLogs"\RTDC4009\2016-11-19</t>
  </si>
  <si>
    <t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t>
  </si>
  <si>
    <t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t>
  </si>
  <si>
    <t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t>
  </si>
  <si>
    <t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t>
  </si>
  <si>
    <t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t>
  </si>
  <si>
    <t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t>
  </si>
  <si>
    <t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t>
  </si>
  <si>
    <t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t>
  </si>
  <si>
    <t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t>
  </si>
  <si>
    <t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t>
  </si>
  <si>
    <t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t>
  </si>
  <si>
    <t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t>
  </si>
  <si>
    <t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t>
  </si>
  <si>
    <t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t>
  </si>
  <si>
    <t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t>
  </si>
  <si>
    <t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t>
  </si>
  <si>
    <t>Onboard in-route failure</t>
  </si>
  <si>
    <t>Multiple CPU primary/secondary changes within a minute</t>
  </si>
  <si>
    <t>Nav fault</t>
  </si>
  <si>
    <t>Operator erroneously selected MAIN 2, caused navigation faults</t>
  </si>
  <si>
    <t>Main 3 departure</t>
  </si>
  <si>
    <t>From 08:01 - 08:45, CRMF Pocket CP was offline, anything in logs say why?</t>
  </si>
  <si>
    <t>Canceled due to ADT XING Updates</t>
  </si>
  <si>
    <t>Overspeed</t>
  </si>
  <si>
    <t>Early arrival</t>
  </si>
  <si>
    <t>Early arrival (41st)</t>
  </si>
  <si>
    <t>CRMF N 2N not cleared until 09:32</t>
  </si>
  <si>
    <t>CP CRMF POCKET offline for 45 min</t>
  </si>
  <si>
    <t>SYS :2016/11/18 11:36:15.081:ENFORCEMENT:Predictive Enforcement Action:  Target Number: 00017010  Target Speed:  78.0  Current Speed:  83.0</t>
  </si>
  <si>
    <t>SYS :2016/11/18 11:36:15.410:ENFORCEMENT:Predictive Enforcement Action:  Target Number: 00017010  Target Speed:  78.0  Current Speed:  83.0</t>
  </si>
  <si>
    <t>SYS :2016/11/18 11:36:16.014:ENFORCEMENT:Predictive Enforcement Action:  Target Number: 00017010  Target Speed:  78.0  Current Speed:  83.0</t>
  </si>
  <si>
    <t>SYS :2016/11/18 12:11:43.589:ENFORCEMENT:Predictive Enforcement Action:  Target Number: 0001000E  Target Speed:  15.0  Current Speed:  20.0</t>
  </si>
  <si>
    <t>SYS :2016/11/18 12:11:44.206:ENFORCEMENT:Predictive Enforcement Action:  Target Number: 0001000E  Target Speed:  15.0  Current Speed:  20.0</t>
  </si>
  <si>
    <t>SYS :2016/11/18 12:11:44.998:ENFORCEMENT:Predictive Enforcement Action:  Target Number: 0001000E  Target Speed:  15.0  Current Speed:  20.0</t>
  </si>
  <si>
    <t>SYS :2016/11/18 13:57:35.485:ENFORCEMENT:Predictive Enforcement Action:  Target Number: 0001001C  Target Speed:  30.0  Current Speed:  43.7</t>
  </si>
  <si>
    <t>SYS :2016/11/18 13:57:35.864:ENFORCEMENT:Predictive Enforcement Action:  Target Number: 0001001C  Target Speed:  30.0  Current Speed:  43.7</t>
  </si>
  <si>
    <t>SYS :2016/11/18 14:01:15.493:ENFORCEMENT:Predictive Enforcement Action:  Target Number: 00010023  Target Speed:  20.0  Current Speed:  39.4</t>
  </si>
  <si>
    <t>SYS :2016/11/18 14:01:15.874:ENFORCEMENT:Predictive Enforcement Action:  Target Number: 00010023  Target Speed:  20.0  Current Speed:  39.4</t>
  </si>
  <si>
    <t>SYS :2016/11/18 14:51:39.424:ENFORCEMENT:Predictive Enforcement Action:  Target Number: 00001007  Target Speed:   0.0  Current Speed:  11.4</t>
  </si>
  <si>
    <t>SYS :2016/11/18 14:51:40.399:ENFORCEMENT:Predictive Enforcement Action:  Target Number: 00001007  Target Speed:   0.0  Current Speed:  11.4</t>
  </si>
  <si>
    <t>SYS :2016/11/18 15:10:58.865:ENFORCEMENT:Predictive Enforcement Action:  Target Number: 00001008  Target Speed:   0.0  Current Speed:   6.6</t>
  </si>
  <si>
    <t>SYS :2016/11/18 15:21:05.990:ENFORCEMENT:Predictive Enforcement Action:  Target Number: 00001007  Target Speed:   0.0  Current Speed:   5.4</t>
  </si>
  <si>
    <t>SYS :2016/11/18 15:21:06.055:ENFORCEMENT:Predictive Enforcement Action:  Target Number: 00001007  Target Speed:   0.0  Current Speed:   5.4</t>
  </si>
  <si>
    <t>SYS :2016/11/18 15:21:06.379:ENFORCEMENT:Predictive Enforcement Action:  Target Number: 00001007  Target Speed:   0.0  Current Speed:   5.3</t>
  </si>
  <si>
    <t>SYS :2016/11/18 15:36:30.293:ENFORCEMENT:Predictive Enforcement Action:  Target Number: 00001005  Target Speed:   0.0  Current Speed:   4.1</t>
  </si>
  <si>
    <t>SYS :2016/11/18 16:28:26.236:ENFORCEMENT:Reactive Enforcement Action:  Target Number: 0000608C  Target Speed:  20.0  Current Speed:  25.2</t>
  </si>
  <si>
    <t>SYS :2016/11/18 16:28:26.605:ENFORCEMENT:Reactive Enforcement Action:  Target Number: 0000608D  Target Speed:  20.0  Current Speed:  25.2</t>
  </si>
  <si>
    <t>SYS :2016/11/18 16:28:27.483:ENFORCEMENT:Reactive Enforcement Action:  Target Number: 0000608C  Target Speed:  20.0  Current Speed:  25.2</t>
  </si>
  <si>
    <t>SYS :2016/11/18 16:47:56.316:ENFORCEMENT:Reactive Enforcement Action:  Target Number: 00010044  Target Speed:  60.0  Current Speed:  65.6</t>
  </si>
  <si>
    <t>SYS :2016/11/18 16:47:56.791:ENFORCEMENT:Reactive Enforcement Action:  Target Number: 0001006A  Target Speed:  60.0  Current Speed:  65.6</t>
  </si>
  <si>
    <t>SYS :2016/11/18 16:47:57.075:ENFORCEMENT:Reactive Enforcement Action:  Target Number: 0001006A  Target Speed:  60.0  Current Speed:  65.6</t>
  </si>
  <si>
    <t>SYS :2016/11/18 17:15:31.026:ENFORCEMENT:Reactive Enforcement Action:  Target Number: 00006003  Target Speed:   0.0  Current Speed:   8.0</t>
  </si>
  <si>
    <t>SYS :2016/11/18 17:15:31.264:ENFORCEMENT:Reactive Enforcement Action:  Target Number: 00006003  Target Speed:   0.0  Current Speed:   8.0</t>
  </si>
  <si>
    <t>SYS :2016/11/18 17:15:31.443:ENFORCEMENT:Reactive Enforcement Action:  Target Number: 00006003  Target Speed:   0.0  Current Speed:   8.0</t>
  </si>
  <si>
    <t>SYS :2016/11/18 17:32:34.956:ENFORCEMENT:Reactive Enforcement Action:  Target Number: 0001006E  Target Speed:  40.0  Current Speed:  45.0</t>
  </si>
  <si>
    <t>SYS :2016/11/18 17:32:35.472:ENFORCEMENT:Reactive Enforcement Action:  Target Number: 0001006E  Target Speed:  40.0  Current Speed:  45.0</t>
  </si>
  <si>
    <t>SYS :2016/11/18 17:32:35.478:ENFORCEMENT:Reactive Enforcement Action:  Target Number: 0001006F  Target Speed:  40.0  Current Speed:  45.0</t>
  </si>
  <si>
    <t>SYS :2016/11/18 17:57:14.953:ENFORCEMENT:Reactive Enforcement Action:  Target Number: 0000F00E  Target Speed:  79.0  Current Speed:  84.1</t>
  </si>
  <si>
    <t>SYS :2016/11/18 17:57:15.473:ENFORCEMENT:Reactive Enforcement Action:  Target Number: 0000F00E  Target Speed:  79.0  Current Speed:  84.1</t>
  </si>
  <si>
    <t>SYS :2016/11/18 20:21:41.210:ENFORCEMENT:Predictive Enforcement Action:  Target Number: 0000100D  Target Speed:   0.0  Current Speed:  14.8</t>
  </si>
  <si>
    <t>SYS :2016/11/18 20:21:41.456:ENFORCEMENT:Predictive Enforcement Action:  Target Number: 0000100D  Target Speed:   0.0  Current Speed:  14.8</t>
  </si>
  <si>
    <t>SYS :2016/11/18 20:21:41.592:ENFORCEMENT:Predictive Enforcement Action:  Target Number: 0000100D  Target Speed:   0.0  Current Speed:  14.8</t>
  </si>
  <si>
    <t>SYS :2016/11/18 20:22:21.207:ENFORCEMENT:Predictive Enforcement Action:  Target Number: 0000100D  Target Speed:   0.0  Current Speed:   7.7</t>
  </si>
  <si>
    <t>SYS :2016/11/18 20:22:22.453:ENFORCEMENT:Predictive Enforcement Action:  Target Number: 0000100D  Target Speed:   0.0  Current Speed:   7.7</t>
  </si>
  <si>
    <t>SYS :2016/11/18 20:22:22.586:ENFORCEMENT:Predictive Enforcement Action:  Target Number: 0000100D  Target Speed:   0.0  Current Speed:   7.7</t>
  </si>
  <si>
    <t>SYS :2016/11/18 21:16:36.046:ENFORCEMENT:Predictive Enforcement Action:  Target Number: 00010072  Target Speed:  45.0  Current Speed:  78.9</t>
  </si>
  <si>
    <t>SYS :2016/11/18 21:16:36.270:ENFORCEMENT:Predictive Enforcement Action:  Target Number: 00010072  Target Speed:  45.0  Current Speed:  78.9</t>
  </si>
  <si>
    <t>SYS :2016/11/18 21:16:36.616:ENFORCEMENT:Predictive Enforcement Action:  Target Number: 00010030  Target Speed:  45.0  Current Speed:  79.1</t>
  </si>
  <si>
    <t>SYS :2016/11/18 21:39:54.372:ENFORCEMENT:Predictive Enforcement Action:  Target Number: 00017061  Target Speed:   0.0  Current Speed:  21.7</t>
  </si>
  <si>
    <t>SYS :2016/11/18 21:39:54.439:ENFORCEMENT:Predictive Enforcement Action:  Target Number: 00017091  Target Speed:   0.0  Current Speed:  21.7</t>
  </si>
  <si>
    <t>SYS :2016/11/18 21:39:55.233:ENFORCEMENT:Predictive Enforcement Action:  Target Number: 00017091  Target Speed:   0.0  Current Speed:  21.7</t>
  </si>
  <si>
    <t>SYS :2016/11/18 22:22:20.397:ENFORCEMENT:Predictive Enforcement Action:  Target Number: 00001011  Target Speed:   0.0  Current Speed:  15.6</t>
  </si>
  <si>
    <t>SYS :2016/11/18 22:22:20.611:ENFORCEMENT:Predictive Enforcement Action:  Target Number: 00001002  Target Speed:   0.0  Current Speed:  15.6</t>
  </si>
  <si>
    <t>SYS :2016/11/18 22:22:20.992:ENFORCEMENT:Predictive Enforcement Action:  Target Number: 00001011  Target Speed:   0.0  Current Speed:  15.6</t>
  </si>
  <si>
    <t>SYS :2016/11/18 23:33:42.405:ENFORCEMENT:Predictive Enforcement Action:  Target Number: 00010134  Target Speed:  55.0  Current Speed:  61.7</t>
  </si>
  <si>
    <t>SYS :2016/11/18 23:33:42.439:ENFORCEMENT:Predictive Enforcement Action:  Target Number: 00010134  Target Speed:  55.0  Current Speed:  61.7</t>
  </si>
  <si>
    <t>SYS :2016/11/19 01:04:36.500:ENFORCEMENT:Predictive Enforcement Action:  Target Number: 00001027  Target Speed:   0.0  Current Speed:   3.3</t>
  </si>
  <si>
    <t>SYS :2016/11/19 01:04:36.564:ENFORCEMENT:Predictive Enforcement Action:  Target Number: 00001019  Target Speed:   0.0  Current Speed:   3.3</t>
  </si>
  <si>
    <t>SYS :2016/11/19 01:04:37.284:ENFORCEMENT:Predictive Enforcement Action:  Target Number: 00001027  Target Speed:   0.0  Current Speed:   3.3</t>
  </si>
  <si>
    <t>SYS :2016/11/19 02:13:39.209:ENFORCEMENT:Reactive Enforcement Action:  Target Number: 00010108  Target Speed:  35.0  Current Speed:  40.2</t>
  </si>
  <si>
    <t>SYS :2016/11/19 02:13:39.638:ENFORCEMENT:Reactive Enforcement Action:  Target Number: 00010099  Target Speed:  35.0  Current Speed:  40.2</t>
  </si>
  <si>
    <t>SYS :2016/11/19 02:13:39.915:ENFORCEMENT:Reactive Enforcement Action:  Target Number: 00010108  Target Speed:  35.0  Current Speed:  40.2</t>
  </si>
  <si>
    <t>SYS :2016/11/19 02:44:38.909:ENFORCEMENT:Reactive Enforcement Action:  Target Number: 0000A00A  Target Speed:  15.0  Current Speed:  20.7</t>
  </si>
  <si>
    <t>SYS :2016/11/19 02:44:39.203:ENFORCEMENT:Reactive Enforcement Action:  Target Number: 0000A00A  Target Speed:  15.0  Current Speed:  20.7</t>
  </si>
  <si>
    <t>SYS :2016/11/19 02:44:39.628:ENFORCEMENT:Reactive Enforcement Action:  Target Number: 0000A006  Target Speed:  15.0  Current Speed:  20.7</t>
  </si>
  <si>
    <t>Banner without braking</t>
  </si>
  <si>
    <t>CPU2 commanded enforcement, others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</si>
</sst>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0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42692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COUNTIFS($N$13:$N$9383,"&gt;0",$AG$13:$AG$9383,I1)</f>
        <v>141</v>
      </c>
      <c r="K5" s="44"/>
      <c r="L5" s="44"/>
      <c r="M5" s="45">
        <f>AVERAGEIFS($N$13:$N$9383,$AG$13:$AG$9383,I1)</f>
        <v>38.393144207867856</v>
      </c>
      <c r="N5" s="43">
        <f t="array" ref="N5">MIN(IF($AG$13:$AG$9383=I1,IF(ISNUMBER($N$13:$N$9383),IF($N$13:$N$9383&gt;0,$N$13:$N$9383))))</f>
        <v>34.166666659293696</v>
      </c>
      <c r="O5" s="3">
        <f t="array" ref="O5">MAX(IF($AG$13:$AG$9383=I1,IF(ISNUMBER($N$13:$N$9383),IF($N$13:$N$9383&gt;0,$N$13:$N$9383))))</f>
        <v>49.483333333628252</v>
      </c>
      <c r="P5" s="2"/>
      <c r="R5" s="80" t="s">
        <v>17</v>
      </c>
      <c r="S5" s="55">
        <f>COUNTIFS($N$13:$N$9383,"&gt;0",$AG$13:$AG$9383,R1)</f>
        <v>46</v>
      </c>
      <c r="T5" s="44"/>
      <c r="U5" s="169"/>
      <c r="V5" s="45">
        <f>AVERAGEIFS($N$13:$N$9383,$AG$13:$AG$9383,R1)</f>
        <v>15.35144927567276</v>
      </c>
      <c r="W5" s="43">
        <f t="array" ref="W5">MIN(IF($AG$13:$AG$9383=R1,IF(ISNUMBER($N$13:$N$9383),IF($N$13:$N$9383&gt;0,$N$13:$N$9383))))</f>
        <v>12.783333335537463</v>
      </c>
      <c r="X5" s="173">
        <f t="array" ref="X5">MAX(IF($AG$13:$AG$9383=R1,IF(ISNUMBER($N$13:$N$9383),IF($N$13:$N$9383&gt;0,$N$13:$N$9383))))</f>
        <v>19.150000002700835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COUNT($O$13:$O$157)</f>
        <v>0</v>
      </c>
      <c r="K6" s="44"/>
      <c r="L6" s="44"/>
      <c r="M6" s="45">
        <f>IFERROR(AVERAGE($O$13:$O$157),0)</f>
        <v>0</v>
      </c>
      <c r="N6" s="43">
        <f>MIN($O$13:$O$157)</f>
        <v>0</v>
      </c>
      <c r="O6" s="3">
        <f>MAX($O$13:$O$157)</f>
        <v>0</v>
      </c>
      <c r="P6" s="2"/>
      <c r="R6" s="81" t="s">
        <v>43</v>
      </c>
      <c r="S6" s="55">
        <f>COUNT($O$13:$O$157)</f>
        <v>0</v>
      </c>
      <c r="T6" s="44"/>
      <c r="U6" s="169"/>
      <c r="V6" s="45">
        <f>IFERROR(AVERAGE($O$13:$O$157),0)</f>
        <v>0</v>
      </c>
      <c r="W6" s="43">
        <f>MIN($O$13:$O$157)</f>
        <v>0</v>
      </c>
      <c r="X6" s="173">
        <f>MAX($O$13:$O$157)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COUNTIFS($P$13:$P$9383,"&gt;0",$AG$13:$AG$9383,I1)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COUNTIFS($P$13:$P$9383,"&gt;0",$AG$13:$AG$9383,R1)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38.393144207867856</v>
      </c>
      <c r="N8" s="43">
        <f>N5</f>
        <v>34.166666659293696</v>
      </c>
      <c r="O8" s="3">
        <f>O5</f>
        <v>49.483333333628252</v>
      </c>
      <c r="P8" s="2"/>
      <c r="R8" s="80" t="s">
        <v>16</v>
      </c>
      <c r="S8" s="55">
        <f>S5</f>
        <v>46</v>
      </c>
      <c r="T8" s="44"/>
      <c r="U8" s="169"/>
      <c r="V8" s="45">
        <f>V5</f>
        <v>15.35144927567276</v>
      </c>
      <c r="W8" s="43">
        <f>W5</f>
        <v>12.783333335537463</v>
      </c>
      <c r="X8" s="173">
        <f>X5</f>
        <v>19.150000002700835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- 2016-11-18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AVERAGE(S13:S102)</f>
        <v>0.99722222222222223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471</v>
      </c>
      <c r="B13" s="7">
        <v>4016</v>
      </c>
      <c r="C13" s="22" t="s">
        <v>218</v>
      </c>
      <c r="D13" s="22" t="s">
        <v>660</v>
      </c>
      <c r="E13" s="13">
        <v>42692.157592592594</v>
      </c>
      <c r="F13" s="13">
        <v>42692.159571759257</v>
      </c>
      <c r="G13" s="7">
        <v>1</v>
      </c>
      <c r="H13" s="22" t="s">
        <v>661</v>
      </c>
      <c r="I13" s="13">
        <v>42692.18917824074</v>
      </c>
      <c r="J13" s="7">
        <v>0</v>
      </c>
      <c r="K13" s="109" t="str">
        <f t="shared" ref="K13:K73" si="0">IF(ISEVEN(B13),(B13-1)&amp;"/"&amp;B13,B13&amp;"/"&amp;(B13+1))</f>
        <v>4015/4016</v>
      </c>
      <c r="L13" s="22" t="str">
        <f>VLOOKUP(A13,'Trips&amp;Operators'!$C$1:$E$10000,3,FALSE)</f>
        <v>DAVIS</v>
      </c>
      <c r="M13" s="6">
        <f t="shared" ref="M13:M73" si="1">I13-F13</f>
        <v>2.9606481482915115E-2</v>
      </c>
      <c r="N13" s="7">
        <f t="shared" ref="N13:P73" si="2">24*60*SUM($M13:$M13)</f>
        <v>42.633333335397765</v>
      </c>
      <c r="O13" s="7"/>
      <c r="P13" s="7"/>
      <c r="Q13" s="23"/>
      <c r="R13" s="23"/>
      <c r="S13" s="35">
        <f t="shared" ref="S13:S73" si="3">SUM(U13:U13)/IF(AG13="EC",12,1)</f>
        <v>1</v>
      </c>
      <c r="T13" s="50" t="str">
        <f t="shared" ref="T13:T73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3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https://search-rtdc-monitor-bjffxe2xuh6vdkpspy63sjmuny.us-east-1.es.amazonaws.com/_plugin/kibana/#/discover/Steve-Slow-Train-Analysis-(2080s-and-2083s)?_g=(refreshInterval:(display:Off,section:0,value:0),time:(from:'2016-11-18 02:46:56-700',mode:absolute,to:'2016-11-18 05:32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73" si="6">IF(AA13&lt;IF(AG13="EC",23,5.65),"Y","N")</f>
        <v>N</v>
      </c>
      <c r="X13" s="177" t="e">
        <f>VALUE(LEFT(AD13,4))-VALUE(LEFT(#REF!,4))</f>
        <v>#REF!</v>
      </c>
      <c r="Y13" s="67">
        <f t="shared" ref="Y13:Y73" si="7">RIGHT(D13,LEN(D13)-4)/10000</f>
        <v>7.6799999999999993E-2</v>
      </c>
      <c r="Z13" s="67">
        <f t="shared" ref="Z13:Z73" si="8">RIGHT(H13,LEN(H13)-4)/10000</f>
        <v>23.332100000000001</v>
      </c>
      <c r="AA13" s="67">
        <f t="shared" ref="AA13:AA73" si="9">ABS(Z13-Y13)</f>
        <v>23.255300000000002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3" si="10">IF(LEN(A13)=6,"0"&amp;A13,A13)</f>
        <v>0103-18</v>
      </c>
      <c r="AE13" s="91" t="str">
        <f t="shared" ref="AE13:AE73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3" s="88" t="str">
        <f t="shared" ref="AF13:AF73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/stypes="app*4016*20161118*" /stext=" 11:.+((SYSTEM_STATE.+slice.+state.+changed )|(ment ac)|(system.+state.+changed )|(\[timeout)|(PRM\|1\|D)|(kpr)|(kdp)|(\|lc)|(penalty))" /e /r /s</v>
      </c>
      <c r="AG13" s="1" t="str">
        <f t="shared" ref="AG13:AG73" si="13">IFERROR(IF(VALUE(LEFT(AD13,2))&lt;=2,"EC",IF(OR(VALUE(LEFT(AD13,2))=8,VALUE(LEFT(AD13,2))=18),"NW","Other")),"Other")</f>
        <v>EC</v>
      </c>
      <c r="AH13" s="92" t="str">
        <f t="shared" ref="AH13:AH7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103-18 --locoid 4016 --swversion DE.1.0.8.0 --startMP 204:768 --initTime 2016-11-18T03:46:56 --startdatetime 2016-11-18T03:49:47 --delay 1 --endMP 204:233321 --enddatetime 2016-11-18T04:32:25 --enforcementcount 0 &gt;&gt;C:\Users\stu\Documents\GitHub\eaglep3-reporting\EC\2016-11-18-refined-times.txt</v>
      </c>
      <c r="AI13" s="119" t="str">
        <f t="shared" ref="AI13:AI7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{"issue":{"subject":"","project_id":79,"tracker_id":40,"status_id":1,"priority_id":2,"assigned_to_id":23,"start_date":"2016-11-18","description":"","custom_fields":[{"id":1,"name":"Subdivision","value":"EC"},{"id":4,"name":"Milepost","value":"23.3321"},{"id":17,"name":"Train ID","value":"103-18"},{"id":16,"name":"Locomotive ID","value":"4016"},{"id":130,"name":"Impact","value":""},{"id":150,"name":"Time of Event (Mountain Time)","value":"04:32:25"},{"id":151,"name":"Denver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475</v>
      </c>
      <c r="B14" s="7">
        <v>4030</v>
      </c>
      <c r="C14" s="22" t="s">
        <v>218</v>
      </c>
      <c r="D14" s="22" t="s">
        <v>662</v>
      </c>
      <c r="E14" s="13">
        <v>42692.193599537037</v>
      </c>
      <c r="F14" s="13">
        <v>42692.1953125</v>
      </c>
      <c r="G14" s="7">
        <v>1</v>
      </c>
      <c r="H14" s="22" t="s">
        <v>663</v>
      </c>
      <c r="I14" s="13">
        <v>42692.226261574076</v>
      </c>
      <c r="J14" s="7">
        <v>0</v>
      </c>
      <c r="K14" s="109" t="str">
        <f t="shared" si="0"/>
        <v>4029/4030</v>
      </c>
      <c r="L14" s="22" t="str">
        <f>VLOOKUP(A14,'Trips&amp;Operators'!$C$1:$E$10000,3,FALSE)</f>
        <v>DAVIS</v>
      </c>
      <c r="M14" s="6">
        <f t="shared" si="1"/>
        <v>3.0949074076488614E-2</v>
      </c>
      <c r="N14" s="7">
        <f t="shared" si="2"/>
        <v>44.566666670143604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03:38:47-700',mode:absolute,to:'2016-11-18 06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ref="X14:X75" si="16">VALUE(LEFT(AD14,4))-VALUE(LEFT(AD13,4))</f>
        <v>1</v>
      </c>
      <c r="Y14" s="67">
        <f t="shared" si="7"/>
        <v>23.2685</v>
      </c>
      <c r="Z14" s="67">
        <f t="shared" si="8"/>
        <v>1.61E-2</v>
      </c>
      <c r="AA14" s="67">
        <f t="shared" si="9"/>
        <v>23.252399999999998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0"/>
        <v>0104-18</v>
      </c>
      <c r="AE14" s="91" t="str">
        <f t="shared" si="11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14" s="88" t="str">
        <f t="shared" si="12"/>
        <v>"C:\Program Files (x86)\AstroGrep\AstroGrep.exe" /spath="%USERPROFILE%\AppData\Local\Temp\OnboardLogs" /stypes="app*4030*20161118*" /stext=" 12:.+((SYSTEM_STATE.+slice.+state.+changed )|(ment ac)|(system.+state.+changed )|(\[timeout)|(PRM\|1\|D)|(kpr)|(kdp)|(\|lc)|(penalty))" /e /r /s</v>
      </c>
      <c r="AG14" s="1" t="str">
        <f t="shared" si="13"/>
        <v>EC</v>
      </c>
      <c r="AH14" s="92" t="str">
        <f t="shared" si="14"/>
        <v>"%USERPROFILE%\Documents\GitHub\eaglep3\Utilities\RefineRTDCRunTimes.py" --tripid 104-18 --locoid 4030 --swversion DE.1.0.8.0 --startMP 204:232685 --initTime 2016-11-18T04:38:47 --startdatetime 2016-11-18T04:41:15 --delay 1 --endMP 204:161 --enddatetime 2016-11-18T05:25:49 --enforcementcount 0 &gt;&gt;C:\Users\stu\Documents\GitHub\eaglep3-reporting\EC\2016-11-18-refined-times.txt</v>
      </c>
      <c r="AI1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{"issue":{"subject":"","project_id":79,"tracker_id":40,"status_id":1,"priority_id":2,"assigned_to_id":23,"start_date":"2016-11-18","description":"","custom_fields":[{"id":1,"name":"Subdivision","value":"EC"},{"id":4,"name":"Milepost","value":"0.0161"},{"id":17,"name":"Train ID","value":"104-18"},{"id":16,"name":"Locomotive ID","value":"4030"},{"id":130,"name":"Impact","value":""},{"id":150,"name":"Time of Event (Mountain Time)","value":"05:25:49"},{"id":151,"name":"Denver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430</v>
      </c>
      <c r="B15" s="7">
        <v>4042</v>
      </c>
      <c r="C15" s="22" t="s">
        <v>218</v>
      </c>
      <c r="D15" s="22" t="s">
        <v>664</v>
      </c>
      <c r="E15" s="13">
        <v>42692.165891203702</v>
      </c>
      <c r="F15" s="13">
        <v>42692.177291666667</v>
      </c>
      <c r="G15" s="7">
        <v>1</v>
      </c>
      <c r="H15" s="22" t="s">
        <v>187</v>
      </c>
      <c r="I15" s="13">
        <v>42692.203402777777</v>
      </c>
      <c r="J15" s="7">
        <v>0</v>
      </c>
      <c r="K15" s="109" t="str">
        <f t="shared" si="0"/>
        <v>4041/4042</v>
      </c>
      <c r="L15" s="22" t="str">
        <f>VLOOKUP(A15,'Trips&amp;Operators'!$C$1:$E$10000,3,FALSE)</f>
        <v>ROBINSON</v>
      </c>
      <c r="M15" s="6">
        <f t="shared" si="1"/>
        <v>2.6111111110367347E-2</v>
      </c>
      <c r="N15" s="7">
        <f t="shared" si="2"/>
        <v>37.599999998928979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02:58:53-700',mode:absolute,to:'2016-11-18 05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52" t="str">
        <f t="shared" si="6"/>
        <v>N</v>
      </c>
      <c r="X15" s="177">
        <f t="shared" si="16"/>
        <v>1</v>
      </c>
      <c r="Y15" s="67">
        <f t="shared" si="7"/>
        <v>7.8100000000000003E-2</v>
      </c>
      <c r="Z15" s="67">
        <f t="shared" si="8"/>
        <v>23.329699999999999</v>
      </c>
      <c r="AA15" s="67">
        <f t="shared" si="9"/>
        <v>23.2516</v>
      </c>
      <c r="AB15" s="64" t="str">
        <f>VLOOKUP(A15,Enforcements!$C$7:$K$20,8,0)</f>
        <v>Bulletin (2)</v>
      </c>
      <c r="AC15" s="60" t="str">
        <f>VLOOKUP(A15,Enforcements!$C$7:$E$20,3,0)</f>
        <v>GRADE CROSSING</v>
      </c>
      <c r="AD15" s="61" t="str">
        <f t="shared" si="10"/>
        <v>0105-18</v>
      </c>
      <c r="AE15" s="91" t="str">
        <f t="shared" si="11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15" s="88" t="str">
        <f t="shared" si="12"/>
        <v>"C:\Program Files (x86)\AstroGrep\AstroGrep.exe" /spath="%USERPROFILE%\AppData\Local\Temp\OnboardLogs" /stypes="app*4042*20161118*" /stext=" 11:.+((SYSTEM_STATE.+slice.+state.+changed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si="14"/>
        <v>"%USERPROFILE%\Documents\GitHub\eaglep3\Utilities\RefineRTDCRunTimes.py" --tripid 105-18 --locoid 4042 --swversion DE.1.0.8.0 --startMP 204:781 --initTime 2016-11-18T03:58:53 --startdatetime 2016-11-18T04:15:18 --delay 1 --endMP 204:233297 --enddatetime 2016-11-18T04:52:54 --enforcementcount 0 &gt;&gt;C:\Users\stu\Documents\GitHub\eaglep3-reporting\EC\2016-11-18-refined-times.txt</v>
      </c>
      <c r="AI15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{"issue":{"subject":"","project_id":79,"tracker_id":40,"status_id":1,"priority_id":2,"assigned_to_id":23,"start_date":"2016-11-18","description":"","custom_fields":[{"id":1,"name":"Subdivision","value":"EC"},{"id":4,"name":"Milepost","value":"23.3297"},{"id":17,"name":"Train ID","value":"105-18"},{"id":16,"name":"Locomotive ID","value":"4042"},{"id":130,"name":"Impact","value":""},{"id":150,"name":"Time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433</v>
      </c>
      <c r="B16" s="7">
        <v>4026</v>
      </c>
      <c r="C16" s="22" t="s">
        <v>218</v>
      </c>
      <c r="D16" s="22" t="s">
        <v>665</v>
      </c>
      <c r="E16" s="13">
        <v>42692.208912037036</v>
      </c>
      <c r="F16" s="13">
        <v>42692.216134259259</v>
      </c>
      <c r="G16" s="7">
        <v>1</v>
      </c>
      <c r="H16" s="22" t="s">
        <v>666</v>
      </c>
      <c r="I16" s="13">
        <v>42692.245185185187</v>
      </c>
      <c r="J16" s="7">
        <v>0</v>
      </c>
      <c r="K16" s="109" t="str">
        <f t="shared" si="0"/>
        <v>4025/4026</v>
      </c>
      <c r="L16" s="22" t="str">
        <f>VLOOKUP(A16,'Trips&amp;Operators'!$C$1:$E$10000,3,FALSE)</f>
        <v>ROBINSON</v>
      </c>
      <c r="M16" s="6">
        <f t="shared" si="1"/>
        <v>2.9050925928459037E-2</v>
      </c>
      <c r="N16" s="7">
        <f t="shared" si="2"/>
        <v>41.833333336981013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04:00:50-700',mode:absolute,to:'2016-11-18 06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2" t="str">
        <f t="shared" si="6"/>
        <v>N</v>
      </c>
      <c r="X16" s="177">
        <f t="shared" si="16"/>
        <v>1</v>
      </c>
      <c r="Y16" s="67">
        <f t="shared" si="7"/>
        <v>23.2668</v>
      </c>
      <c r="Z16" s="67">
        <f t="shared" si="8"/>
        <v>1.03E-2</v>
      </c>
      <c r="AA16" s="67">
        <f t="shared" si="9"/>
        <v>23.256499999999999</v>
      </c>
      <c r="AB16" s="64" t="str">
        <f>VLOOKUP(A16,Enforcements!$C$7:$K$20,8,0)</f>
        <v>Speed (6)</v>
      </c>
      <c r="AC16" s="60" t="str">
        <f>VLOOKUP(A16,Enforcements!$C$7:$E$20,3,0)</f>
        <v>PERMANENT SPEED RESTRICTION</v>
      </c>
      <c r="AD16" s="61" t="str">
        <f t="shared" si="10"/>
        <v>0106-18</v>
      </c>
      <c r="AE16" s="91" t="str">
        <f t="shared" si="11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6" s="88" t="str">
        <f t="shared" si="12"/>
        <v>"C:\Program Files (x86)\AstroGrep\AstroGrep.exe" /spath="%USERPROFILE%\AppData\Local\Temp\OnboardLogs" /stypes="app*4026*20161118*" /stext=" 12:.+((SYSTEM_STATE.+slice.+state.+changed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14"/>
        <v>"%USERPROFILE%\Documents\GitHub\eaglep3\Utilities\RefineRTDCRunTimes.py" --tripid 106-18 --locoid 4026 --swversion DE.1.0.8.0 --startMP 204:232668 --initTime 2016-11-18T05:00:50 --startdatetime 2016-11-18T05:11:14 --delay 1 --endMP 204:103 --enddatetime 2016-11-18T05:53:04 --enforcementcount 0 &gt;&gt;C:\Users\stu\Documents\GitHub\eaglep3-reporting\EC\2016-11-18-refined-times.txt</v>
      </c>
      <c r="AI1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{"issue":{"subject":"","project_id":79,"tracker_id":40,"status_id":1,"priority_id":2,"assigned_to_id":23,"start_date":"2016-11-18","description":"","custom_fields":[{"id":1,"name":"Subdivision","value":"EC"},{"id":4,"name":"Milepost","value":"0.0103"},{"id":17,"name":"Train ID","value":"106-18"},{"id":16,"name":"Locomotive ID","value":"4026"},{"id":130,"name":"Impact","value":""},{"id":150,"name":"Time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474</v>
      </c>
      <c r="B17" s="7">
        <v>4018</v>
      </c>
      <c r="C17" s="22" t="s">
        <v>218</v>
      </c>
      <c r="D17" s="22" t="s">
        <v>198</v>
      </c>
      <c r="E17" s="13">
        <v>42692.183298611111</v>
      </c>
      <c r="F17" s="13">
        <v>42692.187685185185</v>
      </c>
      <c r="G17" s="7">
        <v>1</v>
      </c>
      <c r="H17" s="22" t="s">
        <v>355</v>
      </c>
      <c r="I17" s="13">
        <v>42692.212916666664</v>
      </c>
      <c r="J17" s="7">
        <v>0</v>
      </c>
      <c r="K17" s="109" t="str">
        <f t="shared" si="0"/>
        <v>4017/4018</v>
      </c>
      <c r="L17" s="22" t="str">
        <f>VLOOKUP(A17,'Trips&amp;Operators'!$C$1:$E$10000,3,FALSE)</f>
        <v>RICHARDSON</v>
      </c>
      <c r="M17" s="6">
        <f t="shared" si="1"/>
        <v>2.5231481478840578E-2</v>
      </c>
      <c r="N17" s="7">
        <f t="shared" si="2"/>
        <v>36.333333329530433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03:23:57-700',mode:absolute,to:'2016-11-18 06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" s="52" t="str">
        <f t="shared" si="6"/>
        <v>N</v>
      </c>
      <c r="X17" s="177">
        <f t="shared" si="16"/>
        <v>1</v>
      </c>
      <c r="Y17" s="67">
        <f t="shared" si="7"/>
        <v>4.4699999999999997E-2</v>
      </c>
      <c r="Z17" s="67">
        <f t="shared" si="8"/>
        <v>23.331399999999999</v>
      </c>
      <c r="AA17" s="67">
        <f t="shared" si="9"/>
        <v>23.2867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0"/>
        <v>0107-18</v>
      </c>
      <c r="AE17" s="91" t="str">
        <f t="shared" si="11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7" s="88" t="str">
        <f t="shared" si="12"/>
        <v>"C:\Program Files (x86)\AstroGrep\AstroGrep.exe" /spath="%USERPROFILE%\AppData\Local\Temp\OnboardLogs" /stypes="app*4018*20161118*" /stext=" 12:.+((SYSTEM_STATE.+slice.+state.+changed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14"/>
        <v>"%USERPROFILE%\Documents\GitHub\eaglep3\Utilities\RefineRTDCRunTimes.py" --tripid 107-18 --locoid 4018 --swversion DE.1.0.8.0 --startMP 204:447 --initTime 2016-11-18T04:23:57 --startdatetime 2016-11-18T04:30:16 --delay 1 --endMP 204:233314 --enddatetime 2016-11-18T05:06:36 --enforcementcount 0 &gt;&gt;C:\Users\stu\Documents\GitHub\eaglep3-reporting\EC\2016-11-18-refined-times.txt</v>
      </c>
      <c r="AI1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{"issue":{"subject":"","project_id":79,"tracker_id":40,"status_id":1,"priority_id":2,"assigned_to_id":23,"start_date":"2016-11-18","description":"","custom_fields":[{"id":1,"name":"Subdivision","value":"EC"},{"id":4,"name":"Milepost","value":"23.3314"},{"id":17,"name":"Train ID","value":"107-18"},{"id":16,"name":"Locomotive ID","value":"4018"},{"id":130,"name":"Impact","value":""},{"id":150,"name":"Time of Event (Mountain Time)","value":"05:06:36"},{"id":151,"name":"Denver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482</v>
      </c>
      <c r="B18" s="7">
        <v>4017</v>
      </c>
      <c r="C18" s="22" t="s">
        <v>218</v>
      </c>
      <c r="D18" s="22" t="s">
        <v>284</v>
      </c>
      <c r="E18" s="13">
        <v>42692.21837962963</v>
      </c>
      <c r="F18" s="13">
        <v>42692.2265625</v>
      </c>
      <c r="G18" s="7">
        <v>1</v>
      </c>
      <c r="H18" s="22" t="s">
        <v>667</v>
      </c>
      <c r="I18" s="13">
        <v>42692.254641203705</v>
      </c>
      <c r="J18" s="7">
        <v>0</v>
      </c>
      <c r="K18" s="109" t="str">
        <f t="shared" si="0"/>
        <v>4017/4018</v>
      </c>
      <c r="L18" s="22" t="str">
        <f>VLOOKUP(A18,'Trips&amp;Operators'!$C$1:$E$10000,3,FALSE)</f>
        <v>RICHARDSON</v>
      </c>
      <c r="M18" s="6">
        <f t="shared" si="1"/>
        <v>2.8078703704522923E-2</v>
      </c>
      <c r="N18" s="7">
        <f t="shared" si="2"/>
        <v>40.433333334513009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04:14:28-700',mode:absolute,to:'2016-11-18 07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" s="52" t="str">
        <f t="shared" si="6"/>
        <v>N</v>
      </c>
      <c r="X18" s="177">
        <f t="shared" si="16"/>
        <v>1</v>
      </c>
      <c r="Y18" s="67">
        <f t="shared" si="7"/>
        <v>23.299399999999999</v>
      </c>
      <c r="Z18" s="67">
        <f t="shared" si="8"/>
        <v>3.09E-2</v>
      </c>
      <c r="AA18" s="67">
        <f t="shared" si="9"/>
        <v>23.2685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0"/>
        <v>0108-18</v>
      </c>
      <c r="AE18" s="91" t="str">
        <f t="shared" si="11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8" s="88" t="str">
        <f t="shared" si="12"/>
        <v>"C:\Program Files (x86)\AstroGrep\AstroGrep.exe" /spath="%USERPROFILE%\AppData\Local\Temp\OnboardLogs" /stypes="app*4017*20161118*" /stext=" 13:.+((SYSTEM_STATE.+slice.+state.+changed )|(ment ac)|(system.+state.+changed )|(\[timeout)|(PRM\|1\|D)|(kpr)|(kdp)|(\|lc)|(penalty))" /e /r /s</v>
      </c>
      <c r="AG18" s="1" t="str">
        <f t="shared" si="13"/>
        <v>EC</v>
      </c>
      <c r="AH18" s="92" t="str">
        <f t="shared" si="14"/>
        <v>"%USERPROFILE%\Documents\GitHub\eaglep3\Utilities\RefineRTDCRunTimes.py" --tripid 108-18 --locoid 4017 --swversion DE.1.0.8.0 --startMP 204:232994 --initTime 2016-11-18T05:14:28 --startdatetime 2016-11-18T05:26:15 --delay 1 --endMP 204:309 --enddatetime 2016-11-18T06:06:41 --enforcementcount 0 &gt;&gt;C:\Users\stu\Documents\GitHub\eaglep3-reporting\EC\2016-11-18-refined-times.txt</v>
      </c>
      <c r="AI1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{"issue":{"subject":"","project_id":79,"tracker_id":40,"status_id":1,"priority_id":2,"assigned_to_id":23,"start_date":"2016-11-18","description":"","custom_fields":[{"id":1,"name":"Subdivision","value":"EC"},{"id":4,"name":"Milepost","value":"0.0309"},{"id":17,"name":"Train ID","value":"108-18"},{"id":16,"name":"Locomotive ID","value":"4017"},{"id":130,"name":"Impact","value":""},{"id":150,"name":"Time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476</v>
      </c>
      <c r="B19" s="7">
        <v>4011</v>
      </c>
      <c r="C19" s="22" t="s">
        <v>218</v>
      </c>
      <c r="D19" s="22" t="s">
        <v>417</v>
      </c>
      <c r="E19" s="13">
        <v>42692.196099537039</v>
      </c>
      <c r="F19" s="13">
        <v>42692.198472222219</v>
      </c>
      <c r="G19" s="7">
        <v>2</v>
      </c>
      <c r="H19" s="22" t="s">
        <v>411</v>
      </c>
      <c r="I19" s="13">
        <v>42692.223483796297</v>
      </c>
      <c r="J19" s="7">
        <v>0</v>
      </c>
      <c r="K19" s="109" t="str">
        <f t="shared" si="0"/>
        <v>4011/4012</v>
      </c>
      <c r="L19" s="22" t="str">
        <f>VLOOKUP(A19,'Trips&amp;Operators'!$C$1:$E$10000,3,FALSE)</f>
        <v>DAVIDSON</v>
      </c>
      <c r="M19" s="6">
        <f t="shared" si="1"/>
        <v>2.5011574078234844E-2</v>
      </c>
      <c r="N19" s="7">
        <f t="shared" si="2"/>
        <v>36.016666672658175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03:42:23-700',mode:absolute,to:'2016-11-18 06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16"/>
        <v>1</v>
      </c>
      <c r="Y19" s="67">
        <f t="shared" si="7"/>
        <v>4.3099999999999999E-2</v>
      </c>
      <c r="Z19" s="67">
        <f t="shared" si="8"/>
        <v>23.3325</v>
      </c>
      <c r="AA19" s="67">
        <f t="shared" si="9"/>
        <v>23.289400000000001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0"/>
        <v>0109-18</v>
      </c>
      <c r="AE19" s="91" t="str">
        <f t="shared" si="11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19" s="88" t="str">
        <f t="shared" si="12"/>
        <v>"C:\Program Files (x86)\AstroGrep\AstroGrep.exe" /spath="%USERPROFILE%\AppData\Local\Temp\OnboardLogs" /stypes="app*4011*20161118*" /stext=" 12:.+((SYSTEM_STATE.+slice.+state.+changed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14"/>
        <v>"%USERPROFILE%\Documents\GitHub\eaglep3\Utilities\RefineRTDCRunTimes.py" --tripid 109-18 --locoid 4011 --swversion DE.1.0.8.0 --startMP 204:431 --initTime 2016-11-18T04:42:23 --startdatetime 2016-11-18T04:45:48 --delay 2 --endMP 204:233325 --enddatetime 2016-11-18T05:21:49 --enforcementcount 0 &gt;&gt;C:\Users\stu\Documents\GitHub\eaglep3-reporting\EC\2016-11-18-refined-times.txt</v>
      </c>
      <c r="AI1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{"issue":{"subject":"","project_id":79,"tracker_id":40,"status_id":1,"priority_id":2,"assigned_to_id":23,"start_date":"2016-11-18","description":"","custom_fields":[{"id":1,"name":"Subdivision","value":"EC"},{"id":4,"name":"Milepost","value":"23.3325"},{"id":17,"name":"Train ID","value":"109-18"},{"id":16,"name":"Locomotive ID","value":"4011"},{"id":130,"name":"Impact","value":""},{"id":150,"name":"Time of Event (Mountain Time)","value":"05:21:49"},{"id":151,"name":"Denver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485</v>
      </c>
      <c r="B20" s="7">
        <v>4012</v>
      </c>
      <c r="C20" s="22" t="s">
        <v>218</v>
      </c>
      <c r="D20" s="22" t="s">
        <v>361</v>
      </c>
      <c r="E20" s="13">
        <v>42692.230069444442</v>
      </c>
      <c r="F20" s="13">
        <v>42692.237002314818</v>
      </c>
      <c r="G20" s="7">
        <v>2</v>
      </c>
      <c r="H20" s="22" t="s">
        <v>212</v>
      </c>
      <c r="I20" s="13">
        <v>42692.265196759261</v>
      </c>
      <c r="J20" s="7">
        <v>0</v>
      </c>
      <c r="K20" s="109" t="str">
        <f t="shared" si="0"/>
        <v>4011/4012</v>
      </c>
      <c r="L20" s="22" t="str">
        <f>VLOOKUP(A20,'Trips&amp;Operators'!$C$1:$E$10000,3,FALSE)</f>
        <v>DAVIDSON</v>
      </c>
      <c r="M20" s="6">
        <f t="shared" si="1"/>
        <v>2.8194444443215616E-2</v>
      </c>
      <c r="N20" s="7">
        <f t="shared" si="2"/>
        <v>40.599999998230487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04:31:18-700',mode:absolute,to:'2016-11-18 07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16"/>
        <v>1</v>
      </c>
      <c r="Y20" s="67">
        <f t="shared" si="7"/>
        <v>23.298300000000001</v>
      </c>
      <c r="Z20" s="67">
        <f t="shared" si="8"/>
        <v>1.5599999999999999E-2</v>
      </c>
      <c r="AA20" s="67">
        <f t="shared" si="9"/>
        <v>23.282700000000002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0"/>
        <v>0110-18</v>
      </c>
      <c r="AE20" s="91" t="str">
        <f t="shared" si="11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20" s="88" t="str">
        <f t="shared" si="12"/>
        <v>"C:\Program Files (x86)\AstroGrep\AstroGrep.exe" /spath="%USERPROFILE%\AppData\Local\Temp\OnboardLogs" /stypes="app*4012*20161118*" /stext=" 13:.+((SYSTEM_STATE.+slice.+state.+changed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14"/>
        <v>"%USERPROFILE%\Documents\GitHub\eaglep3\Utilities\RefineRTDCRunTimes.py" --tripid 110-18 --locoid 4012 --swversion DE.1.0.8.0 --startMP 204:232983 --initTime 2016-11-18T05:31:18 --startdatetime 2016-11-18T05:41:17 --delay 2 --endMP 204:156 --enddatetime 2016-11-18T06:21:53 --enforcementcount 0 &gt;&gt;C:\Users\stu\Documents\GitHub\eaglep3-reporting\EC\2016-11-18-refined-times.txt</v>
      </c>
      <c r="AI2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{"issue":{"subject":"","project_id":79,"tracker_id":40,"status_id":1,"priority_id":2,"assigned_to_id":23,"start_date":"2016-11-18","description":"","custom_fields":[{"id":1,"name":"Subdivision","value":"EC"},{"id":4,"name":"Milepost","value":"0.0156"},{"id":17,"name":"Train ID","value":"110-18"},{"id":16,"name":"Locomotive ID","value":"4012"},{"id":130,"name":"Impact","value":""},{"id":150,"name":"Time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478</v>
      </c>
      <c r="B21" s="7">
        <v>4009</v>
      </c>
      <c r="C21" s="22" t="s">
        <v>218</v>
      </c>
      <c r="D21" s="22" t="s">
        <v>668</v>
      </c>
      <c r="E21" s="13">
        <v>42692.199143518519</v>
      </c>
      <c r="F21" s="13">
        <v>42692.208541666667</v>
      </c>
      <c r="G21" s="7">
        <v>6</v>
      </c>
      <c r="H21" s="22" t="s">
        <v>316</v>
      </c>
      <c r="I21" s="13">
        <v>42692.235706018517</v>
      </c>
      <c r="J21" s="7">
        <v>0</v>
      </c>
      <c r="K21" s="109" t="str">
        <f t="shared" si="0"/>
        <v>4009/4010</v>
      </c>
      <c r="L21" s="22" t="str">
        <f>VLOOKUP(A21,'Trips&amp;Operators'!$C$1:$E$10000,3,FALSE)</f>
        <v>ISHMAEL</v>
      </c>
      <c r="M21" s="6">
        <f t="shared" si="1"/>
        <v>2.7164351849933155E-2</v>
      </c>
      <c r="N21" s="7">
        <f t="shared" si="2"/>
        <v>39.116666663903743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03:46:46-700',mode:absolute,to:'2016-11-18 06:39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" s="52" t="str">
        <f t="shared" si="6"/>
        <v>N</v>
      </c>
      <c r="X21" s="177">
        <f t="shared" si="16"/>
        <v>1</v>
      </c>
      <c r="Y21" s="67">
        <f t="shared" si="7"/>
        <v>7.7700000000000005E-2</v>
      </c>
      <c r="Z21" s="67">
        <f t="shared" si="8"/>
        <v>23.3307</v>
      </c>
      <c r="AA21" s="67">
        <f t="shared" si="9"/>
        <v>23.253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0"/>
        <v>0111-18</v>
      </c>
      <c r="AE21" s="91" t="str">
        <f t="shared" si="11"/>
        <v>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 &amp; aws s3 cp s3://rtdc.mdm.uploadarchive.raw/RTDC4009/ "%USERPROFILE%\AppData\Local\Temp\OnboardLogs"\RTDC4009\2016-11-19 --exclude "*" --recursive --include "*20161119*" &amp; "%USERPROFILE%\Documents\GitHub\mrs-test-scripts\Headless Mode &amp; Sideloading\WalkAndUnGZ.bat" "%USERPROFILE%\AppData\Local\Temp\OnboardLogs"\RTDC4009\2016-11-19</v>
      </c>
      <c r="AF21" s="88" t="str">
        <f t="shared" si="12"/>
        <v>"C:\Program Files (x86)\AstroGrep\AstroGrep.exe" /spath="%USERPROFILE%\AppData\Local\Temp\OnboardLogs" /stypes="app*4009*20161118*" /stext=" 12:.+((SYSTEM_STATE.+slice.+state.+changed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14"/>
        <v>"%USERPROFILE%\Documents\GitHub\eaglep3\Utilities\RefineRTDCRunTimes.py" --tripid 111-18 --locoid 4009 --swversion DE.1.0.8.0 --startMP 204:777 --initTime 2016-11-18T04:46:46 --startdatetime 2016-11-18T05:00:18 --delay 6 --endMP 204:233307 --enddatetime 2016-11-18T05:39:25 --enforcementcount 0 &gt;&gt;C:\Users\stu\Documents\GitHub\eaglep3-reporting\EC\2016-11-18-refined-times.txt</v>
      </c>
      <c r="AI2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{"issue":{"subject":"","project_id":79,"tracker_id":40,"status_id":1,"priority_id":2,"assigned_to_id":23,"start_date":"2016-11-18","description":"","custom_fields":[{"id":1,"name":"Subdivision","value":"EC"},{"id":4,"name":"Milepost","value":"23.3307"},{"id":17,"name":"Train ID","value":"111-18"},{"id":16,"name":"Locomotive ID","value":"4009"},{"id":130,"name":"Impact","value":""},{"id":150,"name":"Time of Event (Mountain Time)","value":"05:39:25"},{"id":151,"name":"Denver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487</v>
      </c>
      <c r="B22" s="7">
        <v>4010</v>
      </c>
      <c r="C22" s="22" t="s">
        <v>218</v>
      </c>
      <c r="D22" s="22" t="s">
        <v>669</v>
      </c>
      <c r="E22" s="13">
        <v>42692.244895833333</v>
      </c>
      <c r="F22" s="13">
        <v>42692.247476851851</v>
      </c>
      <c r="G22" s="7">
        <v>1</v>
      </c>
      <c r="H22" s="22" t="s">
        <v>175</v>
      </c>
      <c r="I22" s="13">
        <v>42692.27747685185</v>
      </c>
      <c r="J22" s="7">
        <v>0</v>
      </c>
      <c r="K22" s="109" t="str">
        <f t="shared" si="0"/>
        <v>4009/4010</v>
      </c>
      <c r="L22" s="22" t="str">
        <f>VLOOKUP(A22,'Trips&amp;Operators'!$C$1:$E$10000,3,FALSE)</f>
        <v>ISHMAEL</v>
      </c>
      <c r="M22" s="6">
        <f t="shared" si="1"/>
        <v>2.9999999998835847E-2</v>
      </c>
      <c r="N22" s="7">
        <f t="shared" si="2"/>
        <v>43.199999998323619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04:52:39-700',mode:absolute,to:'2016-11-18 07:39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" s="52" t="str">
        <f t="shared" si="6"/>
        <v>N</v>
      </c>
      <c r="X22" s="177">
        <f t="shared" si="16"/>
        <v>1</v>
      </c>
      <c r="Y22" s="67">
        <f t="shared" si="7"/>
        <v>23.2986</v>
      </c>
      <c r="Z22" s="67">
        <f t="shared" si="8"/>
        <v>1.52E-2</v>
      </c>
      <c r="AA22" s="67">
        <f t="shared" si="9"/>
        <v>23.2834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0"/>
        <v>0112-18</v>
      </c>
      <c r="AE22" s="91" t="str">
        <f t="shared" si="11"/>
        <v>aws s3 cp s3://rtdc.mdm.uploadarchive.raw/RTDC4010/ "%USERPROFILE%\AppData\Local\Temp\OnboardLogs"\RTDC4010\2016-11-18 --exclude "*" --recursive --include "*20161118*" &amp; "%USERPROFILE%\Documents\GitHub\mrs-test-scripts\Headless Mode &amp; Sideloading\WalkAndUnGZ.bat" "%USERPROFILE%\AppData\Local\Temp\OnboardLogs"\RTDC4010\2016-11-18 &amp; aws s3 cp s3://rtdc.mdm.uploadarchive.raw/RTDC4010/ "%USERPROFILE%\AppData\Local\Temp\OnboardLogs"\RTDC4010\2016-11-19 --exclude "*" --recursive --include "*20161119*" &amp; "%USERPROFILE%\Documents\GitHub\mrs-test-scripts\Headless Mode &amp; Sideloading\WalkAndUnGZ.bat" "%USERPROFILE%\AppData\Local\Temp\OnboardLogs"\RTDC4010\2016-11-19</v>
      </c>
      <c r="AF22" s="88" t="str">
        <f t="shared" si="12"/>
        <v>"C:\Program Files (x86)\AstroGrep\AstroGrep.exe" /spath="%USERPROFILE%\AppData\Local\Temp\OnboardLogs" /stypes="app*4010*20161118*" /stext=" 13:.+((SYSTEM_STATE.+slice.+state.+changed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14"/>
        <v>"%USERPROFILE%\Documents\GitHub\eaglep3\Utilities\RefineRTDCRunTimes.py" --tripid 112-18 --locoid 4010 --swversion DE.1.0.8.0 --startMP 204:232986 --initTime 2016-11-18T05:52:39 --startdatetime 2016-11-18T05:56:22 --delay 1 --endMP 204:152 --enddatetime 2016-11-18T06:39:34 --enforcementcount 0 &gt;&gt;C:\Users\stu\Documents\GitHub\eaglep3-reporting\EC\2016-11-18-refined-times.txt</v>
      </c>
      <c r="AI22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{"issue":{"subject":"","project_id":79,"tracker_id":40,"status_id":1,"priority_id":2,"assigned_to_id":23,"start_date":"2016-11-18","description":"","custom_fields":[{"id":1,"name":"Subdivision","value":"EC"},{"id":4,"name":"Milepost","value":"0.0152"},{"id":17,"name":"Train ID","value":"112-18"},{"id":16,"name":"Locomotive ID","value":"4010"},{"id":130,"name":"Impact","value":""},{"id":150,"name":"Time of Event (Mountain Time)","value":"06:39:34"},{"id":151,"name":"Denver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480</v>
      </c>
      <c r="B23" s="7">
        <v>4046</v>
      </c>
      <c r="C23" s="22" t="s">
        <v>218</v>
      </c>
      <c r="D23" s="22" t="s">
        <v>295</v>
      </c>
      <c r="E23" s="13">
        <v>42692.209629629629</v>
      </c>
      <c r="F23" s="13">
        <v>42692.219108796293</v>
      </c>
      <c r="G23" s="7">
        <v>1</v>
      </c>
      <c r="H23" s="22" t="s">
        <v>670</v>
      </c>
      <c r="I23" s="13">
        <v>42692.24422453704</v>
      </c>
      <c r="J23" s="7">
        <v>0</v>
      </c>
      <c r="K23" s="109" t="str">
        <f t="shared" si="0"/>
        <v>4045/4046</v>
      </c>
      <c r="L23" s="22" t="str">
        <f>VLOOKUP(A23,'Trips&amp;Operators'!$C$1:$E$10000,3,FALSE)</f>
        <v>MAELZER</v>
      </c>
      <c r="M23" s="6">
        <f t="shared" si="1"/>
        <v>2.5115740747423843E-2</v>
      </c>
      <c r="N23" s="7">
        <f t="shared" si="2"/>
        <v>36.166666676290333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04:01:52-700',mode:absolute,to:'2016-11-18 06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" s="52" t="str">
        <f t="shared" si="6"/>
        <v>N</v>
      </c>
      <c r="X23" s="177">
        <f t="shared" si="16"/>
        <v>1</v>
      </c>
      <c r="Y23" s="67">
        <f t="shared" si="7"/>
        <v>4.3999999999999997E-2</v>
      </c>
      <c r="Z23" s="67">
        <f t="shared" si="8"/>
        <v>23.3323</v>
      </c>
      <c r="AA23" s="67">
        <f t="shared" si="9"/>
        <v>23.2883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0"/>
        <v>0113-18</v>
      </c>
      <c r="AE23" s="91" t="str">
        <f t="shared" si="11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23" s="88" t="str">
        <f t="shared" si="12"/>
        <v>"C:\Program Files (x86)\AstroGrep\AstroGrep.exe" /spath="%USERPROFILE%\AppData\Local\Temp\OnboardLogs" /stypes="app*4046*20161118*" /stext=" 12:.+((SYSTEM_STATE.+slice.+state.+changed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14"/>
        <v>"%USERPROFILE%\Documents\GitHub\eaglep3\Utilities\RefineRTDCRunTimes.py" --tripid 113-18 --locoid 4046 --swversion DE.1.0.8.0 --startMP 204:440 --initTime 2016-11-18T05:01:52 --startdatetime 2016-11-18T05:15:31 --delay 1 --endMP 204:233323 --enddatetime 2016-11-18T05:51:41 --enforcementcount 0 &gt;&gt;C:\Users\stu\Documents\GitHub\eaglep3-reporting\EC\2016-11-18-refined-times.txt</v>
      </c>
      <c r="AI23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{"issue":{"subject":"","project_id":79,"tracker_id":40,"status_id":1,"priority_id":2,"assigned_to_id":23,"start_date":"2016-11-18","description":"","custom_fields":[{"id":1,"name":"Subdivision","value":"EC"},{"id":4,"name":"Milepost","value":"23.3323"},{"id":17,"name":"Train ID","value":"113-18"},{"id":16,"name":"Locomotive ID","value":"4046"},{"id":130,"name":"Impact","value":""},{"id":150,"name":"Time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490</v>
      </c>
      <c r="B24" s="7">
        <v>4045</v>
      </c>
      <c r="C24" s="22" t="s">
        <v>218</v>
      </c>
      <c r="D24" s="22" t="s">
        <v>671</v>
      </c>
      <c r="E24" s="13">
        <v>42692.255069444444</v>
      </c>
      <c r="F24" s="13">
        <v>42692.258009259262</v>
      </c>
      <c r="G24" s="7">
        <v>0</v>
      </c>
      <c r="H24" s="22" t="s">
        <v>315</v>
      </c>
      <c r="I24" s="13">
        <v>42692.286134259259</v>
      </c>
      <c r="J24" s="7">
        <v>0</v>
      </c>
      <c r="K24" s="109" t="str">
        <f t="shared" si="0"/>
        <v>4045/4046</v>
      </c>
      <c r="L24" s="22" t="str">
        <f>VLOOKUP(A24,'Trips&amp;Operators'!$C$1:$E$10000,3,FALSE)</f>
        <v>MAELZER</v>
      </c>
      <c r="M24" s="6">
        <f t="shared" si="1"/>
        <v>2.8124999997089617E-2</v>
      </c>
      <c r="N24" s="7">
        <f t="shared" si="2"/>
        <v>40.499999995809048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05:07:18-700',mode:absolute,to:'2016-11-18 07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" s="52" t="str">
        <f t="shared" si="6"/>
        <v>N</v>
      </c>
      <c r="X24" s="177">
        <f t="shared" si="16"/>
        <v>1</v>
      </c>
      <c r="Y24" s="67">
        <f t="shared" si="7"/>
        <v>23.301300000000001</v>
      </c>
      <c r="Z24" s="67">
        <f t="shared" si="8"/>
        <v>1.4500000000000001E-2</v>
      </c>
      <c r="AA24" s="67">
        <f t="shared" si="9"/>
        <v>23.286799999999999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0"/>
        <v>0114-18</v>
      </c>
      <c r="AE24" s="91" t="str">
        <f t="shared" si="11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24" s="88" t="str">
        <f t="shared" si="12"/>
        <v>"C:\Program Files (x86)\AstroGrep\AstroGrep.exe" /spath="%USERPROFILE%\AppData\Local\Temp\OnboardLogs" /stypes="app*4045*20161118*" /stext=" 13:.+((SYSTEM_STATE.+slice.+state.+changed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14"/>
        <v>"%USERPROFILE%\Documents\GitHub\eaglep3\Utilities\RefineRTDCRunTimes.py" --tripid 114-18 --locoid 4045 --swversion DE.1.0.8.0 --startMP 204:233013 --initTime 2016-11-18T06:07:18 --startdatetime 2016-11-18T06:11:32 --delay 0 --endMP 204:145 --enddatetime 2016-11-18T06:52:02 --enforcementcount 0 &gt;&gt;C:\Users\stu\Documents\GitHub\eaglep3-reporting\EC\2016-11-18-refined-times.txt</v>
      </c>
      <c r="AI2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{"issue":{"subject":"","project_id":79,"tracker_id":40,"status_id":1,"priority_id":2,"assigned_to_id":23,"start_date":"2016-11-18","description":"","custom_fields":[{"id":1,"name":"Subdivision","value":"EC"},{"id":4,"name":"Milepost","value":"0.0145"},{"id":17,"name":"Train ID","value":"114-18"},{"id":16,"name":"Locomotive ID","value":"4045"},{"id":130,"name":"Impact","value":""},{"id":150,"name":"Time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484</v>
      </c>
      <c r="B25" s="7">
        <v>4016</v>
      </c>
      <c r="C25" s="22" t="s">
        <v>218</v>
      </c>
      <c r="D25" s="22" t="s">
        <v>660</v>
      </c>
      <c r="E25" s="13">
        <v>42692.228946759256</v>
      </c>
      <c r="F25" s="13">
        <v>42692.230543981481</v>
      </c>
      <c r="G25" s="7">
        <v>1</v>
      </c>
      <c r="H25" s="22" t="s">
        <v>200</v>
      </c>
      <c r="I25" s="13">
        <v>42692.256122685183</v>
      </c>
      <c r="J25" s="7">
        <v>0</v>
      </c>
      <c r="K25" s="109" t="str">
        <f t="shared" si="0"/>
        <v>4015/4016</v>
      </c>
      <c r="L25" s="22" t="str">
        <f>VLOOKUP(A25,'Trips&amp;Operators'!$C$1:$E$10000,3,FALSE)</f>
        <v>SAFIEF</v>
      </c>
      <c r="M25" s="6">
        <f t="shared" si="1"/>
        <v>2.5578703702194616E-2</v>
      </c>
      <c r="N25" s="7">
        <f t="shared" si="2"/>
        <v>36.833333331160247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04:29:41-700',mode:absolute,to:'2016-11-18 07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5" s="52" t="str">
        <f t="shared" si="6"/>
        <v>N</v>
      </c>
      <c r="X25" s="177">
        <f t="shared" si="16"/>
        <v>1</v>
      </c>
      <c r="Y25" s="67">
        <f t="shared" si="7"/>
        <v>7.6799999999999993E-2</v>
      </c>
      <c r="Z25" s="67">
        <f t="shared" si="8"/>
        <v>23.329499999999999</v>
      </c>
      <c r="AA25" s="67">
        <f t="shared" si="9"/>
        <v>23.252700000000001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0"/>
        <v>0115-18</v>
      </c>
      <c r="AE25" s="91" t="str">
        <f t="shared" si="11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25" s="88" t="str">
        <f t="shared" si="12"/>
        <v>"C:\Program Files (x86)\AstroGrep\AstroGrep.exe" /spath="%USERPROFILE%\AppData\Local\Temp\OnboardLogs" /stypes="app*4016*20161118*" /stext=" 13:.+((SYSTEM_STATE.+slice.+state.+changed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14"/>
        <v>"%USERPROFILE%\Documents\GitHub\eaglep3\Utilities\RefineRTDCRunTimes.py" --tripid 115-18 --locoid 4016 --swversion DE.1.0.8.0 --startMP 204:768 --initTime 2016-11-18T05:29:41 --startdatetime 2016-11-18T05:31:59 --delay 1 --endMP 204:233295 --enddatetime 2016-11-18T06:08:49 --enforcementcount 0 &gt;&gt;C:\Users\stu\Documents\GitHub\eaglep3-reporting\EC\2016-11-18-refined-times.txt</v>
      </c>
      <c r="AI25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{"issue":{"subject":"","project_id":79,"tracker_id":40,"status_id":1,"priority_id":2,"assigned_to_id":23,"start_date":"2016-11-18","description":"","custom_fields":[{"id":1,"name":"Subdivision","value":"EC"},{"id":4,"name":"Milepost","value":"23.3295"},{"id":17,"name":"Train ID","value":"115-18"},{"id":16,"name":"Locomotive ID","value":"4016"},{"id":130,"name":"Impact","value":""},{"id":150,"name":"Time of Event (Mountain Time)","value":"06:08:49"},{"id":151,"name":"Denver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439</v>
      </c>
      <c r="B26" s="7">
        <v>4015</v>
      </c>
      <c r="C26" s="22" t="s">
        <v>218</v>
      </c>
      <c r="D26" s="22" t="s">
        <v>392</v>
      </c>
      <c r="E26" s="13">
        <v>42692.262916666667</v>
      </c>
      <c r="F26" s="13">
        <v>42692.268240740741</v>
      </c>
      <c r="G26" s="7">
        <v>1</v>
      </c>
      <c r="H26" s="22" t="s">
        <v>231</v>
      </c>
      <c r="I26" s="13">
        <v>42692.295717592591</v>
      </c>
      <c r="J26" s="7">
        <v>0</v>
      </c>
      <c r="K26" s="109" t="str">
        <f t="shared" si="0"/>
        <v>4015/4016</v>
      </c>
      <c r="L26" s="22" t="str">
        <f>VLOOKUP(A26,'Trips&amp;Operators'!$C$1:$E$10000,3,FALSE)</f>
        <v>SAFIEF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05:18:36-700',mode:absolute,to:'2016-11-18 08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6" s="52" t="str">
        <f t="shared" si="6"/>
        <v>N</v>
      </c>
      <c r="X26" s="177">
        <f t="shared" si="16"/>
        <v>1</v>
      </c>
      <c r="Y26" s="67">
        <f t="shared" si="7"/>
        <v>23.296700000000001</v>
      </c>
      <c r="Z26" s="67">
        <f t="shared" si="8"/>
        <v>1.4999999999999999E-2</v>
      </c>
      <c r="AA26" s="67">
        <f t="shared" si="9"/>
        <v>23.281700000000001</v>
      </c>
      <c r="AB26" s="64" t="str">
        <f>VLOOKUP(A26,Enforcements!$C$7:$K$20,8,0)</f>
        <v>Speed (6)</v>
      </c>
      <c r="AC26" s="60" t="str">
        <f>VLOOKUP(A26,Enforcements!$C$7:$E$20,3,0)</f>
        <v>PERMANENT SPEED RESTRICTION</v>
      </c>
      <c r="AD26" s="61" t="str">
        <f t="shared" si="10"/>
        <v>0116-18</v>
      </c>
      <c r="AE26" s="91" t="str">
        <f t="shared" si="11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26" s="88" t="str">
        <f t="shared" si="12"/>
        <v>"C:\Program Files (x86)\AstroGrep\AstroGrep.exe" /spath="%USERPROFILE%\AppData\Local\Temp\OnboardLogs" /stypes="app*4015*20161118*" /stext=" 14:.+((SYSTEM_STATE.+slice.+state.+changed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14"/>
        <v>"%USERPROFILE%\Documents\GitHub\eaglep3\Utilities\RefineRTDCRunTimes.py" --tripid 116-18 --locoid 4015 --swversion DE.1.0.8.0 --startMP 204:232967 --initTime 2016-11-18T06:18:36 --startdatetime 2016-11-18T06:26:16 --delay 1 --endMP 204:150 --enddatetime 2016-11-18T07:05:50 --enforcementcount 0 &gt;&gt;C:\Users\stu\Documents\GitHub\eaglep3-reporting\EC\2016-11-18-refined-times.txt</v>
      </c>
      <c r="AI2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{"issue":{"subject":"","project_id":79,"tracker_id":40,"status_id":1,"priority_id":2,"assigned_to_id":23,"start_date":"2016-11-18","description":"","custom_fields":[{"id":1,"name":"Subdivision","value":"EC"},{"id":4,"name":"Milepost","value":"0.015"},{"id":17,"name":"Train ID","value":"116-18"},{"id":16,"name":"Locomotive ID","value":"4015"},{"id":130,"name":"Impact","value":""},{"id":150,"name":"Time of Event (Mountain Time)","value":"07:05:50"},{"id":151,"name":"Denver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486</v>
      </c>
      <c r="B27" s="7">
        <v>4029</v>
      </c>
      <c r="C27" s="22" t="s">
        <v>218</v>
      </c>
      <c r="D27" s="22" t="s">
        <v>317</v>
      </c>
      <c r="E27" s="13">
        <v>42692.232291666667</v>
      </c>
      <c r="F27" s="13">
        <v>42692.239791666667</v>
      </c>
      <c r="G27" s="7">
        <v>1</v>
      </c>
      <c r="H27" s="22" t="s">
        <v>672</v>
      </c>
      <c r="I27" s="13">
        <v>42692.26734953704</v>
      </c>
      <c r="J27" s="7">
        <v>0</v>
      </c>
      <c r="K27" s="109" t="str">
        <f t="shared" si="0"/>
        <v>4029/4030</v>
      </c>
      <c r="L27" s="22" t="str">
        <f>VLOOKUP(A27,'Trips&amp;Operators'!$C$1:$E$10000,3,FALSE)</f>
        <v>DAVIS</v>
      </c>
      <c r="M27" s="6">
        <f t="shared" si="1"/>
        <v>2.7557870373129845E-2</v>
      </c>
      <c r="N27" s="7">
        <f t="shared" si="2"/>
        <v>39.683333337306976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04:34:30-700',mode:absolute,to:'2016-11-18 07:24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2" t="str">
        <f t="shared" si="6"/>
        <v>N</v>
      </c>
      <c r="X27" s="177">
        <f t="shared" si="16"/>
        <v>1</v>
      </c>
      <c r="Y27" s="67">
        <f t="shared" si="7"/>
        <v>4.2900000000000001E-2</v>
      </c>
      <c r="Z27" s="67">
        <f t="shared" si="8"/>
        <v>23.331</v>
      </c>
      <c r="AA27" s="67">
        <f t="shared" si="9"/>
        <v>23.2881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0"/>
        <v>0117-18</v>
      </c>
      <c r="AE27" s="91" t="str">
        <f t="shared" si="11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27" s="88" t="str">
        <f t="shared" si="12"/>
        <v>"C:\Program Files (x86)\AstroGrep\AstroGrep.exe" /spath="%USERPROFILE%\AppData\Local\Temp\OnboardLogs" /stypes="app*4029*20161118*" /stext=" 13:.+((SYSTEM_STATE.+slice.+state.+changed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14"/>
        <v>"%USERPROFILE%\Documents\GitHub\eaglep3\Utilities\RefineRTDCRunTimes.py" --tripid 117-18 --locoid 4029 --swversion DE.1.0.8.0 --startMP 204:429 --initTime 2016-11-18T05:34:30 --startdatetime 2016-11-18T05:45:18 --delay 1 --endMP 204:233310 --enddatetime 2016-11-18T06:24:59 --enforcementcount 0 &gt;&gt;C:\Users\stu\Documents\GitHub\eaglep3-reporting\EC\2016-11-18-refined-times.txt</v>
      </c>
      <c r="AI2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{"issue":{"subject":"","project_id":79,"tracker_id":40,"status_id":1,"priority_id":2,"assigned_to_id":23,"start_date":"2016-11-18","description":"","custom_fields":[{"id":1,"name":"Subdivision","value":"EC"},{"id":4,"name":"Milepost","value":"23.331"},{"id":17,"name":"Train ID","value":"117-18"},{"id":16,"name":"Locomotive ID","value":"4029"},{"id":130,"name":"Impact","value":""},{"id":150,"name":"Time of Event (Mountain Time)","value":"06:24:59"},{"id":151,"name":"Denver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494</v>
      </c>
      <c r="B28" s="7">
        <v>4030</v>
      </c>
      <c r="C28" s="22" t="s">
        <v>218</v>
      </c>
      <c r="D28" s="22" t="s">
        <v>347</v>
      </c>
      <c r="E28" s="13">
        <v>42692.276643518519</v>
      </c>
      <c r="F28" s="13">
        <v>42692.278645833336</v>
      </c>
      <c r="G28" s="7">
        <v>0</v>
      </c>
      <c r="H28" s="22" t="s">
        <v>403</v>
      </c>
      <c r="I28" s="13">
        <v>42692.309398148151</v>
      </c>
      <c r="J28" s="7">
        <v>0</v>
      </c>
      <c r="K28" s="109" t="str">
        <f t="shared" si="0"/>
        <v>4029/4030</v>
      </c>
      <c r="L28" s="22" t="str">
        <f>VLOOKUP(A28,'Trips&amp;Operators'!$C$1:$E$10000,3,FALSE)</f>
        <v>DAVIS</v>
      </c>
      <c r="M28" s="6">
        <f t="shared" si="1"/>
        <v>3.0752314814890269E-2</v>
      </c>
      <c r="N28" s="7">
        <f t="shared" si="2"/>
        <v>44.283333333441988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05:38:22-700',mode:absolute,to:'2016-11-18 08:25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8" s="52" t="str">
        <f t="shared" si="6"/>
        <v>N</v>
      </c>
      <c r="X28" s="177">
        <f t="shared" si="16"/>
        <v>1</v>
      </c>
      <c r="Y28" s="67">
        <f t="shared" si="7"/>
        <v>23.299299999999999</v>
      </c>
      <c r="Z28" s="67">
        <f t="shared" si="8"/>
        <v>1.34E-2</v>
      </c>
      <c r="AA28" s="67">
        <f t="shared" si="9"/>
        <v>23.285899999999998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0"/>
        <v>0118-18</v>
      </c>
      <c r="AE28" s="91" t="str">
        <f t="shared" si="11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28" s="88" t="str">
        <f t="shared" si="12"/>
        <v>"C:\Program Files (x86)\AstroGrep\AstroGrep.exe" /spath="%USERPROFILE%\AppData\Local\Temp\OnboardLogs" /stypes="app*4030*20161118*" /stext=" 14:.+((SYSTEM_STATE.+slice.+state.+changed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14"/>
        <v>"%USERPROFILE%\Documents\GitHub\eaglep3\Utilities\RefineRTDCRunTimes.py" --tripid 118-18 --locoid 4030 --swversion DE.1.0.8.0 --startMP 204:232993 --initTime 2016-11-18T06:38:22 --startdatetime 2016-11-18T06:41:15 --delay 0 --endMP 204:134 --enddatetime 2016-11-18T07:25:32 --enforcementcount 0 &gt;&gt;C:\Users\stu\Documents\GitHub\eaglep3-reporting\EC\2016-11-18-refined-times.txt</v>
      </c>
      <c r="AI2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{"issue":{"subject":"","project_id":79,"tracker_id":40,"status_id":1,"priority_id":2,"assigned_to_id":23,"start_date":"2016-11-18","description":"","custom_fields":[{"id":1,"name":"Subdivision","value":"EC"},{"id":4,"name":"Milepost","value":"0.0134"},{"id":17,"name":"Train ID","value":"118-18"},{"id":16,"name":"Locomotive ID","value":"4030"},{"id":130,"name":"Impact","value":""},{"id":150,"name":"Time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488</v>
      </c>
      <c r="B29" s="7">
        <v>4042</v>
      </c>
      <c r="C29" s="22" t="s">
        <v>218</v>
      </c>
      <c r="D29" s="22" t="s">
        <v>342</v>
      </c>
      <c r="E29" s="13">
        <v>42692.248541666668</v>
      </c>
      <c r="F29" s="13">
        <v>42692.250219907408</v>
      </c>
      <c r="G29" s="7">
        <v>1</v>
      </c>
      <c r="H29" s="22" t="s">
        <v>412</v>
      </c>
      <c r="I29" s="13">
        <v>42692.275034722225</v>
      </c>
      <c r="J29" s="7">
        <v>0</v>
      </c>
      <c r="K29" s="109" t="str">
        <f t="shared" si="0"/>
        <v>4041/4042</v>
      </c>
      <c r="L29" s="22" t="str">
        <f>VLOOKUP(A29,'Trips&amp;Operators'!$C$1:$E$10000,3,FALSE)</f>
        <v>ROBINSON</v>
      </c>
      <c r="M29" s="6">
        <f t="shared" si="1"/>
        <v>2.4814814816636499E-2</v>
      </c>
      <c r="N29" s="7">
        <f t="shared" si="2"/>
        <v>35.733333335956559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04:57:54-700',mode:absolute,to:'2016-11-18 07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7">
        <f t="shared" si="16"/>
        <v>1</v>
      </c>
      <c r="Y29" s="67">
        <f t="shared" si="7"/>
        <v>7.3400000000000007E-2</v>
      </c>
      <c r="Z29" s="67">
        <f t="shared" si="8"/>
        <v>23.330500000000001</v>
      </c>
      <c r="AA29" s="67">
        <f t="shared" si="9"/>
        <v>23.257100000000001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0"/>
        <v>0119-18</v>
      </c>
      <c r="AE29" s="91" t="str">
        <f t="shared" si="11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29" s="88" t="str">
        <f t="shared" si="12"/>
        <v>"C:\Program Files (x86)\AstroGrep\AstroGrep.exe" /spath="%USERPROFILE%\AppData\Local\Temp\OnboardLogs" /stypes="app*4042*20161118*" /stext=" 13:.+((SYSTEM_STATE.+slice.+state.+changed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14"/>
        <v>"%USERPROFILE%\Documents\GitHub\eaglep3\Utilities\RefineRTDCRunTimes.py" --tripid 119-18 --locoid 4042 --swversion DE.1.0.8.0 --startMP 204:734 --initTime 2016-11-18T05:57:54 --startdatetime 2016-11-18T06:00:19 --delay 1 --endMP 204:233305 --enddatetime 2016-11-18T06:36:03 --enforcementcount 0 &gt;&gt;C:\Users\stu\Documents\GitHub\eaglep3-reporting\EC\2016-11-18-refined-times.txt</v>
      </c>
      <c r="AI2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{"issue":{"subject":"","project_id":79,"tracker_id":40,"status_id":1,"priority_id":2,"assigned_to_id":23,"start_date":"2016-11-18","description":"","custom_fields":[{"id":1,"name":"Subdivision","value":"EC"},{"id":4,"name":"Milepost","value":"23.3305"},{"id":17,"name":"Train ID","value":"119-18"},{"id":16,"name":"Locomotive ID","value":"4042"},{"id":130,"name":"Impact","value":""},{"id":150,"name":"Time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496</v>
      </c>
      <c r="B30" s="7">
        <v>4041</v>
      </c>
      <c r="C30" s="22" t="s">
        <v>218</v>
      </c>
      <c r="D30" s="22" t="s">
        <v>269</v>
      </c>
      <c r="E30" s="13">
        <v>42692.278252314813</v>
      </c>
      <c r="F30" s="13">
        <v>42692.289097222223</v>
      </c>
      <c r="G30" s="7">
        <v>1</v>
      </c>
      <c r="H30" s="22" t="s">
        <v>271</v>
      </c>
      <c r="I30" s="13">
        <v>42692.319016203706</v>
      </c>
      <c r="J30" s="7">
        <v>0</v>
      </c>
      <c r="K30" s="109" t="str">
        <f t="shared" si="0"/>
        <v>4041/4042</v>
      </c>
      <c r="L30" s="22" t="str">
        <f>VLOOKUP(A30,'Trips&amp;Operators'!$C$1:$E$10000,3,FALSE)</f>
        <v>ROBINSON</v>
      </c>
      <c r="M30" s="6">
        <f t="shared" si="1"/>
        <v>2.9918981483206153E-2</v>
      </c>
      <c r="N30" s="7">
        <f t="shared" si="2"/>
        <v>43.08333333581686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05:40:41-700',mode:absolute,to:'2016-11-18 08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7">
        <f t="shared" si="16"/>
        <v>1</v>
      </c>
      <c r="Y30" s="67">
        <f t="shared" si="7"/>
        <v>23.297999999999998</v>
      </c>
      <c r="Z30" s="67">
        <f t="shared" si="8"/>
        <v>1.41E-2</v>
      </c>
      <c r="AA30" s="67">
        <f t="shared" si="9"/>
        <v>23.283899999999999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0"/>
        <v>0120-18</v>
      </c>
      <c r="AE30" s="91" t="str">
        <f t="shared" si="11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30" s="88" t="str">
        <f t="shared" si="12"/>
        <v>"C:\Program Files (x86)\AstroGrep\AstroGrep.exe" /spath="%USERPROFILE%\AppData\Local\Temp\OnboardLogs" /stypes="app*4041*20161118*" /stext=" 14:.+((SYSTEM_STATE.+slice.+state.+changed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14"/>
        <v>"%USERPROFILE%\Documents\GitHub\eaglep3\Utilities\RefineRTDCRunTimes.py" --tripid 120-18 --locoid 4041 --swversion DE.1.0.8.0 --startMP 204:232980 --initTime 2016-11-18T06:40:41 --startdatetime 2016-11-18T06:56:18 --delay 1 --endMP 204:141 --enddatetime 2016-11-18T07:39:23 --enforcementcount 0 &gt;&gt;C:\Users\stu\Documents\GitHub\eaglep3-reporting\EC\2016-11-18-refined-times.txt</v>
      </c>
      <c r="AI3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{"issue":{"subject":"","project_id":79,"tracker_id":40,"status_id":1,"priority_id":2,"assigned_to_id":23,"start_date":"2016-11-18","description":"","custom_fields":[{"id":1,"name":"Subdivision","value":"EC"},{"id":4,"name":"Milepost","value":"0.0141"},{"id":17,"name":"Train ID","value":"120-18"},{"id":16,"name":"Locomotive ID","value":"4041"},{"id":130,"name":"Impact","value":""},{"id":150,"name":"Time of Event (Mountain Time)","value":"07:39:23"},{"id":151,"name":"Denver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491</v>
      </c>
      <c r="B31" s="7">
        <v>4018</v>
      </c>
      <c r="C31" s="22" t="s">
        <v>218</v>
      </c>
      <c r="D31" s="22" t="s">
        <v>673</v>
      </c>
      <c r="E31" s="13">
        <v>42692.25681712963</v>
      </c>
      <c r="F31" s="13">
        <v>42692.260578703703</v>
      </c>
      <c r="G31" s="7">
        <v>2</v>
      </c>
      <c r="H31" s="22" t="s">
        <v>393</v>
      </c>
      <c r="I31" s="13">
        <v>42692.286504629628</v>
      </c>
      <c r="J31" s="7">
        <v>0</v>
      </c>
      <c r="K31" s="109" t="str">
        <f t="shared" si="0"/>
        <v>4017/4018</v>
      </c>
      <c r="L31" s="22" t="str">
        <f>VLOOKUP(A31,'Trips&amp;Operators'!$C$1:$E$10000,3,FALSE)</f>
        <v>RICHARDSON</v>
      </c>
      <c r="M31" s="6">
        <f t="shared" si="1"/>
        <v>2.5925925925548654E-2</v>
      </c>
      <c r="N31" s="7">
        <f t="shared" si="2"/>
        <v>37.333333332790062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05:09:49-700',mode:absolute,to:'2016-11-18 07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1" s="52" t="str">
        <f t="shared" si="6"/>
        <v>N</v>
      </c>
      <c r="X31" s="177">
        <f t="shared" si="16"/>
        <v>1</v>
      </c>
      <c r="Y31" s="67">
        <f t="shared" si="7"/>
        <v>6.0999999999999999E-2</v>
      </c>
      <c r="Z31" s="67">
        <f t="shared" si="8"/>
        <v>23.326799999999999</v>
      </c>
      <c r="AA31" s="67">
        <f t="shared" si="9"/>
        <v>23.265799999999999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0"/>
        <v>0121-18</v>
      </c>
      <c r="AE31" s="91" t="str">
        <f t="shared" si="11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31" s="88" t="str">
        <f t="shared" si="12"/>
        <v>"C:\Program Files (x86)\AstroGrep\AstroGrep.exe" /spath="%USERPROFILE%\AppData\Local\Temp\OnboardLogs" /stypes="app*4018*20161118*" /stext=" 13:.+((SYSTEM_STATE.+slice.+state.+changed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14"/>
        <v>"%USERPROFILE%\Documents\GitHub\eaglep3\Utilities\RefineRTDCRunTimes.py" --tripid 121-18 --locoid 4018 --swversion DE.1.0.8.0 --startMP 204:610 --initTime 2016-11-18T06:09:49 --startdatetime 2016-11-18T06:15:14 --delay 2 --endMP 204:233268 --enddatetime 2016-11-18T06:52:34 --enforcementcount 0 &gt;&gt;C:\Users\stu\Documents\GitHub\eaglep3-reporting\EC\2016-11-18-refined-times.txt</v>
      </c>
      <c r="AI3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{"issue":{"subject":"","project_id":79,"tracker_id":40,"status_id":1,"priority_id":2,"assigned_to_id":23,"start_date":"2016-11-18","description":"","custom_fields":[{"id":1,"name":"Subdivision","value":"EC"},{"id":4,"name":"Milepost","value":"23.3268"},{"id":17,"name":"Train ID","value":"121-18"},{"id":16,"name":"Locomotive ID","value":"4018"},{"id":130,"name":"Impact","value":""},{"id":150,"name":"Time of Event (Mountain Time)","value":"06:52:34"},{"id":151,"name":"Denver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498</v>
      </c>
      <c r="B32" s="7">
        <v>4017</v>
      </c>
      <c r="C32" s="22" t="s">
        <v>218</v>
      </c>
      <c r="D32" s="22" t="s">
        <v>284</v>
      </c>
      <c r="E32" s="13">
        <v>42692.289965277778</v>
      </c>
      <c r="F32" s="13">
        <v>42692.299467592595</v>
      </c>
      <c r="G32" s="7">
        <v>3</v>
      </c>
      <c r="H32" s="22" t="s">
        <v>674</v>
      </c>
      <c r="I32" s="13">
        <v>42692.318287037036</v>
      </c>
      <c r="J32" s="7">
        <v>0</v>
      </c>
      <c r="K32" s="109" t="str">
        <f t="shared" si="0"/>
        <v>4017/4018</v>
      </c>
      <c r="L32" s="22" t="str">
        <f>VLOOKUP(A32,'Trips&amp;Operators'!$C$1:$E$10000,3,FALSE)</f>
        <v>RICHARDSON</v>
      </c>
      <c r="M32" s="6">
        <f t="shared" si="1"/>
        <v>1.8819444441760425E-2</v>
      </c>
      <c r="N32" s="7"/>
      <c r="O32" s="7"/>
      <c r="P32" s="7">
        <f t="shared" si="2"/>
        <v>27.099999996135011</v>
      </c>
      <c r="Q32" s="23"/>
      <c r="R32" s="23" t="s">
        <v>826</v>
      </c>
      <c r="S32" s="35">
        <f t="shared" si="3"/>
        <v>0.75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9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05:57:33-700',mode:absolute,to:'2016-11-18 08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2" s="52" t="str">
        <f t="shared" si="6"/>
        <v>Y</v>
      </c>
      <c r="X32" s="177">
        <f t="shared" si="16"/>
        <v>1</v>
      </c>
      <c r="Y32" s="67">
        <f t="shared" si="7"/>
        <v>23.299399999999999</v>
      </c>
      <c r="Z32" s="67">
        <f t="shared" si="8"/>
        <v>3.9735999999999998</v>
      </c>
      <c r="AA32" s="67">
        <f t="shared" si="9"/>
        <v>19.325799999999997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0"/>
        <v>0122-18</v>
      </c>
      <c r="AE32" s="91" t="str">
        <f t="shared" si="11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32" s="88" t="str">
        <f t="shared" si="12"/>
        <v>"C:\Program Files (x86)\AstroGrep\AstroGrep.exe" /spath="%USERPROFILE%\AppData\Local\Temp\OnboardLogs" /stypes="app*4017*20161118*" /stext=" 14:.+((SYSTEM_STATE.+slice.+state.+changed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14"/>
        <v>"%USERPROFILE%\Documents\GitHub\eaglep3\Utilities\RefineRTDCRunTimes.py" --tripid 122-18 --locoid 4017 --swversion DE.1.0.8.0 --startMP 204:232994 --initTime 2016-11-18T06:57:33 --startdatetime 2016-11-18T07:11:14 --delay 3 --endMP 204:39736 --enddatetime 2016-11-18T07:38:20 --enforcementcount 0 &gt;&gt;C:\Users\stu\Documents\GitHub\eaglep3-reporting\EC\2016-11-18-refined-times.txt</v>
      </c>
      <c r="AI32" s="119" t="str">
        <f t="shared" si="15"/>
        <v>echo {"issue":{"subject":"Onboard in-route failure","project_id":79,"tracker_id":40,"status_id":1,"priority_id":2,"assigned_to_id":23,"start_date":"2016-11-18","description":"Multiple CPU primary/secondary changes within a minute","custom_fields":[{"id":1,"name":"Subdivision","value":"EC"},{"id":4,"name":"Milepost","value":"3.9736"},{"id":17,"name":"Train ID","value":"122-18"},{"id":16,"name":"Locomotive ID","value":"4017"},{"id":130,"name":"Impact","value":"Failed State"},{"id":150,"name":"Time of Event (Mountain Time)","value":"07:38:20"},{"id":151,"name":"Denver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2" s="53" t="s">
        <v>827</v>
      </c>
      <c r="AK32" s="53" t="s">
        <v>128</v>
      </c>
      <c r="AL32" s="53" t="s">
        <v>177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492</v>
      </c>
      <c r="B33" s="7">
        <v>4011</v>
      </c>
      <c r="C33" s="22" t="s">
        <v>218</v>
      </c>
      <c r="D33" s="22" t="s">
        <v>217</v>
      </c>
      <c r="E33" s="13">
        <v>42692.26803240741</v>
      </c>
      <c r="F33" s="13">
        <v>42692.271006944444</v>
      </c>
      <c r="G33" s="7">
        <v>4</v>
      </c>
      <c r="H33" s="22" t="s">
        <v>675</v>
      </c>
      <c r="I33" s="13">
        <v>42692.295416666668</v>
      </c>
      <c r="J33" s="7">
        <v>0</v>
      </c>
      <c r="K33" s="109" t="str">
        <f t="shared" si="0"/>
        <v>4011/4012</v>
      </c>
      <c r="L33" s="22" t="str">
        <f>VLOOKUP(A33,'Trips&amp;Operators'!$C$1:$E$10000,3,FALSE)</f>
        <v>DAVIDSON</v>
      </c>
      <c r="M33" s="6">
        <f t="shared" si="1"/>
        <v>2.4409722223936114E-2</v>
      </c>
      <c r="N33" s="7">
        <f t="shared" si="2"/>
        <v>35.150000002468005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05:25:58-700',mode:absolute,to:'2016-11-18 08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16"/>
        <v>1</v>
      </c>
      <c r="Y33" s="67">
        <f t="shared" si="7"/>
        <v>4.6399999999999997E-2</v>
      </c>
      <c r="Z33" s="67">
        <f t="shared" si="8"/>
        <v>23.329899999999999</v>
      </c>
      <c r="AA33" s="67">
        <f t="shared" si="9"/>
        <v>23.2835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0"/>
        <v>0123-18</v>
      </c>
      <c r="AE33" s="91" t="str">
        <f t="shared" si="11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33" s="88" t="str">
        <f t="shared" si="12"/>
        <v>"C:\Program Files (x86)\AstroGrep\AstroGrep.exe" /spath="%USERPROFILE%\AppData\Local\Temp\OnboardLogs" /stypes="app*4011*20161118*" /stext=" 14:.+((SYSTEM_STATE.+slice.+state.+changed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14"/>
        <v>"%USERPROFILE%\Documents\GitHub\eaglep3\Utilities\RefineRTDCRunTimes.py" --tripid 123-18 --locoid 4011 --swversion DE.1.0.8.0 --startMP 204:464 --initTime 2016-11-18T06:25:58 --startdatetime 2016-11-18T06:30:15 --delay 4 --endMP 204:233299 --enddatetime 2016-11-18T07:05:24 --enforcementcount 0 &gt;&gt;C:\Users\stu\Documents\GitHub\eaglep3-reporting\EC\2016-11-18-refined-times.txt</v>
      </c>
      <c r="AI33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{"issue":{"subject":"","project_id":79,"tracker_id":40,"status_id":1,"priority_id":2,"assigned_to_id":23,"start_date":"2016-11-18","description":"","custom_fields":[{"id":1,"name":"Subdivision","value":"EC"},{"id":4,"name":"Milepost","value":"23.3299"},{"id":17,"name":"Train ID","value":"123-18"},{"id":16,"name":"Locomotive ID","value":"4011"},{"id":130,"name":"Impact","value":""},{"id":150,"name":"Time of Event (Mountain Time)","value":"07:05:24"},{"id":151,"name":"Denver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442</v>
      </c>
      <c r="B34" s="7">
        <v>4012</v>
      </c>
      <c r="C34" s="22" t="s">
        <v>218</v>
      </c>
      <c r="D34" s="22" t="s">
        <v>353</v>
      </c>
      <c r="E34" s="13">
        <v>42692.299942129626</v>
      </c>
      <c r="F34" s="13">
        <v>42692.309895833336</v>
      </c>
      <c r="G34" s="7">
        <v>1</v>
      </c>
      <c r="H34" s="22" t="s">
        <v>286</v>
      </c>
      <c r="I34" s="13">
        <v>42692.341053240743</v>
      </c>
      <c r="J34" s="7">
        <v>0</v>
      </c>
      <c r="K34" s="109" t="str">
        <f t="shared" si="0"/>
        <v>4011/4012</v>
      </c>
      <c r="L34" s="22" t="str">
        <f>VLOOKUP(A34,'Trips&amp;Operators'!$C$1:$E$10000,3,FALSE)</f>
        <v>DAVIDSON</v>
      </c>
      <c r="M34" s="6">
        <f t="shared" si="1"/>
        <v>3.1157407407590654E-2</v>
      </c>
      <c r="N34" s="7">
        <f t="shared" si="2"/>
        <v>44.866666666930541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06:11:55-700',mode:absolute,to:'2016-11-18 09:11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16"/>
        <v>1</v>
      </c>
      <c r="Y34" s="67">
        <f t="shared" si="7"/>
        <v>23.298200000000001</v>
      </c>
      <c r="Z34" s="67">
        <f t="shared" si="8"/>
        <v>1.67E-2</v>
      </c>
      <c r="AA34" s="67">
        <f t="shared" si="9"/>
        <v>23.281500000000001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0"/>
        <v>0124-18</v>
      </c>
      <c r="AE34" s="91" t="str">
        <f t="shared" si="11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34" s="88" t="str">
        <f t="shared" si="12"/>
        <v>"C:\Program Files (x86)\AstroGrep\AstroGrep.exe" /spath="%USERPROFILE%\AppData\Local\Temp\OnboardLogs" /stypes="app*4012*20161118*" /stext=" 15:.+((SYSTEM_STATE.+slice.+state.+changed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14"/>
        <v>"%USERPROFILE%\Documents\GitHub\eaglep3\Utilities\RefineRTDCRunTimes.py" --tripid 124-18 --locoid 4012 --swversion DE.1.0.8.0 --startMP 204:232982 --initTime 2016-11-18T07:11:55 --startdatetime 2016-11-18T07:26:15 --delay 1 --endMP 204:167 --enddatetime 2016-11-18T08:11:07 --enforcementcount 0 &gt;&gt;C:\Users\stu\Documents\GitHub\eaglep3-reporting\EC\2016-11-18-refined-times.txt</v>
      </c>
      <c r="AI3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{"issue":{"subject":"","project_id":79,"tracker_id":40,"status_id":1,"priority_id":2,"assigned_to_id":23,"start_date":"2016-11-18","description":"","custom_fields":[{"id":1,"name":"Subdivision","value":"EC"},{"id":4,"name":"Milepost","value":"0.0167"},{"id":17,"name":"Train ID","value":"124-18"},{"id":16,"name":"Locomotive ID","value":"4012"},{"id":130,"name":"Impact","value":""},{"id":150,"name":"Time of Event (Mountain Time)","value":"08:11:07"},{"id":151,"name":"Denver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495</v>
      </c>
      <c r="B35" s="7">
        <v>4009</v>
      </c>
      <c r="C35" s="22" t="s">
        <v>218</v>
      </c>
      <c r="D35" s="22" t="s">
        <v>220</v>
      </c>
      <c r="E35" s="13">
        <v>42692.278506944444</v>
      </c>
      <c r="F35" s="13">
        <v>42692.281412037039</v>
      </c>
      <c r="G35" s="7">
        <v>1</v>
      </c>
      <c r="H35" s="22" t="s">
        <v>314</v>
      </c>
      <c r="I35" s="13">
        <v>42692.307002314818</v>
      </c>
      <c r="J35" s="7">
        <v>0</v>
      </c>
      <c r="K35" s="109" t="str">
        <f t="shared" si="0"/>
        <v>4009/4010</v>
      </c>
      <c r="L35" s="22" t="str">
        <f>VLOOKUP(A35,'Trips&amp;Operators'!$C$1:$E$10000,3,FALSE)</f>
        <v>ISHMAEL</v>
      </c>
      <c r="M35" s="6">
        <f t="shared" si="1"/>
        <v>2.5590277778974269E-2</v>
      </c>
      <c r="N35" s="7">
        <f t="shared" si="2"/>
        <v>36.850000001722947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05:41:03-700',mode:absolute,to:'2016-11-18 08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5" s="52" t="str">
        <f t="shared" si="6"/>
        <v>N</v>
      </c>
      <c r="X35" s="177">
        <f t="shared" si="16"/>
        <v>1</v>
      </c>
      <c r="Y35" s="67">
        <f t="shared" si="7"/>
        <v>4.58E-2</v>
      </c>
      <c r="Z35" s="67">
        <f t="shared" si="8"/>
        <v>23.331700000000001</v>
      </c>
      <c r="AA35" s="67">
        <f t="shared" si="9"/>
        <v>23.285900000000002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0"/>
        <v>0125-18</v>
      </c>
      <c r="AE35" s="91" t="str">
        <f t="shared" si="11"/>
        <v>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 &amp; aws s3 cp s3://rtdc.mdm.uploadarchive.raw/RTDC4009/ "%USERPROFILE%\AppData\Local\Temp\OnboardLogs"\RTDC4009\2016-11-19 --exclude "*" --recursive --include "*20161119*" &amp; "%USERPROFILE%\Documents\GitHub\mrs-test-scripts\Headless Mode &amp; Sideloading\WalkAndUnGZ.bat" "%USERPROFILE%\AppData\Local\Temp\OnboardLogs"\RTDC4009\2016-11-19</v>
      </c>
      <c r="AF35" s="88" t="str">
        <f t="shared" si="12"/>
        <v>"C:\Program Files (x86)\AstroGrep\AstroGrep.exe" /spath="%USERPROFILE%\AppData\Local\Temp\OnboardLogs" /stypes="app*4009*20161118*" /stext=" 14:.+((SYSTEM_STATE.+slice.+state.+changed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14"/>
        <v>"%USERPROFILE%\Documents\GitHub\eaglep3\Utilities\RefineRTDCRunTimes.py" --tripid 125-18 --locoid 4009 --swversion DE.1.0.8.0 --startMP 204:458 --initTime 2016-11-18T06:41:03 --startdatetime 2016-11-18T06:45:14 --delay 1 --endMP 204:233317 --enddatetime 2016-11-18T07:22:05 --enforcementcount 0 &gt;&gt;C:\Users\stu\Documents\GitHub\eaglep3-reporting\EC\2016-11-18-refined-times.txt</v>
      </c>
      <c r="AI35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{"issue":{"subject":"","project_id":79,"tracker_id":40,"status_id":1,"priority_id":2,"assigned_to_id":23,"start_date":"2016-11-18","description":"","custom_fields":[{"id":1,"name":"Subdivision","value":"EC"},{"id":4,"name":"Milepost","value":"23.3317"},{"id":17,"name":"Train ID","value":"125-18"},{"id":16,"name":"Locomotive ID","value":"4009"},{"id":130,"name":"Impact","value":""},{"id":150,"name":"Time of Event (Mountain Time)","value":"07:22:05"},{"id":151,"name":"Denver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502</v>
      </c>
      <c r="B36" s="7">
        <v>4010</v>
      </c>
      <c r="C36" s="22" t="s">
        <v>218</v>
      </c>
      <c r="D36" s="22" t="s">
        <v>279</v>
      </c>
      <c r="E36" s="13">
        <v>42692.314571759256</v>
      </c>
      <c r="F36" s="13">
        <v>42692.320300925923</v>
      </c>
      <c r="G36" s="7">
        <v>1</v>
      </c>
      <c r="H36" s="22" t="s">
        <v>196</v>
      </c>
      <c r="I36" s="13">
        <v>42692.349895833337</v>
      </c>
      <c r="J36" s="7">
        <v>0</v>
      </c>
      <c r="K36" s="109" t="str">
        <f t="shared" si="0"/>
        <v>4009/4010</v>
      </c>
      <c r="L36" s="22" t="str">
        <f>VLOOKUP(A36,'Trips&amp;Operators'!$C$1:$E$10000,3,FALSE)</f>
        <v>ISHMAEL</v>
      </c>
      <c r="M36" s="6">
        <f t="shared" si="1"/>
        <v>2.959490741341142E-2</v>
      </c>
      <c r="N36" s="7">
        <f t="shared" si="2"/>
        <v>42.616666675312445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06:32:59-700',mode:absolute,to:'2016-11-18 09:23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6" s="52" t="str">
        <f t="shared" si="6"/>
        <v>N</v>
      </c>
      <c r="X36" s="177">
        <f t="shared" si="16"/>
        <v>1</v>
      </c>
      <c r="Y36" s="67">
        <f t="shared" si="7"/>
        <v>23.2989</v>
      </c>
      <c r="Z36" s="67">
        <f t="shared" si="8"/>
        <v>1.49E-2</v>
      </c>
      <c r="AA36" s="67">
        <f t="shared" si="9"/>
        <v>23.283999999999999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0"/>
        <v>0126-18</v>
      </c>
      <c r="AE36" s="91" t="str">
        <f t="shared" si="11"/>
        <v>aws s3 cp s3://rtdc.mdm.uploadarchive.raw/RTDC4010/ "%USERPROFILE%\AppData\Local\Temp\OnboardLogs"\RTDC4010\2016-11-18 --exclude "*" --recursive --include "*20161118*" &amp; "%USERPROFILE%\Documents\GitHub\mrs-test-scripts\Headless Mode &amp; Sideloading\WalkAndUnGZ.bat" "%USERPROFILE%\AppData\Local\Temp\OnboardLogs"\RTDC4010\2016-11-18 &amp; aws s3 cp s3://rtdc.mdm.uploadarchive.raw/RTDC4010/ "%USERPROFILE%\AppData\Local\Temp\OnboardLogs"\RTDC4010\2016-11-19 --exclude "*" --recursive --include "*20161119*" &amp; "%USERPROFILE%\Documents\GitHub\mrs-test-scripts\Headless Mode &amp; Sideloading\WalkAndUnGZ.bat" "%USERPROFILE%\AppData\Local\Temp\OnboardLogs"\RTDC4010\2016-11-19</v>
      </c>
      <c r="AF36" s="88" t="str">
        <f t="shared" si="12"/>
        <v>"C:\Program Files (x86)\AstroGrep\AstroGrep.exe" /spath="%USERPROFILE%\AppData\Local\Temp\OnboardLogs" /stypes="app*4010*20161118*" /stext=" 15:.+((SYSTEM_STATE.+slice.+state.+changed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14"/>
        <v>"%USERPROFILE%\Documents\GitHub\eaglep3\Utilities\RefineRTDCRunTimes.py" --tripid 126-18 --locoid 4010 --swversion DE.1.0.8.0 --startMP 204:232989 --initTime 2016-11-18T07:32:59 --startdatetime 2016-11-18T07:41:14 --delay 1 --endMP 204:149 --enddatetime 2016-11-18T08:23:51 --enforcementcount 0 &gt;&gt;C:\Users\stu\Documents\GitHub\eaglep3-reporting\EC\2016-11-18-refined-times.txt</v>
      </c>
      <c r="AI3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{"issue":{"subject":"","project_id":79,"tracker_id":40,"status_id":1,"priority_id":2,"assigned_to_id":23,"start_date":"2016-11-18","description":"","custom_fields":[{"id":1,"name":"Subdivision","value":"EC"},{"id":4,"name":"Milepost","value":"0.0149"},{"id":17,"name":"Train ID","value":"126-18"},{"id":16,"name":"Locomotive ID","value":"4010"},{"id":130,"name":"Impact","value":""},{"id":150,"name":"Time of Event (Mountain Time)","value":"08:23:51"},{"id":151,"name":"Denver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497</v>
      </c>
      <c r="B37" s="7">
        <v>4046</v>
      </c>
      <c r="C37" s="22" t="s">
        <v>218</v>
      </c>
      <c r="D37" s="22" t="s">
        <v>349</v>
      </c>
      <c r="E37" s="13">
        <v>42692.288298611114</v>
      </c>
      <c r="F37" s="13">
        <v>42692.292141203703</v>
      </c>
      <c r="G37" s="7">
        <v>1</v>
      </c>
      <c r="H37" s="22" t="s">
        <v>316</v>
      </c>
      <c r="I37" s="13">
        <v>42692.31658564815</v>
      </c>
      <c r="J37" s="7">
        <v>0</v>
      </c>
      <c r="K37" s="109" t="str">
        <f t="shared" si="0"/>
        <v>4045/4046</v>
      </c>
      <c r="L37" s="22" t="str">
        <f>VLOOKUP(A37,'Trips&amp;Operators'!$C$1:$E$10000,3,FALSE)</f>
        <v>MAELZER</v>
      </c>
      <c r="M37" s="6">
        <f t="shared" si="1"/>
        <v>2.4444444446999114E-2</v>
      </c>
      <c r="N37" s="7">
        <f t="shared" si="2"/>
        <v>35.200000003678724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05:55:09-700',mode:absolute,to:'2016-11-18 08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7" s="52" t="str">
        <f t="shared" si="6"/>
        <v>N</v>
      </c>
      <c r="X37" s="177">
        <f t="shared" si="16"/>
        <v>1</v>
      </c>
      <c r="Y37" s="67">
        <f t="shared" si="7"/>
        <v>4.3700000000000003E-2</v>
      </c>
      <c r="Z37" s="67">
        <f t="shared" si="8"/>
        <v>23.3307</v>
      </c>
      <c r="AA37" s="67">
        <f t="shared" si="9"/>
        <v>23.286999999999999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0"/>
        <v>0127-18</v>
      </c>
      <c r="AE37" s="91" t="str">
        <f t="shared" si="11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37" s="88" t="str">
        <f t="shared" si="12"/>
        <v>"C:\Program Files (x86)\AstroGrep\AstroGrep.exe" /spath="%USERPROFILE%\AppData\Local\Temp\OnboardLogs" /stypes="app*4046*20161118*" /stext=" 14:.+((SYSTEM_STATE.+slice.+state.+changed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14"/>
        <v>"%USERPROFILE%\Documents\GitHub\eaglep3\Utilities\RefineRTDCRunTimes.py" --tripid 127-18 --locoid 4046 --swversion DE.1.0.8.0 --startMP 204:437 --initTime 2016-11-18T06:55:09 --startdatetime 2016-11-18T07:00:41 --delay 1 --endMP 204:233307 --enddatetime 2016-11-18T07:35:53 --enforcementcount 0 &gt;&gt;C:\Users\stu\Documents\GitHub\eaglep3-reporting\EC\2016-11-18-refined-times.txt</v>
      </c>
      <c r="AI3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{"issue":{"subject":"","project_id":79,"tracker_id":40,"status_id":1,"priority_id":2,"assigned_to_id":23,"start_date":"2016-11-18","description":"","custom_fields":[{"id":1,"name":"Subdivision","value":"EC"},{"id":4,"name":"Milepost","value":"23.3307"},{"id":17,"name":"Train ID","value":"127-18"},{"id":16,"name":"Locomotive ID","value":"4046"},{"id":130,"name":"Impact","value":""},{"id":150,"name":"Time of Event (Mountain Time)","value":"07:35:53"},{"id":151,"name":"Denver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504</v>
      </c>
      <c r="B38" s="7">
        <v>4045</v>
      </c>
      <c r="C38" s="22" t="s">
        <v>218</v>
      </c>
      <c r="D38" s="22" t="s">
        <v>283</v>
      </c>
      <c r="E38" s="13">
        <v>42692.323865740742</v>
      </c>
      <c r="F38" s="13">
        <v>42692.33079861111</v>
      </c>
      <c r="G38" s="7">
        <v>1</v>
      </c>
      <c r="H38" s="22" t="s">
        <v>196</v>
      </c>
      <c r="I38" s="13">
        <v>42692.358761574076</v>
      </c>
      <c r="J38" s="7">
        <v>0</v>
      </c>
      <c r="K38" s="109" t="str">
        <f t="shared" si="0"/>
        <v>4045/4046</v>
      </c>
      <c r="L38" s="22" t="str">
        <f>VLOOKUP(A38,'Trips&amp;Operators'!$C$1:$E$10000,3,FALSE)</f>
        <v>MAELZER</v>
      </c>
      <c r="M38" s="6">
        <f t="shared" si="1"/>
        <v>2.7962962965830229E-2</v>
      </c>
      <c r="N38" s="7">
        <f t="shared" si="2"/>
        <v>40.26666667079553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06:46:22-700',mode:absolute,to:'2016-11-18 09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8" s="52" t="str">
        <f t="shared" si="6"/>
        <v>N</v>
      </c>
      <c r="X38" s="177">
        <f t="shared" si="16"/>
        <v>1</v>
      </c>
      <c r="Y38" s="67">
        <f t="shared" si="7"/>
        <v>23.3</v>
      </c>
      <c r="Z38" s="67">
        <f t="shared" si="8"/>
        <v>1.49E-2</v>
      </c>
      <c r="AA38" s="67">
        <f t="shared" si="9"/>
        <v>23.2851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0"/>
        <v>0128-18</v>
      </c>
      <c r="AE38" s="91" t="str">
        <f t="shared" si="11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38" s="88" t="str">
        <f t="shared" si="12"/>
        <v>"C:\Program Files (x86)\AstroGrep\AstroGrep.exe" /spath="%USERPROFILE%\AppData\Local\Temp\OnboardLogs" /stypes="app*4045*20161118*" /stext=" 15:.+((SYSTEM_STATE.+slice.+state.+changed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14"/>
        <v>"%USERPROFILE%\Documents\GitHub\eaglep3\Utilities\RefineRTDCRunTimes.py" --tripid 128-18 --locoid 4045 --swversion DE.1.0.8.0 --startMP 204:233000 --initTime 2016-11-18T07:46:22 --startdatetime 2016-11-18T07:56:21 --delay 1 --endMP 204:149 --enddatetime 2016-11-18T08:36:37 --enforcementcount 0 &gt;&gt;C:\Users\stu\Documents\GitHub\eaglep3-reporting\EC\2016-11-18-refined-times.txt</v>
      </c>
      <c r="AI3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{"issue":{"subject":"","project_id":79,"tracker_id":40,"status_id":1,"priority_id":2,"assigned_to_id":23,"start_date":"2016-11-18","description":"","custom_fields":[{"id":1,"name":"Subdivision","value":"EC"},{"id":4,"name":"Milepost","value":"0.0149"},{"id":17,"name":"Train ID","value":"128-18"},{"id":16,"name":"Locomotive ID","value":"4045"},{"id":130,"name":"Impact","value":""},{"id":150,"name":"Time of Event (Mountain Time)","value":"08:36:37"},{"id":151,"name":"Denver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440</v>
      </c>
      <c r="B39" s="7">
        <v>4016</v>
      </c>
      <c r="C39" s="22" t="s">
        <v>218</v>
      </c>
      <c r="D39" s="22" t="s">
        <v>295</v>
      </c>
      <c r="E39" s="13">
        <v>42692.297407407408</v>
      </c>
      <c r="F39" s="13">
        <v>42692.302430555559</v>
      </c>
      <c r="G39" s="7">
        <v>6</v>
      </c>
      <c r="H39" s="22" t="s">
        <v>672</v>
      </c>
      <c r="I39" s="13">
        <v>42692.327638888892</v>
      </c>
      <c r="J39" s="7">
        <v>0</v>
      </c>
      <c r="K39" s="109" t="str">
        <f t="shared" si="0"/>
        <v>4015/4016</v>
      </c>
      <c r="L39" s="22" t="str">
        <f>VLOOKUP(A39,'Trips&amp;Operators'!$C$1:$E$10000,3,FALSE)</f>
        <v>SAFIEF</v>
      </c>
      <c r="M39" s="6">
        <f t="shared" si="1"/>
        <v>2.5208333332557231E-2</v>
      </c>
      <c r="N39" s="7">
        <f t="shared" si="2"/>
        <v>36.299999998882413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06:08:16-700',mode:absolute,to:'2016-11-18 08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9" s="52" t="str">
        <f t="shared" si="6"/>
        <v>N</v>
      </c>
      <c r="X39" s="177">
        <f t="shared" si="16"/>
        <v>1</v>
      </c>
      <c r="Y39" s="67">
        <f t="shared" si="7"/>
        <v>4.3999999999999997E-2</v>
      </c>
      <c r="Z39" s="67">
        <f t="shared" si="8"/>
        <v>23.331</v>
      </c>
      <c r="AA39" s="67">
        <f t="shared" si="9"/>
        <v>23.286999999999999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0"/>
        <v>0129-18</v>
      </c>
      <c r="AE39" s="91" t="str">
        <f t="shared" si="11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39" s="88" t="str">
        <f t="shared" si="12"/>
        <v>"C:\Program Files (x86)\AstroGrep\AstroGrep.exe" /spath="%USERPROFILE%\AppData\Local\Temp\OnboardLogs" /stypes="app*4016*20161118*" /stext=" 14:.+((SYSTEM_STATE.+slice.+state.+changed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14"/>
        <v>"%USERPROFILE%\Documents\GitHub\eaglep3\Utilities\RefineRTDCRunTimes.py" --tripid 129-18 --locoid 4016 --swversion DE.1.0.8.0 --startMP 204:440 --initTime 2016-11-18T07:08:16 --startdatetime 2016-11-18T07:15:30 --delay 6 --endMP 204:233310 --enddatetime 2016-11-18T07:51:48 --enforcementcount 0 &gt;&gt;C:\Users\stu\Documents\GitHub\eaglep3-reporting\EC\2016-11-18-refined-times.txt</v>
      </c>
      <c r="AI3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{"issue":{"subject":"","project_id":79,"tracker_id":40,"status_id":1,"priority_id":2,"assigned_to_id":23,"start_date":"2016-11-18","description":"","custom_fields":[{"id":1,"name":"Subdivision","value":"EC"},{"id":4,"name":"Milepost","value":"23.331"},{"id":17,"name":"Train ID","value":"129-18"},{"id":16,"name":"Locomotive ID","value":"4016"},{"id":130,"name":"Impact","value":""},{"id":150,"name":"Time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506</v>
      </c>
      <c r="B40" s="7">
        <v>4015</v>
      </c>
      <c r="C40" s="22" t="s">
        <v>218</v>
      </c>
      <c r="D40" s="22" t="s">
        <v>318</v>
      </c>
      <c r="E40" s="13">
        <v>42692.33452546296</v>
      </c>
      <c r="F40" s="13">
        <v>42692.341168981482</v>
      </c>
      <c r="G40" s="7">
        <v>2</v>
      </c>
      <c r="H40" s="22" t="s">
        <v>315</v>
      </c>
      <c r="I40" s="13">
        <v>42692.369502314818</v>
      </c>
      <c r="J40" s="7">
        <v>0</v>
      </c>
      <c r="K40" s="109" t="str">
        <f t="shared" si="0"/>
        <v>4015/4016</v>
      </c>
      <c r="L40" s="22" t="str">
        <f>VLOOKUP(A40,'Trips&amp;Operators'!$C$1:$E$10000,3,FALSE)</f>
        <v>SAFIEF</v>
      </c>
      <c r="M40" s="6">
        <f t="shared" si="1"/>
        <v>2.8333333335467614E-2</v>
      </c>
      <c r="N40" s="7">
        <f t="shared" si="2"/>
        <v>40.800000003073364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07:01:43-700',mode:absolute,to:'2016-11-18 09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0" s="52" t="str">
        <f t="shared" si="6"/>
        <v>N</v>
      </c>
      <c r="X40" s="177">
        <f t="shared" si="16"/>
        <v>1</v>
      </c>
      <c r="Y40" s="67">
        <f t="shared" si="7"/>
        <v>23.299800000000001</v>
      </c>
      <c r="Z40" s="67">
        <f t="shared" si="8"/>
        <v>1.4500000000000001E-2</v>
      </c>
      <c r="AA40" s="67">
        <f t="shared" si="9"/>
        <v>23.285299999999999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0"/>
        <v>0130-18</v>
      </c>
      <c r="AE40" s="91" t="str">
        <f t="shared" si="11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40" s="88" t="str">
        <f t="shared" si="12"/>
        <v>"C:\Program Files (x86)\AstroGrep\AstroGrep.exe" /spath="%USERPROFILE%\AppData\Local\Temp\OnboardLogs" /stypes="app*4015*20161118*" /stext=" 15:.+((SYSTEM_STATE.+slice.+state.+changed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14"/>
        <v>"%USERPROFILE%\Documents\GitHub\eaglep3\Utilities\RefineRTDCRunTimes.py" --tripid 130-18 --locoid 4015 --swversion DE.1.0.8.0 --startMP 204:232998 --initTime 2016-11-18T08:01:43 --startdatetime 2016-11-18T08:11:17 --delay 2 --endMP 204:145 --enddatetime 2016-11-18T08:52:05 --enforcementcount 0 &gt;&gt;C:\Users\stu\Documents\GitHub\eaglep3-reporting\EC\2016-11-18-refined-times.txt</v>
      </c>
      <c r="AI4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{"issue":{"subject":"","project_id":79,"tracker_id":40,"status_id":1,"priority_id":2,"assigned_to_id":23,"start_date":"2016-11-18","description":"","custom_fields":[{"id":1,"name":"Subdivision","value":"EC"},{"id":4,"name":"Milepost","value":"0.0145"},{"id":17,"name":"Train ID","value":"130-18"},{"id":16,"name":"Locomotive ID","value":"4015"},{"id":130,"name":"Impact","value":""},{"id":150,"name":"Time of Event (Mountain Time)","value":"08:52:05"},{"id":151,"name":"Denver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501</v>
      </c>
      <c r="B41" s="7">
        <v>4029</v>
      </c>
      <c r="C41" s="22" t="s">
        <v>218</v>
      </c>
      <c r="D41" s="22" t="s">
        <v>228</v>
      </c>
      <c r="E41" s="13">
        <v>42692.310393518521</v>
      </c>
      <c r="F41" s="13">
        <v>42692.312662037039</v>
      </c>
      <c r="G41" s="7">
        <v>1</v>
      </c>
      <c r="H41" s="22" t="s">
        <v>355</v>
      </c>
      <c r="I41" s="13">
        <v>42692.339502314811</v>
      </c>
      <c r="J41" s="7">
        <v>0</v>
      </c>
      <c r="K41" s="109" t="str">
        <f t="shared" si="0"/>
        <v>4029/4030</v>
      </c>
      <c r="L41" s="22" t="str">
        <f>VLOOKUP(A41,'Trips&amp;Operators'!$C$1:$E$10000,3,FALSE)</f>
        <v>DAVIS</v>
      </c>
      <c r="M41" s="6">
        <f t="shared" si="1"/>
        <v>2.6840277772862464E-2</v>
      </c>
      <c r="N41" s="7">
        <f t="shared" si="2"/>
        <v>38.649999992921948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06:26:58-700',mode:absolute,to:'2016-11-18 09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1" s="52" t="str">
        <f t="shared" si="6"/>
        <v>N</v>
      </c>
      <c r="X41" s="177">
        <f t="shared" si="16"/>
        <v>1</v>
      </c>
      <c r="Y41" s="67">
        <f t="shared" si="7"/>
        <v>4.6899999999999997E-2</v>
      </c>
      <c r="Z41" s="67">
        <f t="shared" si="8"/>
        <v>23.331399999999999</v>
      </c>
      <c r="AA41" s="67">
        <f t="shared" si="9"/>
        <v>23.284499999999998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0"/>
        <v>0131-18</v>
      </c>
      <c r="AE41" s="91" t="str">
        <f t="shared" si="11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41" s="88" t="str">
        <f t="shared" si="12"/>
        <v>"C:\Program Files (x86)\AstroGrep\AstroGrep.exe" /spath="%USERPROFILE%\AppData\Local\Temp\OnboardLogs" /stypes="app*4029*20161118*" /stext=" 15:.+((SYSTEM_STATE.+slice.+state.+changed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14"/>
        <v>"%USERPROFILE%\Documents\GitHub\eaglep3\Utilities\RefineRTDCRunTimes.py" --tripid 131-18 --locoid 4029 --swversion DE.1.0.8.0 --startMP 204:469 --initTime 2016-11-18T07:26:58 --startdatetime 2016-11-18T07:30:14 --delay 1 --endMP 204:233314 --enddatetime 2016-11-18T08:08:53 --enforcementcount 0 &gt;&gt;C:\Users\stu\Documents\GitHub\eaglep3-reporting\EC\2016-11-18-refined-times.txt</v>
      </c>
      <c r="AI4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{"issue":{"subject":"","project_id":79,"tracker_id":40,"status_id":1,"priority_id":2,"assigned_to_id":23,"start_date":"2016-11-18","description":"","custom_fields":[{"id":1,"name":"Subdivision","value":"EC"},{"id":4,"name":"Milepost","value":"23.3314"},{"id":17,"name":"Train ID","value":"131-18"},{"id":16,"name":"Locomotive ID","value":"4029"},{"id":130,"name":"Impact","value":""},{"id":150,"name":"Time of Event (Mountain Time)","value":"08:08:53"},{"id":151,"name":"Denver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510</v>
      </c>
      <c r="B42" s="7">
        <v>4030</v>
      </c>
      <c r="C42" s="22" t="s">
        <v>218</v>
      </c>
      <c r="D42" s="22" t="s">
        <v>669</v>
      </c>
      <c r="E42" s="13">
        <v>42692.346400462964</v>
      </c>
      <c r="F42" s="13">
        <v>42692.351527777777</v>
      </c>
      <c r="G42" s="7">
        <v>1</v>
      </c>
      <c r="H42" s="22" t="s">
        <v>345</v>
      </c>
      <c r="I42" s="13">
        <v>42692.381180555552</v>
      </c>
      <c r="J42" s="7">
        <v>0</v>
      </c>
      <c r="K42" s="109" t="str">
        <f t="shared" si="0"/>
        <v>4029/4030</v>
      </c>
      <c r="L42" s="22" t="str">
        <f>VLOOKUP(A42,'Trips&amp;Operators'!$C$1:$E$10000,3,FALSE)</f>
        <v>DAVIS</v>
      </c>
      <c r="M42" s="6">
        <f t="shared" si="1"/>
        <v>2.9652777775481809E-2</v>
      </c>
      <c r="N42" s="7">
        <f t="shared" si="2"/>
        <v>42.699999996693805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07:18:49-700',mode:absolute,to:'2016-11-18 10:08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2" s="52" t="str">
        <f t="shared" si="6"/>
        <v>N</v>
      </c>
      <c r="X42" s="177">
        <f t="shared" si="16"/>
        <v>1</v>
      </c>
      <c r="Y42" s="67">
        <f t="shared" si="7"/>
        <v>23.2986</v>
      </c>
      <c r="Z42" s="67">
        <f t="shared" si="8"/>
        <v>1.47E-2</v>
      </c>
      <c r="AA42" s="67">
        <f t="shared" si="9"/>
        <v>23.283899999999999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0"/>
        <v>0132-18</v>
      </c>
      <c r="AE42" s="91" t="str">
        <f t="shared" si="11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42" s="88" t="str">
        <f t="shared" si="12"/>
        <v>"C:\Program Files (x86)\AstroGrep\AstroGrep.exe" /spath="%USERPROFILE%\AppData\Local\Temp\OnboardLogs" /stypes="app*4030*20161118*" /stext=" 16:.+((SYSTEM_STATE.+slice.+state.+changed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14"/>
        <v>"%USERPROFILE%\Documents\GitHub\eaglep3\Utilities\RefineRTDCRunTimes.py" --tripid 132-18 --locoid 4030 --swversion DE.1.0.8.0 --startMP 204:232986 --initTime 2016-11-18T08:18:49 --startdatetime 2016-11-18T08:26:12 --delay 1 --endMP 204:147 --enddatetime 2016-11-18T09:08:54 --enforcementcount 0 &gt;&gt;C:\Users\stu\Documents\GitHub\eaglep3-reporting\EC\2016-11-18-refined-times.txt</v>
      </c>
      <c r="AI42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{"issue":{"subject":"","project_id":79,"tracker_id":40,"status_id":1,"priority_id":2,"assigned_to_id":23,"start_date":"2016-11-18","description":"","custom_fields":[{"id":1,"name":"Subdivision","value":"EC"},{"id":4,"name":"Milepost","value":"0.0147"},{"id":17,"name":"Train ID","value":"132-18"},{"id":16,"name":"Locomotive ID","value":"4030"},{"id":130,"name":"Impact","value":""},{"id":150,"name":"Time of Event (Mountain Time)","value":"09:08:54"},{"id":151,"name":"Denver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443</v>
      </c>
      <c r="B43" s="7">
        <v>4042</v>
      </c>
      <c r="C43" s="22" t="s">
        <v>218</v>
      </c>
      <c r="D43" s="22" t="s">
        <v>198</v>
      </c>
      <c r="E43" s="13">
        <v>42692.320509259262</v>
      </c>
      <c r="F43" s="13">
        <v>42692.323101851849</v>
      </c>
      <c r="G43" s="7">
        <v>1</v>
      </c>
      <c r="H43" s="22" t="s">
        <v>285</v>
      </c>
      <c r="I43" s="13">
        <v>42692.348055555558</v>
      </c>
      <c r="J43" s="7">
        <v>0</v>
      </c>
      <c r="K43" s="109" t="str">
        <f t="shared" si="0"/>
        <v>4041/4042</v>
      </c>
      <c r="L43" s="22" t="str">
        <f>VLOOKUP(A43,'Trips&amp;Operators'!$C$1:$E$10000,3,FALSE)</f>
        <v>ROBINSON</v>
      </c>
      <c r="M43" s="6">
        <f t="shared" si="1"/>
        <v>2.4953703708888497E-2</v>
      </c>
      <c r="N43" s="7">
        <f t="shared" si="2"/>
        <v>35.933333340799436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06:41:32-700',mode:absolute,to:'2016-11-18 09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7">
        <f t="shared" si="16"/>
        <v>1</v>
      </c>
      <c r="Y43" s="67">
        <f t="shared" si="7"/>
        <v>4.4699999999999997E-2</v>
      </c>
      <c r="Z43" s="67">
        <f t="shared" si="8"/>
        <v>23.328900000000001</v>
      </c>
      <c r="AA43" s="67">
        <f t="shared" si="9"/>
        <v>23.284200000000002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0"/>
        <v>0133-18</v>
      </c>
      <c r="AE43" s="91" t="str">
        <f t="shared" si="11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43" s="88" t="str">
        <f t="shared" si="12"/>
        <v>"C:\Program Files (x86)\AstroGrep\AstroGrep.exe" /spath="%USERPROFILE%\AppData\Local\Temp\OnboardLogs" /stypes="app*4042*20161118*" /stext=" 15:.+((SYSTEM_STATE.+slice.+state.+changed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14"/>
        <v>"%USERPROFILE%\Documents\GitHub\eaglep3\Utilities\RefineRTDCRunTimes.py" --tripid 133-18 --locoid 4042 --swversion DE.1.0.8.0 --startMP 204:447 --initTime 2016-11-18T07:41:32 --startdatetime 2016-11-18T07:45:16 --delay 1 --endMP 204:233289 --enddatetime 2016-11-18T08:21:12 --enforcementcount 0 &gt;&gt;C:\Users\stu\Documents\GitHub\eaglep3-reporting\EC\2016-11-18-refined-times.txt</v>
      </c>
      <c r="AI43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{"issue":{"subject":"","project_id":79,"tracker_id":40,"status_id":1,"priority_id":2,"assigned_to_id":23,"start_date":"2016-11-18","description":"","custom_fields":[{"id":1,"name":"Subdivision","value":"EC"},{"id":4,"name":"Milepost","value":"23.3289"},{"id":17,"name":"Train ID","value":"133-18"},{"id":16,"name":"Locomotive ID","value":"4042"},{"id":130,"name":"Impact","value":""},{"id":150,"name":"Time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512</v>
      </c>
      <c r="B44" s="7">
        <v>4041</v>
      </c>
      <c r="C44" s="22" t="s">
        <v>218</v>
      </c>
      <c r="D44" s="22" t="s">
        <v>210</v>
      </c>
      <c r="E44" s="13">
        <v>42692.354467592595</v>
      </c>
      <c r="F44" s="13">
        <v>42692.361956018518</v>
      </c>
      <c r="G44" s="7">
        <v>1</v>
      </c>
      <c r="H44" s="22" t="s">
        <v>271</v>
      </c>
      <c r="I44" s="13">
        <v>42692.388692129629</v>
      </c>
      <c r="J44" s="7">
        <v>0</v>
      </c>
      <c r="K44" s="109" t="str">
        <f t="shared" si="0"/>
        <v>4041/4042</v>
      </c>
      <c r="L44" s="22" t="str">
        <f>VLOOKUP(A44,'Trips&amp;Operators'!$C$1:$E$10000,3,FALSE)</f>
        <v>ROBINSON</v>
      </c>
      <c r="M44" s="6">
        <f t="shared" si="1"/>
        <v>2.6736111110949423E-2</v>
      </c>
      <c r="N44" s="7">
        <f t="shared" si="2"/>
        <v>38.499999999767169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07:30:26-700',mode:absolute,to:'2016-11-18 10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N</v>
      </c>
      <c r="X44" s="177">
        <f t="shared" si="16"/>
        <v>1</v>
      </c>
      <c r="Y44" s="67">
        <f t="shared" si="7"/>
        <v>23.297699999999999</v>
      </c>
      <c r="Z44" s="67">
        <f t="shared" si="8"/>
        <v>1.41E-2</v>
      </c>
      <c r="AA44" s="67">
        <f t="shared" si="9"/>
        <v>23.2836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0"/>
        <v>0134-18</v>
      </c>
      <c r="AE44" s="91" t="str">
        <f t="shared" si="11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44" s="88" t="str">
        <f t="shared" si="12"/>
        <v>"C:\Program Files (x86)\AstroGrep\AstroGrep.exe" /spath="%USERPROFILE%\AppData\Local\Temp\OnboardLogs" /stypes="app*4041*20161118*" /stext=" 16:.+((SYSTEM_STATE.+slice.+state.+changed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14"/>
        <v>"%USERPROFILE%\Documents\GitHub\eaglep3\Utilities\RefineRTDCRunTimes.py" --tripid 134-18 --locoid 4041 --swversion DE.1.0.8.0 --startMP 204:232977 --initTime 2016-11-18T08:30:26 --startdatetime 2016-11-18T08:41:13 --delay 1 --endMP 204:141 --enddatetime 2016-11-18T09:19:43 --enforcementcount 0 &gt;&gt;C:\Users\stu\Documents\GitHub\eaglep3-reporting\EC\2016-11-18-refined-times.txt</v>
      </c>
      <c r="AI4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{"issue":{"subject":"","project_id":79,"tracker_id":40,"status_id":1,"priority_id":2,"assigned_to_id":23,"start_date":"2016-11-18","description":"","custom_fields":[{"id":1,"name":"Subdivision","value":"EC"},{"id":4,"name":"Milepost","value":"0.0141"},{"id":17,"name":"Train ID","value":"134-18"},{"id":16,"name":"Locomotive ID","value":"4041"},{"id":130,"name":"Impact","value":""},{"id":150,"name":"Time of Event (Mountain Time)","value":"09:19:43"},{"id":151,"name":"Denver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505</v>
      </c>
      <c r="B45" s="7">
        <v>4018</v>
      </c>
      <c r="C45" s="22" t="s">
        <v>218</v>
      </c>
      <c r="D45" s="22" t="s">
        <v>397</v>
      </c>
      <c r="E45" s="13">
        <v>42692.33289351852</v>
      </c>
      <c r="F45" s="13">
        <v>42692.334756944445</v>
      </c>
      <c r="G45" s="7">
        <v>1</v>
      </c>
      <c r="H45" s="22" t="s">
        <v>355</v>
      </c>
      <c r="I45" s="13">
        <v>42692.360115740739</v>
      </c>
      <c r="J45" s="7">
        <v>0</v>
      </c>
      <c r="K45" s="109" t="str">
        <f t="shared" si="0"/>
        <v>4017/4018</v>
      </c>
      <c r="L45" s="22" t="str">
        <f>VLOOKUP(A45,'Trips&amp;Operators'!$C$1:$E$10000,3,FALSE)</f>
        <v>RICHARDSON</v>
      </c>
      <c r="M45" s="6">
        <f t="shared" si="1"/>
        <v>2.5358796294312924E-2</v>
      </c>
      <c r="N45" s="7">
        <f t="shared" si="2"/>
        <v>36.516666663810611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06:59:22-700',mode:absolute,to:'2016-11-18 09:38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5" s="52" t="str">
        <f t="shared" si="6"/>
        <v>N</v>
      </c>
      <c r="X45" s="177">
        <f t="shared" si="16"/>
        <v>1</v>
      </c>
      <c r="Y45" s="67">
        <f t="shared" si="7"/>
        <v>4.4600000000000001E-2</v>
      </c>
      <c r="Z45" s="67">
        <f t="shared" si="8"/>
        <v>23.331399999999999</v>
      </c>
      <c r="AA45" s="67">
        <f t="shared" si="9"/>
        <v>23.286799999999999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0"/>
        <v>0135-18</v>
      </c>
      <c r="AE45" s="91" t="str">
        <f t="shared" si="11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45" s="88" t="str">
        <f t="shared" si="12"/>
        <v>"C:\Program Files (x86)\AstroGrep\AstroGrep.exe" /spath="%USERPROFILE%\AppData\Local\Temp\OnboardLogs" /stypes="app*4018*20161118*" /stext=" 15:.+((SYSTEM_STATE.+slice.+state.+changed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14"/>
        <v>"%USERPROFILE%\Documents\GitHub\eaglep3\Utilities\RefineRTDCRunTimes.py" --tripid 135-18 --locoid 4018 --swversion DE.1.0.8.0 --startMP 204:446 --initTime 2016-11-18T07:59:22 --startdatetime 2016-11-18T08:02:03 --delay 1 --endMP 204:233314 --enddatetime 2016-11-18T08:38:34 --enforcementcount 0 &gt;&gt;C:\Users\stu\Documents\GitHub\eaglep3-reporting\EC\2016-11-18-refined-times.txt</v>
      </c>
      <c r="AI45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{"issue":{"subject":"","project_id":79,"tracker_id":40,"status_id":1,"priority_id":2,"assigned_to_id":23,"start_date":"2016-11-18","description":"","custom_fields":[{"id":1,"name":"Subdivision","value":"EC"},{"id":4,"name":"Milepost","value":"23.3314"},{"id":17,"name":"Train ID","value":"135-18"},{"id":16,"name":"Locomotive ID","value":"4018"},{"id":130,"name":"Impact","value":""},{"id":150,"name":"Time of Event (Mountain Time)","value":"08:38:34"},{"id":151,"name":"Denver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516</v>
      </c>
      <c r="B46" s="7">
        <v>4017</v>
      </c>
      <c r="C46" s="22" t="s">
        <v>218</v>
      </c>
      <c r="D46" s="22" t="s">
        <v>676</v>
      </c>
      <c r="E46" s="13">
        <v>42692.364363425928</v>
      </c>
      <c r="F46" s="13">
        <v>42692.372395833336</v>
      </c>
      <c r="G46" s="7">
        <v>2</v>
      </c>
      <c r="H46" s="22" t="s">
        <v>212</v>
      </c>
      <c r="I46" s="13">
        <v>42692.401076388887</v>
      </c>
      <c r="J46" s="7">
        <v>0</v>
      </c>
      <c r="K46" s="109" t="str">
        <f t="shared" si="0"/>
        <v>4017/4018</v>
      </c>
      <c r="L46" s="22" t="str">
        <f>VLOOKUP(A46,'Trips&amp;Operators'!$C$1:$E$10000,3,FALSE)</f>
        <v>RICHARDSON</v>
      </c>
      <c r="M46" s="6">
        <f t="shared" si="1"/>
        <v>2.8680555551545694E-2</v>
      </c>
      <c r="N46" s="7">
        <f t="shared" si="2"/>
        <v>41.2999999942258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07:44:41-700',mode:absolute,to:'2016-11-18 10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6" s="52" t="str">
        <f t="shared" si="6"/>
        <v>N</v>
      </c>
      <c r="X46" s="177">
        <f t="shared" si="16"/>
        <v>1</v>
      </c>
      <c r="Y46" s="67">
        <f t="shared" si="7"/>
        <v>23.2988</v>
      </c>
      <c r="Z46" s="67">
        <f t="shared" si="8"/>
        <v>1.5599999999999999E-2</v>
      </c>
      <c r="AA46" s="67">
        <f t="shared" si="9"/>
        <v>23.283200000000001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0"/>
        <v>0136-18</v>
      </c>
      <c r="AE46" s="91" t="str">
        <f t="shared" si="11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46" s="88" t="str">
        <f t="shared" si="12"/>
        <v>"C:\Program Files (x86)\AstroGrep\AstroGrep.exe" /spath="%USERPROFILE%\AppData\Local\Temp\OnboardLogs" /stypes="app*4017*20161118*" /stext=" 16:.+((SYSTEM_STATE.+slice.+state.+changed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14"/>
        <v>"%USERPROFILE%\Documents\GitHub\eaglep3\Utilities\RefineRTDCRunTimes.py" --tripid 136-18 --locoid 4017 --swversion DE.1.0.8.0 --startMP 204:232988 --initTime 2016-11-18T08:44:41 --startdatetime 2016-11-18T08:56:15 --delay 2 --endMP 204:156 --enddatetime 2016-11-18T09:37:33 --enforcementcount 0 &gt;&gt;C:\Users\stu\Documents\GitHub\eaglep3-reporting\EC\2016-11-18-refined-times.txt</v>
      </c>
      <c r="AI4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{"issue":{"subject":"","project_id":79,"tracker_id":40,"status_id":1,"priority_id":2,"assigned_to_id":23,"start_date":"2016-11-18","description":"","custom_fields":[{"id":1,"name":"Subdivision","value":"EC"},{"id":4,"name":"Milepost","value":"0.0156"},{"id":17,"name":"Train ID","value":"136-18"},{"id":16,"name":"Locomotive ID","value":"4017"},{"id":130,"name":"Impact","value":""},{"id":150,"name":"Time of Event (Mountain Time)","value":"09:37:33"},{"id":151,"name":"Denver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509</v>
      </c>
      <c r="B47" s="7">
        <v>4011</v>
      </c>
      <c r="C47" s="22" t="s">
        <v>218</v>
      </c>
      <c r="D47" s="22" t="s">
        <v>406</v>
      </c>
      <c r="E47" s="13">
        <v>42692.341956018521</v>
      </c>
      <c r="F47" s="13">
        <v>42692.343923611108</v>
      </c>
      <c r="G47" s="7">
        <v>1</v>
      </c>
      <c r="H47" s="22" t="s">
        <v>314</v>
      </c>
      <c r="I47" s="13">
        <v>42692.367893518516</v>
      </c>
      <c r="J47" s="7">
        <v>0</v>
      </c>
      <c r="K47" s="109" t="str">
        <f t="shared" si="0"/>
        <v>4011/4012</v>
      </c>
      <c r="L47" s="22" t="str">
        <f>VLOOKUP(A47,'Trips&amp;Operators'!$C$1:$E$10000,3,FALSE)</f>
        <v>DAVIDSON</v>
      </c>
      <c r="M47" s="6">
        <f t="shared" si="1"/>
        <v>2.396990740817273E-2</v>
      </c>
      <c r="N47" s="7">
        <f t="shared" si="2"/>
        <v>34.516666667768732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07:12:25-700',mode:absolute,to:'2016-11-18 09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16"/>
        <v>1</v>
      </c>
      <c r="Y47" s="67">
        <f t="shared" si="7"/>
        <v>4.82E-2</v>
      </c>
      <c r="Z47" s="67">
        <f t="shared" si="8"/>
        <v>23.331700000000001</v>
      </c>
      <c r="AA47" s="67">
        <f t="shared" si="9"/>
        <v>23.2835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0"/>
        <v>0137-18</v>
      </c>
      <c r="AE47" s="91" t="str">
        <f t="shared" si="11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47" s="88" t="str">
        <f t="shared" si="12"/>
        <v>"C:\Program Files (x86)\AstroGrep\AstroGrep.exe" /spath="%USERPROFILE%\AppData\Local\Temp\OnboardLogs" /stypes="app*4011*20161118*" /stext=" 15:.+((SYSTEM_STATE.+slice.+state.+changed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14"/>
        <v>"%USERPROFILE%\Documents\GitHub\eaglep3\Utilities\RefineRTDCRunTimes.py" --tripid 137-18 --locoid 4011 --swversion DE.1.0.8.0 --startMP 204:482 --initTime 2016-11-18T08:12:25 --startdatetime 2016-11-18T08:15:15 --delay 1 --endMP 204:233317 --enddatetime 2016-11-18T08:49:46 --enforcementcount 0 &gt;&gt;C:\Users\stu\Documents\GitHub\eaglep3-reporting\EC\2016-11-18-refined-times.txt</v>
      </c>
      <c r="AI4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{"issue":{"subject":"","project_id":79,"tracker_id":40,"status_id":1,"priority_id":2,"assigned_to_id":23,"start_date":"2016-11-18","description":"","custom_fields":[{"id":1,"name":"Subdivision","value":"EC"},{"id":4,"name":"Milepost","value":"23.3317"},{"id":17,"name":"Train ID","value":"137-18"},{"id":16,"name":"Locomotive ID","value":"4011"},{"id":130,"name":"Impact","value":""},{"id":150,"name":"Time of Event (Mountain Time)","value":"08:49:46"},{"id":151,"name":"Denver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517</v>
      </c>
      <c r="B48" s="7">
        <v>4012</v>
      </c>
      <c r="C48" s="22" t="s">
        <v>218</v>
      </c>
      <c r="D48" s="22" t="s">
        <v>284</v>
      </c>
      <c r="E48" s="13">
        <v>42692.371168981481</v>
      </c>
      <c r="F48" s="13">
        <v>42692.3828587963</v>
      </c>
      <c r="G48" s="7">
        <v>1</v>
      </c>
      <c r="H48" s="22" t="s">
        <v>345</v>
      </c>
      <c r="I48" s="13">
        <v>42692.411307870374</v>
      </c>
      <c r="J48" s="7">
        <v>0</v>
      </c>
      <c r="K48" s="109" t="str">
        <f t="shared" si="0"/>
        <v>4011/4012</v>
      </c>
      <c r="L48" s="22" t="str">
        <f>VLOOKUP(A48,'Trips&amp;Operators'!$C$1:$E$10000,3,FALSE)</f>
        <v>DAVIDSON</v>
      </c>
      <c r="M48" s="6">
        <f t="shared" si="1"/>
        <v>2.8449074074160308E-2</v>
      </c>
      <c r="N48" s="7">
        <f t="shared" si="2"/>
        <v>40.966666666790843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07:54:29-700',mode:absolute,to:'2016-11-18 10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16"/>
        <v>1</v>
      </c>
      <c r="Y48" s="67">
        <f t="shared" si="7"/>
        <v>23.299399999999999</v>
      </c>
      <c r="Z48" s="67">
        <f t="shared" si="8"/>
        <v>1.47E-2</v>
      </c>
      <c r="AA48" s="67">
        <f t="shared" si="9"/>
        <v>23.284699999999997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0"/>
        <v>0138-18</v>
      </c>
      <c r="AE48" s="91" t="str">
        <f t="shared" si="11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48" s="88" t="str">
        <f t="shared" si="12"/>
        <v>"C:\Program Files (x86)\AstroGrep\AstroGrep.exe" /spath="%USERPROFILE%\AppData\Local\Temp\OnboardLogs" /stypes="app*4012*20161118*" /stext=" 16:.+((SYSTEM_STATE.+slice.+state.+changed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14"/>
        <v>"%USERPROFILE%\Documents\GitHub\eaglep3\Utilities\RefineRTDCRunTimes.py" --tripid 138-18 --locoid 4012 --swversion DE.1.0.8.0 --startMP 204:232994 --initTime 2016-11-18T08:54:29 --startdatetime 2016-11-18T09:11:19 --delay 1 --endMP 204:147 --enddatetime 2016-11-18T09:52:17 --enforcementcount 0 &gt;&gt;C:\Users\stu\Documents\GitHub\eaglep3-reporting\EC\2016-11-18-refined-times.txt</v>
      </c>
      <c r="AI4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{"issue":{"subject":"","project_id":79,"tracker_id":40,"status_id":1,"priority_id":2,"assigned_to_id":23,"start_date":"2016-11-18","description":"","custom_fields":[{"id":1,"name":"Subdivision","value":"EC"},{"id":4,"name":"Milepost","value":"0.0147"},{"id":17,"name":"Train ID","value":"138-18"},{"id":16,"name":"Locomotive ID","value":"4012"},{"id":130,"name":"Impact","value":""},{"id":150,"name":"Time of Event (Mountain Time)","value":"09:52:17"},{"id":151,"name":"Denver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511</v>
      </c>
      <c r="B49" s="7">
        <v>4009</v>
      </c>
      <c r="C49" s="22" t="s">
        <v>218</v>
      </c>
      <c r="D49" s="22" t="s">
        <v>201</v>
      </c>
      <c r="E49" s="13">
        <v>42692.350868055553</v>
      </c>
      <c r="F49" s="13">
        <v>42692.35429398148</v>
      </c>
      <c r="G49" s="7">
        <v>1</v>
      </c>
      <c r="H49" s="22" t="s">
        <v>677</v>
      </c>
      <c r="I49" s="13">
        <v>42692.379467592589</v>
      </c>
      <c r="J49" s="7">
        <v>0</v>
      </c>
      <c r="K49" s="109" t="str">
        <f t="shared" si="0"/>
        <v>4009/4010</v>
      </c>
      <c r="L49" s="22" t="str">
        <f>VLOOKUP(A49,'Trips&amp;Operators'!$C$1:$E$10000,3,FALSE)</f>
        <v>ISHMAEL</v>
      </c>
      <c r="M49" s="6">
        <f t="shared" si="1"/>
        <v>2.5173611109494232E-2</v>
      </c>
      <c r="N49" s="7">
        <f t="shared" si="2"/>
        <v>36.249999997671694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07:25:15-700',mode:absolute,to:'2016-11-18 10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9" s="52" t="str">
        <f t="shared" si="6"/>
        <v>N</v>
      </c>
      <c r="X49" s="177">
        <f t="shared" si="16"/>
        <v>1</v>
      </c>
      <c r="Y49" s="67">
        <f t="shared" si="7"/>
        <v>4.5100000000000001E-2</v>
      </c>
      <c r="Z49" s="67">
        <f t="shared" si="8"/>
        <v>23.332000000000001</v>
      </c>
      <c r="AA49" s="67">
        <f t="shared" si="9"/>
        <v>23.286899999999999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0"/>
        <v>0139-18</v>
      </c>
      <c r="AE49" s="91" t="str">
        <f t="shared" si="11"/>
        <v>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 &amp; aws s3 cp s3://rtdc.mdm.uploadarchive.raw/RTDC4009/ "%USERPROFILE%\AppData\Local\Temp\OnboardLogs"\RTDC4009\2016-11-19 --exclude "*" --recursive --include "*20161119*" &amp; "%USERPROFILE%\Documents\GitHub\mrs-test-scripts\Headless Mode &amp; Sideloading\WalkAndUnGZ.bat" "%USERPROFILE%\AppData\Local\Temp\OnboardLogs"\RTDC4009\2016-11-19</v>
      </c>
      <c r="AF49" s="88" t="str">
        <f t="shared" si="12"/>
        <v>"C:\Program Files (x86)\AstroGrep\AstroGrep.exe" /spath="%USERPROFILE%\AppData\Local\Temp\OnboardLogs" /stypes="app*4009*20161118*" /stext=" 16:.+((SYSTEM_STATE.+slice.+state.+changed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14"/>
        <v>"%USERPROFILE%\Documents\GitHub\eaglep3\Utilities\RefineRTDCRunTimes.py" --tripid 139-18 --locoid 4009 --swversion DE.1.0.8.0 --startMP 204:451 --initTime 2016-11-18T08:25:15 --startdatetime 2016-11-18T08:30:11 --delay 1 --endMP 204:233320 --enddatetime 2016-11-18T09:06:26 --enforcementcount 0 &gt;&gt;C:\Users\stu\Documents\GitHub\eaglep3-reporting\EC\2016-11-18-refined-times.txt</v>
      </c>
      <c r="AI4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{"issue":{"subject":"","project_id":79,"tracker_id":40,"status_id":1,"priority_id":2,"assigned_to_id":23,"start_date":"2016-11-18","description":"","custom_fields":[{"id":1,"name":"Subdivision","value":"EC"},{"id":4,"name":"Milepost","value":"23.332"},{"id":17,"name":"Train ID","value":"139-18"},{"id":16,"name":"Locomotive ID","value":"4009"},{"id":130,"name":"Impact","value":""},{"id":150,"name":"Time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519</v>
      </c>
      <c r="B50" s="7">
        <v>4010</v>
      </c>
      <c r="C50" s="22" t="s">
        <v>218</v>
      </c>
      <c r="D50" s="22" t="s">
        <v>394</v>
      </c>
      <c r="E50" s="13">
        <v>42692.387986111113</v>
      </c>
      <c r="F50" s="13">
        <v>42692.393217592595</v>
      </c>
      <c r="G50" s="7">
        <v>5</v>
      </c>
      <c r="H50" s="22" t="s">
        <v>222</v>
      </c>
      <c r="I50" s="13">
        <v>42692.419710648152</v>
      </c>
      <c r="J50" s="7">
        <v>0</v>
      </c>
      <c r="K50" s="109" t="str">
        <f t="shared" si="0"/>
        <v>4009/4010</v>
      </c>
      <c r="L50" s="22" t="str">
        <f>VLOOKUP(A50,'Trips&amp;Operators'!$C$1:$E$10000,3,FALSE)</f>
        <v>ISHMAEL</v>
      </c>
      <c r="M50" s="6">
        <f t="shared" si="1"/>
        <v>2.6493055556784384E-2</v>
      </c>
      <c r="N50" s="7">
        <f t="shared" si="2"/>
        <v>38.150000001769513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08:18:42-700',mode:absolute,to:'2016-11-18 11:04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0" s="52" t="str">
        <f t="shared" si="6"/>
        <v>N</v>
      </c>
      <c r="X50" s="177">
        <f t="shared" si="16"/>
        <v>1</v>
      </c>
      <c r="Y50" s="67">
        <f t="shared" si="7"/>
        <v>23.298999999999999</v>
      </c>
      <c r="Z50" s="67">
        <f t="shared" si="8"/>
        <v>1.5800000000000002E-2</v>
      </c>
      <c r="AA50" s="67">
        <f t="shared" si="9"/>
        <v>23.283200000000001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0"/>
        <v>0140-18</v>
      </c>
      <c r="AE50" s="91" t="str">
        <f t="shared" si="11"/>
        <v>aws s3 cp s3://rtdc.mdm.uploadarchive.raw/RTDC4010/ "%USERPROFILE%\AppData\Local\Temp\OnboardLogs"\RTDC4010\2016-11-18 --exclude "*" --recursive --include "*20161118*" &amp; "%USERPROFILE%\Documents\GitHub\mrs-test-scripts\Headless Mode &amp; Sideloading\WalkAndUnGZ.bat" "%USERPROFILE%\AppData\Local\Temp\OnboardLogs"\RTDC4010\2016-11-18 &amp; aws s3 cp s3://rtdc.mdm.uploadarchive.raw/RTDC4010/ "%USERPROFILE%\AppData\Local\Temp\OnboardLogs"\RTDC4010\2016-11-19 --exclude "*" --recursive --include "*20161119*" &amp; "%USERPROFILE%\Documents\GitHub\mrs-test-scripts\Headless Mode &amp; Sideloading\WalkAndUnGZ.bat" "%USERPROFILE%\AppData\Local\Temp\OnboardLogs"\RTDC4010\2016-11-19</v>
      </c>
      <c r="AF50" s="88" t="str">
        <f t="shared" si="12"/>
        <v>"C:\Program Files (x86)\AstroGrep\AstroGrep.exe" /spath="%USERPROFILE%\AppData\Local\Temp\OnboardLogs" /stypes="app*4010*20161118*" /stext=" 17:.+((SYSTEM_STATE.+slice.+state.+changed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14"/>
        <v>"%USERPROFILE%\Documents\GitHub\eaglep3\Utilities\RefineRTDCRunTimes.py" --tripid 140-18 --locoid 4010 --swversion DE.1.0.8.0 --startMP 204:232990 --initTime 2016-11-18T09:18:42 --startdatetime 2016-11-18T09:26:14 --delay 5 --endMP 204:158 --enddatetime 2016-11-18T10:04:23 --enforcementcount 0 &gt;&gt;C:\Users\stu\Documents\GitHub\eaglep3-reporting\EC\2016-11-18-refined-times.txt</v>
      </c>
      <c r="AI5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{"issue":{"subject":"","project_id":79,"tracker_id":40,"status_id":1,"priority_id":2,"assigned_to_id":23,"start_date":"2016-11-18","description":"","custom_fields":[{"id":1,"name":"Subdivision","value":"EC"},{"id":4,"name":"Milepost","value":"0.0158"},{"id":17,"name":"Train ID","value":"140-18"},{"id":16,"name":"Locomotive ID","value":"4010"},{"id":130,"name":"Impact","value":""},{"id":150,"name":"Time of Event (Mountain Time)","value":"10:04:23"},{"id":151,"name":"Denver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515</v>
      </c>
      <c r="B51" s="7">
        <v>4046</v>
      </c>
      <c r="C51" s="22" t="s">
        <v>218</v>
      </c>
      <c r="D51" s="22" t="s">
        <v>215</v>
      </c>
      <c r="E51" s="13">
        <v>42692.363206018519</v>
      </c>
      <c r="F51" s="13">
        <v>42692.366238425922</v>
      </c>
      <c r="G51" s="7">
        <v>2</v>
      </c>
      <c r="H51" s="22" t="s">
        <v>314</v>
      </c>
      <c r="I51" s="13">
        <v>42692.392314814817</v>
      </c>
      <c r="J51" s="7">
        <v>0</v>
      </c>
      <c r="K51" s="109" t="str">
        <f t="shared" si="0"/>
        <v>4045/4046</v>
      </c>
      <c r="L51" s="22" t="str">
        <f>VLOOKUP(A51,'Trips&amp;Operators'!$C$1:$E$10000,3,FALSE)</f>
        <v>NICHOLSON</v>
      </c>
      <c r="M51" s="6">
        <f t="shared" si="1"/>
        <v>2.6076388894580305E-2</v>
      </c>
      <c r="N51" s="7">
        <f t="shared" si="2"/>
        <v>37.550000008195639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07:43:01-700',mode:absolute,to:'2016-11-18 10:24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1" s="52" t="str">
        <f t="shared" si="6"/>
        <v>N</v>
      </c>
      <c r="X51" s="177">
        <f t="shared" si="16"/>
        <v>1</v>
      </c>
      <c r="Y51" s="67">
        <f t="shared" si="7"/>
        <v>4.6199999999999998E-2</v>
      </c>
      <c r="Z51" s="67">
        <f t="shared" si="8"/>
        <v>23.331700000000001</v>
      </c>
      <c r="AA51" s="67">
        <f t="shared" si="9"/>
        <v>23.285500000000003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0"/>
        <v>0141-18</v>
      </c>
      <c r="AE51" s="91" t="str">
        <f t="shared" si="11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51" s="88" t="str">
        <f t="shared" si="12"/>
        <v>"C:\Program Files (x86)\AstroGrep\AstroGrep.exe" /spath="%USERPROFILE%\AppData\Local\Temp\OnboardLogs" /stypes="app*4046*20161118*" /stext=" 16:.+((SYSTEM_STATE.+slice.+state.+changed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14"/>
        <v>"%USERPROFILE%\Documents\GitHub\eaglep3\Utilities\RefineRTDCRunTimes.py" --tripid 141-18 --locoid 4046 --swversion DE.1.0.8.0 --startMP 204:462 --initTime 2016-11-18T08:43:01 --startdatetime 2016-11-18T08:47:23 --delay 2 --endMP 204:233317 --enddatetime 2016-11-18T09:24:56 --enforcementcount 0 &gt;&gt;C:\Users\stu\Documents\GitHub\eaglep3-reporting\EC\2016-11-18-refined-times.txt</v>
      </c>
      <c r="AI5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{"issue":{"subject":"","project_id":79,"tracker_id":40,"status_id":1,"priority_id":2,"assigned_to_id":23,"start_date":"2016-11-18","description":"","custom_fields":[{"id":1,"name":"Subdivision","value":"EC"},{"id":4,"name":"Milepost","value":"23.3317"},{"id":17,"name":"Train ID","value":"141-18"},{"id":16,"name":"Locomotive ID","value":"4046"},{"id":130,"name":"Impact","value":""},{"id":150,"name":"Time of Event (Mountain Time)","value":"09:24:56"},{"id":151,"name":"Denver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447</v>
      </c>
      <c r="B52" s="7">
        <v>4045</v>
      </c>
      <c r="C52" s="22" t="s">
        <v>218</v>
      </c>
      <c r="D52" s="22" t="s">
        <v>390</v>
      </c>
      <c r="E52" s="13">
        <v>42692.394305555557</v>
      </c>
      <c r="F52" s="13">
        <v>42692.404131944444</v>
      </c>
      <c r="G52" s="7">
        <v>5</v>
      </c>
      <c r="H52" s="22" t="s">
        <v>267</v>
      </c>
      <c r="I52" s="13">
        <v>42692.43172453704</v>
      </c>
      <c r="J52" s="7">
        <v>0</v>
      </c>
      <c r="K52" s="109" t="str">
        <f t="shared" si="0"/>
        <v>4045/4046</v>
      </c>
      <c r="L52" s="22" t="str">
        <f>VLOOKUP(A52,'Trips&amp;Operators'!$C$1:$E$10000,3,FALSE)</f>
        <v>NICHOLSON</v>
      </c>
      <c r="M52" s="6">
        <f t="shared" si="1"/>
        <v>2.7592592596192844E-2</v>
      </c>
      <c r="N52" s="7">
        <f t="shared" si="2"/>
        <v>39.733333338517696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08:27:48-700',mode:absolute,to:'2016-11-18 11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2" s="52" t="str">
        <f t="shared" si="6"/>
        <v>N</v>
      </c>
      <c r="X52" s="177">
        <f t="shared" si="16"/>
        <v>1</v>
      </c>
      <c r="Y52" s="67">
        <f t="shared" si="7"/>
        <v>23.299099999999999</v>
      </c>
      <c r="Z52" s="67">
        <f t="shared" si="8"/>
        <v>1.38E-2</v>
      </c>
      <c r="AA52" s="67">
        <f t="shared" si="9"/>
        <v>23.285299999999999</v>
      </c>
      <c r="AB52" s="64" t="str">
        <f>VLOOKUP(A52,Enforcements!$C$7:$K$20,8,0)</f>
        <v>Speed (6)</v>
      </c>
      <c r="AC52" s="60" t="str">
        <f>VLOOKUP(A52,Enforcements!$C$7:$E$20,3,0)</f>
        <v>PERMANENT SPEED RESTRICTION</v>
      </c>
      <c r="AD52" s="61" t="str">
        <f t="shared" si="10"/>
        <v>0142-18</v>
      </c>
      <c r="AE52" s="91" t="str">
        <f t="shared" si="11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52" s="88" t="str">
        <f t="shared" si="12"/>
        <v>"C:\Program Files (x86)\AstroGrep\AstroGrep.exe" /spath="%USERPROFILE%\AppData\Local\Temp\OnboardLogs" /stypes="app*4045*20161118*" /stext=" 17:.+((SYSTEM_STATE.+slice.+state.+changed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14"/>
        <v>"%USERPROFILE%\Documents\GitHub\eaglep3\Utilities\RefineRTDCRunTimes.py" --tripid 142-18 --locoid 4045 --swversion DE.1.0.8.0 --startMP 204:232991 --initTime 2016-11-18T09:27:48 --startdatetime 2016-11-18T09:41:57 --delay 5 --endMP 204:138 --enddatetime 2016-11-18T10:21:41 --enforcementcount 0 &gt;&gt;C:\Users\stu\Documents\GitHub\eaglep3-reporting\EC\2016-11-18-refined-times.txt</v>
      </c>
      <c r="AI52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{"issue":{"subject":"","project_id":79,"tracker_id":40,"status_id":1,"priority_id":2,"assigned_to_id":23,"start_date":"2016-11-18","description":"","custom_fields":[{"id":1,"name":"Subdivision","value":"EC"},{"id":4,"name":"Milepost","value":"0.0138"},{"id":17,"name":"Train ID","value":"142-18"},{"id":16,"name":"Locomotive ID","value":"4045"},{"id":130,"name":"Impact","value":""},{"id":150,"name":"Time of Event (Mountain Time)","value":"10:21:41"},{"id":151,"name":"Denver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518</v>
      </c>
      <c r="B53" s="7">
        <v>4016</v>
      </c>
      <c r="C53" s="22" t="s">
        <v>218</v>
      </c>
      <c r="D53" s="22" t="s">
        <v>215</v>
      </c>
      <c r="E53" s="13">
        <v>42692.371828703705</v>
      </c>
      <c r="F53" s="13">
        <v>42692.375567129631</v>
      </c>
      <c r="G53" s="7">
        <v>2</v>
      </c>
      <c r="H53" s="22" t="s">
        <v>678</v>
      </c>
      <c r="I53" s="13">
        <v>42692.399293981478</v>
      </c>
      <c r="J53" s="7">
        <v>0</v>
      </c>
      <c r="K53" s="109" t="str">
        <f t="shared" si="0"/>
        <v>4015/4016</v>
      </c>
      <c r="L53" s="22" t="str">
        <f>VLOOKUP(A53,'Trips&amp;Operators'!$C$1:$E$10000,3,FALSE)</f>
        <v>SAFIEF</v>
      </c>
      <c r="M53" s="6">
        <f t="shared" si="1"/>
        <v>2.3726851846731734E-2</v>
      </c>
      <c r="N53" s="7">
        <f t="shared" si="2"/>
        <v>34.166666659293696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07:55:26-700',mode:absolute,to:'2016-11-18 10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3" s="52" t="str">
        <f t="shared" si="6"/>
        <v>N</v>
      </c>
      <c r="X53" s="177">
        <f t="shared" si="16"/>
        <v>1</v>
      </c>
      <c r="Y53" s="67">
        <f t="shared" si="7"/>
        <v>4.6199999999999998E-2</v>
      </c>
      <c r="Z53" s="67">
        <f t="shared" si="8"/>
        <v>23.332799999999999</v>
      </c>
      <c r="AA53" s="67">
        <f t="shared" si="9"/>
        <v>23.2866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0"/>
        <v>0143-18</v>
      </c>
      <c r="AE53" s="91" t="str">
        <f t="shared" si="11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53" s="88" t="str">
        <f t="shared" si="12"/>
        <v>"C:\Program Files (x86)\AstroGrep\AstroGrep.exe" /spath="%USERPROFILE%\AppData\Local\Temp\OnboardLogs" /stypes="app*4016*20161118*" /stext=" 16:.+((SYSTEM_STATE.+slice.+state.+changed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14"/>
        <v>"%USERPROFILE%\Documents\GitHub\eaglep3\Utilities\RefineRTDCRunTimes.py" --tripid 143-18 --locoid 4016 --swversion DE.1.0.8.0 --startMP 204:462 --initTime 2016-11-18T08:55:26 --startdatetime 2016-11-18T09:00:49 --delay 2 --endMP 204:233328 --enddatetime 2016-11-18T09:34:59 --enforcementcount 0 &gt;&gt;C:\Users\stu\Documents\GitHub\eaglep3-reporting\EC\2016-11-18-refined-times.txt</v>
      </c>
      <c r="AI53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{"issue":{"subject":"","project_id":79,"tracker_id":40,"status_id":1,"priority_id":2,"assigned_to_id":23,"start_date":"2016-11-18","description":"","custom_fields":[{"id":1,"name":"Subdivision","value":"EC"},{"id":4,"name":"Milepost","value":"23.3328"},{"id":17,"name":"Train ID","value":"143-18"},{"id":16,"name":"Locomotive ID","value":"4016"},{"id":130,"name":"Impact","value":""},{"id":150,"name":"Time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523</v>
      </c>
      <c r="B54" s="7">
        <v>4015</v>
      </c>
      <c r="C54" s="22" t="s">
        <v>218</v>
      </c>
      <c r="D54" s="22" t="s">
        <v>358</v>
      </c>
      <c r="E54" s="13">
        <v>42692.412152777775</v>
      </c>
      <c r="F54" s="13">
        <v>42692.414189814815</v>
      </c>
      <c r="G54" s="7">
        <v>1</v>
      </c>
      <c r="H54" s="22" t="s">
        <v>315</v>
      </c>
      <c r="I54" s="13">
        <v>42692.439618055556</v>
      </c>
      <c r="J54" s="7">
        <v>0</v>
      </c>
      <c r="K54" s="109" t="str">
        <f t="shared" si="0"/>
        <v>4015/4016</v>
      </c>
      <c r="L54" s="22" t="str">
        <f>VLOOKUP(A54,'Trips&amp;Operators'!$C$1:$E$10000,3,FALSE)</f>
        <v>SAFIEF</v>
      </c>
      <c r="M54" s="6">
        <f t="shared" si="1"/>
        <v>2.5428240740438923E-2</v>
      </c>
      <c r="N54" s="7">
        <f t="shared" si="2"/>
        <v>36.616666666232049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08:53:30-700',mode:absolute,to:'2016-11-18 11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4" s="52" t="str">
        <f t="shared" si="6"/>
        <v>N</v>
      </c>
      <c r="X54" s="177">
        <f t="shared" si="16"/>
        <v>1</v>
      </c>
      <c r="Y54" s="67">
        <f t="shared" si="7"/>
        <v>23.300899999999999</v>
      </c>
      <c r="Z54" s="67">
        <f t="shared" si="8"/>
        <v>1.4500000000000001E-2</v>
      </c>
      <c r="AA54" s="67">
        <f t="shared" si="9"/>
        <v>23.286399999999997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0"/>
        <v>0144-18</v>
      </c>
      <c r="AE54" s="91" t="str">
        <f t="shared" si="11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54" s="88" t="str">
        <f t="shared" si="12"/>
        <v>"C:\Program Files (x86)\AstroGrep\AstroGrep.exe" /spath="%USERPROFILE%\AppData\Local\Temp\OnboardLogs" /stypes="app*4015*20161118*" /stext=" 17:.+((SYSTEM_STATE.+slice.+state.+changed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14"/>
        <v>"%USERPROFILE%\Documents\GitHub\eaglep3\Utilities\RefineRTDCRunTimes.py" --tripid 144-18 --locoid 4015 --swversion DE.1.0.8.0 --startMP 204:233009 --initTime 2016-11-18T09:53:30 --startdatetime 2016-11-18T09:56:26 --delay 1 --endMP 204:145 --enddatetime 2016-11-18T10:33:03 --enforcementcount 0 &gt;&gt;C:\Users\stu\Documents\GitHub\eaglep3-reporting\EC\2016-11-18-refined-times.txt</v>
      </c>
      <c r="AI5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{"issue":{"subject":"","project_id":79,"tracker_id":40,"status_id":1,"priority_id":2,"assigned_to_id":23,"start_date":"2016-11-18","description":"","custom_fields":[{"id":1,"name":"Subdivision","value":"EC"},{"id":4,"name":"Milepost","value":"0.0145"},{"id":17,"name":"Train ID","value":"144-18"},{"id":16,"name":"Locomotive ID","value":"4015"},{"id":130,"name":"Impact","value":""},{"id":150,"name":"Time of Event (Mountain Time)","value":"10:33:03"},{"id":151,"name":"Denver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445</v>
      </c>
      <c r="B55" s="7">
        <v>4029</v>
      </c>
      <c r="C55" s="22" t="s">
        <v>218</v>
      </c>
      <c r="D55" s="22" t="s">
        <v>679</v>
      </c>
      <c r="E55" s="13">
        <v>42692.393217592595</v>
      </c>
      <c r="F55" s="13">
        <v>42692.394687499997</v>
      </c>
      <c r="G55" s="7">
        <v>1</v>
      </c>
      <c r="H55" s="22" t="s">
        <v>346</v>
      </c>
      <c r="I55" s="13">
        <v>42692.417997685188</v>
      </c>
      <c r="J55" s="7">
        <v>0</v>
      </c>
      <c r="K55" s="109" t="str">
        <f t="shared" si="0"/>
        <v>4029/4030</v>
      </c>
      <c r="L55" s="22" t="str">
        <f>VLOOKUP(A55,'Trips&amp;Operators'!$C$1:$E$10000,3,FALSE)</f>
        <v>MACDONALD</v>
      </c>
      <c r="M55" s="6">
        <f t="shared" si="1"/>
        <v>2.3310185191803612E-2</v>
      </c>
      <c r="N55" s="7"/>
      <c r="O55" s="7"/>
      <c r="P55" s="7">
        <f t="shared" si="2"/>
        <v>33.566666676197201</v>
      </c>
      <c r="Q55" s="23"/>
      <c r="R55" s="23" t="s">
        <v>829</v>
      </c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08:26:14-700',mode:absolute,to:'2016-11-18 11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5" s="52" t="str">
        <f t="shared" si="6"/>
        <v>Y</v>
      </c>
      <c r="X55" s="177">
        <f t="shared" si="16"/>
        <v>1</v>
      </c>
      <c r="Y55" s="67">
        <f t="shared" si="7"/>
        <v>1.9129</v>
      </c>
      <c r="Z55" s="67">
        <f t="shared" si="8"/>
        <v>23.330400000000001</v>
      </c>
      <c r="AA55" s="67">
        <f t="shared" si="9"/>
        <v>21.4175</v>
      </c>
      <c r="AB55" s="64" t="str">
        <f>VLOOKUP(A55,Enforcements!$C$7:$K$20,8,0)</f>
        <v>Signal based authority (5)</v>
      </c>
      <c r="AC55" s="60" t="str">
        <f>VLOOKUP(A55,Enforcements!$C$7:$E$20,3,0)</f>
        <v>SIGNAL</v>
      </c>
      <c r="AD55" s="61" t="str">
        <f t="shared" si="10"/>
        <v>0145-18</v>
      </c>
      <c r="AE55" s="91" t="str">
        <f t="shared" si="11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55" s="88" t="str">
        <f t="shared" si="12"/>
        <v>"C:\Program Files (x86)\AstroGrep\AstroGrep.exe" /spath="%USERPROFILE%\AppData\Local\Temp\OnboardLogs" /stypes="app*4029*20161118*" /stext=" 17:.+((SYSTEM_STATE.+slice.+state.+changed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14"/>
        <v>"%USERPROFILE%\Documents\GitHub\eaglep3\Utilities\RefineRTDCRunTimes.py" --tripid 145-18 --locoid 4029 --swversion DE.1.0.8.0 --startMP 204:19129 --initTime 2016-11-18T09:26:14 --startdatetime 2016-11-18T09:28:21 --delay 1 --endMP 204:233304 --enddatetime 2016-11-18T10:01:55 --enforcementcount 0 &gt;&gt;C:\Users\stu\Documents\GitHub\eaglep3-reporting\EC\2016-11-18-refined-times.txt</v>
      </c>
      <c r="AI55" s="119" t="str">
        <f t="shared" si="15"/>
        <v>echo {"issue":{"subject":"Operator erroneously selected MAIN 2, caused navigation faults","project_id":79,"tracker_id":40,"status_id":1,"priority_id":2,"assigned_to_id":23,"start_date":"2016-11-18","description":"Nav fault","custom_fields":[{"id":1,"name":"Subdivision","value":"EC"},{"id":4,"name":"Milepost","value":"23.3304"},{"id":17,"name":"Train ID","value":"145-18"},{"id":16,"name":"Locomotive ID","value":"4029"},{"id":130,"name":"Impact","value":"Unexpected Cut-Out or Disengaged"},{"id":150,"name":"Time of Event (Mountain Time)","value":"10:01:55"},{"id":151,"name":"Denver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5" s="53" t="s">
        <v>828</v>
      </c>
      <c r="AK55" s="53" t="s">
        <v>131</v>
      </c>
      <c r="AL55" s="53" t="s">
        <v>177</v>
      </c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526</v>
      </c>
      <c r="B56" s="7">
        <v>4030</v>
      </c>
      <c r="C56" s="22" t="s">
        <v>218</v>
      </c>
      <c r="D56" s="22" t="s">
        <v>284</v>
      </c>
      <c r="E56" s="13">
        <v>42692.421956018516</v>
      </c>
      <c r="F56" s="13">
        <v>42692.425324074073</v>
      </c>
      <c r="G56" s="7">
        <v>1</v>
      </c>
      <c r="H56" s="22" t="s">
        <v>680</v>
      </c>
      <c r="I56" s="13">
        <v>42692.4528125</v>
      </c>
      <c r="J56" s="7">
        <v>0</v>
      </c>
      <c r="K56" s="109" t="str">
        <f t="shared" si="0"/>
        <v>4029/4030</v>
      </c>
      <c r="L56" s="22" t="str">
        <f>VLOOKUP(A56,'Trips&amp;Operators'!$C$1:$E$10000,3,FALSE)</f>
        <v>MACDONALD</v>
      </c>
      <c r="M56" s="6">
        <f t="shared" si="1"/>
        <v>2.7488425927003846E-2</v>
      </c>
      <c r="N56" s="7">
        <f t="shared" si="2"/>
        <v>39.583333334885538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09:07:37-700',mode:absolute,to:'2016-11-18 11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6" s="52" t="str">
        <f t="shared" si="6"/>
        <v>N</v>
      </c>
      <c r="X56" s="177">
        <f t="shared" si="16"/>
        <v>1</v>
      </c>
      <c r="Y56" s="67">
        <f t="shared" si="7"/>
        <v>23.299399999999999</v>
      </c>
      <c r="Z56" s="67">
        <f t="shared" si="8"/>
        <v>1.72E-2</v>
      </c>
      <c r="AA56" s="67">
        <f t="shared" si="9"/>
        <v>23.2822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0"/>
        <v>0146-18</v>
      </c>
      <c r="AE56" s="91" t="str">
        <f t="shared" si="11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56" s="88" t="str">
        <f t="shared" si="12"/>
        <v>"C:\Program Files (x86)\AstroGrep\AstroGrep.exe" /spath="%USERPROFILE%\AppData\Local\Temp\OnboardLogs" /stypes="app*4030*20161118*" /stext=" 17:.+((SYSTEM_STATE.+slice.+state.+changed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14"/>
        <v>"%USERPROFILE%\Documents\GitHub\eaglep3\Utilities\RefineRTDCRunTimes.py" --tripid 146-18 --locoid 4030 --swversion DE.1.0.8.0 --startMP 204:232994 --initTime 2016-11-18T10:07:37 --startdatetime 2016-11-18T10:12:28 --delay 1 --endMP 204:172 --enddatetime 2016-11-18T10:52:03 --enforcementcount 0 &gt;&gt;C:\Users\stu\Documents\GitHub\eaglep3-reporting\EC\2016-11-18-refined-times.txt</v>
      </c>
      <c r="AI5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{"issue":{"subject":"","project_id":79,"tracker_id":40,"status_id":1,"priority_id":2,"assigned_to_id":23,"start_date":"2016-11-18","description":"","custom_fields":[{"id":1,"name":"Subdivision","value":"EC"},{"id":4,"name":"Milepost","value":"0.0172"},{"id":17,"name":"Train ID","value":"146-18"},{"id":16,"name":"Locomotive ID","value":"4030"},{"id":130,"name":"Impact","value":""},{"id":150,"name":"Time of Event (Mountain Time)","value":"10:52:03"},{"id":151,"name":"Denver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520</v>
      </c>
      <c r="B57" s="7">
        <v>4042</v>
      </c>
      <c r="C57" s="22" t="s">
        <v>218</v>
      </c>
      <c r="D57" s="22" t="s">
        <v>404</v>
      </c>
      <c r="E57" s="13">
        <v>42692.391284722224</v>
      </c>
      <c r="F57" s="13">
        <v>42692.396018518521</v>
      </c>
      <c r="G57" s="7">
        <v>0</v>
      </c>
      <c r="H57" s="22" t="s">
        <v>354</v>
      </c>
      <c r="I57" s="13">
        <v>42692.421122685184</v>
      </c>
      <c r="J57" s="7">
        <v>0</v>
      </c>
      <c r="K57" s="109" t="str">
        <f t="shared" si="0"/>
        <v>4041/4042</v>
      </c>
      <c r="L57" s="22" t="str">
        <f>VLOOKUP(A57,'Trips&amp;Operators'!$C$1:$E$10000,3,FALSE)</f>
        <v>ROBINSON</v>
      </c>
      <c r="M57" s="6">
        <f t="shared" si="1"/>
        <v>2.5104166663368233E-2</v>
      </c>
      <c r="N57" s="7">
        <f t="shared" si="2"/>
        <v>36.149999995250255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08:23:27-700',mode:absolute,to:'2016-11-18 11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52" t="str">
        <f t="shared" si="6"/>
        <v>N</v>
      </c>
      <c r="X57" s="177">
        <f t="shared" si="16"/>
        <v>1</v>
      </c>
      <c r="Y57" s="67">
        <f t="shared" si="7"/>
        <v>4.3299999999999998E-2</v>
      </c>
      <c r="Z57" s="67">
        <f t="shared" si="8"/>
        <v>23.3293</v>
      </c>
      <c r="AA57" s="67">
        <f t="shared" si="9"/>
        <v>23.286000000000001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0"/>
        <v>0147-18</v>
      </c>
      <c r="AE57" s="91" t="str">
        <f t="shared" si="11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57" s="88" t="str">
        <f t="shared" si="12"/>
        <v>"C:\Program Files (x86)\AstroGrep\AstroGrep.exe" /spath="%USERPROFILE%\AppData\Local\Temp\OnboardLogs" /stypes="app*4042*20161118*" /stext=" 17:.+((SYSTEM_STATE.+slice.+state.+changed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14"/>
        <v>"%USERPROFILE%\Documents\GitHub\eaglep3\Utilities\RefineRTDCRunTimes.py" --tripid 147-18 --locoid 4042 --swversion DE.1.0.8.0 --startMP 204:433 --initTime 2016-11-18T09:23:27 --startdatetime 2016-11-18T09:30:16 --delay 0 --endMP 204:233293 --enddatetime 2016-11-18T10:06:25 --enforcementcount 0 &gt;&gt;C:\Users\stu\Documents\GitHub\eaglep3-reporting\EC\2016-11-18-refined-times.txt</v>
      </c>
      <c r="AI5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{"issue":{"subject":"","project_id":79,"tracker_id":40,"status_id":1,"priority_id":2,"assigned_to_id":23,"start_date":"2016-11-18","description":"","custom_fields":[{"id":1,"name":"Subdivision","value":"EC"},{"id":4,"name":"Milepost","value":"23.3293"},{"id":17,"name":"Train ID","value":"147-18"},{"id":16,"name":"Locomotive ID","value":"4042"},{"id":130,"name":"Impact","value":""},{"id":150,"name":"Time of Event (Mountain Time)","value":"10:06:25"},{"id":151,"name":"Denver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527</v>
      </c>
      <c r="B58" s="7">
        <v>4041</v>
      </c>
      <c r="C58" s="22" t="s">
        <v>218</v>
      </c>
      <c r="D58" s="22" t="s">
        <v>392</v>
      </c>
      <c r="E58" s="13">
        <v>42692.425868055558</v>
      </c>
      <c r="F58" s="13">
        <v>42692.434930555559</v>
      </c>
      <c r="G58" s="7">
        <v>1</v>
      </c>
      <c r="H58" s="22" t="s">
        <v>681</v>
      </c>
      <c r="I58" s="13">
        <v>42692.461527777778</v>
      </c>
      <c r="J58" s="7">
        <v>0</v>
      </c>
      <c r="K58" s="109" t="str">
        <f t="shared" si="0"/>
        <v>4041/4042</v>
      </c>
      <c r="L58" s="22" t="str">
        <f>VLOOKUP(A58,'Trips&amp;Operators'!$C$1:$E$10000,3,FALSE)</f>
        <v>ROBINSON</v>
      </c>
      <c r="M58" s="6">
        <f t="shared" si="1"/>
        <v>2.6597222218697425E-2</v>
      </c>
      <c r="N58" s="7">
        <f t="shared" si="2"/>
        <v>38.299999994924292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09:13:15-700',mode:absolute,to:'2016-11-18 12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52" t="str">
        <f t="shared" si="6"/>
        <v>N</v>
      </c>
      <c r="X58" s="177">
        <f t="shared" si="16"/>
        <v>1</v>
      </c>
      <c r="Y58" s="67">
        <f t="shared" si="7"/>
        <v>23.296700000000001</v>
      </c>
      <c r="Z58" s="67">
        <f t="shared" si="8"/>
        <v>1.2699999999999999E-2</v>
      </c>
      <c r="AA58" s="67">
        <f t="shared" si="9"/>
        <v>23.284000000000002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0"/>
        <v>0148-18</v>
      </c>
      <c r="AE58" s="91" t="str">
        <f t="shared" si="11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58" s="88" t="str">
        <f t="shared" si="12"/>
        <v>"C:\Program Files (x86)\AstroGrep\AstroGrep.exe" /spath="%USERPROFILE%\AppData\Local\Temp\OnboardLogs" /stypes="app*4041*20161118*" /stext=" 18:.+((SYSTEM_STATE.+slice.+state.+changed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14"/>
        <v>"%USERPROFILE%\Documents\GitHub\eaglep3\Utilities\RefineRTDCRunTimes.py" --tripid 148-18 --locoid 4041 --swversion DE.1.0.8.0 --startMP 204:232967 --initTime 2016-11-18T10:13:15 --startdatetime 2016-11-18T10:26:18 --delay 1 --endMP 204:127 --enddatetime 2016-11-18T11:04:36 --enforcementcount 0 &gt;&gt;C:\Users\stu\Documents\GitHub\eaglep3-reporting\EC\2016-11-18-refined-times.txt</v>
      </c>
      <c r="AI5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{"issue":{"subject":"","project_id":79,"tracker_id":40,"status_id":1,"priority_id":2,"assigned_to_id":23,"start_date":"2016-11-18","description":"","custom_fields":[{"id":1,"name":"Subdivision","value":"EC"},{"id":4,"name":"Milepost","value":"0.0127"},{"id":17,"name":"Train ID","value":"148-18"},{"id":16,"name":"Locomotive ID","value":"4041"},{"id":130,"name":"Impact","value":""},{"id":150,"name":"Time of Event (Mountain Time)","value":"11:04:36"},{"id":151,"name":"Denver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521</v>
      </c>
      <c r="B59" s="7">
        <v>4018</v>
      </c>
      <c r="C59" s="22" t="s">
        <v>218</v>
      </c>
      <c r="D59" s="22" t="s">
        <v>357</v>
      </c>
      <c r="E59" s="13">
        <v>42692.403194444443</v>
      </c>
      <c r="F59" s="13">
        <v>42692.406469907408</v>
      </c>
      <c r="G59" s="7">
        <v>1</v>
      </c>
      <c r="H59" s="22" t="s">
        <v>682</v>
      </c>
      <c r="I59" s="13">
        <v>42692.431076388886</v>
      </c>
      <c r="J59" s="7">
        <v>0</v>
      </c>
      <c r="K59" s="109" t="str">
        <f t="shared" si="0"/>
        <v>4017/4018</v>
      </c>
      <c r="L59" s="22" t="str">
        <f>VLOOKUP(A59,'Trips&amp;Operators'!$C$1:$E$10000,3,FALSE)</f>
        <v>RICHARDSON</v>
      </c>
      <c r="M59" s="6">
        <f t="shared" si="1"/>
        <v>2.4606481478258502E-2</v>
      </c>
      <c r="N59" s="7">
        <f t="shared" si="2"/>
        <v>35.433333328692243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08:40:36-700',mode:absolute,to:'2016-11-18 11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9" s="52" t="str">
        <f t="shared" si="6"/>
        <v>N</v>
      </c>
      <c r="X59" s="177">
        <f t="shared" si="16"/>
        <v>1</v>
      </c>
      <c r="Y59" s="67">
        <f t="shared" si="7"/>
        <v>4.5499999999999999E-2</v>
      </c>
      <c r="Z59" s="67">
        <f t="shared" si="8"/>
        <v>23.331900000000001</v>
      </c>
      <c r="AA59" s="67">
        <f t="shared" si="9"/>
        <v>23.2864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0"/>
        <v>0149-18</v>
      </c>
      <c r="AE59" s="91" t="str">
        <f t="shared" si="11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59" s="88" t="str">
        <f t="shared" si="12"/>
        <v>"C:\Program Files (x86)\AstroGrep\AstroGrep.exe" /spath="%USERPROFILE%\AppData\Local\Temp\OnboardLogs" /stypes="app*4018*20161118*" /stext=" 17:.+((SYSTEM_STATE.+slice.+state.+changed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14"/>
        <v>"%USERPROFILE%\Documents\GitHub\eaglep3\Utilities\RefineRTDCRunTimes.py" --tripid 149-18 --locoid 4018 --swversion DE.1.0.8.0 --startMP 204:455 --initTime 2016-11-18T09:40:36 --startdatetime 2016-11-18T09:45:19 --delay 1 --endMP 204:233319 --enddatetime 2016-11-18T10:20:45 --enforcementcount 0 &gt;&gt;C:\Users\stu\Documents\GitHub\eaglep3-reporting\EC\2016-11-18-refined-times.txt</v>
      </c>
      <c r="AI5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{"issue":{"subject":"","project_id":79,"tracker_id":40,"status_id":1,"priority_id":2,"assigned_to_id":23,"start_date":"2016-11-18","description":"","custom_fields":[{"id":1,"name":"Subdivision","value":"EC"},{"id":4,"name":"Milepost","value":"23.3319"},{"id":17,"name":"Train ID","value":"149-18"},{"id":16,"name":"Locomotive ID","value":"4018"},{"id":130,"name":"Impact","value":""},{"id":150,"name":"Time of Event (Mountain Time)","value":"10:20:45"},{"id":151,"name":"Denver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528</v>
      </c>
      <c r="B60" s="7">
        <v>4017</v>
      </c>
      <c r="C60" s="22" t="s">
        <v>218</v>
      </c>
      <c r="D60" s="22" t="s">
        <v>279</v>
      </c>
      <c r="E60" s="13">
        <v>42692.437592592592</v>
      </c>
      <c r="F60" s="13">
        <v>42692.445335648146</v>
      </c>
      <c r="G60" s="7">
        <v>7</v>
      </c>
      <c r="H60" s="22" t="s">
        <v>197</v>
      </c>
      <c r="I60" s="13">
        <v>42692.472986111112</v>
      </c>
      <c r="J60" s="7">
        <v>0</v>
      </c>
      <c r="K60" s="109" t="str">
        <f t="shared" si="0"/>
        <v>4017/4018</v>
      </c>
      <c r="L60" s="22" t="str">
        <f>VLOOKUP(A60,'Trips&amp;Operators'!$C$1:$E$10000,3,FALSE)</f>
        <v>RICHARDSON</v>
      </c>
      <c r="M60" s="6">
        <f t="shared" si="1"/>
        <v>2.7650462965539191E-2</v>
      </c>
      <c r="N60" s="7">
        <f t="shared" si="2"/>
        <v>39.816666670376435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09:30:08-700',mode:absolute,to:'2016-11-18 12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0" s="52" t="str">
        <f t="shared" si="6"/>
        <v>N</v>
      </c>
      <c r="X60" s="177">
        <f t="shared" si="16"/>
        <v>1</v>
      </c>
      <c r="Y60" s="67">
        <f t="shared" si="7"/>
        <v>23.2989</v>
      </c>
      <c r="Z60" s="67">
        <f t="shared" si="8"/>
        <v>1.43E-2</v>
      </c>
      <c r="AA60" s="67">
        <f t="shared" si="9"/>
        <v>23.284600000000001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0"/>
        <v>0150-18</v>
      </c>
      <c r="AE60" s="91" t="str">
        <f t="shared" si="11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60" s="88" t="str">
        <f t="shared" si="12"/>
        <v>"C:\Program Files (x86)\AstroGrep\AstroGrep.exe" /spath="%USERPROFILE%\AppData\Local\Temp\OnboardLogs" /stypes="app*4017*20161118*" /stext=" 18:.+((SYSTEM_STATE.+slice.+state.+changed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14"/>
        <v>"%USERPROFILE%\Documents\GitHub\eaglep3\Utilities\RefineRTDCRunTimes.py" --tripid 150-18 --locoid 4017 --swversion DE.1.0.8.0 --startMP 204:232989 --initTime 2016-11-18T10:30:08 --startdatetime 2016-11-18T10:41:17 --delay 7 --endMP 204:143 --enddatetime 2016-11-18T11:21:06 --enforcementcount 0 &gt;&gt;C:\Users\stu\Documents\GitHub\eaglep3-reporting\EC\2016-11-18-refined-times.txt</v>
      </c>
      <c r="AI6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{"issue":{"subject":"","project_id":79,"tracker_id":40,"status_id":1,"priority_id":2,"assigned_to_id":23,"start_date":"2016-11-18","description":"","custom_fields":[{"id":1,"name":"Subdivision","value":"EC"},{"id":4,"name":"Milepost","value":"0.0143"},{"id":17,"name":"Train ID","value":"150-18"},{"id":16,"name":"Locomotive ID","value":"4017"},{"id":130,"name":"Impact","value":""},{"id":150,"name":"Time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524</v>
      </c>
      <c r="B61" s="7">
        <v>4011</v>
      </c>
      <c r="C61" s="22" t="s">
        <v>218</v>
      </c>
      <c r="D61" s="22" t="s">
        <v>217</v>
      </c>
      <c r="E61" s="13">
        <v>42692.413576388892</v>
      </c>
      <c r="F61" s="13">
        <v>42692.416979166665</v>
      </c>
      <c r="G61" s="7">
        <v>1</v>
      </c>
      <c r="H61" s="22" t="s">
        <v>683</v>
      </c>
      <c r="I61" s="13">
        <v>42692.441469907404</v>
      </c>
      <c r="J61" s="7">
        <v>0</v>
      </c>
      <c r="K61" s="109" t="str">
        <f t="shared" si="0"/>
        <v>4011/4012</v>
      </c>
      <c r="L61" s="22" t="str">
        <f>VLOOKUP(A61,'Trips&amp;Operators'!$C$1:$E$10000,3,FALSE)</f>
        <v>DAVIDSON</v>
      </c>
      <c r="M61" s="6">
        <f t="shared" si="1"/>
        <v>2.4490740739565808E-2</v>
      </c>
      <c r="N61" s="7">
        <f t="shared" si="2"/>
        <v>35.266666664974764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08:55:33-700',mode:absolute,to:'2016-11-18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16"/>
        <v>1</v>
      </c>
      <c r="Y61" s="67">
        <f t="shared" si="7"/>
        <v>4.6399999999999997E-2</v>
      </c>
      <c r="Z61" s="67">
        <f t="shared" si="8"/>
        <v>23.3276</v>
      </c>
      <c r="AA61" s="67">
        <f t="shared" si="9"/>
        <v>23.281200000000002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0"/>
        <v>0151-18</v>
      </c>
      <c r="AE61" s="91" t="str">
        <f t="shared" si="11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61" s="88" t="str">
        <f t="shared" si="12"/>
        <v>"C:\Program Files (x86)\AstroGrep\AstroGrep.exe" /spath="%USERPROFILE%\AppData\Local\Temp\OnboardLogs" /stypes="app*4011*20161118*" /stext=" 17:.+((SYSTEM_STATE.+slice.+state.+changed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14"/>
        <v>"%USERPROFILE%\Documents\GitHub\eaglep3\Utilities\RefineRTDCRunTimes.py" --tripid 151-18 --locoid 4011 --swversion DE.1.0.8.0 --startMP 204:464 --initTime 2016-11-18T09:55:33 --startdatetime 2016-11-18T10:00:27 --delay 1 --endMP 204:233276 --enddatetime 2016-11-18T10:35:43 --enforcementcount 0 &gt;&gt;C:\Users\stu\Documents\GitHub\eaglep3-reporting\EC\2016-11-18-refined-times.txt</v>
      </c>
      <c r="AI6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{"issue":{"subject":"","project_id":79,"tracker_id":40,"status_id":1,"priority_id":2,"assigned_to_id":23,"start_date":"2016-11-18","description":"","custom_fields":[{"id":1,"name":"Subdivision","value":"EC"},{"id":4,"name":"Milepost","value":"23.3276"},{"id":17,"name":"Train ID","value":"151-18"},{"id":16,"name":"Locomotive ID","value":"4011"},{"id":130,"name":"Impact","value":""},{"id":150,"name":"Time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530</v>
      </c>
      <c r="B62" s="7">
        <v>4012</v>
      </c>
      <c r="C62" s="22" t="s">
        <v>218</v>
      </c>
      <c r="D62" s="22" t="s">
        <v>684</v>
      </c>
      <c r="E62" s="13">
        <v>42692.445960648147</v>
      </c>
      <c r="F62" s="13">
        <v>42692.455775462964</v>
      </c>
      <c r="G62" s="7">
        <v>1</v>
      </c>
      <c r="H62" s="22" t="s">
        <v>403</v>
      </c>
      <c r="I62" s="13">
        <v>42692.483958333331</v>
      </c>
      <c r="J62" s="7">
        <v>0</v>
      </c>
      <c r="K62" s="109" t="str">
        <f t="shared" si="0"/>
        <v>4011/4012</v>
      </c>
      <c r="L62" s="22" t="str">
        <f>VLOOKUP(A62,'Trips&amp;Operators'!$C$1:$E$10000,3,FALSE)</f>
        <v>DAVIDSON</v>
      </c>
      <c r="M62" s="6">
        <f t="shared" si="1"/>
        <v>2.8182870366435964E-2</v>
      </c>
      <c r="N62" s="7">
        <f t="shared" si="2"/>
        <v>40.583333327667788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09:42:11-700',mode:absolute,to:'2016-11-18 12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16"/>
        <v>1</v>
      </c>
      <c r="Y62" s="67">
        <f t="shared" si="7"/>
        <v>23.295500000000001</v>
      </c>
      <c r="Z62" s="67">
        <f t="shared" si="8"/>
        <v>1.34E-2</v>
      </c>
      <c r="AA62" s="67">
        <f t="shared" si="9"/>
        <v>23.2821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0"/>
        <v>0152-18</v>
      </c>
      <c r="AE62" s="91" t="str">
        <f t="shared" si="11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62" s="88" t="str">
        <f t="shared" si="12"/>
        <v>"C:\Program Files (x86)\AstroGrep\AstroGrep.exe" /spath="%USERPROFILE%\AppData\Local\Temp\OnboardLogs" /stypes="app*4012*20161118*" /stext=" 18:.+((SYSTEM_STATE.+slice.+state.+changed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14"/>
        <v>"%USERPROFILE%\Documents\GitHub\eaglep3\Utilities\RefineRTDCRunTimes.py" --tripid 152-18 --locoid 4012 --swversion DE.1.0.8.0 --startMP 204:232955 --initTime 2016-11-18T10:42:11 --startdatetime 2016-11-18T10:56:19 --delay 1 --endMP 204:134 --enddatetime 2016-11-18T11:36:54 --enforcementcount 0 &gt;&gt;C:\Users\stu\Documents\GitHub\eaglep3-reporting\EC\2016-11-18-refined-times.txt</v>
      </c>
      <c r="AI62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{"issue":{"subject":"","project_id":79,"tracker_id":40,"status_id":1,"priority_id":2,"assigned_to_id":23,"start_date":"2016-11-18","description":"","custom_fields":[{"id":1,"name":"Subdivision","value":"EC"},{"id":4,"name":"Milepost","value":"0.0134"},{"id":17,"name":"Train ID","value":"152-18"},{"id":16,"name":"Locomotive ID","value":"4012"},{"id":130,"name":"Impact","value":""},{"id":150,"name":"Time of Event (Mountain Time)","value":"11:36:54"},{"id":151,"name":"Denver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449</v>
      </c>
      <c r="B63" s="7">
        <v>4025</v>
      </c>
      <c r="C63" s="22" t="s">
        <v>218</v>
      </c>
      <c r="D63" s="22" t="s">
        <v>685</v>
      </c>
      <c r="E63" s="13">
        <v>42692.431226851855</v>
      </c>
      <c r="F63" s="13">
        <v>42692.431979166664</v>
      </c>
      <c r="G63" s="7">
        <v>1</v>
      </c>
      <c r="H63" s="22" t="s">
        <v>686</v>
      </c>
      <c r="I63" s="13">
        <v>42692.452928240738</v>
      </c>
      <c r="J63" s="7">
        <v>0</v>
      </c>
      <c r="K63" s="109" t="str">
        <f t="shared" si="0"/>
        <v>4025/4026</v>
      </c>
      <c r="L63" s="22" t="str">
        <f>VLOOKUP(A63,'Trips&amp;Operators'!$C$1:$E$10000,3,FALSE)</f>
        <v>ISHMAEL</v>
      </c>
      <c r="M63" s="6">
        <f t="shared" si="1"/>
        <v>2.0949074074451346E-2</v>
      </c>
      <c r="N63" s="7"/>
      <c r="O63" s="7"/>
      <c r="P63" s="7">
        <f t="shared" si="2"/>
        <v>30.166666667209938</v>
      </c>
      <c r="Q63" s="23"/>
      <c r="R63" s="23" t="s">
        <v>830</v>
      </c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09:20:58-700',mode:absolute,to:'2016-11-18 11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3" s="52" t="str">
        <f t="shared" si="6"/>
        <v>Y</v>
      </c>
      <c r="X63" s="177">
        <f t="shared" si="16"/>
        <v>1</v>
      </c>
      <c r="Y63" s="67">
        <f t="shared" si="7"/>
        <v>1.9551000000000001</v>
      </c>
      <c r="Z63" s="67">
        <f t="shared" si="8"/>
        <v>23.332899999999999</v>
      </c>
      <c r="AA63" s="67">
        <f t="shared" si="9"/>
        <v>21.377799999999997</v>
      </c>
      <c r="AB63" s="64" t="str">
        <f>VLOOKUP(A63,Enforcements!$C$7:$K$20,8,0)</f>
        <v>Signal based authority (5)</v>
      </c>
      <c r="AC63" s="60" t="str">
        <f>VLOOKUP(A63,Enforcements!$C$7:$E$20,3,0)</f>
        <v>SIGNAL</v>
      </c>
      <c r="AD63" s="61" t="str">
        <f t="shared" si="10"/>
        <v>0153-18</v>
      </c>
      <c r="AE63" s="91" t="str">
        <f t="shared" si="11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63" s="88" t="str">
        <f t="shared" si="12"/>
        <v>"C:\Program Files (x86)\AstroGrep\AstroGrep.exe" /spath="%USERPROFILE%\AppData\Local\Temp\OnboardLogs" /stypes="app*4025*20161118*"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14"/>
        <v>"%USERPROFILE%\Documents\GitHub\eaglep3\Utilities\RefineRTDCRunTimes.py" --tripid 153-18 --locoid 4025 --swversion DE.1.0.8.0 --startMP 204:19551 --initTime 2016-11-18T10:20:58 --startdatetime 2016-11-18T10:22:03 --delay 1 --endMP 204:233329 --enddatetime 2016-11-18T10:52:13 --enforcementcount 0 &gt;&gt;C:\Users\stu\Documents\GitHub\eaglep3-reporting\EC\2016-11-18-refined-times.txt</v>
      </c>
      <c r="AI63" s="119" t="str">
        <f t="shared" si="15"/>
        <v>echo {"issue":{"subject":"Main 3 departure","project_id":79,"tracker_id":40,"status_id":1,"priority_id":2,"assigned_to_id":23,"start_date":"2016-11-18","description":"","custom_fields":[{"id":1,"name":"Subdivision","value":"EC"},{"id":4,"name":"Milepost","value":"23.3329"},{"id":17,"name":"Train ID","value":"153-18"},{"id":16,"name":"Locomotive ID","value":"4025"},{"id":130,"name":"Impact","value":""},{"id":150,"name":"Time of Event (Mountain Time)","value":"10:52:13"},{"id":151,"name":"Denver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533</v>
      </c>
      <c r="B64" s="7">
        <v>4026</v>
      </c>
      <c r="C64" s="22" t="s">
        <v>218</v>
      </c>
      <c r="D64" s="22" t="s">
        <v>413</v>
      </c>
      <c r="E64" s="13">
        <v>42692.460798611108</v>
      </c>
      <c r="F64" s="13">
        <v>42692.466145833336</v>
      </c>
      <c r="G64" s="7">
        <v>1</v>
      </c>
      <c r="H64" s="22" t="s">
        <v>315</v>
      </c>
      <c r="I64" s="13">
        <v>42692.4922337963</v>
      </c>
      <c r="J64" s="7">
        <v>0</v>
      </c>
      <c r="K64" s="109" t="str">
        <f t="shared" si="0"/>
        <v>4025/4026</v>
      </c>
      <c r="L64" s="22" t="str">
        <f>VLOOKUP(A64,'Trips&amp;Operators'!$C$1:$E$10000,3,FALSE)</f>
        <v>ISHMAEL</v>
      </c>
      <c r="M64" s="6">
        <f t="shared" si="1"/>
        <v>2.6087962964083999E-2</v>
      </c>
      <c r="N64" s="7">
        <f t="shared" si="2"/>
        <v>37.566666668280959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10:03:33-700',mode:absolute,to:'2016-11-18 12:48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4" s="52" t="str">
        <f t="shared" si="6"/>
        <v>N</v>
      </c>
      <c r="X64" s="177">
        <f t="shared" si="16"/>
        <v>1</v>
      </c>
      <c r="Y64" s="67">
        <f t="shared" si="7"/>
        <v>23.3019</v>
      </c>
      <c r="Z64" s="67">
        <f t="shared" si="8"/>
        <v>1.4500000000000001E-2</v>
      </c>
      <c r="AA64" s="67">
        <f t="shared" si="9"/>
        <v>23.287399999999998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0"/>
        <v>0154-18</v>
      </c>
      <c r="AE64" s="91" t="str">
        <f t="shared" si="11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64" s="88" t="str">
        <f t="shared" si="12"/>
        <v>"C:\Program Files (x86)\AstroGrep\AstroGrep.exe" /spath="%USERPROFILE%\AppData\Local\Temp\OnboardLogs" /stypes="app*4026*20161118*" /stext=" 18:.+((SYSTEM_STATE.+slice.+state.+changed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14"/>
        <v>"%USERPROFILE%\Documents\GitHub\eaglep3\Utilities\RefineRTDCRunTimes.py" --tripid 154-18 --locoid 4026 --swversion DE.1.0.8.0 --startMP 204:233019 --initTime 2016-11-18T11:03:33 --startdatetime 2016-11-18T11:11:15 --delay 1 --endMP 204:145 --enddatetime 2016-11-18T11:48:49 --enforcementcount 0 &gt;&gt;C:\Users\stu\Documents\GitHub\eaglep3-reporting\EC\2016-11-18-refined-times.txt</v>
      </c>
      <c r="AI64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{"issue":{"subject":"","project_id":79,"tracker_id":40,"status_id":1,"priority_id":2,"assigned_to_id":23,"start_date":"2016-11-18","description":"","custom_fields":[{"id":1,"name":"Subdivision","value":"EC"},{"id":4,"name":"Milepost","value":"0.0145"},{"id":17,"name":"Train ID","value":"154-18"},{"id":16,"name":"Locomotive ID","value":"4026"},{"id":130,"name":"Impact","value":""},{"id":150,"name":"Time of Event (Mountain Time)","value":"11:48:49"},{"id":151,"name":"Denver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451</v>
      </c>
      <c r="B65" s="7">
        <v>4046</v>
      </c>
      <c r="C65" s="22" t="s">
        <v>218</v>
      </c>
      <c r="D65" s="22" t="s">
        <v>397</v>
      </c>
      <c r="E65" s="13">
        <v>42692.433761574073</v>
      </c>
      <c r="F65" s="13">
        <v>42692.437858796293</v>
      </c>
      <c r="G65" s="7">
        <v>1</v>
      </c>
      <c r="H65" s="22" t="s">
        <v>677</v>
      </c>
      <c r="I65" s="13">
        <v>42692.465289351851</v>
      </c>
      <c r="J65" s="7">
        <v>0</v>
      </c>
      <c r="K65" s="109" t="str">
        <f t="shared" si="0"/>
        <v>4045/4046</v>
      </c>
      <c r="L65" s="22" t="str">
        <f>VLOOKUP(A65,'Trips&amp;Operators'!$C$1:$E$10000,3,FALSE)</f>
        <v>STRICKLAND</v>
      </c>
      <c r="M65" s="6">
        <f t="shared" si="1"/>
        <v>2.7430555557657499E-2</v>
      </c>
      <c r="N65" s="7">
        <f t="shared" si="2"/>
        <v>39.500000003026798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09:24:37-700',mode:absolute,to:'2016-11-18 12:10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5" s="52" t="str">
        <f t="shared" si="6"/>
        <v>N</v>
      </c>
      <c r="X65" s="177">
        <f t="shared" si="16"/>
        <v>1</v>
      </c>
      <c r="Y65" s="67">
        <f t="shared" si="7"/>
        <v>4.4600000000000001E-2</v>
      </c>
      <c r="Z65" s="67">
        <f t="shared" si="8"/>
        <v>23.332000000000001</v>
      </c>
      <c r="AA65" s="67">
        <f t="shared" si="9"/>
        <v>23.287400000000002</v>
      </c>
      <c r="AB65" s="64" t="str">
        <f>VLOOKUP(A65,Enforcements!$C$7:$K$20,8,0)</f>
        <v>Speed (6)</v>
      </c>
      <c r="AC65" s="60" t="str">
        <f>VLOOKUP(A65,Enforcements!$C$7:$E$20,3,0)</f>
        <v>EQUIPMENT RESTRICTION</v>
      </c>
      <c r="AD65" s="61" t="str">
        <f t="shared" si="10"/>
        <v>0155-18</v>
      </c>
      <c r="AE65" s="91" t="str">
        <f t="shared" si="11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65" s="88" t="str">
        <f t="shared" si="12"/>
        <v>"C:\Program Files (x86)\AstroGrep\AstroGrep.exe" /spath="%USERPROFILE%\AppData\Local\Temp\OnboardLogs" /stypes="app*4046*20161118*" /stext=" 18:.+((SYSTEM_STATE.+slice.+state.+changed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14"/>
        <v>"%USERPROFILE%\Documents\GitHub\eaglep3\Utilities\RefineRTDCRunTimes.py" --tripid 155-18 --locoid 4046 --swversion DE.1.0.8.0 --startMP 204:446 --initTime 2016-11-18T10:24:37 --startdatetime 2016-11-18T10:30:31 --delay 1 --endMP 204:233320 --enddatetime 2016-11-18T11:10:01 --enforcementcount 0 &gt;&gt;C:\Users\stu\Documents\GitHub\eaglep3-reporting\EC\2016-11-18-refined-times.txt</v>
      </c>
      <c r="AI65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{"issue":{"subject":"","project_id":79,"tracker_id":40,"status_id":1,"priority_id":2,"assigned_to_id":23,"start_date":"2016-11-18","description":"","custom_fields":[{"id":1,"name":"Subdivision","value":"EC"},{"id":4,"name":"Milepost","value":"23.332"},{"id":17,"name":"Train ID","value":"155-18"},{"id":16,"name":"Locomotive ID","value":"4046"},{"id":130,"name":"Impact","value":""},{"id":150,"name":"Time of Event (Mountain Time)","value":"11:10:01"},{"id":151,"name":"Denver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536</v>
      </c>
      <c r="B66" s="7">
        <v>4045</v>
      </c>
      <c r="C66" s="22" t="s">
        <v>218</v>
      </c>
      <c r="D66" s="22" t="s">
        <v>318</v>
      </c>
      <c r="E66" s="13">
        <v>42692.467465277776</v>
      </c>
      <c r="F66" s="13">
        <v>42692.476747685185</v>
      </c>
      <c r="G66" s="7">
        <v>1</v>
      </c>
      <c r="H66" s="22" t="s">
        <v>663</v>
      </c>
      <c r="I66" s="13">
        <v>42692.503946759258</v>
      </c>
      <c r="J66" s="7">
        <v>0</v>
      </c>
      <c r="K66" s="109" t="str">
        <f t="shared" si="0"/>
        <v>4045/4046</v>
      </c>
      <c r="L66" s="22" t="str">
        <f>VLOOKUP(A66,'Trips&amp;Operators'!$C$1:$E$10000,3,FALSE)</f>
        <v>STRICKLAND</v>
      </c>
      <c r="M66" s="6">
        <f t="shared" si="1"/>
        <v>2.7199074072996154E-2</v>
      </c>
      <c r="N66" s="7">
        <f t="shared" si="2"/>
        <v>39.166666665114462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10:13:09-700',mode:absolute,to:'2016-11-18 13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6" s="52" t="str">
        <f t="shared" si="6"/>
        <v>N</v>
      </c>
      <c r="X66" s="177">
        <f t="shared" si="16"/>
        <v>1</v>
      </c>
      <c r="Y66" s="67">
        <f t="shared" si="7"/>
        <v>23.299800000000001</v>
      </c>
      <c r="Z66" s="67">
        <f t="shared" si="8"/>
        <v>1.61E-2</v>
      </c>
      <c r="AA66" s="67">
        <f t="shared" si="9"/>
        <v>23.2837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0"/>
        <v>0156-18</v>
      </c>
      <c r="AE66" s="91" t="str">
        <f t="shared" si="11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66" s="88" t="str">
        <f t="shared" si="12"/>
        <v>"C:\Program Files (x86)\AstroGrep\AstroGrep.exe" /spath="%USERPROFILE%\AppData\Local\Temp\OnboardLogs" /stypes="app*4045*20161118*" /stext=" 19:.+((SYSTEM_STATE.+slice.+state.+changed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14"/>
        <v>"%USERPROFILE%\Documents\GitHub\eaglep3\Utilities\RefineRTDCRunTimes.py" --tripid 156-18 --locoid 4045 --swversion DE.1.0.8.0 --startMP 204:232998 --initTime 2016-11-18T11:13:09 --startdatetime 2016-11-18T11:26:31 --delay 1 --endMP 204:161 --enddatetime 2016-11-18T12:05:41 --enforcementcount 0 &gt;&gt;C:\Users\stu\Documents\GitHub\eaglep3-reporting\EC\2016-11-18-refined-times.txt</v>
      </c>
      <c r="AI66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{"issue":{"subject":"","project_id":79,"tracker_id":40,"status_id":1,"priority_id":2,"assigned_to_id":23,"start_date":"2016-11-18","description":"","custom_fields":[{"id":1,"name":"Subdivision","value":"EC"},{"id":4,"name":"Milepost","value":"0.0161"},{"id":17,"name":"Train ID","value":"156-18"},{"id":16,"name":"Locomotive ID","value":"4045"},{"id":130,"name":"Impact","value":""},{"id":150,"name":"Time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529</v>
      </c>
      <c r="B67" s="7">
        <v>4016</v>
      </c>
      <c r="C67" s="22" t="s">
        <v>218</v>
      </c>
      <c r="D67" s="22" t="s">
        <v>357</v>
      </c>
      <c r="E67" s="13">
        <v>42692.441435185188</v>
      </c>
      <c r="F67" s="13">
        <v>42692.448275462964</v>
      </c>
      <c r="G67" s="7">
        <v>6</v>
      </c>
      <c r="H67" s="22" t="s">
        <v>360</v>
      </c>
      <c r="I67" s="13">
        <v>42692.47246527778</v>
      </c>
      <c r="J67" s="7">
        <v>0</v>
      </c>
      <c r="K67" s="109" t="str">
        <f t="shared" si="0"/>
        <v>4015/4016</v>
      </c>
      <c r="L67" s="22" t="str">
        <f>VLOOKUP(A67,'Trips&amp;Operators'!$C$1:$E$10000,3,FALSE)</f>
        <v>SAFIEF</v>
      </c>
      <c r="M67" s="6">
        <f t="shared" si="1"/>
        <v>2.4189814816054422E-2</v>
      </c>
      <c r="N67" s="7">
        <f t="shared" si="2"/>
        <v>34.833333335118368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09:35:40-700',mode:absolute,to:'2016-11-18 12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7" s="52" t="str">
        <f t="shared" si="6"/>
        <v>N</v>
      </c>
      <c r="X67" s="177">
        <f t="shared" si="16"/>
        <v>1</v>
      </c>
      <c r="Y67" s="67">
        <f t="shared" si="7"/>
        <v>4.5499999999999999E-2</v>
      </c>
      <c r="Z67" s="67">
        <f t="shared" si="8"/>
        <v>23.33</v>
      </c>
      <c r="AA67" s="67">
        <f t="shared" si="9"/>
        <v>23.284499999999998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0"/>
        <v>0157-18</v>
      </c>
      <c r="AE67" s="91" t="str">
        <f t="shared" si="11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67" s="88" t="str">
        <f t="shared" si="12"/>
        <v>"C:\Program Files (x86)\AstroGrep\AstroGrep.exe" /spath="%USERPROFILE%\AppData\Local\Temp\OnboardLogs" /stypes="app*4016*20161118*" /stext=" 18:.+((SYSTEM_STATE.+slice.+state.+changed )|(ment ac)|(system.+state.+changed )|(\[timeout)|(PRM\|1\|D)|(kpr)|(kdp)|(\|lc)|(penalty))" /e /r /s</v>
      </c>
      <c r="AG67" s="1" t="str">
        <f t="shared" si="13"/>
        <v>EC</v>
      </c>
      <c r="AH67" s="92" t="str">
        <f t="shared" si="14"/>
        <v>"%USERPROFILE%\Documents\GitHub\eaglep3\Utilities\RefineRTDCRunTimes.py" --tripid 157-18 --locoid 4016 --swversion DE.1.0.8.0 --startMP 204:455 --initTime 2016-11-18T10:35:40 --startdatetime 2016-11-18T10:45:31 --delay 6 --endMP 204:233300 --enddatetime 2016-11-18T11:20:21 --enforcementcount 0 &gt;&gt;C:\Users\stu\Documents\GitHub\eaglep3-reporting\EC\2016-11-18-refined-times.txt</v>
      </c>
      <c r="AI67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{"issue":{"subject":"","project_id":79,"tracker_id":40,"status_id":1,"priority_id":2,"assigned_to_id":23,"start_date":"2016-11-18","description":"","custom_fields":[{"id":1,"name":"Subdivision","value":"EC"},{"id":4,"name":"Milepost","value":"23.33"},{"id":17,"name":"Train ID","value":"157-18"},{"id":16,"name":"Locomotive ID","value":"4016"},{"id":130,"name":"Impact","value":""},{"id":150,"name":"Time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541</v>
      </c>
      <c r="B68" s="7">
        <v>4015</v>
      </c>
      <c r="C68" s="22" t="s">
        <v>218</v>
      </c>
      <c r="D68" s="22" t="s">
        <v>318</v>
      </c>
      <c r="E68" s="13">
        <v>42692.479247685187</v>
      </c>
      <c r="F68" s="13">
        <v>42692.487118055556</v>
      </c>
      <c r="G68" s="7">
        <v>1</v>
      </c>
      <c r="H68" s="22" t="s">
        <v>266</v>
      </c>
      <c r="I68" s="13">
        <v>42692.513599537036</v>
      </c>
      <c r="J68" s="7">
        <v>0</v>
      </c>
      <c r="K68" s="109" t="str">
        <f t="shared" si="0"/>
        <v>4015/4016</v>
      </c>
      <c r="L68" s="22" t="str">
        <f>VLOOKUP(A68,'Trips&amp;Operators'!$C$1:$E$10000,3,FALSE)</f>
        <v>SAFIEF</v>
      </c>
      <c r="M68" s="6">
        <f t="shared" si="1"/>
        <v>2.6481481480004732E-2</v>
      </c>
      <c r="N68" s="7">
        <f t="shared" si="2"/>
        <v>38.133333331206813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10:30:07-700',mode:absolute,to:'2016-11-18 13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8" s="52" t="str">
        <f t="shared" si="6"/>
        <v>N</v>
      </c>
      <c r="X68" s="177">
        <f t="shared" si="16"/>
        <v>1</v>
      </c>
      <c r="Y68" s="67">
        <f t="shared" si="7"/>
        <v>23.299800000000001</v>
      </c>
      <c r="Z68" s="67">
        <f t="shared" si="8"/>
        <v>1.54E-2</v>
      </c>
      <c r="AA68" s="67">
        <f t="shared" si="9"/>
        <v>23.284400000000002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0"/>
        <v>0158-18</v>
      </c>
      <c r="AE68" s="91" t="str">
        <f t="shared" si="11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68" s="88" t="str">
        <f t="shared" si="12"/>
        <v>"C:\Program Files (x86)\AstroGrep\AstroGrep.exe" /spath="%USERPROFILE%\AppData\Local\Temp\OnboardLogs" /stypes="app*4015*20161118*" /stext=" 19:.+((SYSTEM_STATE.+slice.+state.+changed )|(ment ac)|(system.+state.+changed )|(\[timeout)|(PRM\|1\|D)|(kpr)|(kdp)|(\|lc)|(penalty))" /e /r /s</v>
      </c>
      <c r="AG68" s="1" t="str">
        <f t="shared" si="13"/>
        <v>EC</v>
      </c>
      <c r="AH68" s="92" t="str">
        <f t="shared" si="14"/>
        <v>"%USERPROFILE%\Documents\GitHub\eaglep3\Utilities\RefineRTDCRunTimes.py" --tripid 158-18 --locoid 4015 --swversion DE.1.0.8.0 --startMP 204:232998 --initTime 2016-11-18T11:30:07 --startdatetime 2016-11-18T11:41:27 --delay 1 --endMP 204:154 --enddatetime 2016-11-18T12:19:35 --enforcementcount 0 &gt;&gt;C:\Users\stu\Documents\GitHub\eaglep3-reporting\EC\2016-11-18-refined-times.txt</v>
      </c>
      <c r="AI68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{"issue":{"subject":"","project_id":79,"tracker_id":40,"status_id":1,"priority_id":2,"assigned_to_id":23,"start_date":"2016-11-18","description":"","custom_fields":[{"id":1,"name":"Subdivision","value":"EC"},{"id":4,"name":"Milepost","value":"0.0154"},{"id":17,"name":"Train ID","value":"158-18"},{"id":16,"name":"Locomotive ID","value":"4015"},{"id":130,"name":"Impact","value":""},{"id":150,"name":"Time of Event (Mountain Time)","value":"12:19:35"},{"id":151,"name":"Denver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531</v>
      </c>
      <c r="B69" s="7">
        <v>4029</v>
      </c>
      <c r="C69" s="22" t="s">
        <v>218</v>
      </c>
      <c r="D69" s="22" t="s">
        <v>295</v>
      </c>
      <c r="E69" s="13">
        <v>42692.454976851855</v>
      </c>
      <c r="F69" s="13">
        <v>42692.458796296298</v>
      </c>
      <c r="G69" s="7">
        <v>2</v>
      </c>
      <c r="H69" s="22" t="s">
        <v>187</v>
      </c>
      <c r="I69" s="13">
        <v>42692.483865740738</v>
      </c>
      <c r="J69" s="7">
        <v>0</v>
      </c>
      <c r="K69" s="109" t="str">
        <f t="shared" si="0"/>
        <v>4029/4030</v>
      </c>
      <c r="L69" s="22" t="str">
        <f>VLOOKUP(A69,'Trips&amp;Operators'!$C$1:$E$10000,3,FALSE)</f>
        <v>STEWART</v>
      </c>
      <c r="M69" s="6">
        <f t="shared" si="1"/>
        <v>2.5069444440305233E-2</v>
      </c>
      <c r="N69" s="7">
        <f t="shared" si="2"/>
        <v>36.099999994039536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09:55:10-700',mode:absolute,to:'2016-11-18 12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9" s="52" t="str">
        <f t="shared" si="6"/>
        <v>N</v>
      </c>
      <c r="X69" s="177">
        <f t="shared" si="16"/>
        <v>1</v>
      </c>
      <c r="Y69" s="67">
        <f t="shared" si="7"/>
        <v>4.3999999999999997E-2</v>
      </c>
      <c r="Z69" s="67">
        <f t="shared" si="8"/>
        <v>23.329699999999999</v>
      </c>
      <c r="AA69" s="67">
        <f t="shared" si="9"/>
        <v>23.285699999999999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0"/>
        <v>0159-18</v>
      </c>
      <c r="AE69" s="91" t="str">
        <f t="shared" si="11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69" s="88" t="str">
        <f t="shared" si="12"/>
        <v>"C:\Program Files (x86)\AstroGrep\AstroGrep.exe" /spath="%USERPROFILE%\AppData\Local\Temp\OnboardLogs" /stypes="app*4029*20161118*" /stext=" 18:.+((SYSTEM_STATE.+slice.+state.+changed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14"/>
        <v>"%USERPROFILE%\Documents\GitHub\eaglep3\Utilities\RefineRTDCRunTimes.py" --tripid 159-18 --locoid 4029 --swversion DE.1.0.8.0 --startMP 204:440 --initTime 2016-11-18T10:55:10 --startdatetime 2016-11-18T11:00:40 --delay 2 --endMP 204:233297 --enddatetime 2016-11-18T11:36:46 --enforcementcount 0 &gt;&gt;C:\Users\stu\Documents\GitHub\eaglep3-reporting\EC\2016-11-18-refined-times.txt</v>
      </c>
      <c r="AI69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{"issue":{"subject":"","project_id":79,"tracker_id":40,"status_id":1,"priority_id":2,"assigned_to_id":23,"start_date":"2016-11-18","description":"","custom_fields":[{"id":1,"name":"Subdivision","value":"EC"},{"id":4,"name":"Milepost","value":"23.3297"},{"id":17,"name":"Train ID","value":"159-18"},{"id":16,"name":"Locomotive ID","value":"4029"},{"id":130,"name":"Impact","value":""},{"id":150,"name":"Time of Event (Mountain Time)","value":"11:36:46"},{"id":151,"name":"Denver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545</v>
      </c>
      <c r="B70" s="7">
        <v>4030</v>
      </c>
      <c r="C70" s="22" t="s">
        <v>218</v>
      </c>
      <c r="D70" s="22" t="s">
        <v>350</v>
      </c>
      <c r="E70" s="13">
        <v>42692.49391203704</v>
      </c>
      <c r="F70" s="13">
        <v>42692.497557870367</v>
      </c>
      <c r="G70" s="7">
        <v>2</v>
      </c>
      <c r="H70" s="22" t="s">
        <v>230</v>
      </c>
      <c r="I70" s="13">
        <v>42692.524247685185</v>
      </c>
      <c r="J70" s="7">
        <v>0</v>
      </c>
      <c r="K70" s="109" t="str">
        <f t="shared" si="0"/>
        <v>4029/4030</v>
      </c>
      <c r="L70" s="22" t="str">
        <f>VLOOKUP(A70,'Trips&amp;Operators'!$C$1:$E$10000,3,FALSE)</f>
        <v>STEWART</v>
      </c>
      <c r="M70" s="6">
        <f t="shared" si="1"/>
        <v>2.6689814818382729E-2</v>
      </c>
      <c r="N70" s="7">
        <f t="shared" si="2"/>
        <v>38.43333333847113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10:51:14-700',mode:absolute,to:'2016-11-18 13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0" s="52" t="str">
        <f t="shared" si="6"/>
        <v>N</v>
      </c>
      <c r="X70" s="177">
        <f t="shared" si="16"/>
        <v>1</v>
      </c>
      <c r="Y70" s="67">
        <f t="shared" si="7"/>
        <v>23.297799999999999</v>
      </c>
      <c r="Z70" s="67">
        <f t="shared" si="8"/>
        <v>1.6E-2</v>
      </c>
      <c r="AA70" s="67">
        <f t="shared" si="9"/>
        <v>23.2818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0"/>
        <v>0160-18</v>
      </c>
      <c r="AE70" s="91" t="str">
        <f t="shared" si="11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70" s="88" t="str">
        <f t="shared" si="12"/>
        <v>"C:\Program Files (x86)\AstroGrep\AstroGrep.exe" /spath="%USERPROFILE%\AppData\Local\Temp\OnboardLogs" /stypes="app*4030*20161118*" /stext=" 19:.+((SYSTEM_STATE.+slice.+state.+changed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14"/>
        <v>"%USERPROFILE%\Documents\GitHub\eaglep3\Utilities\RefineRTDCRunTimes.py" --tripid 160-18 --locoid 4030 --swversion DE.1.0.8.0 --startMP 204:232978 --initTime 2016-11-18T11:51:14 --startdatetime 2016-11-18T11:56:29 --delay 2 --endMP 204:160 --enddatetime 2016-11-18T12:34:55 --enforcementcount 0 &gt;&gt;C:\Users\stu\Documents\GitHub\eaglep3-reporting\EC\2016-11-18-refined-times.txt</v>
      </c>
      <c r="AI70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{"issue":{"subject":"","project_id":79,"tracker_id":40,"status_id":1,"priority_id":2,"assigned_to_id":23,"start_date":"2016-11-18","description":"","custom_fields":[{"id":1,"name":"Subdivision","value":"EC"},{"id":4,"name":"Milepost","value":"0.016"},{"id":17,"name":"Train ID","value":"160-18"},{"id":16,"name":"Locomotive ID","value":"4030"},{"id":130,"name":"Impact","value":""},{"id":150,"name":"Time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534</v>
      </c>
      <c r="B71" s="7">
        <v>4042</v>
      </c>
      <c r="C71" s="22" t="s">
        <v>218</v>
      </c>
      <c r="D71" s="22" t="s">
        <v>201</v>
      </c>
      <c r="E71" s="13">
        <v>42692.463645833333</v>
      </c>
      <c r="F71" s="13">
        <v>42692.468946759262</v>
      </c>
      <c r="G71" s="7">
        <v>1</v>
      </c>
      <c r="H71" s="22" t="s">
        <v>687</v>
      </c>
      <c r="I71" s="13">
        <v>42692.494386574072</v>
      </c>
      <c r="J71" s="7">
        <v>0</v>
      </c>
      <c r="K71" s="109" t="str">
        <f t="shared" si="0"/>
        <v>4041/4042</v>
      </c>
      <c r="L71" s="22" t="str">
        <f>VLOOKUP(A71,'Trips&amp;Operators'!$C$1:$E$10000,3,FALSE)</f>
        <v>CLARK</v>
      </c>
      <c r="M71" s="6">
        <f t="shared" si="1"/>
        <v>2.5439814809942618E-2</v>
      </c>
      <c r="N71" s="7">
        <f t="shared" si="2"/>
        <v>36.63333332631737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10:07:39-700',mode:absolute,to:'2016-11-18 12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1" s="52" t="str">
        <f t="shared" si="6"/>
        <v>N</v>
      </c>
      <c r="X71" s="177">
        <f t="shared" si="16"/>
        <v>1</v>
      </c>
      <c r="Y71" s="67">
        <f t="shared" si="7"/>
        <v>4.5100000000000001E-2</v>
      </c>
      <c r="Z71" s="67">
        <f t="shared" si="8"/>
        <v>23.328299999999999</v>
      </c>
      <c r="AA71" s="67">
        <f t="shared" si="9"/>
        <v>23.283199999999997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0"/>
        <v>0161-18</v>
      </c>
      <c r="AE71" s="91" t="str">
        <f t="shared" si="11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71" s="88" t="str">
        <f t="shared" si="12"/>
        <v>"C:\Program Files (x86)\AstroGrep\AstroGrep.exe" /spath="%USERPROFILE%\AppData\Local\Temp\OnboardLogs" /stypes="app*4042*20161118*" /stext=" 18:.+((SYSTEM_STATE.+slice.+state.+changed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14"/>
        <v>"%USERPROFILE%\Documents\GitHub\eaglep3\Utilities\RefineRTDCRunTimes.py" --tripid 161-18 --locoid 4042 --swversion DE.1.0.8.0 --startMP 204:451 --initTime 2016-11-18T11:07:39 --startdatetime 2016-11-18T11:15:17 --delay 1 --endMP 204:233283 --enddatetime 2016-11-18T11:51:55 --enforcementcount 0 &gt;&gt;C:\Users\stu\Documents\GitHub\eaglep3-reporting\EC\2016-11-18-refined-times.txt</v>
      </c>
      <c r="AI71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{"issue":{"subject":"","project_id":79,"tracker_id":40,"status_id":1,"priority_id":2,"assigned_to_id":23,"start_date":"2016-11-18","description":"","custom_fields":[{"id":1,"name":"Subdivision","value":"EC"},{"id":4,"name":"Milepost","value":"23.3283"},{"id":17,"name":"Train ID","value":"161-18"},{"id":16,"name":"Locomotive ID","value":"4042"},{"id":130,"name":"Impact","value":""},{"id":150,"name":"Time of Event (Mountain Time)","value":"11:51:55"},{"id":151,"name":"Denver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547</v>
      </c>
      <c r="B72" s="7">
        <v>4041</v>
      </c>
      <c r="C72" s="22" t="s">
        <v>218</v>
      </c>
      <c r="D72" s="22" t="s">
        <v>688</v>
      </c>
      <c r="E72" s="13">
        <v>42692.500740740739</v>
      </c>
      <c r="F72" s="13">
        <v>42692.507824074077</v>
      </c>
      <c r="G72" s="7">
        <v>1</v>
      </c>
      <c r="H72" s="22" t="s">
        <v>175</v>
      </c>
      <c r="I72" s="13">
        <v>42692.537175925929</v>
      </c>
      <c r="J72" s="7">
        <v>0</v>
      </c>
      <c r="K72" s="109" t="str">
        <f t="shared" si="0"/>
        <v>4041/4042</v>
      </c>
      <c r="L72" s="22" t="str">
        <f>VLOOKUP(A72,'Trips&amp;Operators'!$C$1:$E$10000,3,FALSE)</f>
        <v>CLARK</v>
      </c>
      <c r="M72" s="6">
        <f t="shared" si="1"/>
        <v>2.9351851851970423E-2</v>
      </c>
      <c r="N72" s="7">
        <f t="shared" si="2"/>
        <v>42.266666666837409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11:01:04-700',mode:absolute,to:'2016-11-18 13:53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52" t="str">
        <f t="shared" si="6"/>
        <v>N</v>
      </c>
      <c r="X72" s="177">
        <f t="shared" si="16"/>
        <v>1</v>
      </c>
      <c r="Y72" s="67">
        <f t="shared" si="7"/>
        <v>23.295100000000001</v>
      </c>
      <c r="Z72" s="67">
        <f t="shared" si="8"/>
        <v>1.52E-2</v>
      </c>
      <c r="AA72" s="67">
        <f t="shared" si="9"/>
        <v>23.279900000000001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0"/>
        <v>0162-18</v>
      </c>
      <c r="AE72" s="91" t="str">
        <f t="shared" si="11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72" s="88" t="str">
        <f t="shared" si="12"/>
        <v>"C:\Program Files (x86)\AstroGrep\AstroGrep.exe" /spath="%USERPROFILE%\AppData\Local\Temp\OnboardLogs" /stypes="app*4041*20161118*" /stext=" 19:.+((SYSTEM_STATE.+slice.+state.+changed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14"/>
        <v>"%USERPROFILE%\Documents\GitHub\eaglep3\Utilities\RefineRTDCRunTimes.py" --tripid 162-18 --locoid 4041 --swversion DE.1.0.8.0 --startMP 204:232951 --initTime 2016-11-18T12:01:04 --startdatetime 2016-11-18T12:11:16 --delay 1 --endMP 204:152 --enddatetime 2016-11-18T12:53:32 --enforcementcount 0 &gt;&gt;C:\Users\stu\Documents\GitHub\eaglep3-reporting\EC\2016-11-18-refined-times.txt</v>
      </c>
      <c r="AI72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{"issue":{"subject":"","project_id":79,"tracker_id":40,"status_id":1,"priority_id":2,"assigned_to_id":23,"start_date":"2016-11-18","description":"","custom_fields":[{"id":1,"name":"Subdivision","value":"EC"},{"id":4,"name":"Milepost","value":"0.0152"},{"id":17,"name":"Train ID","value":"162-18"},{"id":16,"name":"Locomotive ID","value":"4041"},{"id":130,"name":"Impact","value":""},{"id":150,"name":"Time of Event (Mountain Time)","value":"12:53:32"},{"id":151,"name":"Denver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540</v>
      </c>
      <c r="B73" s="7">
        <v>4018</v>
      </c>
      <c r="C73" s="22" t="s">
        <v>218</v>
      </c>
      <c r="D73" s="22" t="s">
        <v>199</v>
      </c>
      <c r="E73" s="13">
        <v>42692.474861111114</v>
      </c>
      <c r="F73" s="13">
        <v>42692.479409722226</v>
      </c>
      <c r="G73" s="7">
        <v>1</v>
      </c>
      <c r="H73" s="22" t="s">
        <v>401</v>
      </c>
      <c r="I73" s="13">
        <v>42692.504502314812</v>
      </c>
      <c r="J73" s="7">
        <v>0</v>
      </c>
      <c r="K73" s="109" t="str">
        <f t="shared" si="0"/>
        <v>4017/4018</v>
      </c>
      <c r="L73" s="22" t="str">
        <f>VLOOKUP(A73,'Trips&amp;Operators'!$C$1:$E$10000,3,FALSE)</f>
        <v>BONDS</v>
      </c>
      <c r="M73" s="6">
        <f t="shared" si="1"/>
        <v>2.509259258658858E-2</v>
      </c>
      <c r="N73" s="7">
        <f t="shared" si="2"/>
        <v>36.133333324687555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https://search-rtdc-monitor-bjffxe2xuh6vdkpspy63sjmuny.us-east-1.es.amazonaws.com/_plugin/kibana/#/discover/Steve-Slow-Train-Analysis-(2080s-and-2083s)?_g=(refreshInterval:(display:Off,section:0,value:0),time:(from:'2016-11-18 10:23:48-700',mode:absolute,to:'2016-11-18 13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3" s="52" t="str">
        <f t="shared" si="6"/>
        <v>N</v>
      </c>
      <c r="X73" s="177">
        <f t="shared" si="16"/>
        <v>1</v>
      </c>
      <c r="Y73" s="67">
        <f t="shared" si="7"/>
        <v>4.53E-2</v>
      </c>
      <c r="Z73" s="67">
        <f t="shared" si="8"/>
        <v>23.331600000000002</v>
      </c>
      <c r="AA73" s="67">
        <f t="shared" si="9"/>
        <v>23.286300000000001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0"/>
        <v>0163-18</v>
      </c>
      <c r="AE73" s="91" t="str">
        <f t="shared" si="11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73" s="88" t="str">
        <f t="shared" si="12"/>
        <v>"C:\Program Files (x86)\AstroGrep\AstroGrep.exe" /spath="%USERPROFILE%\AppData\Local\Temp\OnboardLogs" /stypes="app*4018*20161118*" /stext=" 19:.+((SYSTEM_STATE.+slice.+state.+changed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14"/>
        <v>"%USERPROFILE%\Documents\GitHub\eaglep3\Utilities\RefineRTDCRunTimes.py" --tripid 163-18 --locoid 4018 --swversion DE.1.0.8.0 --startMP 204:453 --initTime 2016-11-18T11:23:48 --startdatetime 2016-11-18T11:30:21 --delay 1 --endMP 204:233316 --enddatetime 2016-11-18T12:06:29 --enforcementcount 0 &gt;&gt;C:\Users\stu\Documents\GitHub\eaglep3-reporting\EC\2016-11-18-refined-times.txt</v>
      </c>
      <c r="AI73" s="119" t="str">
        <f t="shared" si="15"/>
        <v>echo {"issue":{"subject":"","project_id":79,"tracker_id":40,"status_id":1,"priority_id":2,"assigned_to_id":23,"start_date":"2016-11-18","description":"","custom_fields":[{"id":1,"name":"Subdivision","value":"EC"},{"id":4,"name":"Milepost","value":"23.3316"},{"id":17,"name":"Train ID","value":"163-18"},{"id":16,"name":"Locomotive ID","value":"4018"},{"id":130,"name":"Impact","value":""},{"id":150,"name":"Time of Event (Mountain Time)","value":"12:06:29"},{"id":151,"name":"Denver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550</v>
      </c>
      <c r="B74" s="7">
        <v>4017</v>
      </c>
      <c r="C74" s="22" t="s">
        <v>218</v>
      </c>
      <c r="D74" s="22" t="s">
        <v>283</v>
      </c>
      <c r="E74" s="13">
        <v>42692.513136574074</v>
      </c>
      <c r="F74" s="13">
        <v>42692.518287037034</v>
      </c>
      <c r="G74" s="7">
        <v>1</v>
      </c>
      <c r="H74" s="22" t="s">
        <v>689</v>
      </c>
      <c r="I74" s="13">
        <v>42692.544340277775</v>
      </c>
      <c r="J74" s="7">
        <v>0</v>
      </c>
      <c r="K74" s="109" t="str">
        <f t="shared" ref="K74:K136" si="17">IF(ISEVEN(B74),(B74-1)&amp;"/"&amp;B74,B74&amp;"/"&amp;(B74+1))</f>
        <v>4017/4018</v>
      </c>
      <c r="L74" s="22" t="str">
        <f>VLOOKUP(A74,'Trips&amp;Operators'!$C$1:$E$10000,3,FALSE)</f>
        <v>BONDS</v>
      </c>
      <c r="M74" s="6">
        <f t="shared" ref="M74:M136" si="18">I74-F74</f>
        <v>2.6053240741021E-2</v>
      </c>
      <c r="N74" s="7">
        <f t="shared" ref="N74:N136" si="19">24*60*SUM($M74:$M74)</f>
        <v>37.51666666707024</v>
      </c>
      <c r="O74" s="7"/>
      <c r="P74" s="7"/>
      <c r="Q74" s="23"/>
      <c r="R74" s="23"/>
      <c r="S74" s="35">
        <f t="shared" ref="S74:S136" si="20">SUM(U74:U74)/IF(AG74="EC",12,1)</f>
        <v>1</v>
      </c>
      <c r="T74" s="50" t="str">
        <f t="shared" ref="T74:T136" si="21"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ref="V74:V136" si="22"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https://search-rtdc-monitor-bjffxe2xuh6vdkpspy63sjmuny.us-east-1.es.amazonaws.com/_plugin/kibana/#/discover/Steve-Slow-Train-Analysis-(2080s-and-2083s)?_g=(refreshInterval:(display:Off,section:0,value:0),time:(from:'2016-11-18 11:18:55-700',mode:absolute,to:'2016-11-18 14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4" s="52" t="str">
        <f t="shared" ref="W74:W136" si="23">IF(AA74&lt;IF(AG74="EC",23,5.65),"Y","N")</f>
        <v>N</v>
      </c>
      <c r="X74" s="177">
        <f t="shared" si="16"/>
        <v>1</v>
      </c>
      <c r="Y74" s="67">
        <f t="shared" ref="Y74:Y136" si="24">RIGHT(D74,LEN(D74)-4)/10000</f>
        <v>23.3</v>
      </c>
      <c r="Z74" s="67">
        <f t="shared" ref="Z74:Z136" si="25">RIGHT(H74,LEN(H74)-4)/10000</f>
        <v>1.3599999999999999E-2</v>
      </c>
      <c r="AA74" s="67">
        <f t="shared" ref="AA74:AA136" si="26">ABS(Z74-Y74)</f>
        <v>23.2864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ref="AD74:AD136" si="27">IF(LEN(A74)=6,"0"&amp;A74,A74)</f>
        <v>0164-18</v>
      </c>
      <c r="AE74" s="91" t="str">
        <f t="shared" ref="AE74:AE136" si="28"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74" s="88" t="str">
        <f t="shared" ref="AF74:AF136" si="29"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/stypes="app*4017*20161118*" /stext=" 20:.+((SYSTEM_STATE.+slice.+state.+changed )|(ment ac)|(system.+state.+changed )|(\[timeout)|(PRM\|1\|D)|(kpr)|(kdp)|(\|lc)|(penalty))" /e /r /s</v>
      </c>
      <c r="AG74" s="1" t="str">
        <f t="shared" ref="AG74:AG136" si="30">IFERROR(IF(VALUE(LEFT(AD74,2))&lt;=2,"EC",IF(OR(VALUE(LEFT(AD74,2))=8,VALUE(LEFT(AD74,2))=18),"NW","Other")),"Other")</f>
        <v>EC</v>
      </c>
      <c r="AH74" s="92" t="str">
        <f t="shared" ref="AH74:AH137" si="31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164-18 --locoid 4017 --swversion DE.1.0.8.0 --startMP 204:233000 --initTime 2016-11-18T12:18:55 --startdatetime 2016-11-18T12:26:20 --delay 1 --endMP 204:136 --enddatetime 2016-11-18T13:03:51 --enforcementcount 0 &gt;&gt;C:\Users\stu\Documents\GitHub\eaglep3-reporting\EC\2016-11-18-refined-times.txt</v>
      </c>
      <c r="AI74" s="119" t="str">
        <f t="shared" ref="AI74:AI137" si="32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{"issue":{"subject":"","project_id":79,"tracker_id":40,"status_id":1,"priority_id":2,"assigned_to_id":23,"start_date":"2016-11-18","description":"","custom_fields":[{"id":1,"name":"Subdivision","value":"EC"},{"id":4,"name":"Milepost","value":"0.0136"},{"id":17,"name":"Train ID","value":"164-18"},{"id":16,"name":"Locomotive ID","value":"4017"},{"id":130,"name":"Impact","value":""},{"id":150,"name":"Time of Event (Mountain Time)","value":"13:03:51"},{"id":151,"name":"Denver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544</v>
      </c>
      <c r="B75" s="7">
        <v>4011</v>
      </c>
      <c r="C75" s="22" t="s">
        <v>218</v>
      </c>
      <c r="D75" s="22" t="s">
        <v>690</v>
      </c>
      <c r="E75" s="13">
        <v>42692.486967592595</v>
      </c>
      <c r="F75" s="13">
        <v>42692.49019675926</v>
      </c>
      <c r="G75" s="7">
        <v>3</v>
      </c>
      <c r="H75" s="22" t="s">
        <v>275</v>
      </c>
      <c r="I75" s="13">
        <v>42692.515972222223</v>
      </c>
      <c r="J75" s="7">
        <v>0</v>
      </c>
      <c r="K75" s="109" t="str">
        <f t="shared" si="17"/>
        <v>4011/4012</v>
      </c>
      <c r="L75" s="22" t="str">
        <f>VLOOKUP(A75,'Trips&amp;Operators'!$C$1:$E$10000,3,FALSE)</f>
        <v>JOHNSON</v>
      </c>
      <c r="M75" s="6">
        <f t="shared" si="18"/>
        <v>2.5775462963792961E-2</v>
      </c>
      <c r="N75" s="7">
        <f t="shared" si="19"/>
        <v>37.116666667861864</v>
      </c>
      <c r="O75" s="7"/>
      <c r="P75" s="7"/>
      <c r="Q75" s="23"/>
      <c r="R75" s="23"/>
      <c r="S75" s="35">
        <f t="shared" si="20"/>
        <v>1</v>
      </c>
      <c r="T75" s="50" t="str">
        <f t="shared" si="21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10:41:14-700',mode:absolute,to:'2016-11-18 13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23"/>
        <v>N</v>
      </c>
      <c r="X75" s="177">
        <f t="shared" si="16"/>
        <v>1</v>
      </c>
      <c r="Y75" s="67">
        <f t="shared" si="24"/>
        <v>4.7800000000000002E-2</v>
      </c>
      <c r="Z75" s="67">
        <f t="shared" si="25"/>
        <v>23.331499999999998</v>
      </c>
      <c r="AA75" s="67">
        <f t="shared" si="26"/>
        <v>23.2837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27"/>
        <v>0165-18</v>
      </c>
      <c r="AE75" s="91" t="str">
        <f t="shared" si="28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75" s="88" t="str">
        <f t="shared" si="29"/>
        <v>"C:\Program Files (x86)\AstroGrep\AstroGrep.exe" /spath="%USERPROFILE%\AppData\Local\Temp\OnboardLogs" /stypes="app*4011*20161118*" /stext=" 19:.+((SYSTEM_STATE.+slice.+state.+changed )|(ment ac)|(system.+state.+changed )|(\[timeout)|(PRM\|1\|D)|(kpr)|(kdp)|(\|lc)|(penalty))" /e /r /s</v>
      </c>
      <c r="AG75" s="1" t="str">
        <f t="shared" si="30"/>
        <v>EC</v>
      </c>
      <c r="AH75" s="92" t="str">
        <f t="shared" si="31"/>
        <v>"%USERPROFILE%\Documents\GitHub\eaglep3\Utilities\RefineRTDCRunTimes.py" --tripid 165-18 --locoid 4011 --swversion DE.1.0.8.0 --startMP 204:478 --initTime 2016-11-18T11:41:14 --startdatetime 2016-11-18T11:45:53 --delay 3 --endMP 204:233315 --enddatetime 2016-11-18T12:23:00 --enforcementcount 0 &gt;&gt;C:\Users\stu\Documents\GitHub\eaglep3-reporting\EC\2016-11-18-refined-times.txt</v>
      </c>
      <c r="AI7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{"issue":{"subject":"","project_id":79,"tracker_id":40,"status_id":1,"priority_id":2,"assigned_to_id":23,"start_date":"2016-11-18","description":"","custom_fields":[{"id":1,"name":"Subdivision","value":"EC"},{"id":4,"name":"Milepost","value":"23.3315"},{"id":17,"name":"Train ID","value":"165-18"},{"id":16,"name":"Locomotive ID","value":"4011"},{"id":130,"name":"Impact","value":""},{"id":150,"name":"Time of Event (Mountain Time)","value":"12:23:00"},{"id":151,"name":"Denver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552</v>
      </c>
      <c r="B76" s="7">
        <v>4012</v>
      </c>
      <c r="C76" s="22" t="s">
        <v>218</v>
      </c>
      <c r="D76" s="22" t="s">
        <v>691</v>
      </c>
      <c r="E76" s="13">
        <v>42692.523460648146</v>
      </c>
      <c r="F76" s="13">
        <v>42692.528877314813</v>
      </c>
      <c r="G76" s="7">
        <v>2</v>
      </c>
      <c r="H76" s="22" t="s">
        <v>663</v>
      </c>
      <c r="I76" s="13">
        <v>42692.555335648147</v>
      </c>
      <c r="J76" s="7">
        <v>0</v>
      </c>
      <c r="K76" s="109" t="str">
        <f t="shared" si="17"/>
        <v>4011/4012</v>
      </c>
      <c r="L76" s="22" t="str">
        <f>VLOOKUP(A76,'Trips&amp;Operators'!$C$1:$E$10000,3,FALSE)</f>
        <v>JOHNSON</v>
      </c>
      <c r="M76" s="6">
        <f t="shared" si="18"/>
        <v>2.6458333333721384E-2</v>
      </c>
      <c r="N76" s="7">
        <f t="shared" si="19"/>
        <v>38.100000000558794</v>
      </c>
      <c r="O76" s="7"/>
      <c r="P76" s="7"/>
      <c r="Q76" s="23"/>
      <c r="R76" s="23"/>
      <c r="S76" s="35">
        <f t="shared" si="20"/>
        <v>1</v>
      </c>
      <c r="T76" s="50" t="str">
        <f t="shared" si="21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11:33:47-700',mode:absolute,to:'2016-11-18 14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23"/>
        <v>N</v>
      </c>
      <c r="X76" s="177">
        <f t="shared" ref="X76" si="33">VALUE(LEFT(AD76,4))-VALUE(LEFT(AD75,4))</f>
        <v>1</v>
      </c>
      <c r="Y76" s="67">
        <f t="shared" si="24"/>
        <v>23.300799999999999</v>
      </c>
      <c r="Z76" s="67">
        <f t="shared" si="25"/>
        <v>1.61E-2</v>
      </c>
      <c r="AA76" s="67">
        <f t="shared" si="26"/>
        <v>23.284699999999997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27"/>
        <v>0166-18</v>
      </c>
      <c r="AE76" s="91" t="str">
        <f t="shared" si="28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76" s="88" t="str">
        <f t="shared" si="29"/>
        <v>"C:\Program Files (x86)\AstroGrep\AstroGrep.exe" /spath="%USERPROFILE%\AppData\Local\Temp\OnboardLogs" /stypes="app*4012*20161118*" /stext=" 20:.+((SYSTEM_STATE.+slice.+state.+changed )|(ment ac)|(system.+state.+changed )|(\[timeout)|(PRM\|1\|D)|(kpr)|(kdp)|(\|lc)|(penalty))" /e /r /s</v>
      </c>
      <c r="AG76" s="1" t="str">
        <f t="shared" si="30"/>
        <v>EC</v>
      </c>
      <c r="AH76" s="92" t="str">
        <f t="shared" si="31"/>
        <v>"%USERPROFILE%\Documents\GitHub\eaglep3\Utilities\RefineRTDCRunTimes.py" --tripid 166-18 --locoid 4012 --swversion DE.1.0.8.0 --startMP 204:233008 --initTime 2016-11-18T12:33:47 --startdatetime 2016-11-18T12:41:35 --delay 2 --endMP 204:161 --enddatetime 2016-11-18T13:19:41 --enforcementcount 0 &gt;&gt;C:\Users\stu\Documents\GitHub\eaglep3-reporting\EC\2016-11-18-refined-times.txt</v>
      </c>
      <c r="AI7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{"issue":{"subject":"","project_id":79,"tracker_id":40,"status_id":1,"priority_id":2,"assigned_to_id":23,"start_date":"2016-11-18","description":"","custom_fields":[{"id":1,"name":"Subdivision","value":"EC"},{"id":4,"name":"Milepost","value":"0.0161"},{"id":17,"name":"Train ID","value":"166-18"},{"id":16,"name":"Locomotive ID","value":"4012"},{"id":130,"name":"Impact","value":""},{"id":150,"name":"Time of Event (Mountain Time)","value":"13:19:41"},{"id":151,"name":"Denver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546</v>
      </c>
      <c r="B77" s="7">
        <v>4025</v>
      </c>
      <c r="C77" s="22" t="s">
        <v>218</v>
      </c>
      <c r="D77" s="22" t="s">
        <v>692</v>
      </c>
      <c r="E77" s="13">
        <v>42692.494560185187</v>
      </c>
      <c r="F77" s="13">
        <v>42692.500185185185</v>
      </c>
      <c r="G77" s="7">
        <v>3</v>
      </c>
      <c r="H77" s="22" t="s">
        <v>693</v>
      </c>
      <c r="I77" s="13">
        <v>42692.524872685186</v>
      </c>
      <c r="J77" s="7">
        <v>0</v>
      </c>
      <c r="K77" s="109" t="str">
        <f t="shared" si="17"/>
        <v>4025/4026</v>
      </c>
      <c r="L77" s="22" t="str">
        <f>VLOOKUP(A77,'Trips&amp;Operators'!$C$1:$E$10000,3,FALSE)</f>
        <v>HILLS</v>
      </c>
      <c r="M77" s="6">
        <f t="shared" si="18"/>
        <v>2.4687500001164153E-2</v>
      </c>
      <c r="N77" s="7">
        <f t="shared" si="19"/>
        <v>35.550000001676381</v>
      </c>
      <c r="O77" s="7"/>
      <c r="P77" s="7"/>
      <c r="Q77" s="23"/>
      <c r="R77" s="23"/>
      <c r="S77" s="35">
        <f t="shared" si="20"/>
        <v>1</v>
      </c>
      <c r="T77" s="50" t="str">
        <f t="shared" si="21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10:52:10-700',mode:absolute,to:'2016-11-18 13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7" s="52" t="str">
        <f t="shared" si="23"/>
        <v>N</v>
      </c>
      <c r="X77" s="177">
        <f t="shared" ref="X77:X136" si="34">VALUE(LEFT(AD77,4))-VALUE(LEFT(AD76,4))</f>
        <v>1</v>
      </c>
      <c r="Y77" s="67">
        <f t="shared" si="24"/>
        <v>4.5999999999999999E-2</v>
      </c>
      <c r="Z77" s="67">
        <f t="shared" si="25"/>
        <v>23.339099999999998</v>
      </c>
      <c r="AA77" s="67">
        <f t="shared" si="26"/>
        <v>23.293099999999999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27"/>
        <v>0167-18</v>
      </c>
      <c r="AE77" s="91" t="str">
        <f t="shared" si="28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77" s="88" t="str">
        <f t="shared" si="29"/>
        <v>"C:\Program Files (x86)\AstroGrep\AstroGrep.exe" /spath="%USERPROFILE%\AppData\Local\Temp\OnboardLogs" /stypes="app*4025*20161118*" /stext=" 19:.+((SYSTEM_STATE.+slice.+state.+changed )|(ment ac)|(system.+state.+changed )|(\[timeout)|(PRM\|1\|D)|(kpr)|(kdp)|(\|lc)|(penalty))" /e /r /s</v>
      </c>
      <c r="AG77" s="1" t="str">
        <f t="shared" si="30"/>
        <v>EC</v>
      </c>
      <c r="AH77" s="92" t="str">
        <f t="shared" si="31"/>
        <v>"%USERPROFILE%\Documents\GitHub\eaglep3\Utilities\RefineRTDCRunTimes.py" --tripid 167-18 --locoid 4025 --swversion DE.1.0.8.0 --startMP 204:460 --initTime 2016-11-18T11:52:10 --startdatetime 2016-11-18T12:00:16 --delay 3 --endMP 204:233391 --enddatetime 2016-11-18T12:35:49 --enforcementcount 0 &gt;&gt;C:\Users\stu\Documents\GitHub\eaglep3-reporting\EC\2016-11-18-refined-times.txt</v>
      </c>
      <c r="AI7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{"issue":{"subject":"","project_id":79,"tracker_id":40,"status_id":1,"priority_id":2,"assigned_to_id":23,"start_date":"2016-11-18","description":"","custom_fields":[{"id":1,"name":"Subdivision","value":"EC"},{"id":4,"name":"Milepost","value":"23.3391"},{"id":17,"name":"Train ID","value":"167-18"},{"id":16,"name":"Locomotive ID","value":"4025"},{"id":130,"name":"Impact","value":""},{"id":150,"name":"Time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553</v>
      </c>
      <c r="B78" s="7">
        <v>4026</v>
      </c>
      <c r="C78" s="22" t="s">
        <v>218</v>
      </c>
      <c r="D78" s="22" t="s">
        <v>694</v>
      </c>
      <c r="E78" s="13">
        <v>42692.529907407406</v>
      </c>
      <c r="F78" s="13">
        <v>42692.539097222223</v>
      </c>
      <c r="G78" s="7">
        <v>1</v>
      </c>
      <c r="H78" s="22" t="s">
        <v>294</v>
      </c>
      <c r="I78" s="13">
        <v>42692.564953703702</v>
      </c>
      <c r="J78" s="7">
        <v>0</v>
      </c>
      <c r="K78" s="109" t="str">
        <f t="shared" si="17"/>
        <v>4025/4026</v>
      </c>
      <c r="L78" s="22" t="str">
        <f>VLOOKUP(A78,'Trips&amp;Operators'!$C$1:$E$10000,3,FALSE)</f>
        <v>HILLS</v>
      </c>
      <c r="M78" s="6">
        <f t="shared" si="18"/>
        <v>2.5856481479422655E-2</v>
      </c>
      <c r="N78" s="7">
        <f t="shared" si="19"/>
        <v>37.233333330368623</v>
      </c>
      <c r="O78" s="7"/>
      <c r="P78" s="7"/>
      <c r="Q78" s="23"/>
      <c r="R78" s="23"/>
      <c r="S78" s="35">
        <f t="shared" si="20"/>
        <v>1</v>
      </c>
      <c r="T78" s="50" t="str">
        <f t="shared" si="21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11:43:04-700',mode:absolute,to:'2016-11-18 14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8" s="52" t="str">
        <f t="shared" si="23"/>
        <v>N</v>
      </c>
      <c r="X78" s="177">
        <f t="shared" si="34"/>
        <v>1</v>
      </c>
      <c r="Y78" s="67">
        <f t="shared" si="24"/>
        <v>23.307600000000001</v>
      </c>
      <c r="Z78" s="67">
        <f t="shared" si="25"/>
        <v>1.32E-2</v>
      </c>
      <c r="AA78" s="67">
        <f t="shared" si="26"/>
        <v>23.2944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27"/>
        <v>0168-18</v>
      </c>
      <c r="AE78" s="91" t="str">
        <f t="shared" si="28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78" s="88" t="str">
        <f t="shared" si="29"/>
        <v>"C:\Program Files (x86)\AstroGrep\AstroGrep.exe" /spath="%USERPROFILE%\AppData\Local\Temp\OnboardLogs" /stypes="app*4026*20161118*" /stext=" 20:.+((SYSTEM_STATE.+slice.+state.+changed )|(ment ac)|(system.+state.+changed )|(\[timeout)|(PRM\|1\|D)|(kpr)|(kdp)|(\|lc)|(penalty))" /e /r /s</v>
      </c>
      <c r="AG78" s="1" t="str">
        <f t="shared" si="30"/>
        <v>EC</v>
      </c>
      <c r="AH78" s="92" t="str">
        <f t="shared" si="31"/>
        <v>"%USERPROFILE%\Documents\GitHub\eaglep3\Utilities\RefineRTDCRunTimes.py" --tripid 168-18 --locoid 4026 --swversion DE.1.0.8.0 --startMP 204:233076 --initTime 2016-11-18T12:43:04 --startdatetime 2016-11-18T12:56:18 --delay 1 --endMP 204:132 --enddatetime 2016-11-18T13:33:32 --enforcementcount 0 &gt;&gt;C:\Users\stu\Documents\GitHub\eaglep3-reporting\EC\2016-11-18-refined-times.txt</v>
      </c>
      <c r="AI7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{"issue":{"subject":"","project_id":79,"tracker_id":40,"status_id":1,"priority_id":2,"assigned_to_id":23,"start_date":"2016-11-18","description":"","custom_fields":[{"id":1,"name":"Subdivision","value":"EC"},{"id":4,"name":"Milepost","value":"0.0132"},{"id":17,"name":"Train ID","value":"168-18"},{"id":16,"name":"Locomotive ID","value":"4026"},{"id":130,"name":"Impact","value":""},{"id":150,"name":"Time of Event (Mountain Time)","value":"13:33:32"},{"id":151,"name":"Denver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548</v>
      </c>
      <c r="B79" s="7">
        <v>4046</v>
      </c>
      <c r="C79" s="22" t="s">
        <v>218</v>
      </c>
      <c r="D79" s="22" t="s">
        <v>246</v>
      </c>
      <c r="E79" s="13">
        <v>42692.506539351853</v>
      </c>
      <c r="F79" s="13">
        <v>42692.51059027778</v>
      </c>
      <c r="G79" s="7">
        <v>1</v>
      </c>
      <c r="H79" s="22" t="s">
        <v>414</v>
      </c>
      <c r="I79" s="13">
        <v>42692.536782407406</v>
      </c>
      <c r="J79" s="7">
        <v>0</v>
      </c>
      <c r="K79" s="109" t="str">
        <f t="shared" si="17"/>
        <v>4045/4046</v>
      </c>
      <c r="L79" s="22" t="str">
        <f>VLOOKUP(A79,'Trips&amp;Operators'!$C$1:$E$10000,3,FALSE)</f>
        <v>SHOOK</v>
      </c>
      <c r="M79" s="6">
        <f t="shared" si="18"/>
        <v>2.619212962599704E-2</v>
      </c>
      <c r="N79" s="7">
        <f t="shared" si="19"/>
        <v>37.716666661435738</v>
      </c>
      <c r="O79" s="7"/>
      <c r="P79" s="7"/>
      <c r="Q79" s="23"/>
      <c r="R79" s="23"/>
      <c r="S79" s="35">
        <f t="shared" si="20"/>
        <v>1</v>
      </c>
      <c r="T79" s="50" t="str">
        <f t="shared" si="21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11:09:25-700',mode:absolute,to:'2016-11-18 13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9" s="52" t="str">
        <f t="shared" si="23"/>
        <v>N</v>
      </c>
      <c r="X79" s="177">
        <f t="shared" si="34"/>
        <v>1</v>
      </c>
      <c r="Y79" s="67">
        <f t="shared" si="24"/>
        <v>4.8000000000000001E-2</v>
      </c>
      <c r="Z79" s="67">
        <f t="shared" si="25"/>
        <v>23.334599999999998</v>
      </c>
      <c r="AA79" s="67">
        <f t="shared" si="26"/>
        <v>23.2866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27"/>
        <v>0169-18</v>
      </c>
      <c r="AE79" s="91" t="str">
        <f t="shared" si="28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79" s="88" t="str">
        <f t="shared" si="29"/>
        <v>"C:\Program Files (x86)\AstroGrep\AstroGrep.exe" /spath="%USERPROFILE%\AppData\Local\Temp\OnboardLogs" /stypes="app*4046*20161118*" /stext=" 19:.+((SYSTEM_STATE.+slice.+state.+changed )|(ment ac)|(system.+state.+changed )|(\[timeout)|(PRM\|1\|D)|(kpr)|(kdp)|(\|lc)|(penalty))" /e /r /s</v>
      </c>
      <c r="AG79" s="1" t="str">
        <f t="shared" si="30"/>
        <v>EC</v>
      </c>
      <c r="AH79" s="92" t="str">
        <f t="shared" si="31"/>
        <v>"%USERPROFILE%\Documents\GitHub\eaglep3\Utilities\RefineRTDCRunTimes.py" --tripid 169-18 --locoid 4046 --swversion DE.1.0.8.0 --startMP 204:480 --initTime 2016-11-18T12:09:25 --startdatetime 2016-11-18T12:15:15 --delay 1 --endMP 204:233346 --enddatetime 2016-11-18T12:52:58 --enforcementcount 0 &gt;&gt;C:\Users\stu\Documents\GitHub\eaglep3-reporting\EC\2016-11-18-refined-times.txt</v>
      </c>
      <c r="AI7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{"issue":{"subject":"","project_id":79,"tracker_id":40,"status_id":1,"priority_id":2,"assigned_to_id":23,"start_date":"2016-11-18","description":"","custom_fields":[{"id":1,"name":"Subdivision","value":"EC"},{"id":4,"name":"Milepost","value":"23.3346"},{"id":17,"name":"Train ID","value":"169-18"},{"id":16,"name":"Locomotive ID","value":"4046"},{"id":130,"name":"Impact","value":""},{"id":150,"name":"Time of Event (Mountain Time)","value":"12:52:58"},{"id":151,"name":"Denver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556</v>
      </c>
      <c r="B80" s="7">
        <v>4045</v>
      </c>
      <c r="C80" s="22" t="s">
        <v>218</v>
      </c>
      <c r="D80" s="22" t="s">
        <v>695</v>
      </c>
      <c r="E80" s="13">
        <v>42692.545358796298</v>
      </c>
      <c r="F80" s="13">
        <v>42692.549490740741</v>
      </c>
      <c r="G80" s="7">
        <v>1</v>
      </c>
      <c r="H80" s="22" t="s">
        <v>267</v>
      </c>
      <c r="I80" s="13">
        <v>42692.575995370367</v>
      </c>
      <c r="J80" s="7">
        <v>0</v>
      </c>
      <c r="K80" s="109" t="str">
        <f t="shared" si="17"/>
        <v>4045/4046</v>
      </c>
      <c r="L80" s="22" t="str">
        <f>VLOOKUP(A80,'Trips&amp;Operators'!$C$1:$E$10000,3,FALSE)</f>
        <v>SHOOK</v>
      </c>
      <c r="M80" s="6">
        <f t="shared" si="18"/>
        <v>2.6504629626288079E-2</v>
      </c>
      <c r="N80" s="7">
        <f t="shared" si="19"/>
        <v>38.166666661854833</v>
      </c>
      <c r="O80" s="7"/>
      <c r="P80" s="7"/>
      <c r="Q80" s="23"/>
      <c r="R80" s="23"/>
      <c r="S80" s="35">
        <f t="shared" si="20"/>
        <v>1</v>
      </c>
      <c r="T80" s="50" t="str">
        <f t="shared" si="21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12:05:19-700',mode:absolute,to:'2016-11-18 14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0" s="52" t="str">
        <f t="shared" si="23"/>
        <v>N</v>
      </c>
      <c r="X80" s="177">
        <f t="shared" si="34"/>
        <v>1</v>
      </c>
      <c r="Y80" s="67">
        <f t="shared" si="24"/>
        <v>23.3062</v>
      </c>
      <c r="Z80" s="67">
        <f t="shared" si="25"/>
        <v>1.38E-2</v>
      </c>
      <c r="AA80" s="67">
        <f t="shared" si="26"/>
        <v>23.292400000000001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27"/>
        <v>0170-18</v>
      </c>
      <c r="AE80" s="91" t="str">
        <f t="shared" si="28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80" s="88" t="str">
        <f t="shared" si="29"/>
        <v>"C:\Program Files (x86)\AstroGrep\AstroGrep.exe" /spath="%USERPROFILE%\AppData\Local\Temp\OnboardLogs" /stypes="app*4045*20161118*" /stext=" 20:.+((SYSTEM_STATE.+slice.+state.+changed )|(ment ac)|(system.+state.+changed )|(\[timeout)|(PRM\|1\|D)|(kpr)|(kdp)|(\|lc)|(penalty))" /e /r /s</v>
      </c>
      <c r="AG80" s="1" t="str">
        <f t="shared" si="30"/>
        <v>EC</v>
      </c>
      <c r="AH80" s="92" t="str">
        <f t="shared" si="31"/>
        <v>"%USERPROFILE%\Documents\GitHub\eaglep3\Utilities\RefineRTDCRunTimes.py" --tripid 170-18 --locoid 4045 --swversion DE.1.0.8.0 --startMP 204:233062 --initTime 2016-11-18T13:05:19 --startdatetime 2016-11-18T13:11:16 --delay 1 --endMP 204:138 --enddatetime 2016-11-18T13:49:26 --enforcementcount 0 &gt;&gt;C:\Users\stu\Documents\GitHub\eaglep3-reporting\EC\2016-11-18-refined-times.txt</v>
      </c>
      <c r="AI8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{"issue":{"subject":"","project_id":79,"tracker_id":40,"status_id":1,"priority_id":2,"assigned_to_id":23,"start_date":"2016-11-18","description":"","custom_fields":[{"id":1,"name":"Subdivision","value":"EC"},{"id":4,"name":"Milepost","value":"0.0138"},{"id":17,"name":"Train ID","value":"170-18"},{"id":16,"name":"Locomotive ID","value":"4045"},{"id":130,"name":"Impact","value":""},{"id":150,"name":"Time of Event (Mountain Time)","value":"13:49:26"},{"id":151,"name":"Denver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551</v>
      </c>
      <c r="B81" s="7">
        <v>4016</v>
      </c>
      <c r="C81" s="22" t="s">
        <v>218</v>
      </c>
      <c r="D81" s="22" t="s">
        <v>245</v>
      </c>
      <c r="E81" s="13">
        <v>42692.516284722224</v>
      </c>
      <c r="F81" s="13">
        <v>42692.52103009259</v>
      </c>
      <c r="G81" s="7">
        <v>1</v>
      </c>
      <c r="H81" s="22" t="s">
        <v>348</v>
      </c>
      <c r="I81" s="13">
        <v>42692.546064814815</v>
      </c>
      <c r="J81" s="7">
        <v>0</v>
      </c>
      <c r="K81" s="109" t="str">
        <f t="shared" si="17"/>
        <v>4015/4016</v>
      </c>
      <c r="L81" s="22" t="str">
        <f>VLOOKUP(A81,'Trips&amp;Operators'!$C$1:$E$10000,3,FALSE)</f>
        <v>BROWN</v>
      </c>
      <c r="M81" s="6">
        <f t="shared" si="18"/>
        <v>2.5034722224518191E-2</v>
      </c>
      <c r="N81" s="7">
        <f t="shared" si="19"/>
        <v>36.050000003306195</v>
      </c>
      <c r="O81" s="7"/>
      <c r="P81" s="7"/>
      <c r="Q81" s="23"/>
      <c r="R81" s="23"/>
      <c r="S81" s="35">
        <f t="shared" si="20"/>
        <v>1</v>
      </c>
      <c r="T81" s="50" t="str">
        <f t="shared" si="21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11:23:27-700',mode:absolute,to:'2016-11-18 14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1" s="52" t="str">
        <f t="shared" si="23"/>
        <v>N</v>
      </c>
      <c r="X81" s="177">
        <f t="shared" si="34"/>
        <v>1</v>
      </c>
      <c r="Y81" s="67">
        <f t="shared" si="24"/>
        <v>4.7300000000000002E-2</v>
      </c>
      <c r="Z81" s="67">
        <f t="shared" si="25"/>
        <v>23.331800000000001</v>
      </c>
      <c r="AA81" s="67">
        <f t="shared" si="26"/>
        <v>23.284500000000001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27"/>
        <v>0171-18</v>
      </c>
      <c r="AE81" s="91" t="str">
        <f t="shared" si="28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81" s="88" t="str">
        <f t="shared" si="29"/>
        <v>"C:\Program Files (x86)\AstroGrep\AstroGrep.exe" /spath="%USERPROFILE%\AppData\Local\Temp\OnboardLogs" /stypes="app*4016*20161118*" /stext=" 20:.+((SYSTEM_STATE.+slice.+state.+changed )|(ment ac)|(system.+state.+changed )|(\[timeout)|(PRM\|1\|D)|(kpr)|(kdp)|(\|lc)|(penalty))" /e /r /s</v>
      </c>
      <c r="AG81" s="1" t="str">
        <f t="shared" si="30"/>
        <v>EC</v>
      </c>
      <c r="AH81" s="92" t="str">
        <f t="shared" si="31"/>
        <v>"%USERPROFILE%\Documents\GitHub\eaglep3\Utilities\RefineRTDCRunTimes.py" --tripid 171-18 --locoid 4016 --swversion DE.1.0.8.0 --startMP 204:473 --initTime 2016-11-18T12:23:27 --startdatetime 2016-11-18T12:30:17 --delay 1 --endMP 204:233318 --enddatetime 2016-11-18T13:06:20 --enforcementcount 0 &gt;&gt;C:\Users\stu\Documents\GitHub\eaglep3-reporting\EC\2016-11-18-refined-times.txt</v>
      </c>
      <c r="AI8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{"issue":{"subject":"","project_id":79,"tracker_id":40,"status_id":1,"priority_id":2,"assigned_to_id":23,"start_date":"2016-11-18","description":"","custom_fields":[{"id":1,"name":"Subdivision","value":"EC"},{"id":4,"name":"Milepost","value":"23.3318"},{"id":17,"name":"Train ID","value":"171-18"},{"id":16,"name":"Locomotive ID","value":"4016"},{"id":130,"name":"Impact","value":""},{"id":150,"name":"Time of Event (Mountain Time)","value":"13:06:20"},{"id":151,"name":"Denver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558</v>
      </c>
      <c r="B82" s="7">
        <v>4015</v>
      </c>
      <c r="C82" s="22" t="s">
        <v>218</v>
      </c>
      <c r="D82" s="22" t="s">
        <v>696</v>
      </c>
      <c r="E82" s="13">
        <v>42692.551481481481</v>
      </c>
      <c r="F82" s="13">
        <v>42692.559895833336</v>
      </c>
      <c r="G82" s="7">
        <v>1</v>
      </c>
      <c r="H82" s="22" t="s">
        <v>175</v>
      </c>
      <c r="I82" s="13">
        <v>42692.586944444447</v>
      </c>
      <c r="J82" s="7">
        <v>0</v>
      </c>
      <c r="K82" s="109" t="str">
        <f t="shared" si="17"/>
        <v>4015/4016</v>
      </c>
      <c r="L82" s="22" t="str">
        <f>VLOOKUP(A82,'Trips&amp;Operators'!$C$1:$E$10000,3,FALSE)</f>
        <v>BROWN</v>
      </c>
      <c r="M82" s="6">
        <f t="shared" si="18"/>
        <v>2.7048611111240461E-2</v>
      </c>
      <c r="N82" s="7">
        <f t="shared" si="19"/>
        <v>38.950000000186265</v>
      </c>
      <c r="O82" s="7"/>
      <c r="P82" s="7"/>
      <c r="Q82" s="23"/>
      <c r="R82" s="23"/>
      <c r="S82" s="35">
        <f t="shared" si="20"/>
        <v>1</v>
      </c>
      <c r="T82" s="50" t="str">
        <f t="shared" si="21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12:14:08-700',mode:absolute,to:'2016-11-18 15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2" s="52" t="str">
        <f t="shared" si="23"/>
        <v>N</v>
      </c>
      <c r="X82" s="177">
        <f t="shared" si="34"/>
        <v>1</v>
      </c>
      <c r="Y82" s="67">
        <f t="shared" si="24"/>
        <v>23.299199999999999</v>
      </c>
      <c r="Z82" s="67">
        <f t="shared" si="25"/>
        <v>1.52E-2</v>
      </c>
      <c r="AA82" s="67">
        <f t="shared" si="26"/>
        <v>23.283999999999999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27"/>
        <v>0172-18</v>
      </c>
      <c r="AE82" s="91" t="str">
        <f t="shared" si="28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82" s="88" t="str">
        <f t="shared" si="29"/>
        <v>"C:\Program Files (x86)\AstroGrep\AstroGrep.exe" /spath="%USERPROFILE%\AppData\Local\Temp\OnboardLogs" /stypes="app*4015*20161118*" /stext=" 21:.+((SYSTEM_STATE.+slice.+state.+changed )|(ment ac)|(system.+state.+changed )|(\[timeout)|(PRM\|1\|D)|(kpr)|(kdp)|(\|lc)|(penalty))" /e /r /s</v>
      </c>
      <c r="AG82" s="1" t="str">
        <f t="shared" si="30"/>
        <v>EC</v>
      </c>
      <c r="AH82" s="92" t="str">
        <f t="shared" si="31"/>
        <v>"%USERPROFILE%\Documents\GitHub\eaglep3\Utilities\RefineRTDCRunTimes.py" --tripid 172-18 --locoid 4015 --swversion DE.1.0.8.0 --startMP 204:232992 --initTime 2016-11-18T13:14:08 --startdatetime 2016-11-18T13:26:15 --delay 1 --endMP 204:152 --enddatetime 2016-11-18T14:05:12 --enforcementcount 0 &gt;&gt;C:\Users\stu\Documents\GitHub\eaglep3-reporting\EC\2016-11-18-refined-times.txt</v>
      </c>
      <c r="AI8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{"issue":{"subject":"","project_id":79,"tracker_id":40,"status_id":1,"priority_id":2,"assigned_to_id":23,"start_date":"2016-11-18","description":"","custom_fields":[{"id":1,"name":"Subdivision","value":"EC"},{"id":4,"name":"Milepost","value":"0.0152"},{"id":17,"name":"Train ID","value":"172-18"},{"id":16,"name":"Locomotive ID","value":"4015"},{"id":130,"name":"Impact","value":""},{"id":150,"name":"Time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456</v>
      </c>
      <c r="B83" s="7">
        <v>4029</v>
      </c>
      <c r="C83" s="22" t="s">
        <v>218</v>
      </c>
      <c r="D83" s="22" t="s">
        <v>215</v>
      </c>
      <c r="E83" s="13">
        <v>42692.52652777778</v>
      </c>
      <c r="F83" s="13">
        <v>42692.531747685185</v>
      </c>
      <c r="G83" s="7">
        <v>1</v>
      </c>
      <c r="H83" s="22" t="s">
        <v>697</v>
      </c>
      <c r="I83" s="13">
        <v>42692.556481481479</v>
      </c>
      <c r="J83" s="7">
        <v>0</v>
      </c>
      <c r="K83" s="109" t="str">
        <f t="shared" si="17"/>
        <v>4029/4030</v>
      </c>
      <c r="L83" s="22" t="str">
        <f>VLOOKUP(A83,'Trips&amp;Operators'!$C$1:$E$10000,3,FALSE)</f>
        <v>STEWART</v>
      </c>
      <c r="M83" s="6">
        <f t="shared" si="18"/>
        <v>2.4733796293730848E-2</v>
      </c>
      <c r="N83" s="7">
        <f t="shared" si="19"/>
        <v>35.61666666297242</v>
      </c>
      <c r="O83" s="7"/>
      <c r="P83" s="7"/>
      <c r="Q83" s="23"/>
      <c r="R83" s="23"/>
      <c r="S83" s="35">
        <f t="shared" si="20"/>
        <v>1</v>
      </c>
      <c r="T83" s="50" t="str">
        <f t="shared" si="21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11:38:12-700',mode:absolute,to:'2016-11-18 14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3" s="52" t="str">
        <f t="shared" si="23"/>
        <v>N</v>
      </c>
      <c r="X83" s="177">
        <f t="shared" si="34"/>
        <v>1</v>
      </c>
      <c r="Y83" s="67">
        <f t="shared" si="24"/>
        <v>4.6199999999999998E-2</v>
      </c>
      <c r="Z83" s="67">
        <f t="shared" si="25"/>
        <v>23.316199999999998</v>
      </c>
      <c r="AA83" s="67">
        <f t="shared" si="26"/>
        <v>23.27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27"/>
        <v>0173-18</v>
      </c>
      <c r="AE83" s="91" t="str">
        <f t="shared" si="28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83" s="88" t="str">
        <f t="shared" si="29"/>
        <v>"C:\Program Files (x86)\AstroGrep\AstroGrep.exe" /spath="%USERPROFILE%\AppData\Local\Temp\OnboardLogs" /stypes="app*4029*20161118*" /stext=" 20:.+((SYSTEM_STATE.+slice.+state.+changed )|(ment ac)|(system.+state.+changed )|(\[timeout)|(PRM\|1\|D)|(kpr)|(kdp)|(\|lc)|(penalty))" /e /r /s</v>
      </c>
      <c r="AG83" s="1" t="str">
        <f t="shared" si="30"/>
        <v>EC</v>
      </c>
      <c r="AH83" s="92" t="str">
        <f t="shared" si="31"/>
        <v>"%USERPROFILE%\Documents\GitHub\eaglep3\Utilities\RefineRTDCRunTimes.py" --tripid 173-18 --locoid 4029 --swversion DE.1.0.8.0 --startMP 204:462 --initTime 2016-11-18T12:38:12 --startdatetime 2016-11-18T12:45:43 --delay 1 --endMP 204:233162 --enddatetime 2016-11-18T13:21:20 --enforcementcount 0 &gt;&gt;C:\Users\stu\Documents\GitHub\eaglep3-reporting\EC\2016-11-18-refined-times.txt</v>
      </c>
      <c r="AI8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{"issue":{"subject":"","project_id":79,"tracker_id":40,"status_id":1,"priority_id":2,"assigned_to_id":23,"start_date":"2016-11-18","description":"","custom_fields":[{"id":1,"name":"Subdivision","value":"EC"},{"id":4,"name":"Milepost","value":"23.3162"},{"id":17,"name":"Train ID","value":"173-18"},{"id":16,"name":"Locomotive ID","value":"4029"},{"id":130,"name":"Impact","value":""},{"id":150,"name":"Time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560</v>
      </c>
      <c r="B84" s="7">
        <v>4030</v>
      </c>
      <c r="C84" s="22" t="s">
        <v>218</v>
      </c>
      <c r="D84" s="22" t="s">
        <v>698</v>
      </c>
      <c r="E84" s="13">
        <v>42692.566284722219</v>
      </c>
      <c r="F84" s="13">
        <v>42692.570416666669</v>
      </c>
      <c r="G84" s="7">
        <v>1</v>
      </c>
      <c r="H84" s="22" t="s">
        <v>663</v>
      </c>
      <c r="I84" s="13">
        <v>42692.596724537034</v>
      </c>
      <c r="J84" s="7">
        <v>0</v>
      </c>
      <c r="K84" s="109" t="str">
        <f t="shared" si="17"/>
        <v>4029/4030</v>
      </c>
      <c r="L84" s="22" t="str">
        <f>VLOOKUP(A84,'Trips&amp;Operators'!$C$1:$E$10000,3,FALSE)</f>
        <v>STEWART</v>
      </c>
      <c r="M84" s="6">
        <f t="shared" si="18"/>
        <v>2.6307870364689734E-2</v>
      </c>
      <c r="N84" s="7">
        <f t="shared" si="19"/>
        <v>37.883333325153217</v>
      </c>
      <c r="O84" s="7"/>
      <c r="P84" s="7"/>
      <c r="Q84" s="23"/>
      <c r="R84" s="23"/>
      <c r="S84" s="35">
        <f t="shared" si="20"/>
        <v>1</v>
      </c>
      <c r="T84" s="50" t="str">
        <f t="shared" si="21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12:35:27-700',mode:absolute,to:'2016-11-18 15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4" s="52" t="str">
        <f t="shared" si="23"/>
        <v>N</v>
      </c>
      <c r="X84" s="177">
        <f t="shared" si="34"/>
        <v>1</v>
      </c>
      <c r="Y84" s="67">
        <f t="shared" si="24"/>
        <v>23.284700000000001</v>
      </c>
      <c r="Z84" s="67">
        <f t="shared" si="25"/>
        <v>1.61E-2</v>
      </c>
      <c r="AA84" s="67">
        <f t="shared" si="26"/>
        <v>23.268599999999999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27"/>
        <v>0174-18</v>
      </c>
      <c r="AE84" s="91" t="str">
        <f t="shared" si="28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84" s="88" t="str">
        <f t="shared" si="29"/>
        <v>"C:\Program Files (x86)\AstroGrep\AstroGrep.exe" /spath="%USERPROFILE%\AppData\Local\Temp\OnboardLogs" /stypes="app*4030*20161118*" /stext=" 21:.+((SYSTEM_STATE.+slice.+state.+changed )|(ment ac)|(system.+state.+changed )|(\[timeout)|(PRM\|1\|D)|(kpr)|(kdp)|(\|lc)|(penalty))" /e /r /s</v>
      </c>
      <c r="AG84" s="1" t="str">
        <f t="shared" si="30"/>
        <v>EC</v>
      </c>
      <c r="AH84" s="92" t="str">
        <f t="shared" si="31"/>
        <v>"%USERPROFILE%\Documents\GitHub\eaglep3\Utilities\RefineRTDCRunTimes.py" --tripid 174-18 --locoid 4030 --swversion DE.1.0.8.0 --startMP 204:232847 --initTime 2016-11-18T13:35:27 --startdatetime 2016-11-18T13:41:24 --delay 1 --endMP 204:161 --enddatetime 2016-11-18T14:19:17 --enforcementcount 0 &gt;&gt;C:\Users\stu\Documents\GitHub\eaglep3-reporting\EC\2016-11-18-refined-times.txt</v>
      </c>
      <c r="AI8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{"issue":{"subject":"","project_id":79,"tracker_id":40,"status_id":1,"priority_id":2,"assigned_to_id":23,"start_date":"2016-11-18","description":"","custom_fields":[{"id":1,"name":"Subdivision","value":"EC"},{"id":4,"name":"Milepost","value":"0.0161"},{"id":17,"name":"Train ID","value":"174-18"},{"id":16,"name":"Locomotive ID","value":"4030"},{"id":130,"name":"Impact","value":""},{"id":150,"name":"Time of Event (Mountain Time)","value":"14:19:17"},{"id":151,"name":"Denver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554</v>
      </c>
      <c r="B85" s="7">
        <v>4042</v>
      </c>
      <c r="C85" s="22" t="s">
        <v>218</v>
      </c>
      <c r="D85" s="22" t="s">
        <v>201</v>
      </c>
      <c r="E85" s="13">
        <v>42692.538321759261</v>
      </c>
      <c r="F85" s="13">
        <v>42692.541863425926</v>
      </c>
      <c r="G85" s="7">
        <v>1</v>
      </c>
      <c r="H85" s="22" t="s">
        <v>401</v>
      </c>
      <c r="I85" s="13">
        <v>42692.567743055559</v>
      </c>
      <c r="J85" s="7">
        <v>0</v>
      </c>
      <c r="K85" s="109" t="str">
        <f t="shared" si="17"/>
        <v>4041/4042</v>
      </c>
      <c r="L85" s="22" t="str">
        <f>VLOOKUP(A85,'Trips&amp;Operators'!$C$1:$E$10000,3,FALSE)</f>
        <v>CLARK</v>
      </c>
      <c r="M85" s="6">
        <f t="shared" si="18"/>
        <v>2.587962963298196E-2</v>
      </c>
      <c r="N85" s="7">
        <f t="shared" si="19"/>
        <v>37.266666671494022</v>
      </c>
      <c r="O85" s="7"/>
      <c r="P85" s="7"/>
      <c r="Q85" s="23"/>
      <c r="R85" s="23"/>
      <c r="S85" s="35">
        <f t="shared" si="20"/>
        <v>1</v>
      </c>
      <c r="T85" s="50" t="str">
        <f t="shared" si="21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11:55:11-700',mode:absolute,to:'2016-11-18 14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5" s="52" t="str">
        <f t="shared" si="23"/>
        <v>N</v>
      </c>
      <c r="X85" s="177">
        <f t="shared" si="34"/>
        <v>1</v>
      </c>
      <c r="Y85" s="67">
        <f t="shared" si="24"/>
        <v>4.5100000000000001E-2</v>
      </c>
      <c r="Z85" s="67">
        <f t="shared" si="25"/>
        <v>23.331600000000002</v>
      </c>
      <c r="AA85" s="67">
        <f t="shared" si="26"/>
        <v>23.2865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27"/>
        <v>0175-18</v>
      </c>
      <c r="AE85" s="91" t="str">
        <f t="shared" si="28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85" s="88" t="str">
        <f t="shared" si="29"/>
        <v>"C:\Program Files (x86)\AstroGrep\AstroGrep.exe" /spath="%USERPROFILE%\AppData\Local\Temp\OnboardLogs" /stypes="app*4042*20161118*" /stext=" 20:.+((SYSTEM_STATE.+slice.+state.+changed )|(ment ac)|(system.+state.+changed )|(\[timeout)|(PRM\|1\|D)|(kpr)|(kdp)|(\|lc)|(penalty))" /e /r /s</v>
      </c>
      <c r="AG85" s="1" t="str">
        <f t="shared" si="30"/>
        <v>EC</v>
      </c>
      <c r="AH85" s="92" t="str">
        <f t="shared" si="31"/>
        <v>"%USERPROFILE%\Documents\GitHub\eaglep3\Utilities\RefineRTDCRunTimes.py" --tripid 175-18 --locoid 4042 --swversion DE.1.0.8.0 --startMP 204:451 --initTime 2016-11-18T12:55:11 --startdatetime 2016-11-18T13:00:17 --delay 1 --endMP 204:233316 --enddatetime 2016-11-18T13:37:33 --enforcementcount 0 &gt;&gt;C:\Users\stu\Documents\GitHub\eaglep3-reporting\EC\2016-11-18-refined-times.txt</v>
      </c>
      <c r="AI8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{"issue":{"subject":"","project_id":79,"tracker_id":40,"status_id":1,"priority_id":2,"assigned_to_id":23,"start_date":"2016-11-18","description":"","custom_fields":[{"id":1,"name":"Subdivision","value":"EC"},{"id":4,"name":"Milepost","value":"23.3316"},{"id":17,"name":"Train ID","value":"175-18"},{"id":16,"name":"Locomotive ID","value":"4042"},{"id":130,"name":"Impact","value":""},{"id":150,"name":"Time of Event (Mountain Time)","value":"13:37:33"},{"id":151,"name":"Denver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562</v>
      </c>
      <c r="B86" s="7">
        <v>4041</v>
      </c>
      <c r="C86" s="22" t="s">
        <v>218</v>
      </c>
      <c r="D86" s="22" t="s">
        <v>394</v>
      </c>
      <c r="E86" s="13">
        <v>42692.57540509259</v>
      </c>
      <c r="F86" s="13">
        <v>42692.580729166664</v>
      </c>
      <c r="G86" s="7">
        <v>1</v>
      </c>
      <c r="H86" s="22" t="s">
        <v>399</v>
      </c>
      <c r="I86" s="13">
        <v>42692.608715277776</v>
      </c>
      <c r="J86" s="7">
        <v>0</v>
      </c>
      <c r="K86" s="109" t="str">
        <f t="shared" si="17"/>
        <v>4041/4042</v>
      </c>
      <c r="L86" s="22" t="str">
        <f>VLOOKUP(A86,'Trips&amp;Operators'!$C$1:$E$10000,3,FALSE)</f>
        <v>CLARK</v>
      </c>
      <c r="M86" s="6">
        <f t="shared" si="18"/>
        <v>2.7986111112113576E-2</v>
      </c>
      <c r="N86" s="7">
        <f t="shared" si="19"/>
        <v>40.30000000144355</v>
      </c>
      <c r="O86" s="7"/>
      <c r="P86" s="7"/>
      <c r="Q86" s="23"/>
      <c r="R86" s="23"/>
      <c r="S86" s="35">
        <f t="shared" si="20"/>
        <v>1</v>
      </c>
      <c r="T86" s="50" t="str">
        <f t="shared" si="21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12:48:35-700',mode:absolute,to:'2016-11-18 15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6" s="52" t="str">
        <f t="shared" si="23"/>
        <v>N</v>
      </c>
      <c r="X86" s="177">
        <f t="shared" si="34"/>
        <v>1</v>
      </c>
      <c r="Y86" s="67">
        <f t="shared" si="24"/>
        <v>23.298999999999999</v>
      </c>
      <c r="Z86" s="67">
        <f t="shared" si="25"/>
        <v>1.7600000000000001E-2</v>
      </c>
      <c r="AA86" s="67">
        <f t="shared" si="26"/>
        <v>23.281399999999998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27"/>
        <v>0176-18</v>
      </c>
      <c r="AE86" s="91" t="str">
        <f t="shared" si="28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86" s="88" t="str">
        <f t="shared" si="29"/>
        <v>"C:\Program Files (x86)\AstroGrep\AstroGrep.exe" /spath="%USERPROFILE%\AppData\Local\Temp\OnboardLogs" /stypes="app*4041*20161118*" /stext=" 21:.+((SYSTEM_STATE.+slice.+state.+changed )|(ment ac)|(system.+state.+changed )|(\[timeout)|(PRM\|1\|D)|(kpr)|(kdp)|(\|lc)|(penalty))" /e /r /s</v>
      </c>
      <c r="AG86" s="1" t="str">
        <f t="shared" si="30"/>
        <v>EC</v>
      </c>
      <c r="AH86" s="92" t="str">
        <f t="shared" si="31"/>
        <v>"%USERPROFILE%\Documents\GitHub\eaglep3\Utilities\RefineRTDCRunTimes.py" --tripid 176-18 --locoid 4041 --swversion DE.1.0.8.0 --startMP 204:232990 --initTime 2016-11-18T13:48:35 --startdatetime 2016-11-18T13:56:15 --delay 1 --endMP 204:176 --enddatetime 2016-11-18T14:36:33 --enforcementcount 0 &gt;&gt;C:\Users\stu\Documents\GitHub\eaglep3-reporting\EC\2016-11-18-refined-times.txt</v>
      </c>
      <c r="AI8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{"issue":{"subject":"","project_id":79,"tracker_id":40,"status_id":1,"priority_id":2,"assigned_to_id":23,"start_date":"2016-11-18","description":"","custom_fields":[{"id":1,"name":"Subdivision","value":"EC"},{"id":4,"name":"Milepost","value":"0.0176"},{"id":17,"name":"Train ID","value":"176-18"},{"id":16,"name":"Locomotive ID","value":"4041"},{"id":130,"name":"Impact","value":""},{"id":150,"name":"Time of Event (Mountain Time)","value":"14:36:33"},{"id":151,"name":"Denver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557</v>
      </c>
      <c r="B87" s="7">
        <v>4018</v>
      </c>
      <c r="C87" s="22" t="s">
        <v>218</v>
      </c>
      <c r="D87" s="22" t="s">
        <v>273</v>
      </c>
      <c r="E87" s="13">
        <v>42692.545543981483</v>
      </c>
      <c r="F87" s="13">
        <v>42692.552245370367</v>
      </c>
      <c r="G87" s="7">
        <v>1</v>
      </c>
      <c r="H87" s="22" t="s">
        <v>225</v>
      </c>
      <c r="I87" s="13">
        <v>42692.57775462963</v>
      </c>
      <c r="J87" s="7">
        <v>0</v>
      </c>
      <c r="K87" s="109" t="str">
        <f t="shared" si="17"/>
        <v>4017/4018</v>
      </c>
      <c r="L87" s="22" t="str">
        <f>VLOOKUP(A87,'Trips&amp;Operators'!$C$1:$E$10000,3,FALSE)</f>
        <v>BONDS</v>
      </c>
      <c r="M87" s="6">
        <f t="shared" si="18"/>
        <v>2.5509259263344575E-2</v>
      </c>
      <c r="N87" s="7">
        <f t="shared" si="19"/>
        <v>36.733333339216188</v>
      </c>
      <c r="O87" s="7"/>
      <c r="P87" s="7"/>
      <c r="Q87" s="23"/>
      <c r="R87" s="23"/>
      <c r="S87" s="35">
        <f t="shared" si="20"/>
        <v>1</v>
      </c>
      <c r="T87" s="50" t="str">
        <f t="shared" si="21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12:05:35-700',mode:absolute,to:'2016-11-18 14:51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7" s="52" t="str">
        <f t="shared" si="23"/>
        <v>N</v>
      </c>
      <c r="X87" s="177">
        <f t="shared" si="34"/>
        <v>1</v>
      </c>
      <c r="Y87" s="67">
        <f t="shared" si="24"/>
        <v>4.4400000000000002E-2</v>
      </c>
      <c r="Z87" s="67">
        <f t="shared" si="25"/>
        <v>23.331199999999999</v>
      </c>
      <c r="AA87" s="67">
        <f t="shared" si="26"/>
        <v>23.286799999999999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27"/>
        <v>0177-18</v>
      </c>
      <c r="AE87" s="91" t="str">
        <f t="shared" si="28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87" s="88" t="str">
        <f t="shared" si="29"/>
        <v>"C:\Program Files (x86)\AstroGrep\AstroGrep.exe" /spath="%USERPROFILE%\AppData\Local\Temp\OnboardLogs" /stypes="app*4018*20161118*" /stext=" 20:.+((SYSTEM_STATE.+slice.+state.+changed )|(ment ac)|(system.+state.+changed )|(\[timeout)|(PRM\|1\|D)|(kpr)|(kdp)|(\|lc)|(penalty))" /e /r /s</v>
      </c>
      <c r="AG87" s="1" t="str">
        <f t="shared" si="30"/>
        <v>EC</v>
      </c>
      <c r="AH87" s="92" t="str">
        <f t="shared" si="31"/>
        <v>"%USERPROFILE%\Documents\GitHub\eaglep3\Utilities\RefineRTDCRunTimes.py" --tripid 177-18 --locoid 4018 --swversion DE.1.0.8.0 --startMP 204:444 --initTime 2016-11-18T13:05:35 --startdatetime 2016-11-18T13:15:14 --delay 1 --endMP 204:233312 --enddatetime 2016-11-18T13:51:58 --enforcementcount 0 &gt;&gt;C:\Users\stu\Documents\GitHub\eaglep3-reporting\EC\2016-11-18-refined-times.txt</v>
      </c>
      <c r="AI8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{"issue":{"subject":"","project_id":79,"tracker_id":40,"status_id":1,"priority_id":2,"assigned_to_id":23,"start_date":"2016-11-18","description":"","custom_fields":[{"id":1,"name":"Subdivision","value":"EC"},{"id":4,"name":"Milepost","value":"23.3312"},{"id":17,"name":"Train ID","value":"177-18"},{"id":16,"name":"Locomotive ID","value":"4018"},{"id":130,"name":"Impact","value":""},{"id":150,"name":"Time of Event (Mountain Time)","value":"13:51:58"},{"id":151,"name":"Denver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458</v>
      </c>
      <c r="B88" s="7">
        <v>4017</v>
      </c>
      <c r="C88" s="22" t="s">
        <v>218</v>
      </c>
      <c r="D88" s="22" t="s">
        <v>343</v>
      </c>
      <c r="E88" s="13">
        <v>42692.58289351852</v>
      </c>
      <c r="F88" s="13">
        <v>42692.591157407405</v>
      </c>
      <c r="G88" s="7">
        <v>0</v>
      </c>
      <c r="H88" s="22" t="s">
        <v>403</v>
      </c>
      <c r="I88" s="13">
        <v>42692.618252314816</v>
      </c>
      <c r="J88" s="7">
        <v>0</v>
      </c>
      <c r="K88" s="109" t="str">
        <f t="shared" si="17"/>
        <v>4017/4018</v>
      </c>
      <c r="L88" s="22" t="str">
        <f>VLOOKUP(A88,'Trips&amp;Operators'!$C$1:$E$10000,3,FALSE)</f>
        <v>BONDS</v>
      </c>
      <c r="M88" s="6">
        <f t="shared" si="18"/>
        <v>2.7094907411083113E-2</v>
      </c>
      <c r="N88" s="7">
        <f t="shared" si="19"/>
        <v>39.016666671959683</v>
      </c>
      <c r="O88" s="7"/>
      <c r="P88" s="7"/>
      <c r="Q88" s="23"/>
      <c r="R88" s="23"/>
      <c r="S88" s="35">
        <f t="shared" si="20"/>
        <v>1</v>
      </c>
      <c r="T88" s="50" t="str">
        <f t="shared" si="21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12:59:22-700',mode:absolute,to:'2016-11-18 15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8" s="52" t="str">
        <f t="shared" si="23"/>
        <v>N</v>
      </c>
      <c r="X88" s="177">
        <f t="shared" si="34"/>
        <v>1</v>
      </c>
      <c r="Y88" s="67">
        <f t="shared" si="24"/>
        <v>23.299600000000002</v>
      </c>
      <c r="Z88" s="67">
        <f t="shared" si="25"/>
        <v>1.34E-2</v>
      </c>
      <c r="AA88" s="67">
        <f t="shared" si="26"/>
        <v>23.286200000000001</v>
      </c>
      <c r="AB88" s="64" t="str">
        <f>VLOOKUP(A88,Enforcements!$C$7:$K$20,8,0)</f>
        <v>Bulletin (2)</v>
      </c>
      <c r="AC88" s="60" t="str">
        <f>VLOOKUP(A88,Enforcements!$C$7:$E$20,3,0)</f>
        <v>GRADE CROSSING</v>
      </c>
      <c r="AD88" s="61" t="str">
        <f t="shared" si="27"/>
        <v>0178-18</v>
      </c>
      <c r="AE88" s="91" t="str">
        <f t="shared" si="28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88" s="88" t="str">
        <f t="shared" si="29"/>
        <v>"C:\Program Files (x86)\AstroGrep\AstroGrep.exe" /spath="%USERPROFILE%\AppData\Local\Temp\OnboardLogs" /stypes="app*4017*20161118*" /stext=" 21:.+((SYSTEM_STATE.+slice.+state.+changed )|(ment ac)|(system.+state.+changed )|(\[timeout)|(PRM\|1\|D)|(kpr)|(kdp)|(\|lc)|(penalty))" /e /r /s</v>
      </c>
      <c r="AG88" s="1" t="str">
        <f t="shared" si="30"/>
        <v>EC</v>
      </c>
      <c r="AH88" s="92" t="str">
        <f t="shared" si="31"/>
        <v>"%USERPROFILE%\Documents\GitHub\eaglep3\Utilities\RefineRTDCRunTimes.py" --tripid 178-18 --locoid 4017 --swversion DE.1.0.8.0 --startMP 204:232996 --initTime 2016-11-18T13:59:22 --startdatetime 2016-11-18T14:11:16 --delay 0 --endMP 204:134 --enddatetime 2016-11-18T14:50:17 --enforcementcount 0 &gt;&gt;C:\Users\stu\Documents\GitHub\eaglep3-reporting\EC\2016-11-18-refined-times.txt</v>
      </c>
      <c r="AI8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{"issue":{"subject":"","project_id":79,"tracker_id":40,"status_id":1,"priority_id":2,"assigned_to_id":23,"start_date":"2016-11-18","description":"","custom_fields":[{"id":1,"name":"Subdivision","value":"EC"},{"id":4,"name":"Milepost","value":"0.0134"},{"id":17,"name":"Train ID","value":"178-18"},{"id":16,"name":"Locomotive ID","value":"4017"},{"id":130,"name":"Impact","value":""},{"id":150,"name":"Time of Event (Mountain Time)","value":"14:50:17"},{"id":151,"name":"Denver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559</v>
      </c>
      <c r="B89" s="7">
        <v>4011</v>
      </c>
      <c r="C89" s="22" t="s">
        <v>218</v>
      </c>
      <c r="D89" s="22" t="s">
        <v>220</v>
      </c>
      <c r="E89" s="13">
        <v>42692.559039351851</v>
      </c>
      <c r="F89" s="13">
        <v>42692.562754629631</v>
      </c>
      <c r="G89" s="7">
        <v>1</v>
      </c>
      <c r="H89" s="22" t="s">
        <v>278</v>
      </c>
      <c r="I89" s="13">
        <v>42692.588275462964</v>
      </c>
      <c r="J89" s="7">
        <v>0</v>
      </c>
      <c r="K89" s="109" t="str">
        <f t="shared" si="17"/>
        <v>4011/4012</v>
      </c>
      <c r="L89" s="22" t="str">
        <f>VLOOKUP(A89,'Trips&amp;Operators'!$C$1:$E$10000,3,FALSE)</f>
        <v>JOHNSON</v>
      </c>
      <c r="M89" s="6">
        <f t="shared" si="18"/>
        <v>2.5520833332848269E-2</v>
      </c>
      <c r="N89" s="7">
        <f t="shared" si="19"/>
        <v>36.749999999301508</v>
      </c>
      <c r="O89" s="7"/>
      <c r="P89" s="7"/>
      <c r="Q89" s="23"/>
      <c r="R89" s="23"/>
      <c r="S89" s="35">
        <f t="shared" si="20"/>
        <v>1</v>
      </c>
      <c r="T89" s="50" t="str">
        <f t="shared" si="21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12:25:01-700',mode:absolute,to:'2016-11-18 15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3"/>
        <v>N</v>
      </c>
      <c r="X89" s="177">
        <f t="shared" si="34"/>
        <v>1</v>
      </c>
      <c r="Y89" s="67">
        <f t="shared" si="24"/>
        <v>4.58E-2</v>
      </c>
      <c r="Z89" s="67">
        <f t="shared" si="25"/>
        <v>23.330100000000002</v>
      </c>
      <c r="AA89" s="67">
        <f t="shared" si="26"/>
        <v>23.284300000000002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27"/>
        <v>0179-18</v>
      </c>
      <c r="AE89" s="91" t="str">
        <f t="shared" si="28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89" s="88" t="str">
        <f t="shared" si="29"/>
        <v>"C:\Program Files (x86)\AstroGrep\AstroGrep.exe" /spath="%USERPROFILE%\AppData\Local\Temp\OnboardLogs" /stypes="app*4011*20161118*" /stext=" 21:.+((SYSTEM_STATE.+slice.+state.+changed )|(ment ac)|(system.+state.+changed )|(\[timeout)|(PRM\|1\|D)|(kpr)|(kdp)|(\|lc)|(penalty))" /e /r /s</v>
      </c>
      <c r="AG89" s="1" t="str">
        <f t="shared" si="30"/>
        <v>EC</v>
      </c>
      <c r="AH89" s="92" t="str">
        <f t="shared" si="31"/>
        <v>"%USERPROFILE%\Documents\GitHub\eaglep3\Utilities\RefineRTDCRunTimes.py" --tripid 179-18 --locoid 4011 --swversion DE.1.0.8.0 --startMP 204:458 --initTime 2016-11-18T13:25:01 --startdatetime 2016-11-18T13:30:22 --delay 1 --endMP 204:233301 --enddatetime 2016-11-18T14:07:07 --enforcementcount 0 &gt;&gt;C:\Users\stu\Documents\GitHub\eaglep3-reporting\EC\2016-11-18-refined-times.txt</v>
      </c>
      <c r="AI8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{"issue":{"subject":"","project_id":79,"tracker_id":40,"status_id":1,"priority_id":2,"assigned_to_id":23,"start_date":"2016-11-18","description":"","custom_fields":[{"id":1,"name":"Subdivision","value":"EC"},{"id":4,"name":"Milepost","value":"23.3301"},{"id":17,"name":"Train ID","value":"179-18"},{"id":16,"name":"Locomotive ID","value":"4011"},{"id":130,"name":"Impact","value":""},{"id":150,"name":"Time of Event (Mountain Time)","value":"14:07:07"},{"id":151,"name":"Denver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566</v>
      </c>
      <c r="B90" s="7">
        <v>4012</v>
      </c>
      <c r="C90" s="22" t="s">
        <v>218</v>
      </c>
      <c r="D90" s="22" t="s">
        <v>394</v>
      </c>
      <c r="E90" s="13">
        <v>42692.59480324074</v>
      </c>
      <c r="F90" s="13">
        <v>42692.601597222223</v>
      </c>
      <c r="G90" s="7">
        <v>2</v>
      </c>
      <c r="H90" s="22" t="s">
        <v>266</v>
      </c>
      <c r="I90" s="13">
        <v>42692.628993055558</v>
      </c>
      <c r="J90" s="7">
        <v>0</v>
      </c>
      <c r="K90" s="109" t="str">
        <f t="shared" si="17"/>
        <v>4011/4012</v>
      </c>
      <c r="L90" s="22" t="str">
        <f>VLOOKUP(A90,'Trips&amp;Operators'!$C$1:$E$10000,3,FALSE)</f>
        <v>JOHNSON</v>
      </c>
      <c r="M90" s="6">
        <f t="shared" si="18"/>
        <v>2.7395833334594499E-2</v>
      </c>
      <c r="N90" s="7">
        <f t="shared" si="19"/>
        <v>39.450000001816079</v>
      </c>
      <c r="O90" s="7"/>
      <c r="P90" s="7"/>
      <c r="Q90" s="23"/>
      <c r="R90" s="23"/>
      <c r="S90" s="35">
        <f t="shared" si="20"/>
        <v>1</v>
      </c>
      <c r="T90" s="50" t="str">
        <f t="shared" si="21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13:16:31-700',mode:absolute,to:'2016-11-18 16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3"/>
        <v>N</v>
      </c>
      <c r="X90" s="177">
        <f t="shared" si="34"/>
        <v>1</v>
      </c>
      <c r="Y90" s="67">
        <f t="shared" si="24"/>
        <v>23.298999999999999</v>
      </c>
      <c r="Z90" s="67">
        <f t="shared" si="25"/>
        <v>1.54E-2</v>
      </c>
      <c r="AA90" s="67">
        <f t="shared" si="26"/>
        <v>23.2836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27"/>
        <v>0180-18</v>
      </c>
      <c r="AE90" s="91" t="str">
        <f t="shared" si="28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90" s="88" t="str">
        <f t="shared" si="29"/>
        <v>"C:\Program Files (x86)\AstroGrep\AstroGrep.exe" /spath="%USERPROFILE%\AppData\Local\Temp\OnboardLogs" /stypes="app*4012*20161118*" /stext=" 22:.+((SYSTEM_STATE.+slice.+state.+changed )|(ment ac)|(system.+state.+changed )|(\[timeout)|(PRM\|1\|D)|(kpr)|(kdp)|(\|lc)|(penalty))" /e /r /s</v>
      </c>
      <c r="AG90" s="1" t="str">
        <f t="shared" si="30"/>
        <v>EC</v>
      </c>
      <c r="AH90" s="92" t="str">
        <f t="shared" si="31"/>
        <v>"%USERPROFILE%\Documents\GitHub\eaglep3\Utilities\RefineRTDCRunTimes.py" --tripid 180-18 --locoid 4012 --swversion DE.1.0.8.0 --startMP 204:232990 --initTime 2016-11-18T14:16:31 --startdatetime 2016-11-18T14:26:18 --delay 2 --endMP 204:154 --enddatetime 2016-11-18T15:05:45 --enforcementcount 0 &gt;&gt;C:\Users\stu\Documents\GitHub\eaglep3-reporting\EC\2016-11-18-refined-times.txt</v>
      </c>
      <c r="AI9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{"issue":{"subject":"","project_id":79,"tracker_id":40,"status_id":1,"priority_id":2,"assigned_to_id":23,"start_date":"2016-11-18","description":"","custom_fields":[{"id":1,"name":"Subdivision","value":"EC"},{"id":4,"name":"Milepost","value":"0.0154"},{"id":17,"name":"Train ID","value":"180-18"},{"id":16,"name":"Locomotive ID","value":"4012"},{"id":130,"name":"Impact","value":""},{"id":150,"name":"Time of Event (Mountain Time)","value":"15:05:45"},{"id":151,"name":"Denver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457</v>
      </c>
      <c r="B91" s="7">
        <v>4025</v>
      </c>
      <c r="C91" s="22" t="s">
        <v>218</v>
      </c>
      <c r="D91" s="22" t="s">
        <v>349</v>
      </c>
      <c r="E91" s="13">
        <v>42692.567511574074</v>
      </c>
      <c r="F91" s="13">
        <v>42692.573113425926</v>
      </c>
      <c r="G91" s="7">
        <v>1</v>
      </c>
      <c r="H91" s="22" t="s">
        <v>314</v>
      </c>
      <c r="I91" s="13">
        <v>42692.598807870374</v>
      </c>
      <c r="J91" s="7">
        <v>0</v>
      </c>
      <c r="K91" s="109" t="str">
        <f t="shared" si="17"/>
        <v>4025/4026</v>
      </c>
      <c r="L91" s="22" t="str">
        <f>VLOOKUP(A91,'Trips&amp;Operators'!$C$1:$E$10000,3,FALSE)</f>
        <v>HILLS</v>
      </c>
      <c r="M91" s="6">
        <f t="shared" si="18"/>
        <v>2.5694444448163267E-2</v>
      </c>
      <c r="N91" s="7">
        <f t="shared" si="19"/>
        <v>37.000000005355105</v>
      </c>
      <c r="O91" s="7"/>
      <c r="P91" s="7"/>
      <c r="Q91" s="23"/>
      <c r="R91" s="23"/>
      <c r="S91" s="35">
        <f t="shared" si="20"/>
        <v>1</v>
      </c>
      <c r="T91" s="50" t="str">
        <f t="shared" si="21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12:37:13-700',mode:absolute,to:'2016-11-18 15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1" s="52" t="str">
        <f t="shared" si="23"/>
        <v>N</v>
      </c>
      <c r="X91" s="177">
        <f t="shared" si="34"/>
        <v>1</v>
      </c>
      <c r="Y91" s="67">
        <f t="shared" si="24"/>
        <v>4.3700000000000003E-2</v>
      </c>
      <c r="Z91" s="67">
        <f t="shared" si="25"/>
        <v>23.331700000000001</v>
      </c>
      <c r="AA91" s="67">
        <f t="shared" si="26"/>
        <v>23.288</v>
      </c>
      <c r="AB91" s="64" t="str">
        <f>VLOOKUP(A91,Enforcements!$C$7:$K$20,8,0)</f>
        <v>Speed (6)</v>
      </c>
      <c r="AC91" s="60" t="str">
        <f>VLOOKUP(A91,Enforcements!$C$7:$E$20,3,0)</f>
        <v>PERMANENT SPEED RESTRICTION</v>
      </c>
      <c r="AD91" s="61" t="str">
        <f t="shared" si="27"/>
        <v>0181-18</v>
      </c>
      <c r="AE91" s="91" t="str">
        <f t="shared" si="28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91" s="88" t="str">
        <f t="shared" si="29"/>
        <v>"C:\Program Files (x86)\AstroGrep\AstroGrep.exe" /spath="%USERPROFILE%\AppData\Local\Temp\OnboardLogs" /stypes="app*4025*20161118*" /stext=" 21:.+((SYSTEM_STATE.+slice.+state.+changed )|(ment ac)|(system.+state.+changed )|(\[timeout)|(PRM\|1\|D)|(kpr)|(kdp)|(\|lc)|(penalty))" /e /r /s</v>
      </c>
      <c r="AG91" s="1" t="str">
        <f t="shared" si="30"/>
        <v>EC</v>
      </c>
      <c r="AH91" s="92" t="str">
        <f t="shared" si="31"/>
        <v>"%USERPROFILE%\Documents\GitHub\eaglep3\Utilities\RefineRTDCRunTimes.py" --tripid 181-18 --locoid 4025 --swversion DE.1.0.8.0 --startMP 204:437 --initTime 2016-11-18T13:37:13 --startdatetime 2016-11-18T13:45:17 --delay 1 --endMP 204:233317 --enddatetime 2016-11-18T14:22:17 --enforcementcount 0 &gt;&gt;C:\Users\stu\Documents\GitHub\eaglep3-reporting\EC\2016-11-18-refined-times.txt</v>
      </c>
      <c r="AI9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{"issue":{"subject":"","project_id":79,"tracker_id":40,"status_id":1,"priority_id":2,"assigned_to_id":23,"start_date":"2016-11-18","description":"","custom_fields":[{"id":1,"name":"Subdivision","value":"EC"},{"id":4,"name":"Milepost","value":"23.3317"},{"id":17,"name":"Train ID","value":"181-18"},{"id":16,"name":"Locomotive ID","value":"4025"},{"id":130,"name":"Impact","value":""},{"id":150,"name":"Time of Event (Mountain Time)","value":"14:22:17"},{"id":151,"name":"Denver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568</v>
      </c>
      <c r="B92" s="7">
        <v>4026</v>
      </c>
      <c r="C92" s="22" t="s">
        <v>218</v>
      </c>
      <c r="D92" s="22" t="s">
        <v>691</v>
      </c>
      <c r="E92" s="13">
        <v>42692.602164351854</v>
      </c>
      <c r="F92" s="13">
        <v>42692.612129629626</v>
      </c>
      <c r="G92" s="7">
        <v>1</v>
      </c>
      <c r="H92" s="22" t="s">
        <v>699</v>
      </c>
      <c r="I92" s="13">
        <v>42692.638425925928</v>
      </c>
      <c r="J92" s="7">
        <v>0</v>
      </c>
      <c r="K92" s="109" t="str">
        <f t="shared" si="17"/>
        <v>4025/4026</v>
      </c>
      <c r="L92" s="22" t="str">
        <f>VLOOKUP(A92,'Trips&amp;Operators'!$C$1:$E$10000,3,FALSE)</f>
        <v>HILLS</v>
      </c>
      <c r="M92" s="6">
        <f t="shared" si="18"/>
        <v>2.6296296302461997E-2</v>
      </c>
      <c r="N92" s="7">
        <f t="shared" si="19"/>
        <v>37.866666675545275</v>
      </c>
      <c r="O92" s="7"/>
      <c r="P92" s="7"/>
      <c r="Q92" s="23"/>
      <c r="R92" s="23"/>
      <c r="S92" s="35">
        <f t="shared" si="20"/>
        <v>1</v>
      </c>
      <c r="T92" s="50" t="str">
        <f t="shared" si="21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13:27:07-700',mode:absolute,to:'2016-11-18 16:19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2" s="52" t="str">
        <f t="shared" si="23"/>
        <v>N</v>
      </c>
      <c r="X92" s="177">
        <f t="shared" si="34"/>
        <v>1</v>
      </c>
      <c r="Y92" s="67">
        <f t="shared" si="24"/>
        <v>23.300799999999999</v>
      </c>
      <c r="Z92" s="67">
        <f t="shared" si="25"/>
        <v>1.01E-2</v>
      </c>
      <c r="AA92" s="67">
        <f t="shared" si="26"/>
        <v>23.290699999999998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27"/>
        <v>0182-18</v>
      </c>
      <c r="AE92" s="91" t="str">
        <f t="shared" si="28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92" s="88" t="str">
        <f t="shared" si="29"/>
        <v>"C:\Program Files (x86)\AstroGrep\AstroGrep.exe" /spath="%USERPROFILE%\AppData\Local\Temp\OnboardLogs" /stypes="app*4026*20161118*" /stext=" 22:.+((SYSTEM_STATE.+slice.+state.+changed )|(ment ac)|(system.+state.+changed )|(\[timeout)|(PRM\|1\|D)|(kpr)|(kdp)|(\|lc)|(penalty))" /e /r /s</v>
      </c>
      <c r="AG92" s="1" t="str">
        <f t="shared" si="30"/>
        <v>EC</v>
      </c>
      <c r="AH92" s="92" t="str">
        <f t="shared" si="31"/>
        <v>"%USERPROFILE%\Documents\GitHub\eaglep3\Utilities\RefineRTDCRunTimes.py" --tripid 182-18 --locoid 4026 --swversion DE.1.0.8.0 --startMP 204:233008 --initTime 2016-11-18T14:27:07 --startdatetime 2016-11-18T14:41:28 --delay 1 --endMP 204:101 --enddatetime 2016-11-18T15:19:20 --enforcementcount 0 &gt;&gt;C:\Users\stu\Documents\GitHub\eaglep3-reporting\EC\2016-11-18-refined-times.txt</v>
      </c>
      <c r="AI9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{"issue":{"subject":"","project_id":79,"tracker_id":40,"status_id":1,"priority_id":2,"assigned_to_id":23,"start_date":"2016-11-18","description":"","custom_fields":[{"id":1,"name":"Subdivision","value":"EC"},{"id":4,"name":"Milepost","value":"0.0101"},{"id":17,"name":"Train ID","value":"182-18"},{"id":16,"name":"Locomotive ID","value":"4026"},{"id":130,"name":"Impact","value":""},{"id":150,"name":"Time of Event (Mountain Time)","value":"15:19:20"},{"id":151,"name":"Denver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563</v>
      </c>
      <c r="B93" s="7">
        <v>4046</v>
      </c>
      <c r="C93" s="22" t="s">
        <v>218</v>
      </c>
      <c r="D93" s="22" t="s">
        <v>270</v>
      </c>
      <c r="E93" s="13">
        <v>42692.579571759263</v>
      </c>
      <c r="F93" s="13">
        <v>42692.583506944444</v>
      </c>
      <c r="G93" s="7">
        <v>1</v>
      </c>
      <c r="H93" s="22" t="s">
        <v>700</v>
      </c>
      <c r="I93" s="13">
        <v>42692.608738425923</v>
      </c>
      <c r="J93" s="7">
        <v>0</v>
      </c>
      <c r="K93" s="109" t="str">
        <f t="shared" si="17"/>
        <v>4045/4046</v>
      </c>
      <c r="L93" s="22" t="str">
        <f>VLOOKUP(A93,'Trips&amp;Operators'!$C$1:$E$10000,3,FALSE)</f>
        <v>SHOOK</v>
      </c>
      <c r="M93" s="6">
        <f t="shared" si="18"/>
        <v>2.5231481478840578E-2</v>
      </c>
      <c r="N93" s="7">
        <f t="shared" si="19"/>
        <v>36.333333329530433</v>
      </c>
      <c r="O93" s="7"/>
      <c r="P93" s="7"/>
      <c r="Q93" s="23"/>
      <c r="R93" s="23"/>
      <c r="S93" s="35">
        <f t="shared" si="20"/>
        <v>1</v>
      </c>
      <c r="T93" s="50" t="str">
        <f t="shared" si="21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12:54:35-700',mode:absolute,to:'2016-11-18 15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3" s="52" t="str">
        <f t="shared" si="23"/>
        <v>N</v>
      </c>
      <c r="X93" s="177">
        <f t="shared" si="34"/>
        <v>1</v>
      </c>
      <c r="Y93" s="67">
        <f t="shared" si="24"/>
        <v>4.4900000000000002E-2</v>
      </c>
      <c r="Z93" s="67">
        <f t="shared" si="25"/>
        <v>23.337399999999999</v>
      </c>
      <c r="AA93" s="67">
        <f t="shared" si="26"/>
        <v>23.2925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27"/>
        <v>0183-18</v>
      </c>
      <c r="AE93" s="91" t="str">
        <f t="shared" si="28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93" s="88" t="str">
        <f t="shared" si="29"/>
        <v>"C:\Program Files (x86)\AstroGrep\AstroGrep.exe" /spath="%USERPROFILE%\AppData\Local\Temp\OnboardLogs" /stypes="app*4046*20161118*" /stext=" 21:.+((SYSTEM_STATE.+slice.+state.+changed )|(ment ac)|(system.+state.+changed )|(\[timeout)|(PRM\|1\|D)|(kpr)|(kdp)|(\|lc)|(penalty))" /e /r /s</v>
      </c>
      <c r="AG93" s="1" t="str">
        <f t="shared" si="30"/>
        <v>EC</v>
      </c>
      <c r="AH93" s="92" t="str">
        <f t="shared" si="31"/>
        <v>"%USERPROFILE%\Documents\GitHub\eaglep3\Utilities\RefineRTDCRunTimes.py" --tripid 183-18 --locoid 4046 --swversion DE.1.0.8.0 --startMP 204:449 --initTime 2016-11-18T13:54:35 --startdatetime 2016-11-18T14:00:15 --delay 1 --endMP 204:233374 --enddatetime 2016-11-18T14:36:35 --enforcementcount 0 &gt;&gt;C:\Users\stu\Documents\GitHub\eaglep3-reporting\EC\2016-11-18-refined-times.txt</v>
      </c>
      <c r="AI9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{"issue":{"subject":"","project_id":79,"tracker_id":40,"status_id":1,"priority_id":2,"assigned_to_id":23,"start_date":"2016-11-18","description":"","custom_fields":[{"id":1,"name":"Subdivision","value":"EC"},{"id":4,"name":"Milepost","value":"23.3374"},{"id":17,"name":"Train ID","value":"183-18"},{"id":16,"name":"Locomotive ID","value":"4046"},{"id":130,"name":"Impact","value":""},{"id":150,"name":"Time of Event (Mountain Time)","value":"14:36:35"},{"id":151,"name":"Denver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569</v>
      </c>
      <c r="B94" s="7">
        <v>4045</v>
      </c>
      <c r="C94" s="22" t="s">
        <v>218</v>
      </c>
      <c r="D94" s="22" t="s">
        <v>408</v>
      </c>
      <c r="E94" s="13">
        <v>42692.617268518516</v>
      </c>
      <c r="F94" s="13">
        <v>42692.622488425928</v>
      </c>
      <c r="G94" s="7">
        <v>1</v>
      </c>
      <c r="H94" s="22" t="s">
        <v>352</v>
      </c>
      <c r="I94" s="13">
        <v>42692.649282407408</v>
      </c>
      <c r="J94" s="7">
        <v>0</v>
      </c>
      <c r="K94" s="109" t="str">
        <f t="shared" si="17"/>
        <v>4045/4046</v>
      </c>
      <c r="L94" s="22" t="str">
        <f>VLOOKUP(A94,'Trips&amp;Operators'!$C$1:$E$10000,3,FALSE)</f>
        <v>SHOOK</v>
      </c>
      <c r="M94" s="6">
        <f t="shared" si="18"/>
        <v>2.679398148029577E-2</v>
      </c>
      <c r="N94" s="7">
        <f t="shared" si="19"/>
        <v>38.583333331625909</v>
      </c>
      <c r="O94" s="7"/>
      <c r="P94" s="7"/>
      <c r="Q94" s="23"/>
      <c r="R94" s="23"/>
      <c r="S94" s="35">
        <f t="shared" si="20"/>
        <v>1</v>
      </c>
      <c r="T94" s="50" t="str">
        <f t="shared" si="21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13:48:52-700',mode:absolute,to:'2016-11-18 16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4" s="52" t="str">
        <f t="shared" si="23"/>
        <v>N</v>
      </c>
      <c r="X94" s="177">
        <f t="shared" si="34"/>
        <v>1</v>
      </c>
      <c r="Y94" s="67">
        <f t="shared" si="24"/>
        <v>23.3034</v>
      </c>
      <c r="Z94" s="67">
        <f t="shared" si="25"/>
        <v>1.6500000000000001E-2</v>
      </c>
      <c r="AA94" s="67">
        <f t="shared" si="26"/>
        <v>23.286899999999999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27"/>
        <v>0184-18</v>
      </c>
      <c r="AE94" s="91" t="str">
        <f t="shared" si="28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94" s="88" t="str">
        <f t="shared" si="29"/>
        <v>"C:\Program Files (x86)\AstroGrep\AstroGrep.exe" /spath="%USERPROFILE%\AppData\Local\Temp\OnboardLogs" /stypes="app*4045*20161118*" /stext=" 22:.+((SYSTEM_STATE.+slice.+state.+changed )|(ment ac)|(system.+state.+changed )|(\[timeout)|(PRM\|1\|D)|(kpr)|(kdp)|(\|lc)|(penalty))" /e /r /s</v>
      </c>
      <c r="AG94" s="1" t="str">
        <f t="shared" si="30"/>
        <v>EC</v>
      </c>
      <c r="AH94" s="92" t="str">
        <f t="shared" si="31"/>
        <v>"%USERPROFILE%\Documents\GitHub\eaglep3\Utilities\RefineRTDCRunTimes.py" --tripid 184-18 --locoid 4045 --swversion DE.1.0.8.0 --startMP 204:233034 --initTime 2016-11-18T14:48:52 --startdatetime 2016-11-18T14:56:23 --delay 1 --endMP 204:165 --enddatetime 2016-11-18T15:34:58 --enforcementcount 0 &gt;&gt;C:\Users\stu\Documents\GitHub\eaglep3-reporting\EC\2016-11-18-refined-times.txt</v>
      </c>
      <c r="AI9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{"issue":{"subject":"","project_id":79,"tracker_id":40,"status_id":1,"priority_id":2,"assigned_to_id":23,"start_date":"2016-11-18","description":"","custom_fields":[{"id":1,"name":"Subdivision","value":"EC"},{"id":4,"name":"Milepost","value":"0.0165"},{"id":17,"name":"Train ID","value":"184-18"},{"id":16,"name":"Locomotive ID","value":"4045"},{"id":130,"name":"Impact","value":""},{"id":150,"name":"Time of Event (Mountain Time)","value":"15:34:58"},{"id":151,"name":"Denver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564</v>
      </c>
      <c r="B95" s="7">
        <v>4016</v>
      </c>
      <c r="C95" s="22" t="s">
        <v>218</v>
      </c>
      <c r="D95" s="22" t="s">
        <v>270</v>
      </c>
      <c r="E95" s="13">
        <v>42692.588726851849</v>
      </c>
      <c r="F95" s="13">
        <v>42692.594143518516</v>
      </c>
      <c r="G95" s="7">
        <v>1</v>
      </c>
      <c r="H95" s="22" t="s">
        <v>416</v>
      </c>
      <c r="I95" s="13">
        <v>42692.61959490741</v>
      </c>
      <c r="J95" s="7">
        <v>0</v>
      </c>
      <c r="K95" s="109" t="str">
        <f t="shared" si="17"/>
        <v>4015/4016</v>
      </c>
      <c r="L95" s="22" t="str">
        <f>VLOOKUP(A95,'Trips&amp;Operators'!$C$1:$E$10000,3,FALSE)</f>
        <v>BROWN</v>
      </c>
      <c r="M95" s="6">
        <f t="shared" si="18"/>
        <v>2.5451388893998228E-2</v>
      </c>
      <c r="N95" s="7">
        <f t="shared" si="19"/>
        <v>36.650000007357448</v>
      </c>
      <c r="O95" s="7"/>
      <c r="P95" s="7"/>
      <c r="Q95" s="23"/>
      <c r="R95" s="23"/>
      <c r="S95" s="35">
        <f t="shared" si="20"/>
        <v>1</v>
      </c>
      <c r="T95" s="50" t="str">
        <f t="shared" si="21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13:07:46-700',mode:absolute,to:'2016-11-18 15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5" s="52" t="str">
        <f t="shared" si="23"/>
        <v>N</v>
      </c>
      <c r="X95" s="177">
        <f t="shared" si="34"/>
        <v>1</v>
      </c>
      <c r="Y95" s="67">
        <f t="shared" si="24"/>
        <v>4.4900000000000002E-2</v>
      </c>
      <c r="Z95" s="67">
        <f t="shared" si="25"/>
        <v>23.333400000000001</v>
      </c>
      <c r="AA95" s="67">
        <f t="shared" si="26"/>
        <v>23.288500000000003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27"/>
        <v>0185-18</v>
      </c>
      <c r="AE95" s="91" t="str">
        <f t="shared" si="28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95" s="88" t="str">
        <f t="shared" si="29"/>
        <v>"C:\Program Files (x86)\AstroGrep\AstroGrep.exe" /spath="%USERPROFILE%\AppData\Local\Temp\OnboardLogs" /stypes="app*4016*20161118*" /stext=" 21:.+((SYSTEM_STATE.+slice.+state.+changed )|(ment ac)|(system.+state.+changed )|(\[timeout)|(PRM\|1\|D)|(kpr)|(kdp)|(\|lc)|(penalty))" /e /r /s</v>
      </c>
      <c r="AG95" s="1" t="str">
        <f t="shared" si="30"/>
        <v>EC</v>
      </c>
      <c r="AH95" s="92" t="str">
        <f t="shared" si="31"/>
        <v>"%USERPROFILE%\Documents\GitHub\eaglep3\Utilities\RefineRTDCRunTimes.py" --tripid 185-18 --locoid 4016 --swversion DE.1.0.8.0 --startMP 204:449 --initTime 2016-11-18T14:07:46 --startdatetime 2016-11-18T14:15:34 --delay 1 --endMP 204:233334 --enddatetime 2016-11-18T14:52:13 --enforcementcount 0 &gt;&gt;C:\Users\stu\Documents\GitHub\eaglep3-reporting\EC\2016-11-18-refined-times.txt</v>
      </c>
      <c r="AI9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{"issue":{"subject":"","project_id":79,"tracker_id":40,"status_id":1,"priority_id":2,"assigned_to_id":23,"start_date":"2016-11-18","description":"","custom_fields":[{"id":1,"name":"Subdivision","value":"EC"},{"id":4,"name":"Milepost","value":"23.3334"},{"id":17,"name":"Train ID","value":"185-18"},{"id":16,"name":"Locomotive ID","value":"4016"},{"id":130,"name":"Impact","value":""},{"id":150,"name":"Time of Event (Mountain Time)","value":"14:52:13"},{"id":151,"name":"Denver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571</v>
      </c>
      <c r="B96" s="7">
        <v>4015</v>
      </c>
      <c r="C96" s="22" t="s">
        <v>218</v>
      </c>
      <c r="D96" s="22" t="s">
        <v>701</v>
      </c>
      <c r="E96" s="13">
        <v>42692.625381944446</v>
      </c>
      <c r="F96" s="13">
        <v>42692.632997685185</v>
      </c>
      <c r="G96" s="7">
        <v>1</v>
      </c>
      <c r="H96" s="22" t="s">
        <v>231</v>
      </c>
      <c r="I96" s="13">
        <v>42692.660740740743</v>
      </c>
      <c r="J96" s="7">
        <v>0</v>
      </c>
      <c r="K96" s="109" t="str">
        <f t="shared" si="17"/>
        <v>4015/4016</v>
      </c>
      <c r="L96" s="22" t="str">
        <f>VLOOKUP(A96,'Trips&amp;Operators'!$C$1:$E$10000,3,FALSE)</f>
        <v>BROWN</v>
      </c>
      <c r="M96" s="6">
        <f t="shared" si="18"/>
        <v>2.7743055557948537E-2</v>
      </c>
      <c r="N96" s="7">
        <f t="shared" si="19"/>
        <v>39.950000003445894</v>
      </c>
      <c r="O96" s="7"/>
      <c r="P96" s="7"/>
      <c r="Q96" s="23"/>
      <c r="R96" s="23"/>
      <c r="S96" s="35">
        <f t="shared" si="20"/>
        <v>1</v>
      </c>
      <c r="T96" s="50" t="str">
        <f t="shared" si="21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14:00:33-700',mode:absolute,to:'2016-11-18 16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6" s="52" t="str">
        <f t="shared" si="23"/>
        <v>N</v>
      </c>
      <c r="X96" s="177">
        <f t="shared" si="34"/>
        <v>1</v>
      </c>
      <c r="Y96" s="67">
        <f t="shared" si="24"/>
        <v>23.3004</v>
      </c>
      <c r="Z96" s="67">
        <f t="shared" si="25"/>
        <v>1.4999999999999999E-2</v>
      </c>
      <c r="AA96" s="67">
        <f t="shared" si="26"/>
        <v>23.285399999999999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27"/>
        <v>0186-18</v>
      </c>
      <c r="AE96" s="91" t="str">
        <f t="shared" si="28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96" s="88" t="str">
        <f t="shared" si="29"/>
        <v>"C:\Program Files (x86)\AstroGrep\AstroGrep.exe" /spath="%USERPROFILE%\AppData\Local\Temp\OnboardLogs" /stypes="app*4015*20161118*" /stext=" 22:.+((SYSTEM_STATE.+slice.+state.+changed )|(ment ac)|(system.+state.+changed )|(\[timeout)|(PRM\|1\|D)|(kpr)|(kdp)|(\|lc)|(penalty))" /e /r /s</v>
      </c>
      <c r="AG96" s="1" t="str">
        <f t="shared" si="30"/>
        <v>EC</v>
      </c>
      <c r="AH96" s="92" t="str">
        <f t="shared" si="31"/>
        <v>"%USERPROFILE%\Documents\GitHub\eaglep3\Utilities\RefineRTDCRunTimes.py" --tripid 186-18 --locoid 4015 --swversion DE.1.0.8.0 --startMP 204:233004 --initTime 2016-11-18T15:00:33 --startdatetime 2016-11-18T15:11:31 --delay 1 --endMP 204:150 --enddatetime 2016-11-18T15:51:28 --enforcementcount 0 &gt;&gt;C:\Users\stu\Documents\GitHub\eaglep3-reporting\EC\2016-11-18-refined-times.txt</v>
      </c>
      <c r="AI9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{"issue":{"subject":"","project_id":79,"tracker_id":40,"status_id":1,"priority_id":2,"assigned_to_id":23,"start_date":"2016-11-18","description":"","custom_fields":[{"id":1,"name":"Subdivision","value":"EC"},{"id":4,"name":"Milepost","value":"0.015"},{"id":17,"name":"Train ID","value":"186-18"},{"id":16,"name":"Locomotive ID","value":"4015"},{"id":130,"name":"Impact","value":""},{"id":150,"name":"Time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7" t="s">
        <v>567</v>
      </c>
      <c r="B97" s="7">
        <v>4029</v>
      </c>
      <c r="C97" s="22" t="s">
        <v>218</v>
      </c>
      <c r="D97" s="22" t="s">
        <v>396</v>
      </c>
      <c r="E97" s="13">
        <v>42692.598935185182</v>
      </c>
      <c r="F97" s="13">
        <v>42692.604432870372</v>
      </c>
      <c r="G97" s="7">
        <v>2</v>
      </c>
      <c r="H97" s="22" t="s">
        <v>675</v>
      </c>
      <c r="I97" s="13">
        <v>42692.62908564815</v>
      </c>
      <c r="J97" s="7">
        <v>0</v>
      </c>
      <c r="K97" s="109" t="str">
        <f t="shared" si="17"/>
        <v>4029/4030</v>
      </c>
      <c r="L97" s="22" t="str">
        <f>VLOOKUP(A97,'Trips&amp;Operators'!$C$1:$E$10000,3,FALSE)</f>
        <v>STEWART</v>
      </c>
      <c r="M97" s="6">
        <f t="shared" si="18"/>
        <v>2.4652777778101154E-2</v>
      </c>
      <c r="N97" s="7">
        <f t="shared" si="19"/>
        <v>35.500000000465661</v>
      </c>
      <c r="O97" s="7"/>
      <c r="P97" s="7"/>
      <c r="Q97" s="23"/>
      <c r="R97" s="23"/>
      <c r="S97" s="35">
        <f t="shared" si="20"/>
        <v>1</v>
      </c>
      <c r="T97" s="50" t="str">
        <f t="shared" si="21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13:22:28-700',mode:absolute,to:'2016-11-18 16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23"/>
        <v>N</v>
      </c>
      <c r="X97" s="177">
        <f t="shared" si="34"/>
        <v>1</v>
      </c>
      <c r="Y97" s="67">
        <f t="shared" si="24"/>
        <v>4.4200000000000003E-2</v>
      </c>
      <c r="Z97" s="67">
        <f t="shared" si="25"/>
        <v>23.329899999999999</v>
      </c>
      <c r="AA97" s="67">
        <f t="shared" si="26"/>
        <v>23.285699999999999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27"/>
        <v>0187-18</v>
      </c>
      <c r="AE97" s="91" t="str">
        <f t="shared" si="28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97" s="88" t="str">
        <f t="shared" si="29"/>
        <v>"C:\Program Files (x86)\AstroGrep\AstroGrep.exe" /spath="%USERPROFILE%\AppData\Local\Temp\OnboardLogs" /stypes="app*4029*20161118*" /stext=" 22:.+((SYSTEM_STATE.+slice.+state.+changed )|(ment ac)|(system.+state.+changed )|(\[timeout)|(PRM\|1\|D)|(kpr)|(kdp)|(\|lc)|(penalty))" /e /r /s</v>
      </c>
      <c r="AG97" s="1" t="str">
        <f t="shared" si="30"/>
        <v>EC</v>
      </c>
      <c r="AH97" s="92" t="str">
        <f t="shared" si="31"/>
        <v>"%USERPROFILE%\Documents\GitHub\eaglep3\Utilities\RefineRTDCRunTimes.py" --tripid 187-18 --locoid 4029 --swversion DE.1.0.8.0 --startMP 204:442 --initTime 2016-11-18T14:22:28 --startdatetime 2016-11-18T14:30:23 --delay 2 --endMP 204:233299 --enddatetime 2016-11-18T15:05:53 --enforcementcount 0 &gt;&gt;C:\Users\stu\Documents\GitHub\eaglep3-reporting\EC\2016-11-18-refined-times.txt</v>
      </c>
      <c r="AI9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{"issue":{"subject":"","project_id":79,"tracker_id":40,"status_id":1,"priority_id":2,"assigned_to_id":23,"start_date":"2016-11-18","description":"","custom_fields":[{"id":1,"name":"Subdivision","value":"EC"},{"id":4,"name":"Milepost","value":"23.3299"},{"id":17,"name":"Train ID","value":"187-18"},{"id":16,"name":"Locomotive ID","value":"4029"},{"id":130,"name":"Impact","value":""},{"id":150,"name":"Time of Event (Mountain Time)","value":"15:05:53"},{"id":151,"name":"Denver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574</v>
      </c>
      <c r="B98" s="7">
        <v>4030</v>
      </c>
      <c r="C98" s="22" t="s">
        <v>218</v>
      </c>
      <c r="D98" s="22" t="s">
        <v>353</v>
      </c>
      <c r="E98" s="13">
        <v>42692.639456018522</v>
      </c>
      <c r="F98" s="13">
        <v>42692.643287037034</v>
      </c>
      <c r="G98" s="7">
        <v>2</v>
      </c>
      <c r="H98" s="22" t="s">
        <v>266</v>
      </c>
      <c r="I98" s="13">
        <v>42692.670439814814</v>
      </c>
      <c r="J98" s="7">
        <v>0</v>
      </c>
      <c r="K98" s="109" t="str">
        <f t="shared" si="17"/>
        <v>4029/4030</v>
      </c>
      <c r="L98" s="22" t="str">
        <f>VLOOKUP(A98,'Trips&amp;Operators'!$C$1:$E$10000,3,FALSE)</f>
        <v>STEWART</v>
      </c>
      <c r="M98" s="6">
        <f t="shared" si="18"/>
        <v>2.715277778042946E-2</v>
      </c>
      <c r="N98" s="7">
        <f t="shared" si="19"/>
        <v>39.100000003818423</v>
      </c>
      <c r="O98" s="7"/>
      <c r="P98" s="7"/>
      <c r="Q98" s="23"/>
      <c r="R98" s="23"/>
      <c r="S98" s="35">
        <f t="shared" si="20"/>
        <v>1</v>
      </c>
      <c r="T98" s="50" t="str">
        <f t="shared" si="21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14:20:49-700',mode:absolute,to:'2016-11-18 17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23"/>
        <v>N</v>
      </c>
      <c r="X98" s="177">
        <f t="shared" si="34"/>
        <v>1</v>
      </c>
      <c r="Y98" s="67">
        <f t="shared" si="24"/>
        <v>23.298200000000001</v>
      </c>
      <c r="Z98" s="67">
        <f t="shared" si="25"/>
        <v>1.54E-2</v>
      </c>
      <c r="AA98" s="67">
        <f t="shared" si="26"/>
        <v>23.282800000000002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27"/>
        <v>0188-18</v>
      </c>
      <c r="AE98" s="91" t="str">
        <f t="shared" si="28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98" s="88" t="str">
        <f t="shared" si="29"/>
        <v>"C:\Program Files (x86)\AstroGrep\AstroGrep.exe" /spath="%USERPROFILE%\AppData\Local\Temp\OnboardLogs" /stypes="app*4030*20161118*" /stext=" 23:.+((SYSTEM_STATE.+slice.+state.+changed )|(ment ac)|(system.+state.+changed )|(\[timeout)|(PRM\|1\|D)|(kpr)|(kdp)|(\|lc)|(penalty))" /e /r /s</v>
      </c>
      <c r="AG98" s="1" t="str">
        <f t="shared" si="30"/>
        <v>EC</v>
      </c>
      <c r="AH98" s="92" t="str">
        <f t="shared" si="31"/>
        <v>"%USERPROFILE%\Documents\GitHub\eaglep3\Utilities\RefineRTDCRunTimes.py" --tripid 188-18 --locoid 4030 --swversion DE.1.0.8.0 --startMP 204:232982 --initTime 2016-11-18T15:20:49 --startdatetime 2016-11-18T15:26:20 --delay 2 --endMP 204:154 --enddatetime 2016-11-18T16:05:26 --enforcementcount 0 &gt;&gt;C:\Users\stu\Documents\GitHub\eaglep3-reporting\EC\2016-11-18-refined-times.txt</v>
      </c>
      <c r="AI9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{"issue":{"subject":"","project_id":79,"tracker_id":40,"status_id":1,"priority_id":2,"assigned_to_id":23,"start_date":"2016-11-18","description":"","custom_fields":[{"id":1,"name":"Subdivision","value":"EC"},{"id":4,"name":"Milepost","value":"0.0154"},{"id":17,"name":"Train ID","value":"188-18"},{"id":16,"name":"Locomotive ID","value":"4030"},{"id":130,"name":"Impact","value":""},{"id":150,"name":"Time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460</v>
      </c>
      <c r="B99" s="7">
        <v>4042</v>
      </c>
      <c r="C99" s="22" t="s">
        <v>218</v>
      </c>
      <c r="D99" s="22" t="s">
        <v>268</v>
      </c>
      <c r="E99" s="13">
        <v>42692.610300925924</v>
      </c>
      <c r="F99" s="13">
        <v>42692.614930555559</v>
      </c>
      <c r="G99" s="7">
        <v>1</v>
      </c>
      <c r="H99" s="22" t="s">
        <v>187</v>
      </c>
      <c r="I99" s="13">
        <v>42692.640625</v>
      </c>
      <c r="J99" s="7">
        <v>0</v>
      </c>
      <c r="K99" s="109" t="str">
        <f t="shared" si="17"/>
        <v>4041/4042</v>
      </c>
      <c r="L99" s="22" t="str">
        <f>VLOOKUP(A99,'Trips&amp;Operators'!$C$1:$E$10000,3,FALSE)</f>
        <v>CLARK</v>
      </c>
      <c r="M99" s="6">
        <f t="shared" si="18"/>
        <v>2.569444444088731E-2</v>
      </c>
      <c r="N99" s="7">
        <f t="shared" si="19"/>
        <v>36.999999994877726</v>
      </c>
      <c r="O99" s="7"/>
      <c r="P99" s="7"/>
      <c r="Q99" s="23"/>
      <c r="R99" s="23"/>
      <c r="S99" s="35">
        <f t="shared" si="20"/>
        <v>1</v>
      </c>
      <c r="T99" s="50" t="str">
        <f t="shared" si="21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13:38:50-700',mode:absolute,to:'2016-11-18 16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23"/>
        <v>N</v>
      </c>
      <c r="X99" s="177">
        <f t="shared" si="34"/>
        <v>1</v>
      </c>
      <c r="Y99" s="67">
        <f t="shared" si="24"/>
        <v>4.6600000000000003E-2</v>
      </c>
      <c r="Z99" s="67">
        <f t="shared" si="25"/>
        <v>23.329699999999999</v>
      </c>
      <c r="AA99" s="67">
        <f t="shared" si="26"/>
        <v>23.283099999999997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27"/>
        <v>0189-18</v>
      </c>
      <c r="AE99" s="91" t="str">
        <f t="shared" si="28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99" s="88" t="str">
        <f t="shared" si="29"/>
        <v>"C:\Program Files (x86)\AstroGrep\AstroGrep.exe" /spath="%USERPROFILE%\AppData\Local\Temp\OnboardLogs" /stypes="app*4042*20161118*" /stext=" 22:.+((SYSTEM_STATE.+slice.+state.+changed )|(ment ac)|(system.+state.+changed )|(\[timeout)|(PRM\|1\|D)|(kpr)|(kdp)|(\|lc)|(penalty))" /e /r /s</v>
      </c>
      <c r="AG99" s="1" t="str">
        <f t="shared" si="30"/>
        <v>EC</v>
      </c>
      <c r="AH99" s="92" t="str">
        <f t="shared" si="31"/>
        <v>"%USERPROFILE%\Documents\GitHub\eaglep3\Utilities\RefineRTDCRunTimes.py" --tripid 189-18 --locoid 4042 --swversion DE.1.0.8.0 --startMP 204:466 --initTime 2016-11-18T14:38:50 --startdatetime 2016-11-18T14:45:30 --delay 1 --endMP 204:233297 --enddatetime 2016-11-18T15:22:30 --enforcementcount 0 &gt;&gt;C:\Users\stu\Documents\GitHub\eaglep3-reporting\EC\2016-11-18-refined-times.txt</v>
      </c>
      <c r="AI9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{"issue":{"subject":"","project_id":79,"tracker_id":40,"status_id":1,"priority_id":2,"assigned_to_id":23,"start_date":"2016-11-18","description":"","custom_fields":[{"id":1,"name":"Subdivision","value":"EC"},{"id":4,"name":"Milepost","value":"23.3297"},{"id":17,"name":"Train ID","value":"189-18"},{"id":16,"name":"Locomotive ID","value":"4042"},{"id":130,"name":"Impact","value":""},{"id":150,"name":"Time of Event (Mountain Time)","value":"15:22:30"},{"id":151,"name":"Denver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s="21" customFormat="1" x14ac:dyDescent="0.25">
      <c r="A100" s="37" t="s">
        <v>576</v>
      </c>
      <c r="B100" s="7">
        <v>4041</v>
      </c>
      <c r="C100" s="22" t="s">
        <v>218</v>
      </c>
      <c r="D100" s="22" t="s">
        <v>274</v>
      </c>
      <c r="E100" s="13">
        <v>42692.64912037037</v>
      </c>
      <c r="F100" s="13">
        <v>42692.653680555559</v>
      </c>
      <c r="G100" s="7">
        <v>1</v>
      </c>
      <c r="H100" s="22" t="s">
        <v>286</v>
      </c>
      <c r="I100" s="13">
        <v>42692.683275462965</v>
      </c>
      <c r="J100" s="7">
        <v>0</v>
      </c>
      <c r="K100" s="109" t="str">
        <f t="shared" si="17"/>
        <v>4041/4042</v>
      </c>
      <c r="L100" s="22" t="str">
        <f>VLOOKUP(A100,'Trips&amp;Operators'!$C$1:$E$10000,3,FALSE)</f>
        <v>CLARK</v>
      </c>
      <c r="M100" s="6">
        <f t="shared" si="18"/>
        <v>2.9594907406135462E-2</v>
      </c>
      <c r="N100" s="7">
        <f t="shared" si="19"/>
        <v>42.616666664835066</v>
      </c>
      <c r="O100" s="7"/>
      <c r="P100" s="7"/>
      <c r="Q100" s="23"/>
      <c r="R100" s="23"/>
      <c r="S100" s="35">
        <f t="shared" si="20"/>
        <v>1</v>
      </c>
      <c r="T100" s="50" t="str">
        <f t="shared" si="21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14:34:44-700',mode:absolute,to:'2016-11-18 17:23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23"/>
        <v>N</v>
      </c>
      <c r="X100" s="177">
        <f t="shared" si="34"/>
        <v>1</v>
      </c>
      <c r="Y100" s="67">
        <f t="shared" si="24"/>
        <v>23.2987</v>
      </c>
      <c r="Z100" s="67">
        <f t="shared" si="25"/>
        <v>1.67E-2</v>
      </c>
      <c r="AA100" s="67">
        <f t="shared" si="26"/>
        <v>23.282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27"/>
        <v>0190-18</v>
      </c>
      <c r="AE100" s="91" t="str">
        <f t="shared" si="28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100" s="88" t="str">
        <f t="shared" si="29"/>
        <v>"C:\Program Files (x86)\AstroGrep\AstroGrep.exe" /spath="%USERPROFILE%\AppData\Local\Temp\OnboardLogs" /stypes="app*4041*20161118*" /stext=" 23:.+((SYSTEM_STATE.+slice.+state.+changed )|(ment ac)|(system.+state.+changed )|(\[timeout)|(PRM\|1\|D)|(kpr)|(kdp)|(\|lc)|(penalty))" /e /r /s</v>
      </c>
      <c r="AG100" s="1" t="str">
        <f t="shared" si="30"/>
        <v>EC</v>
      </c>
      <c r="AH100" s="92" t="str">
        <f t="shared" si="31"/>
        <v>"%USERPROFILE%\Documents\GitHub\eaglep3\Utilities\RefineRTDCRunTimes.py" --tripid 190-18 --locoid 4041 --swversion DE.1.0.8.0 --startMP 204:232987 --initTime 2016-11-18T15:34:44 --startdatetime 2016-11-18T15:41:18 --delay 1 --endMP 204:167 --enddatetime 2016-11-18T16:23:55 --enforcementcount 0 &gt;&gt;C:\Users\stu\Documents\GitHub\eaglep3-reporting\EC\2016-11-18-refined-times.txt</v>
      </c>
      <c r="AI10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{"issue":{"subject":"","project_id":79,"tracker_id":40,"status_id":1,"priority_id":2,"assigned_to_id":23,"start_date":"2016-11-18","description":"","custom_fields":[{"id":1,"name":"Subdivision","value":"EC"},{"id":4,"name":"Milepost","value":"0.0167"},{"id":17,"name":"Train ID","value":"190-18"},{"id":16,"name":"Locomotive ID","value":"4041"},{"id":130,"name":"Impact","value":""},{"id":150,"name":"Time of Event (Mountain Time)","value":"16:23:55"},{"id":151,"name":"Denver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570</v>
      </c>
      <c r="B101" s="7">
        <v>4018</v>
      </c>
      <c r="C101" s="22" t="s">
        <v>218</v>
      </c>
      <c r="D101" s="22" t="s">
        <v>317</v>
      </c>
      <c r="E101" s="13">
        <v>42692.619791666664</v>
      </c>
      <c r="F101" s="13">
        <v>42692.625185185185</v>
      </c>
      <c r="G101" s="7">
        <v>1</v>
      </c>
      <c r="H101" s="22" t="s">
        <v>389</v>
      </c>
      <c r="I101" s="13">
        <v>42692.650439814817</v>
      </c>
      <c r="J101" s="7">
        <v>0</v>
      </c>
      <c r="K101" s="109" t="str">
        <f t="shared" si="17"/>
        <v>4017/4018</v>
      </c>
      <c r="L101" s="22" t="str">
        <f>VLOOKUP(A101,'Trips&amp;Operators'!$C$1:$E$10000,3,FALSE)</f>
        <v>BONDS</v>
      </c>
      <c r="M101" s="6">
        <f t="shared" si="18"/>
        <v>2.5254629632399883E-2</v>
      </c>
      <c r="N101" s="7">
        <f t="shared" si="19"/>
        <v>36.366666670655832</v>
      </c>
      <c r="O101" s="7"/>
      <c r="P101" s="7"/>
      <c r="Q101" s="23"/>
      <c r="R101" s="23"/>
      <c r="S101" s="35">
        <f t="shared" si="20"/>
        <v>1</v>
      </c>
      <c r="T101" s="50" t="str">
        <f t="shared" si="21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13:52:30-700',mode:absolute,to:'2016-11-18 16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1" s="52" t="str">
        <f t="shared" si="23"/>
        <v>N</v>
      </c>
      <c r="X101" s="177">
        <f t="shared" si="34"/>
        <v>1</v>
      </c>
      <c r="Y101" s="67">
        <f t="shared" si="24"/>
        <v>4.2900000000000001E-2</v>
      </c>
      <c r="Z101" s="67">
        <f t="shared" si="25"/>
        <v>23.333200000000001</v>
      </c>
      <c r="AA101" s="67">
        <f t="shared" si="26"/>
        <v>23.290300000000002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27"/>
        <v>0191-18</v>
      </c>
      <c r="AE101" s="91" t="str">
        <f t="shared" si="28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01" s="88" t="str">
        <f t="shared" si="29"/>
        <v>"C:\Program Files (x86)\AstroGrep\AstroGrep.exe" /spath="%USERPROFILE%\AppData\Local\Temp\OnboardLogs" /stypes="app*4018*20161118*" /stext=" 22:.+((SYSTEM_STATE.+slice.+state.+changed )|(ment ac)|(system.+state.+changed )|(\[timeout)|(PRM\|1\|D)|(kpr)|(kdp)|(\|lc)|(penalty))" /e /r /s</v>
      </c>
      <c r="AG101" s="1" t="str">
        <f t="shared" si="30"/>
        <v>EC</v>
      </c>
      <c r="AH101" s="92" t="str">
        <f t="shared" si="31"/>
        <v>"%USERPROFILE%\Documents\GitHub\eaglep3\Utilities\RefineRTDCRunTimes.py" --tripid 191-18 --locoid 4018 --swversion DE.1.0.8.0 --startMP 204:429 --initTime 2016-11-18T14:52:30 --startdatetime 2016-11-18T15:00:16 --delay 1 --endMP 204:233332 --enddatetime 2016-11-18T15:36:38 --enforcementcount 0 &gt;&gt;C:\Users\stu\Documents\GitHub\eaglep3-reporting\EC\2016-11-18-refined-times.txt</v>
      </c>
      <c r="AI10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{"issue":{"subject":"","project_id":79,"tracker_id":40,"status_id":1,"priority_id":2,"assigned_to_id":23,"start_date":"2016-11-18","description":"","custom_fields":[{"id":1,"name":"Subdivision","value":"EC"},{"id":4,"name":"Milepost","value":"23.3332"},{"id":17,"name":"Train ID","value":"191-18"},{"id":16,"name":"Locomotive ID","value":"4018"},{"id":130,"name":"Impact","value":""},{"id":150,"name":"Time of Event (Mountain Time)","value":"15:36:38"},{"id":151,"name":"Denver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580</v>
      </c>
      <c r="B102" s="7">
        <v>4017</v>
      </c>
      <c r="C102" s="22" t="s">
        <v>218</v>
      </c>
      <c r="D102" s="22" t="s">
        <v>280</v>
      </c>
      <c r="E102" s="13">
        <v>42692.654340277775</v>
      </c>
      <c r="F102" s="13">
        <v>42692.664085648146</v>
      </c>
      <c r="G102" s="7">
        <v>1</v>
      </c>
      <c r="H102" s="22" t="s">
        <v>271</v>
      </c>
      <c r="I102" s="13">
        <v>42692.690949074073</v>
      </c>
      <c r="J102" s="7">
        <v>0</v>
      </c>
      <c r="K102" s="109" t="str">
        <f t="shared" si="17"/>
        <v>4017/4018</v>
      </c>
      <c r="L102" s="22" t="str">
        <f>VLOOKUP(A102,'Trips&amp;Operators'!$C$1:$E$10000,3,FALSE)</f>
        <v>BONDS</v>
      </c>
      <c r="M102" s="6">
        <f t="shared" si="18"/>
        <v>2.6863425926421769E-2</v>
      </c>
      <c r="N102" s="7">
        <f t="shared" si="19"/>
        <v>38.683333334047347</v>
      </c>
      <c r="O102" s="7"/>
      <c r="P102" s="7"/>
      <c r="Q102" s="23"/>
      <c r="R102" s="23"/>
      <c r="S102" s="35">
        <f t="shared" si="20"/>
        <v>1</v>
      </c>
      <c r="T102" s="50" t="str">
        <f t="shared" si="21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14:42:15-700',mode:absolute,to:'2016-11-18 17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2" s="52" t="str">
        <f t="shared" si="23"/>
        <v>N</v>
      </c>
      <c r="X102" s="177">
        <f t="shared" si="34"/>
        <v>1</v>
      </c>
      <c r="Y102" s="67">
        <f t="shared" si="24"/>
        <v>23.297499999999999</v>
      </c>
      <c r="Z102" s="67">
        <f t="shared" si="25"/>
        <v>1.41E-2</v>
      </c>
      <c r="AA102" s="67">
        <f t="shared" si="26"/>
        <v>23.2834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27"/>
        <v>0192-18</v>
      </c>
      <c r="AE102" s="91" t="str">
        <f t="shared" si="28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02" s="88" t="str">
        <f t="shared" si="29"/>
        <v>"C:\Program Files (x86)\AstroGrep\AstroGrep.exe" /spath="%USERPROFILE%\AppData\Local\Temp\OnboardLogs" /stypes="app*4017*20161118*" /stext=" 23:.+((SYSTEM_STATE.+slice.+state.+changed )|(ment ac)|(system.+state.+changed )|(\[timeout)|(PRM\|1\|D)|(kpr)|(kdp)|(\|lc)|(penalty))" /e /r /s</v>
      </c>
      <c r="AG102" s="1" t="str">
        <f t="shared" si="30"/>
        <v>EC</v>
      </c>
      <c r="AH102" s="92" t="str">
        <f t="shared" si="31"/>
        <v>"%USERPROFILE%\Documents\GitHub\eaglep3\Utilities\RefineRTDCRunTimes.py" --tripid 192-18 --locoid 4017 --swversion DE.1.0.8.0 --startMP 204:232975 --initTime 2016-11-18T15:42:15 --startdatetime 2016-11-18T15:56:17 --delay 1 --endMP 204:141 --enddatetime 2016-11-18T16:34:58 --enforcementcount 0 &gt;&gt;C:\Users\stu\Documents\GitHub\eaglep3-reporting\EC\2016-11-18-refined-times.txt</v>
      </c>
      <c r="AI10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{"issue":{"subject":"","project_id":79,"tracker_id":40,"status_id":1,"priority_id":2,"assigned_to_id":23,"start_date":"2016-11-18","description":"","custom_fields":[{"id":1,"name":"Subdivision","value":"EC"},{"id":4,"name":"Milepost","value":"0.0141"},{"id":17,"name":"Train ID","value":"192-18"},{"id":16,"name":"Locomotive ID","value":"4017"},{"id":130,"name":"Impact","value":""},{"id":150,"name":"Time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461</v>
      </c>
      <c r="B103" s="7">
        <v>4011</v>
      </c>
      <c r="C103" s="22" t="s">
        <v>218</v>
      </c>
      <c r="D103" s="22" t="s">
        <v>273</v>
      </c>
      <c r="E103" s="13">
        <v>42692.630937499998</v>
      </c>
      <c r="F103" s="13">
        <v>42692.63559027778</v>
      </c>
      <c r="G103" s="7">
        <v>1</v>
      </c>
      <c r="H103" s="22" t="s">
        <v>411</v>
      </c>
      <c r="I103" s="13">
        <v>42692.662893518522</v>
      </c>
      <c r="J103" s="7">
        <v>0</v>
      </c>
      <c r="K103" s="109" t="str">
        <f t="shared" si="17"/>
        <v>4011/4012</v>
      </c>
      <c r="L103" s="22" t="str">
        <f>VLOOKUP(A103,'Trips&amp;Operators'!$C$1:$E$10000,3,FALSE)</f>
        <v>JOHNSON</v>
      </c>
      <c r="M103" s="6">
        <f t="shared" si="18"/>
        <v>2.7303240742185153E-2</v>
      </c>
      <c r="N103" s="7">
        <f t="shared" si="19"/>
        <v>39.31666666874662</v>
      </c>
      <c r="O103" s="7"/>
      <c r="P103" s="7"/>
      <c r="Q103" s="23"/>
      <c r="R103" s="23"/>
      <c r="S103" s="35">
        <f t="shared" si="20"/>
        <v>1</v>
      </c>
      <c r="T103" s="50" t="str">
        <f t="shared" si="21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14:08:33-700',mode:absolute,to:'2016-11-18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3"/>
        <v>N</v>
      </c>
      <c r="X103" s="177">
        <f t="shared" si="34"/>
        <v>1</v>
      </c>
      <c r="Y103" s="67">
        <f t="shared" si="24"/>
        <v>4.4400000000000002E-2</v>
      </c>
      <c r="Z103" s="67">
        <f t="shared" si="25"/>
        <v>23.3325</v>
      </c>
      <c r="AA103" s="67">
        <f t="shared" si="26"/>
        <v>23.2881</v>
      </c>
      <c r="AB103" s="64" t="str">
        <f>VLOOKUP(A103,Enforcements!$C$7:$K$20,8,0)</f>
        <v>Speed (6)</v>
      </c>
      <c r="AC103" s="60" t="str">
        <f>VLOOKUP(A103,Enforcements!$C$7:$E$20,3,0)</f>
        <v>PERMANENT SPEED RESTRICTION</v>
      </c>
      <c r="AD103" s="61" t="str">
        <f t="shared" si="27"/>
        <v>0193-18</v>
      </c>
      <c r="AE103" s="91" t="str">
        <f t="shared" si="28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103" s="88" t="str">
        <f t="shared" si="29"/>
        <v>"C:\Program Files (x86)\AstroGrep\AstroGrep.exe" /spath="%USERPROFILE%\AppData\Local\Temp\OnboardLogs" /stypes="app*4011*20161118*" /stext=" 22:.+((SYSTEM_STATE.+slice.+state.+changed )|(ment ac)|(system.+state.+changed )|(\[timeout)|(PRM\|1\|D)|(kpr)|(kdp)|(\|lc)|(penalty))" /e /r /s</v>
      </c>
      <c r="AG103" s="1" t="str">
        <f t="shared" si="30"/>
        <v>EC</v>
      </c>
      <c r="AH103" s="92" t="str">
        <f t="shared" si="31"/>
        <v>"%USERPROFILE%\Documents\GitHub\eaglep3\Utilities\RefineRTDCRunTimes.py" --tripid 193-18 --locoid 4011 --swversion DE.1.0.8.0 --startMP 204:444 --initTime 2016-11-18T15:08:33 --startdatetime 2016-11-18T15:15:15 --delay 1 --endMP 204:233325 --enddatetime 2016-11-18T15:54:34 --enforcementcount 0 &gt;&gt;C:\Users\stu\Documents\GitHub\eaglep3-reporting\EC\2016-11-18-refined-times.txt</v>
      </c>
      <c r="AI10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{"issue":{"subject":"","project_id":79,"tracker_id":40,"status_id":1,"priority_id":2,"assigned_to_id":23,"start_date":"2016-11-18","description":"","custom_fields":[{"id":1,"name":"Subdivision","value":"EC"},{"id":4,"name":"Milepost","value":"23.3325"},{"id":17,"name":"Train ID","value":"193-18"},{"id":16,"name":"Locomotive ID","value":"4011"},{"id":130,"name":"Impact","value":""},{"id":150,"name":"Time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581</v>
      </c>
      <c r="B104" s="7">
        <v>4012</v>
      </c>
      <c r="C104" s="22" t="s">
        <v>218</v>
      </c>
      <c r="D104" s="22" t="s">
        <v>361</v>
      </c>
      <c r="E104" s="13">
        <v>42692.669270833336</v>
      </c>
      <c r="F104" s="13">
        <v>42692.674513888887</v>
      </c>
      <c r="G104" s="7">
        <v>1</v>
      </c>
      <c r="H104" s="22" t="s">
        <v>267</v>
      </c>
      <c r="I104" s="13">
        <v>42692.702210648145</v>
      </c>
      <c r="J104" s="7">
        <v>0</v>
      </c>
      <c r="K104" s="109" t="str">
        <f t="shared" si="17"/>
        <v>4011/4012</v>
      </c>
      <c r="L104" s="22" t="str">
        <f>VLOOKUP(A104,'Trips&amp;Operators'!$C$1:$E$10000,3,FALSE)</f>
        <v>JOHNSON</v>
      </c>
      <c r="M104" s="6">
        <f t="shared" si="18"/>
        <v>2.7696759258105885E-2</v>
      </c>
      <c r="N104" s="7">
        <f t="shared" si="19"/>
        <v>39.883333331672475</v>
      </c>
      <c r="O104" s="7"/>
      <c r="P104" s="7"/>
      <c r="Q104" s="23"/>
      <c r="R104" s="23"/>
      <c r="S104" s="35">
        <f t="shared" si="20"/>
        <v>1</v>
      </c>
      <c r="T104" s="50" t="str">
        <f t="shared" si="21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15:03:45-700',mode:absolute,to:'2016-11-18 17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3"/>
        <v>N</v>
      </c>
      <c r="X104" s="177">
        <f t="shared" si="34"/>
        <v>1</v>
      </c>
      <c r="Y104" s="67">
        <f t="shared" si="24"/>
        <v>23.298300000000001</v>
      </c>
      <c r="Z104" s="67">
        <f t="shared" si="25"/>
        <v>1.38E-2</v>
      </c>
      <c r="AA104" s="67">
        <f t="shared" si="26"/>
        <v>23.284500000000001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27"/>
        <v>0194-18</v>
      </c>
      <c r="AE104" s="91" t="str">
        <f t="shared" si="28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104" s="88" t="str">
        <f t="shared" si="29"/>
        <v>"C:\Program Files (x86)\AstroGrep\AstroGrep.exe" /spath="%USERPROFILE%\AppData\Local\Temp\OnboardLogs" /stypes="app*4012*20161118*" /stext=" 23:.+((SYSTEM_STATE.+slice.+state.+changed )|(ment ac)|(system.+state.+changed )|(\[timeout)|(PRM\|1\|D)|(kpr)|(kdp)|(\|lc)|(penalty))" /e /r /s</v>
      </c>
      <c r="AG104" s="1" t="str">
        <f t="shared" si="30"/>
        <v>EC</v>
      </c>
      <c r="AH104" s="92" t="str">
        <f t="shared" si="31"/>
        <v>"%USERPROFILE%\Documents\GitHub\eaglep3\Utilities\RefineRTDCRunTimes.py" --tripid 194-18 --locoid 4012 --swversion DE.1.0.8.0 --startMP 204:232983 --initTime 2016-11-18T16:03:45 --startdatetime 2016-11-18T16:11:18 --delay 1 --endMP 204:138 --enddatetime 2016-11-18T16:51:11 --enforcementcount 0 &gt;&gt;C:\Users\stu\Documents\GitHub\eaglep3-reporting\EC\2016-11-18-refined-times.txt</v>
      </c>
      <c r="AI10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{"issue":{"subject":"","project_id":79,"tracker_id":40,"status_id":1,"priority_id":2,"assigned_to_id":23,"start_date":"2016-11-18","description":"","custom_fields":[{"id":1,"name":"Subdivision","value":"EC"},{"id":4,"name":"Milepost","value":"0.0138"},{"id":17,"name":"Train ID","value":"194-18"},{"id":16,"name":"Locomotive ID","value":"4012"},{"id":130,"name":"Impact","value":""},{"id":150,"name":"Time of Event (Mountain Time)","value":"16:51:11"},{"id":151,"name":"Denver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575</v>
      </c>
      <c r="B105" s="7">
        <v>4025</v>
      </c>
      <c r="C105" s="22" t="s">
        <v>218</v>
      </c>
      <c r="D105" s="22" t="s">
        <v>702</v>
      </c>
      <c r="E105" s="13">
        <v>42692.640034722222</v>
      </c>
      <c r="F105" s="13">
        <v>42692.645995370367</v>
      </c>
      <c r="G105" s="7">
        <v>1</v>
      </c>
      <c r="H105" s="22" t="s">
        <v>703</v>
      </c>
      <c r="I105" s="13">
        <v>42692.670567129629</v>
      </c>
      <c r="J105" s="7">
        <v>0</v>
      </c>
      <c r="K105" s="109" t="str">
        <f t="shared" si="17"/>
        <v>4025/4026</v>
      </c>
      <c r="L105" s="22" t="str">
        <f>VLOOKUP(A105,'Trips&amp;Operators'!$C$1:$E$10000,3,FALSE)</f>
        <v>HILLS</v>
      </c>
      <c r="M105" s="6">
        <f t="shared" si="18"/>
        <v>2.457175926247146E-2</v>
      </c>
      <c r="N105" s="7">
        <f t="shared" si="19"/>
        <v>35.383333337958902</v>
      </c>
      <c r="O105" s="7"/>
      <c r="P105" s="7"/>
      <c r="Q105" s="23"/>
      <c r="R105" s="23"/>
      <c r="S105" s="35">
        <f t="shared" si="20"/>
        <v>1</v>
      </c>
      <c r="T105" s="50" t="str">
        <f t="shared" si="21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14:21:39-700',mode:absolute,to:'2016-11-18 17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5" s="52" t="str">
        <f t="shared" si="23"/>
        <v>N</v>
      </c>
      <c r="X105" s="177">
        <f t="shared" si="34"/>
        <v>1</v>
      </c>
      <c r="Y105" s="67">
        <f t="shared" si="24"/>
        <v>3.9300000000000002E-2</v>
      </c>
      <c r="Z105" s="67">
        <f t="shared" si="25"/>
        <v>23.337199999999999</v>
      </c>
      <c r="AA105" s="67">
        <f t="shared" si="26"/>
        <v>23.297899999999998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27"/>
        <v>0195-18</v>
      </c>
      <c r="AE105" s="91" t="str">
        <f t="shared" si="28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105" s="88" t="str">
        <f t="shared" si="29"/>
        <v>"C:\Program Files (x86)\AstroGrep\AstroGrep.exe" /spath="%USERPROFILE%\AppData\Local\Temp\OnboardLogs" /stypes="app*4025*20161118*" /stext=" 23:.+((SYSTEM_STATE.+slice.+state.+changed )|(ment ac)|(system.+state.+changed )|(\[timeout)|(PRM\|1\|D)|(kpr)|(kdp)|(\|lc)|(penalty))" /e /r /s</v>
      </c>
      <c r="AG105" s="1" t="str">
        <f t="shared" si="30"/>
        <v>EC</v>
      </c>
      <c r="AH105" s="92" t="str">
        <f t="shared" si="31"/>
        <v>"%USERPROFILE%\Documents\GitHub\eaglep3\Utilities\RefineRTDCRunTimes.py" --tripid 195-18 --locoid 4025 --swversion DE.1.0.8.0 --startMP 204:393 --initTime 2016-11-18T15:21:39 --startdatetime 2016-11-18T15:30:14 --delay 1 --endMP 204:233372 --enddatetime 2016-11-18T16:05:37 --enforcementcount 0 &gt;&gt;C:\Users\stu\Documents\GitHub\eaglep3-reporting\EC\2016-11-18-refined-times.txt</v>
      </c>
      <c r="AI10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{"issue":{"subject":"","project_id":79,"tracker_id":40,"status_id":1,"priority_id":2,"assigned_to_id":23,"start_date":"2016-11-18","description":"","custom_fields":[{"id":1,"name":"Subdivision","value":"EC"},{"id":4,"name":"Milepost","value":"23.3372"},{"id":17,"name":"Train ID","value":"195-18"},{"id":16,"name":"Locomotive ID","value":"4025"},{"id":130,"name":"Impact","value":""},{"id":150,"name":"Time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585</v>
      </c>
      <c r="B106" s="7">
        <v>4026</v>
      </c>
      <c r="C106" s="22" t="s">
        <v>218</v>
      </c>
      <c r="D106" s="22" t="s">
        <v>704</v>
      </c>
      <c r="E106" s="13">
        <v>42692.674826388888</v>
      </c>
      <c r="F106" s="13">
        <v>42692.68509259259</v>
      </c>
      <c r="G106" s="7">
        <v>1</v>
      </c>
      <c r="H106" s="22" t="s">
        <v>705</v>
      </c>
      <c r="I106" s="13">
        <v>42692.711365740739</v>
      </c>
      <c r="J106" s="7">
        <v>0</v>
      </c>
      <c r="K106" s="109" t="str">
        <f t="shared" si="17"/>
        <v>4025/4026</v>
      </c>
      <c r="L106" s="22" t="str">
        <f>VLOOKUP(A106,'Trips&amp;Operators'!$C$1:$E$10000,3,FALSE)</f>
        <v>HILLS</v>
      </c>
      <c r="M106" s="6">
        <f t="shared" si="18"/>
        <v>2.6273148148902692E-2</v>
      </c>
      <c r="N106" s="7">
        <f t="shared" si="19"/>
        <v>37.833333334419876</v>
      </c>
      <c r="O106" s="7"/>
      <c r="P106" s="7"/>
      <c r="Q106" s="23"/>
      <c r="R106" s="23"/>
      <c r="S106" s="35">
        <f t="shared" si="20"/>
        <v>1</v>
      </c>
      <c r="T106" s="50" t="str">
        <f t="shared" si="21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15:11:45-700',mode:absolute,to:'2016-11-18 18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6" s="52" t="str">
        <f t="shared" si="23"/>
        <v>N</v>
      </c>
      <c r="X106" s="177">
        <f t="shared" si="34"/>
        <v>1</v>
      </c>
      <c r="Y106" s="67">
        <f t="shared" si="24"/>
        <v>23.302299999999999</v>
      </c>
      <c r="Z106" s="67">
        <f t="shared" si="25"/>
        <v>9.4000000000000004E-3</v>
      </c>
      <c r="AA106" s="67">
        <f t="shared" si="26"/>
        <v>23.292899999999999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27"/>
        <v>0196-18</v>
      </c>
      <c r="AE106" s="91" t="str">
        <f t="shared" si="28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06" s="88" t="str">
        <f t="shared" si="29"/>
        <v>"C:\Program Files (x86)\AstroGrep\AstroGrep.exe" /spath="%USERPROFILE%\AppData\Local\Temp\OnboardLogs" /stypes="app*4026*20161119*" /stext=" 00:.+((SYSTEM_STATE.+slice.+state.+changed )|(ment ac)|(system.+state.+changed )|(\[timeout)|(PRM\|1\|D)|(kpr)|(kdp)|(\|lc)|(penalty))" /e /r /s</v>
      </c>
      <c r="AG106" s="1" t="str">
        <f t="shared" si="30"/>
        <v>EC</v>
      </c>
      <c r="AH106" s="92" t="str">
        <f t="shared" si="31"/>
        <v>"%USERPROFILE%\Documents\GitHub\eaglep3\Utilities\RefineRTDCRunTimes.py" --tripid 196-18 --locoid 4026 --swversion DE.1.0.8.0 --startMP 204:233023 --initTime 2016-11-18T16:11:45 --startdatetime 2016-11-18T16:26:32 --delay 1 --endMP 204:94 --enddatetime 2016-11-18T17:04:22 --enforcementcount 0 &gt;&gt;C:\Users\stu\Documents\GitHub\eaglep3-reporting\EC\2016-11-18-refined-times.txt</v>
      </c>
      <c r="AI10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{"issue":{"subject":"","project_id":79,"tracker_id":40,"status_id":1,"priority_id":2,"assigned_to_id":23,"start_date":"2016-11-18","description":"","custom_fields":[{"id":1,"name":"Subdivision","value":"EC"},{"id":4,"name":"Milepost","value":"0.0094"},{"id":17,"name":"Train ID","value":"196-18"},{"id":16,"name":"Locomotive ID","value":"4026"},{"id":130,"name":"Impact","value":""},{"id":150,"name":"Time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578</v>
      </c>
      <c r="B107" s="7">
        <v>4046</v>
      </c>
      <c r="C107" s="22" t="s">
        <v>218</v>
      </c>
      <c r="D107" s="22" t="s">
        <v>239</v>
      </c>
      <c r="E107" s="13">
        <v>42692.651967592596</v>
      </c>
      <c r="F107" s="13">
        <v>42692.656446759262</v>
      </c>
      <c r="G107" s="7">
        <v>1</v>
      </c>
      <c r="H107" s="22" t="s">
        <v>706</v>
      </c>
      <c r="I107" s="13">
        <v>42692.682245370372</v>
      </c>
      <c r="J107" s="7">
        <v>0</v>
      </c>
      <c r="K107" s="109" t="str">
        <f t="shared" si="17"/>
        <v>4045/4046</v>
      </c>
      <c r="L107" s="22" t="str">
        <f>VLOOKUP(A107,'Trips&amp;Operators'!$C$1:$E$10000,3,FALSE)</f>
        <v>SHOOK</v>
      </c>
      <c r="M107" s="6">
        <f t="shared" si="18"/>
        <v>2.5798611110076308E-2</v>
      </c>
      <c r="N107" s="7">
        <f t="shared" si="19"/>
        <v>37.149999998509884</v>
      </c>
      <c r="O107" s="7"/>
      <c r="P107" s="7"/>
      <c r="Q107" s="23"/>
      <c r="R107" s="23"/>
      <c r="S107" s="35">
        <f t="shared" si="20"/>
        <v>1</v>
      </c>
      <c r="T107" s="50" t="str">
        <f t="shared" si="21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14:38:50-700',mode:absolute,to:'2016-11-18 17:22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7" s="52" t="str">
        <f t="shared" si="23"/>
        <v>N</v>
      </c>
      <c r="X107" s="177">
        <f t="shared" si="34"/>
        <v>1</v>
      </c>
      <c r="Y107" s="67">
        <f t="shared" si="24"/>
        <v>4.3799999999999999E-2</v>
      </c>
      <c r="Z107" s="67">
        <f t="shared" si="25"/>
        <v>23.338100000000001</v>
      </c>
      <c r="AA107" s="67">
        <f t="shared" si="26"/>
        <v>23.2943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27"/>
        <v>0197-18</v>
      </c>
      <c r="AE107" s="91" t="str">
        <f t="shared" si="28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107" s="88" t="str">
        <f t="shared" si="29"/>
        <v>"C:\Program Files (x86)\AstroGrep\AstroGrep.exe" /spath="%USERPROFILE%\AppData\Local\Temp\OnboardLogs" /stypes="app*4046*20161118*" /stext=" 23:.+((SYSTEM_STATE.+slice.+state.+changed )|(ment ac)|(system.+state.+changed )|(\[timeout)|(PRM\|1\|D)|(kpr)|(kdp)|(\|lc)|(penalty))" /e /r /s</v>
      </c>
      <c r="AG107" s="1" t="str">
        <f t="shared" si="30"/>
        <v>EC</v>
      </c>
      <c r="AH107" s="92" t="str">
        <f t="shared" si="31"/>
        <v>"%USERPROFILE%\Documents\GitHub\eaglep3\Utilities\RefineRTDCRunTimes.py" --tripid 197-18 --locoid 4046 --swversion DE.1.0.8.0 --startMP 204:438 --initTime 2016-11-18T15:38:50 --startdatetime 2016-11-18T15:45:17 --delay 1 --endMP 204:233381 --enddatetime 2016-11-18T16:22:26 --enforcementcount 0 &gt;&gt;C:\Users\stu\Documents\GitHub\eaglep3-reporting\EC\2016-11-18-refined-times.txt</v>
      </c>
      <c r="AI10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{"issue":{"subject":"","project_id":79,"tracker_id":40,"status_id":1,"priority_id":2,"assigned_to_id":23,"start_date":"2016-11-18","description":"","custom_fields":[{"id":1,"name":"Subdivision","value":"EC"},{"id":4,"name":"Milepost","value":"23.3381"},{"id":17,"name":"Train ID","value":"197-18"},{"id":16,"name":"Locomotive ID","value":"4046"},{"id":130,"name":"Impact","value":""},{"id":150,"name":"Time of Event (Mountain Time)","value":"16:22:26"},{"id":151,"name":"Denver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588</v>
      </c>
      <c r="B108" s="7">
        <v>4045</v>
      </c>
      <c r="C108" s="22" t="s">
        <v>218</v>
      </c>
      <c r="D108" s="22" t="s">
        <v>707</v>
      </c>
      <c r="E108" s="13">
        <v>42692.690370370372</v>
      </c>
      <c r="F108" s="13">
        <v>42692.695451388892</v>
      </c>
      <c r="G108" s="7">
        <v>1</v>
      </c>
      <c r="H108" s="22" t="s">
        <v>196</v>
      </c>
      <c r="I108" s="13">
        <v>42692.72314814815</v>
      </c>
      <c r="J108" s="7">
        <v>0</v>
      </c>
      <c r="K108" s="109" t="str">
        <f t="shared" si="17"/>
        <v>4045/4046</v>
      </c>
      <c r="L108" s="22" t="str">
        <f>VLOOKUP(A108,'Trips&amp;Operators'!$C$1:$E$10000,3,FALSE)</f>
        <v>SHOOK</v>
      </c>
      <c r="M108" s="6">
        <f t="shared" si="18"/>
        <v>2.7696759258105885E-2</v>
      </c>
      <c r="N108" s="7">
        <f t="shared" si="19"/>
        <v>39.883333331672475</v>
      </c>
      <c r="O108" s="7"/>
      <c r="P108" s="7"/>
      <c r="Q108" s="23"/>
      <c r="R108" s="23"/>
      <c r="S108" s="35">
        <f t="shared" si="20"/>
        <v>1</v>
      </c>
      <c r="T108" s="50" t="str">
        <f t="shared" si="21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15:34:08-700',mode:absolute,to:'2016-11-18 18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 t="shared" si="23"/>
        <v>N</v>
      </c>
      <c r="X108" s="177">
        <f t="shared" si="34"/>
        <v>1</v>
      </c>
      <c r="Y108" s="67">
        <f t="shared" si="24"/>
        <v>23.307200000000002</v>
      </c>
      <c r="Z108" s="67">
        <f t="shared" si="25"/>
        <v>1.49E-2</v>
      </c>
      <c r="AA108" s="67">
        <f t="shared" si="26"/>
        <v>23.292300000000001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27"/>
        <v>0198-18</v>
      </c>
      <c r="AE108" s="91" t="str">
        <f t="shared" si="28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108" s="88" t="str">
        <f t="shared" si="29"/>
        <v>"C:\Program Files (x86)\AstroGrep\AstroGrep.exe" /spath="%USERPROFILE%\AppData\Local\Temp\OnboardLogs" /stypes="app*4045*20161119*" /stext=" 00:.+((SYSTEM_STATE.+slice.+state.+changed )|(ment ac)|(system.+state.+changed )|(\[timeout)|(PRM\|1\|D)|(kpr)|(kdp)|(\|lc)|(penalty))" /e /r /s</v>
      </c>
      <c r="AG108" s="1" t="str">
        <f t="shared" si="30"/>
        <v>EC</v>
      </c>
      <c r="AH108" s="92" t="str">
        <f t="shared" si="31"/>
        <v>"%USERPROFILE%\Documents\GitHub\eaglep3\Utilities\RefineRTDCRunTimes.py" --tripid 198-18 --locoid 4045 --swversion DE.1.0.8.0 --startMP 204:233072 --initTime 2016-11-18T16:34:08 --startdatetime 2016-11-18T16:41:27 --delay 1 --endMP 204:149 --enddatetime 2016-11-18T17:21:20 --enforcementcount 0 &gt;&gt;C:\Users\stu\Documents\GitHub\eaglep3-reporting\EC\2016-11-18-refined-times.txt</v>
      </c>
      <c r="AI10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{"issue":{"subject":"","project_id":79,"tracker_id":40,"status_id":1,"priority_id":2,"assigned_to_id":23,"start_date":"2016-11-18","description":"","custom_fields":[{"id":1,"name":"Subdivision","value":"EC"},{"id":4,"name":"Milepost","value":"0.0149"},{"id":17,"name":"Train ID","value":"198-18"},{"id":16,"name":"Locomotive ID","value":"4045"},{"id":130,"name":"Impact","value":""},{"id":150,"name":"Time of Event (Mountain Time)","value":"17:21:20"},{"id":151,"name":"Denver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462</v>
      </c>
      <c r="B109" s="7">
        <v>4016</v>
      </c>
      <c r="C109" s="22" t="s">
        <v>218</v>
      </c>
      <c r="D109" s="22" t="s">
        <v>317</v>
      </c>
      <c r="E109" s="13">
        <v>42692.662141203706</v>
      </c>
      <c r="F109" s="13">
        <v>42692.666932870372</v>
      </c>
      <c r="G109" s="7">
        <v>1</v>
      </c>
      <c r="H109" s="22" t="s">
        <v>409</v>
      </c>
      <c r="I109" s="13">
        <v>42692.692604166667</v>
      </c>
      <c r="J109" s="7">
        <v>0</v>
      </c>
      <c r="K109" s="109" t="str">
        <f t="shared" si="17"/>
        <v>4015/4016</v>
      </c>
      <c r="L109" s="22" t="str">
        <f>VLOOKUP(A109,'Trips&amp;Operators'!$C$1:$E$10000,3,FALSE)</f>
        <v>BROWN</v>
      </c>
      <c r="M109" s="6">
        <f t="shared" si="18"/>
        <v>2.5671296294603962E-2</v>
      </c>
      <c r="N109" s="7">
        <f t="shared" si="19"/>
        <v>36.966666664229706</v>
      </c>
      <c r="O109" s="7"/>
      <c r="P109" s="7"/>
      <c r="Q109" s="23"/>
      <c r="R109" s="23"/>
      <c r="S109" s="35">
        <f t="shared" si="20"/>
        <v>1</v>
      </c>
      <c r="T109" s="50" t="str">
        <f t="shared" si="21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14:53:29-700',mode:absolute,to:'2016-11-18 17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23"/>
        <v>N</v>
      </c>
      <c r="X109" s="177">
        <f t="shared" si="34"/>
        <v>1</v>
      </c>
      <c r="Y109" s="67">
        <f t="shared" si="24"/>
        <v>4.2900000000000001E-2</v>
      </c>
      <c r="Z109" s="67">
        <f t="shared" si="25"/>
        <v>23.333600000000001</v>
      </c>
      <c r="AA109" s="67">
        <f t="shared" si="26"/>
        <v>23.290700000000001</v>
      </c>
      <c r="AB109" s="64" t="str">
        <f>VLOOKUP(A109,Enforcements!$C$7:$K$20,8,0)</f>
        <v>Speed (6)</v>
      </c>
      <c r="AC109" s="60" t="str">
        <f>VLOOKUP(A109,Enforcements!$C$7:$E$20,3,0)</f>
        <v>PERMANENT SPEED RESTRICTION</v>
      </c>
      <c r="AD109" s="61" t="str">
        <f t="shared" si="27"/>
        <v>0199-18</v>
      </c>
      <c r="AE109" s="91" t="str">
        <f t="shared" si="28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09" s="88" t="str">
        <f t="shared" si="29"/>
        <v>"C:\Program Files (x86)\AstroGrep\AstroGrep.exe" /spath="%USERPROFILE%\AppData\Local\Temp\OnboardLogs" /stypes="app*4016*20161118*" /stext=" 23:.+((SYSTEM_STATE.+slice.+state.+changed )|(ment ac)|(system.+state.+changed )|(\[timeout)|(PRM\|1\|D)|(kpr)|(kdp)|(\|lc)|(penalty))" /e /r /s</v>
      </c>
      <c r="AG109" s="1" t="str">
        <f t="shared" si="30"/>
        <v>EC</v>
      </c>
      <c r="AH109" s="92" t="str">
        <f t="shared" si="31"/>
        <v>"%USERPROFILE%\Documents\GitHub\eaglep3\Utilities\RefineRTDCRunTimes.py" --tripid 199-18 --locoid 4016 --swversion DE.1.0.8.0 --startMP 204:429 --initTime 2016-11-18T15:53:29 --startdatetime 2016-11-18T16:00:23 --delay 1 --endMP 204:233336 --enddatetime 2016-11-18T16:37:21 --enforcementcount 0 &gt;&gt;C:\Users\stu\Documents\GitHub\eaglep3-reporting\EC\2016-11-18-refined-times.txt</v>
      </c>
      <c r="AI10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{"issue":{"subject":"","project_id":79,"tracker_id":40,"status_id":1,"priority_id":2,"assigned_to_id":23,"start_date":"2016-11-18","description":"","custom_fields":[{"id":1,"name":"Subdivision","value":"EC"},{"id":4,"name":"Milepost","value":"23.3336"},{"id":17,"name":"Train ID","value":"199-18"},{"id":16,"name":"Locomotive ID","value":"4016"},{"id":130,"name":"Impact","value":""},{"id":150,"name":"Time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591</v>
      </c>
      <c r="B110" s="7">
        <v>4015</v>
      </c>
      <c r="C110" s="22" t="s">
        <v>218</v>
      </c>
      <c r="D110" s="22" t="s">
        <v>356</v>
      </c>
      <c r="E110" s="13">
        <v>42692.698518518519</v>
      </c>
      <c r="F110" s="13">
        <v>42692.705983796295</v>
      </c>
      <c r="G110" s="7">
        <v>1</v>
      </c>
      <c r="H110" s="22" t="s">
        <v>663</v>
      </c>
      <c r="I110" s="13">
        <v>42692.733055555553</v>
      </c>
      <c r="J110" s="7">
        <v>0</v>
      </c>
      <c r="K110" s="109" t="str">
        <f t="shared" si="17"/>
        <v>4015/4016</v>
      </c>
      <c r="L110" s="22" t="str">
        <f>VLOOKUP(A110,'Trips&amp;Operators'!$C$1:$E$10000,3,FALSE)</f>
        <v>BROWN</v>
      </c>
      <c r="M110" s="6">
        <f t="shared" si="18"/>
        <v>2.7071759257523809E-2</v>
      </c>
      <c r="N110" s="7">
        <f t="shared" si="19"/>
        <v>38.983333330834284</v>
      </c>
      <c r="O110" s="7"/>
      <c r="P110" s="7"/>
      <c r="Q110" s="23"/>
      <c r="R110" s="23"/>
      <c r="S110" s="35">
        <f t="shared" si="20"/>
        <v>1</v>
      </c>
      <c r="T110" s="50" t="str">
        <f t="shared" si="21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15:45:52-700',mode:absolute,to:'2016-11-18 18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23"/>
        <v>N</v>
      </c>
      <c r="X110" s="177">
        <f t="shared" si="34"/>
        <v>1</v>
      </c>
      <c r="Y110" s="67">
        <f t="shared" si="24"/>
        <v>23.301500000000001</v>
      </c>
      <c r="Z110" s="67">
        <f t="shared" si="25"/>
        <v>1.61E-2</v>
      </c>
      <c r="AA110" s="67">
        <f t="shared" si="26"/>
        <v>23.285399999999999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27"/>
        <v>0200-18</v>
      </c>
      <c r="AE110" s="91" t="str">
        <f t="shared" si="28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110" s="88" t="str">
        <f t="shared" si="29"/>
        <v>"C:\Program Files (x86)\AstroGrep\AstroGrep.exe" /spath="%USERPROFILE%\AppData\Local\Temp\OnboardLogs" /stypes="app*4015*20161119*" /stext=" 00:.+((SYSTEM_STATE.+slice.+state.+changed )|(ment ac)|(system.+state.+changed )|(\[timeout)|(PRM\|1\|D)|(kpr)|(kdp)|(\|lc)|(penalty))" /e /r /s</v>
      </c>
      <c r="AG110" s="1" t="str">
        <f t="shared" si="30"/>
        <v>EC</v>
      </c>
      <c r="AH110" s="92" t="str">
        <f t="shared" si="31"/>
        <v>"%USERPROFILE%\Documents\GitHub\eaglep3\Utilities\RefineRTDCRunTimes.py" --tripid 200-18 --locoid 4015 --swversion DE.1.0.8.0 --startMP 204:233015 --initTime 2016-11-18T16:45:52 --startdatetime 2016-11-18T16:56:37 --delay 1 --endMP 204:161 --enddatetime 2016-11-18T17:35:36 --enforcementcount 0 &gt;&gt;C:\Users\stu\Documents\GitHub\eaglep3-reporting\EC\2016-11-18-refined-times.txt</v>
      </c>
      <c r="AI11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{"issue":{"subject":"","project_id":79,"tracker_id":40,"status_id":1,"priority_id":2,"assigned_to_id":23,"start_date":"2016-11-18","description":"","custom_fields":[{"id":1,"name":"Subdivision","value":"EC"},{"id":4,"name":"Milepost","value":"0.0161"},{"id":17,"name":"Train ID","value":"200-18"},{"id":16,"name":"Locomotive ID","value":"4015"},{"id":130,"name":"Impact","value":""},{"id":150,"name":"Time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584</v>
      </c>
      <c r="B111" s="7">
        <v>4029</v>
      </c>
      <c r="C111" s="22" t="s">
        <v>218</v>
      </c>
      <c r="D111" s="22" t="s">
        <v>351</v>
      </c>
      <c r="E111" s="13">
        <v>42692.672615740739</v>
      </c>
      <c r="F111" s="13">
        <v>42692.67732638889</v>
      </c>
      <c r="G111" s="7">
        <v>1</v>
      </c>
      <c r="H111" s="22" t="s">
        <v>275</v>
      </c>
      <c r="I111" s="13">
        <v>42692.702094907407</v>
      </c>
      <c r="J111" s="7">
        <v>0</v>
      </c>
      <c r="K111" s="109" t="str">
        <f t="shared" si="17"/>
        <v>4029/4030</v>
      </c>
      <c r="L111" s="22" t="str">
        <f>VLOOKUP(A111,'Trips&amp;Operators'!$C$1:$E$10000,3,FALSE)</f>
        <v>STEWART</v>
      </c>
      <c r="M111" s="6">
        <f t="shared" si="18"/>
        <v>2.4768518516793847E-2</v>
      </c>
      <c r="N111" s="7">
        <f t="shared" si="19"/>
        <v>35.66666666418314</v>
      </c>
      <c r="O111" s="7"/>
      <c r="P111" s="7"/>
      <c r="Q111" s="23"/>
      <c r="R111" s="23"/>
      <c r="S111" s="35">
        <f t="shared" si="20"/>
        <v>1</v>
      </c>
      <c r="T111" s="50" t="str">
        <f t="shared" si="21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15:08:34-700',mode:absolute,to:'2016-11-18 17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23"/>
        <v>N</v>
      </c>
      <c r="X111" s="177">
        <f t="shared" si="34"/>
        <v>1</v>
      </c>
      <c r="Y111" s="67">
        <f t="shared" si="24"/>
        <v>4.6699999999999998E-2</v>
      </c>
      <c r="Z111" s="67">
        <f t="shared" si="25"/>
        <v>23.331499999999998</v>
      </c>
      <c r="AA111" s="67">
        <f t="shared" si="26"/>
        <v>23.284799999999997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27"/>
        <v>0201-18</v>
      </c>
      <c r="AE111" s="91" t="str">
        <f t="shared" si="28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111" s="88" t="str">
        <f t="shared" si="29"/>
        <v>"C:\Program Files (x86)\AstroGrep\AstroGrep.exe" /spath="%USERPROFILE%\AppData\Local\Temp\OnboardLogs" /stypes="app*4029*20161118*" /stext=" 23:.+((SYSTEM_STATE.+slice.+state.+changed )|(ment ac)|(system.+state.+changed )|(\[timeout)|(PRM\|1\|D)|(kpr)|(kdp)|(\|lc)|(penalty))" /e /r /s</v>
      </c>
      <c r="AG111" s="1" t="str">
        <f t="shared" si="30"/>
        <v>EC</v>
      </c>
      <c r="AH111" s="92" t="str">
        <f t="shared" si="31"/>
        <v>"%USERPROFILE%\Documents\GitHub\eaglep3\Utilities\RefineRTDCRunTimes.py" --tripid 201-18 --locoid 4029 --swversion DE.1.0.8.0 --startMP 204:467 --initTime 2016-11-18T16:08:34 --startdatetime 2016-11-18T16:15:21 --delay 1 --endMP 204:233315 --enddatetime 2016-11-18T16:51:01 --enforcementcount 0 &gt;&gt;C:\Users\stu\Documents\GitHub\eaglep3-reporting\EC\2016-11-18-refined-times.txt</v>
      </c>
      <c r="AI11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{"issue":{"subject":"","project_id":79,"tracker_id":40,"status_id":1,"priority_id":2,"assigned_to_id":23,"start_date":"2016-11-18","description":"","custom_fields":[{"id":1,"name":"Subdivision","value":"EC"},{"id":4,"name":"Milepost","value":"23.3315"},{"id":17,"name":"Train ID","value":"201-18"},{"id":16,"name":"Locomotive ID","value":"4029"},{"id":130,"name":"Impact","value":""},{"id":150,"name":"Time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594</v>
      </c>
      <c r="B112" s="7">
        <v>4030</v>
      </c>
      <c r="C112" s="22" t="s">
        <v>218</v>
      </c>
      <c r="D112" s="22" t="s">
        <v>356</v>
      </c>
      <c r="E112" s="13">
        <v>42692.712094907409</v>
      </c>
      <c r="F112" s="13">
        <v>42692.716273148151</v>
      </c>
      <c r="G112" s="7">
        <v>2</v>
      </c>
      <c r="H112" s="22" t="s">
        <v>212</v>
      </c>
      <c r="I112" s="13">
        <v>42692.744560185187</v>
      </c>
      <c r="J112" s="7">
        <v>0</v>
      </c>
      <c r="K112" s="109" t="str">
        <f t="shared" si="17"/>
        <v>4029/4030</v>
      </c>
      <c r="L112" s="22" t="str">
        <f>VLOOKUP(A112,'Trips&amp;Operators'!$C$1:$E$10000,3,FALSE)</f>
        <v>STEWART</v>
      </c>
      <c r="M112" s="6">
        <f t="shared" si="18"/>
        <v>2.8287037035624962E-2</v>
      </c>
      <c r="N112" s="7">
        <f t="shared" si="19"/>
        <v>40.733333331299946</v>
      </c>
      <c r="O112" s="7"/>
      <c r="P112" s="7"/>
      <c r="Q112" s="23"/>
      <c r="R112" s="23"/>
      <c r="S112" s="35">
        <f t="shared" si="20"/>
        <v>1</v>
      </c>
      <c r="T112" s="50" t="str">
        <f t="shared" si="21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16:05:25-700',mode:absolute,to:'2016-11-18 18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23"/>
        <v>N</v>
      </c>
      <c r="X112" s="177">
        <f t="shared" si="34"/>
        <v>1</v>
      </c>
      <c r="Y112" s="67">
        <f t="shared" si="24"/>
        <v>23.301500000000001</v>
      </c>
      <c r="Z112" s="67">
        <f t="shared" si="25"/>
        <v>1.5599999999999999E-2</v>
      </c>
      <c r="AA112" s="67">
        <f t="shared" si="26"/>
        <v>23.285900000000002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27"/>
        <v>0202-18</v>
      </c>
      <c r="AE112" s="91" t="str">
        <f t="shared" si="28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112" s="88" t="str">
        <f t="shared" si="29"/>
        <v>"C:\Program Files (x86)\AstroGrep\AstroGrep.exe" /spath="%USERPROFILE%\AppData\Local\Temp\OnboardLogs" /stypes="app*4030*20161119*" /stext=" 00:.+((SYSTEM_STATE.+slice.+state.+changed )|(ment ac)|(system.+state.+changed )|(\[timeout)|(PRM\|1\|D)|(kpr)|(kdp)|(\|lc)|(penalty))" /e /r /s</v>
      </c>
      <c r="AG112" s="1" t="str">
        <f t="shared" si="30"/>
        <v>EC</v>
      </c>
      <c r="AH112" s="92" t="str">
        <f t="shared" si="31"/>
        <v>"%USERPROFILE%\Documents\GitHub\eaglep3\Utilities\RefineRTDCRunTimes.py" --tripid 202-18 --locoid 4030 --swversion DE.1.0.8.0 --startMP 204:233015 --initTime 2016-11-18T17:05:25 --startdatetime 2016-11-18T17:11:26 --delay 2 --endMP 204:156 --enddatetime 2016-11-18T17:52:10 --enforcementcount 0 &gt;&gt;C:\Users\stu\Documents\GitHub\eaglep3-reporting\EC\2016-11-18-refined-times.txt</v>
      </c>
      <c r="AI11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{"issue":{"subject":"","project_id":79,"tracker_id":40,"status_id":1,"priority_id":2,"assigned_to_id":23,"start_date":"2016-11-18","description":"","custom_fields":[{"id":1,"name":"Subdivision","value":"EC"},{"id":4,"name":"Milepost","value":"0.0156"},{"id":17,"name":"Train ID","value":"202-18"},{"id":16,"name":"Locomotive ID","value":"4030"},{"id":130,"name":"Impact","value":""},{"id":150,"name":"Time of Event (Mountain Time)","value":"17:52:10"},{"id":151,"name":"Denver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586</v>
      </c>
      <c r="B113" s="7">
        <v>4042</v>
      </c>
      <c r="C113" s="22" t="s">
        <v>218</v>
      </c>
      <c r="D113" s="22" t="s">
        <v>217</v>
      </c>
      <c r="E113" s="13">
        <v>42692.684618055559</v>
      </c>
      <c r="F113" s="13">
        <v>42692.687743055554</v>
      </c>
      <c r="G113" s="7">
        <v>1</v>
      </c>
      <c r="H113" s="22" t="s">
        <v>391</v>
      </c>
      <c r="I113" s="13">
        <v>42692.714016203703</v>
      </c>
      <c r="J113" s="7">
        <v>0</v>
      </c>
      <c r="K113" s="109" t="str">
        <f t="shared" si="17"/>
        <v>4041/4042</v>
      </c>
      <c r="L113" s="22" t="str">
        <f>VLOOKUP(A113,'Trips&amp;Operators'!$C$1:$E$10000,3,FALSE)</f>
        <v>CLARK</v>
      </c>
      <c r="M113" s="6">
        <f t="shared" si="18"/>
        <v>2.6273148148902692E-2</v>
      </c>
      <c r="N113" s="7">
        <f t="shared" si="19"/>
        <v>37.833333334419876</v>
      </c>
      <c r="O113" s="7"/>
      <c r="P113" s="7"/>
      <c r="Q113" s="23"/>
      <c r="R113" s="23"/>
      <c r="S113" s="35">
        <f t="shared" si="20"/>
        <v>1</v>
      </c>
      <c r="T113" s="50" t="str">
        <f t="shared" si="21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15:25:51-700',mode:absolute,to:'2016-11-18 18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23"/>
        <v>N</v>
      </c>
      <c r="X113" s="177">
        <f t="shared" si="34"/>
        <v>1</v>
      </c>
      <c r="Y113" s="67">
        <f t="shared" si="24"/>
        <v>4.6399999999999997E-2</v>
      </c>
      <c r="Z113" s="67">
        <f t="shared" si="25"/>
        <v>23.328199999999999</v>
      </c>
      <c r="AA113" s="67">
        <f t="shared" si="26"/>
        <v>23.2818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27"/>
        <v>0203-18</v>
      </c>
      <c r="AE113" s="91" t="str">
        <f t="shared" si="28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113" s="88" t="str">
        <f t="shared" si="29"/>
        <v>"C:\Program Files (x86)\AstroGrep\AstroGrep.exe" /spath="%USERPROFILE%\AppData\Local\Temp\OnboardLogs" /stypes="app*4042*20161119*" /stext=" 00:.+((SYSTEM_STATE.+slice.+state.+changed )|(ment ac)|(system.+state.+changed )|(\[timeout)|(PRM\|1\|D)|(kpr)|(kdp)|(\|lc)|(penalty))" /e /r /s</v>
      </c>
      <c r="AG113" s="1" t="str">
        <f t="shared" si="30"/>
        <v>EC</v>
      </c>
      <c r="AH113" s="92" t="str">
        <f t="shared" si="31"/>
        <v>"%USERPROFILE%\Documents\GitHub\eaglep3\Utilities\RefineRTDCRunTimes.py" --tripid 203-18 --locoid 4042 --swversion DE.1.0.8.0 --startMP 204:464 --initTime 2016-11-18T16:25:51 --startdatetime 2016-11-18T16:30:21 --delay 1 --endMP 204:233282 --enddatetime 2016-11-18T17:08:11 --enforcementcount 0 &gt;&gt;C:\Users\stu\Documents\GitHub\eaglep3-reporting\EC\2016-11-18-refined-times.txt</v>
      </c>
      <c r="AI11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{"issue":{"subject":"","project_id":79,"tracker_id":40,"status_id":1,"priority_id":2,"assigned_to_id":23,"start_date":"2016-11-18","description":"","custom_fields":[{"id":1,"name":"Subdivision","value":"EC"},{"id":4,"name":"Milepost","value":"23.3282"},{"id":17,"name":"Train ID","value":"203-18"},{"id":16,"name":"Locomotive ID","value":"4042"},{"id":130,"name":"Impact","value":""},{"id":150,"name":"Time of Event (Mountain Time)","value":"17:08:11"},{"id":151,"name":"Denver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598</v>
      </c>
      <c r="B114" s="7">
        <v>4041</v>
      </c>
      <c r="C114" s="22" t="s">
        <v>218</v>
      </c>
      <c r="D114" s="22" t="s">
        <v>708</v>
      </c>
      <c r="E114" s="13">
        <v>42692.719722222224</v>
      </c>
      <c r="F114" s="13">
        <v>42692.7265625</v>
      </c>
      <c r="G114" s="7">
        <v>1</v>
      </c>
      <c r="H114" s="22" t="s">
        <v>709</v>
      </c>
      <c r="I114" s="13">
        <v>42692.756238425929</v>
      </c>
      <c r="J114" s="7">
        <v>0</v>
      </c>
      <c r="K114" s="109" t="str">
        <f t="shared" si="17"/>
        <v>4041/4042</v>
      </c>
      <c r="L114" s="22" t="str">
        <f>VLOOKUP(A114,'Trips&amp;Operators'!$C$1:$E$10000,3,FALSE)</f>
        <v>CLARK</v>
      </c>
      <c r="M114" s="6">
        <f t="shared" si="18"/>
        <v>2.9675925929041114E-2</v>
      </c>
      <c r="N114" s="7">
        <f t="shared" si="19"/>
        <v>42.733333337819204</v>
      </c>
      <c r="O114" s="7"/>
      <c r="P114" s="7"/>
      <c r="Q114" s="23"/>
      <c r="R114" s="23"/>
      <c r="S114" s="35">
        <f t="shared" si="20"/>
        <v>1</v>
      </c>
      <c r="T114" s="50" t="str">
        <f t="shared" si="21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16:16:24-700',mode:absolute,to:'2016-11-18 19:08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23"/>
        <v>N</v>
      </c>
      <c r="X114" s="177">
        <f t="shared" si="34"/>
        <v>1</v>
      </c>
      <c r="Y114" s="67">
        <f t="shared" si="24"/>
        <v>23.2973</v>
      </c>
      <c r="Z114" s="67">
        <f t="shared" si="25"/>
        <v>1.78E-2</v>
      </c>
      <c r="AA114" s="67">
        <f t="shared" si="26"/>
        <v>23.279499999999999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27"/>
        <v>0204-18</v>
      </c>
      <c r="AE114" s="91" t="str">
        <f t="shared" si="28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114" s="88" t="str">
        <f t="shared" si="29"/>
        <v>"C:\Program Files (x86)\AstroGrep\AstroGrep.exe" /spath="%USERPROFILE%\AppData\Local\Temp\OnboardLogs" /stypes="app*4041*20161119*" /stext=" 01:.+((SYSTEM_STATE.+slice.+state.+changed )|(ment ac)|(system.+state.+changed )|(\[timeout)|(PRM\|1\|D)|(kpr)|(kdp)|(\|lc)|(penalty))" /e /r /s</v>
      </c>
      <c r="AG114" s="1" t="str">
        <f t="shared" si="30"/>
        <v>EC</v>
      </c>
      <c r="AH114" s="92" t="str">
        <f t="shared" si="31"/>
        <v>"%USERPROFILE%\Documents\GitHub\eaglep3\Utilities\RefineRTDCRunTimes.py" --tripid 204-18 --locoid 4041 --swversion DE.1.0.8.0 --startMP 204:232973 --initTime 2016-11-18T17:16:24 --startdatetime 2016-11-18T17:26:15 --delay 1 --endMP 204:178 --enddatetime 2016-11-18T18:08:59 --enforcementcount 0 &gt;&gt;C:\Users\stu\Documents\GitHub\eaglep3-reporting\EC\2016-11-18-refined-times.txt</v>
      </c>
      <c r="AI11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{"issue":{"subject":"","project_id":79,"tracker_id":40,"status_id":1,"priority_id":2,"assigned_to_id":23,"start_date":"2016-11-18","description":"","custom_fields":[{"id":1,"name":"Subdivision","value":"EC"},{"id":4,"name":"Milepost","value":"0.0178"},{"id":17,"name":"Train ID","value":"204-18"},{"id":16,"name":"Locomotive ID","value":"4041"},{"id":130,"name":"Impact","value":""},{"id":150,"name":"Time of Event (Mountain Time)","value":"18:08:59"},{"id":151,"name":"Denver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590</v>
      </c>
      <c r="B115" s="7">
        <v>4018</v>
      </c>
      <c r="C115" s="22" t="s">
        <v>218</v>
      </c>
      <c r="D115" s="22" t="s">
        <v>270</v>
      </c>
      <c r="E115" s="13">
        <v>42692.692604166667</v>
      </c>
      <c r="F115" s="13">
        <v>42692.698113425926</v>
      </c>
      <c r="G115" s="7">
        <v>1</v>
      </c>
      <c r="H115" s="22" t="s">
        <v>407</v>
      </c>
      <c r="I115" s="13">
        <v>42692.72452546296</v>
      </c>
      <c r="J115" s="7">
        <v>0</v>
      </c>
      <c r="K115" s="109" t="str">
        <f t="shared" si="17"/>
        <v>4017/4018</v>
      </c>
      <c r="L115" s="22" t="str">
        <f>VLOOKUP(A115,'Trips&amp;Operators'!$C$1:$E$10000,3,FALSE)</f>
        <v>BONDS</v>
      </c>
      <c r="M115" s="6">
        <f t="shared" si="18"/>
        <v>2.6412037033878732E-2</v>
      </c>
      <c r="N115" s="7">
        <f t="shared" si="19"/>
        <v>38.033333328785375</v>
      </c>
      <c r="O115" s="7"/>
      <c r="P115" s="7"/>
      <c r="Q115" s="23"/>
      <c r="R115" s="23"/>
      <c r="S115" s="35">
        <f t="shared" si="20"/>
        <v>1</v>
      </c>
      <c r="T115" s="50" t="str">
        <f t="shared" si="21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15:37:21-700',mode:absolute,to:'2016-11-18 18:23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5" s="52" t="str">
        <f t="shared" si="23"/>
        <v>N</v>
      </c>
      <c r="X115" s="177">
        <f t="shared" si="34"/>
        <v>1</v>
      </c>
      <c r="Y115" s="67">
        <f t="shared" si="24"/>
        <v>4.4900000000000002E-2</v>
      </c>
      <c r="Z115" s="67">
        <f t="shared" si="25"/>
        <v>23.328700000000001</v>
      </c>
      <c r="AA115" s="67">
        <f t="shared" si="26"/>
        <v>23.283800000000003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27"/>
        <v>0205-18</v>
      </c>
      <c r="AE115" s="91" t="str">
        <f t="shared" si="28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15" s="88" t="str">
        <f t="shared" si="29"/>
        <v>"C:\Program Files (x86)\AstroGrep\AstroGrep.exe" /spath="%USERPROFILE%\AppData\Local\Temp\OnboardLogs" /stypes="app*4018*20161119*" /stext=" 00:.+((SYSTEM_STATE.+slice.+state.+changed )|(ment ac)|(system.+state.+changed )|(\[timeout)|(PRM\|1\|D)|(kpr)|(kdp)|(\|lc)|(penalty))" /e /r /s</v>
      </c>
      <c r="AG115" s="1" t="str">
        <f t="shared" si="30"/>
        <v>EC</v>
      </c>
      <c r="AH115" s="92" t="str">
        <f t="shared" si="31"/>
        <v>"%USERPROFILE%\Documents\GitHub\eaglep3\Utilities\RefineRTDCRunTimes.py" --tripid 205-18 --locoid 4018 --swversion DE.1.0.8.0 --startMP 204:449 --initTime 2016-11-18T16:37:21 --startdatetime 2016-11-18T16:45:17 --delay 1 --endMP 204:233287 --enddatetime 2016-11-18T17:23:19 --enforcementcount 0 &gt;&gt;C:\Users\stu\Documents\GitHub\eaglep3-reporting\EC\2016-11-18-refined-times.txt</v>
      </c>
      <c r="AI11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{"issue":{"subject":"","project_id":79,"tracker_id":40,"status_id":1,"priority_id":2,"assigned_to_id":23,"start_date":"2016-11-18","description":"","custom_fields":[{"id":1,"name":"Subdivision","value":"EC"},{"id":4,"name":"Milepost","value":"23.3287"},{"id":17,"name":"Train ID","value":"205-18"},{"id":16,"name":"Locomotive ID","value":"4018"},{"id":130,"name":"Impact","value":""},{"id":150,"name":"Time of Event (Mountain Time)","value":"17:23:19"},{"id":151,"name":"Denver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600</v>
      </c>
      <c r="B116" s="7">
        <v>4017</v>
      </c>
      <c r="C116" s="22" t="s">
        <v>218</v>
      </c>
      <c r="D116" s="22" t="s">
        <v>415</v>
      </c>
      <c r="E116" s="13">
        <v>42692.728703703702</v>
      </c>
      <c r="F116" s="13">
        <v>42692.736967592595</v>
      </c>
      <c r="G116" s="7">
        <v>1</v>
      </c>
      <c r="H116" s="22" t="s">
        <v>231</v>
      </c>
      <c r="I116" s="13">
        <v>42692.764189814814</v>
      </c>
      <c r="J116" s="7">
        <v>0</v>
      </c>
      <c r="K116" s="109" t="str">
        <f t="shared" si="17"/>
        <v>4017/4018</v>
      </c>
      <c r="L116" s="22" t="str">
        <f>VLOOKUP(A116,'Trips&amp;Operators'!$C$1:$E$10000,3,FALSE)</f>
        <v>BONDS</v>
      </c>
      <c r="M116" s="6">
        <f t="shared" si="18"/>
        <v>2.7222222219279502E-2</v>
      </c>
      <c r="N116" s="7">
        <f t="shared" si="19"/>
        <v>39.199999995762482</v>
      </c>
      <c r="O116" s="7"/>
      <c r="P116" s="7"/>
      <c r="Q116" s="23"/>
      <c r="R116" s="23"/>
      <c r="S116" s="35">
        <f t="shared" si="20"/>
        <v>1</v>
      </c>
      <c r="T116" s="50" t="str">
        <f t="shared" si="21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16:29:20-700',mode:absolute,to:'2016-11-18 19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6" s="52" t="str">
        <f t="shared" si="23"/>
        <v>N</v>
      </c>
      <c r="X116" s="177">
        <f t="shared" si="34"/>
        <v>1</v>
      </c>
      <c r="Y116" s="67">
        <f t="shared" si="24"/>
        <v>23.296600000000002</v>
      </c>
      <c r="Z116" s="67">
        <f t="shared" si="25"/>
        <v>1.4999999999999999E-2</v>
      </c>
      <c r="AA116" s="67">
        <f t="shared" si="26"/>
        <v>23.281600000000001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27"/>
        <v>0206-18</v>
      </c>
      <c r="AE116" s="91" t="str">
        <f t="shared" si="28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16" s="88" t="str">
        <f t="shared" si="29"/>
        <v>"C:\Program Files (x86)\AstroGrep\AstroGrep.exe" /spath="%USERPROFILE%\AppData\Local\Temp\OnboardLogs" /stypes="app*4017*20161119*" /stext=" 01:.+((SYSTEM_STATE.+slice.+state.+changed )|(ment ac)|(system.+state.+changed )|(\[timeout)|(PRM\|1\|D)|(kpr)|(kdp)|(\|lc)|(penalty))" /e /r /s</v>
      </c>
      <c r="AG116" s="1" t="str">
        <f t="shared" si="30"/>
        <v>EC</v>
      </c>
      <c r="AH116" s="92" t="str">
        <f t="shared" si="31"/>
        <v>"%USERPROFILE%\Documents\GitHub\eaglep3\Utilities\RefineRTDCRunTimes.py" --tripid 206-18 --locoid 4017 --swversion DE.1.0.8.0 --startMP 204:232966 --initTime 2016-11-18T17:29:20 --startdatetime 2016-11-18T17:41:14 --delay 1 --endMP 204:150 --enddatetime 2016-11-18T18:20:26 --enforcementcount 0 &gt;&gt;C:\Users\stu\Documents\GitHub\eaglep3-reporting\EC\2016-11-18-refined-times.txt</v>
      </c>
      <c r="AI11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{"issue":{"subject":"","project_id":79,"tracker_id":40,"status_id":1,"priority_id":2,"assigned_to_id":23,"start_date":"2016-11-18","description":"","custom_fields":[{"id":1,"name":"Subdivision","value":"EC"},{"id":4,"name":"Milepost","value":"0.015"},{"id":17,"name":"Train ID","value":"206-18"},{"id":16,"name":"Locomotive ID","value":"4017"},{"id":130,"name":"Impact","value":""},{"id":150,"name":"Time of Event (Mountain Time)","value":"18:20:26"},{"id":151,"name":"Denver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592</v>
      </c>
      <c r="B117" s="7">
        <v>4011</v>
      </c>
      <c r="C117" s="22" t="s">
        <v>218</v>
      </c>
      <c r="D117" s="22" t="s">
        <v>317</v>
      </c>
      <c r="E117" s="13">
        <v>42692.705277777779</v>
      </c>
      <c r="F117" s="13">
        <v>42692.70853009259</v>
      </c>
      <c r="G117" s="7">
        <v>1</v>
      </c>
      <c r="H117" s="22" t="s">
        <v>710</v>
      </c>
      <c r="I117" s="13">
        <v>42692.735590277778</v>
      </c>
      <c r="J117" s="7">
        <v>0</v>
      </c>
      <c r="K117" s="109" t="str">
        <f t="shared" si="17"/>
        <v>4011/4012</v>
      </c>
      <c r="L117" s="22" t="str">
        <f>VLOOKUP(A117,'Trips&amp;Operators'!$C$1:$E$10000,3,FALSE)</f>
        <v>JOHNSON</v>
      </c>
      <c r="M117" s="6">
        <f t="shared" si="18"/>
        <v>2.7060185188020114E-2</v>
      </c>
      <c r="N117" s="7">
        <f t="shared" si="19"/>
        <v>38.966666670748964</v>
      </c>
      <c r="O117" s="7"/>
      <c r="P117" s="7"/>
      <c r="Q117" s="23"/>
      <c r="R117" s="23"/>
      <c r="S117" s="35">
        <f t="shared" si="20"/>
        <v>1</v>
      </c>
      <c r="T117" s="50" t="str">
        <f t="shared" si="21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15:55:36-700',mode:absolute,to:'2016-11-18 18:39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3"/>
        <v>N</v>
      </c>
      <c r="X117" s="177">
        <f t="shared" si="34"/>
        <v>1</v>
      </c>
      <c r="Y117" s="67">
        <f t="shared" si="24"/>
        <v>4.2900000000000001E-2</v>
      </c>
      <c r="Z117" s="67">
        <f t="shared" si="25"/>
        <v>23.331099999999999</v>
      </c>
      <c r="AA117" s="67">
        <f t="shared" si="26"/>
        <v>23.2882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27"/>
        <v>0207-18</v>
      </c>
      <c r="AE117" s="91" t="str">
        <f t="shared" si="28"/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AF117" s="88" t="str">
        <f t="shared" si="29"/>
        <v>"C:\Program Files (x86)\AstroGrep\AstroGrep.exe" /spath="%USERPROFILE%\AppData\Local\Temp\OnboardLogs" /stypes="app*4011*20161119*" /stext=" 00:.+((SYSTEM_STATE.+slice.+state.+changed )|(ment ac)|(system.+state.+changed )|(\[timeout)|(PRM\|1\|D)|(kpr)|(kdp)|(\|lc)|(penalty))" /e /r /s</v>
      </c>
      <c r="AG117" s="1" t="str">
        <f t="shared" si="30"/>
        <v>EC</v>
      </c>
      <c r="AH117" s="92" t="str">
        <f t="shared" si="31"/>
        <v>"%USERPROFILE%\Documents\GitHub\eaglep3\Utilities\RefineRTDCRunTimes.py" --tripid 207-18 --locoid 4011 --swversion DE.1.0.8.0 --startMP 204:429 --initTime 2016-11-18T16:55:36 --startdatetime 2016-11-18T17:00:17 --delay 1 --endMP 204:233311 --enddatetime 2016-11-18T17:39:15 --enforcementcount 0 &gt;&gt;C:\Users\stu\Documents\GitHub\eaglep3-reporting\EC\2016-11-18-refined-times.txt</v>
      </c>
      <c r="AI11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{"issue":{"subject":"","project_id":79,"tracker_id":40,"status_id":1,"priority_id":2,"assigned_to_id":23,"start_date":"2016-11-18","description":"","custom_fields":[{"id":1,"name":"Subdivision","value":"EC"},{"id":4,"name":"Milepost","value":"23.3311"},{"id":17,"name":"Train ID","value":"207-18"},{"id":16,"name":"Locomotive ID","value":"4011"},{"id":130,"name":"Impact","value":""},{"id":150,"name":"Time of Event (Mountain Time)","value":"17:39:15"},{"id":151,"name":"Denver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604</v>
      </c>
      <c r="B118" s="7">
        <v>4012</v>
      </c>
      <c r="C118" s="22" t="s">
        <v>218</v>
      </c>
      <c r="D118" s="22" t="s">
        <v>296</v>
      </c>
      <c r="E118" s="13">
        <v>42692.743831018517</v>
      </c>
      <c r="F118" s="13">
        <v>42692.747453703705</v>
      </c>
      <c r="G118" s="7">
        <v>1</v>
      </c>
      <c r="H118" s="22" t="s">
        <v>196</v>
      </c>
      <c r="I118" s="13">
        <v>42692.775439814817</v>
      </c>
      <c r="J118" s="7">
        <v>0</v>
      </c>
      <c r="K118" s="109" t="str">
        <f t="shared" si="17"/>
        <v>4011/4012</v>
      </c>
      <c r="L118" s="22" t="str">
        <f>VLOOKUP(A118,'Trips&amp;Operators'!$C$1:$E$10000,3,FALSE)</f>
        <v>JOHNSON</v>
      </c>
      <c r="M118" s="6">
        <f t="shared" si="18"/>
        <v>2.7986111112113576E-2</v>
      </c>
      <c r="N118" s="7">
        <f t="shared" si="19"/>
        <v>40.30000000144355</v>
      </c>
      <c r="O118" s="7"/>
      <c r="P118" s="7"/>
      <c r="Q118" s="23"/>
      <c r="R118" s="23"/>
      <c r="S118" s="35">
        <f t="shared" si="20"/>
        <v>1</v>
      </c>
      <c r="T118" s="50" t="str">
        <f t="shared" si="21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16:51:07-700',mode:absolute,to:'2016-11-18 19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3"/>
        <v>N</v>
      </c>
      <c r="X118" s="177">
        <f t="shared" si="34"/>
        <v>1</v>
      </c>
      <c r="Y118" s="67">
        <f t="shared" si="24"/>
        <v>23.298400000000001</v>
      </c>
      <c r="Z118" s="67">
        <f t="shared" si="25"/>
        <v>1.49E-2</v>
      </c>
      <c r="AA118" s="67">
        <f t="shared" si="26"/>
        <v>23.2835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27"/>
        <v>0208-18</v>
      </c>
      <c r="AE118" s="91" t="str">
        <f t="shared" si="28"/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AF118" s="88" t="str">
        <f t="shared" si="29"/>
        <v>"C:\Program Files (x86)\AstroGrep\AstroGrep.exe" /spath="%USERPROFILE%\AppData\Local\Temp\OnboardLogs" /stypes="app*4012*20161119*" /stext=" 01:.+((SYSTEM_STATE.+slice.+state.+changed )|(ment ac)|(system.+state.+changed )|(\[timeout)|(PRM\|1\|D)|(kpr)|(kdp)|(\|lc)|(penalty))" /e /r /s</v>
      </c>
      <c r="AG118" s="1" t="str">
        <f t="shared" si="30"/>
        <v>EC</v>
      </c>
      <c r="AH118" s="92" t="str">
        <f t="shared" si="31"/>
        <v>"%USERPROFILE%\Documents\GitHub\eaglep3\Utilities\RefineRTDCRunTimes.py" --tripid 208-18 --locoid 4012 --swversion DE.1.0.8.0 --startMP 204:232984 --initTime 2016-11-18T17:51:07 --startdatetime 2016-11-18T17:56:20 --delay 1 --endMP 204:149 --enddatetime 2016-11-18T18:36:38 --enforcementcount 0 &gt;&gt;C:\Users\stu\Documents\GitHub\eaglep3-reporting\EC\2016-11-18-refined-times.txt</v>
      </c>
      <c r="AI11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{"issue":{"subject":"","project_id":79,"tracker_id":40,"status_id":1,"priority_id":2,"assigned_to_id":23,"start_date":"2016-11-18","description":"","custom_fields":[{"id":1,"name":"Subdivision","value":"EC"},{"id":4,"name":"Milepost","value":"0.0149"},{"id":17,"name":"Train ID","value":"208-18"},{"id":16,"name":"Locomotive ID","value":"4012"},{"id":130,"name":"Impact","value":""},{"id":150,"name":"Time of Event (Mountain Time)","value":"18:36:38"},{"id":151,"name":"Denver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596</v>
      </c>
      <c r="B119" s="7">
        <v>4025</v>
      </c>
      <c r="C119" s="22" t="s">
        <v>218</v>
      </c>
      <c r="D119" s="22" t="s">
        <v>711</v>
      </c>
      <c r="E119" s="13">
        <v>42692.714421296296</v>
      </c>
      <c r="F119" s="13">
        <v>42692.719212962962</v>
      </c>
      <c r="G119" s="7">
        <v>1</v>
      </c>
      <c r="H119" s="22" t="s">
        <v>712</v>
      </c>
      <c r="I119" s="13">
        <v>42692.744745370372</v>
      </c>
      <c r="J119" s="7">
        <v>0</v>
      </c>
      <c r="K119" s="109" t="str">
        <f t="shared" si="17"/>
        <v>4025/4026</v>
      </c>
      <c r="L119" s="22" t="str">
        <f>VLOOKUP(A119,'Trips&amp;Operators'!$C$1:$E$10000,3,FALSE)</f>
        <v>HILLS</v>
      </c>
      <c r="M119" s="6">
        <f t="shared" si="18"/>
        <v>2.5532407409627922E-2</v>
      </c>
      <c r="N119" s="7">
        <f t="shared" si="19"/>
        <v>36.766666669864208</v>
      </c>
      <c r="O119" s="7"/>
      <c r="P119" s="7"/>
      <c r="Q119" s="23"/>
      <c r="R119" s="23"/>
      <c r="S119" s="35">
        <f t="shared" si="20"/>
        <v>1</v>
      </c>
      <c r="T119" s="50" t="str">
        <f t="shared" si="21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16:08:46-700',mode:absolute,to:'2016-11-18 18:52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9" s="52" t="str">
        <f t="shared" si="23"/>
        <v>N</v>
      </c>
      <c r="X119" s="177">
        <f t="shared" si="34"/>
        <v>1</v>
      </c>
      <c r="Y119" s="67">
        <f t="shared" si="24"/>
        <v>3.8699999999999998E-2</v>
      </c>
      <c r="Z119" s="67">
        <f t="shared" si="25"/>
        <v>23.3353</v>
      </c>
      <c r="AA119" s="67">
        <f t="shared" si="26"/>
        <v>23.296600000000002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27"/>
        <v>0209-18</v>
      </c>
      <c r="AE119" s="91" t="str">
        <f t="shared" si="28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119" s="88" t="str">
        <f t="shared" si="29"/>
        <v>"C:\Program Files (x86)\AstroGrep\AstroGrep.exe" /spath="%USERPROFILE%\AppData\Local\Temp\OnboardLogs" /stypes="app*4025*20161119*" /stext=" 00:.+((SYSTEM_STATE.+slice.+state.+changed )|(ment ac)|(system.+state.+changed )|(\[timeout)|(PRM\|1\|D)|(kpr)|(kdp)|(\|lc)|(penalty))" /e /r /s</v>
      </c>
      <c r="AG119" s="1" t="str">
        <f t="shared" si="30"/>
        <v>EC</v>
      </c>
      <c r="AH119" s="92" t="str">
        <f t="shared" si="31"/>
        <v>"%USERPROFILE%\Documents\GitHub\eaglep3\Utilities\RefineRTDCRunTimes.py" --tripid 209-18 --locoid 4025 --swversion DE.1.0.8.0 --startMP 204:387 --initTime 2016-11-18T17:08:46 --startdatetime 2016-11-18T17:15:40 --delay 1 --endMP 204:233353 --enddatetime 2016-11-18T17:52:26 --enforcementcount 0 &gt;&gt;C:\Users\stu\Documents\GitHub\eaglep3-reporting\EC\2016-11-18-refined-times.txt</v>
      </c>
      <c r="AI11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{"issue":{"subject":"","project_id":79,"tracker_id":40,"status_id":1,"priority_id":2,"assigned_to_id":23,"start_date":"2016-11-18","description":"","custom_fields":[{"id":1,"name":"Subdivision","value":"EC"},{"id":4,"name":"Milepost","value":"23.3353"},{"id":17,"name":"Train ID","value":"209-18"},{"id":16,"name":"Locomotive ID","value":"4025"},{"id":130,"name":"Impact","value":""},{"id":150,"name":"Time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605</v>
      </c>
      <c r="B120" s="7">
        <v>4026</v>
      </c>
      <c r="C120" s="22" t="s">
        <v>218</v>
      </c>
      <c r="D120" s="22" t="s">
        <v>713</v>
      </c>
      <c r="E120" s="13">
        <v>42692.746261574073</v>
      </c>
      <c r="F120" s="13">
        <v>42692.758067129631</v>
      </c>
      <c r="G120" s="7">
        <v>1</v>
      </c>
      <c r="H120" s="22" t="s">
        <v>714</v>
      </c>
      <c r="I120" s="13">
        <v>42692.784236111111</v>
      </c>
      <c r="J120" s="7">
        <v>0</v>
      </c>
      <c r="K120" s="109" t="str">
        <f t="shared" si="17"/>
        <v>4025/4026</v>
      </c>
      <c r="L120" s="22" t="str">
        <f>VLOOKUP(A120,'Trips&amp;Operators'!$C$1:$E$10000,3,FALSE)</f>
        <v>HILLS</v>
      </c>
      <c r="M120" s="6">
        <f t="shared" si="18"/>
        <v>2.6168981479713693E-2</v>
      </c>
      <c r="N120" s="7">
        <f t="shared" si="19"/>
        <v>37.683333330787718</v>
      </c>
      <c r="O120" s="7"/>
      <c r="P120" s="7"/>
      <c r="Q120" s="23"/>
      <c r="R120" s="23"/>
      <c r="S120" s="35">
        <f t="shared" si="20"/>
        <v>1</v>
      </c>
      <c r="T120" s="50" t="str">
        <f t="shared" si="21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16:54:37-700',mode:absolute,to:'2016-11-18 19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0" s="52" t="str">
        <f t="shared" si="23"/>
        <v>N</v>
      </c>
      <c r="X120" s="177">
        <f t="shared" si="34"/>
        <v>1</v>
      </c>
      <c r="Y120" s="67">
        <f t="shared" si="24"/>
        <v>23.305700000000002</v>
      </c>
      <c r="Z120" s="67">
        <f t="shared" si="25"/>
        <v>6.3E-3</v>
      </c>
      <c r="AA120" s="67">
        <f t="shared" si="26"/>
        <v>23.299400000000002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27"/>
        <v>0210-18</v>
      </c>
      <c r="AE120" s="91" t="str">
        <f t="shared" si="28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20" s="88" t="str">
        <f t="shared" si="29"/>
        <v>"C:\Program Files (x86)\AstroGrep\AstroGrep.exe" /spath="%USERPROFILE%\AppData\Local\Temp\OnboardLogs" /stypes="app*4026*20161119*" /stext=" 01:.+((SYSTEM_STATE.+slice.+state.+changed )|(ment ac)|(system.+state.+changed )|(\[timeout)|(PRM\|1\|D)|(kpr)|(kdp)|(\|lc)|(penalty))" /e /r /s</v>
      </c>
      <c r="AG120" s="1" t="str">
        <f t="shared" si="30"/>
        <v>EC</v>
      </c>
      <c r="AH120" s="92" t="str">
        <f t="shared" si="31"/>
        <v>"%USERPROFILE%\Documents\GitHub\eaglep3\Utilities\RefineRTDCRunTimes.py" --tripid 210-18 --locoid 4026 --swversion DE.1.0.8.0 --startMP 204:233057 --initTime 2016-11-18T17:54:37 --startdatetime 2016-11-18T18:11:37 --delay 1 --endMP 204:63 --enddatetime 2016-11-18T18:49:18 --enforcementcount 0 &gt;&gt;C:\Users\stu\Documents\GitHub\eaglep3-reporting\EC\2016-11-18-refined-times.txt</v>
      </c>
      <c r="AI12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{"issue":{"subject":"","project_id":79,"tracker_id":40,"status_id":1,"priority_id":2,"assigned_to_id":23,"start_date":"2016-11-18","description":"","custom_fields":[{"id":1,"name":"Subdivision","value":"EC"},{"id":4,"name":"Milepost","value":"0.0063"},{"id":17,"name":"Train ID","value":"210-18"},{"id":16,"name":"Locomotive ID","value":"4026"},{"id":130,"name":"Impact","value":""},{"id":150,"name":"Time of Event (Mountain Time)","value":"18:49:18"},{"id":151,"name":"Denver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599</v>
      </c>
      <c r="B121" s="7">
        <v>4046</v>
      </c>
      <c r="C121" s="22" t="s">
        <v>218</v>
      </c>
      <c r="D121" s="22" t="s">
        <v>220</v>
      </c>
      <c r="E121" s="13">
        <v>42692.725046296298</v>
      </c>
      <c r="F121" s="13">
        <v>42692.729375000003</v>
      </c>
      <c r="G121" s="7">
        <v>1</v>
      </c>
      <c r="H121" s="22" t="s">
        <v>410</v>
      </c>
      <c r="I121" s="13">
        <v>42692.755266203705</v>
      </c>
      <c r="J121" s="7">
        <v>0</v>
      </c>
      <c r="K121" s="109" t="str">
        <f t="shared" si="17"/>
        <v>4045/4046</v>
      </c>
      <c r="L121" s="22" t="str">
        <f>VLOOKUP(A121,'Trips&amp;Operators'!$C$1:$E$10000,3,FALSE)</f>
        <v>SHOOK</v>
      </c>
      <c r="M121" s="6">
        <f t="shared" si="18"/>
        <v>2.5891203702485655E-2</v>
      </c>
      <c r="N121" s="7">
        <f t="shared" si="19"/>
        <v>37.283333331579342</v>
      </c>
      <c r="O121" s="7"/>
      <c r="P121" s="7"/>
      <c r="Q121" s="23"/>
      <c r="R121" s="23"/>
      <c r="S121" s="35">
        <f t="shared" si="20"/>
        <v>1</v>
      </c>
      <c r="T121" s="50" t="str">
        <f t="shared" si="21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16:24:04-700',mode:absolute,to:'2016-11-18 19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23"/>
        <v>N</v>
      </c>
      <c r="X121" s="177">
        <f t="shared" si="34"/>
        <v>1</v>
      </c>
      <c r="Y121" s="67">
        <f t="shared" si="24"/>
        <v>4.58E-2</v>
      </c>
      <c r="Z121" s="67">
        <f t="shared" si="25"/>
        <v>23.336400000000001</v>
      </c>
      <c r="AA121" s="67">
        <f t="shared" si="26"/>
        <v>23.290600000000001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27"/>
        <v>0211-18</v>
      </c>
      <c r="AE121" s="91" t="str">
        <f t="shared" si="28"/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AF121" s="88" t="str">
        <f t="shared" si="29"/>
        <v>"C:\Program Files (x86)\AstroGrep\AstroGrep.exe" /spath="%USERPROFILE%\AppData\Local\Temp\OnboardLogs" /stypes="app*4046*20161119*" /stext=" 01:.+((SYSTEM_STATE.+slice.+state.+changed )|(ment ac)|(system.+state.+changed )|(\[timeout)|(PRM\|1\|D)|(kpr)|(kdp)|(\|lc)|(penalty))" /e /r /s</v>
      </c>
      <c r="AG121" s="1" t="str">
        <f t="shared" si="30"/>
        <v>EC</v>
      </c>
      <c r="AH121" s="92" t="str">
        <f t="shared" si="31"/>
        <v>"%USERPROFILE%\Documents\GitHub\eaglep3\Utilities\RefineRTDCRunTimes.py" --tripid 211-18 --locoid 4046 --swversion DE.1.0.8.0 --startMP 204:458 --initTime 2016-11-18T17:24:04 --startdatetime 2016-11-18T17:30:18 --delay 1 --endMP 204:233364 --enddatetime 2016-11-18T18:07:35 --enforcementcount 0 &gt;&gt;C:\Users\stu\Documents\GitHub\eaglep3-reporting\EC\2016-11-18-refined-times.txt</v>
      </c>
      <c r="AI12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{"issue":{"subject":"","project_id":79,"tracker_id":40,"status_id":1,"priority_id":2,"assigned_to_id":23,"start_date":"2016-11-18","description":"","custom_fields":[{"id":1,"name":"Subdivision","value":"EC"},{"id":4,"name":"Milepost","value":"23.3364"},{"id":17,"name":"Train ID","value":"211-18"},{"id":16,"name":"Locomotive ID","value":"4046"},{"id":130,"name":"Impact","value":""},{"id":150,"name":"Time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609</v>
      </c>
      <c r="B122" s="7">
        <v>4045</v>
      </c>
      <c r="C122" s="22" t="s">
        <v>218</v>
      </c>
      <c r="D122" s="22" t="s">
        <v>715</v>
      </c>
      <c r="E122" s="13">
        <v>42692.762187499997</v>
      </c>
      <c r="F122" s="13">
        <v>42692.768263888887</v>
      </c>
      <c r="G122" s="7">
        <v>1</v>
      </c>
      <c r="H122" s="22" t="s">
        <v>197</v>
      </c>
      <c r="I122" s="13">
        <v>42692.795972222222</v>
      </c>
      <c r="J122" s="7">
        <v>0</v>
      </c>
      <c r="K122" s="109" t="str">
        <f t="shared" si="17"/>
        <v>4045/4046</v>
      </c>
      <c r="L122" s="22" t="str">
        <f>VLOOKUP(A122,'Trips&amp;Operators'!$C$1:$E$10000,3,FALSE)</f>
        <v>SHOOK</v>
      </c>
      <c r="M122" s="6">
        <f t="shared" si="18"/>
        <v>2.7708333334885538E-2</v>
      </c>
      <c r="N122" s="7">
        <f t="shared" si="19"/>
        <v>39.900000002235174</v>
      </c>
      <c r="O122" s="7"/>
      <c r="P122" s="7"/>
      <c r="Q122" s="23"/>
      <c r="R122" s="23"/>
      <c r="S122" s="35">
        <f t="shared" si="20"/>
        <v>1</v>
      </c>
      <c r="T122" s="50" t="str">
        <f t="shared" si="21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17:17:33-700',mode:absolute,to:'2016-11-18 20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23"/>
        <v>N</v>
      </c>
      <c r="X122" s="177">
        <f t="shared" si="34"/>
        <v>1</v>
      </c>
      <c r="Y122" s="67">
        <f t="shared" si="24"/>
        <v>23.304600000000001</v>
      </c>
      <c r="Z122" s="67">
        <f t="shared" si="25"/>
        <v>1.43E-2</v>
      </c>
      <c r="AA122" s="67">
        <f t="shared" si="26"/>
        <v>23.290300000000002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27"/>
        <v>0212-18</v>
      </c>
      <c r="AE122" s="91" t="str">
        <f t="shared" si="28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122" s="88" t="str">
        <f t="shared" si="29"/>
        <v>"C:\Program Files (x86)\AstroGrep\AstroGrep.exe" /spath="%USERPROFILE%\AppData\Local\Temp\OnboardLogs" /stypes="app*4045*20161119*" /stext=" 02:.+((SYSTEM_STATE.+slice.+state.+changed )|(ment ac)|(system.+state.+changed )|(\[timeout)|(PRM\|1\|D)|(kpr)|(kdp)|(\|lc)|(penalty))" /e /r /s</v>
      </c>
      <c r="AG122" s="1" t="str">
        <f t="shared" si="30"/>
        <v>EC</v>
      </c>
      <c r="AH122" s="92" t="str">
        <f t="shared" si="31"/>
        <v>"%USERPROFILE%\Documents\GitHub\eaglep3\Utilities\RefineRTDCRunTimes.py" --tripid 212-18 --locoid 4045 --swversion DE.1.0.8.0 --startMP 204:233046 --initTime 2016-11-18T18:17:33 --startdatetime 2016-11-18T18:26:18 --delay 1 --endMP 204:143 --enddatetime 2016-11-18T19:06:12 --enforcementcount 0 &gt;&gt;C:\Users\stu\Documents\GitHub\eaglep3-reporting\EC\2016-11-18-refined-times.txt</v>
      </c>
      <c r="AI12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{"issue":{"subject":"","project_id":79,"tracker_id":40,"status_id":1,"priority_id":2,"assigned_to_id":23,"start_date":"2016-11-18","description":"","custom_fields":[{"id":1,"name":"Subdivision","value":"EC"},{"id":4,"name":"Milepost","value":"0.0143"},{"id":17,"name":"Train ID","value":"212-18"},{"id":16,"name":"Locomotive ID","value":"4045"},{"id":130,"name":"Impact","value":""},{"id":150,"name":"Time of Event (Mountain Time)","value":"19:06:12"},{"id":151,"name":"Denver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603</v>
      </c>
      <c r="B123" s="7">
        <v>4016</v>
      </c>
      <c r="C123" s="22" t="s">
        <v>218</v>
      </c>
      <c r="D123" s="22" t="s">
        <v>217</v>
      </c>
      <c r="E123" s="13">
        <v>42692.734456018516</v>
      </c>
      <c r="F123" s="13">
        <v>42692.739872685182</v>
      </c>
      <c r="G123" s="7">
        <v>1</v>
      </c>
      <c r="H123" s="22" t="s">
        <v>288</v>
      </c>
      <c r="I123" s="13">
        <v>42692.764409722222</v>
      </c>
      <c r="J123" s="7">
        <v>0</v>
      </c>
      <c r="K123" s="109" t="str">
        <f t="shared" si="17"/>
        <v>4015/4016</v>
      </c>
      <c r="L123" s="22" t="str">
        <f>VLOOKUP(A123,'Trips&amp;Operators'!$C$1:$E$10000,3,FALSE)</f>
        <v>PERKINS</v>
      </c>
      <c r="M123" s="6">
        <f t="shared" si="18"/>
        <v>2.453703703940846E-2</v>
      </c>
      <c r="N123" s="7">
        <f t="shared" si="19"/>
        <v>35.333333336748183</v>
      </c>
      <c r="O123" s="7"/>
      <c r="P123" s="7"/>
      <c r="Q123" s="23"/>
      <c r="R123" s="23"/>
      <c r="S123" s="35">
        <f t="shared" si="20"/>
        <v>1</v>
      </c>
      <c r="T123" s="50" t="str">
        <f t="shared" si="21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16:37:37-700',mode:absolute,to:'2016-11-18 19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23"/>
        <v>N</v>
      </c>
      <c r="X123" s="177">
        <f t="shared" si="34"/>
        <v>1</v>
      </c>
      <c r="Y123" s="67">
        <f t="shared" si="24"/>
        <v>4.6399999999999997E-2</v>
      </c>
      <c r="Z123" s="67">
        <f t="shared" si="25"/>
        <v>23.3308</v>
      </c>
      <c r="AA123" s="67">
        <f t="shared" si="26"/>
        <v>23.284400000000002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27"/>
        <v>0213-18</v>
      </c>
      <c r="AE123" s="91" t="str">
        <f t="shared" si="28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23" s="88" t="str">
        <f t="shared" si="29"/>
        <v>"C:\Program Files (x86)\AstroGrep\AstroGrep.exe" /spath="%USERPROFILE%\AppData\Local\Temp\OnboardLogs" /stypes="app*4016*20161119*" /stext=" 01:.+((SYSTEM_STATE.+slice.+state.+changed )|(ment ac)|(system.+state.+changed )|(\[timeout)|(PRM\|1\|D)|(kpr)|(kdp)|(\|lc)|(penalty))" /e /r /s</v>
      </c>
      <c r="AG123" s="1" t="str">
        <f t="shared" si="30"/>
        <v>EC</v>
      </c>
      <c r="AH123" s="92" t="str">
        <f t="shared" si="31"/>
        <v>"%USERPROFILE%\Documents\GitHub\eaglep3\Utilities\RefineRTDCRunTimes.py" --tripid 213-18 --locoid 4016 --swversion DE.1.0.8.0 --startMP 204:464 --initTime 2016-11-18T17:37:37 --startdatetime 2016-11-18T17:45:25 --delay 1 --endMP 204:233308 --enddatetime 2016-11-18T18:20:45 --enforcementcount 0 &gt;&gt;C:\Users\stu\Documents\GitHub\eaglep3-reporting\EC\2016-11-18-refined-times.txt</v>
      </c>
      <c r="AI12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{"issue":{"subject":"","project_id":79,"tracker_id":40,"status_id":1,"priority_id":2,"assigned_to_id":23,"start_date":"2016-11-18","description":"","custom_fields":[{"id":1,"name":"Subdivision","value":"EC"},{"id":4,"name":"Milepost","value":"23.3308"},{"id":17,"name":"Train ID","value":"213-18"},{"id":16,"name":"Locomotive ID","value":"4016"},{"id":130,"name":"Impact","value":""},{"id":150,"name":"Time of Event (Mountain Time)","value":"18:20:45"},{"id":151,"name":"Denver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614</v>
      </c>
      <c r="B124" s="7">
        <v>4015</v>
      </c>
      <c r="C124" s="22" t="s">
        <v>218</v>
      </c>
      <c r="D124" s="22" t="s">
        <v>318</v>
      </c>
      <c r="E124" s="13">
        <v>42692.769641203704</v>
      </c>
      <c r="F124" s="13">
        <v>42692.778645833336</v>
      </c>
      <c r="G124" s="7">
        <v>1</v>
      </c>
      <c r="H124" s="22" t="s">
        <v>197</v>
      </c>
      <c r="I124" s="13">
        <v>42692.805023148147</v>
      </c>
      <c r="J124" s="7">
        <v>0</v>
      </c>
      <c r="K124" s="109" t="str">
        <f t="shared" si="17"/>
        <v>4015/4016</v>
      </c>
      <c r="L124" s="22" t="str">
        <f>VLOOKUP(A124,'Trips&amp;Operators'!$C$1:$E$10000,3,FALSE)</f>
        <v>PERKINS</v>
      </c>
      <c r="M124" s="6">
        <f t="shared" si="18"/>
        <v>2.6377314810815733E-2</v>
      </c>
      <c r="N124" s="7">
        <f t="shared" si="19"/>
        <v>37.983333327574655</v>
      </c>
      <c r="O124" s="7"/>
      <c r="P124" s="7"/>
      <c r="Q124" s="23"/>
      <c r="R124" s="23"/>
      <c r="S124" s="35">
        <f t="shared" si="20"/>
        <v>1</v>
      </c>
      <c r="T124" s="50" t="str">
        <f t="shared" si="21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17:28:17-700',mode:absolute,to:'2016-11-18 20:19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23"/>
        <v>N</v>
      </c>
      <c r="X124" s="177">
        <f t="shared" si="34"/>
        <v>1</v>
      </c>
      <c r="Y124" s="67">
        <f t="shared" si="24"/>
        <v>23.299800000000001</v>
      </c>
      <c r="Z124" s="67">
        <f t="shared" si="25"/>
        <v>1.43E-2</v>
      </c>
      <c r="AA124" s="67">
        <f t="shared" si="26"/>
        <v>23.285500000000003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27"/>
        <v>0214-18</v>
      </c>
      <c r="AE124" s="91" t="str">
        <f t="shared" si="28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124" s="88" t="str">
        <f t="shared" si="29"/>
        <v>"C:\Program Files (x86)\AstroGrep\AstroGrep.exe" /spath="%USERPROFILE%\AppData\Local\Temp\OnboardLogs" /stypes="app*4015*20161119*" /stext=" 02:.+((SYSTEM_STATE.+slice.+state.+changed )|(ment ac)|(system.+state.+changed )|(\[timeout)|(PRM\|1\|D)|(kpr)|(kdp)|(\|lc)|(penalty))" /e /r /s</v>
      </c>
      <c r="AG124" s="1" t="str">
        <f t="shared" si="30"/>
        <v>EC</v>
      </c>
      <c r="AH124" s="92" t="str">
        <f t="shared" si="31"/>
        <v>"%USERPROFILE%\Documents\GitHub\eaglep3\Utilities\RefineRTDCRunTimes.py" --tripid 214-18 --locoid 4015 --swversion DE.1.0.8.0 --startMP 204:232998 --initTime 2016-11-18T18:28:17 --startdatetime 2016-11-18T18:41:15 --delay 1 --endMP 204:143 --enddatetime 2016-11-18T19:19:14 --enforcementcount 0 &gt;&gt;C:\Users\stu\Documents\GitHub\eaglep3-reporting\EC\2016-11-18-refined-times.txt</v>
      </c>
      <c r="AI12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{"issue":{"subject":"","project_id":79,"tracker_id":40,"status_id":1,"priority_id":2,"assigned_to_id":23,"start_date":"2016-11-18","description":"","custom_fields":[{"id":1,"name":"Subdivision","value":"EC"},{"id":4,"name":"Milepost","value":"0.0143"},{"id":17,"name":"Train ID","value":"214-18"},{"id":16,"name":"Locomotive ID","value":"4015"},{"id":130,"name":"Impact","value":""},{"id":150,"name":"Time of Event (Mountain Time)","value":"19:19:14"},{"id":151,"name":"Denver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606</v>
      </c>
      <c r="B125" s="7">
        <v>4029</v>
      </c>
      <c r="C125" s="22" t="s">
        <v>218</v>
      </c>
      <c r="D125" s="22" t="s">
        <v>268</v>
      </c>
      <c r="E125" s="13">
        <v>42692.746851851851</v>
      </c>
      <c r="F125" s="13">
        <v>42692.750451388885</v>
      </c>
      <c r="G125" s="7">
        <v>2</v>
      </c>
      <c r="H125" s="22" t="s">
        <v>678</v>
      </c>
      <c r="I125" s="13">
        <v>42692.776134259257</v>
      </c>
      <c r="J125" s="7">
        <v>0</v>
      </c>
      <c r="K125" s="109" t="str">
        <f t="shared" si="17"/>
        <v>4029/4030</v>
      </c>
      <c r="L125" s="22" t="str">
        <f>VLOOKUP(A125,'Trips&amp;Operators'!$C$1:$E$10000,3,FALSE)</f>
        <v>BROWN</v>
      </c>
      <c r="M125" s="6">
        <f t="shared" si="18"/>
        <v>2.5682870371383615E-2</v>
      </c>
      <c r="N125" s="7">
        <f t="shared" si="19"/>
        <v>36.983333334792405</v>
      </c>
      <c r="O125" s="7"/>
      <c r="P125" s="7"/>
      <c r="Q125" s="23"/>
      <c r="R125" s="23"/>
      <c r="S125" s="35">
        <f t="shared" si="20"/>
        <v>1</v>
      </c>
      <c r="T125" s="50" t="str">
        <f t="shared" si="21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16:55:28-700',mode:absolute,to:'2016-11-18 19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23"/>
        <v>N</v>
      </c>
      <c r="X125" s="177">
        <f t="shared" si="34"/>
        <v>1</v>
      </c>
      <c r="Y125" s="67">
        <f t="shared" si="24"/>
        <v>4.6600000000000003E-2</v>
      </c>
      <c r="Z125" s="67">
        <f t="shared" si="25"/>
        <v>23.332799999999999</v>
      </c>
      <c r="AA125" s="67">
        <f t="shared" si="26"/>
        <v>23.286199999999997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27"/>
        <v>0215-18</v>
      </c>
      <c r="AE125" s="91" t="str">
        <f t="shared" si="28"/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AF125" s="88" t="str">
        <f t="shared" si="29"/>
        <v>"C:\Program Files (x86)\AstroGrep\AstroGrep.exe" /spath="%USERPROFILE%\AppData\Local\Temp\OnboardLogs" /stypes="app*4029*20161119*" /stext=" 01:.+((SYSTEM_STATE.+slice.+state.+changed )|(ment ac)|(system.+state.+changed )|(\[timeout)|(PRM\|1\|D)|(kpr)|(kdp)|(\|lc)|(penalty))" /e /r /s</v>
      </c>
      <c r="AG125" s="1" t="str">
        <f t="shared" si="30"/>
        <v>EC</v>
      </c>
      <c r="AH125" s="92" t="str">
        <f t="shared" si="31"/>
        <v>"%USERPROFILE%\Documents\GitHub\eaglep3\Utilities\RefineRTDCRunTimes.py" --tripid 215-18 --locoid 4029 --swversion DE.1.0.8.0 --startMP 204:466 --initTime 2016-11-18T17:55:28 --startdatetime 2016-11-18T18:00:39 --delay 2 --endMP 204:233328 --enddatetime 2016-11-18T18:37:38 --enforcementcount 0 &gt;&gt;C:\Users\stu\Documents\GitHub\eaglep3-reporting\EC\2016-11-18-refined-times.txt</v>
      </c>
      <c r="AI12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{"issue":{"subject":"","project_id":79,"tracker_id":40,"status_id":1,"priority_id":2,"assigned_to_id":23,"start_date":"2016-11-18","description":"","custom_fields":[{"id":1,"name":"Subdivision","value":"EC"},{"id":4,"name":"Milepost","value":"23.3328"},{"id":17,"name":"Train ID","value":"215-18"},{"id":16,"name":"Locomotive ID","value":"4029"},{"id":130,"name":"Impact","value":""},{"id":150,"name":"Time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616</v>
      </c>
      <c r="B126" s="7">
        <v>4030</v>
      </c>
      <c r="C126" s="22" t="s">
        <v>218</v>
      </c>
      <c r="D126" s="22" t="s">
        <v>318</v>
      </c>
      <c r="E126" s="13">
        <v>42692.784432870372</v>
      </c>
      <c r="F126" s="13">
        <v>42692.789050925923</v>
      </c>
      <c r="G126" s="7">
        <v>1</v>
      </c>
      <c r="H126" s="22" t="s">
        <v>352</v>
      </c>
      <c r="I126" s="13">
        <v>42692.815625000003</v>
      </c>
      <c r="J126" s="7">
        <v>0</v>
      </c>
      <c r="K126" s="109" t="str">
        <f t="shared" si="17"/>
        <v>4029/4030</v>
      </c>
      <c r="L126" s="22" t="str">
        <f>VLOOKUP(A126,'Trips&amp;Operators'!$C$1:$E$10000,3,FALSE)</f>
        <v>BROWN</v>
      </c>
      <c r="M126" s="6">
        <f t="shared" si="18"/>
        <v>2.6574074079690035E-2</v>
      </c>
      <c r="N126" s="7">
        <f t="shared" si="19"/>
        <v>38.266666674753651</v>
      </c>
      <c r="O126" s="7"/>
      <c r="P126" s="7"/>
      <c r="Q126" s="23"/>
      <c r="R126" s="23"/>
      <c r="S126" s="35">
        <f t="shared" si="20"/>
        <v>1</v>
      </c>
      <c r="T126" s="50" t="str">
        <f t="shared" si="21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17:49:35-700',mode:absolute,to:'2016-11-18 20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23"/>
        <v>N</v>
      </c>
      <c r="X126" s="177">
        <f t="shared" si="34"/>
        <v>1</v>
      </c>
      <c r="Y126" s="67">
        <f t="shared" si="24"/>
        <v>23.299800000000001</v>
      </c>
      <c r="Z126" s="67">
        <f t="shared" si="25"/>
        <v>1.6500000000000001E-2</v>
      </c>
      <c r="AA126" s="67">
        <f t="shared" si="26"/>
        <v>23.283300000000001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27"/>
        <v>0216-18</v>
      </c>
      <c r="AE126" s="91" t="str">
        <f t="shared" si="28"/>
        <v>aws s3 cp s3://rtdc.mdm.uploadarchive.raw/RTDC4030/ "%USERPROFILE%\AppData\Local\Temp\OnboardLogs"\RTDC4030\2016-11-18 --exclude "*" --recursive --include "*20161118*" &amp; "%USERPROFILE%\Documents\GitHub\mrs-test-scripts\Headless Mode &amp; Sideloading\WalkAndUnGZ.bat" "%USERPROFILE%\AppData\Local\Temp\OnboardLogs"\RTDC4030\2016-11-18 &amp; aws s3 cp s3://rtdc.mdm.uploadarchive.raw/RTDC4030/ "%USERPROFILE%\AppData\Local\Temp\OnboardLogs"\RTDC4030\2016-11-19 --exclude "*" --recursive --include "*20161119*" &amp; "%USERPROFILE%\Documents\GitHub\mrs-test-scripts\Headless Mode &amp; Sideloading\WalkAndUnGZ.bat" "%USERPROFILE%\AppData\Local\Temp\OnboardLogs"\RTDC4030\2016-11-19</v>
      </c>
      <c r="AF126" s="88" t="str">
        <f t="shared" si="29"/>
        <v>"C:\Program Files (x86)\AstroGrep\AstroGrep.exe" /spath="%USERPROFILE%\AppData\Local\Temp\OnboardLogs" /stypes="app*4030*20161119*" /stext=" 02:.+((SYSTEM_STATE.+slice.+state.+changed )|(ment ac)|(system.+state.+changed )|(\[timeout)|(PRM\|1\|D)|(kpr)|(kdp)|(\|lc)|(penalty))" /e /r /s</v>
      </c>
      <c r="AG126" s="1" t="str">
        <f t="shared" si="30"/>
        <v>EC</v>
      </c>
      <c r="AH126" s="92" t="str">
        <f t="shared" si="31"/>
        <v>"%USERPROFILE%\Documents\GitHub\eaglep3\Utilities\RefineRTDCRunTimes.py" --tripid 216-18 --locoid 4030 --swversion DE.1.0.8.0 --startMP 204:232998 --initTime 2016-11-18T18:49:35 --startdatetime 2016-11-18T18:56:14 --delay 1 --endMP 204:165 --enddatetime 2016-11-18T19:34:30 --enforcementcount 0 &gt;&gt;C:\Users\stu\Documents\GitHub\eaglep3-reporting\EC\2016-11-18-refined-times.txt</v>
      </c>
      <c r="AI12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{"issue":{"subject":"","project_id":79,"tracker_id":40,"status_id":1,"priority_id":2,"assigned_to_id":23,"start_date":"2016-11-18","description":"","custom_fields":[{"id":1,"name":"Subdivision","value":"EC"},{"id":4,"name":"Milepost","value":"0.0165"},{"id":17,"name":"Train ID","value":"216-18"},{"id":16,"name":"Locomotive ID","value":"4030"},{"id":130,"name":"Impact","value":""},{"id":150,"name":"Time of Event (Mountain Time)","value":"19:34:30"},{"id":151,"name":"Denver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608</v>
      </c>
      <c r="B127" s="7">
        <v>4042</v>
      </c>
      <c r="C127" s="22" t="s">
        <v>218</v>
      </c>
      <c r="D127" s="22" t="s">
        <v>228</v>
      </c>
      <c r="E127" s="13">
        <v>42692.76090277778</v>
      </c>
      <c r="F127" s="13">
        <v>42692.762719907405</v>
      </c>
      <c r="G127" s="7">
        <v>2</v>
      </c>
      <c r="H127" s="22" t="s">
        <v>285</v>
      </c>
      <c r="I127" s="13">
        <v>42692.794432870367</v>
      </c>
      <c r="J127" s="7">
        <v>0</v>
      </c>
      <c r="K127" s="109" t="str">
        <f t="shared" si="17"/>
        <v>4041/4042</v>
      </c>
      <c r="L127" s="22" t="str">
        <f>VLOOKUP(A127,'Trips&amp;Operators'!$C$1:$E$10000,3,FALSE)</f>
        <v>CHANDLER</v>
      </c>
      <c r="M127" s="6">
        <f t="shared" si="18"/>
        <v>3.1712962962046731E-2</v>
      </c>
      <c r="N127" s="7">
        <f t="shared" si="19"/>
        <v>45.666666665347293</v>
      </c>
      <c r="O127" s="7"/>
      <c r="P127" s="7"/>
      <c r="Q127" s="23"/>
      <c r="R127" s="23"/>
      <c r="S127" s="35">
        <f t="shared" si="20"/>
        <v>1</v>
      </c>
      <c r="T127" s="50" t="str">
        <f t="shared" si="21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17:15:42-700',mode:absolute,to:'2016-11-18 20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23"/>
        <v>N</v>
      </c>
      <c r="X127" s="177">
        <f t="shared" si="34"/>
        <v>1</v>
      </c>
      <c r="Y127" s="67">
        <f t="shared" si="24"/>
        <v>4.6899999999999997E-2</v>
      </c>
      <c r="Z127" s="67">
        <f t="shared" si="25"/>
        <v>23.328900000000001</v>
      </c>
      <c r="AA127" s="67">
        <f t="shared" si="26"/>
        <v>23.282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27"/>
        <v>0217-18</v>
      </c>
      <c r="AE127" s="91" t="str">
        <f t="shared" si="28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127" s="88" t="str">
        <f t="shared" si="29"/>
        <v>"C:\Program Files (x86)\AstroGrep\AstroGrep.exe" /spath="%USERPROFILE%\AppData\Local\Temp\OnboardLogs" /stypes="app*4042*20161119*" /stext=" 02:.+((SYSTEM_STATE.+slice.+state.+changed )|(ment ac)|(system.+state.+changed )|(\[timeout)|(PRM\|1\|D)|(kpr)|(kdp)|(\|lc)|(penalty))" /e /r /s</v>
      </c>
      <c r="AG127" s="1" t="str">
        <f t="shared" si="30"/>
        <v>EC</v>
      </c>
      <c r="AH127" s="92" t="str">
        <f t="shared" si="31"/>
        <v>"%USERPROFILE%\Documents\GitHub\eaglep3\Utilities\RefineRTDCRunTimes.py" --tripid 217-18 --locoid 4042 --swversion DE.1.0.8.0 --startMP 204:469 --initTime 2016-11-18T18:15:42 --startdatetime 2016-11-18T18:18:19 --delay 2 --endMP 204:233289 --enddatetime 2016-11-18T19:03:59 --enforcementcount 0 &gt;&gt;C:\Users\stu\Documents\GitHub\eaglep3-reporting\EC\2016-11-18-refined-times.txt</v>
      </c>
      <c r="AI12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{"issue":{"subject":"","project_id":79,"tracker_id":40,"status_id":1,"priority_id":2,"assigned_to_id":23,"start_date":"2016-11-18","description":"","custom_fields":[{"id":1,"name":"Subdivision","value":"EC"},{"id":4,"name":"Milepost","value":"23.3289"},{"id":17,"name":"Train ID","value":"217-18"},{"id":16,"name":"Locomotive ID","value":"4042"},{"id":130,"name":"Impact","value":""},{"id":150,"name":"Time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467</v>
      </c>
      <c r="B128" s="7">
        <v>4041</v>
      </c>
      <c r="C128" s="22" t="s">
        <v>218</v>
      </c>
      <c r="D128" s="22" t="s">
        <v>716</v>
      </c>
      <c r="E128" s="13">
        <v>42692.797685185185</v>
      </c>
      <c r="F128" s="13">
        <v>42692.799722222226</v>
      </c>
      <c r="G128" s="7">
        <v>1</v>
      </c>
      <c r="H128" s="22" t="s">
        <v>212</v>
      </c>
      <c r="I128" s="13">
        <v>42692.828784722224</v>
      </c>
      <c r="J128" s="7">
        <v>0</v>
      </c>
      <c r="K128" s="109" t="str">
        <f t="shared" si="17"/>
        <v>4041/4042</v>
      </c>
      <c r="L128" s="22" t="str">
        <f>VLOOKUP(A128,'Trips&amp;Operators'!$C$1:$E$10000,3,FALSE)</f>
        <v>CHANDLER</v>
      </c>
      <c r="M128" s="6">
        <f t="shared" si="18"/>
        <v>2.9062499997962732E-2</v>
      </c>
      <c r="N128" s="7">
        <f t="shared" si="19"/>
        <v>41.849999997066334</v>
      </c>
      <c r="O128" s="7"/>
      <c r="P128" s="7"/>
      <c r="Q128" s="23"/>
      <c r="R128" s="23"/>
      <c r="S128" s="35">
        <f t="shared" si="20"/>
        <v>1</v>
      </c>
      <c r="T128" s="50" t="str">
        <f t="shared" si="21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18:08:40-700',mode:absolute,to:'2016-11-18 20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23"/>
        <v>N</v>
      </c>
      <c r="X128" s="177">
        <f t="shared" si="34"/>
        <v>1</v>
      </c>
      <c r="Y128" s="67">
        <f t="shared" si="24"/>
        <v>23.297899999999998</v>
      </c>
      <c r="Z128" s="67">
        <f t="shared" si="25"/>
        <v>1.5599999999999999E-2</v>
      </c>
      <c r="AA128" s="67">
        <f t="shared" si="26"/>
        <v>23.282299999999999</v>
      </c>
      <c r="AB128" s="64" t="str">
        <f>VLOOKUP(A128,Enforcements!$C$7:$K$20,8,0)</f>
        <v>Speed (6)</v>
      </c>
      <c r="AC128" s="60" t="str">
        <f>VLOOKUP(A128,Enforcements!$C$7:$E$20,3,0)</f>
        <v>PERMANENT SPEED RESTRICTION</v>
      </c>
      <c r="AD128" s="61" t="str">
        <f t="shared" si="27"/>
        <v>0218-18</v>
      </c>
      <c r="AE128" s="91" t="str">
        <f t="shared" si="28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128" s="88" t="str">
        <f t="shared" si="29"/>
        <v>"C:\Program Files (x86)\AstroGrep\AstroGrep.exe" /spath="%USERPROFILE%\AppData\Local\Temp\OnboardLogs" /stypes="app*4041*20161119*" /stext=" 02:.+((SYSTEM_STATE.+slice.+state.+changed )|(ment ac)|(system.+state.+changed )|(\[timeout)|(PRM\|1\|D)|(kpr)|(kdp)|(\|lc)|(penalty))" /e /r /s</v>
      </c>
      <c r="AG128" s="1" t="str">
        <f t="shared" si="30"/>
        <v>EC</v>
      </c>
      <c r="AH128" s="92" t="str">
        <f t="shared" si="31"/>
        <v>"%USERPROFILE%\Documents\GitHub\eaglep3\Utilities\RefineRTDCRunTimes.py" --tripid 218-18 --locoid 4041 --swversion DE.1.0.8.0 --startMP 204:232979 --initTime 2016-11-18T19:08:40 --startdatetime 2016-11-18T19:11:36 --delay 1 --endMP 204:156 --enddatetime 2016-11-18T19:53:27 --enforcementcount 0 &gt;&gt;C:\Users\stu\Documents\GitHub\eaglep3-reporting\EC\2016-11-18-refined-times.txt</v>
      </c>
      <c r="AI128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{"issue":{"subject":"","project_id":79,"tracker_id":40,"status_id":1,"priority_id":2,"assigned_to_id":23,"start_date":"2016-11-18","description":"","custom_fields":[{"id":1,"name":"Subdivision","value":"EC"},{"id":4,"name":"Milepost","value":"0.0156"},{"id":17,"name":"Train ID","value":"218-18"},{"id":16,"name":"Locomotive ID","value":"4041"},{"id":130,"name":"Impact","value":""},{"id":150,"name":"Time of Event (Mountain Time)","value":"19:53:27"},{"id":151,"name":"Denver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611</v>
      </c>
      <c r="B129" s="7">
        <v>4018</v>
      </c>
      <c r="C129" s="22" t="s">
        <v>218</v>
      </c>
      <c r="D129" s="22" t="s">
        <v>395</v>
      </c>
      <c r="E129" s="13">
        <v>42692.766203703701</v>
      </c>
      <c r="F129" s="13">
        <v>42692.771331018521</v>
      </c>
      <c r="G129" s="7">
        <v>2</v>
      </c>
      <c r="H129" s="22" t="s">
        <v>313</v>
      </c>
      <c r="I129" s="13">
        <v>42692.795740740738</v>
      </c>
      <c r="J129" s="7">
        <v>0</v>
      </c>
      <c r="K129" s="109" t="str">
        <f t="shared" si="17"/>
        <v>4017/4018</v>
      </c>
      <c r="L129" s="22" t="str">
        <f>VLOOKUP(A129,'Trips&amp;Operators'!$C$1:$E$10000,3,FALSE)</f>
        <v>MCREYNOLDS</v>
      </c>
      <c r="M129" s="6">
        <f t="shared" si="18"/>
        <v>2.4409722216660157E-2</v>
      </c>
      <c r="N129" s="7">
        <f t="shared" si="19"/>
        <v>35.149999991990626</v>
      </c>
      <c r="O129" s="7"/>
      <c r="P129" s="7"/>
      <c r="Q129" s="23"/>
      <c r="R129" s="23"/>
      <c r="S129" s="35">
        <f t="shared" si="20"/>
        <v>1</v>
      </c>
      <c r="T129" s="50" t="str">
        <f t="shared" si="21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17:23:20-700',mode:absolute,to:'2016-11-18 20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9" s="52" t="str">
        <f t="shared" si="23"/>
        <v>N</v>
      </c>
      <c r="X129" s="177">
        <f t="shared" si="34"/>
        <v>1</v>
      </c>
      <c r="Y129" s="67">
        <f t="shared" si="24"/>
        <v>4.7500000000000001E-2</v>
      </c>
      <c r="Z129" s="67">
        <f t="shared" si="25"/>
        <v>23.3309</v>
      </c>
      <c r="AA129" s="67">
        <f t="shared" si="26"/>
        <v>23.2834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27"/>
        <v>0219-18</v>
      </c>
      <c r="AE129" s="91" t="str">
        <f t="shared" si="28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29" s="88" t="str">
        <f t="shared" si="29"/>
        <v>"C:\Program Files (x86)\AstroGrep\AstroGrep.exe" /spath="%USERPROFILE%\AppData\Local\Temp\OnboardLogs" /stypes="app*4018*20161119*" /stext=" 02:.+((SYSTEM_STATE.+slice.+state.+changed )|(ment ac)|(system.+state.+changed )|(\[timeout)|(PRM\|1\|D)|(kpr)|(kdp)|(\|lc)|(penalty))" /e /r /s</v>
      </c>
      <c r="AG129" s="1" t="str">
        <f t="shared" si="30"/>
        <v>EC</v>
      </c>
      <c r="AH129" s="92" t="str">
        <f t="shared" si="31"/>
        <v>"%USERPROFILE%\Documents\GitHub\eaglep3\Utilities\RefineRTDCRunTimes.py" --tripid 219-18 --locoid 4018 --swversion DE.1.0.8.0 --startMP 204:475 --initTime 2016-11-18T18:23:20 --startdatetime 2016-11-18T18:30:43 --delay 2 --endMP 204:233309 --enddatetime 2016-11-18T19:05:52 --enforcementcount 0 &gt;&gt;C:\Users\stu\Documents\GitHub\eaglep3-reporting\EC\2016-11-18-refined-times.txt</v>
      </c>
      <c r="AI129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{"issue":{"subject":"","project_id":79,"tracker_id":40,"status_id":1,"priority_id":2,"assigned_to_id":23,"start_date":"2016-11-18","description":"","custom_fields":[{"id":1,"name":"Subdivision","value":"EC"},{"id":4,"name":"Milepost","value":"23.3309"},{"id":17,"name":"Train ID","value":"219-18"},{"id":16,"name":"Locomotive ID","value":"4018"},{"id":130,"name":"Impact","value":""},{"id":150,"name":"Time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621</v>
      </c>
      <c r="B130" s="7">
        <v>4017</v>
      </c>
      <c r="C130" s="22" t="s">
        <v>218</v>
      </c>
      <c r="D130" s="22" t="s">
        <v>350</v>
      </c>
      <c r="E130" s="13">
        <v>42692.804976851854</v>
      </c>
      <c r="F130" s="13">
        <v>42692.810127314813</v>
      </c>
      <c r="G130" s="7">
        <v>1</v>
      </c>
      <c r="H130" s="22" t="s">
        <v>345</v>
      </c>
      <c r="I130" s="13">
        <v>42692.835868055554</v>
      </c>
      <c r="J130" s="7">
        <v>0</v>
      </c>
      <c r="K130" s="109" t="str">
        <f t="shared" si="17"/>
        <v>4017/4018</v>
      </c>
      <c r="L130" s="22" t="str">
        <f>VLOOKUP(A130,'Trips&amp;Operators'!$C$1:$E$10000,3,FALSE)</f>
        <v>MCREYNOLDS</v>
      </c>
      <c r="M130" s="6">
        <f t="shared" si="18"/>
        <v>2.5740740740729962E-2</v>
      </c>
      <c r="N130" s="7">
        <f t="shared" si="19"/>
        <v>37.066666666651145</v>
      </c>
      <c r="O130" s="7"/>
      <c r="P130" s="7"/>
      <c r="Q130" s="23"/>
      <c r="R130" s="23"/>
      <c r="S130" s="35">
        <f t="shared" si="20"/>
        <v>1</v>
      </c>
      <c r="T130" s="50" t="str">
        <f t="shared" si="21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18:19:10-700',mode:absolute,to:'2016-11-18 21:03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0" s="52" t="str">
        <f t="shared" si="23"/>
        <v>N</v>
      </c>
      <c r="X130" s="177">
        <f t="shared" si="34"/>
        <v>1</v>
      </c>
      <c r="Y130" s="67">
        <f t="shared" si="24"/>
        <v>23.297799999999999</v>
      </c>
      <c r="Z130" s="67">
        <f t="shared" si="25"/>
        <v>1.47E-2</v>
      </c>
      <c r="AA130" s="67">
        <f t="shared" si="26"/>
        <v>23.283099999999997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27"/>
        <v>0220-18</v>
      </c>
      <c r="AE130" s="91" t="str">
        <f t="shared" si="28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30" s="88" t="str">
        <f t="shared" si="29"/>
        <v>"C:\Program Files (x86)\AstroGrep\AstroGrep.exe" /spath="%USERPROFILE%\AppData\Local\Temp\OnboardLogs" /stypes="app*4017*20161119*" /stext=" 03:.+((SYSTEM_STATE.+slice.+state.+changed )|(ment ac)|(system.+state.+changed )|(\[timeout)|(PRM\|1\|D)|(kpr)|(kdp)|(\|lc)|(penalty))" /e /r /s</v>
      </c>
      <c r="AG130" s="1" t="str">
        <f t="shared" si="30"/>
        <v>EC</v>
      </c>
      <c r="AH130" s="92" t="str">
        <f t="shared" si="31"/>
        <v>"%USERPROFILE%\Documents\GitHub\eaglep3\Utilities\RefineRTDCRunTimes.py" --tripid 220-18 --locoid 4017 --swversion DE.1.0.8.0 --startMP 204:232978 --initTime 2016-11-18T19:19:10 --startdatetime 2016-11-18T19:26:35 --delay 1 --endMP 204:147 --enddatetime 2016-11-18T20:03:39 --enforcementcount 0 &gt;&gt;C:\Users\stu\Documents\GitHub\eaglep3-reporting\EC\2016-11-18-refined-times.txt</v>
      </c>
      <c r="AI130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{"issue":{"subject":"","project_id":79,"tracker_id":40,"status_id":1,"priority_id":2,"assigned_to_id":23,"start_date":"2016-11-18","description":"","custom_fields":[{"id":1,"name":"Subdivision","value":"EC"},{"id":4,"name":"Milepost","value":"0.0147"},{"id":17,"name":"Train ID","value":"220-18"},{"id":16,"name":"Locomotive ID","value":"4017"},{"id":130,"name":"Impact","value":""},{"id":150,"name":"Time of Event (Mountain Time)","value":"20:03:39"},{"id":151,"name":"Denver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617</v>
      </c>
      <c r="B131" s="7">
        <v>4025</v>
      </c>
      <c r="C131" s="22" t="s">
        <v>218</v>
      </c>
      <c r="D131" s="22" t="s">
        <v>717</v>
      </c>
      <c r="E131" s="13">
        <v>42692.786203703705</v>
      </c>
      <c r="F131" s="13">
        <v>42692.791979166665</v>
      </c>
      <c r="G131" s="7">
        <v>2</v>
      </c>
      <c r="H131" s="22" t="s">
        <v>359</v>
      </c>
      <c r="I131" s="13">
        <v>42692.816990740743</v>
      </c>
      <c r="J131" s="7">
        <v>0</v>
      </c>
      <c r="K131" s="109" t="str">
        <f t="shared" si="17"/>
        <v>4025/4026</v>
      </c>
      <c r="L131" s="22" t="str">
        <f>VLOOKUP(A131,'Trips&amp;Operators'!$C$1:$E$10000,3,FALSE)</f>
        <v>LEVIN</v>
      </c>
      <c r="M131" s="6">
        <f t="shared" si="18"/>
        <v>2.5011574078234844E-2</v>
      </c>
      <c r="N131" s="7">
        <f t="shared" si="19"/>
        <v>36.016666672658175</v>
      </c>
      <c r="O131" s="7"/>
      <c r="P131" s="7"/>
      <c r="Q131" s="23"/>
      <c r="R131" s="23"/>
      <c r="S131" s="35">
        <f t="shared" si="20"/>
        <v>1</v>
      </c>
      <c r="T131" s="50" t="str">
        <f t="shared" si="21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17:52:08-700',mode:absolute,to:'2016-11-18 20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23"/>
        <v>N</v>
      </c>
      <c r="X131" s="177">
        <f t="shared" si="34"/>
        <v>1</v>
      </c>
      <c r="Y131" s="67">
        <f t="shared" si="24"/>
        <v>3.7999999999999999E-2</v>
      </c>
      <c r="Z131" s="67">
        <f t="shared" si="25"/>
        <v>23.3324</v>
      </c>
      <c r="AA131" s="67">
        <f t="shared" si="26"/>
        <v>23.2944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27"/>
        <v>0221-18</v>
      </c>
      <c r="AE131" s="91" t="str">
        <f t="shared" si="28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131" s="88" t="str">
        <f t="shared" si="29"/>
        <v>"C:\Program Files (x86)\AstroGrep\AstroGrep.exe" /spath="%USERPROFILE%\AppData\Local\Temp\OnboardLogs" /stypes="app*4025*20161119*" /stext=" 02:.+((SYSTEM_STATE.+slice.+state.+changed )|(ment ac)|(system.+state.+changed )|(\[timeout)|(PRM\|1\|D)|(kpr)|(kdp)|(\|lc)|(penalty))" /e /r /s</v>
      </c>
      <c r="AG131" s="1" t="str">
        <f t="shared" si="30"/>
        <v>EC</v>
      </c>
      <c r="AH131" s="92" t="str">
        <f t="shared" si="31"/>
        <v>"%USERPROFILE%\Documents\GitHub\eaglep3\Utilities\RefineRTDCRunTimes.py" --tripid 221-18 --locoid 4025 --swversion DE.1.0.8.0 --startMP 204:380 --initTime 2016-11-18T18:52:08 --startdatetime 2016-11-18T19:00:27 --delay 2 --endMP 204:233324 --enddatetime 2016-11-18T19:36:28 --enforcementcount 0 &gt;&gt;C:\Users\stu\Documents\GitHub\eaglep3-reporting\EC\2016-11-18-refined-times.txt</v>
      </c>
      <c r="AI131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{"issue":{"subject":"","project_id":79,"tracker_id":40,"status_id":1,"priority_id":2,"assigned_to_id":23,"start_date":"2016-11-18","description":"","custom_fields":[{"id":1,"name":"Subdivision","value":"EC"},{"id":4,"name":"Milepost","value":"23.3324"},{"id":17,"name":"Train ID","value":"221-18"},{"id":16,"name":"Locomotive ID","value":"4025"},{"id":130,"name":"Impact","value":""},{"id":150,"name":"Time of Event (Mountain Time)","value":"19:36:28"},{"id":151,"name":"Denver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625</v>
      </c>
      <c r="B132" s="7">
        <v>4026</v>
      </c>
      <c r="C132" s="22" t="s">
        <v>218</v>
      </c>
      <c r="D132" s="22" t="s">
        <v>718</v>
      </c>
      <c r="E132" s="13">
        <v>42692.826620370368</v>
      </c>
      <c r="F132" s="13">
        <v>42692.831122685187</v>
      </c>
      <c r="G132" s="7">
        <v>1</v>
      </c>
      <c r="H132" s="22" t="s">
        <v>719</v>
      </c>
      <c r="I132" s="13">
        <v>42692.856898148151</v>
      </c>
      <c r="J132" s="7">
        <v>0</v>
      </c>
      <c r="K132" s="109" t="str">
        <f t="shared" si="17"/>
        <v>4025/4026</v>
      </c>
      <c r="L132" s="22" t="str">
        <f>VLOOKUP(A132,'Trips&amp;Operators'!$C$1:$E$10000,3,FALSE)</f>
        <v>LEVIN</v>
      </c>
      <c r="M132" s="6">
        <f t="shared" si="18"/>
        <v>2.5775462963792961E-2</v>
      </c>
      <c r="N132" s="7">
        <f t="shared" si="19"/>
        <v>37.116666667861864</v>
      </c>
      <c r="O132" s="7"/>
      <c r="P132" s="7"/>
      <c r="Q132" s="23"/>
      <c r="R132" s="23"/>
      <c r="S132" s="35">
        <f t="shared" si="20"/>
        <v>1</v>
      </c>
      <c r="T132" s="50" t="str">
        <f t="shared" si="21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18:50:20-700',mode:absolute,to:'2016-11-18 21:33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23"/>
        <v>N</v>
      </c>
      <c r="X132" s="177">
        <f t="shared" si="34"/>
        <v>1</v>
      </c>
      <c r="Y132" s="67">
        <f t="shared" si="24"/>
        <v>23.3001</v>
      </c>
      <c r="Z132" s="67">
        <f t="shared" si="25"/>
        <v>1.21E-2</v>
      </c>
      <c r="AA132" s="67">
        <f t="shared" si="26"/>
        <v>23.288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27"/>
        <v>0222-18</v>
      </c>
      <c r="AE132" s="91" t="str">
        <f t="shared" si="28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32" s="88" t="str">
        <f t="shared" si="29"/>
        <v>"C:\Program Files (x86)\AstroGrep\AstroGrep.exe" /spath="%USERPROFILE%\AppData\Local\Temp\OnboardLogs" /stypes="app*4026*20161119*" /stext=" 03:.+((SYSTEM_STATE.+slice.+state.+changed )|(ment ac)|(system.+state.+changed )|(\[timeout)|(PRM\|1\|D)|(kpr)|(kdp)|(\|lc)|(penalty))" /e /r /s</v>
      </c>
      <c r="AG132" s="1" t="str">
        <f t="shared" si="30"/>
        <v>EC</v>
      </c>
      <c r="AH132" s="92" t="str">
        <f t="shared" si="31"/>
        <v>"%USERPROFILE%\Documents\GitHub\eaglep3\Utilities\RefineRTDCRunTimes.py" --tripid 222-18 --locoid 4026 --swversion DE.1.0.8.0 --startMP 204:233001 --initTime 2016-11-18T19:50:20 --startdatetime 2016-11-18T19:56:49 --delay 1 --endMP 204:121 --enddatetime 2016-11-18T20:33:56 --enforcementcount 0 &gt;&gt;C:\Users\stu\Documents\GitHub\eaglep3-reporting\EC\2016-11-18-refined-times.txt</v>
      </c>
      <c r="AI132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{"issue":{"subject":"","project_id":79,"tracker_id":40,"status_id":1,"priority_id":2,"assigned_to_id":23,"start_date":"2016-11-18","description":"","custom_fields":[{"id":1,"name":"Subdivision","value":"EC"},{"id":4,"name":"Milepost","value":"0.0121"},{"id":17,"name":"Train ID","value":"222-18"},{"id":16,"name":"Locomotive ID","value":"4026"},{"id":130,"name":"Impact","value":""},{"id":150,"name":"Time of Event (Mountain Time)","value":"20:33:56"},{"id":151,"name":"Denver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622</v>
      </c>
      <c r="B133" s="7">
        <v>4016</v>
      </c>
      <c r="C133" s="22" t="s">
        <v>218</v>
      </c>
      <c r="D133" s="22" t="s">
        <v>201</v>
      </c>
      <c r="E133" s="13">
        <v>42692.808831018519</v>
      </c>
      <c r="F133" s="13">
        <v>42692.8127662037</v>
      </c>
      <c r="G133" s="7">
        <v>1</v>
      </c>
      <c r="H133" s="22" t="s">
        <v>187</v>
      </c>
      <c r="I133" s="13">
        <v>42692.83792824074</v>
      </c>
      <c r="J133" s="7">
        <v>0</v>
      </c>
      <c r="K133" s="109" t="str">
        <f t="shared" si="17"/>
        <v>4015/4016</v>
      </c>
      <c r="L133" s="22" t="str">
        <f>VLOOKUP(A133,'Trips&amp;Operators'!$C$1:$E$10000,3,FALSE)</f>
        <v>PERKINS</v>
      </c>
      <c r="M133" s="6">
        <f t="shared" si="18"/>
        <v>2.5162037039990537E-2</v>
      </c>
      <c r="N133" s="7">
        <f t="shared" si="19"/>
        <v>36.233333337586373</v>
      </c>
      <c r="O133" s="7"/>
      <c r="P133" s="7"/>
      <c r="Q133" s="23"/>
      <c r="R133" s="23"/>
      <c r="S133" s="35">
        <f t="shared" si="20"/>
        <v>1</v>
      </c>
      <c r="T133" s="50" t="str">
        <f t="shared" si="21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18:24:43-700',mode:absolute,to:'2016-11-18 21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3" s="52" t="str">
        <f t="shared" si="23"/>
        <v>N</v>
      </c>
      <c r="X133" s="177">
        <f t="shared" si="34"/>
        <v>1</v>
      </c>
      <c r="Y133" s="67">
        <f t="shared" si="24"/>
        <v>4.5100000000000001E-2</v>
      </c>
      <c r="Z133" s="67">
        <f t="shared" si="25"/>
        <v>23.329699999999999</v>
      </c>
      <c r="AA133" s="67">
        <f t="shared" si="26"/>
        <v>23.284599999999998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27"/>
        <v>0223-18</v>
      </c>
      <c r="AE133" s="91" t="str">
        <f t="shared" si="28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33" s="88" t="str">
        <f t="shared" si="29"/>
        <v>"C:\Program Files (x86)\AstroGrep\AstroGrep.exe" /spath="%USERPROFILE%\AppData\Local\Temp\OnboardLogs" /stypes="app*4016*20161119*" /stext=" 03:.+((SYSTEM_STATE.+slice.+state.+changed )|(ment ac)|(system.+state.+changed )|(\[timeout)|(PRM\|1\|D)|(kpr)|(kdp)|(\|lc)|(penalty))" /e /r /s</v>
      </c>
      <c r="AG133" s="1" t="str">
        <f t="shared" si="30"/>
        <v>EC</v>
      </c>
      <c r="AH133" s="92" t="str">
        <f t="shared" si="31"/>
        <v>"%USERPROFILE%\Documents\GitHub\eaglep3\Utilities\RefineRTDCRunTimes.py" --tripid 223-18 --locoid 4016 --swversion DE.1.0.8.0 --startMP 204:451 --initTime 2016-11-18T19:24:43 --startdatetime 2016-11-18T19:30:23 --delay 1 --endMP 204:233297 --enddatetime 2016-11-18T20:06:37 --enforcementcount 0 &gt;&gt;C:\Users\stu\Documents\GitHub\eaglep3-reporting\EC\2016-11-18-refined-times.txt</v>
      </c>
      <c r="AI133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{"issue":{"subject":"","project_id":79,"tracker_id":40,"status_id":1,"priority_id":2,"assigned_to_id":23,"start_date":"2016-11-18","description":"","custom_fields":[{"id":1,"name":"Subdivision","value":"EC"},{"id":4,"name":"Milepost","value":"23.3297"},{"id":17,"name":"Train ID","value":"223-18"},{"id":16,"name":"Locomotive ID","value":"4016"},{"id":130,"name":"Impact","value":""},{"id":150,"name":"Time of Event (Mountain Time)","value":"20:06:37"},{"id":151,"name":"Denver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628</v>
      </c>
      <c r="B134" s="7">
        <v>4015</v>
      </c>
      <c r="C134" s="22" t="s">
        <v>218</v>
      </c>
      <c r="D134" s="22" t="s">
        <v>210</v>
      </c>
      <c r="E134" s="13">
        <v>42692.843414351853</v>
      </c>
      <c r="F134" s="13">
        <v>42692.8515625</v>
      </c>
      <c r="G134" s="7">
        <v>1</v>
      </c>
      <c r="H134" s="22" t="s">
        <v>266</v>
      </c>
      <c r="I134" s="13">
        <v>42692.87909722222</v>
      </c>
      <c r="J134" s="7">
        <v>0</v>
      </c>
      <c r="K134" s="109" t="str">
        <f t="shared" si="17"/>
        <v>4015/4016</v>
      </c>
      <c r="L134" s="22" t="str">
        <f>VLOOKUP(A134,'Trips&amp;Operators'!$C$1:$E$10000,3,FALSE)</f>
        <v>PERKINS</v>
      </c>
      <c r="M134" s="6">
        <f t="shared" si="18"/>
        <v>2.753472221957054E-2</v>
      </c>
      <c r="N134" s="7">
        <f t="shared" si="19"/>
        <v>39.649999996181577</v>
      </c>
      <c r="O134" s="7"/>
      <c r="P134" s="7"/>
      <c r="Q134" s="23"/>
      <c r="R134" s="23"/>
      <c r="S134" s="35">
        <f t="shared" si="20"/>
        <v>1</v>
      </c>
      <c r="T134" s="50" t="str">
        <f t="shared" si="21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19:14:31-700',mode:absolute,to:'2016-11-18 22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4" s="52" t="str">
        <f t="shared" si="23"/>
        <v>N</v>
      </c>
      <c r="X134" s="177">
        <f t="shared" si="34"/>
        <v>1</v>
      </c>
      <c r="Y134" s="67">
        <f t="shared" si="24"/>
        <v>23.297699999999999</v>
      </c>
      <c r="Z134" s="67">
        <f t="shared" si="25"/>
        <v>1.54E-2</v>
      </c>
      <c r="AA134" s="67">
        <f t="shared" si="26"/>
        <v>23.282299999999999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27"/>
        <v>0224-18</v>
      </c>
      <c r="AE134" s="91" t="str">
        <f t="shared" si="28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134" s="88" t="str">
        <f t="shared" si="29"/>
        <v>"C:\Program Files (x86)\AstroGrep\AstroGrep.exe" /spath="%USERPROFILE%\AppData\Local\Temp\OnboardLogs" /stypes="app*4015*20161119*" /stext=" 04:.+((SYSTEM_STATE.+slice.+state.+changed )|(ment ac)|(system.+state.+changed )|(\[timeout)|(PRM\|1\|D)|(kpr)|(kdp)|(\|lc)|(penalty))" /e /r /s</v>
      </c>
      <c r="AG134" s="1" t="str">
        <f t="shared" si="30"/>
        <v>EC</v>
      </c>
      <c r="AH134" s="92" t="str">
        <f t="shared" si="31"/>
        <v>"%USERPROFILE%\Documents\GitHub\eaglep3\Utilities\RefineRTDCRunTimes.py" --tripid 224-18 --locoid 4015 --swversion DE.1.0.8.0 --startMP 204:232977 --initTime 2016-11-18T20:14:31 --startdatetime 2016-11-18T20:26:15 --delay 1 --endMP 204:154 --enddatetime 2016-11-18T21:05:54 --enforcementcount 0 &gt;&gt;C:\Users\stu\Documents\GitHub\eaglep3-reporting\EC\2016-11-18-refined-times.txt</v>
      </c>
      <c r="AI134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{"issue":{"subject":"","project_id":79,"tracker_id":40,"status_id":1,"priority_id":2,"assigned_to_id":23,"start_date":"2016-11-18","description":"","custom_fields":[{"id":1,"name":"Subdivision","value":"EC"},{"id":4,"name":"Milepost","value":"0.0154"},{"id":17,"name":"Train ID","value":"224-18"},{"id":16,"name":"Locomotive ID","value":"4015"},{"id":130,"name":"Impact","value":""},{"id":150,"name":"Time of Event (Mountain Time)","value":"21:05:54"},{"id":151,"name":"Denver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626</v>
      </c>
      <c r="B135" s="7">
        <v>4042</v>
      </c>
      <c r="C135" s="22" t="s">
        <v>218</v>
      </c>
      <c r="D135" s="22" t="s">
        <v>228</v>
      </c>
      <c r="E135" s="13">
        <v>42692.831354166665</v>
      </c>
      <c r="F135" s="13">
        <v>42692.917025462964</v>
      </c>
      <c r="G135" s="7">
        <v>1</v>
      </c>
      <c r="H135" s="22" t="s">
        <v>710</v>
      </c>
      <c r="I135" s="13">
        <v>42692.943784722222</v>
      </c>
      <c r="J135" s="7">
        <v>0</v>
      </c>
      <c r="K135" s="109" t="str">
        <f t="shared" si="17"/>
        <v>4041/4042</v>
      </c>
      <c r="L135" s="22" t="str">
        <f>VLOOKUP(A135,'Trips&amp;Operators'!$C$1:$E$10000,3,FALSE)</f>
        <v>CHANDLER</v>
      </c>
      <c r="M135" s="6">
        <f t="shared" si="18"/>
        <v>2.675925925723277E-2</v>
      </c>
      <c r="N135" s="7">
        <f t="shared" si="19"/>
        <v>38.533333330415189</v>
      </c>
      <c r="O135" s="7"/>
      <c r="P135" s="7"/>
      <c r="Q135" s="23"/>
      <c r="R135" s="23"/>
      <c r="S135" s="35">
        <f t="shared" si="20"/>
        <v>1</v>
      </c>
      <c r="T135" s="50" t="str">
        <f t="shared" si="21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18:57:09-700',mode:absolute,to:'2016-11-18 23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5" s="52" t="str">
        <f t="shared" si="23"/>
        <v>N</v>
      </c>
      <c r="X135" s="177">
        <f t="shared" si="34"/>
        <v>1</v>
      </c>
      <c r="Y135" s="67">
        <f t="shared" si="24"/>
        <v>4.6899999999999997E-2</v>
      </c>
      <c r="Z135" s="67">
        <f t="shared" si="25"/>
        <v>23.331099999999999</v>
      </c>
      <c r="AA135" s="67">
        <f t="shared" si="26"/>
        <v>23.284199999999998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27"/>
        <v>0225-18</v>
      </c>
      <c r="AE135" s="91" t="str">
        <f t="shared" si="28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135" s="88" t="str">
        <f t="shared" si="29"/>
        <v>"C:\Program Files (x86)\AstroGrep\AstroGrep.exe" /spath="%USERPROFILE%\AppData\Local\Temp\OnboardLogs" /stypes="app*4042*20161119*" /stext=" 05:.+((SYSTEM_STATE.+slice.+state.+changed )|(ment ac)|(system.+state.+changed )|(\[timeout)|(PRM\|1\|D)|(kpr)|(kdp)|(\|lc)|(penalty))" /e /r /s</v>
      </c>
      <c r="AG135" s="1" t="str">
        <f t="shared" si="30"/>
        <v>EC</v>
      </c>
      <c r="AH135" s="92" t="str">
        <f t="shared" si="31"/>
        <v>"%USERPROFILE%\Documents\GitHub\eaglep3\Utilities\RefineRTDCRunTimes.py" --tripid 225-18 --locoid 4042 --swversion DE.1.0.8.0 --startMP 204:469 --initTime 2016-11-18T19:57:09 --startdatetime 2016-11-18T22:00:31 --delay 1 --endMP 204:233311 --enddatetime 2016-11-18T22:39:03 --enforcementcount 0 &gt;&gt;C:\Users\stu\Documents\GitHub\eaglep3-reporting\EC\2016-11-18-refined-times.txt</v>
      </c>
      <c r="AI135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{"issue":{"subject":"","project_id":79,"tracker_id":40,"status_id":1,"priority_id":2,"assigned_to_id":23,"start_date":"2016-11-18","description":"","custom_fields":[{"id":1,"name":"Subdivision","value":"EC"},{"id":4,"name":"Milepost","value":"23.3311"},{"id":17,"name":"Train ID","value":"225-18"},{"id":16,"name":"Locomotive ID","value":"4042"},{"id":130,"name":"Impact","value":""},{"id":150,"name":"Time of Event (Mountain Time)","value":"22:39:03"},{"id":151,"name":"Denver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631</v>
      </c>
      <c r="B136" s="7">
        <v>4041</v>
      </c>
      <c r="C136" s="22" t="s">
        <v>218</v>
      </c>
      <c r="D136" s="22" t="s">
        <v>343</v>
      </c>
      <c r="E136" s="13">
        <v>42692.868969907409</v>
      </c>
      <c r="F136" s="13">
        <v>42692.872523148151</v>
      </c>
      <c r="G136" s="7">
        <v>1</v>
      </c>
      <c r="H136" s="22" t="s">
        <v>720</v>
      </c>
      <c r="I136" s="13">
        <v>42692.900613425925</v>
      </c>
      <c r="J136" s="7">
        <v>0</v>
      </c>
      <c r="K136" s="109" t="str">
        <f t="shared" si="17"/>
        <v>4041/4042</v>
      </c>
      <c r="L136" s="22" t="str">
        <f>VLOOKUP(A136,'Trips&amp;Operators'!$C$1:$E$10000,3,FALSE)</f>
        <v>CHANDLER</v>
      </c>
      <c r="M136" s="6">
        <f t="shared" si="18"/>
        <v>2.8090277774026617E-2</v>
      </c>
      <c r="N136" s="7">
        <f t="shared" si="19"/>
        <v>40.449999994598329</v>
      </c>
      <c r="O136" s="7"/>
      <c r="P136" s="7"/>
      <c r="Q136" s="23"/>
      <c r="R136" s="23"/>
      <c r="S136" s="35">
        <f t="shared" si="20"/>
        <v>1</v>
      </c>
      <c r="T136" s="50" t="str">
        <f t="shared" si="21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2"/>
        <v>https://search-rtdc-monitor-bjffxe2xuh6vdkpspy63sjmuny.us-east-1.es.amazonaws.com/_plugin/kibana/#/discover/Steve-Slow-Train-Analysis-(2080s-and-2083s)?_g=(refreshInterval:(display:Off,section:0,value:0),time:(from:'2016-11-18 19:51:19-700',mode:absolute,to:'2016-11-18 22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6" s="52" t="str">
        <f t="shared" si="23"/>
        <v>N</v>
      </c>
      <c r="X136" s="177">
        <f t="shared" si="34"/>
        <v>1</v>
      </c>
      <c r="Y136" s="67">
        <f t="shared" si="24"/>
        <v>23.299600000000002</v>
      </c>
      <c r="Z136" s="67">
        <f t="shared" si="25"/>
        <v>1.6299999999999999E-2</v>
      </c>
      <c r="AA136" s="67">
        <f t="shared" si="26"/>
        <v>23.283300000000001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27"/>
        <v>0226-18</v>
      </c>
      <c r="AE136" s="91" t="str">
        <f t="shared" si="28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136" s="88" t="str">
        <f t="shared" si="29"/>
        <v>"C:\Program Files (x86)\AstroGrep\AstroGrep.exe" /spath="%USERPROFILE%\AppData\Local\Temp\OnboardLogs" /stypes="app*4041*20161119*" /stext=" 04:.+((SYSTEM_STATE.+slice.+state.+changed )|(ment ac)|(system.+state.+changed )|(\[timeout)|(PRM\|1\|D)|(kpr)|(kdp)|(\|lc)|(penalty))" /e /r /s</v>
      </c>
      <c r="AG136" s="1" t="str">
        <f t="shared" si="30"/>
        <v>EC</v>
      </c>
      <c r="AH136" s="92" t="str">
        <f t="shared" si="31"/>
        <v>"%USERPROFILE%\Documents\GitHub\eaglep3\Utilities\RefineRTDCRunTimes.py" --tripid 226-18 --locoid 4041 --swversion DE.1.0.8.0 --startMP 204:232996 --initTime 2016-11-18T20:51:19 --startdatetime 2016-11-18T20:56:26 --delay 1 --endMP 204:163 --enddatetime 2016-11-18T21:36:53 --enforcementcount 0 &gt;&gt;C:\Users\stu\Documents\GitHub\eaglep3-reporting\EC\2016-11-18-refined-times.txt</v>
      </c>
      <c r="AI136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{"issue":{"subject":"","project_id":79,"tracker_id":40,"status_id":1,"priority_id":2,"assigned_to_id":23,"start_date":"2016-11-18","description":"","custom_fields":[{"id":1,"name":"Subdivision","value":"EC"},{"id":4,"name":"Milepost","value":"0.0163"},{"id":17,"name":"Train ID","value":"226-18"},{"id":16,"name":"Locomotive ID","value":"4041"},{"id":130,"name":"Impact","value":""},{"id":150,"name":"Time of Event (Mountain Time)","value":"21:36:53"},{"id":151,"name":"Denver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629</v>
      </c>
      <c r="B137" s="7">
        <v>4018</v>
      </c>
      <c r="C137" s="22" t="s">
        <v>218</v>
      </c>
      <c r="D137" s="22" t="s">
        <v>199</v>
      </c>
      <c r="E137" s="13">
        <v>42692.850706018522</v>
      </c>
      <c r="F137" s="13">
        <v>42692.854687500003</v>
      </c>
      <c r="G137" s="7">
        <v>1</v>
      </c>
      <c r="H137" s="22" t="s">
        <v>398</v>
      </c>
      <c r="I137" s="13">
        <v>42692.879340277781</v>
      </c>
      <c r="J137" s="7">
        <v>0</v>
      </c>
      <c r="K137" s="109" t="str">
        <f t="shared" ref="K137:K200" si="35">IF(ISEVEN(B137),(B137-1)&amp;"/"&amp;B137,B137&amp;"/"&amp;(B137+1))</f>
        <v>4017/4018</v>
      </c>
      <c r="L137" s="22" t="str">
        <f>VLOOKUP(A137,'Trips&amp;Operators'!$C$1:$E$10000,3,FALSE)</f>
        <v>MCREYNOLDS</v>
      </c>
      <c r="M137" s="6">
        <f t="shared" ref="M137:M200" si="36">I137-F137</f>
        <v>2.4652777778101154E-2</v>
      </c>
      <c r="N137" s="7">
        <f t="shared" ref="N137:N200" si="37">24*60*SUM($M137:$M137)</f>
        <v>35.500000000465661</v>
      </c>
      <c r="O137" s="7"/>
      <c r="P137" s="7"/>
      <c r="Q137" s="23"/>
      <c r="R137" s="23"/>
      <c r="S137" s="35">
        <f t="shared" ref="S137:S200" si="38">SUM(U137:U137)/IF(AG137="EC",12,1)</f>
        <v>1</v>
      </c>
      <c r="T137" s="50" t="str">
        <f t="shared" ref="T137:T200" si="39"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ref="V137:V200" si="40"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https://search-rtdc-monitor-bjffxe2xuh6vdkpspy63sjmuny.us-east-1.es.amazonaws.com/_plugin/kibana/#/discover/Steve-Slow-Train-Analysis-(2080s-and-2083s)?_g=(refreshInterval:(display:Off,section:0,value:0),time:(from:'2016-11-18 19:25:01-700',mode:absolute,to:'2016-11-18 22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7" s="52" t="str">
        <f t="shared" ref="W137:W200" si="41">IF(AA137&lt;IF(AG137="EC",23,5.65),"Y","N")</f>
        <v>N</v>
      </c>
      <c r="X137" s="177">
        <f t="shared" ref="X137:X200" si="42">VALUE(LEFT(AD137,4))-VALUE(LEFT(AD136,4))</f>
        <v>1</v>
      </c>
      <c r="Y137" s="67">
        <f t="shared" ref="Y137:Y200" si="43">RIGHT(D137,LEN(D137)-4)/10000</f>
        <v>4.53E-2</v>
      </c>
      <c r="Z137" s="67">
        <f t="shared" ref="Z137:Z200" si="44">RIGHT(H137,LEN(H137)-4)/10000</f>
        <v>23.328099999999999</v>
      </c>
      <c r="AA137" s="67">
        <f t="shared" ref="AA137:AA200" si="45">ABS(Z137-Y137)</f>
        <v>23.282799999999998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ref="AD137:AD200" si="46">IF(LEN(A137)=6,"0"&amp;A137,A137)</f>
        <v>0227-18</v>
      </c>
      <c r="AE137" s="91" t="str">
        <f t="shared" ref="AE137:AE200" si="47"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37" s="88" t="str">
        <f t="shared" ref="AF137:AF200" si="48"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/stypes="app*4018*20161119*" /stext=" 04:.+((SYSTEM_STATE.+slice.+state.+changed )|(ment ac)|(system.+state.+changed )|(\[timeout)|(PRM\|1\|D)|(kpr)|(kdp)|(\|lc)|(penalty))" /e /r /s</v>
      </c>
      <c r="AG137" s="1" t="str">
        <f t="shared" ref="AG137:AG200" si="49">IFERROR(IF(VALUE(LEFT(AD137,2))&lt;=2,"EC",IF(OR(VALUE(LEFT(AD137,2))=8,VALUE(LEFT(AD137,2))=18),"NW","Other")),"Other")</f>
        <v>EC</v>
      </c>
      <c r="AH137" s="92" t="str">
        <f t="shared" si="31"/>
        <v>"%USERPROFILE%\Documents\GitHub\eaglep3\Utilities\RefineRTDCRunTimes.py" --tripid 227-18 --locoid 4018 --swversion DE.1.0.8.0 --startMP 204:453 --initTime 2016-11-18T20:25:01 --startdatetime 2016-11-18T20:30:45 --delay 1 --endMP 204:233281 --enddatetime 2016-11-18T21:06:15 --enforcementcount 0 &gt;&gt;C:\Users\stu\Documents\GitHub\eaglep3-reporting\EC\2016-11-18-refined-times.txt</v>
      </c>
      <c r="AI137" s="119" t="str">
        <f t="shared" si="32"/>
        <v>echo {"issue":{"subject":"","project_id":79,"tracker_id":40,"status_id":1,"priority_id":2,"assigned_to_id":23,"start_date":"2016-11-18","description":"","custom_fields":[{"id":1,"name":"Subdivision","value":"EC"},{"id":4,"name":"Milepost","value":"23.3281"},{"id":17,"name":"Train ID","value":"227-18"},{"id":16,"name":"Locomotive ID","value":"4018"},{"id":130,"name":"Impact","value":""},{"id":150,"name":"Time of Event (Mountain Time)","value":"21:06:15"},{"id":151,"name":"Denver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634</v>
      </c>
      <c r="B138" s="7">
        <v>4017</v>
      </c>
      <c r="C138" s="22" t="s">
        <v>218</v>
      </c>
      <c r="D138" s="22" t="s">
        <v>343</v>
      </c>
      <c r="E138" s="13">
        <v>42692.889780092592</v>
      </c>
      <c r="F138" s="13">
        <v>42692.89334490741</v>
      </c>
      <c r="G138" s="7">
        <v>1</v>
      </c>
      <c r="H138" s="22" t="s">
        <v>230</v>
      </c>
      <c r="I138" s="13">
        <v>42692.921076388891</v>
      </c>
      <c r="J138" s="7">
        <v>0</v>
      </c>
      <c r="K138" s="109" t="str">
        <f t="shared" si="35"/>
        <v>4017/4018</v>
      </c>
      <c r="L138" s="22" t="str">
        <f>VLOOKUP(A138,'Trips&amp;Operators'!$C$1:$E$10000,3,FALSE)</f>
        <v>MCREYNOLDS</v>
      </c>
      <c r="M138" s="6">
        <f t="shared" si="36"/>
        <v>2.7731481481168885E-2</v>
      </c>
      <c r="N138" s="7">
        <f t="shared" si="37"/>
        <v>39.933333332883194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20:21:17-700',mode:absolute,to:'2016-11-18 23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23.299600000000002</v>
      </c>
      <c r="Z138" s="67">
        <f t="shared" si="44"/>
        <v>1.6E-2</v>
      </c>
      <c r="AA138" s="67">
        <f t="shared" si="45"/>
        <v>23.283600000000003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6"/>
        <v>0228-18</v>
      </c>
      <c r="AE138" s="91" t="str">
        <f t="shared" si="47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38" s="88" t="str">
        <f t="shared" si="48"/>
        <v>"C:\Program Files (x86)\AstroGrep\AstroGrep.exe" /spath="%USERPROFILE%\AppData\Local\Temp\OnboardLogs" /stypes="app*4017*20161119*" /stext=" 05:.+((SYSTEM_STATE.+slice.+state.+changed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ref="AH138:AH201" si="50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228-18 --locoid 4017 --swversion DE.1.0.8.0 --startMP 204:232996 --initTime 2016-11-18T21:21:17 --startdatetime 2016-11-18T21:26:25 --delay 1 --endMP 204:160 --enddatetime 2016-11-18T22:06:21 --enforcementcount 0 &gt;&gt;C:\Users\stu\Documents\GitHub\eaglep3-reporting\EC\2016-11-18-refined-times.txt</v>
      </c>
      <c r="AI138" s="119" t="str">
        <f t="shared" ref="AI138:AI201" si="51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{"issue":{"subject":"","project_id":79,"tracker_id":40,"status_id":1,"priority_id":2,"assigned_to_id":23,"start_date":"2016-11-18","description":"","custom_fields":[{"id":1,"name":"Subdivision","value":"EC"},{"id":4,"name":"Milepost","value":"0.016"},{"id":17,"name":"Train ID","value":"228-18"},{"id":16,"name":"Locomotive ID","value":"4017"},{"id":130,"name":"Impact","value":""},{"id":150,"name":"Time of Event (Mountain Time)","value":"22:06:21"},{"id":151,"name":"Denver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632</v>
      </c>
      <c r="B139" s="7">
        <v>4025</v>
      </c>
      <c r="C139" s="22" t="s">
        <v>218</v>
      </c>
      <c r="D139" s="22" t="s">
        <v>404</v>
      </c>
      <c r="E139" s="13">
        <v>42692.868078703701</v>
      </c>
      <c r="F139" s="13">
        <v>42692.875208333331</v>
      </c>
      <c r="G139" s="7">
        <v>7</v>
      </c>
      <c r="H139" s="22" t="s">
        <v>359</v>
      </c>
      <c r="I139" s="13">
        <v>42692.899895833332</v>
      </c>
      <c r="J139" s="7">
        <v>0</v>
      </c>
      <c r="K139" s="109" t="str">
        <f t="shared" si="35"/>
        <v>4025/4026</v>
      </c>
      <c r="L139" s="22" t="str">
        <f>VLOOKUP(A139,'Trips&amp;Operators'!$C$1:$E$10000,3,FALSE)</f>
        <v>LEVIN</v>
      </c>
      <c r="M139" s="6">
        <f t="shared" si="36"/>
        <v>2.4687500001164153E-2</v>
      </c>
      <c r="N139" s="7">
        <f t="shared" si="37"/>
        <v>35.550000001676381</v>
      </c>
      <c r="O139" s="7"/>
      <c r="P139" s="7"/>
      <c r="Q139" s="23"/>
      <c r="R139" s="23"/>
      <c r="S139" s="35">
        <f t="shared" si="38"/>
        <v>1</v>
      </c>
      <c r="T139" s="50" t="str">
        <f t="shared" si="3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19:50:02-700',mode:absolute,to:'2016-11-18 22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9" s="52" t="str">
        <f t="shared" si="41"/>
        <v>N</v>
      </c>
      <c r="X139" s="177">
        <f t="shared" si="42"/>
        <v>1</v>
      </c>
      <c r="Y139" s="67">
        <f t="shared" si="43"/>
        <v>4.3299999999999998E-2</v>
      </c>
      <c r="Z139" s="67">
        <f t="shared" si="44"/>
        <v>23.3324</v>
      </c>
      <c r="AA139" s="67">
        <f t="shared" si="45"/>
        <v>23.289100000000001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6"/>
        <v>0229-18</v>
      </c>
      <c r="AE139" s="91" t="str">
        <f t="shared" si="47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139" s="88" t="str">
        <f t="shared" si="48"/>
        <v>"C:\Program Files (x86)\AstroGrep\AstroGrep.exe" /spath="%USERPROFILE%\AppData\Local\Temp\OnboardLogs" /stypes="app*4025*20161119*" /stext=" 04:.+((SYSTEM_STATE.+slice.+state.+changed )|(ment ac)|(system.+state.+changed )|(\[timeout)|(PRM\|1\|D)|(kpr)|(kdp)|(\|lc)|(penalty))" /e /r /s</v>
      </c>
      <c r="AG139" s="1" t="str">
        <f t="shared" si="49"/>
        <v>EC</v>
      </c>
      <c r="AH139" s="92" t="str">
        <f t="shared" si="50"/>
        <v>"%USERPROFILE%\Documents\GitHub\eaglep3\Utilities\RefineRTDCRunTimes.py" --tripid 229-18 --locoid 4025 --swversion DE.1.0.8.0 --startMP 204:433 --initTime 2016-11-18T20:50:02 --startdatetime 2016-11-18T21:00:18 --delay 7 --endMP 204:233324 --enddatetime 2016-11-18T21:35:51 --enforcementcount 0 &gt;&gt;C:\Users\stu\Documents\GitHub\eaglep3-reporting\EC\2016-11-18-refined-times.txt</v>
      </c>
      <c r="AI139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{"issue":{"subject":"","project_id":79,"tracker_id":40,"status_id":1,"priority_id":2,"assigned_to_id":23,"start_date":"2016-11-18","description":"","custom_fields":[{"id":1,"name":"Subdivision","value":"EC"},{"id":4,"name":"Milepost","value":"23.3324"},{"id":17,"name":"Train ID","value":"229-18"},{"id":16,"name":"Locomotive ID","value":"4025"},{"id":130,"name":"Impact","value":""},{"id":150,"name":"Time of Event (Mountain Time)","value":"21:35:51"},{"id":151,"name":"Denver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638</v>
      </c>
      <c r="B140" s="7">
        <v>4026</v>
      </c>
      <c r="C140" s="22" t="s">
        <v>218</v>
      </c>
      <c r="D140" s="22" t="s">
        <v>358</v>
      </c>
      <c r="E140" s="13">
        <v>42692.910983796297</v>
      </c>
      <c r="F140" s="13">
        <v>42692.914444444446</v>
      </c>
      <c r="G140" s="7">
        <v>1</v>
      </c>
      <c r="H140" s="22" t="s">
        <v>719</v>
      </c>
      <c r="I140" s="13">
        <v>42692.941157407404</v>
      </c>
      <c r="J140" s="7">
        <v>0</v>
      </c>
      <c r="K140" s="109" t="str">
        <f t="shared" si="35"/>
        <v>4025/4026</v>
      </c>
      <c r="L140" s="22" t="str">
        <f>VLOOKUP(A140,'Trips&amp;Operators'!$C$1:$E$10000,3,FALSE)</f>
        <v>LEVIN</v>
      </c>
      <c r="M140" s="6">
        <f t="shared" si="36"/>
        <v>2.6712962957390118E-2</v>
      </c>
      <c r="N140" s="7">
        <f t="shared" si="37"/>
        <v>38.46666665864177</v>
      </c>
      <c r="O140" s="7"/>
      <c r="P140" s="7"/>
      <c r="Q140" s="23"/>
      <c r="R140" s="23"/>
      <c r="S140" s="35">
        <f t="shared" si="38"/>
        <v>1</v>
      </c>
      <c r="T140" s="50" t="str">
        <f t="shared" si="3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20:51:49-700',mode:absolute,to:'2016-11-18 23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0" s="52" t="str">
        <f t="shared" si="41"/>
        <v>N</v>
      </c>
      <c r="X140" s="177">
        <f t="shared" si="42"/>
        <v>1</v>
      </c>
      <c r="Y140" s="67">
        <f t="shared" si="43"/>
        <v>23.300899999999999</v>
      </c>
      <c r="Z140" s="67">
        <f t="shared" si="44"/>
        <v>1.21E-2</v>
      </c>
      <c r="AA140" s="67">
        <f t="shared" si="45"/>
        <v>23.288799999999998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6"/>
        <v>0230-18</v>
      </c>
      <c r="AE140" s="91" t="str">
        <f t="shared" si="47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40" s="88" t="str">
        <f t="shared" si="48"/>
        <v>"C:\Program Files (x86)\AstroGrep\AstroGrep.exe" /spath="%USERPROFILE%\AppData\Local\Temp\OnboardLogs" /stypes="app*4026*20161119*" /stext=" 05:.+((SYSTEM_STATE.+slice.+state.+changed )|(ment ac)|(system.+state.+changed )|(\[timeout)|(PRM\|1\|D)|(kpr)|(kdp)|(\|lc)|(penalty))" /e /r /s</v>
      </c>
      <c r="AG140" s="1" t="str">
        <f t="shared" si="49"/>
        <v>EC</v>
      </c>
      <c r="AH140" s="92" t="str">
        <f t="shared" si="50"/>
        <v>"%USERPROFILE%\Documents\GitHub\eaglep3\Utilities\RefineRTDCRunTimes.py" --tripid 230-18 --locoid 4026 --swversion DE.1.0.8.0 --startMP 204:233009 --initTime 2016-11-18T21:51:49 --startdatetime 2016-11-18T21:56:48 --delay 1 --endMP 204:121 --enddatetime 2016-11-18T22:35:16 --enforcementcount 0 &gt;&gt;C:\Users\stu\Documents\GitHub\eaglep3-reporting\EC\2016-11-18-refined-times.txt</v>
      </c>
      <c r="AI140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{"issue":{"subject":"","project_id":79,"tracker_id":40,"status_id":1,"priority_id":2,"assigned_to_id":23,"start_date":"2016-11-18","description":"","custom_fields":[{"id":1,"name":"Subdivision","value":"EC"},{"id":4,"name":"Milepost","value":"0.0121"},{"id":17,"name":"Train ID","value":"230-18"},{"id":16,"name":"Locomotive ID","value":"4026"},{"id":130,"name":"Impact","value":""},{"id":150,"name":"Time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635</v>
      </c>
      <c r="B141" s="7">
        <v>4016</v>
      </c>
      <c r="C141" s="22" t="s">
        <v>218</v>
      </c>
      <c r="D141" s="22" t="s">
        <v>690</v>
      </c>
      <c r="E141" s="13">
        <v>42692.89267361111</v>
      </c>
      <c r="F141" s="13">
        <v>42692.896018518521</v>
      </c>
      <c r="G141" s="7">
        <v>1</v>
      </c>
      <c r="H141" s="22" t="s">
        <v>672</v>
      </c>
      <c r="I141" s="13">
        <v>42692.91983796296</v>
      </c>
      <c r="J141" s="7">
        <v>0</v>
      </c>
      <c r="K141" s="109" t="str">
        <f t="shared" si="35"/>
        <v>4015/4016</v>
      </c>
      <c r="L141" s="22" t="str">
        <f>VLOOKUP(A141,'Trips&amp;Operators'!$C$1:$E$10000,3,FALSE)</f>
        <v>YANAI</v>
      </c>
      <c r="M141" s="6">
        <f t="shared" si="36"/>
        <v>2.381944443914108E-2</v>
      </c>
      <c r="N141" s="7">
        <f t="shared" si="37"/>
        <v>34.299999992363155</v>
      </c>
      <c r="O141" s="7"/>
      <c r="P141" s="7"/>
      <c r="Q141" s="23"/>
      <c r="R141" s="23"/>
      <c r="S141" s="35">
        <f t="shared" si="38"/>
        <v>1</v>
      </c>
      <c r="T141" s="50" t="str">
        <f t="shared" si="39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20:25:27-700',mode:absolute,to:'2016-11-18 23:04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1" s="52" t="str">
        <f t="shared" si="41"/>
        <v>N</v>
      </c>
      <c r="X141" s="177">
        <f t="shared" si="42"/>
        <v>1</v>
      </c>
      <c r="Y141" s="67">
        <f t="shared" si="43"/>
        <v>4.7800000000000002E-2</v>
      </c>
      <c r="Z141" s="67">
        <f t="shared" si="44"/>
        <v>23.331</v>
      </c>
      <c r="AA141" s="67">
        <f t="shared" si="45"/>
        <v>23.283200000000001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46"/>
        <v>0231-18</v>
      </c>
      <c r="AE141" s="91" t="str">
        <f t="shared" si="47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41" s="88" t="str">
        <f t="shared" si="48"/>
        <v>"C:\Program Files (x86)\AstroGrep\AstroGrep.exe" /spath="%USERPROFILE%\AppData\Local\Temp\OnboardLogs" /stypes="app*4016*20161119*" /stext=" 05:.+((SYSTEM_STATE.+slice.+state.+changed )|(ment ac)|(system.+state.+changed )|(\[timeout)|(PRM\|1\|D)|(kpr)|(kdp)|(\|lc)|(penalty))" /e /r /s</v>
      </c>
      <c r="AG141" s="1" t="str">
        <f t="shared" si="49"/>
        <v>EC</v>
      </c>
      <c r="AH141" s="92" t="str">
        <f t="shared" si="50"/>
        <v>"%USERPROFILE%\Documents\GitHub\eaglep3\Utilities\RefineRTDCRunTimes.py" --tripid 231-18 --locoid 4016 --swversion DE.1.0.8.0 --startMP 204:478 --initTime 2016-11-18T21:25:27 --startdatetime 2016-11-18T21:30:16 --delay 1 --endMP 204:233310 --enddatetime 2016-11-18T22:04:34 --enforcementcount 0 &gt;&gt;C:\Users\stu\Documents\GitHub\eaglep3-reporting\EC\2016-11-18-refined-times.txt</v>
      </c>
      <c r="AI141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{"issue":{"subject":"","project_id":79,"tracker_id":40,"status_id":1,"priority_id":2,"assigned_to_id":23,"start_date":"2016-11-18","description":"","custom_fields":[{"id":1,"name":"Subdivision","value":"EC"},{"id":4,"name":"Milepost","value":"23.331"},{"id":17,"name":"Train ID","value":"231-18"},{"id":16,"name":"Locomotive ID","value":"4016"},{"id":130,"name":"Impact","value":""},{"id":150,"name":"Time of Event (Mountain Time)","value":"22:04:34"},{"id":151,"name":"Denver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641</v>
      </c>
      <c r="B142" s="7">
        <v>4015</v>
      </c>
      <c r="C142" s="22" t="s">
        <v>218</v>
      </c>
      <c r="D142" s="22" t="s">
        <v>361</v>
      </c>
      <c r="E142" s="13">
        <v>42692.922280092593</v>
      </c>
      <c r="F142" s="13">
        <v>42692.934953703705</v>
      </c>
      <c r="G142" s="7">
        <v>1</v>
      </c>
      <c r="H142" s="22" t="s">
        <v>197</v>
      </c>
      <c r="I142" s="13">
        <v>42692.962013888886</v>
      </c>
      <c r="J142" s="7">
        <v>0</v>
      </c>
      <c r="K142" s="109" t="str">
        <f t="shared" si="35"/>
        <v>4015/4016</v>
      </c>
      <c r="L142" s="22" t="str">
        <f>VLOOKUP(A142,'Trips&amp;Operators'!$C$1:$E$10000,3,FALSE)</f>
        <v>YANAI</v>
      </c>
      <c r="M142" s="6">
        <f t="shared" si="36"/>
        <v>2.7060185180744156E-2</v>
      </c>
      <c r="N142" s="7">
        <f t="shared" si="37"/>
        <v>38.966666660271585</v>
      </c>
      <c r="O142" s="7"/>
      <c r="P142" s="7"/>
      <c r="Q142" s="23"/>
      <c r="R142" s="23"/>
      <c r="S142" s="35">
        <f t="shared" si="38"/>
        <v>1</v>
      </c>
      <c r="T142" s="50" t="str">
        <f t="shared" si="39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21:08:05-700',mode:absolute,to:'2016-11-19 00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2" s="52" t="str">
        <f t="shared" si="41"/>
        <v>N</v>
      </c>
      <c r="X142" s="177">
        <f t="shared" si="42"/>
        <v>1</v>
      </c>
      <c r="Y142" s="67">
        <f t="shared" si="43"/>
        <v>23.298300000000001</v>
      </c>
      <c r="Z142" s="67">
        <f t="shared" si="44"/>
        <v>1.43E-2</v>
      </c>
      <c r="AA142" s="67">
        <f t="shared" si="45"/>
        <v>23.284000000000002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6"/>
        <v>0232-18</v>
      </c>
      <c r="AE142" s="91" t="str">
        <f t="shared" si="47"/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AF142" s="88" t="str">
        <f t="shared" si="48"/>
        <v>"C:\Program Files (x86)\AstroGrep\AstroGrep.exe" /spath="%USERPROFILE%\AppData\Local\Temp\OnboardLogs" /stypes="app*4015*20161119*" /stext=" 06:.+((SYSTEM_STATE.+slice.+state.+changed )|(ment ac)|(system.+state.+changed )|(\[timeout)|(PRM\|1\|D)|(kpr)|(kdp)|(\|lc)|(penalty))" /e /r /s</v>
      </c>
      <c r="AG142" s="1" t="str">
        <f t="shared" si="49"/>
        <v>EC</v>
      </c>
      <c r="AH142" s="92" t="str">
        <f t="shared" si="50"/>
        <v>"%USERPROFILE%\Documents\GitHub\eaglep3\Utilities\RefineRTDCRunTimes.py" --tripid 232-18 --locoid 4015 --swversion DE.1.0.8.0 --startMP 204:232983 --initTime 2016-11-18T22:08:05 --startdatetime 2016-11-18T22:26:20 --delay 1 --endMP 204:143 --enddatetime 2016-11-18T23:05:18 --enforcementcount 0 &gt;&gt;C:\Users\stu\Documents\GitHub\eaglep3-reporting\EC\2016-11-18-refined-times.txt</v>
      </c>
      <c r="AI142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{"issue":{"subject":"","project_id":79,"tracker_id":40,"status_id":1,"priority_id":2,"assigned_to_id":23,"start_date":"2016-11-18","description":"","custom_fields":[{"id":1,"name":"Subdivision","value":"EC"},{"id":4,"name":"Milepost","value":"0.0143"},{"id":17,"name":"Train ID","value":"232-18"},{"id":16,"name":"Locomotive ID","value":"4015"},{"id":130,"name":"Impact","value":""},{"id":150,"name":"Time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639</v>
      </c>
      <c r="B143" s="7">
        <v>4042</v>
      </c>
      <c r="C143" s="22" t="s">
        <v>218</v>
      </c>
      <c r="D143" s="22" t="s">
        <v>270</v>
      </c>
      <c r="E143" s="13">
        <v>42692.914085648146</v>
      </c>
      <c r="F143" s="13">
        <v>42692.917025462964</v>
      </c>
      <c r="G143" s="7">
        <v>1</v>
      </c>
      <c r="H143" s="22" t="s">
        <v>285</v>
      </c>
      <c r="I143" s="13">
        <v>42692.943784722222</v>
      </c>
      <c r="J143" s="7">
        <v>0</v>
      </c>
      <c r="K143" s="109" t="str">
        <f t="shared" si="35"/>
        <v>4041/4042</v>
      </c>
      <c r="L143" s="22" t="str">
        <f>VLOOKUP(A143,'Trips&amp;Operators'!$C$1:$E$10000,3,FALSE)</f>
        <v>CHANDLER</v>
      </c>
      <c r="M143" s="6">
        <f t="shared" si="36"/>
        <v>2.675925925723277E-2</v>
      </c>
      <c r="N143" s="7">
        <f t="shared" si="37"/>
        <v>38.533333330415189</v>
      </c>
      <c r="O143" s="7"/>
      <c r="P143" s="7"/>
      <c r="Q143" s="23"/>
      <c r="R143" s="23"/>
      <c r="S143" s="35">
        <f t="shared" si="38"/>
        <v>1</v>
      </c>
      <c r="T143" s="50" t="str">
        <f t="shared" si="39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20:56:17-700',mode:absolute,to:'2016-11-18 23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3" s="52" t="str">
        <f t="shared" si="41"/>
        <v>N</v>
      </c>
      <c r="X143" s="177">
        <f t="shared" si="42"/>
        <v>1</v>
      </c>
      <c r="Y143" s="67">
        <f t="shared" si="43"/>
        <v>4.4900000000000002E-2</v>
      </c>
      <c r="Z143" s="67">
        <f t="shared" si="44"/>
        <v>23.328900000000001</v>
      </c>
      <c r="AA143" s="67">
        <f t="shared" si="45"/>
        <v>23.284000000000002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6"/>
        <v>0233-18</v>
      </c>
      <c r="AE143" s="91" t="str">
        <f t="shared" si="47"/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AF143" s="88" t="str">
        <f t="shared" si="48"/>
        <v>"C:\Program Files (x86)\AstroGrep\AstroGrep.exe" /spath="%USERPROFILE%\AppData\Local\Temp\OnboardLogs" /stypes="app*4042*20161119*" /stext=" 05:.+((SYSTEM_STATE.+slice.+state.+changed )|(ment ac)|(system.+state.+changed )|(\[timeout)|(PRM\|1\|D)|(kpr)|(kdp)|(\|lc)|(penalty))" /e /r /s</v>
      </c>
      <c r="AG143" s="1" t="str">
        <f t="shared" si="49"/>
        <v>EC</v>
      </c>
      <c r="AH143" s="92" t="str">
        <f t="shared" si="50"/>
        <v>"%USERPROFILE%\Documents\GitHub\eaglep3\Utilities\RefineRTDCRunTimes.py" --tripid 233-18 --locoid 4042 --swversion DE.1.0.8.0 --startMP 204:449 --initTime 2016-11-18T21:56:17 --startdatetime 2016-11-18T22:00:31 --delay 1 --endMP 204:233289 --enddatetime 2016-11-18T22:39:03 --enforcementcount 0 &gt;&gt;C:\Users\stu\Documents\GitHub\eaglep3-reporting\EC\2016-11-18-refined-times.txt</v>
      </c>
      <c r="AI143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{"issue":{"subject":"","project_id":79,"tracker_id":40,"status_id":1,"priority_id":2,"assigned_to_id":23,"start_date":"2016-11-18","description":"","custom_fields":[{"id":1,"name":"Subdivision","value":"EC"},{"id":4,"name":"Milepost","value":"23.3289"},{"id":17,"name":"Train ID","value":"233-18"},{"id":16,"name":"Locomotive ID","value":"4042"},{"id":130,"name":"Impact","value":""},{"id":150,"name":"Time of Event (Mountain Time)","value":"22:39:03"},{"id":151,"name":"Denver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644</v>
      </c>
      <c r="B144" s="7">
        <v>4041</v>
      </c>
      <c r="C144" s="22" t="s">
        <v>218</v>
      </c>
      <c r="D144" s="22" t="s">
        <v>405</v>
      </c>
      <c r="E144" s="13">
        <v>42692.953240740739</v>
      </c>
      <c r="F144" s="13">
        <v>42692.955949074072</v>
      </c>
      <c r="G144" s="7">
        <v>1</v>
      </c>
      <c r="H144" s="22" t="s">
        <v>230</v>
      </c>
      <c r="I144" s="13">
        <v>42692.984548611108</v>
      </c>
      <c r="J144" s="7">
        <v>0</v>
      </c>
      <c r="K144" s="109" t="str">
        <f t="shared" si="35"/>
        <v>4041/4042</v>
      </c>
      <c r="L144" s="22" t="str">
        <f>VLOOKUP(A144,'Trips&amp;Operators'!$C$1:$E$10000,3,FALSE)</f>
        <v>CHANDLER</v>
      </c>
      <c r="M144" s="6">
        <f t="shared" si="36"/>
        <v>2.8599537035916001E-2</v>
      </c>
      <c r="N144" s="7">
        <f t="shared" si="37"/>
        <v>41.183333331719041</v>
      </c>
      <c r="O144" s="7"/>
      <c r="P144" s="7"/>
      <c r="Q144" s="23"/>
      <c r="R144" s="23"/>
      <c r="S144" s="35">
        <f t="shared" si="38"/>
        <v>1</v>
      </c>
      <c r="T144" s="50" t="str">
        <f t="shared" si="39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21:52:40-700',mode:absolute,to:'2016-11-19 00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4" s="52" t="str">
        <f t="shared" si="41"/>
        <v>N</v>
      </c>
      <c r="X144" s="177">
        <f t="shared" si="42"/>
        <v>1</v>
      </c>
      <c r="Y144" s="67">
        <f t="shared" si="43"/>
        <v>23.298100000000002</v>
      </c>
      <c r="Z144" s="67">
        <f t="shared" si="44"/>
        <v>1.6E-2</v>
      </c>
      <c r="AA144" s="67">
        <f t="shared" si="45"/>
        <v>23.282100000000003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6"/>
        <v>0234-18</v>
      </c>
      <c r="AE144" s="91" t="str">
        <f t="shared" si="47"/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AF144" s="88" t="str">
        <f t="shared" si="48"/>
        <v>"C:\Program Files (x86)\AstroGrep\AstroGrep.exe" /spath="%USERPROFILE%\AppData\Local\Temp\OnboardLogs" /stypes="app*4041*20161119*" /stext=" 06:.+((SYSTEM_STATE.+slice.+state.+changed )|(ment ac)|(system.+state.+changed )|(\[timeout)|(PRM\|1\|D)|(kpr)|(kdp)|(\|lc)|(penalty))" /e /r /s</v>
      </c>
      <c r="AG144" s="1" t="str">
        <f t="shared" si="49"/>
        <v>EC</v>
      </c>
      <c r="AH144" s="92" t="str">
        <f t="shared" si="50"/>
        <v>"%USERPROFILE%\Documents\GitHub\eaglep3\Utilities\RefineRTDCRunTimes.py" --tripid 234-18 --locoid 4041 --swversion DE.1.0.8.0 --startMP 204:232981 --initTime 2016-11-18T22:52:40 --startdatetime 2016-11-18T22:56:34 --delay 1 --endMP 204:160 --enddatetime 2016-11-18T23:37:45 --enforcementcount 0 &gt;&gt;C:\Users\stu\Documents\GitHub\eaglep3-reporting\EC\2016-11-18-refined-times.txt</v>
      </c>
      <c r="AI144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{"issue":{"subject":"","project_id":79,"tracker_id":40,"status_id":1,"priority_id":2,"assigned_to_id":23,"start_date":"2016-11-18","description":"","custom_fields":[{"id":1,"name":"Subdivision","value":"EC"},{"id":4,"name":"Milepost","value":"0.016"},{"id":17,"name":"Train ID","value":"234-18"},{"id":16,"name":"Locomotive ID","value":"4041"},{"id":130,"name":"Impact","value":""},{"id":150,"name":"Time of Event (Mountain Time)","value":"23:37:45"},{"id":151,"name":"Denver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642</v>
      </c>
      <c r="B145" s="7">
        <v>4018</v>
      </c>
      <c r="C145" s="22" t="s">
        <v>218</v>
      </c>
      <c r="D145" s="22" t="s">
        <v>395</v>
      </c>
      <c r="E145" s="13">
        <v>42692.923101851855</v>
      </c>
      <c r="F145" s="13">
        <v>42692.937997685185</v>
      </c>
      <c r="G145" s="7">
        <v>1</v>
      </c>
      <c r="H145" s="22" t="s">
        <v>355</v>
      </c>
      <c r="I145" s="13">
        <v>42692.962013888886</v>
      </c>
      <c r="J145" s="7">
        <v>0</v>
      </c>
      <c r="K145" s="109" t="str">
        <f t="shared" si="35"/>
        <v>4017/4018</v>
      </c>
      <c r="L145" s="22" t="str">
        <f>VLOOKUP(A145,'Trips&amp;Operators'!$C$1:$E$10000,3,FALSE)</f>
        <v>MCREYNOLDS</v>
      </c>
      <c r="M145" s="6">
        <f t="shared" si="36"/>
        <v>2.4016203700739425E-2</v>
      </c>
      <c r="N145" s="7">
        <f t="shared" si="37"/>
        <v>34.583333329064772</v>
      </c>
      <c r="O145" s="7"/>
      <c r="P145" s="7"/>
      <c r="Q145" s="23"/>
      <c r="R145" s="23"/>
      <c r="S145" s="35">
        <f t="shared" si="38"/>
        <v>1</v>
      </c>
      <c r="T145" s="50" t="str">
        <f t="shared" si="39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21:09:16-700',mode:absolute,to:'2016-11-19 00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5" s="52" t="str">
        <f t="shared" si="41"/>
        <v>N</v>
      </c>
      <c r="X145" s="177">
        <f t="shared" si="42"/>
        <v>1</v>
      </c>
      <c r="Y145" s="67">
        <f t="shared" si="43"/>
        <v>4.7500000000000001E-2</v>
      </c>
      <c r="Z145" s="67">
        <f t="shared" si="44"/>
        <v>23.331399999999999</v>
      </c>
      <c r="AA145" s="67">
        <f t="shared" si="45"/>
        <v>23.283899999999999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6"/>
        <v>0235-18</v>
      </c>
      <c r="AE145" s="91" t="str">
        <f t="shared" si="47"/>
        <v>aws s3 cp s3://rtdc.mdm.uploadarchive.raw/RTDC4018/ "%USERPROFILE%\AppData\Local\Temp\OnboardLogs"\RTDC4018\2016-11-18 --exclude "*" --recursive --include "*20161118*" &amp; "%USERPROFILE%\Documents\GitHub\mrs-test-scripts\Headless Mode &amp; Sideloading\WalkAndUnGZ.bat" "%USERPROFILE%\AppData\Local\Temp\OnboardLogs"\RTDC4018\2016-11-18 &amp; 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</v>
      </c>
      <c r="AF145" s="88" t="str">
        <f t="shared" si="48"/>
        <v>"C:\Program Files (x86)\AstroGrep\AstroGrep.exe" /spath="%USERPROFILE%\AppData\Local\Temp\OnboardLogs" /stypes="app*4018*20161119*" /stext=" 06:.+((SYSTEM_STATE.+slice.+state.+changed )|(ment ac)|(system.+state.+changed )|(\[timeout)|(PRM\|1\|D)|(kpr)|(kdp)|(\|lc)|(penalty))" /e /r /s</v>
      </c>
      <c r="AG145" s="1" t="str">
        <f t="shared" si="49"/>
        <v>EC</v>
      </c>
      <c r="AH145" s="92" t="str">
        <f t="shared" si="50"/>
        <v>"%USERPROFILE%\Documents\GitHub\eaglep3\Utilities\RefineRTDCRunTimes.py" --tripid 235-18 --locoid 4018 --swversion DE.1.0.8.0 --startMP 204:475 --initTime 2016-11-18T22:09:16 --startdatetime 2016-11-18T22:30:43 --delay 1 --endMP 204:233314 --enddatetime 2016-11-18T23:05:18 --enforcementcount 0 &gt;&gt;C:\Users\stu\Documents\GitHub\eaglep3-reporting\EC\2016-11-18-refined-times.txt</v>
      </c>
      <c r="AI145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{"issue":{"subject":"","project_id":79,"tracker_id":40,"status_id":1,"priority_id":2,"assigned_to_id":23,"start_date":"2016-11-18","description":"","custom_fields":[{"id":1,"name":"Subdivision","value":"EC"},{"id":4,"name":"Milepost","value":"23.3314"},{"id":17,"name":"Train ID","value":"235-18"},{"id":16,"name":"Locomotive ID","value":"4018"},{"id":130,"name":"Impact","value":""},{"id":150,"name":"Time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647</v>
      </c>
      <c r="B146" s="7">
        <v>4017</v>
      </c>
      <c r="C146" s="22" t="s">
        <v>218</v>
      </c>
      <c r="D146" s="22" t="s">
        <v>361</v>
      </c>
      <c r="E146" s="13">
        <v>42692.973553240743</v>
      </c>
      <c r="F146" s="13">
        <v>42692.976712962962</v>
      </c>
      <c r="G146" s="7">
        <v>1</v>
      </c>
      <c r="H146" s="22" t="s">
        <v>400</v>
      </c>
      <c r="I146" s="13">
        <v>42693.002662037034</v>
      </c>
      <c r="J146" s="7">
        <v>0</v>
      </c>
      <c r="K146" s="109" t="str">
        <f t="shared" si="35"/>
        <v>4017/4018</v>
      </c>
      <c r="L146" s="22" t="str">
        <f>VLOOKUP(A146,'Trips&amp;Operators'!$C$1:$E$10000,3,FALSE)</f>
        <v>MCREYNOLDS</v>
      </c>
      <c r="M146" s="6">
        <f t="shared" si="36"/>
        <v>2.5949074071832001E-2</v>
      </c>
      <c r="N146" s="7">
        <f t="shared" si="37"/>
        <v>37.366666663438082</v>
      </c>
      <c r="O146" s="7"/>
      <c r="P146" s="7"/>
      <c r="Q146" s="23"/>
      <c r="R146" s="23"/>
      <c r="S146" s="35">
        <f t="shared" si="38"/>
        <v>1</v>
      </c>
      <c r="T146" s="50" t="str">
        <f t="shared" si="39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22:21:55-700',mode:absolute,to:'2016-11-19 01:03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6" s="52" t="str">
        <f t="shared" si="41"/>
        <v>N</v>
      </c>
      <c r="X146" s="177">
        <f t="shared" si="42"/>
        <v>1</v>
      </c>
      <c r="Y146" s="67">
        <f t="shared" si="43"/>
        <v>23.298300000000001</v>
      </c>
      <c r="Z146" s="67">
        <f t="shared" si="44"/>
        <v>1.2999999999999999E-2</v>
      </c>
      <c r="AA146" s="67">
        <f t="shared" si="45"/>
        <v>23.285299999999999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6"/>
        <v>0236-18</v>
      </c>
      <c r="AE146" s="91" t="str">
        <f t="shared" si="47"/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AF146" s="88" t="str">
        <f t="shared" si="48"/>
        <v>"C:\Program Files (x86)\AstroGrep\AstroGrep.exe" /spath="%USERPROFILE%\AppData\Local\Temp\OnboardLogs" /stypes="app*4017*20161119*" /stext=" 07:.+((SYSTEM_STATE.+slice.+state.+changed )|(ment ac)|(system.+state.+changed )|(\[timeout)|(PRM\|1\|D)|(kpr)|(kdp)|(\|lc)|(penalty))" /e /r /s</v>
      </c>
      <c r="AG146" s="1" t="str">
        <f t="shared" si="49"/>
        <v>EC</v>
      </c>
      <c r="AH146" s="92" t="str">
        <f t="shared" si="50"/>
        <v>"%USERPROFILE%\Documents\GitHub\eaglep3\Utilities\RefineRTDCRunTimes.py" --tripid 236-18 --locoid 4017 --swversion DE.1.0.8.0 --startMP 204:232983 --initTime 2016-11-18T23:21:55 --startdatetime 2016-11-18T23:26:28 --delay 1 --endMP 204:130 --enddatetime 2016-11-19T00:03:50 --enforcementcount 0 &gt;&gt;C:\Users\stu\Documents\GitHub\eaglep3-reporting\EC\2016-11-18-refined-times.txt</v>
      </c>
      <c r="AI146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{"issue":{"subject":"","project_id":79,"tracker_id":40,"status_id":1,"priority_id":2,"assigned_to_id":23,"start_date":"2016-11-19","description":"","custom_fields":[{"id":1,"name":"Subdivision","value":"EC"},{"id":4,"name":"Milepost","value":"0.013"},{"id":17,"name":"Train ID","value":"236-18"},{"id":16,"name":"Locomotive ID","value":"4017"},{"id":130,"name":"Impact","value":""},{"id":150,"name":"Time of Event (Mountain Time)","value":"00:03:50"},{"id":151,"name":"Denver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645</v>
      </c>
      <c r="B147" s="7">
        <v>4025</v>
      </c>
      <c r="C147" s="22" t="s">
        <v>218</v>
      </c>
      <c r="D147" s="22" t="s">
        <v>312</v>
      </c>
      <c r="E147" s="13">
        <v>42692.953726851854</v>
      </c>
      <c r="F147" s="13">
        <v>42692.958506944444</v>
      </c>
      <c r="G147" s="7">
        <v>1</v>
      </c>
      <c r="H147" s="22" t="s">
        <v>389</v>
      </c>
      <c r="I147" s="13">
        <v>42692.983564814815</v>
      </c>
      <c r="J147" s="7">
        <v>0</v>
      </c>
      <c r="K147" s="109" t="str">
        <f t="shared" si="35"/>
        <v>4025/4026</v>
      </c>
      <c r="L147" s="22" t="str">
        <f>VLOOKUP(A147,'Trips&amp;Operators'!$C$1:$E$10000,3,FALSE)</f>
        <v>LEVIN</v>
      </c>
      <c r="M147" s="6">
        <f t="shared" si="36"/>
        <v>2.5057870370801538E-2</v>
      </c>
      <c r="N147" s="7">
        <f t="shared" si="37"/>
        <v>36.083333333954215</v>
      </c>
      <c r="O147" s="7"/>
      <c r="P147" s="7"/>
      <c r="Q147" s="23"/>
      <c r="R147" s="23"/>
      <c r="S147" s="35">
        <f t="shared" si="38"/>
        <v>1</v>
      </c>
      <c r="T147" s="50" t="str">
        <f t="shared" si="39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21:53:22-700',mode:absolute,to:'2016-11-19 00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7" s="52" t="str">
        <f t="shared" si="41"/>
        <v>N</v>
      </c>
      <c r="X147" s="177">
        <f t="shared" si="42"/>
        <v>1</v>
      </c>
      <c r="Y147" s="67">
        <f t="shared" si="43"/>
        <v>4.3499999999999997E-2</v>
      </c>
      <c r="Z147" s="67">
        <f t="shared" si="44"/>
        <v>23.333200000000001</v>
      </c>
      <c r="AA147" s="67">
        <f t="shared" si="45"/>
        <v>23.2897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6"/>
        <v>0237-18</v>
      </c>
      <c r="AE147" s="91" t="str">
        <f t="shared" si="47"/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AF147" s="88" t="str">
        <f t="shared" si="48"/>
        <v>"C:\Program Files (x86)\AstroGrep\AstroGrep.exe" /spath="%USERPROFILE%\AppData\Local\Temp\OnboardLogs" /stypes="app*4025*20161119*" /stext=" 06:.+((SYSTEM_STATE.+slice.+state.+changed )|(ment ac)|(system.+state.+changed )|(\[timeout)|(PRM\|1\|D)|(kpr)|(kdp)|(\|lc)|(penalty))" /e /r /s</v>
      </c>
      <c r="AG147" s="1" t="str">
        <f t="shared" si="49"/>
        <v>EC</v>
      </c>
      <c r="AH147" s="92" t="str">
        <f t="shared" si="50"/>
        <v>"%USERPROFILE%\Documents\GitHub\eaglep3\Utilities\RefineRTDCRunTimes.py" --tripid 237-18 --locoid 4025 --swversion DE.1.0.8.0 --startMP 204:435 --initTime 2016-11-18T22:53:22 --startdatetime 2016-11-18T23:00:15 --delay 1 --endMP 204:233332 --enddatetime 2016-11-18T23:36:20 --enforcementcount 0 &gt;&gt;C:\Users\stu\Documents\GitHub\eaglep3-reporting\EC\2016-11-18-refined-times.txt</v>
      </c>
      <c r="AI147" s="119" t="str">
        <f t="shared" si="51"/>
        <v>echo {"issue":{"subject":"","project_id":79,"tracker_id":40,"status_id":1,"priority_id":2,"assigned_to_id":23,"start_date":"2016-11-18","description":"","custom_fields":[{"id":1,"name":"Subdivision","value":"EC"},{"id":4,"name":"Milepost","value":"23.3332"},{"id":17,"name":"Train ID","value":"237-18"},{"id":16,"name":"Locomotive ID","value":"4025"},{"id":130,"name":"Impact","value":""},{"id":150,"name":"Time of Event (Mountain Time)","value":"23:36:20"},{"id":151,"name":"Denver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648</v>
      </c>
      <c r="B148" s="7">
        <v>4026</v>
      </c>
      <c r="C148" s="22" t="s">
        <v>218</v>
      </c>
      <c r="D148" s="22" t="s">
        <v>704</v>
      </c>
      <c r="E148" s="13">
        <v>42692.994039351855</v>
      </c>
      <c r="F148" s="13">
        <v>42692.997569444444</v>
      </c>
      <c r="G148" s="7">
        <v>1</v>
      </c>
      <c r="H148" s="22" t="s">
        <v>721</v>
      </c>
      <c r="I148" s="13">
        <v>42693.023344907408</v>
      </c>
      <c r="J148" s="7">
        <v>0</v>
      </c>
      <c r="K148" s="109" t="str">
        <f t="shared" si="35"/>
        <v>4025/4026</v>
      </c>
      <c r="L148" s="22" t="str">
        <f>VLOOKUP(A148,'Trips&amp;Operators'!$C$1:$E$10000,3,FALSE)</f>
        <v>LEVIN</v>
      </c>
      <c r="M148" s="6">
        <f t="shared" si="36"/>
        <v>2.5775462963792961E-2</v>
      </c>
      <c r="N148" s="7">
        <f t="shared" si="37"/>
        <v>37.116666667861864</v>
      </c>
      <c r="O148" s="7"/>
      <c r="P148" s="7"/>
      <c r="Q148" s="23"/>
      <c r="R148" s="23"/>
      <c r="S148" s="35">
        <f t="shared" si="38"/>
        <v>1</v>
      </c>
      <c r="T148" s="50" t="str">
        <f t="shared" si="39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22:51:25-700',mode:absolute,to:'2016-11-19 01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8" s="52" t="str">
        <f t="shared" si="41"/>
        <v>N</v>
      </c>
      <c r="X148" s="177">
        <f t="shared" si="42"/>
        <v>1</v>
      </c>
      <c r="Y148" s="67">
        <f t="shared" si="43"/>
        <v>23.302299999999999</v>
      </c>
      <c r="Z148" s="67">
        <f t="shared" si="44"/>
        <v>1.18E-2</v>
      </c>
      <c r="AA148" s="67">
        <f t="shared" si="45"/>
        <v>23.290499999999998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6"/>
        <v>0238-18</v>
      </c>
      <c r="AE148" s="91" t="str">
        <f t="shared" si="47"/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AF148" s="88" t="str">
        <f t="shared" si="48"/>
        <v>"C:\Program Files (x86)\AstroGrep\AstroGrep.exe" /spath="%USERPROFILE%\AppData\Local\Temp\OnboardLogs" /stypes="app*4026*20161119*" /stext=" 07:.+((SYSTEM_STATE.+slice.+state.+changed )|(ment ac)|(system.+state.+changed )|(\[timeout)|(PRM\|1\|D)|(kpr)|(kdp)|(\|lc)|(penalty))" /e /r /s</v>
      </c>
      <c r="AG148" s="1" t="str">
        <f t="shared" si="49"/>
        <v>EC</v>
      </c>
      <c r="AH148" s="92" t="str">
        <f t="shared" si="50"/>
        <v>"%USERPROFILE%\Documents\GitHub\eaglep3\Utilities\RefineRTDCRunTimes.py" --tripid 238-18 --locoid 4026 --swversion DE.1.0.8.0 --startMP 204:233023 --initTime 2016-11-18T23:51:25 --startdatetime 2016-11-18T23:56:30 --delay 1 --endMP 204:118 --enddatetime 2016-11-19T00:33:37 --enforcementcount 0 &gt;&gt;C:\Users\stu\Documents\GitHub\eaglep3-reporting\EC\2016-11-18-refined-times.txt</v>
      </c>
      <c r="AI148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{"issue":{"subject":"","project_id":79,"tracker_id":40,"status_id":1,"priority_id":2,"assigned_to_id":23,"start_date":"2016-11-19","description":"","custom_fields":[{"id":1,"name":"Subdivision","value":"EC"},{"id":4,"name":"Milepost","value":"0.0118"},{"id":17,"name":"Train ID","value":"238-18"},{"id":16,"name":"Locomotive ID","value":"4026"},{"id":130,"name":"Impact","value":""},{"id":150,"name":"Time of Event (Mountain Time)","value":"00:33:37"},{"id":151,"name":"Denver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646</v>
      </c>
      <c r="B149" s="7">
        <v>4016</v>
      </c>
      <c r="C149" s="22" t="s">
        <v>218</v>
      </c>
      <c r="D149" s="22" t="s">
        <v>217</v>
      </c>
      <c r="E149" s="13">
        <v>42692.964131944442</v>
      </c>
      <c r="F149" s="13">
        <v>42692.979328703703</v>
      </c>
      <c r="G149" s="7">
        <v>1</v>
      </c>
      <c r="H149" s="22" t="s">
        <v>360</v>
      </c>
      <c r="I149" s="13">
        <v>42693.003194444442</v>
      </c>
      <c r="J149" s="7">
        <v>0</v>
      </c>
      <c r="K149" s="109" t="str">
        <f t="shared" si="35"/>
        <v>4015/4016</v>
      </c>
      <c r="L149" s="22" t="str">
        <f>VLOOKUP(A149,'Trips&amp;Operators'!$C$1:$E$10000,3,FALSE)</f>
        <v>YANAI</v>
      </c>
      <c r="M149" s="6">
        <f t="shared" si="36"/>
        <v>2.3865740738983732E-2</v>
      </c>
      <c r="N149" s="7">
        <f t="shared" si="37"/>
        <v>34.366666664136574</v>
      </c>
      <c r="O149" s="7"/>
      <c r="P149" s="7"/>
      <c r="Q149" s="23"/>
      <c r="R149" s="23"/>
      <c r="S149" s="35">
        <f t="shared" si="38"/>
        <v>1</v>
      </c>
      <c r="T149" s="50" t="str">
        <f t="shared" si="39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22:08:21-700',mode:absolute,to:'2016-11-19 01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9" s="52" t="str">
        <f t="shared" si="41"/>
        <v>N</v>
      </c>
      <c r="X149" s="177">
        <f t="shared" si="42"/>
        <v>1</v>
      </c>
      <c r="Y149" s="67">
        <f t="shared" si="43"/>
        <v>4.6399999999999997E-2</v>
      </c>
      <c r="Z149" s="67">
        <f t="shared" si="44"/>
        <v>23.33</v>
      </c>
      <c r="AA149" s="67">
        <f t="shared" si="45"/>
        <v>23.2836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6"/>
        <v>0239-18</v>
      </c>
      <c r="AE149" s="91" t="str">
        <f t="shared" si="47"/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AF149" s="88" t="str">
        <f t="shared" si="48"/>
        <v>"C:\Program Files (x86)\AstroGrep\AstroGrep.exe" /spath="%USERPROFILE%\AppData\Local\Temp\OnboardLogs" /stypes="app*4016*20161119*" /stext=" 07:.+((SYSTEM_STATE.+slice.+state.+changed )|(ment ac)|(system.+state.+changed )|(\[timeout)|(PRM\|1\|D)|(kpr)|(kdp)|(\|lc)|(penalty))" /e /r /s</v>
      </c>
      <c r="AG149" s="1" t="str">
        <f t="shared" si="49"/>
        <v>EC</v>
      </c>
      <c r="AH149" s="92" t="str">
        <f t="shared" si="50"/>
        <v>"%USERPROFILE%\Documents\GitHub\eaglep3\Utilities\RefineRTDCRunTimes.py" --tripid 239-18 --locoid 4016 --swversion DE.1.0.8.0 --startMP 204:464 --initTime 2016-11-18T23:08:21 --startdatetime 2016-11-18T23:30:14 --delay 1 --endMP 204:233300 --enddatetime 2016-11-19T00:04:36 --enforcementcount 0 &gt;&gt;C:\Users\stu\Documents\GitHub\eaglep3-reporting\EC\2016-11-18-refined-times.txt</v>
      </c>
      <c r="AI149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{"issue":{"subject":"","project_id":79,"tracker_id":40,"status_id":1,"priority_id":2,"assigned_to_id":23,"start_date":"2016-11-19","description":"","custom_fields":[{"id":1,"name":"Subdivision","value":"EC"},{"id":4,"name":"Milepost","value":"23.33"},{"id":17,"name":"Train ID","value":"239-18"},{"id":16,"name":"Locomotive ID","value":"4016"},{"id":130,"name":"Impact","value":""},{"id":150,"name":"Time of Event (Mountain Time)","value":"00:04:36"},{"id":151,"name":"Denver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650</v>
      </c>
      <c r="B150" s="7">
        <v>4015</v>
      </c>
      <c r="C150" s="22" t="s">
        <v>218</v>
      </c>
      <c r="D150" s="22" t="s">
        <v>405</v>
      </c>
      <c r="E150" s="13">
        <v>42693.005891203706</v>
      </c>
      <c r="F150" s="13">
        <v>42693.018217592595</v>
      </c>
      <c r="G150" s="7">
        <v>0</v>
      </c>
      <c r="H150" s="22" t="s">
        <v>345</v>
      </c>
      <c r="I150" s="13">
        <v>42693.043657407405</v>
      </c>
      <c r="J150" s="7">
        <v>0</v>
      </c>
      <c r="K150" s="109" t="str">
        <f t="shared" si="35"/>
        <v>4015/4016</v>
      </c>
      <c r="L150" s="22" t="str">
        <f>VLOOKUP(A150,'Trips&amp;Operators'!$C$1:$E$10000,3,FALSE)</f>
        <v>YANAI</v>
      </c>
      <c r="M150" s="6">
        <f t="shared" si="36"/>
        <v>2.5439814809942618E-2</v>
      </c>
      <c r="N150" s="7">
        <f t="shared" si="37"/>
        <v>36.63333332631737</v>
      </c>
      <c r="O150" s="7"/>
      <c r="P150" s="7"/>
      <c r="Q150" s="23"/>
      <c r="R150" s="23"/>
      <c r="S150" s="35">
        <f t="shared" si="38"/>
        <v>1</v>
      </c>
      <c r="T150" s="50" t="str">
        <f t="shared" si="39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23:08:29-700',mode:absolute,to:'2016-11-19 02:02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0" s="52" t="str">
        <f t="shared" si="41"/>
        <v>N</v>
      </c>
      <c r="X150" s="177">
        <f t="shared" si="42"/>
        <v>1</v>
      </c>
      <c r="Y150" s="67">
        <f t="shared" si="43"/>
        <v>23.298100000000002</v>
      </c>
      <c r="Z150" s="67">
        <f t="shared" si="44"/>
        <v>1.47E-2</v>
      </c>
      <c r="AA150" s="67">
        <f t="shared" si="45"/>
        <v>23.2834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6"/>
        <v>0240-18</v>
      </c>
      <c r="AE150" s="91" t="str">
        <f t="shared" si="47"/>
        <v>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 &amp; aws s3 cp s3://rtdc.mdm.uploadarchive.raw/RTDC4015/ "%USERPROFILE%\AppData\Local\Temp\OnboardLogs"\RTDC4015\2016-11-20 --exclude "*" --recursive --include "*20161120*" &amp; "%USERPROFILE%\Documents\GitHub\mrs-test-scripts\Headless Mode &amp; Sideloading\WalkAndUnGZ.bat" "%USERPROFILE%\AppData\Local\Temp\OnboardLogs"\RTDC4015\2016-11-20</v>
      </c>
      <c r="AF150" s="88" t="str">
        <f t="shared" si="48"/>
        <v>"C:\Program Files (x86)\AstroGrep\AstroGrep.exe" /spath="%USERPROFILE%\AppData\Local\Temp\OnboardLogs" /stypes="app*4015*20161119*" /stext=" 08:.+((SYSTEM_STATE.+slice.+state.+changed )|(ment ac)|(system.+state.+changed )|(\[timeout)|(PRM\|1\|D)|(kpr)|(kdp)|(\|lc)|(penalty))" /e /r /s</v>
      </c>
      <c r="AG150" s="1" t="str">
        <f t="shared" si="49"/>
        <v>EC</v>
      </c>
      <c r="AH150" s="92" t="str">
        <f t="shared" si="50"/>
        <v>"%USERPROFILE%\Documents\GitHub\eaglep3\Utilities\RefineRTDCRunTimes.py" --tripid 240-18 --locoid 4015 --swversion DE.1.0.8.0 --startMP 204:232981 --initTime 2016-11-19T00:08:29 --startdatetime 2016-11-19T00:26:14 --delay 0 --endMP 204:147 --enddatetime 2016-11-19T01:02:52 --enforcementcount 0 &gt;&gt;C:\Users\stu\Documents\GitHub\eaglep3-reporting\EC\2016-11-18-refined-times.txt</v>
      </c>
      <c r="AI150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{"issue":{"subject":"","project_id":79,"tracker_id":40,"status_id":1,"priority_id":2,"assigned_to_id":23,"start_date":"2016-11-19","description":"","custom_fields":[{"id":1,"name":"Subdivision","value":"EC"},{"id":4,"name":"Milepost","value":"0.0147"},{"id":17,"name":"Train ID","value":"240-18"},{"id":16,"name":"Locomotive ID","value":"4015"},{"id":130,"name":"Impact","value":""},{"id":150,"name":"Time of Event (Mountain Time)","value":"01:02:52"},{"id":151,"name":"Denver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649</v>
      </c>
      <c r="B151" s="7">
        <v>4042</v>
      </c>
      <c r="C151" s="22" t="s">
        <v>218</v>
      </c>
      <c r="D151" s="22" t="s">
        <v>217</v>
      </c>
      <c r="E151" s="13">
        <v>42692.999108796299</v>
      </c>
      <c r="F151" s="13">
        <v>42693.000416666669</v>
      </c>
      <c r="G151" s="7">
        <v>1</v>
      </c>
      <c r="H151" s="22" t="s">
        <v>722</v>
      </c>
      <c r="I151" s="13">
        <v>42693.025613425925</v>
      </c>
      <c r="J151" s="7">
        <v>0</v>
      </c>
      <c r="K151" s="109" t="str">
        <f t="shared" si="35"/>
        <v>4041/4042</v>
      </c>
      <c r="L151" s="22" t="str">
        <f>VLOOKUP(A151,'Trips&amp;Operators'!$C$1:$E$10000,3,FALSE)</f>
        <v>CHANDLER</v>
      </c>
      <c r="M151" s="6">
        <f t="shared" si="36"/>
        <v>2.5196759255777579E-2</v>
      </c>
      <c r="N151" s="7">
        <f t="shared" si="37"/>
        <v>36.283333328319713</v>
      </c>
      <c r="O151" s="7"/>
      <c r="P151" s="7"/>
      <c r="Q151" s="23"/>
      <c r="R151" s="23"/>
      <c r="S151" s="35">
        <f t="shared" si="38"/>
        <v>1</v>
      </c>
      <c r="T151" s="50" t="str">
        <f t="shared" si="39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22:58:43-700',mode:absolute,to:'2016-11-19 01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1" s="52" t="str">
        <f t="shared" si="41"/>
        <v>N</v>
      </c>
      <c r="X151" s="177">
        <f t="shared" si="42"/>
        <v>1</v>
      </c>
      <c r="Y151" s="67">
        <f t="shared" si="43"/>
        <v>4.6399999999999997E-2</v>
      </c>
      <c r="Z151" s="67">
        <f t="shared" si="44"/>
        <v>23.325500000000002</v>
      </c>
      <c r="AA151" s="67">
        <f t="shared" si="45"/>
        <v>23.279100000000003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6"/>
        <v>0241-18</v>
      </c>
      <c r="AE151" s="91" t="str">
        <f t="shared" si="47"/>
        <v>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 &amp; aws s3 cp s3://rtdc.mdm.uploadarchive.raw/RTDC4042/ "%USERPROFILE%\AppData\Local\Temp\OnboardLogs"\RTDC4042\2016-11-20 --exclude "*" --recursive --include "*20161120*" &amp; "%USERPROFILE%\Documents\GitHub\mrs-test-scripts\Headless Mode &amp; Sideloading\WalkAndUnGZ.bat" "%USERPROFILE%\AppData\Local\Temp\OnboardLogs"\RTDC4042\2016-11-20</v>
      </c>
      <c r="AF151" s="88" t="str">
        <f t="shared" si="48"/>
        <v>"C:\Program Files (x86)\AstroGrep\AstroGrep.exe" /spath="%USERPROFILE%\AppData\Local\Temp\OnboardLogs" /stypes="app*4042*20161119*" /stext=" 07:.+((SYSTEM_STATE.+slice.+state.+changed )|(ment ac)|(system.+state.+changed )|(\[timeout)|(PRM\|1\|D)|(kpr)|(kdp)|(\|lc)|(penalty))" /e /r /s</v>
      </c>
      <c r="AG151" s="1" t="str">
        <f t="shared" si="49"/>
        <v>EC</v>
      </c>
      <c r="AH151" s="92" t="str">
        <f t="shared" si="50"/>
        <v>"%USERPROFILE%\Documents\GitHub\eaglep3\Utilities\RefineRTDCRunTimes.py" --tripid 241-18 --locoid 4042 --swversion DE.1.0.8.0 --startMP 204:464 --initTime 2016-11-18T23:58:43 --startdatetime 2016-11-19T00:00:36 --delay 1 --endMP 204:233255 --enddatetime 2016-11-19T00:36:53 --enforcementcount 0 &gt;&gt;C:\Users\stu\Documents\GitHub\eaglep3-reporting\EC\2016-11-18-refined-times.txt</v>
      </c>
      <c r="AI151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{"issue":{"subject":"","project_id":79,"tracker_id":40,"status_id":1,"priority_id":2,"assigned_to_id":23,"start_date":"2016-11-19","description":"","custom_fields":[{"id":1,"name":"Subdivision","value":"EC"},{"id":4,"name":"Milepost","value":"23.3255"},{"id":17,"name":"Train ID","value":"241-18"},{"id":16,"name":"Locomotive ID","value":"4042"},{"id":130,"name":"Impact","value":""},{"id":150,"name":"Time of Event (Mountain Time)","value":"00:36:53"},{"id":151,"name":"Denver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653</v>
      </c>
      <c r="B152" s="7">
        <v>4041</v>
      </c>
      <c r="C152" s="22" t="s">
        <v>218</v>
      </c>
      <c r="D152" s="22" t="s">
        <v>688</v>
      </c>
      <c r="E152" s="13">
        <v>42693.037916666668</v>
      </c>
      <c r="F152" s="13">
        <v>42693.039942129632</v>
      </c>
      <c r="G152" s="7">
        <v>2</v>
      </c>
      <c r="H152" s="22" t="s">
        <v>345</v>
      </c>
      <c r="I152" s="13">
        <v>42693.074305555558</v>
      </c>
      <c r="J152" s="7">
        <v>0</v>
      </c>
      <c r="K152" s="109" t="str">
        <f t="shared" si="35"/>
        <v>4041/4042</v>
      </c>
      <c r="L152" s="22" t="str">
        <f>VLOOKUP(A152,'Trips&amp;Operators'!$C$1:$E$10000,3,FALSE)</f>
        <v>CHANDLER</v>
      </c>
      <c r="M152" s="6">
        <f t="shared" si="36"/>
        <v>3.4363425926130731E-2</v>
      </c>
      <c r="N152" s="7">
        <f t="shared" si="37"/>
        <v>49.483333333628252</v>
      </c>
      <c r="O152" s="7"/>
      <c r="P152" s="7"/>
      <c r="Q152" s="23"/>
      <c r="R152" s="23"/>
      <c r="S152" s="35">
        <f t="shared" si="38"/>
        <v>1</v>
      </c>
      <c r="T152" s="50" t="str">
        <f t="shared" si="39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23:54:36-700',mode:absolute,to:'2016-11-19 02:47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2" s="52" t="str">
        <f t="shared" si="41"/>
        <v>N</v>
      </c>
      <c r="X152" s="177">
        <f t="shared" si="42"/>
        <v>1</v>
      </c>
      <c r="Y152" s="67">
        <f t="shared" si="43"/>
        <v>23.295100000000001</v>
      </c>
      <c r="Z152" s="67">
        <f t="shared" si="44"/>
        <v>1.47E-2</v>
      </c>
      <c r="AA152" s="67">
        <f t="shared" si="45"/>
        <v>23.2804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6"/>
        <v>0242-18</v>
      </c>
      <c r="AE152" s="91" t="str">
        <f t="shared" si="47"/>
        <v>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 &amp; aws s3 cp s3://rtdc.mdm.uploadarchive.raw/RTDC4041/ "%USERPROFILE%\AppData\Local\Temp\OnboardLogs"\RTDC4041\2016-11-20 --exclude "*" --recursive --include "*20161120*" &amp; "%USERPROFILE%\Documents\GitHub\mrs-test-scripts\Headless Mode &amp; Sideloading\WalkAndUnGZ.bat" "%USERPROFILE%\AppData\Local\Temp\OnboardLogs"\RTDC4041\2016-11-20</v>
      </c>
      <c r="AF152" s="88" t="str">
        <f t="shared" si="48"/>
        <v>"C:\Program Files (x86)\AstroGrep\AstroGrep.exe" /spath="%USERPROFILE%\AppData\Local\Temp\OnboardLogs" /stypes="app*4041*20161119*" /stext=" 08:.+((SYSTEM_STATE.+slice.+state.+changed )|(ment ac)|(system.+state.+changed )|(\[timeout)|(PRM\|1\|D)|(kpr)|(kdp)|(\|lc)|(penalty))" /e /r /s</v>
      </c>
      <c r="AG152" s="1" t="str">
        <f t="shared" si="49"/>
        <v>EC</v>
      </c>
      <c r="AH152" s="92" t="str">
        <f t="shared" si="50"/>
        <v>"%USERPROFILE%\Documents\GitHub\eaglep3\Utilities\RefineRTDCRunTimes.py" --tripid 242-18 --locoid 4041 --swversion DE.1.0.8.0 --startMP 204:232951 --initTime 2016-11-19T00:54:36 --startdatetime 2016-11-19T00:57:31 --delay 2 --endMP 204:147 --enddatetime 2016-11-19T01:47:00 --enforcementcount 0 &gt;&gt;C:\Users\stu\Documents\GitHub\eaglep3-reporting\EC\2016-11-18-refined-times.txt</v>
      </c>
      <c r="AI152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{"issue":{"subject":"","project_id":79,"tracker_id":40,"status_id":1,"priority_id":2,"assigned_to_id":23,"start_date":"2016-11-19","description":"","custom_fields":[{"id":1,"name":"Subdivision","value":"EC"},{"id":4,"name":"Milepost","value":"0.0147"},{"id":17,"name":"Train ID","value":"242-18"},{"id":16,"name":"Locomotive ID","value":"4041"},{"id":130,"name":"Impact","value":""},{"id":150,"name":"Time of Event (Mountain Time)","value":"01:47:00"},{"id":151,"name":"Denver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651</v>
      </c>
      <c r="B153" s="7">
        <v>4018</v>
      </c>
      <c r="C153" s="22" t="s">
        <v>218</v>
      </c>
      <c r="D153" s="22" t="s">
        <v>220</v>
      </c>
      <c r="E153" s="13">
        <v>42693.01635416667</v>
      </c>
      <c r="F153" s="13">
        <v>42693.021238425928</v>
      </c>
      <c r="G153" s="7">
        <v>1</v>
      </c>
      <c r="H153" s="22" t="s">
        <v>360</v>
      </c>
      <c r="I153" s="13">
        <v>42693.045706018522</v>
      </c>
      <c r="J153" s="7">
        <v>0</v>
      </c>
      <c r="K153" s="109" t="str">
        <f t="shared" si="35"/>
        <v>4017/4018</v>
      </c>
      <c r="L153" s="22" t="str">
        <f>VLOOKUP(A153,'Trips&amp;Operators'!$C$1:$E$10000,3,FALSE)</f>
        <v>MCREYNOLDS</v>
      </c>
      <c r="M153" s="6">
        <f t="shared" si="36"/>
        <v>2.4467592593282461E-2</v>
      </c>
      <c r="N153" s="7">
        <f t="shared" si="37"/>
        <v>35.233333334326744</v>
      </c>
      <c r="O153" s="7"/>
      <c r="P153" s="7"/>
      <c r="Q153" s="23"/>
      <c r="R153" s="23"/>
      <c r="S153" s="35">
        <f t="shared" si="38"/>
        <v>1</v>
      </c>
      <c r="T153" s="50" t="str">
        <f t="shared" si="39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23:23:33-700',mode:absolute,to:'2016-11-19 02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3" s="52" t="str">
        <f t="shared" si="41"/>
        <v>N</v>
      </c>
      <c r="X153" s="177">
        <f t="shared" si="42"/>
        <v>1</v>
      </c>
      <c r="Y153" s="67">
        <f t="shared" si="43"/>
        <v>4.58E-2</v>
      </c>
      <c r="Z153" s="67">
        <f t="shared" si="44"/>
        <v>23.33</v>
      </c>
      <c r="AA153" s="67">
        <f t="shared" si="45"/>
        <v>23.284199999999998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6"/>
        <v>0243-18</v>
      </c>
      <c r="AE153" s="91" t="str">
        <f t="shared" si="47"/>
        <v>aws s3 cp s3://rtdc.mdm.uploadarchive.raw/RTDC4018/ "%USERPROFILE%\AppData\Local\Temp\OnboardLogs"\RTDC4018\2016-11-19 --exclude "*" --recursive --include "*20161119*" &amp; "%USERPROFILE%\Documents\GitHub\mrs-test-scripts\Headless Mode &amp; Sideloading\WalkAndUnGZ.bat" "%USERPROFILE%\AppData\Local\Temp\OnboardLogs"\RTDC4018\2016-11-19 &amp; 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</v>
      </c>
      <c r="AF153" s="88" t="str">
        <f t="shared" si="48"/>
        <v>"C:\Program Files (x86)\AstroGrep\AstroGrep.exe" /spath="%USERPROFILE%\AppData\Local\Temp\OnboardLogs" /stypes="app*4018*20161119*" /stext=" 08:.+((SYSTEM_STATE.+slice.+state.+changed )|(ment ac)|(system.+state.+changed )|(\[timeout)|(PRM\|1\|D)|(kpr)|(kdp)|(\|lc)|(penalty))" /e /r /s</v>
      </c>
      <c r="AG153" s="1" t="str">
        <f t="shared" si="49"/>
        <v>EC</v>
      </c>
      <c r="AH153" s="92" t="str">
        <f t="shared" si="50"/>
        <v>"%USERPROFILE%\Documents\GitHub\eaglep3\Utilities\RefineRTDCRunTimes.py" --tripid 243-18 --locoid 4018 --swversion DE.1.0.8.0 --startMP 204:458 --initTime 2016-11-19T00:23:33 --startdatetime 2016-11-19T00:30:35 --delay 1 --endMP 204:233300 --enddatetime 2016-11-19T01:05:49 --enforcementcount 0 &gt;&gt;C:\Users\stu\Documents\GitHub\eaglep3-reporting\EC\2016-11-18-refined-times.txt</v>
      </c>
      <c r="AI153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{"issue":{"subject":"","project_id":79,"tracker_id":40,"status_id":1,"priority_id":2,"assigned_to_id":23,"start_date":"2016-11-19","description":"","custom_fields":[{"id":1,"name":"Subdivision","value":"EC"},{"id":4,"name":"Milepost","value":"23.33"},{"id":17,"name":"Train ID","value":"243-18"},{"id":16,"name":"Locomotive ID","value":"4018"},{"id":130,"name":"Impact","value":""},{"id":150,"name":"Time of Event (Mountain Time)","value":"01:05:49"},{"id":151,"name":"Denver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655</v>
      </c>
      <c r="B154" s="7">
        <v>4017</v>
      </c>
      <c r="C154" s="22" t="s">
        <v>218</v>
      </c>
      <c r="D154" s="22" t="s">
        <v>723</v>
      </c>
      <c r="E154" s="13">
        <v>42693.057337962964</v>
      </c>
      <c r="F154" s="13">
        <v>42693.060081018521</v>
      </c>
      <c r="G154" s="7">
        <v>1</v>
      </c>
      <c r="H154" s="22" t="s">
        <v>230</v>
      </c>
      <c r="I154" s="13">
        <v>42693.094375000001</v>
      </c>
      <c r="J154" s="7">
        <v>0</v>
      </c>
      <c r="K154" s="109" t="str">
        <f t="shared" si="35"/>
        <v>4017/4018</v>
      </c>
      <c r="L154" s="22" t="str">
        <f>VLOOKUP(A154,'Trips&amp;Operators'!$C$1:$E$10000,3,FALSE)</f>
        <v>MCREYNOLDS</v>
      </c>
      <c r="M154" s="6">
        <f t="shared" si="36"/>
        <v>3.4293981480004732E-2</v>
      </c>
      <c r="N154" s="7">
        <f t="shared" si="37"/>
        <v>49.383333331206813</v>
      </c>
      <c r="O154" s="7"/>
      <c r="P154" s="7"/>
      <c r="Q154" s="23"/>
      <c r="R154" s="23"/>
      <c r="S154" s="35">
        <f t="shared" si="38"/>
        <v>1</v>
      </c>
      <c r="T154" s="50" t="str">
        <f t="shared" si="39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https://search-rtdc-monitor-bjffxe2xuh6vdkpspy63sjmuny.us-east-1.es.amazonaws.com/_plugin/kibana/#/discover/Steve-Slow-Train-Analysis-(2080s-and-2083s)?_g=(refreshInterval:(display:Off,section:0,value:0),time:(from:'2016-11-19 00:22:34-700',mode:absolute,to:'2016-11-19 03:15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4" s="52" t="str">
        <f t="shared" si="41"/>
        <v>N</v>
      </c>
      <c r="X154" s="177">
        <f t="shared" si="42"/>
        <v>1</v>
      </c>
      <c r="Y154" s="67">
        <f t="shared" si="43"/>
        <v>23.297599999999999</v>
      </c>
      <c r="Z154" s="67">
        <f t="shared" si="44"/>
        <v>1.6E-2</v>
      </c>
      <c r="AA154" s="67">
        <f t="shared" si="45"/>
        <v>23.281600000000001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6"/>
        <v>0244-18</v>
      </c>
      <c r="AE154" s="91" t="str">
        <f t="shared" si="47"/>
        <v>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 &amp; 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</v>
      </c>
      <c r="AF154" s="88" t="str">
        <f t="shared" si="48"/>
        <v>"C:\Program Files (x86)\AstroGrep\AstroGrep.exe" /spath="%USERPROFILE%\AppData\Local\Temp\OnboardLogs" /stypes="app*4017*20161119*" /stext=" 09:.+((SYSTEM_STATE.+slice.+state.+changed )|(ment ac)|(system.+state.+changed )|(\[timeout)|(PRM\|1\|D)|(kpr)|(kdp)|(\|lc)|(penalty))" /e /r /s</v>
      </c>
      <c r="AG154" s="1" t="str">
        <f t="shared" si="49"/>
        <v>EC</v>
      </c>
      <c r="AH154" s="92" t="str">
        <f t="shared" si="50"/>
        <v>"%USERPROFILE%\Documents\GitHub\eaglep3\Utilities\RefineRTDCRunTimes.py" --tripid 244-18 --locoid 4017 --swversion DE.1.0.8.0 --startMP 204:232976 --initTime 2016-11-19T01:22:34 --startdatetime 2016-11-19T01:26:31 --delay 1 --endMP 204:160 --enddatetime 2016-11-19T02:15:54 --enforcementcount 0 &gt;&gt;C:\Users\stu\Documents\GitHub\eaglep3-reporting\EC\2016-11-18-refined-times.txt</v>
      </c>
      <c r="AI154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{"issue":{"subject":"","project_id":79,"tracker_id":40,"status_id":1,"priority_id":2,"assigned_to_id":23,"start_date":"2016-11-19","description":"","custom_fields":[{"id":1,"name":"Subdivision","value":"EC"},{"id":4,"name":"Milepost","value":"0.016"},{"id":17,"name":"Train ID","value":"244-18"},{"id":16,"name":"Locomotive ID","value":"4017"},{"id":130,"name":"Impact","value":""},{"id":150,"name":"Time of Event (Mountain Time)","value":"02:15:54"},{"id":151,"name":"Denver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652</v>
      </c>
      <c r="B155" s="7">
        <v>4025</v>
      </c>
      <c r="C155" s="22" t="s">
        <v>218</v>
      </c>
      <c r="D155" s="22" t="s">
        <v>724</v>
      </c>
      <c r="E155" s="13">
        <v>42693.031863425924</v>
      </c>
      <c r="F155" s="13">
        <v>42693.042384259257</v>
      </c>
      <c r="G155" s="7">
        <v>1</v>
      </c>
      <c r="H155" s="22" t="s">
        <v>409</v>
      </c>
      <c r="I155" s="13">
        <v>42693.069039351853</v>
      </c>
      <c r="J155" s="7">
        <v>0</v>
      </c>
      <c r="K155" s="109" t="str">
        <f t="shared" si="35"/>
        <v>4025/4026</v>
      </c>
      <c r="L155" s="22" t="str">
        <f>VLOOKUP(A155,'Trips&amp;Operators'!$C$1:$E$10000,3,FALSE)</f>
        <v>LEVIN</v>
      </c>
      <c r="M155" s="6">
        <f t="shared" si="36"/>
        <v>2.6655092595319729E-2</v>
      </c>
      <c r="N155" s="7">
        <f t="shared" si="37"/>
        <v>38.38333333726041</v>
      </c>
      <c r="O155" s="7"/>
      <c r="P155" s="7"/>
      <c r="Q155" s="23"/>
      <c r="R155" s="23"/>
      <c r="S155" s="35">
        <f t="shared" si="38"/>
        <v>1</v>
      </c>
      <c r="T155" s="50" t="str">
        <f t="shared" si="39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23:45:53-700',mode:absolute,to:'2016-11-19 02:39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5" s="52" t="str">
        <f t="shared" si="41"/>
        <v>N</v>
      </c>
      <c r="X155" s="177">
        <f t="shared" si="42"/>
        <v>1</v>
      </c>
      <c r="Y155" s="67">
        <f t="shared" si="43"/>
        <v>4.1099999999999998E-2</v>
      </c>
      <c r="Z155" s="67">
        <f t="shared" si="44"/>
        <v>23.333600000000001</v>
      </c>
      <c r="AA155" s="67">
        <f t="shared" si="45"/>
        <v>23.2925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6"/>
        <v>0245-18</v>
      </c>
      <c r="AE155" s="91" t="str">
        <f t="shared" si="47"/>
        <v>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 &amp; 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</v>
      </c>
      <c r="AF155" s="88" t="str">
        <f t="shared" si="48"/>
        <v>"C:\Program Files (x86)\AstroGrep\AstroGrep.exe" /spath="%USERPROFILE%\AppData\Local\Temp\OnboardLogs" /stypes="app*4025*20161119*" /stext=" 08:.+((SYSTEM_STATE.+slice.+state.+changed )|(ment ac)|(system.+state.+changed )|(\[timeout)|(PRM\|1\|D)|(kpr)|(kdp)|(\|lc)|(penalty))" /e /r /s</v>
      </c>
      <c r="AG155" s="1" t="str">
        <f t="shared" si="49"/>
        <v>EC</v>
      </c>
      <c r="AH155" s="92" t="str">
        <f t="shared" si="50"/>
        <v>"%USERPROFILE%\Documents\GitHub\eaglep3\Utilities\RefineRTDCRunTimes.py" --tripid 245-18 --locoid 4025 --swversion DE.1.0.8.0 --startMP 204:411 --initTime 2016-11-19T00:45:53 --startdatetime 2016-11-19T01:01:02 --delay 1 --endMP 204:233336 --enddatetime 2016-11-19T01:39:25 --enforcementcount 0 &gt;&gt;C:\Users\stu\Documents\GitHub\eaglep3-reporting\EC\2016-11-18-refined-times.txt</v>
      </c>
      <c r="AI155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{"issue":{"subject":"","project_id":79,"tracker_id":40,"status_id":1,"priority_id":2,"assigned_to_id":23,"start_date":"2016-11-19","description":"","custom_fields":[{"id":1,"name":"Subdivision","value":"EC"},{"id":4,"name":"Milepost","value":"23.3336"},{"id":17,"name":"Train ID","value":"245-18"},{"id":16,"name":"Locomotive ID","value":"4025"},{"id":130,"name":"Impact","value":""},{"id":150,"name":"Time of Event (Mountain Time)","value":"01:39:25"},{"id":151,"name":"Denver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725</v>
      </c>
      <c r="B156" s="7">
        <v>4026</v>
      </c>
      <c r="C156" s="22" t="s">
        <v>218</v>
      </c>
      <c r="D156" s="22" t="s">
        <v>671</v>
      </c>
      <c r="E156" s="13">
        <v>42693.075520833336</v>
      </c>
      <c r="F156" s="13">
        <v>42693.080763888887</v>
      </c>
      <c r="G156" s="7">
        <v>1</v>
      </c>
      <c r="H156" s="22" t="s">
        <v>402</v>
      </c>
      <c r="I156" s="13">
        <v>42693.109375</v>
      </c>
      <c r="J156" s="7">
        <v>0</v>
      </c>
      <c r="K156" s="109" t="str">
        <f t="shared" si="35"/>
        <v>4025/4026</v>
      </c>
      <c r="L156" s="22" t="e">
        <f>VLOOKUP(A156,'Trips&amp;Operators'!$C$1:$E$10000,3,FALSE)</f>
        <v>#N/A</v>
      </c>
      <c r="M156" s="6">
        <f t="shared" si="36"/>
        <v>2.8611111112695653E-2</v>
      </c>
      <c r="N156" s="7">
        <f t="shared" si="37"/>
        <v>41.20000000228174</v>
      </c>
      <c r="O156" s="7"/>
      <c r="P156" s="7"/>
      <c r="Q156" s="23"/>
      <c r="R156" s="23"/>
      <c r="S156" s="35">
        <f t="shared" si="38"/>
        <v>1</v>
      </c>
      <c r="T156" s="50" t="str">
        <f t="shared" si="39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https://search-rtdc-monitor-bjffxe2xuh6vdkpspy63sjmuny.us-east-1.es.amazonaws.com/_plugin/kibana/#/discover/Steve-Slow-Train-Analysis-(2080s-and-2083s)?_g=(refreshInterval:(display:Off,section:0,value:0),time:(from:'2016-11-19 00:48:45-700',mode:absolute,to:'2016-11-19 03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6" s="52" t="str">
        <f t="shared" si="41"/>
        <v>N</v>
      </c>
      <c r="X156" s="177">
        <f t="shared" si="42"/>
        <v>1</v>
      </c>
      <c r="Y156" s="67">
        <f t="shared" si="43"/>
        <v>23.301300000000001</v>
      </c>
      <c r="Z156" s="67">
        <f t="shared" si="44"/>
        <v>1.9199999999999998E-2</v>
      </c>
      <c r="AA156" s="67">
        <f t="shared" si="45"/>
        <v>23.2821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6"/>
        <v>0246-18</v>
      </c>
      <c r="AE156" s="91" t="str">
        <f t="shared" si="47"/>
        <v>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 &amp; 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</v>
      </c>
      <c r="AF156" s="88" t="str">
        <f t="shared" si="48"/>
        <v>"C:\Program Files (x86)\AstroGrep\AstroGrep.exe" /spath="%USERPROFILE%\AppData\Local\Temp\OnboardLogs" /stypes="app*4026*20161119*" /stext=" 09:.+((SYSTEM_STATE.+slice.+state.+changed )|(ment ac)|(system.+state.+changed )|(\[timeout)|(PRM\|1\|D)|(kpr)|(kdp)|(\|lc)|(penalty))" /e /r /s</v>
      </c>
      <c r="AG156" s="1" t="str">
        <f t="shared" si="49"/>
        <v>EC</v>
      </c>
      <c r="AH156" s="92" t="str">
        <f t="shared" si="50"/>
        <v>"%USERPROFILE%\Documents\GitHub\eaglep3\Utilities\RefineRTDCRunTimes.py" --tripid 246-18 --locoid 4026 --swversion DE.1.0.8.0 --startMP 204:233013 --initTime 2016-11-19T01:48:45 --startdatetime 2016-11-19T01:56:18 --delay 1 --endMP 204:192 --enddatetime 2016-11-19T02:37:30 --enforcementcount 0 &gt;&gt;C:\Users\stu\Documents\GitHub\eaglep3-reporting\EC\2016-11-18-refined-times.txt</v>
      </c>
      <c r="AI156" s="119" t="str">
        <f t="shared" si="51"/>
        <v>echo {"issue":{"subject":"","project_id":79,"tracker_id":40,"status_id":1,"priority_id":2,"assigned_to_id":23,"start_date":"2016-11-19","description":"","custom_fields":[{"id":1,"name":"Subdivision","value":"EC"},{"id":4,"name":"Milepost","value":"0.0192"},{"id":17,"name":"Train ID","value":"246-18"},{"id":16,"name":"Locomotive ID","value":"4026"},{"id":130,"name":"Impact","value":""},{"id":150,"name":"Time of Event (Mountain Time)","value":"02:37:30"},{"id":151,"name":"Denver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481</v>
      </c>
      <c r="B157" s="7">
        <v>4008</v>
      </c>
      <c r="C157" s="22" t="s">
        <v>218</v>
      </c>
      <c r="D157" s="22" t="s">
        <v>366</v>
      </c>
      <c r="E157" s="13">
        <v>42692.211481481485</v>
      </c>
      <c r="F157" s="13">
        <v>42692.212916666664</v>
      </c>
      <c r="G157" s="7">
        <v>1</v>
      </c>
      <c r="H157" s="22" t="s">
        <v>750</v>
      </c>
      <c r="I157" s="13">
        <v>42692.226134259261</v>
      </c>
      <c r="J157" s="7">
        <v>0</v>
      </c>
      <c r="K157" s="109" t="str">
        <f t="shared" si="35"/>
        <v>4007/4008</v>
      </c>
      <c r="L157" s="22" t="str">
        <f>VLOOKUP(A157,'Trips&amp;Operators'!$C$1:$E$10000,3,FALSE)</f>
        <v>STRICKLAND</v>
      </c>
      <c r="M157" s="6">
        <f t="shared" si="36"/>
        <v>1.3217592597356997E-2</v>
      </c>
      <c r="N157" s="7">
        <f t="shared" si="37"/>
        <v>19.033333340194076</v>
      </c>
      <c r="O157" s="7"/>
      <c r="P157" s="7"/>
      <c r="Q157" s="23"/>
      <c r="R157" s="23"/>
      <c r="S157" s="35">
        <f t="shared" si="38"/>
        <v>1</v>
      </c>
      <c r="T157" s="50" t="str">
        <f t="shared" si="39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04:04:32-700',mode:absolute,to:'2016-11-18 06:25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7" s="52" t="str">
        <f t="shared" si="41"/>
        <v>N</v>
      </c>
      <c r="X157" s="177">
        <f t="shared" si="42"/>
        <v>554</v>
      </c>
      <c r="Y157" s="67">
        <f t="shared" si="43"/>
        <v>5.8644999999999996</v>
      </c>
      <c r="Z157" s="67">
        <f t="shared" si="44"/>
        <v>7.3999999999999996E-2</v>
      </c>
      <c r="AA157" s="67">
        <f t="shared" si="45"/>
        <v>5.7904999999999998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6"/>
        <v>0800-18</v>
      </c>
      <c r="AE157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57" s="88" t="str">
        <f t="shared" si="48"/>
        <v>"C:\Program Files (x86)\AstroGrep\AstroGrep.exe" /spath="%USERPROFILE%\AppData\Local\Temp\OnboardLogs" /stypes="app*4008*20161118*" /stext=" 12:.+((SYSTEM_STATE.+slice.+state.+changed )|(ment ac)|(system.+state.+changed )|(\[timeout)|(PRM\|1\|D)|(kpr)|(kdp)|(\|lc)|(penalty))" /e /r /s</v>
      </c>
      <c r="AG157" s="1" t="str">
        <f t="shared" si="49"/>
        <v>NW</v>
      </c>
      <c r="AH157" s="92" t="str">
        <f t="shared" si="50"/>
        <v>"%USERPROFILE%\Documents\GitHub\eaglep3\Utilities\RefineRTDCRunTimes.py" --tripid 800-18 --locoid 4008 --swversion DE.1.0.8.0 --startMP 300:58645 --initTime 2016-11-18T05:04:32 --startdatetime 2016-11-18T05:06:36 --delay 1 --endMP 204:740 --enddatetime 2016-11-18T05:25:38 --enforcementcount 0 &gt;&gt;C:\Users\stu\Documents\GitHub\eaglep3-reporting\EC\2016-11-18-refined-times.txt</v>
      </c>
      <c r="AI157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{"issue":{"subject":"","project_id":79,"tracker_id":40,"status_id":1,"priority_id":2,"assigned_to_id":23,"start_date":"2016-11-18","description":"","custom_fields":[{"id":1,"name":"Subdivision","value":"NW"},{"id":4,"name":"Milepost","value":"0.074"},{"id":17,"name":"Train ID","value":"800-18"},{"id":16,"name":"Locomotive ID","value":"4008"},{"id":130,"name":"Impact","value":""},{"id":150,"name":"Time of Event (Mountain Time)","value":"05:25:38"},{"id":151,"name":"Denver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483</v>
      </c>
      <c r="B158" s="7">
        <v>4007</v>
      </c>
      <c r="C158" s="22" t="s">
        <v>218</v>
      </c>
      <c r="D158" s="22" t="s">
        <v>419</v>
      </c>
      <c r="E158" s="13">
        <v>42692.227870370371</v>
      </c>
      <c r="F158" s="13">
        <v>42692.244212962964</v>
      </c>
      <c r="G158" s="7">
        <v>1</v>
      </c>
      <c r="H158" s="22" t="s">
        <v>751</v>
      </c>
      <c r="I158" s="13">
        <v>42692.254351851851</v>
      </c>
      <c r="J158" s="7">
        <v>0</v>
      </c>
      <c r="K158" s="109" t="str">
        <f t="shared" si="35"/>
        <v>4007/4008</v>
      </c>
      <c r="L158" s="22" t="str">
        <f>VLOOKUP(A158,'Trips&amp;Operators'!$C$1:$E$10000,3,FALSE)</f>
        <v>STRICKLAND</v>
      </c>
      <c r="M158" s="6">
        <f t="shared" si="36"/>
        <v>1.0138888887013309E-2</v>
      </c>
      <c r="N158" s="7">
        <f t="shared" si="37"/>
        <v>14.599999997299165</v>
      </c>
      <c r="O158" s="7"/>
      <c r="P158" s="7"/>
      <c r="Q158" s="23"/>
      <c r="R158" s="23"/>
      <c r="S158" s="35">
        <f t="shared" si="38"/>
        <v>1</v>
      </c>
      <c r="T158" s="50" t="str">
        <f t="shared" si="39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04:28:08-700',mode:absolute,to:'2016-11-18 07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8" s="52" t="str">
        <f t="shared" si="41"/>
        <v>N</v>
      </c>
      <c r="X158" s="177">
        <f t="shared" si="42"/>
        <v>1</v>
      </c>
      <c r="Y158" s="67">
        <f t="shared" si="43"/>
        <v>0.1028</v>
      </c>
      <c r="Z158" s="67">
        <f t="shared" si="44"/>
        <v>5.8958000000000004</v>
      </c>
      <c r="AA158" s="67">
        <f t="shared" si="45"/>
        <v>5.7930000000000001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6"/>
        <v>0801-18</v>
      </c>
      <c r="AE158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58" s="88" t="str">
        <f t="shared" si="48"/>
        <v>"C:\Program Files (x86)\AstroGrep\AstroGrep.exe" /spath="%USERPROFILE%\AppData\Local\Temp\OnboardLogs" /stypes="app*4007*20161118*" /stext=" 13:.+((SYSTEM_STATE.+slice.+state.+changed )|(ment ac)|(system.+state.+changed )|(\[timeout)|(PRM\|1\|D)|(kpr)|(kdp)|(\|lc)|(penalty))" /e /r /s</v>
      </c>
      <c r="AG158" s="1" t="str">
        <f t="shared" si="49"/>
        <v>NW</v>
      </c>
      <c r="AH158" s="92" t="str">
        <f t="shared" si="50"/>
        <v>"%USERPROFILE%\Documents\GitHub\eaglep3\Utilities\RefineRTDCRunTimes.py" --tripid 801-18 --locoid 4007 --swversion DE.1.0.8.0 --startMP 204:1028 --initTime 2016-11-18T05:28:08 --startdatetime 2016-11-18T05:51:40 --delay 1 --endMP 300:58958 --enddatetime 2016-11-18T06:06:16 --enforcementcount 0 &gt;&gt;C:\Users\stu\Documents\GitHub\eaglep3-reporting\EC\2016-11-18-refined-times.txt</v>
      </c>
      <c r="AI158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{"issue":{"subject":"","project_id":79,"tracker_id":40,"status_id":1,"priority_id":2,"assigned_to_id":23,"start_date":"2016-11-18","description":"","custom_fields":[{"id":1,"name":"Subdivision","value":"NW"},{"id":4,"name":"Milepost","value":"5.8958"},{"id":17,"name":"Train ID","value":"801-18"},{"id":16,"name":"Locomotive ID","value":"4007"},{"id":130,"name":"Impact","value":""},{"id":150,"name":"Time of Event (Mountain Time)","value":"06:06:16"},{"id":151,"name":"Denver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435</v>
      </c>
      <c r="B159" s="7">
        <v>4008</v>
      </c>
      <c r="C159" s="22" t="s">
        <v>218</v>
      </c>
      <c r="D159" s="22" t="s">
        <v>426</v>
      </c>
      <c r="E159" s="13">
        <v>42692.255335648151</v>
      </c>
      <c r="F159" s="13">
        <v>42692.256550925929</v>
      </c>
      <c r="G159" s="7">
        <v>1</v>
      </c>
      <c r="H159" s="22" t="s">
        <v>364</v>
      </c>
      <c r="I159" s="13">
        <v>42692.269456018519</v>
      </c>
      <c r="J159" s="7">
        <v>0</v>
      </c>
      <c r="K159" s="109" t="str">
        <f t="shared" si="35"/>
        <v>4007/4008</v>
      </c>
      <c r="L159" s="22" t="str">
        <f>VLOOKUP(A159,'Trips&amp;Operators'!$C$1:$E$10000,3,FALSE)</f>
        <v>STRICKLAND</v>
      </c>
      <c r="M159" s="6">
        <f t="shared" si="36"/>
        <v>1.2905092589790002E-2</v>
      </c>
      <c r="N159" s="7">
        <f t="shared" si="37"/>
        <v>18.583333329297602</v>
      </c>
      <c r="O159" s="7"/>
      <c r="P159" s="7"/>
      <c r="Q159" s="23"/>
      <c r="R159" s="23"/>
      <c r="S159" s="35">
        <f t="shared" si="38"/>
        <v>1</v>
      </c>
      <c r="T159" s="50" t="str">
        <f t="shared" si="39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05:07:41-700',mode:absolute,to:'2016-11-18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52" t="str">
        <f t="shared" si="41"/>
        <v>N</v>
      </c>
      <c r="X159" s="177">
        <f t="shared" si="42"/>
        <v>1</v>
      </c>
      <c r="Y159" s="67">
        <f t="shared" si="43"/>
        <v>5.8643000000000001</v>
      </c>
      <c r="Z159" s="67">
        <f t="shared" si="44"/>
        <v>7.4800000000000005E-2</v>
      </c>
      <c r="AA159" s="67">
        <f t="shared" si="45"/>
        <v>5.7895000000000003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6"/>
        <v>0802-18</v>
      </c>
      <c r="AE159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59" s="88" t="str">
        <f t="shared" si="48"/>
        <v>"C:\Program Files (x86)\AstroGrep\AstroGrep.exe" /spath="%USERPROFILE%\AppData\Local\Temp\OnboardLogs" /stypes="app*4008*20161118*" /stext=" 13:.+((SYSTEM_STATE.+slice.+state.+changed )|(ment ac)|(system.+state.+changed )|(\[timeout)|(PRM\|1\|D)|(kpr)|(kdp)|(\|lc)|(penalty))" /e /r /s</v>
      </c>
      <c r="AG159" s="1" t="str">
        <f t="shared" si="49"/>
        <v>NW</v>
      </c>
      <c r="AH159" s="92" t="str">
        <f t="shared" si="50"/>
        <v>"%USERPROFILE%\Documents\GitHub\eaglep3\Utilities\RefineRTDCRunTimes.py" --tripid 802-18 --locoid 4008 --swversion DE.1.0.8.0 --startMP 300:58643 --initTime 2016-11-18T06:07:41 --startdatetime 2016-11-18T06:09:26 --delay 1 --endMP 204:748 --enddatetime 2016-11-18T06:28:01 --enforcementcount 0 &gt;&gt;C:\Users\stu\Documents\GitHub\eaglep3-reporting\EC\2016-11-18-refined-times.txt</v>
      </c>
      <c r="AI159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{"issue":{"subject":"","project_id":79,"tracker_id":40,"status_id":1,"priority_id":2,"assigned_to_id":23,"start_date":"2016-11-18","description":"","custom_fields":[{"id":1,"name":"Subdivision","value":"NW"},{"id":4,"name":"Milepost","value":"0.0748"},{"id":17,"name":"Train ID","value":"802-18"},{"id":16,"name":"Locomotive ID","value":"4008"},{"id":130,"name":"Impact","value":""},{"id":150,"name":"Time of Event (Mountain Time)","value":"06:28:01"},{"id":151,"name":"Denver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436</v>
      </c>
      <c r="B160" s="7">
        <v>4031</v>
      </c>
      <c r="C160" s="22" t="s">
        <v>218</v>
      </c>
      <c r="D160" s="22" t="s">
        <v>752</v>
      </c>
      <c r="E160" s="13">
        <v>42692.258900462963</v>
      </c>
      <c r="F160" s="13">
        <v>42692.265115740738</v>
      </c>
      <c r="G160" s="7">
        <v>1</v>
      </c>
      <c r="H160" s="22" t="s">
        <v>753</v>
      </c>
      <c r="I160" s="13">
        <v>42692.273993055554</v>
      </c>
      <c r="J160" s="7">
        <v>0</v>
      </c>
      <c r="K160" s="109" t="str">
        <f t="shared" si="35"/>
        <v>4031/4032</v>
      </c>
      <c r="L160" s="22" t="str">
        <f>VLOOKUP(A160,'Trips&amp;Operators'!$C$1:$E$10000,3,FALSE)</f>
        <v>MAGEE</v>
      </c>
      <c r="M160" s="6">
        <f t="shared" si="36"/>
        <v>8.8773148163454607E-3</v>
      </c>
      <c r="N160" s="7">
        <f t="shared" si="37"/>
        <v>12.783333335537463</v>
      </c>
      <c r="O160" s="7"/>
      <c r="P160" s="7"/>
      <c r="Q160" s="23"/>
      <c r="R160" s="23"/>
      <c r="S160" s="35">
        <f t="shared" si="38"/>
        <v>1</v>
      </c>
      <c r="T160" s="50" t="str">
        <f t="shared" si="39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05:12:49-700',mode:absolute,to:'2016-11-18 07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0" s="52" t="str">
        <f t="shared" si="41"/>
        <v>N</v>
      </c>
      <c r="X160" s="177">
        <f t="shared" si="42"/>
        <v>1</v>
      </c>
      <c r="Y160" s="67">
        <f t="shared" si="43"/>
        <v>0.10199999999999999</v>
      </c>
      <c r="Z160" s="67">
        <f t="shared" si="44"/>
        <v>5.8930999999999996</v>
      </c>
      <c r="AA160" s="67">
        <f t="shared" si="45"/>
        <v>5.7910999999999992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6"/>
        <v>0803-18</v>
      </c>
      <c r="AE160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60" s="88" t="str">
        <f t="shared" si="48"/>
        <v>"C:\Program Files (x86)\AstroGrep\AstroGrep.exe" /spath="%USERPROFILE%\AppData\Local\Temp\OnboardLogs" /stypes="app*4031*20161118*" /stext=" 13:.+((SYSTEM_STATE.+slice.+state.+changed )|(ment ac)|(system.+state.+changed )|(\[timeout)|(PRM\|1\|D)|(kpr)|(kdp)|(\|lc)|(penalty))" /e /r /s</v>
      </c>
      <c r="AG160" s="1" t="str">
        <f t="shared" si="49"/>
        <v>NW</v>
      </c>
      <c r="AH160" s="92" t="str">
        <f t="shared" si="50"/>
        <v>"%USERPROFILE%\Documents\GitHub\eaglep3\Utilities\RefineRTDCRunTimes.py" --tripid 803-18 --locoid 4031 --swversion DE.1.0.8.0 --startMP 204:1020 --initTime 2016-11-18T06:12:49 --startdatetime 2016-11-18T06:21:46 --delay 1 --endMP 300:58931 --enddatetime 2016-11-18T06:34:33 --enforcementcount 0 &gt;&gt;C:\Users\stu\Documents\GitHub\eaglep3-reporting\EC\2016-11-18-refined-times.txt</v>
      </c>
      <c r="AI160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{"issue":{"subject":"","project_id":79,"tracker_id":40,"status_id":1,"priority_id":2,"assigned_to_id":23,"start_date":"2016-11-18","description":"","custom_fields":[{"id":1,"name":"Subdivision","value":"NW"},{"id":4,"name":"Milepost","value":"5.8931"},{"id":17,"name":"Train ID","value":"803-18"},{"id":16,"name":"Locomotive ID","value":"4031"},{"id":130,"name":"Impact","value":""},{"id":150,"name":"Time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493</v>
      </c>
      <c r="B161" s="7">
        <v>4032</v>
      </c>
      <c r="C161" s="22" t="s">
        <v>218</v>
      </c>
      <c r="D161" s="22" t="s">
        <v>425</v>
      </c>
      <c r="E161" s="13">
        <v>42692.27584490741</v>
      </c>
      <c r="F161" s="13">
        <v>42692.278078703705</v>
      </c>
      <c r="G161" s="7">
        <v>1</v>
      </c>
      <c r="H161" s="22" t="s">
        <v>754</v>
      </c>
      <c r="I161" s="13">
        <v>42692.288414351853</v>
      </c>
      <c r="J161" s="7">
        <v>0</v>
      </c>
      <c r="K161" s="109" t="str">
        <f t="shared" si="35"/>
        <v>4031/4032</v>
      </c>
      <c r="L161" s="22" t="str">
        <f>VLOOKUP(A161,'Trips&amp;Operators'!$C$1:$E$10000,3,FALSE)</f>
        <v>MAGEE</v>
      </c>
      <c r="M161" s="6">
        <f t="shared" si="36"/>
        <v>1.0335648148611654E-2</v>
      </c>
      <c r="N161" s="7">
        <f t="shared" si="37"/>
        <v>14.883333334000781</v>
      </c>
      <c r="O161" s="7"/>
      <c r="P161" s="7"/>
      <c r="Q161" s="23"/>
      <c r="R161" s="23"/>
      <c r="S161" s="35">
        <f t="shared" si="38"/>
        <v>1</v>
      </c>
      <c r="T161" s="50" t="str">
        <f t="shared" si="39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05:37:13-700',mode:absolute,to:'2016-11-18 07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1" s="52" t="str">
        <f t="shared" si="41"/>
        <v>N</v>
      </c>
      <c r="X161" s="177">
        <f t="shared" si="42"/>
        <v>1</v>
      </c>
      <c r="Y161" s="67">
        <f t="shared" si="43"/>
        <v>5.8620999999999999</v>
      </c>
      <c r="Z161" s="67">
        <f t="shared" si="44"/>
        <v>7.3300000000000004E-2</v>
      </c>
      <c r="AA161" s="67">
        <f t="shared" si="45"/>
        <v>5.7888000000000002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6"/>
        <v>0804-18</v>
      </c>
      <c r="AE161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61" s="88" t="str">
        <f t="shared" si="48"/>
        <v>"C:\Program Files (x86)\AstroGrep\AstroGrep.exe" /spath="%USERPROFILE%\AppData\Local\Temp\OnboardLogs" /stypes="app*4032*20161118*" /stext=" 13:.+((SYSTEM_STATE.+slice.+state.+changed )|(ment ac)|(system.+state.+changed )|(\[timeout)|(PRM\|1\|D)|(kpr)|(kdp)|(\|lc)|(penalty))" /e /r /s</v>
      </c>
      <c r="AG161" s="1" t="str">
        <f t="shared" si="49"/>
        <v>NW</v>
      </c>
      <c r="AH161" s="92" t="str">
        <f t="shared" si="50"/>
        <v>"%USERPROFILE%\Documents\GitHub\eaglep3\Utilities\RefineRTDCRunTimes.py" --tripid 804-18 --locoid 4032 --swversion DE.1.0.8.0 --startMP 300:58621 --initTime 2016-11-18T06:37:13 --startdatetime 2016-11-18T06:40:26 --delay 1 --endMP 204:733 --enddatetime 2016-11-18T06:55:19 --enforcementcount 0 &gt;&gt;C:\Users\stu\Documents\GitHub\eaglep3-reporting\EC\2016-11-18-refined-times.txt</v>
      </c>
      <c r="AI161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{"issue":{"subject":"","project_id":79,"tracker_id":40,"status_id":1,"priority_id":2,"assigned_to_id":23,"start_date":"2016-11-18","description":"","custom_fields":[{"id":1,"name":"Subdivision","value":"NW"},{"id":4,"name":"Milepost","value":"0.0733"},{"id":17,"name":"Train ID","value":"804-18"},{"id":16,"name":"Locomotive ID","value":"4032"},{"id":130,"name":"Impact","value":""},{"id":150,"name":"Time of Event (Mountain Time)","value":"06:55:19"},{"id":151,"name":"Denver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438</v>
      </c>
      <c r="B162" s="7">
        <v>4007</v>
      </c>
      <c r="C162" s="22" t="s">
        <v>218</v>
      </c>
      <c r="D162" s="22" t="s">
        <v>755</v>
      </c>
      <c r="E162" s="13">
        <v>42692.271157407406</v>
      </c>
      <c r="F162" s="13">
        <v>42692.285671296297</v>
      </c>
      <c r="G162" s="7">
        <v>1</v>
      </c>
      <c r="H162" s="22" t="s">
        <v>756</v>
      </c>
      <c r="I162" s="13">
        <v>42692.295648148145</v>
      </c>
      <c r="J162" s="7">
        <v>0</v>
      </c>
      <c r="K162" s="109" t="str">
        <f t="shared" si="35"/>
        <v>4007/4008</v>
      </c>
      <c r="L162" s="22" t="str">
        <f>VLOOKUP(A162,'Trips&amp;Operators'!$C$1:$E$10000,3,FALSE)</f>
        <v>STRICKLAND</v>
      </c>
      <c r="M162" s="6">
        <f t="shared" si="36"/>
        <v>9.9768518484779634E-3</v>
      </c>
      <c r="N162" s="7">
        <f t="shared" si="37"/>
        <v>14.366666661808267</v>
      </c>
      <c r="O162" s="7"/>
      <c r="P162" s="7"/>
      <c r="Q162" s="23"/>
      <c r="R162" s="23"/>
      <c r="S162" s="35">
        <f t="shared" si="38"/>
        <v>1</v>
      </c>
      <c r="T162" s="50" t="str">
        <f t="shared" si="39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05:30:28-700',mode:absolute,to:'2016-11-18 08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2" s="52" t="str">
        <f t="shared" si="41"/>
        <v>N</v>
      </c>
      <c r="X162" s="177">
        <f t="shared" si="42"/>
        <v>1</v>
      </c>
      <c r="Y162" s="67">
        <f t="shared" si="43"/>
        <v>0.1027</v>
      </c>
      <c r="Z162" s="67">
        <f t="shared" si="44"/>
        <v>5.8933</v>
      </c>
      <c r="AA162" s="67">
        <f t="shared" si="45"/>
        <v>5.7906000000000004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6"/>
        <v>0805-18</v>
      </c>
      <c r="AE162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62" s="88" t="str">
        <f t="shared" si="48"/>
        <v>"C:\Program Files (x86)\AstroGrep\AstroGrep.exe" /spath="%USERPROFILE%\AppData\Local\Temp\OnboardLogs" /stypes="app*4007*20161118*" /stext=" 14:.+((SYSTEM_STATE.+slice.+state.+changed )|(ment ac)|(system.+state.+changed )|(\[timeout)|(PRM\|1\|D)|(kpr)|(kdp)|(\|lc)|(penalty))" /e /r /s</v>
      </c>
      <c r="AG162" s="1" t="str">
        <f t="shared" si="49"/>
        <v>NW</v>
      </c>
      <c r="AH162" s="92" t="str">
        <f t="shared" si="50"/>
        <v>"%USERPROFILE%\Documents\GitHub\eaglep3\Utilities\RefineRTDCRunTimes.py" --tripid 805-18 --locoid 4007 --swversion DE.1.0.8.0 --startMP 204:1027 --initTime 2016-11-18T06:30:28 --startdatetime 2016-11-18T06:51:22 --delay 1 --endMP 300:58933 --enddatetime 2016-11-18T07:05:44 --enforcementcount 0 &gt;&gt;C:\Users\stu\Documents\GitHub\eaglep3-reporting\EC\2016-11-18-refined-times.txt</v>
      </c>
      <c r="AI162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{"issue":{"subject":"","project_id":79,"tracker_id":40,"status_id":1,"priority_id":2,"assigned_to_id":23,"start_date":"2016-11-18","description":"","custom_fields":[{"id":1,"name":"Subdivision","value":"NW"},{"id":4,"name":"Milepost","value":"5.8933"},{"id":17,"name":"Train ID","value":"805-18"},{"id":16,"name":"Locomotive ID","value":"4007"},{"id":130,"name":"Impact","value":""},{"id":150,"name":"Time of Event (Mountain Time)","value":"07:05:44"},{"id":151,"name":"Denver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500</v>
      </c>
      <c r="B163" s="7">
        <v>4008</v>
      </c>
      <c r="C163" s="22" t="s">
        <v>218</v>
      </c>
      <c r="D163" s="22" t="s">
        <v>367</v>
      </c>
      <c r="E163" s="13">
        <v>42692.296643518515</v>
      </c>
      <c r="F163" s="13">
        <v>42692.298194444447</v>
      </c>
      <c r="G163" s="7">
        <v>1</v>
      </c>
      <c r="H163" s="22" t="s">
        <v>757</v>
      </c>
      <c r="I163" s="13">
        <v>42692.310358796298</v>
      </c>
      <c r="J163" s="7">
        <v>0</v>
      </c>
      <c r="K163" s="109" t="str">
        <f t="shared" si="35"/>
        <v>4007/4008</v>
      </c>
      <c r="L163" s="22" t="str">
        <f>VLOOKUP(A163,'Trips&amp;Operators'!$C$1:$E$10000,3,FALSE)</f>
        <v>STRICKLAND</v>
      </c>
      <c r="M163" s="6">
        <f t="shared" si="36"/>
        <v>1.2164351850515231E-2</v>
      </c>
      <c r="N163" s="7">
        <f t="shared" si="37"/>
        <v>17.516666664741933</v>
      </c>
      <c r="O163" s="7"/>
      <c r="P163" s="7"/>
      <c r="Q163" s="23"/>
      <c r="R163" s="23"/>
      <c r="S163" s="35">
        <f t="shared" si="38"/>
        <v>1</v>
      </c>
      <c r="T163" s="50" t="str">
        <f t="shared" si="39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06:07:10-700',mode:absolute,to:'2016-11-18 08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3" s="52" t="str">
        <f t="shared" si="41"/>
        <v>N</v>
      </c>
      <c r="X163" s="177">
        <f t="shared" si="42"/>
        <v>1</v>
      </c>
      <c r="Y163" s="67">
        <f t="shared" si="43"/>
        <v>5.8624000000000001</v>
      </c>
      <c r="Z163" s="67">
        <f t="shared" si="44"/>
        <v>7.5499999999999998E-2</v>
      </c>
      <c r="AA163" s="67">
        <f t="shared" si="45"/>
        <v>5.7869000000000002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6"/>
        <v>0806-18</v>
      </c>
      <c r="AE163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63" s="88" t="str">
        <f t="shared" si="48"/>
        <v>"C:\Program Files (x86)\AstroGrep\AstroGrep.exe" /spath="%USERPROFILE%\AppData\Local\Temp\OnboardLogs" /stypes="app*4008*20161118*" /stext=" 14:.+((SYSTEM_STATE.+slice.+state.+changed )|(ment ac)|(system.+state.+changed )|(\[timeout)|(PRM\|1\|D)|(kpr)|(kdp)|(\|lc)|(penalty))" /e /r /s</v>
      </c>
      <c r="AG163" s="1" t="str">
        <f t="shared" si="49"/>
        <v>NW</v>
      </c>
      <c r="AH163" s="92" t="str">
        <f t="shared" si="50"/>
        <v>"%USERPROFILE%\Documents\GitHub\eaglep3\Utilities\RefineRTDCRunTimes.py" --tripid 806-18 --locoid 4008 --swversion DE.1.0.8.0 --startMP 300:58624 --initTime 2016-11-18T07:07:10 --startdatetime 2016-11-18T07:09:24 --delay 1 --endMP 204:755 --enddatetime 2016-11-18T07:26:55 --enforcementcount 0 &gt;&gt;C:\Users\stu\Documents\GitHub\eaglep3-reporting\EC\2016-11-18-refined-times.txt</v>
      </c>
      <c r="AI163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{"issue":{"subject":"","project_id":79,"tracker_id":40,"status_id":1,"priority_id":2,"assigned_to_id":23,"start_date":"2016-11-18","description":"","custom_fields":[{"id":1,"name":"Subdivision","value":"NW"},{"id":4,"name":"Milepost","value":"0.0755"},{"id":17,"name":"Train ID","value":"806-18"},{"id":16,"name":"Locomotive ID","value":"4008"},{"id":130,"name":"Impact","value":""},{"id":150,"name":"Time of Event (Mountain Time)","value":"07:26:55"},{"id":151,"name":"Denver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499</v>
      </c>
      <c r="B164" s="7">
        <v>4031</v>
      </c>
      <c r="C164" s="22" t="s">
        <v>218</v>
      </c>
      <c r="D164" s="22" t="s">
        <v>423</v>
      </c>
      <c r="E164" s="13">
        <v>42692.291122685187</v>
      </c>
      <c r="F164" s="13">
        <v>42692.306504629632</v>
      </c>
      <c r="G164" s="7">
        <v>3</v>
      </c>
      <c r="H164" s="22" t="s">
        <v>427</v>
      </c>
      <c r="I164" s="13">
        <v>42692.315740740742</v>
      </c>
      <c r="J164" s="7">
        <v>0</v>
      </c>
      <c r="K164" s="109" t="str">
        <f t="shared" si="35"/>
        <v>4031/4032</v>
      </c>
      <c r="L164" s="22" t="str">
        <f>VLOOKUP(A164,'Trips&amp;Operators'!$C$1:$E$10000,3,FALSE)</f>
        <v>MAGEE</v>
      </c>
      <c r="M164" s="6">
        <f t="shared" si="36"/>
        <v>9.2361111092031933E-3</v>
      </c>
      <c r="N164" s="7">
        <f t="shared" si="37"/>
        <v>13.299999997252598</v>
      </c>
      <c r="O164" s="7"/>
      <c r="P164" s="7"/>
      <c r="Q164" s="23"/>
      <c r="R164" s="23"/>
      <c r="S164" s="35">
        <f t="shared" si="38"/>
        <v>1</v>
      </c>
      <c r="T164" s="50" t="str">
        <f t="shared" si="39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05:59:13-700',mode:absolute,to:'2016-11-18 08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2" t="str">
        <f t="shared" si="41"/>
        <v>N</v>
      </c>
      <c r="X164" s="177">
        <f t="shared" si="42"/>
        <v>1</v>
      </c>
      <c r="Y164" s="67">
        <f t="shared" si="43"/>
        <v>0.1021</v>
      </c>
      <c r="Z164" s="67">
        <f t="shared" si="44"/>
        <v>5.8928000000000003</v>
      </c>
      <c r="AA164" s="67">
        <f t="shared" si="45"/>
        <v>5.7907000000000002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6"/>
        <v>0807-18</v>
      </c>
      <c r="AE164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64" s="88" t="str">
        <f t="shared" si="48"/>
        <v>"C:\Program Files (x86)\AstroGrep\AstroGrep.exe" /spath="%USERPROFILE%\AppData\Local\Temp\OnboardLogs" /stypes="app*4031*20161118*" /stext=" 14:.+((SYSTEM_STATE.+slice.+state.+changed )|(ment ac)|(system.+state.+changed )|(\[timeout)|(PRM\|1\|D)|(kpr)|(kdp)|(\|lc)|(penalty))" /e /r /s</v>
      </c>
      <c r="AG164" s="1" t="str">
        <f t="shared" si="49"/>
        <v>NW</v>
      </c>
      <c r="AH164" s="92" t="str">
        <f t="shared" si="50"/>
        <v>"%USERPROFILE%\Documents\GitHub\eaglep3\Utilities\RefineRTDCRunTimes.py" --tripid 807-18 --locoid 4031 --swversion DE.1.0.8.0 --startMP 204:1021 --initTime 2016-11-18T06:59:13 --startdatetime 2016-11-18T07:21:22 --delay 3 --endMP 300:58928 --enddatetime 2016-11-18T07:34:40 --enforcementcount 0 &gt;&gt;C:\Users\stu\Documents\GitHub\eaglep3-reporting\EC\2016-11-18-refined-times.txt</v>
      </c>
      <c r="AI164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{"issue":{"subject":"","project_id":79,"tracker_id":40,"status_id":1,"priority_id":2,"assigned_to_id":23,"start_date":"2016-11-18","description":"","custom_fields":[{"id":1,"name":"Subdivision","value":"NW"},{"id":4,"name":"Milepost","value":"5.8928"},{"id":17,"name":"Train ID","value":"807-18"},{"id":16,"name":"Locomotive ID","value":"4031"},{"id":130,"name":"Impact","value":""},{"id":150,"name":"Time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503</v>
      </c>
      <c r="B165" s="7">
        <v>4032</v>
      </c>
      <c r="C165" s="22" t="s">
        <v>218</v>
      </c>
      <c r="D165" s="22" t="s">
        <v>758</v>
      </c>
      <c r="E165" s="13">
        <v>42692.31689814815</v>
      </c>
      <c r="F165" s="13">
        <v>42692.31925925926</v>
      </c>
      <c r="G165" s="7">
        <v>1</v>
      </c>
      <c r="H165" s="22" t="s">
        <v>344</v>
      </c>
      <c r="I165" s="13">
        <v>42692.33084490741</v>
      </c>
      <c r="J165" s="7">
        <v>0</v>
      </c>
      <c r="K165" s="109" t="str">
        <f t="shared" si="35"/>
        <v>4031/4032</v>
      </c>
      <c r="L165" s="22" t="str">
        <f>VLOOKUP(A165,'Trips&amp;Operators'!$C$1:$E$10000,3,FALSE)</f>
        <v>MAGEE</v>
      </c>
      <c r="M165" s="6">
        <f t="shared" si="36"/>
        <v>1.1585648149775807E-2</v>
      </c>
      <c r="N165" s="7">
        <f t="shared" si="37"/>
        <v>16.683333335677162</v>
      </c>
      <c r="O165" s="7"/>
      <c r="P165" s="7"/>
      <c r="Q165" s="23"/>
      <c r="R165" s="23"/>
      <c r="S165" s="35">
        <f t="shared" si="38"/>
        <v>1</v>
      </c>
      <c r="T165" s="50" t="str">
        <f t="shared" si="39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06:36:20-700',mode:absolute,to:'2016-11-18 08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2" t="str">
        <f t="shared" si="41"/>
        <v>N</v>
      </c>
      <c r="X165" s="177">
        <f t="shared" si="42"/>
        <v>1</v>
      </c>
      <c r="Y165" s="67">
        <f t="shared" si="43"/>
        <v>5.8611000000000004</v>
      </c>
      <c r="Z165" s="67">
        <f t="shared" si="44"/>
        <v>7.4099999999999999E-2</v>
      </c>
      <c r="AA165" s="67">
        <f t="shared" si="45"/>
        <v>5.7870000000000008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6"/>
        <v>0808-18</v>
      </c>
      <c r="AE165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65" s="88" t="str">
        <f t="shared" si="48"/>
        <v>"C:\Program Files (x86)\AstroGrep\AstroGrep.exe" /spath="%USERPROFILE%\AppData\Local\Temp\OnboardLogs" /stypes="app*4032*20161118*" /stext=" 14:.+((SYSTEM_STATE.+slice.+state.+changed )|(ment ac)|(system.+state.+changed )|(\[timeout)|(PRM\|1\|D)|(kpr)|(kdp)|(\|lc)|(penalty))" /e /r /s</v>
      </c>
      <c r="AG165" s="1" t="str">
        <f t="shared" si="49"/>
        <v>NW</v>
      </c>
      <c r="AH165" s="92" t="str">
        <f t="shared" si="50"/>
        <v>"%USERPROFILE%\Documents\GitHub\eaglep3\Utilities\RefineRTDCRunTimes.py" --tripid 808-18 --locoid 4032 --swversion DE.1.0.8.0 --startMP 300:58611 --initTime 2016-11-18T07:36:20 --startdatetime 2016-11-18T07:39:44 --delay 1 --endMP 204:741 --enddatetime 2016-11-18T07:56:25 --enforcementcount 0 &gt;&gt;C:\Users\stu\Documents\GitHub\eaglep3-reporting\EC\2016-11-18-refined-times.txt</v>
      </c>
      <c r="AI165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{"issue":{"subject":"","project_id":79,"tracker_id":40,"status_id":1,"priority_id":2,"assigned_to_id":23,"start_date":"2016-11-18","description":"","custom_fields":[{"id":1,"name":"Subdivision","value":"NW"},{"id":4,"name":"Milepost","value":"0.0741"},{"id":17,"name":"Train ID","value":"808-18"},{"id":16,"name":"Locomotive ID","value":"4032"},{"id":130,"name":"Impact","value":""},{"id":150,"name":"Time of Event (Mountain Time)","value":"07:56:25"},{"id":151,"name":"Denver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441</v>
      </c>
      <c r="B166" s="7">
        <v>4007</v>
      </c>
      <c r="C166" s="22" t="s">
        <v>218</v>
      </c>
      <c r="D166" s="22" t="s">
        <v>759</v>
      </c>
      <c r="E166" s="13">
        <v>42692.3121875</v>
      </c>
      <c r="F166" s="13">
        <v>42692.327314814815</v>
      </c>
      <c r="G166" s="7">
        <v>1</v>
      </c>
      <c r="H166" s="22" t="s">
        <v>287</v>
      </c>
      <c r="I166" s="13">
        <v>42692.337245370371</v>
      </c>
      <c r="J166" s="7">
        <v>0</v>
      </c>
      <c r="K166" s="109" t="str">
        <f t="shared" si="35"/>
        <v>4007/4008</v>
      </c>
      <c r="L166" s="22" t="str">
        <f>VLOOKUP(A166,'Trips&amp;Operators'!$C$1:$E$10000,3,FALSE)</f>
        <v>STRICKLAND</v>
      </c>
      <c r="M166" s="6">
        <f t="shared" si="36"/>
        <v>9.930555555911269E-3</v>
      </c>
      <c r="N166" s="7">
        <f t="shared" si="37"/>
        <v>14.300000000512227</v>
      </c>
      <c r="O166" s="7"/>
      <c r="P166" s="7"/>
      <c r="Q166" s="23"/>
      <c r="R166" s="23"/>
      <c r="S166" s="35">
        <f t="shared" si="38"/>
        <v>1</v>
      </c>
      <c r="T166" s="50" t="str">
        <f t="shared" si="39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06:29:33-700',mode:absolute,to:'2016-11-18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6" s="52" t="str">
        <f t="shared" si="41"/>
        <v>N</v>
      </c>
      <c r="X166" s="177">
        <f t="shared" si="42"/>
        <v>1</v>
      </c>
      <c r="Y166" s="67">
        <f t="shared" si="43"/>
        <v>0.1053</v>
      </c>
      <c r="Z166" s="67">
        <f t="shared" si="44"/>
        <v>5.8929</v>
      </c>
      <c r="AA166" s="67">
        <f t="shared" si="45"/>
        <v>5.7876000000000003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6"/>
        <v>0809-18</v>
      </c>
      <c r="AE166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66" s="88" t="str">
        <f t="shared" si="48"/>
        <v>"C:\Program Files (x86)\AstroGrep\AstroGrep.exe" /spath="%USERPROFILE%\AppData\Local\Temp\OnboardLogs" /stypes="app*4007*20161118*" /stext=" 15:.+((SYSTEM_STATE.+slice.+state.+changed )|(ment ac)|(system.+state.+changed )|(\[timeout)|(PRM\|1\|D)|(kpr)|(kdp)|(\|lc)|(penalty))" /e /r /s</v>
      </c>
      <c r="AG166" s="1" t="str">
        <f t="shared" si="49"/>
        <v>NW</v>
      </c>
      <c r="AH166" s="92" t="str">
        <f t="shared" si="50"/>
        <v>"%USERPROFILE%\Documents\GitHub\eaglep3\Utilities\RefineRTDCRunTimes.py" --tripid 809-18 --locoid 4007 --swversion DE.1.0.8.0 --startMP 204:1053 --initTime 2016-11-18T07:29:33 --startdatetime 2016-11-18T07:51:20 --delay 1 --endMP 300:58929 --enddatetime 2016-11-18T08:05:38 --enforcementcount 0 &gt;&gt;C:\Users\stu\Documents\GitHub\eaglep3-reporting\EC\2016-11-18-refined-times.txt</v>
      </c>
      <c r="AI166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{"issue":{"subject":"","project_id":79,"tracker_id":40,"status_id":1,"priority_id":2,"assigned_to_id":23,"start_date":"2016-11-18","description":"","custom_fields":[{"id":1,"name":"Subdivision","value":"NW"},{"id":4,"name":"Milepost","value":"5.8929"},{"id":17,"name":"Train ID","value":"809-18"},{"id":16,"name":"Locomotive ID","value":"4007"},{"id":130,"name":"Impact","value":""},{"id":150,"name":"Time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507</v>
      </c>
      <c r="B167" s="7">
        <v>4008</v>
      </c>
      <c r="C167" s="22" t="s">
        <v>218</v>
      </c>
      <c r="D167" s="22" t="s">
        <v>760</v>
      </c>
      <c r="E167" s="13">
        <v>42692.339097222219</v>
      </c>
      <c r="F167" s="13">
        <v>42692.340636574074</v>
      </c>
      <c r="G167" s="7">
        <v>1</v>
      </c>
      <c r="H167" s="22" t="s">
        <v>761</v>
      </c>
      <c r="I167" s="13">
        <v>42692.352546296293</v>
      </c>
      <c r="J167" s="7">
        <v>0</v>
      </c>
      <c r="K167" s="109" t="str">
        <f t="shared" si="35"/>
        <v>4007/4008</v>
      </c>
      <c r="L167" s="22" t="str">
        <f>VLOOKUP(A167,'Trips&amp;Operators'!$C$1:$E$10000,3,FALSE)</f>
        <v>STRICKLAND</v>
      </c>
      <c r="M167" s="6">
        <f t="shared" si="36"/>
        <v>1.190972221957054E-2</v>
      </c>
      <c r="N167" s="7">
        <f t="shared" si="37"/>
        <v>17.149999996181577</v>
      </c>
      <c r="O167" s="7"/>
      <c r="P167" s="7"/>
      <c r="Q167" s="23"/>
      <c r="R167" s="23"/>
      <c r="S167" s="35">
        <f t="shared" si="38"/>
        <v>1</v>
      </c>
      <c r="T167" s="50" t="str">
        <f t="shared" si="39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07:08:18-700',mode:absolute,to:'2016-11-18 09:27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7" s="52" t="str">
        <f t="shared" si="41"/>
        <v>N</v>
      </c>
      <c r="X167" s="177">
        <f t="shared" si="42"/>
        <v>1</v>
      </c>
      <c r="Y167" s="67">
        <f t="shared" si="43"/>
        <v>5.8601999999999999</v>
      </c>
      <c r="Z167" s="67">
        <f t="shared" si="44"/>
        <v>7.9399999999999998E-2</v>
      </c>
      <c r="AA167" s="67">
        <f t="shared" si="45"/>
        <v>5.7808000000000002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6"/>
        <v>0810-18</v>
      </c>
      <c r="AE167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67" s="88" t="str">
        <f t="shared" si="48"/>
        <v>"C:\Program Files (x86)\AstroGrep\AstroGrep.exe" /spath="%USERPROFILE%\AppData\Local\Temp\OnboardLogs" /stypes="app*4008*20161118*" /stext=" 15:.+((SYSTEM_STATE.+slice.+state.+changed )|(ment ac)|(system.+state.+changed )|(\[timeout)|(PRM\|1\|D)|(kpr)|(kdp)|(\|lc)|(penalty))" /e /r /s</v>
      </c>
      <c r="AG167" s="1" t="str">
        <f t="shared" si="49"/>
        <v>NW</v>
      </c>
      <c r="AH167" s="92" t="str">
        <f t="shared" si="50"/>
        <v>"%USERPROFILE%\Documents\GitHub\eaglep3\Utilities\RefineRTDCRunTimes.py" --tripid 810-18 --locoid 4008 --swversion DE.1.0.8.0 --startMP 300:58602 --initTime 2016-11-18T08:08:18 --startdatetime 2016-11-18T08:10:31 --delay 1 --endMP 204:794 --enddatetime 2016-11-18T08:27:40 --enforcementcount 0 &gt;&gt;C:\Users\stu\Documents\GitHub\eaglep3-reporting\EC\2016-11-18-refined-times.txt</v>
      </c>
      <c r="AI167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{"issue":{"subject":"","project_id":79,"tracker_id":40,"status_id":1,"priority_id":2,"assigned_to_id":23,"start_date":"2016-11-18","description":"","custom_fields":[{"id":1,"name":"Subdivision","value":"NW"},{"id":4,"name":"Milepost","value":"0.0794"},{"id":17,"name":"Train ID","value":"810-18"},{"id":16,"name":"Locomotive ID","value":"4008"},{"id":130,"name":"Impact","value":""},{"id":150,"name":"Time of Event (Mountain Time)","value":"08:27:40"},{"id":151,"name":"Denver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508</v>
      </c>
      <c r="B168" s="7">
        <v>4031</v>
      </c>
      <c r="C168" s="22" t="s">
        <v>218</v>
      </c>
      <c r="D168" s="22" t="s">
        <v>755</v>
      </c>
      <c r="E168" s="13">
        <v>42692.339942129627</v>
      </c>
      <c r="F168" s="13">
        <v>42692.348310185182</v>
      </c>
      <c r="G168" s="7">
        <v>1</v>
      </c>
      <c r="H168" s="22" t="s">
        <v>287</v>
      </c>
      <c r="I168" s="13">
        <v>42692.357233796298</v>
      </c>
      <c r="J168" s="7">
        <v>0</v>
      </c>
      <c r="K168" s="109" t="str">
        <f t="shared" si="35"/>
        <v>4031/4032</v>
      </c>
      <c r="L168" s="22" t="str">
        <f>VLOOKUP(A168,'Trips&amp;Operators'!$C$1:$E$10000,3,FALSE)</f>
        <v>MAGEE</v>
      </c>
      <c r="M168" s="6">
        <f t="shared" si="36"/>
        <v>8.9236111161881126E-3</v>
      </c>
      <c r="N168" s="7">
        <f t="shared" si="37"/>
        <v>12.850000007310882</v>
      </c>
      <c r="O168" s="7"/>
      <c r="P168" s="7"/>
      <c r="Q168" s="23"/>
      <c r="R168" s="23"/>
      <c r="S168" s="35">
        <f t="shared" si="38"/>
        <v>1</v>
      </c>
      <c r="T168" s="50" t="str">
        <f t="shared" si="39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07:09:31-700',mode:absolute,to:'2016-11-18 09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2" t="str">
        <f t="shared" si="41"/>
        <v>N</v>
      </c>
      <c r="X168" s="177">
        <f t="shared" si="42"/>
        <v>1</v>
      </c>
      <c r="Y168" s="67">
        <f t="shared" si="43"/>
        <v>0.1027</v>
      </c>
      <c r="Z168" s="67">
        <f t="shared" si="44"/>
        <v>5.8929</v>
      </c>
      <c r="AA168" s="67">
        <f t="shared" si="45"/>
        <v>5.7902000000000005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6"/>
        <v>0811-18</v>
      </c>
      <c r="AE168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68" s="88" t="str">
        <f t="shared" si="48"/>
        <v>"C:\Program Files (x86)\AstroGrep\AstroGrep.exe" /spath="%USERPROFILE%\AppData\Local\Temp\OnboardLogs" /stypes="app*4031*20161118*" /stext=" 15:.+((SYSTEM_STATE.+slice.+state.+changed )|(ment ac)|(system.+state.+changed )|(\[timeout)|(PRM\|1\|D)|(kpr)|(kdp)|(\|lc)|(penalty))" /e /r /s</v>
      </c>
      <c r="AG168" s="1" t="str">
        <f t="shared" si="49"/>
        <v>NW</v>
      </c>
      <c r="AH168" s="92" t="str">
        <f t="shared" si="50"/>
        <v>"%USERPROFILE%\Documents\GitHub\eaglep3\Utilities\RefineRTDCRunTimes.py" --tripid 811-18 --locoid 4031 --swversion DE.1.0.8.0 --startMP 204:1027 --initTime 2016-11-18T08:09:31 --startdatetime 2016-11-18T08:21:34 --delay 1 --endMP 300:58929 --enddatetime 2016-11-18T08:34:25 --enforcementcount 0 &gt;&gt;C:\Users\stu\Documents\GitHub\eaglep3-reporting\EC\2016-11-18-refined-times.txt</v>
      </c>
      <c r="AI168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{"issue":{"subject":"","project_id":79,"tracker_id":40,"status_id":1,"priority_id":2,"assigned_to_id":23,"start_date":"2016-11-18","description":"","custom_fields":[{"id":1,"name":"Subdivision","value":"NW"},{"id":4,"name":"Milepost","value":"5.8929"},{"id":17,"name":"Train ID","value":"811-18"},{"id":16,"name":"Locomotive ID","value":"4031"},{"id":130,"name":"Impact","value":""},{"id":150,"name":"Time of Event (Mountain Time)","value":"08:34:25"},{"id":151,"name":"Denver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514</v>
      </c>
      <c r="B169" s="7">
        <v>4032</v>
      </c>
      <c r="C169" s="22" t="s">
        <v>218</v>
      </c>
      <c r="D169" s="22" t="s">
        <v>758</v>
      </c>
      <c r="E169" s="13">
        <v>42692.358726851853</v>
      </c>
      <c r="F169" s="13">
        <v>42692.360671296294</v>
      </c>
      <c r="G169" s="7">
        <v>1</v>
      </c>
      <c r="H169" s="22" t="s">
        <v>750</v>
      </c>
      <c r="I169" s="13">
        <v>42692.371967592589</v>
      </c>
      <c r="J169" s="7">
        <v>0</v>
      </c>
      <c r="K169" s="109" t="str">
        <f t="shared" si="35"/>
        <v>4031/4032</v>
      </c>
      <c r="L169" s="22" t="str">
        <f>VLOOKUP(A169,'Trips&amp;Operators'!$C$1:$E$10000,3,FALSE)</f>
        <v>MAGEE</v>
      </c>
      <c r="M169" s="6">
        <f t="shared" si="36"/>
        <v>1.1296296295768116E-2</v>
      </c>
      <c r="N169" s="7">
        <f t="shared" si="37"/>
        <v>16.266666665906087</v>
      </c>
      <c r="O169" s="7"/>
      <c r="P169" s="7"/>
      <c r="Q169" s="23"/>
      <c r="R169" s="23"/>
      <c r="S169" s="35">
        <f t="shared" si="38"/>
        <v>1</v>
      </c>
      <c r="T169" s="50" t="str">
        <f t="shared" si="39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07:36:34-700',mode:absolute,to:'2016-11-18 09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41"/>
        <v>N</v>
      </c>
      <c r="X169" s="177">
        <f t="shared" si="42"/>
        <v>1</v>
      </c>
      <c r="Y169" s="67">
        <f t="shared" si="43"/>
        <v>5.8611000000000004</v>
      </c>
      <c r="Z169" s="67">
        <f t="shared" si="44"/>
        <v>7.3999999999999996E-2</v>
      </c>
      <c r="AA169" s="67">
        <f t="shared" si="45"/>
        <v>5.7871000000000006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6"/>
        <v>0812-18</v>
      </c>
      <c r="AE169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69" s="88" t="str">
        <f t="shared" si="48"/>
        <v>"C:\Program Files (x86)\AstroGrep\AstroGrep.exe" /spath="%USERPROFILE%\AppData\Local\Temp\OnboardLogs" /stypes="app*4032*20161118*" /stext=" 15:.+((SYSTEM_STATE.+slice.+state.+changed )|(ment ac)|(system.+state.+changed )|(\[timeout)|(PRM\|1\|D)|(kpr)|(kdp)|(\|lc)|(penalty))" /e /r /s</v>
      </c>
      <c r="AG169" s="1" t="str">
        <f t="shared" si="49"/>
        <v>NW</v>
      </c>
      <c r="AH169" s="92" t="str">
        <f t="shared" si="50"/>
        <v>"%USERPROFILE%\Documents\GitHub\eaglep3\Utilities\RefineRTDCRunTimes.py" --tripid 812-18 --locoid 4032 --swversion DE.1.0.8.0 --startMP 300:58611 --initTime 2016-11-18T08:36:34 --startdatetime 2016-11-18T08:39:22 --delay 1 --endMP 204:740 --enddatetime 2016-11-18T08:55:38 --enforcementcount 0 &gt;&gt;C:\Users\stu\Documents\GitHub\eaglep3-reporting\EC\2016-11-18-refined-times.txt</v>
      </c>
      <c r="AI169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{"issue":{"subject":"","project_id":79,"tracker_id":40,"status_id":1,"priority_id":2,"assigned_to_id":23,"start_date":"2016-11-18","description":"","custom_fields":[{"id":1,"name":"Subdivision","value":"NW"},{"id":4,"name":"Milepost","value":"0.074"},{"id":17,"name":"Train ID","value":"812-18"},{"id":16,"name":"Locomotive ID","value":"4032"},{"id":130,"name":"Impact","value":""},{"id":150,"name":"Time of Event (Mountain Time)","value":"08:55:38"},{"id":151,"name":"Denver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444</v>
      </c>
      <c r="B170" s="7">
        <v>4031</v>
      </c>
      <c r="C170" s="22" t="s">
        <v>218</v>
      </c>
      <c r="D170" s="22" t="s">
        <v>762</v>
      </c>
      <c r="E170" s="13">
        <v>42692.374155092592</v>
      </c>
      <c r="F170" s="13">
        <v>42692.389837962961</v>
      </c>
      <c r="G170" s="7">
        <v>21</v>
      </c>
      <c r="H170" s="22" t="s">
        <v>756</v>
      </c>
      <c r="I170" s="13">
        <v>42692.402662037035</v>
      </c>
      <c r="J170" s="7">
        <v>0</v>
      </c>
      <c r="K170" s="109" t="str">
        <f t="shared" si="35"/>
        <v>4031/4032</v>
      </c>
      <c r="L170" s="22" t="str">
        <f>VLOOKUP(A170,'Trips&amp;Operators'!$C$1:$E$10000,3,FALSE)</f>
        <v>MAGEE</v>
      </c>
      <c r="M170" s="6">
        <f t="shared" si="36"/>
        <v>1.2824074074160308E-2</v>
      </c>
      <c r="N170" s="7">
        <f t="shared" si="37"/>
        <v>18.466666666790843</v>
      </c>
      <c r="O170" s="7"/>
      <c r="P170" s="7"/>
      <c r="Q170" s="23"/>
      <c r="R170" s="23"/>
      <c r="S170" s="35">
        <f t="shared" si="38"/>
        <v>1</v>
      </c>
      <c r="T170" s="50" t="str">
        <f t="shared" si="39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07:58:47-700',mode:absolute,to:'2016-11-18 10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41"/>
        <v>N</v>
      </c>
      <c r="X170" s="177">
        <f t="shared" si="42"/>
        <v>1</v>
      </c>
      <c r="Y170" s="67">
        <f t="shared" si="43"/>
        <v>0.10340000000000001</v>
      </c>
      <c r="Z170" s="67">
        <f t="shared" si="44"/>
        <v>5.8933</v>
      </c>
      <c r="AA170" s="67">
        <f t="shared" si="45"/>
        <v>5.7899000000000003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6"/>
        <v>0813-18</v>
      </c>
      <c r="AE170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70" s="88" t="str">
        <f t="shared" si="48"/>
        <v>"C:\Program Files (x86)\AstroGrep\AstroGrep.exe" /spath="%USERPROFILE%\AppData\Local\Temp\OnboardLogs" /stypes="app*4031*20161118*" /stext=" 16:.+((SYSTEM_STATE.+slice.+state.+changed )|(ment ac)|(system.+state.+changed )|(\[timeout)|(PRM\|1\|D)|(kpr)|(kdp)|(\|lc)|(penalty))" /e /r /s</v>
      </c>
      <c r="AG170" s="1" t="str">
        <f t="shared" si="49"/>
        <v>NW</v>
      </c>
      <c r="AH170" s="92" t="str">
        <f t="shared" si="50"/>
        <v>"%USERPROFILE%\Documents\GitHub\eaglep3\Utilities\RefineRTDCRunTimes.py" --tripid 813-18 --locoid 4031 --swversion DE.1.0.8.0 --startMP 204:1034 --initTime 2016-11-18T08:58:47 --startdatetime 2016-11-18T09:21:22 --delay 21 --endMP 300:58933 --enddatetime 2016-11-18T09:39:50 --enforcementcount 0 &gt;&gt;C:\Users\stu\Documents\GitHub\eaglep3-reporting\EC\2016-11-18-refined-times.txt</v>
      </c>
      <c r="AI170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{"issue":{"subject":"","project_id":79,"tracker_id":40,"status_id":1,"priority_id":2,"assigned_to_id":23,"start_date":"2016-11-18","description":"","custom_fields":[{"id":1,"name":"Subdivision","value":"NW"},{"id":4,"name":"Milepost","value":"5.8933"},{"id":17,"name":"Train ID","value":"813-18"},{"id":16,"name":"Locomotive ID","value":"4031"},{"id":130,"name":"Impact","value":""},{"id":150,"name":"Time of Event (Mountain Time)","value":"09:39:50"},{"id":151,"name":"Denver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4032</v>
      </c>
      <c r="C171" s="22" t="s">
        <v>218</v>
      </c>
      <c r="D171" s="22" t="s">
        <v>763</v>
      </c>
      <c r="E171" s="13">
        <v>42692.404675925929</v>
      </c>
      <c r="F171" s="13">
        <v>42692.405856481484</v>
      </c>
      <c r="G171" s="7">
        <v>1</v>
      </c>
      <c r="H171" s="22" t="s">
        <v>659</v>
      </c>
      <c r="I171" s="13">
        <v>42692.415092592593</v>
      </c>
      <c r="J171" s="7">
        <v>0</v>
      </c>
      <c r="K171" s="109" t="str">
        <f t="shared" si="35"/>
        <v>4031/4032</v>
      </c>
      <c r="L171" s="22" t="str">
        <f>VLOOKUP(A171,'Trips&amp;Operators'!$C$1:$E$10000,3,FALSE)</f>
        <v>MAGEE</v>
      </c>
      <c r="M171" s="6">
        <f t="shared" si="36"/>
        <v>9.2361111092031933E-3</v>
      </c>
      <c r="N171" s="7">
        <f t="shared" si="37"/>
        <v>13.299999997252598</v>
      </c>
      <c r="O171" s="7"/>
      <c r="P171" s="7"/>
      <c r="Q171" s="23"/>
      <c r="R171" s="23"/>
      <c r="S171" s="35">
        <f t="shared" si="38"/>
        <v>1</v>
      </c>
      <c r="T171" s="50" t="str">
        <f t="shared" si="39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08:42:44-700',mode:absolute,to:'2016-11-18 10:57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41"/>
        <v>N</v>
      </c>
      <c r="X171" s="177">
        <f t="shared" si="42"/>
        <v>1</v>
      </c>
      <c r="Y171" s="67">
        <f t="shared" si="43"/>
        <v>5.8605999999999998</v>
      </c>
      <c r="Z171" s="67">
        <f t="shared" si="44"/>
        <v>7.7499999999999999E-2</v>
      </c>
      <c r="AA171" s="67">
        <f t="shared" si="45"/>
        <v>5.7831000000000001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6"/>
        <v>0814-18</v>
      </c>
      <c r="AE171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71" s="88" t="str">
        <f t="shared" si="48"/>
        <v>"C:\Program Files (x86)\AstroGrep\AstroGrep.exe" /spath="%USERPROFILE%\AppData\Local\Temp\OnboardLogs" /stypes="app*4032*20161118*" /stext=" 16:.+((SYSTEM_STATE.+slice.+state.+changed )|(ment ac)|(system.+state.+changed )|(\[timeout)|(PRM\|1\|D)|(kpr)|(kdp)|(\|lc)|(penalty))" /e /r /s</v>
      </c>
      <c r="AG171" s="1" t="str">
        <f t="shared" si="49"/>
        <v>NW</v>
      </c>
      <c r="AH171" s="92" t="str">
        <f t="shared" si="50"/>
        <v>"%USERPROFILE%\Documents\GitHub\eaglep3\Utilities\RefineRTDCRunTimes.py" --tripid 814-18 --locoid 4032 --swversion DE.1.0.8.0 --startMP 300:58606 --initTime 2016-11-18T09:42:44 --startdatetime 2016-11-18T09:44:26 --delay 1 --endMP 204:775 --enddatetime 2016-11-18T09:57:44 --enforcementcount 0 &gt;&gt;C:\Users\stu\Documents\GitHub\eaglep3-reporting\EC\2016-11-18-refined-times.txt</v>
      </c>
      <c r="AI171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{"issue":{"subject":"","project_id":79,"tracker_id":40,"status_id":1,"priority_id":2,"assigned_to_id":23,"start_date":"2016-11-18","description":"","custom_fields":[{"id":1,"name":"Subdivision","value":"NW"},{"id":4,"name":"Milepost","value":"0.0775"},{"id":17,"name":"Train ID","value":"814-18"},{"id":16,"name":"Locomotive ID","value":"4032"},{"id":130,"name":"Impact","value":""},{"id":150,"name":"Time of Event (Mountain Time)","value":"09:57:44"},{"id":151,"name":"Denver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4031</v>
      </c>
      <c r="C172" s="22" t="s">
        <v>218</v>
      </c>
      <c r="D172" s="22" t="s">
        <v>362</v>
      </c>
      <c r="E172" s="13">
        <v>42692.416724537034</v>
      </c>
      <c r="F172" s="13">
        <v>42692.431851851848</v>
      </c>
      <c r="G172" s="7">
        <v>1</v>
      </c>
      <c r="H172" s="22" t="s">
        <v>764</v>
      </c>
      <c r="I172" s="13">
        <v>42692.440729166665</v>
      </c>
      <c r="J172" s="7">
        <v>0</v>
      </c>
      <c r="K172" s="109" t="str">
        <f t="shared" si="35"/>
        <v>4031/4032</v>
      </c>
      <c r="L172" s="22" t="str">
        <f>VLOOKUP(A172,'Trips&amp;Operators'!$C$1:$E$10000,3,FALSE)</f>
        <v>MAGEE</v>
      </c>
      <c r="M172" s="6">
        <f t="shared" si="36"/>
        <v>8.8773148163454607E-3</v>
      </c>
      <c r="N172" s="7">
        <f t="shared" si="37"/>
        <v>12.783333335537463</v>
      </c>
      <c r="O172" s="7"/>
      <c r="P172" s="7"/>
      <c r="Q172" s="23"/>
      <c r="R172" s="23"/>
      <c r="S172" s="35">
        <f t="shared" si="38"/>
        <v>1</v>
      </c>
      <c r="T172" s="50" t="str">
        <f t="shared" si="39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09:00:05-700',mode:absolute,to:'2016-11-18 11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41"/>
        <v>N</v>
      </c>
      <c r="X172" s="177">
        <f t="shared" si="42"/>
        <v>1</v>
      </c>
      <c r="Y172" s="67">
        <f t="shared" si="43"/>
        <v>0.10489999999999999</v>
      </c>
      <c r="Z172" s="67">
        <f t="shared" si="44"/>
        <v>5.8921999999999999</v>
      </c>
      <c r="AA172" s="67">
        <f t="shared" si="45"/>
        <v>5.7873000000000001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6"/>
        <v>0815-18</v>
      </c>
      <c r="AE172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72" s="88" t="str">
        <f t="shared" si="48"/>
        <v>"C:\Program Files (x86)\AstroGrep\AstroGrep.exe" /spath="%USERPROFILE%\AppData\Local\Temp\OnboardLogs" /stypes="app*4031*20161118*" /stext=" 17:.+((SYSTEM_STATE.+slice.+state.+changed )|(ment ac)|(system.+state.+changed )|(\[timeout)|(PRM\|1\|D)|(kpr)|(kdp)|(\|lc)|(penalty))" /e /r /s</v>
      </c>
      <c r="AG172" s="1" t="str">
        <f t="shared" si="49"/>
        <v>NW</v>
      </c>
      <c r="AH172" s="92" t="str">
        <f t="shared" si="50"/>
        <v>"%USERPROFILE%\Documents\GitHub\eaglep3\Utilities\RefineRTDCRunTimes.py" --tripid 815-18 --locoid 4031 --swversion DE.1.0.8.0 --startMP 204:1049 --initTime 2016-11-18T10:00:05 --startdatetime 2016-11-18T10:21:52 --delay 1 --endMP 300:58922 --enddatetime 2016-11-18T10:34:39 --enforcementcount 0 &gt;&gt;C:\Users\stu\Documents\GitHub\eaglep3-reporting\EC\2016-11-18-refined-times.txt</v>
      </c>
      <c r="AI172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{"issue":{"subject":"","project_id":79,"tracker_id":40,"status_id":1,"priority_id":2,"assigned_to_id":23,"start_date":"2016-11-18","description":"","custom_fields":[{"id":1,"name":"Subdivision","value":"NW"},{"id":4,"name":"Milepost","value":"5.8922"},{"id":17,"name":"Train ID","value":"815-18"},{"id":16,"name":"Locomotive ID","value":"4031"},{"id":130,"name":"Impact","value":""},{"id":150,"name":"Time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452</v>
      </c>
      <c r="B173" s="7">
        <v>4032</v>
      </c>
      <c r="C173" s="22" t="s">
        <v>218</v>
      </c>
      <c r="D173" s="22" t="s">
        <v>363</v>
      </c>
      <c r="E173" s="13">
        <v>42692.442210648151</v>
      </c>
      <c r="F173" s="13">
        <v>42692.444699074076</v>
      </c>
      <c r="G173" s="7">
        <v>1</v>
      </c>
      <c r="H173" s="22" t="s">
        <v>765</v>
      </c>
      <c r="I173" s="13">
        <v>42692.456793981481</v>
      </c>
      <c r="J173" s="7">
        <v>0</v>
      </c>
      <c r="K173" s="109" t="str">
        <f t="shared" si="35"/>
        <v>4031/4032</v>
      </c>
      <c r="L173" s="22" t="str">
        <f>VLOOKUP(A173,'Trips&amp;Operators'!$C$1:$E$10000,3,FALSE)</f>
        <v>MAGEE</v>
      </c>
      <c r="M173" s="6">
        <f t="shared" si="36"/>
        <v>1.2094907404389232E-2</v>
      </c>
      <c r="N173" s="7">
        <f t="shared" si="37"/>
        <v>17.416666662320495</v>
      </c>
      <c r="O173" s="7"/>
      <c r="P173" s="7"/>
      <c r="Q173" s="23"/>
      <c r="R173" s="23"/>
      <c r="S173" s="35">
        <f t="shared" si="38"/>
        <v>1</v>
      </c>
      <c r="T173" s="50" t="str">
        <f t="shared" si="39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09:36:47-700',mode:absolute,to:'2016-11-18 11:57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41"/>
        <v>N</v>
      </c>
      <c r="X173" s="177">
        <f t="shared" si="42"/>
        <v>1</v>
      </c>
      <c r="Y173" s="67">
        <f t="shared" si="43"/>
        <v>5.8613</v>
      </c>
      <c r="Z173" s="67">
        <f t="shared" si="44"/>
        <v>9.8199999999999996E-2</v>
      </c>
      <c r="AA173" s="67">
        <f t="shared" si="45"/>
        <v>5.7630999999999997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6"/>
        <v>0816-18</v>
      </c>
      <c r="AE173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73" s="88" t="str">
        <f t="shared" si="48"/>
        <v>"C:\Program Files (x86)\AstroGrep\AstroGrep.exe" /spath="%USERPROFILE%\AppData\Local\Temp\OnboardLogs" /stypes="app*4032*20161118*" /stext=" 17:.+((SYSTEM_STATE.+slice.+state.+changed )|(ment ac)|(system.+state.+changed )|(\[timeout)|(PRM\|1\|D)|(kpr)|(kdp)|(\|lc)|(penalty))" /e /r /s</v>
      </c>
      <c r="AG173" s="1" t="str">
        <f t="shared" si="49"/>
        <v>NW</v>
      </c>
      <c r="AH173" s="92" t="str">
        <f t="shared" si="50"/>
        <v>"%USERPROFILE%\Documents\GitHub\eaglep3\Utilities\RefineRTDCRunTimes.py" --tripid 816-18 --locoid 4032 --swversion DE.1.0.8.0 --startMP 300:58613 --initTime 2016-11-18T10:36:47 --startdatetime 2016-11-18T10:40:22 --delay 1 --endMP 204:982 --enddatetime 2016-11-18T10:57:47 --enforcementcount 0 &gt;&gt;C:\Users\stu\Documents\GitHub\eaglep3-reporting\EC\2016-11-18-refined-times.txt</v>
      </c>
      <c r="AI173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{"issue":{"subject":"","project_id":79,"tracker_id":40,"status_id":1,"priority_id":2,"assigned_to_id":23,"start_date":"2016-11-18","description":"","custom_fields":[{"id":1,"name":"Subdivision","value":"NW"},{"id":4,"name":"Milepost","value":"0.0982"},{"id":17,"name":"Train ID","value":"816-18"},{"id":16,"name":"Locomotive ID","value":"4032"},{"id":130,"name":"Impact","value":""},{"id":150,"name":"Time of Event (Mountain Time)","value":"10:57:47"},{"id":151,"name":"Denver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539</v>
      </c>
      <c r="B174" s="7">
        <v>4031</v>
      </c>
      <c r="C174" s="22" t="s">
        <v>218</v>
      </c>
      <c r="D174" s="22" t="s">
        <v>766</v>
      </c>
      <c r="E174" s="13">
        <v>42692.4690625</v>
      </c>
      <c r="F174" s="13">
        <v>42692.473217592589</v>
      </c>
      <c r="G174" s="7">
        <v>1</v>
      </c>
      <c r="H174" s="22" t="s">
        <v>767</v>
      </c>
      <c r="I174" s="13">
        <v>42692.483090277776</v>
      </c>
      <c r="J174" s="7">
        <v>0</v>
      </c>
      <c r="K174" s="109" t="str">
        <f t="shared" si="35"/>
        <v>4031/4032</v>
      </c>
      <c r="L174" s="22" t="str">
        <f>VLOOKUP(A174,'Trips&amp;Operators'!$C$1:$E$10000,3,FALSE)</f>
        <v>MACDONALD</v>
      </c>
      <c r="M174" s="6">
        <f t="shared" si="36"/>
        <v>9.8726851865649223E-3</v>
      </c>
      <c r="N174" s="7">
        <f t="shared" si="37"/>
        <v>14.216666668653488</v>
      </c>
      <c r="O174" s="7"/>
      <c r="P174" s="7"/>
      <c r="Q174" s="23"/>
      <c r="R174" s="23"/>
      <c r="S174" s="35">
        <f t="shared" si="38"/>
        <v>1</v>
      </c>
      <c r="T174" s="50" t="str">
        <f t="shared" si="39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10:15:27-700',mode:absolute,to:'2016-11-18 12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41"/>
        <v>N</v>
      </c>
      <c r="X174" s="177">
        <f t="shared" si="42"/>
        <v>1</v>
      </c>
      <c r="Y174" s="67">
        <f t="shared" si="43"/>
        <v>0.1303</v>
      </c>
      <c r="Z174" s="67">
        <f t="shared" si="44"/>
        <v>5.8925999999999998</v>
      </c>
      <c r="AA174" s="67">
        <f t="shared" si="45"/>
        <v>5.7622999999999998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6"/>
        <v>0817-18</v>
      </c>
      <c r="AE174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74" s="88" t="str">
        <f t="shared" si="48"/>
        <v>"C:\Program Files (x86)\AstroGrep\AstroGrep.exe" /spath="%USERPROFILE%\AppData\Local\Temp\OnboardLogs" /stypes="app*4031*20161118*" /stext=" 18:.+((SYSTEM_STATE.+slice.+state.+changed )|(ment ac)|(system.+state.+changed )|(\[timeout)|(PRM\|1\|D)|(kpr)|(kdp)|(\|lc)|(penalty))" /e /r /s</v>
      </c>
      <c r="AG174" s="1" t="str">
        <f t="shared" si="49"/>
        <v>NW</v>
      </c>
      <c r="AH174" s="92" t="str">
        <f t="shared" si="50"/>
        <v>"%USERPROFILE%\Documents\GitHub\eaglep3\Utilities\RefineRTDCRunTimes.py" --tripid 817-18 --locoid 4031 --swversion DE.1.0.8.0 --startMP 204:1303 --initTime 2016-11-18T11:15:27 --startdatetime 2016-11-18T11:21:26 --delay 1 --endMP 300:58926 --enddatetime 2016-11-18T11:35:39 --enforcementcount 0 &gt;&gt;C:\Users\stu\Documents\GitHub\eaglep3-reporting\EC\2016-11-18-refined-times.txt</v>
      </c>
      <c r="AI174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{"issue":{"subject":"","project_id":79,"tracker_id":40,"status_id":1,"priority_id":2,"assigned_to_id":23,"start_date":"2016-11-18","description":"","custom_fields":[{"id":1,"name":"Subdivision","value":"NW"},{"id":4,"name":"Milepost","value":"5.8926"},{"id":17,"name":"Train ID","value":"817-18"},{"id":16,"name":"Locomotive ID","value":"4031"},{"id":130,"name":"Impact","value":""},{"id":150,"name":"Time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542</v>
      </c>
      <c r="B175" s="7">
        <v>4032</v>
      </c>
      <c r="C175" s="22" t="s">
        <v>218</v>
      </c>
      <c r="D175" s="22" t="s">
        <v>758</v>
      </c>
      <c r="E175" s="13">
        <v>42692.485081018516</v>
      </c>
      <c r="F175" s="13">
        <v>42692.487546296295</v>
      </c>
      <c r="G175" s="7">
        <v>2</v>
      </c>
      <c r="H175" s="22" t="s">
        <v>768</v>
      </c>
      <c r="I175" s="13">
        <v>42692.498055555552</v>
      </c>
      <c r="J175" s="7">
        <v>0</v>
      </c>
      <c r="K175" s="109" t="str">
        <f t="shared" si="35"/>
        <v>4031/4032</v>
      </c>
      <c r="L175" s="22" t="str">
        <f>VLOOKUP(A175,'Trips&amp;Operators'!$C$1:$E$10000,3,FALSE)</f>
        <v>MACDONALD</v>
      </c>
      <c r="M175" s="6">
        <f t="shared" si="36"/>
        <v>1.0509259256650694E-2</v>
      </c>
      <c r="N175" s="7">
        <f t="shared" si="37"/>
        <v>15.133333329576999</v>
      </c>
      <c r="O175" s="7"/>
      <c r="P175" s="7"/>
      <c r="Q175" s="23"/>
      <c r="R175" s="23"/>
      <c r="S175" s="35">
        <f t="shared" si="38"/>
        <v>1</v>
      </c>
      <c r="T175" s="50" t="str">
        <f t="shared" si="39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10:38:31-700',mode:absolute,to:'2016-11-18 12:57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41"/>
        <v>N</v>
      </c>
      <c r="X175" s="177">
        <f t="shared" si="42"/>
        <v>1</v>
      </c>
      <c r="Y175" s="67">
        <f t="shared" si="43"/>
        <v>5.8611000000000004</v>
      </c>
      <c r="Z175" s="67">
        <f t="shared" si="44"/>
        <v>6.6600000000000006E-2</v>
      </c>
      <c r="AA175" s="67">
        <f t="shared" si="45"/>
        <v>5.7945000000000002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6"/>
        <v>0818-18</v>
      </c>
      <c r="AE175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75" s="88" t="str">
        <f t="shared" si="48"/>
        <v>"C:\Program Files (x86)\AstroGrep\AstroGrep.exe" /spath="%USERPROFILE%\AppData\Local\Temp\OnboardLogs" /stypes="app*4032*20161118*" /stext=" 18:.+((SYSTEM_STATE.+slice.+state.+changed )|(ment ac)|(system.+state.+changed )|(\[timeout)|(PRM\|1\|D)|(kpr)|(kdp)|(\|lc)|(penalty))" /e /r /s</v>
      </c>
      <c r="AG175" s="1" t="str">
        <f t="shared" si="49"/>
        <v>NW</v>
      </c>
      <c r="AH175" s="92" t="str">
        <f t="shared" si="50"/>
        <v>"%USERPROFILE%\Documents\GitHub\eaglep3\Utilities\RefineRTDCRunTimes.py" --tripid 818-18 --locoid 4032 --swversion DE.1.0.8.0 --startMP 300:58611 --initTime 2016-11-18T11:38:31 --startdatetime 2016-11-18T11:42:04 --delay 2 --endMP 204:666 --enddatetime 2016-11-18T11:57:12 --enforcementcount 0 &gt;&gt;C:\Users\stu\Documents\GitHub\eaglep3-reporting\EC\2016-11-18-refined-times.txt</v>
      </c>
      <c r="AI175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{"issue":{"subject":"","project_id":79,"tracker_id":40,"status_id":1,"priority_id":2,"assigned_to_id":23,"start_date":"2016-11-18","description":"","custom_fields":[{"id":1,"name":"Subdivision","value":"NW"},{"id":4,"name":"Milepost","value":"0.0666"},{"id":17,"name":"Train ID","value":"818-18"},{"id":16,"name":"Locomotive ID","value":"4032"},{"id":130,"name":"Impact","value":""},{"id":150,"name":"Time of Event (Mountain Time)","value":"11:57:12"},{"id":151,"name":"Denver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454</v>
      </c>
      <c r="B176" s="7">
        <v>4031</v>
      </c>
      <c r="C176" s="22" t="s">
        <v>218</v>
      </c>
      <c r="D176" s="22" t="s">
        <v>769</v>
      </c>
      <c r="E176" s="13">
        <v>42692.504803240743</v>
      </c>
      <c r="F176" s="13">
        <v>42692.514861111114</v>
      </c>
      <c r="G176" s="7">
        <v>1</v>
      </c>
      <c r="H176" s="22" t="s">
        <v>770</v>
      </c>
      <c r="I176" s="13">
        <v>42692.525763888887</v>
      </c>
      <c r="J176" s="7">
        <v>0</v>
      </c>
      <c r="K176" s="109" t="str">
        <f t="shared" si="35"/>
        <v>4031/4032</v>
      </c>
      <c r="L176" s="22" t="str">
        <f>VLOOKUP(A176,'Trips&amp;Operators'!$C$1:$E$10000,3,FALSE)</f>
        <v>NICHOLSON</v>
      </c>
      <c r="M176" s="6">
        <f t="shared" si="36"/>
        <v>1.0902777772571426E-2</v>
      </c>
      <c r="N176" s="7">
        <f t="shared" si="37"/>
        <v>15.699999992502853</v>
      </c>
      <c r="O176" s="7"/>
      <c r="P176" s="7"/>
      <c r="Q176" s="23"/>
      <c r="R176" s="23"/>
      <c r="S176" s="35">
        <f t="shared" si="38"/>
        <v>1</v>
      </c>
      <c r="T176" s="50" t="str">
        <f t="shared" si="39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11:06:55-700',mode:absolute,to:'2016-11-18 13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41"/>
        <v>N</v>
      </c>
      <c r="X176" s="177">
        <f t="shared" si="42"/>
        <v>1</v>
      </c>
      <c r="Y176" s="67">
        <f t="shared" si="43"/>
        <v>9.7600000000000006E-2</v>
      </c>
      <c r="Z176" s="67">
        <f t="shared" si="44"/>
        <v>5.8943000000000003</v>
      </c>
      <c r="AA176" s="67">
        <f t="shared" si="45"/>
        <v>5.7967000000000004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6"/>
        <v>0819-18</v>
      </c>
      <c r="AE176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76" s="88" t="str">
        <f t="shared" si="48"/>
        <v>"C:\Program Files (x86)\AstroGrep\AstroGrep.exe" /spath="%USERPROFILE%\AppData\Local\Temp\OnboardLogs" /stypes="app*4031*20161118*" /stext=" 19:.+((SYSTEM_STATE.+slice.+state.+changed )|(ment ac)|(system.+state.+changed )|(\[timeout)|(PRM\|1\|D)|(kpr)|(kdp)|(\|lc)|(penalty))" /e /r /s</v>
      </c>
      <c r="AG176" s="1" t="str">
        <f t="shared" si="49"/>
        <v>NW</v>
      </c>
      <c r="AH176" s="92" t="str">
        <f t="shared" si="50"/>
        <v>"%USERPROFILE%\Documents\GitHub\eaglep3\Utilities\RefineRTDCRunTimes.py" --tripid 819-18 --locoid 4031 --swversion DE.1.0.8.0 --startMP 204:976 --initTime 2016-11-18T12:06:55 --startdatetime 2016-11-18T12:21:24 --delay 1 --endMP 300:58943 --enddatetime 2016-11-18T12:37:06 --enforcementcount 0 &gt;&gt;C:\Users\stu\Documents\GitHub\eaglep3-reporting\EC\2016-11-18-refined-times.txt</v>
      </c>
      <c r="AI176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{"issue":{"subject":"","project_id":79,"tracker_id":40,"status_id":1,"priority_id":2,"assigned_to_id":23,"start_date":"2016-11-18","description":"","custom_fields":[{"id":1,"name":"Subdivision","value":"NW"},{"id":4,"name":"Milepost","value":"5.8943"},{"id":17,"name":"Train ID","value":"819-18"},{"id":16,"name":"Locomotive ID","value":"4031"},{"id":130,"name":"Impact","value":""},{"id":150,"name":"Time of Event (Mountain Time)","value":"12:37:06"},{"id":151,"name":"Denver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455</v>
      </c>
      <c r="B177" s="7">
        <v>4032</v>
      </c>
      <c r="C177" s="22" t="s">
        <v>218</v>
      </c>
      <c r="D177" s="22" t="s">
        <v>771</v>
      </c>
      <c r="E177" s="13">
        <v>42692.526990740742</v>
      </c>
      <c r="F177" s="13">
        <v>42692.528865740744</v>
      </c>
      <c r="G177" s="7">
        <v>1</v>
      </c>
      <c r="H177" s="22" t="s">
        <v>429</v>
      </c>
      <c r="I177" s="13">
        <v>42692.540312500001</v>
      </c>
      <c r="J177" s="7">
        <v>0</v>
      </c>
      <c r="K177" s="109" t="str">
        <f t="shared" si="35"/>
        <v>4031/4032</v>
      </c>
      <c r="L177" s="22" t="str">
        <f>VLOOKUP(A177,'Trips&amp;Operators'!$C$1:$E$10000,3,FALSE)</f>
        <v>NICHOLSON</v>
      </c>
      <c r="M177" s="6">
        <f t="shared" si="36"/>
        <v>1.1446759257523809E-2</v>
      </c>
      <c r="N177" s="7">
        <f t="shared" si="37"/>
        <v>16.483333330834284</v>
      </c>
      <c r="O177" s="7"/>
      <c r="P177" s="7"/>
      <c r="Q177" s="23"/>
      <c r="R177" s="23"/>
      <c r="S177" s="35">
        <f t="shared" si="38"/>
        <v>1</v>
      </c>
      <c r="T177" s="50" t="str">
        <f t="shared" si="39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11:38:52-700',mode:absolute,to:'2016-11-18 13:58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41"/>
        <v>N</v>
      </c>
      <c r="X177" s="177">
        <f t="shared" si="42"/>
        <v>1</v>
      </c>
      <c r="Y177" s="67">
        <f t="shared" si="43"/>
        <v>5.8616999999999999</v>
      </c>
      <c r="Z177" s="67">
        <f t="shared" si="44"/>
        <v>6.8900000000000003E-2</v>
      </c>
      <c r="AA177" s="67">
        <f t="shared" si="45"/>
        <v>5.7927999999999997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6"/>
        <v>0820-18</v>
      </c>
      <c r="AE177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77" s="88" t="str">
        <f t="shared" si="48"/>
        <v>"C:\Program Files (x86)\AstroGrep\AstroGrep.exe" /spath="%USERPROFILE%\AppData\Local\Temp\OnboardLogs" /stypes="app*4032*20161118*" /stext=" 19:.+((SYSTEM_STATE.+slice.+state.+changed )|(ment ac)|(system.+state.+changed )|(\[timeout)|(PRM\|1\|D)|(kpr)|(kdp)|(\|lc)|(penalty))" /e /r /s</v>
      </c>
      <c r="AG177" s="1" t="str">
        <f t="shared" si="49"/>
        <v>NW</v>
      </c>
      <c r="AH177" s="92" t="str">
        <f t="shared" si="50"/>
        <v>"%USERPROFILE%\Documents\GitHub\eaglep3\Utilities\RefineRTDCRunTimes.py" --tripid 820-18 --locoid 4032 --swversion DE.1.0.8.0 --startMP 300:58617 --initTime 2016-11-18T12:38:52 --startdatetime 2016-11-18T12:41:34 --delay 1 --endMP 204:689 --enddatetime 2016-11-18T12:58:03 --enforcementcount 0 &gt;&gt;C:\Users\stu\Documents\GitHub\eaglep3-reporting\EC\2016-11-18-refined-times.txt</v>
      </c>
      <c r="AI177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{"issue":{"subject":"","project_id":79,"tracker_id":40,"status_id":1,"priority_id":2,"assigned_to_id":23,"start_date":"2016-11-18","description":"","custom_fields":[{"id":1,"name":"Subdivision","value":"NW"},{"id":4,"name":"Milepost","value":"0.0689"},{"id":17,"name":"Train ID","value":"820-18"},{"id":16,"name":"Locomotive ID","value":"4032"},{"id":130,"name":"Impact","value":""},{"id":150,"name":"Time of Event (Mountain Time)","value":"12:58:03"},{"id":151,"name":"Denver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555</v>
      </c>
      <c r="B178" s="7">
        <v>4031</v>
      </c>
      <c r="C178" s="22" t="s">
        <v>218</v>
      </c>
      <c r="D178" s="22" t="s">
        <v>421</v>
      </c>
      <c r="E178" s="13">
        <v>42692.543761574074</v>
      </c>
      <c r="F178" s="13">
        <v>42692.556608796294</v>
      </c>
      <c r="G178" s="7">
        <v>1</v>
      </c>
      <c r="H178" s="22" t="s">
        <v>756</v>
      </c>
      <c r="I178" s="13">
        <v>42692.565960648149</v>
      </c>
      <c r="J178" s="7">
        <v>0</v>
      </c>
      <c r="K178" s="109" t="str">
        <f t="shared" si="35"/>
        <v>4031/4032</v>
      </c>
      <c r="L178" s="22" t="str">
        <f>VLOOKUP(A178,'Trips&amp;Operators'!$C$1:$E$10000,3,FALSE)</f>
        <v>BADERTSCHER</v>
      </c>
      <c r="M178" s="6">
        <f t="shared" si="36"/>
        <v>9.3518518551718444E-3</v>
      </c>
      <c r="N178" s="7">
        <f t="shared" si="37"/>
        <v>13.466666671447456</v>
      </c>
      <c r="O178" s="7"/>
      <c r="P178" s="7"/>
      <c r="Q178" s="23"/>
      <c r="R178" s="23"/>
      <c r="S178" s="35">
        <f t="shared" si="38"/>
        <v>1</v>
      </c>
      <c r="T178" s="50" t="str">
        <f t="shared" si="39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12:03:01-700',mode:absolute,to:'2016-11-18 14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41"/>
        <v>N</v>
      </c>
      <c r="X178" s="177">
        <f t="shared" si="42"/>
        <v>1</v>
      </c>
      <c r="Y178" s="67">
        <f t="shared" si="43"/>
        <v>9.8299999999999998E-2</v>
      </c>
      <c r="Z178" s="67">
        <f t="shared" si="44"/>
        <v>5.8933</v>
      </c>
      <c r="AA178" s="67">
        <f t="shared" si="45"/>
        <v>5.7949999999999999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6"/>
        <v>0821-18</v>
      </c>
      <c r="AE178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78" s="88" t="str">
        <f t="shared" si="48"/>
        <v>"C:\Program Files (x86)\AstroGrep\AstroGrep.exe" /spath="%USERPROFILE%\AppData\Local\Temp\OnboardLogs" /stypes="app*4031*20161118*" /stext=" 20:.+((SYSTEM_STATE.+slice.+state.+changed )|(ment ac)|(system.+state.+changed )|(\[timeout)|(PRM\|1\|D)|(kpr)|(kdp)|(\|lc)|(penalty))" /e /r /s</v>
      </c>
      <c r="AG178" s="1" t="str">
        <f t="shared" si="49"/>
        <v>NW</v>
      </c>
      <c r="AH178" s="92" t="str">
        <f t="shared" si="50"/>
        <v>"%USERPROFILE%\Documents\GitHub\eaglep3\Utilities\RefineRTDCRunTimes.py" --tripid 821-18 --locoid 4031 --swversion DE.1.0.8.0 --startMP 204:983 --initTime 2016-11-18T13:03:01 --startdatetime 2016-11-18T13:21:31 --delay 1 --endMP 300:58933 --enddatetime 2016-11-18T13:34:59 --enforcementcount 0 &gt;&gt;C:\Users\stu\Documents\GitHub\eaglep3-reporting\EC\2016-11-18-refined-times.txt</v>
      </c>
      <c r="AI178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{"issue":{"subject":"","project_id":79,"tracker_id":40,"status_id":1,"priority_id":2,"assigned_to_id":23,"start_date":"2016-11-18","description":"","custom_fields":[{"id":1,"name":"Subdivision","value":"NW"},{"id":4,"name":"Milepost","value":"5.8933"},{"id":17,"name":"Train ID","value":"821-18"},{"id":16,"name":"Locomotive ID","value":"4031"},{"id":130,"name":"Impact","value":""},{"id":150,"name":"Time of Event (Mountain Time)","value":"13:34:59"},{"id":151,"name":"Denver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561</v>
      </c>
      <c r="B179" s="7">
        <v>4032</v>
      </c>
      <c r="C179" s="22" t="s">
        <v>218</v>
      </c>
      <c r="D179" s="22" t="s">
        <v>319</v>
      </c>
      <c r="E179" s="13">
        <v>42692.567199074074</v>
      </c>
      <c r="F179" s="13">
        <v>42692.569108796299</v>
      </c>
      <c r="G179" s="7">
        <v>1</v>
      </c>
      <c r="H179" s="22" t="s">
        <v>772</v>
      </c>
      <c r="I179" s="13">
        <v>42692.580474537041</v>
      </c>
      <c r="J179" s="7">
        <v>0</v>
      </c>
      <c r="K179" s="109" t="str">
        <f t="shared" si="35"/>
        <v>4031/4032</v>
      </c>
      <c r="L179" s="22" t="str">
        <f>VLOOKUP(A179,'Trips&amp;Operators'!$C$1:$E$10000,3,FALSE)</f>
        <v>BADERTSCHER</v>
      </c>
      <c r="M179" s="6">
        <f t="shared" si="36"/>
        <v>1.1365740741894115E-2</v>
      </c>
      <c r="N179" s="7">
        <f t="shared" si="37"/>
        <v>16.366666668327525</v>
      </c>
      <c r="O179" s="7"/>
      <c r="P179" s="7"/>
      <c r="Q179" s="23"/>
      <c r="R179" s="23"/>
      <c r="S179" s="35">
        <f t="shared" si="38"/>
        <v>1</v>
      </c>
      <c r="T179" s="50" t="str">
        <f t="shared" si="39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12:36:46-700',mode:absolute,to:'2016-11-18 14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41"/>
        <v>N</v>
      </c>
      <c r="X179" s="177">
        <f t="shared" si="42"/>
        <v>1</v>
      </c>
      <c r="Y179" s="67">
        <f t="shared" si="43"/>
        <v>5.8623000000000003</v>
      </c>
      <c r="Z179" s="67">
        <f t="shared" si="44"/>
        <v>7.6100000000000001E-2</v>
      </c>
      <c r="AA179" s="67">
        <f t="shared" si="45"/>
        <v>5.7862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6"/>
        <v>0822-18</v>
      </c>
      <c r="AE179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79" s="88" t="str">
        <f t="shared" si="48"/>
        <v>"C:\Program Files (x86)\AstroGrep\AstroGrep.exe" /spath="%USERPROFILE%\AppData\Local\Temp\OnboardLogs" /stypes="app*4032*20161118*" /stext=" 20:.+((SYSTEM_STATE.+slice.+state.+changed )|(ment ac)|(system.+state.+changed )|(\[timeout)|(PRM\|1\|D)|(kpr)|(kdp)|(\|lc)|(penalty))" /e /r /s</v>
      </c>
      <c r="AG179" s="1" t="str">
        <f t="shared" si="49"/>
        <v>NW</v>
      </c>
      <c r="AH179" s="92" t="str">
        <f t="shared" si="50"/>
        <v>"%USERPROFILE%\Documents\GitHub\eaglep3\Utilities\RefineRTDCRunTimes.py" --tripid 822-18 --locoid 4032 --swversion DE.1.0.8.0 --startMP 300:58623 --initTime 2016-11-18T13:36:46 --startdatetime 2016-11-18T13:39:31 --delay 1 --endMP 204:761 --enddatetime 2016-11-18T13:55:53 --enforcementcount 0 &gt;&gt;C:\Users\stu\Documents\GitHub\eaglep3-reporting\EC\2016-11-18-refined-times.txt</v>
      </c>
      <c r="AI179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{"issue":{"subject":"","project_id":79,"tracker_id":40,"status_id":1,"priority_id":2,"assigned_to_id":23,"start_date":"2016-11-18","description":"","custom_fields":[{"id":1,"name":"Subdivision","value":"NW"},{"id":4,"name":"Milepost","value":"0.0761"},{"id":17,"name":"Train ID","value":"822-18"},{"id":16,"name":"Locomotive ID","value":"4032"},{"id":130,"name":"Impact","value":""},{"id":150,"name":"Time of Event (Mountain Time)","value":"13:55:53"},{"id":151,"name":"Denver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565</v>
      </c>
      <c r="B180" s="7">
        <v>4031</v>
      </c>
      <c r="C180" s="22" t="s">
        <v>218</v>
      </c>
      <c r="D180" s="22" t="s">
        <v>773</v>
      </c>
      <c r="E180" s="13">
        <v>42692.593657407408</v>
      </c>
      <c r="F180" s="13">
        <v>42692.598101851851</v>
      </c>
      <c r="G180" s="7">
        <v>1</v>
      </c>
      <c r="H180" s="22" t="s">
        <v>297</v>
      </c>
      <c r="I180" s="13">
        <v>42692.607974537037</v>
      </c>
      <c r="J180" s="7">
        <v>0</v>
      </c>
      <c r="K180" s="109" t="str">
        <f t="shared" si="35"/>
        <v>4031/4032</v>
      </c>
      <c r="L180" s="22" t="str">
        <f>VLOOKUP(A180,'Trips&amp;Operators'!$C$1:$E$10000,3,FALSE)</f>
        <v>BADERTSCHER</v>
      </c>
      <c r="M180" s="6">
        <f t="shared" si="36"/>
        <v>9.8726851865649223E-3</v>
      </c>
      <c r="N180" s="7">
        <f t="shared" si="37"/>
        <v>14.216666668653488</v>
      </c>
      <c r="O180" s="7"/>
      <c r="P180" s="7"/>
      <c r="Q180" s="23"/>
      <c r="R180" s="23"/>
      <c r="S180" s="35">
        <f t="shared" si="38"/>
        <v>1</v>
      </c>
      <c r="T180" s="50" t="str">
        <f t="shared" si="39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13:14:52-700',mode:absolute,to:'2016-11-18 15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41"/>
        <v>N</v>
      </c>
      <c r="X180" s="177">
        <f t="shared" si="42"/>
        <v>1</v>
      </c>
      <c r="Y180" s="67">
        <f t="shared" si="43"/>
        <v>0.10299999999999999</v>
      </c>
      <c r="Z180" s="67">
        <f t="shared" si="44"/>
        <v>5.8924000000000003</v>
      </c>
      <c r="AA180" s="67">
        <f t="shared" si="45"/>
        <v>5.7894000000000005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6"/>
        <v>0823-18</v>
      </c>
      <c r="AE180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80" s="88" t="str">
        <f t="shared" si="48"/>
        <v>"C:\Program Files (x86)\AstroGrep\AstroGrep.exe" /spath="%USERPROFILE%\AppData\Local\Temp\OnboardLogs" /stypes="app*4031*20161118*" /stext=" 21:.+((SYSTEM_STATE.+slice.+state.+changed )|(ment ac)|(system.+state.+changed )|(\[timeout)|(PRM\|1\|D)|(kpr)|(kdp)|(\|lc)|(penalty))" /e /r /s</v>
      </c>
      <c r="AG180" s="1" t="str">
        <f t="shared" si="49"/>
        <v>NW</v>
      </c>
      <c r="AH180" s="92" t="str">
        <f t="shared" si="50"/>
        <v>"%USERPROFILE%\Documents\GitHub\eaglep3\Utilities\RefineRTDCRunTimes.py" --tripid 823-18 --locoid 4031 --swversion DE.1.0.8.0 --startMP 204:1030 --initTime 2016-11-18T14:14:52 --startdatetime 2016-11-18T14:21:16 --delay 1 --endMP 300:58924 --enddatetime 2016-11-18T14:35:29 --enforcementcount 0 &gt;&gt;C:\Users\stu\Documents\GitHub\eaglep3-reporting\EC\2016-11-18-refined-times.txt</v>
      </c>
      <c r="AI180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{"issue":{"subject":"","project_id":79,"tracker_id":40,"status_id":1,"priority_id":2,"assigned_to_id":23,"start_date":"2016-11-18","description":"","custom_fields":[{"id":1,"name":"Subdivision","value":"NW"},{"id":4,"name":"Milepost","value":"5.8924"},{"id":17,"name":"Train ID","value":"823-18"},{"id":16,"name":"Locomotive ID","value":"4031"},{"id":130,"name":"Impact","value":""},{"id":150,"name":"Time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459</v>
      </c>
      <c r="B181" s="7">
        <v>4032</v>
      </c>
      <c r="C181" s="22" t="s">
        <v>218</v>
      </c>
      <c r="D181" s="22" t="s">
        <v>363</v>
      </c>
      <c r="E181" s="13">
        <v>42692.6093287037</v>
      </c>
      <c r="F181" s="13">
        <v>42692.610706018517</v>
      </c>
      <c r="G181" s="7">
        <v>1</v>
      </c>
      <c r="H181" s="22" t="s">
        <v>774</v>
      </c>
      <c r="I181" s="13">
        <v>42692.622546296298</v>
      </c>
      <c r="J181" s="7">
        <v>0</v>
      </c>
      <c r="K181" s="109" t="str">
        <f t="shared" si="35"/>
        <v>4031/4032</v>
      </c>
      <c r="L181" s="22" t="str">
        <f>VLOOKUP(A181,'Trips&amp;Operators'!$C$1:$E$10000,3,FALSE)</f>
        <v>BADERTSCHER</v>
      </c>
      <c r="M181" s="6">
        <f t="shared" si="36"/>
        <v>1.1840277780720498E-2</v>
      </c>
      <c r="N181" s="7">
        <f t="shared" si="37"/>
        <v>17.050000004237518</v>
      </c>
      <c r="O181" s="7"/>
      <c r="P181" s="7"/>
      <c r="Q181" s="23"/>
      <c r="R181" s="23"/>
      <c r="S181" s="35">
        <f t="shared" si="38"/>
        <v>1</v>
      </c>
      <c r="T181" s="50" t="str">
        <f t="shared" si="39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13:37:26-700',mode:absolute,to:'2016-11-18 15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41"/>
        <v>N</v>
      </c>
      <c r="X181" s="177">
        <f t="shared" si="42"/>
        <v>1</v>
      </c>
      <c r="Y181" s="67">
        <f t="shared" si="43"/>
        <v>5.8613</v>
      </c>
      <c r="Z181" s="67">
        <f t="shared" si="44"/>
        <v>7.2599999999999998E-2</v>
      </c>
      <c r="AA181" s="67">
        <f t="shared" si="45"/>
        <v>5.7887000000000004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6"/>
        <v>0824-18</v>
      </c>
      <c r="AE181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81" s="88" t="str">
        <f t="shared" si="48"/>
        <v>"C:\Program Files (x86)\AstroGrep\AstroGrep.exe" /spath="%USERPROFILE%\AppData\Local\Temp\OnboardLogs" /stypes="app*4032*20161118*" /stext=" 21:.+((SYSTEM_STATE.+slice.+state.+changed )|(ment ac)|(system.+state.+changed )|(\[timeout)|(PRM\|1\|D)|(kpr)|(kdp)|(\|lc)|(penalty))" /e /r /s</v>
      </c>
      <c r="AG181" s="1" t="str">
        <f t="shared" si="49"/>
        <v>NW</v>
      </c>
      <c r="AH181" s="92" t="str">
        <f t="shared" si="50"/>
        <v>"%USERPROFILE%\Documents\GitHub\eaglep3\Utilities\RefineRTDCRunTimes.py" --tripid 824-18 --locoid 4032 --swversion DE.1.0.8.0 --startMP 300:58613 --initTime 2016-11-18T14:37:26 --startdatetime 2016-11-18T14:39:25 --delay 1 --endMP 204:726 --enddatetime 2016-11-18T14:56:28 --enforcementcount 0 &gt;&gt;C:\Users\stu\Documents\GitHub\eaglep3-reporting\EC\2016-11-18-refined-times.txt</v>
      </c>
      <c r="AI181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{"issue":{"subject":"","project_id":79,"tracker_id":40,"status_id":1,"priority_id":2,"assigned_to_id":23,"start_date":"2016-11-18","description":"","custom_fields":[{"id":1,"name":"Subdivision","value":"NW"},{"id":4,"name":"Milepost","value":"0.0726"},{"id":17,"name":"Train ID","value":"824-18"},{"id":16,"name":"Locomotive ID","value":"4032"},{"id":130,"name":"Impact","value":""},{"id":150,"name":"Time of Event (Mountain Time)","value":"14:56:28"},{"id":151,"name":"Denver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572</v>
      </c>
      <c r="B182" s="7">
        <v>4031</v>
      </c>
      <c r="C182" s="22" t="s">
        <v>218</v>
      </c>
      <c r="D182" s="22" t="s">
        <v>775</v>
      </c>
      <c r="E182" s="13">
        <v>42692.636967592596</v>
      </c>
      <c r="F182" s="13">
        <v>42692.639756944445</v>
      </c>
      <c r="G182" s="7">
        <v>1</v>
      </c>
      <c r="H182" s="22" t="s">
        <v>287</v>
      </c>
      <c r="I182" s="13">
        <v>42692.648738425924</v>
      </c>
      <c r="J182" s="7">
        <v>0</v>
      </c>
      <c r="K182" s="109" t="str">
        <f t="shared" si="35"/>
        <v>4031/4032</v>
      </c>
      <c r="L182" s="22" t="str">
        <f>VLOOKUP(A182,'Trips&amp;Operators'!$C$1:$E$10000,3,FALSE)</f>
        <v>BADERTSCHER</v>
      </c>
      <c r="M182" s="6">
        <f t="shared" si="36"/>
        <v>8.9814814782585017E-3</v>
      </c>
      <c r="N182" s="7">
        <f t="shared" si="37"/>
        <v>12.933333328692243</v>
      </c>
      <c r="O182" s="7"/>
      <c r="P182" s="7"/>
      <c r="Q182" s="23"/>
      <c r="R182" s="23"/>
      <c r="S182" s="35">
        <f t="shared" si="38"/>
        <v>1</v>
      </c>
      <c r="T182" s="50" t="str">
        <f t="shared" si="39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14:17:14-700',mode:absolute,to:'2016-11-18 16:34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41"/>
        <v>N</v>
      </c>
      <c r="X182" s="177">
        <f t="shared" si="42"/>
        <v>1</v>
      </c>
      <c r="Y182" s="67">
        <f t="shared" si="43"/>
        <v>0.1013</v>
      </c>
      <c r="Z182" s="67">
        <f t="shared" si="44"/>
        <v>5.8929</v>
      </c>
      <c r="AA182" s="67">
        <f t="shared" si="45"/>
        <v>5.7915999999999999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6"/>
        <v>0825-18</v>
      </c>
      <c r="AE182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82" s="88" t="str">
        <f t="shared" si="48"/>
        <v>"C:\Program Files (x86)\AstroGrep\AstroGrep.exe" /spath="%USERPROFILE%\AppData\Local\Temp\OnboardLogs" /stypes="app*4031*20161118*" /stext=" 22:.+((SYSTEM_STATE.+slice.+state.+changed )|(ment ac)|(system.+state.+changed )|(\[timeout)|(PRM\|1\|D)|(kpr)|(kdp)|(\|lc)|(penalty))" /e /r /s</v>
      </c>
      <c r="AG182" s="1" t="str">
        <f t="shared" si="49"/>
        <v>NW</v>
      </c>
      <c r="AH182" s="92" t="str">
        <f t="shared" si="50"/>
        <v>"%USERPROFILE%\Documents\GitHub\eaglep3\Utilities\RefineRTDCRunTimes.py" --tripid 825-18 --locoid 4031 --swversion DE.1.0.8.0 --startMP 204:1013 --initTime 2016-11-18T15:17:14 --startdatetime 2016-11-18T15:21:15 --delay 1 --endMP 300:58929 --enddatetime 2016-11-18T15:34:11 --enforcementcount 0 &gt;&gt;C:\Users\stu\Documents\GitHub\eaglep3-reporting\EC\2016-11-18-refined-times.txt</v>
      </c>
      <c r="AI182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{"issue":{"subject":"","project_id":79,"tracker_id":40,"status_id":1,"priority_id":2,"assigned_to_id":23,"start_date":"2016-11-18","description":"","custom_fields":[{"id":1,"name":"Subdivision","value":"NW"},{"id":4,"name":"Milepost","value":"5.8929"},{"id":17,"name":"Train ID","value":"825-18"},{"id":16,"name":"Locomotive ID","value":"4031"},{"id":130,"name":"Impact","value":""},{"id":150,"name":"Time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577</v>
      </c>
      <c r="B183" s="7">
        <v>4032</v>
      </c>
      <c r="C183" s="22" t="s">
        <v>218</v>
      </c>
      <c r="D183" s="22" t="s">
        <v>319</v>
      </c>
      <c r="E183" s="13">
        <v>42692.649537037039</v>
      </c>
      <c r="F183" s="13">
        <v>42692.650706018518</v>
      </c>
      <c r="G183" s="7">
        <v>1</v>
      </c>
      <c r="H183" s="22" t="s">
        <v>424</v>
      </c>
      <c r="I183" s="13">
        <v>42692.663437499999</v>
      </c>
      <c r="J183" s="7">
        <v>0</v>
      </c>
      <c r="K183" s="109" t="str">
        <f t="shared" si="35"/>
        <v>4031/4032</v>
      </c>
      <c r="L183" s="22" t="str">
        <f>VLOOKUP(A183,'Trips&amp;Operators'!$C$1:$E$10000,3,FALSE)</f>
        <v>BADERTSCHER</v>
      </c>
      <c r="M183" s="6">
        <f t="shared" si="36"/>
        <v>1.2731481481750961E-2</v>
      </c>
      <c r="N183" s="7">
        <f t="shared" si="37"/>
        <v>18.333333333721384</v>
      </c>
      <c r="O183" s="7"/>
      <c r="P183" s="7"/>
      <c r="Q183" s="23"/>
      <c r="R183" s="23"/>
      <c r="S183" s="35">
        <f t="shared" si="38"/>
        <v>1</v>
      </c>
      <c r="T183" s="50" t="str">
        <f t="shared" si="39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14:35:20-700',mode:absolute,to:'2016-11-18 16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41"/>
        <v>N</v>
      </c>
      <c r="X183" s="177">
        <f t="shared" si="42"/>
        <v>1</v>
      </c>
      <c r="Y183" s="67">
        <f t="shared" si="43"/>
        <v>5.8623000000000003</v>
      </c>
      <c r="Z183" s="67">
        <f t="shared" si="44"/>
        <v>7.1999999999999995E-2</v>
      </c>
      <c r="AA183" s="67">
        <f t="shared" si="45"/>
        <v>5.7903000000000002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6"/>
        <v>0826-18</v>
      </c>
      <c r="AE183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83" s="88" t="str">
        <f t="shared" si="48"/>
        <v>"C:\Program Files (x86)\AstroGrep\AstroGrep.exe" /spath="%USERPROFILE%\AppData\Local\Temp\OnboardLogs" /stypes="app*4032*20161118*" /stext=" 22:.+((SYSTEM_STATE.+slice.+state.+changed )|(ment ac)|(system.+state.+changed )|(\[timeout)|(PRM\|1\|D)|(kpr)|(kdp)|(\|lc)|(penalty))" /e /r /s</v>
      </c>
      <c r="AG183" s="1" t="str">
        <f t="shared" si="49"/>
        <v>NW</v>
      </c>
      <c r="AH183" s="92" t="str">
        <f t="shared" si="50"/>
        <v>"%USERPROFILE%\Documents\GitHub\eaglep3\Utilities\RefineRTDCRunTimes.py" --tripid 826-18 --locoid 4032 --swversion DE.1.0.8.0 --startMP 300:58623 --initTime 2016-11-18T15:35:20 --startdatetime 2016-11-18T15:37:01 --delay 1 --endMP 204:720 --enddatetime 2016-11-18T15:55:21 --enforcementcount 0 &gt;&gt;C:\Users\stu\Documents\GitHub\eaglep3-reporting\EC\2016-11-18-refined-times.txt</v>
      </c>
      <c r="AI183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{"issue":{"subject":"","project_id":79,"tracker_id":40,"status_id":1,"priority_id":2,"assigned_to_id":23,"start_date":"2016-11-18","description":"","custom_fields":[{"id":1,"name":"Subdivision","value":"NW"},{"id":4,"name":"Milepost","value":"0.072"},{"id":17,"name":"Train ID","value":"826-18"},{"id":16,"name":"Locomotive ID","value":"4032"},{"id":130,"name":"Impact","value":""},{"id":150,"name":"Time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579</v>
      </c>
      <c r="B184" s="7">
        <v>4007</v>
      </c>
      <c r="C184" s="22" t="s">
        <v>218</v>
      </c>
      <c r="D184" s="22" t="s">
        <v>776</v>
      </c>
      <c r="E184" s="13">
        <v>42692.653124999997</v>
      </c>
      <c r="F184" s="13">
        <v>42692.660567129627</v>
      </c>
      <c r="G184" s="7">
        <v>1</v>
      </c>
      <c r="H184" s="22" t="s">
        <v>764</v>
      </c>
      <c r="I184" s="13">
        <v>42692.67</v>
      </c>
      <c r="J184" s="7">
        <v>0</v>
      </c>
      <c r="K184" s="109" t="str">
        <f t="shared" si="35"/>
        <v>4007/4008</v>
      </c>
      <c r="L184" s="22" t="str">
        <f>VLOOKUP(A184,'Trips&amp;Operators'!$C$1:$E$10000,3,FALSE)</f>
        <v>LALONDE</v>
      </c>
      <c r="M184" s="6">
        <f t="shared" si="36"/>
        <v>9.4328703708015382E-3</v>
      </c>
      <c r="N184" s="7">
        <f t="shared" si="37"/>
        <v>13.583333333954215</v>
      </c>
      <c r="O184" s="7"/>
      <c r="P184" s="7"/>
      <c r="Q184" s="23"/>
      <c r="R184" s="23"/>
      <c r="S184" s="35">
        <f t="shared" si="38"/>
        <v>1</v>
      </c>
      <c r="T184" s="50" t="str">
        <f t="shared" si="39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14:40:30-700',mode:absolute,to:'2016-11-18 17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4" s="52" t="str">
        <f t="shared" si="41"/>
        <v>N</v>
      </c>
      <c r="X184" s="177">
        <f t="shared" si="42"/>
        <v>1</v>
      </c>
      <c r="Y184" s="67">
        <f t="shared" si="43"/>
        <v>9.2499999999999999E-2</v>
      </c>
      <c r="Z184" s="67">
        <f t="shared" si="44"/>
        <v>5.8921999999999999</v>
      </c>
      <c r="AA184" s="67">
        <f t="shared" si="45"/>
        <v>5.7996999999999996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6"/>
        <v>0827-18</v>
      </c>
      <c r="AE184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84" s="88" t="str">
        <f t="shared" si="48"/>
        <v>"C:\Program Files (x86)\AstroGrep\AstroGrep.exe" /spath="%USERPROFILE%\AppData\Local\Temp\OnboardLogs" /stypes="app*4007*20161118*" /stext=" 23:.+((SYSTEM_STATE.+slice.+state.+changed )|(ment ac)|(system.+state.+changed )|(\[timeout)|(PRM\|1\|D)|(kpr)|(kdp)|(\|lc)|(penalty))" /e /r /s</v>
      </c>
      <c r="AG184" s="1" t="str">
        <f t="shared" si="49"/>
        <v>NW</v>
      </c>
      <c r="AH184" s="92" t="str">
        <f t="shared" si="50"/>
        <v>"%USERPROFILE%\Documents\GitHub\eaglep3\Utilities\RefineRTDCRunTimes.py" --tripid 827-18 --locoid 4007 --swversion DE.1.0.8.0 --startMP 204:925 --initTime 2016-11-18T15:40:30 --startdatetime 2016-11-18T15:51:13 --delay 1 --endMP 300:58922 --enddatetime 2016-11-18T16:04:48 --enforcementcount 0 &gt;&gt;C:\Users\stu\Documents\GitHub\eaglep3-reporting\EC\2016-11-18-refined-times.txt</v>
      </c>
      <c r="AI184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{"issue":{"subject":"","project_id":79,"tracker_id":40,"status_id":1,"priority_id":2,"assigned_to_id":23,"start_date":"2016-11-18","description":"","custom_fields":[{"id":1,"name":"Subdivision","value":"NW"},{"id":4,"name":"Milepost","value":"5.8922"},{"id":17,"name":"Train ID","value":"827-18"},{"id":16,"name":"Locomotive ID","value":"4007"},{"id":130,"name":"Impact","value":""},{"id":150,"name":"Time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582</v>
      </c>
      <c r="B185" s="7">
        <v>4008</v>
      </c>
      <c r="C185" s="22" t="s">
        <v>218</v>
      </c>
      <c r="D185" s="22" t="s">
        <v>760</v>
      </c>
      <c r="E185" s="13">
        <v>42692.671122685184</v>
      </c>
      <c r="F185" s="13">
        <v>42692.672303240739</v>
      </c>
      <c r="G185" s="7">
        <v>1</v>
      </c>
      <c r="H185" s="22" t="s">
        <v>777</v>
      </c>
      <c r="I185" s="13">
        <v>42692.684606481482</v>
      </c>
      <c r="J185" s="7">
        <v>0</v>
      </c>
      <c r="K185" s="109" t="str">
        <f t="shared" si="35"/>
        <v>4007/4008</v>
      </c>
      <c r="L185" s="22" t="str">
        <f>VLOOKUP(A185,'Trips&amp;Operators'!$C$1:$E$10000,3,FALSE)</f>
        <v>LALONDE</v>
      </c>
      <c r="M185" s="6">
        <f t="shared" si="36"/>
        <v>1.230324074276723E-2</v>
      </c>
      <c r="N185" s="7">
        <f t="shared" si="37"/>
        <v>17.716666669584811</v>
      </c>
      <c r="O185" s="7"/>
      <c r="P185" s="7"/>
      <c r="Q185" s="23"/>
      <c r="R185" s="23"/>
      <c r="S185" s="35">
        <f t="shared" si="38"/>
        <v>1</v>
      </c>
      <c r="T185" s="50" t="str">
        <f t="shared" si="39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15:06:25-700',mode:absolute,to:'2016-11-18 17:25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5" s="52" t="str">
        <f t="shared" si="41"/>
        <v>N</v>
      </c>
      <c r="X185" s="177">
        <f t="shared" si="42"/>
        <v>1</v>
      </c>
      <c r="Y185" s="67">
        <f t="shared" si="43"/>
        <v>5.8601999999999999</v>
      </c>
      <c r="Z185" s="67">
        <f t="shared" si="44"/>
        <v>6.7000000000000004E-2</v>
      </c>
      <c r="AA185" s="67">
        <f t="shared" si="45"/>
        <v>5.7931999999999997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6"/>
        <v>0828-18</v>
      </c>
      <c r="AE185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85" s="88" t="str">
        <f t="shared" si="48"/>
        <v>"C:\Program Files (x86)\AstroGrep\AstroGrep.exe" /spath="%USERPROFILE%\AppData\Local\Temp\OnboardLogs" /stypes="app*4008*20161118*" /stext=" 23:.+((SYSTEM_STATE.+slice.+state.+changed )|(ment ac)|(system.+state.+changed )|(\[timeout)|(PRM\|1\|D)|(kpr)|(kdp)|(\|lc)|(penalty))" /e /r /s</v>
      </c>
      <c r="AG185" s="1" t="str">
        <f t="shared" si="49"/>
        <v>NW</v>
      </c>
      <c r="AH185" s="92" t="str">
        <f t="shared" si="50"/>
        <v>"%USERPROFILE%\Documents\GitHub\eaglep3\Utilities\RefineRTDCRunTimes.py" --tripid 828-18 --locoid 4008 --swversion DE.1.0.8.0 --startMP 300:58602 --initTime 2016-11-18T16:06:25 --startdatetime 2016-11-18T16:08:07 --delay 1 --endMP 204:670 --enddatetime 2016-11-18T16:25:50 --enforcementcount 0 &gt;&gt;C:\Users\stu\Documents\GitHub\eaglep3-reporting\EC\2016-11-18-refined-times.txt</v>
      </c>
      <c r="AI185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{"issue":{"subject":"","project_id":79,"tracker_id":40,"status_id":1,"priority_id":2,"assigned_to_id":23,"start_date":"2016-11-18","description":"","custom_fields":[{"id":1,"name":"Subdivision","value":"NW"},{"id":4,"name":"Milepost","value":"0.067"},{"id":17,"name":"Train ID","value":"828-18"},{"id":16,"name":"Locomotive ID","value":"4008"},{"id":130,"name":"Impact","value":""},{"id":150,"name":"Time of Event (Mountain Time)","value":"16:25:50"},{"id":151,"name":"Denver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583</v>
      </c>
      <c r="B186" s="7">
        <v>4031</v>
      </c>
      <c r="C186" s="22" t="s">
        <v>218</v>
      </c>
      <c r="D186" s="22" t="s">
        <v>365</v>
      </c>
      <c r="E186" s="13">
        <v>42692.6718287037</v>
      </c>
      <c r="F186" s="13">
        <v>42692.681423611109</v>
      </c>
      <c r="G186" s="7">
        <v>1</v>
      </c>
      <c r="H186" s="22" t="s">
        <v>778</v>
      </c>
      <c r="I186" s="13">
        <v>42692.691250000003</v>
      </c>
      <c r="J186" s="7">
        <v>0</v>
      </c>
      <c r="K186" s="109" t="str">
        <f t="shared" si="35"/>
        <v>4031/4032</v>
      </c>
      <c r="L186" s="22" t="str">
        <f>VLOOKUP(A186,'Trips&amp;Operators'!$C$1:$E$10000,3,FALSE)</f>
        <v>BADERTSCHER</v>
      </c>
      <c r="M186" s="6">
        <f t="shared" si="36"/>
        <v>9.826388893998228E-3</v>
      </c>
      <c r="N186" s="7">
        <f t="shared" si="37"/>
        <v>14.150000007357448</v>
      </c>
      <c r="O186" s="7"/>
      <c r="P186" s="7"/>
      <c r="Q186" s="23"/>
      <c r="R186" s="23"/>
      <c r="S186" s="35">
        <f t="shared" si="38"/>
        <v>1</v>
      </c>
      <c r="T186" s="50" t="str">
        <f t="shared" si="39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15:07:26-700',mode:absolute,to:'2016-11-18 17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2" t="str">
        <f t="shared" si="41"/>
        <v>N</v>
      </c>
      <c r="X186" s="177">
        <f t="shared" si="42"/>
        <v>1</v>
      </c>
      <c r="Y186" s="67">
        <f t="shared" si="43"/>
        <v>0.1009</v>
      </c>
      <c r="Z186" s="67">
        <f t="shared" si="44"/>
        <v>5.8920000000000003</v>
      </c>
      <c r="AA186" s="67">
        <f t="shared" si="45"/>
        <v>5.7911000000000001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6"/>
        <v>0829-18</v>
      </c>
      <c r="AE186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86" s="88" t="str">
        <f t="shared" si="48"/>
        <v>"C:\Program Files (x86)\AstroGrep\AstroGrep.exe" /spath="%USERPROFILE%\AppData\Local\Temp\OnboardLogs" /stypes="app*4031*20161118*" /stext=" 23:.+((SYSTEM_STATE.+slice.+state.+changed )|(ment ac)|(system.+state.+changed )|(\[timeout)|(PRM\|1\|D)|(kpr)|(kdp)|(\|lc)|(penalty))" /e /r /s</v>
      </c>
      <c r="AG186" s="1" t="str">
        <f t="shared" si="49"/>
        <v>NW</v>
      </c>
      <c r="AH186" s="92" t="str">
        <f t="shared" si="50"/>
        <v>"%USERPROFILE%\Documents\GitHub\eaglep3\Utilities\RefineRTDCRunTimes.py" --tripid 829-18 --locoid 4031 --swversion DE.1.0.8.0 --startMP 204:1009 --initTime 2016-11-18T16:07:26 --startdatetime 2016-11-18T16:21:15 --delay 1 --endMP 300:58920 --enddatetime 2016-11-18T16:35:24 --enforcementcount 0 &gt;&gt;C:\Users\stu\Documents\GitHub\eaglep3-reporting\EC\2016-11-18-refined-times.txt</v>
      </c>
      <c r="AI186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{"issue":{"subject":"","project_id":79,"tracker_id":40,"status_id":1,"priority_id":2,"assigned_to_id":23,"start_date":"2016-11-18","description":"","custom_fields":[{"id":1,"name":"Subdivision","value":"NW"},{"id":4,"name":"Milepost","value":"5.892"},{"id":17,"name":"Train ID","value":"829-18"},{"id":16,"name":"Locomotive ID","value":"4031"},{"id":130,"name":"Impact","value":""},{"id":150,"name":"Time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589</v>
      </c>
      <c r="B187" s="7">
        <v>4032</v>
      </c>
      <c r="C187" s="22" t="s">
        <v>218</v>
      </c>
      <c r="D187" s="22" t="s">
        <v>771</v>
      </c>
      <c r="E187" s="13">
        <v>42692.692453703705</v>
      </c>
      <c r="F187" s="13">
        <v>42692.694074074076</v>
      </c>
      <c r="G187" s="7">
        <v>1</v>
      </c>
      <c r="H187" s="22" t="s">
        <v>781</v>
      </c>
      <c r="I187" s="13">
        <v>42692.705717592595</v>
      </c>
      <c r="J187" s="7">
        <v>0</v>
      </c>
      <c r="K187" s="109" t="str">
        <f t="shared" si="35"/>
        <v>4031/4032</v>
      </c>
      <c r="L187" s="22" t="str">
        <f>VLOOKUP(A187,'Trips&amp;Operators'!$C$1:$E$10000,3,FALSE)</f>
        <v>BADERTSCHER</v>
      </c>
      <c r="M187" s="6">
        <f t="shared" si="36"/>
        <v>1.1643518519122154E-2</v>
      </c>
      <c r="N187" s="7">
        <f t="shared" si="37"/>
        <v>16.766666667535901</v>
      </c>
      <c r="O187" s="7"/>
      <c r="P187" s="7"/>
      <c r="Q187" s="23"/>
      <c r="R187" s="23"/>
      <c r="S187" s="35">
        <f t="shared" si="38"/>
        <v>1</v>
      </c>
      <c r="T187" s="50" t="str">
        <f t="shared" si="39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15:37:08-700',mode:absolute,to:'2016-11-18 17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41"/>
        <v>N</v>
      </c>
      <c r="X187" s="177">
        <f t="shared" si="42"/>
        <v>1</v>
      </c>
      <c r="Y187" s="67">
        <f t="shared" si="43"/>
        <v>5.8616999999999999</v>
      </c>
      <c r="Z187" s="67">
        <f t="shared" si="44"/>
        <v>7.5399999999999995E-2</v>
      </c>
      <c r="AA187" s="67">
        <f t="shared" si="45"/>
        <v>5.7862999999999998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6"/>
        <v>0830-18</v>
      </c>
      <c r="AE187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87" s="88" t="str">
        <f t="shared" si="48"/>
        <v>"C:\Program Files (x86)\AstroGrep\AstroGrep.exe" /spath="%USERPROFILE%\AppData\Local\Temp\OnboardLogs" /stypes="app*4032*20161118*" /stext=" 23:.+((SYSTEM_STATE.+slice.+state.+changed )|(ment ac)|(system.+state.+changed )|(\[timeout)|(PRM\|1\|D)|(kpr)|(kdp)|(\|lc)|(penalty))" /e /r /s</v>
      </c>
      <c r="AG187" s="1" t="str">
        <f t="shared" si="49"/>
        <v>NW</v>
      </c>
      <c r="AH187" s="92" t="str">
        <f t="shared" si="50"/>
        <v>"%USERPROFILE%\Documents\GitHub\eaglep3\Utilities\RefineRTDCRunTimes.py" --tripid 830-18 --locoid 4032 --swversion DE.1.0.8.0 --startMP 300:58617 --initTime 2016-11-18T16:37:08 --startdatetime 2016-11-18T16:39:28 --delay 1 --endMP 204:754 --enddatetime 2016-11-18T16:56:14 --enforcementcount 0 &gt;&gt;C:\Users\stu\Documents\GitHub\eaglep3-reporting\EC\2016-11-18-refined-times.txt</v>
      </c>
      <c r="AI187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{"issue":{"subject":"","project_id":79,"tracker_id":40,"status_id":1,"priority_id":2,"assigned_to_id":23,"start_date":"2016-11-18","description":"","custom_fields":[{"id":1,"name":"Subdivision","value":"NW"},{"id":4,"name":"Milepost","value":"0.0754"},{"id":17,"name":"Train ID","value":"830-18"},{"id":16,"name":"Locomotive ID","value":"4032"},{"id":130,"name":"Impact","value":""},{"id":150,"name":"Time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587</v>
      </c>
      <c r="B188" s="7">
        <v>4007</v>
      </c>
      <c r="C188" s="22" t="s">
        <v>218</v>
      </c>
      <c r="D188" s="22" t="s">
        <v>782</v>
      </c>
      <c r="E188" s="13">
        <v>42692.686388888891</v>
      </c>
      <c r="F188" s="13">
        <v>42692.702268518522</v>
      </c>
      <c r="G188" s="7">
        <v>1</v>
      </c>
      <c r="H188" s="22" t="s">
        <v>756</v>
      </c>
      <c r="I188" s="13">
        <v>42692.711817129632</v>
      </c>
      <c r="J188" s="7">
        <v>0</v>
      </c>
      <c r="K188" s="109" t="str">
        <f t="shared" si="35"/>
        <v>4007/4008</v>
      </c>
      <c r="L188" s="22" t="str">
        <f>VLOOKUP(A188,'Trips&amp;Operators'!$C$1:$E$10000,3,FALSE)</f>
        <v>LALONDE</v>
      </c>
      <c r="M188" s="6">
        <f t="shared" si="36"/>
        <v>9.5486111094942316E-3</v>
      </c>
      <c r="N188" s="7">
        <f t="shared" si="37"/>
        <v>13.749999997671694</v>
      </c>
      <c r="O188" s="7"/>
      <c r="P188" s="7"/>
      <c r="Q188" s="23"/>
      <c r="R188" s="23"/>
      <c r="S188" s="35">
        <f t="shared" si="38"/>
        <v>1</v>
      </c>
      <c r="T188" s="50" t="str">
        <f t="shared" si="39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15:28:24-700',mode:absolute,to:'2016-11-18 18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8" s="52" t="str">
        <f t="shared" si="41"/>
        <v>N</v>
      </c>
      <c r="X188" s="177">
        <f t="shared" si="42"/>
        <v>1</v>
      </c>
      <c r="Y188" s="67">
        <f t="shared" si="43"/>
        <v>9.4399999999999998E-2</v>
      </c>
      <c r="Z188" s="67">
        <f t="shared" si="44"/>
        <v>5.8933</v>
      </c>
      <c r="AA188" s="67">
        <f t="shared" si="45"/>
        <v>5.7988999999999997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6"/>
        <v>0831-18</v>
      </c>
      <c r="AE188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88" s="88" t="str">
        <f t="shared" si="48"/>
        <v>"C:\Program Files (x86)\AstroGrep\AstroGrep.exe" /spath="%USERPROFILE%\AppData\Local\Temp\OnboardLogs" /stypes="app*4007*20161119*" /stext=" 00:.+((SYSTEM_STATE.+slice.+state.+changed )|(ment ac)|(system.+state.+changed )|(\[timeout)|(PRM\|1\|D)|(kpr)|(kdp)|(\|lc)|(penalty))" /e /r /s</v>
      </c>
      <c r="AG188" s="1" t="str">
        <f t="shared" si="49"/>
        <v>NW</v>
      </c>
      <c r="AH188" s="92" t="str">
        <f t="shared" si="50"/>
        <v>"%USERPROFILE%\Documents\GitHub\eaglep3\Utilities\RefineRTDCRunTimes.py" --tripid 831-18 --locoid 4007 --swversion DE.1.0.8.0 --startMP 204:944 --initTime 2016-11-18T16:28:24 --startdatetime 2016-11-18T16:51:16 --delay 1 --endMP 300:58933 --enddatetime 2016-11-18T17:05:01 --enforcementcount 0 &gt;&gt;C:\Users\stu\Documents\GitHub\eaglep3-reporting\EC\2016-11-18-refined-times.txt</v>
      </c>
      <c r="AI188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{"issue":{"subject":"","project_id":79,"tracker_id":40,"status_id":1,"priority_id":2,"assigned_to_id":23,"start_date":"2016-11-18","description":"","custom_fields":[{"id":1,"name":"Subdivision","value":"NW"},{"id":4,"name":"Milepost","value":"5.8933"},{"id":17,"name":"Train ID","value":"831-18"},{"id":16,"name":"Locomotive ID","value":"4007"},{"id":130,"name":"Impact","value":""},{"id":150,"name":"Time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595</v>
      </c>
      <c r="B189" s="7">
        <v>4008</v>
      </c>
      <c r="C189" s="22" t="s">
        <v>218</v>
      </c>
      <c r="D189" s="22" t="s">
        <v>367</v>
      </c>
      <c r="E189" s="13">
        <v>42692.712731481479</v>
      </c>
      <c r="F189" s="13">
        <v>42692.71435185185</v>
      </c>
      <c r="G189" s="7">
        <v>1</v>
      </c>
      <c r="H189" s="22" t="s">
        <v>783</v>
      </c>
      <c r="I189" s="13">
        <v>42692.727650462963</v>
      </c>
      <c r="J189" s="7">
        <v>0</v>
      </c>
      <c r="K189" s="109" t="str">
        <f t="shared" si="35"/>
        <v>4007/4008</v>
      </c>
      <c r="L189" s="22" t="str">
        <f>VLOOKUP(A189,'Trips&amp;Operators'!$C$1:$E$10000,3,FALSE)</f>
        <v>LALONDE</v>
      </c>
      <c r="M189" s="6">
        <f t="shared" si="36"/>
        <v>1.3298611112986691E-2</v>
      </c>
      <c r="N189" s="7">
        <f t="shared" si="37"/>
        <v>19.150000002700835</v>
      </c>
      <c r="O189" s="7"/>
      <c r="P189" s="7"/>
      <c r="Q189" s="23"/>
      <c r="R189" s="23"/>
      <c r="S189" s="35">
        <f t="shared" si="38"/>
        <v>1</v>
      </c>
      <c r="T189" s="50" t="str">
        <f t="shared" si="39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16:06:20-700',mode:absolute,to:'2016-11-18 18:27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9" s="52" t="str">
        <f t="shared" si="41"/>
        <v>N</v>
      </c>
      <c r="X189" s="177">
        <f t="shared" si="42"/>
        <v>1</v>
      </c>
      <c r="Y189" s="67">
        <f t="shared" si="43"/>
        <v>5.8624000000000001</v>
      </c>
      <c r="Z189" s="67">
        <f t="shared" si="44"/>
        <v>6.9599999999999995E-2</v>
      </c>
      <c r="AA189" s="67">
        <f t="shared" si="45"/>
        <v>5.7927999999999997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6"/>
        <v>0832-18</v>
      </c>
      <c r="AE189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89" s="88" t="str">
        <f t="shared" si="48"/>
        <v>"C:\Program Files (x86)\AstroGrep\AstroGrep.exe" /spath="%USERPROFILE%\AppData\Local\Temp\OnboardLogs" /stypes="app*4008*20161119*" /stext=" 00:.+((SYSTEM_STATE.+slice.+state.+changed )|(ment ac)|(system.+state.+changed )|(\[timeout)|(PRM\|1\|D)|(kpr)|(kdp)|(\|lc)|(penalty))" /e /r /s</v>
      </c>
      <c r="AG189" s="1" t="str">
        <f t="shared" si="49"/>
        <v>NW</v>
      </c>
      <c r="AH189" s="92" t="str">
        <f t="shared" si="50"/>
        <v>"%USERPROFILE%\Documents\GitHub\eaglep3\Utilities\RefineRTDCRunTimes.py" --tripid 832-18 --locoid 4008 --swversion DE.1.0.8.0 --startMP 300:58624 --initTime 2016-11-18T17:06:20 --startdatetime 2016-11-18T17:08:40 --delay 1 --endMP 204:696 --enddatetime 2016-11-18T17:27:49 --enforcementcount 0 &gt;&gt;C:\Users\stu\Documents\GitHub\eaglep3-reporting\EC\2016-11-18-refined-times.txt</v>
      </c>
      <c r="AI189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{"issue":{"subject":"","project_id":79,"tracker_id":40,"status_id":1,"priority_id":2,"assigned_to_id":23,"start_date":"2016-11-18","description":"","custom_fields":[{"id":1,"name":"Subdivision","value":"NW"},{"id":4,"name":"Milepost","value":"0.0696"},{"id":17,"name":"Train ID","value":"832-18"},{"id":16,"name":"Locomotive ID","value":"4008"},{"id":130,"name":"Impact","value":""},{"id":150,"name":"Time of Event (Mountain Time)","value":"17:27:49"},{"id":151,"name":"Denver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597</v>
      </c>
      <c r="B190" s="7">
        <v>4031</v>
      </c>
      <c r="C190" s="22" t="s">
        <v>218</v>
      </c>
      <c r="D190" s="22" t="s">
        <v>784</v>
      </c>
      <c r="E190" s="13">
        <v>42692.718171296299</v>
      </c>
      <c r="F190" s="13">
        <v>42692.723344907405</v>
      </c>
      <c r="G190" s="7">
        <v>1</v>
      </c>
      <c r="H190" s="22" t="s">
        <v>770</v>
      </c>
      <c r="I190" s="13">
        <v>42692.733298611114</v>
      </c>
      <c r="J190" s="7">
        <v>0</v>
      </c>
      <c r="K190" s="109" t="str">
        <f t="shared" si="35"/>
        <v>4031/4032</v>
      </c>
      <c r="L190" s="22" t="str">
        <f>VLOOKUP(A190,'Trips&amp;Operators'!$C$1:$E$10000,3,FALSE)</f>
        <v>BADERTSCHER</v>
      </c>
      <c r="M190" s="6">
        <f t="shared" si="36"/>
        <v>9.9537037094705738E-3</v>
      </c>
      <c r="N190" s="7">
        <f t="shared" si="37"/>
        <v>14.333333341637626</v>
      </c>
      <c r="O190" s="7"/>
      <c r="P190" s="7"/>
      <c r="Q190" s="23"/>
      <c r="R190" s="23"/>
      <c r="S190" s="35">
        <f t="shared" si="38"/>
        <v>1</v>
      </c>
      <c r="T190" s="50" t="str">
        <f t="shared" si="39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16:14:10-700',mode:absolute,to:'2016-11-18 18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2" t="str">
        <f t="shared" si="41"/>
        <v>N</v>
      </c>
      <c r="X190" s="177">
        <f t="shared" si="42"/>
        <v>1</v>
      </c>
      <c r="Y190" s="67">
        <f t="shared" si="43"/>
        <v>0.1048</v>
      </c>
      <c r="Z190" s="67">
        <f t="shared" si="44"/>
        <v>5.8943000000000003</v>
      </c>
      <c r="AA190" s="67">
        <f t="shared" si="45"/>
        <v>5.7895000000000003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6"/>
        <v>0833-18</v>
      </c>
      <c r="AE190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90" s="88" t="str">
        <f t="shared" si="48"/>
        <v>"C:\Program Files (x86)\AstroGrep\AstroGrep.exe" /spath="%USERPROFILE%\AppData\Local\Temp\OnboardLogs" /stypes="app*4031*20161119*" /stext=" 00:.+((SYSTEM_STATE.+slice.+state.+changed )|(ment ac)|(system.+state.+changed )|(\[timeout)|(PRM\|1\|D)|(kpr)|(kdp)|(\|lc)|(penalty))" /e /r /s</v>
      </c>
      <c r="AG190" s="1" t="str">
        <f t="shared" si="49"/>
        <v>NW</v>
      </c>
      <c r="AH190" s="92" t="str">
        <f t="shared" si="50"/>
        <v>"%USERPROFILE%\Documents\GitHub\eaglep3\Utilities\RefineRTDCRunTimes.py" --tripid 833-18 --locoid 4031 --swversion DE.1.0.8.0 --startMP 204:1048 --initTime 2016-11-18T17:14:10 --startdatetime 2016-11-18T17:21:37 --delay 1 --endMP 300:58943 --enddatetime 2016-11-18T17:35:57 --enforcementcount 0 &gt;&gt;C:\Users\stu\Documents\GitHub\eaglep3-reporting\EC\2016-11-18-refined-times.txt</v>
      </c>
      <c r="AI190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{"issue":{"subject":"","project_id":79,"tracker_id":40,"status_id":1,"priority_id":2,"assigned_to_id":23,"start_date":"2016-11-18","description":"","custom_fields":[{"id":1,"name":"Subdivision","value":"NW"},{"id":4,"name":"Milepost","value":"5.8943"},{"id":17,"name":"Train ID","value":"833-18"},{"id":16,"name":"Locomotive ID","value":"4031"},{"id":130,"name":"Impact","value":""},{"id":150,"name":"Time of Event (Mountain Time)","value":"17:35:57"},{"id":151,"name":"Denver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602</v>
      </c>
      <c r="B191" s="7">
        <v>4032</v>
      </c>
      <c r="C191" s="22" t="s">
        <v>218</v>
      </c>
      <c r="D191" s="22" t="s">
        <v>785</v>
      </c>
      <c r="E191" s="13">
        <v>42692.734432870369</v>
      </c>
      <c r="F191" s="13">
        <v>42692.735729166663</v>
      </c>
      <c r="G191" s="7">
        <v>1</v>
      </c>
      <c r="H191" s="22" t="s">
        <v>774</v>
      </c>
      <c r="I191" s="13">
        <v>42692.747650462959</v>
      </c>
      <c r="J191" s="7">
        <v>0</v>
      </c>
      <c r="K191" s="109" t="str">
        <f t="shared" si="35"/>
        <v>4031/4032</v>
      </c>
      <c r="L191" s="22" t="str">
        <f>VLOOKUP(A191,'Trips&amp;Operators'!$C$1:$E$10000,3,FALSE)</f>
        <v>BADERTSCHER</v>
      </c>
      <c r="M191" s="6">
        <f t="shared" si="36"/>
        <v>1.1921296296350192E-2</v>
      </c>
      <c r="N191" s="7">
        <f t="shared" si="37"/>
        <v>17.166666666744277</v>
      </c>
      <c r="O191" s="7"/>
      <c r="P191" s="7"/>
      <c r="Q191" s="23"/>
      <c r="R191" s="23"/>
      <c r="S191" s="35">
        <f t="shared" si="38"/>
        <v>1</v>
      </c>
      <c r="T191" s="50" t="str">
        <f t="shared" si="39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16:37:35-700',mode:absolute,to:'2016-11-18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1" s="52" t="str">
        <f t="shared" si="41"/>
        <v>N</v>
      </c>
      <c r="X191" s="177">
        <f t="shared" si="42"/>
        <v>1</v>
      </c>
      <c r="Y191" s="67">
        <f t="shared" si="43"/>
        <v>5.8632</v>
      </c>
      <c r="Z191" s="67">
        <f t="shared" si="44"/>
        <v>7.2599999999999998E-2</v>
      </c>
      <c r="AA191" s="67">
        <f t="shared" si="45"/>
        <v>5.7905999999999995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6"/>
        <v>0834-18</v>
      </c>
      <c r="AE191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91" s="88" t="str">
        <f t="shared" si="48"/>
        <v>"C:\Program Files (x86)\AstroGrep\AstroGrep.exe" /spath="%USERPROFILE%\AppData\Local\Temp\OnboardLogs" /stypes="app*4032*20161119*" /stext=" 00:.+((SYSTEM_STATE.+slice.+state.+changed )|(ment ac)|(system.+state.+changed )|(\[timeout)|(PRM\|1\|D)|(kpr)|(kdp)|(\|lc)|(penalty))" /e /r /s</v>
      </c>
      <c r="AG191" s="1" t="str">
        <f t="shared" si="49"/>
        <v>NW</v>
      </c>
      <c r="AH191" s="92" t="str">
        <f t="shared" si="50"/>
        <v>"%USERPROFILE%\Documents\GitHub\eaglep3\Utilities\RefineRTDCRunTimes.py" --tripid 834-18 --locoid 4032 --swversion DE.1.0.8.0 --startMP 300:58632 --initTime 2016-11-18T17:37:35 --startdatetime 2016-11-18T17:39:27 --delay 1 --endMP 204:726 --enddatetime 2016-11-18T17:56:37 --enforcementcount 0 &gt;&gt;C:\Users\stu\Documents\GitHub\eaglep3-reporting\EC\2016-11-18-refined-times.txt</v>
      </c>
      <c r="AI191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{"issue":{"subject":"","project_id":79,"tracker_id":40,"status_id":1,"priority_id":2,"assigned_to_id":23,"start_date":"2016-11-18","description":"","custom_fields":[{"id":1,"name":"Subdivision","value":"NW"},{"id":4,"name":"Milepost","value":"0.0726"},{"id":17,"name":"Train ID","value":"834-18"},{"id":16,"name":"Locomotive ID","value":"4032"},{"id":130,"name":"Impact","value":""},{"id":150,"name":"Time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601</v>
      </c>
      <c r="B192" s="7">
        <v>4007</v>
      </c>
      <c r="C192" s="22" t="s">
        <v>218</v>
      </c>
      <c r="D192" s="22" t="s">
        <v>786</v>
      </c>
      <c r="E192" s="13">
        <v>42692.728877314818</v>
      </c>
      <c r="F192" s="13">
        <v>42692.743923611109</v>
      </c>
      <c r="G192" s="7">
        <v>1</v>
      </c>
      <c r="H192" s="22" t="s">
        <v>787</v>
      </c>
      <c r="I192" s="13">
        <v>42692.753298611111</v>
      </c>
      <c r="J192" s="7">
        <v>0</v>
      </c>
      <c r="K192" s="109" t="str">
        <f t="shared" si="35"/>
        <v>4007/4008</v>
      </c>
      <c r="L192" s="22" t="str">
        <f>VLOOKUP(A192,'Trips&amp;Operators'!$C$1:$E$10000,3,FALSE)</f>
        <v>LALONDE</v>
      </c>
      <c r="M192" s="6">
        <f t="shared" si="36"/>
        <v>9.3750000014551915E-3</v>
      </c>
      <c r="N192" s="7">
        <f t="shared" si="37"/>
        <v>13.500000002095476</v>
      </c>
      <c r="O192" s="7"/>
      <c r="P192" s="7"/>
      <c r="Q192" s="23"/>
      <c r="R192" s="23"/>
      <c r="S192" s="35">
        <f t="shared" si="38"/>
        <v>1</v>
      </c>
      <c r="T192" s="50" t="str">
        <f t="shared" si="39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16:29:35-700',mode:absolute,to:'2016-11-18 19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2" s="52" t="str">
        <f t="shared" si="41"/>
        <v>N</v>
      </c>
      <c r="X192" s="177">
        <f t="shared" si="42"/>
        <v>1</v>
      </c>
      <c r="Y192" s="67">
        <f t="shared" si="43"/>
        <v>9.7100000000000006E-2</v>
      </c>
      <c r="Z192" s="67">
        <f t="shared" si="44"/>
        <v>5.8944000000000001</v>
      </c>
      <c r="AA192" s="67">
        <f t="shared" si="45"/>
        <v>5.7972999999999999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6"/>
        <v>0835-18</v>
      </c>
      <c r="AE192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92" s="88" t="str">
        <f t="shared" si="48"/>
        <v>"C:\Program Files (x86)\AstroGrep\AstroGrep.exe" /spath="%USERPROFILE%\AppData\Local\Temp\OnboardLogs" /stypes="app*4007*20161119*" /stext=" 01:.+((SYSTEM_STATE.+slice.+state.+changed )|(ment ac)|(system.+state.+changed )|(\[timeout)|(PRM\|1\|D)|(kpr)|(kdp)|(\|lc)|(penalty))" /e /r /s</v>
      </c>
      <c r="AG192" s="1" t="str">
        <f t="shared" si="49"/>
        <v>NW</v>
      </c>
      <c r="AH192" s="92" t="str">
        <f t="shared" si="50"/>
        <v>"%USERPROFILE%\Documents\GitHub\eaglep3\Utilities\RefineRTDCRunTimes.py" --tripid 835-18 --locoid 4007 --swversion DE.1.0.8.0 --startMP 204:971 --initTime 2016-11-18T17:29:35 --startdatetime 2016-11-18T17:51:15 --delay 1 --endMP 300:58944 --enddatetime 2016-11-18T18:04:45 --enforcementcount 0 &gt;&gt;C:\Users\stu\Documents\GitHub\eaglep3-reporting\EC\2016-11-18-refined-times.txt</v>
      </c>
      <c r="AI192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{"issue":{"subject":"","project_id":79,"tracker_id":40,"status_id":1,"priority_id":2,"assigned_to_id":23,"start_date":"2016-11-18","description":"","custom_fields":[{"id":1,"name":"Subdivision","value":"NW"},{"id":4,"name":"Milepost","value":"5.8944"},{"id":17,"name":"Train ID","value":"835-18"},{"id":16,"name":"Locomotive ID","value":"4007"},{"id":130,"name":"Impact","value":""},{"id":150,"name":"Time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607</v>
      </c>
      <c r="B193" s="7">
        <v>4008</v>
      </c>
      <c r="C193" s="22" t="s">
        <v>218</v>
      </c>
      <c r="D193" s="22" t="s">
        <v>788</v>
      </c>
      <c r="E193" s="13">
        <v>42692.764131944445</v>
      </c>
      <c r="F193" s="13">
        <v>42692.765023148146</v>
      </c>
      <c r="G193" s="7">
        <v>1</v>
      </c>
      <c r="H193" s="22" t="s">
        <v>789</v>
      </c>
      <c r="I193" s="13">
        <v>42692.769872685189</v>
      </c>
      <c r="J193" s="7">
        <v>0</v>
      </c>
      <c r="K193" s="109" t="str">
        <f t="shared" si="35"/>
        <v>4007/4008</v>
      </c>
      <c r="L193" s="22" t="str">
        <f>VLOOKUP(A193,'Trips&amp;Operators'!$C$1:$E$10000,3,FALSE)</f>
        <v>LALONDE</v>
      </c>
      <c r="M193" s="6">
        <f t="shared" si="36"/>
        <v>4.8495370429009199E-3</v>
      </c>
      <c r="N193" s="7"/>
      <c r="O193" s="7"/>
      <c r="P193" s="7">
        <f>24*60*SUM($M193:$M194)</f>
        <v>17.516666675219312</v>
      </c>
      <c r="Q193" s="23"/>
      <c r="R193" s="23" t="s">
        <v>837</v>
      </c>
      <c r="S193" s="35">
        <f t="shared" si="38"/>
        <v>1</v>
      </c>
      <c r="T193" s="50" t="str">
        <f t="shared" si="39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17:20:21-700',mode:absolute,to:'2016-11-18 19:28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3" s="52" t="str">
        <f t="shared" si="41"/>
        <v>Y</v>
      </c>
      <c r="X193" s="177">
        <f t="shared" si="42"/>
        <v>1</v>
      </c>
      <c r="Y193" s="67">
        <f t="shared" si="43"/>
        <v>2.4742999999999999</v>
      </c>
      <c r="Z193" s="67">
        <f t="shared" si="44"/>
        <v>6.9099999999999995E-2</v>
      </c>
      <c r="AA193" s="67">
        <f t="shared" si="45"/>
        <v>2.4051999999999998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6"/>
        <v>0836-18</v>
      </c>
      <c r="AE193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93" s="88" t="str">
        <f t="shared" si="48"/>
        <v>"C:\Program Files (x86)\AstroGrep\AstroGrep.exe" /spath="%USERPROFILE%\AppData\Local\Temp\OnboardLogs" /stypes="app*4008*20161119*" /stext=" 01:.+((SYSTEM_STATE.+slice.+state.+changed )|(ment ac)|(system.+state.+changed )|(\[timeout)|(PRM\|1\|D)|(kpr)|(kdp)|(\|lc)|(penalty))" /e /r /s</v>
      </c>
      <c r="AG193" s="1" t="str">
        <f t="shared" si="49"/>
        <v>NW</v>
      </c>
      <c r="AH193" s="92" t="str">
        <f t="shared" si="50"/>
        <v>"%USERPROFILE%\Documents\GitHub\eaglep3\Utilities\RefineRTDCRunTimes.py" --tripid 836-18 --locoid 4008 --swversion DE.1.0.8.0 --startMP 300:24743 --initTime 2016-11-18T18:20:21 --startdatetime 2016-11-18T18:21:38 --delay 1 --endMP 204:691 --enddatetime 2016-11-18T18:28:37 --enforcementcount 0 &gt;&gt;C:\Users\stu\Documents\GitHub\eaglep3-reporting\EC\2016-11-18-refined-times.txt</v>
      </c>
      <c r="AI193" s="119" t="str">
        <f t="shared" si="51"/>
        <v>echo {"issue":{"subject":"CP CRMF POCKET offline for 45 min","project_id":79,"tracker_id":40,"status_id":1,"priority_id":2,"assigned_to_id":23,"start_date":"2016-11-18","description":"From 08:01 - 08:45, CRMF Pocket CP was offline, anything in logs say why?","custom_fields":[{"id":1,"name":"Subdivision","value":"NW"},{"id":4,"name":"Milepost","value":"0.0691"},{"id":17,"name":"Train ID","value":"836-18"},{"id":16,"name":"Locomotive ID","value":"4008"},{"id":130,"name":"Impact","value":"Enforcement"},{"id":150,"name":"Time of Event (Mountain Time)","value":"18:28:37"},{"id":151,"name":"Denver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3" s="53" t="s">
        <v>831</v>
      </c>
      <c r="AK193" s="53" t="s">
        <v>125</v>
      </c>
      <c r="AL193" s="53" t="s">
        <v>130</v>
      </c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607</v>
      </c>
      <c r="B194" s="7">
        <v>4008</v>
      </c>
      <c r="C194" s="22" t="s">
        <v>218</v>
      </c>
      <c r="D194" s="22" t="s">
        <v>790</v>
      </c>
      <c r="E194" s="13">
        <v>42692.754155092596</v>
      </c>
      <c r="F194" s="13">
        <v>42692.755682870367</v>
      </c>
      <c r="G194" s="7">
        <v>1</v>
      </c>
      <c r="H194" s="22" t="s">
        <v>791</v>
      </c>
      <c r="I194" s="13">
        <v>42692.762997685182</v>
      </c>
      <c r="J194" s="7">
        <v>0</v>
      </c>
      <c r="K194" s="109" t="str">
        <f t="shared" si="35"/>
        <v>4007/4008</v>
      </c>
      <c r="L194" s="22" t="str">
        <f>VLOOKUP(A194,'Trips&amp;Operators'!$C$1:$E$10000,3,FALSE)</f>
        <v>LALONDE</v>
      </c>
      <c r="M194" s="6">
        <f t="shared" si="36"/>
        <v>7.3148148148902692E-3</v>
      </c>
      <c r="N194" s="7"/>
      <c r="O194" s="7"/>
      <c r="P194" s="7"/>
      <c r="Q194" s="23"/>
      <c r="R194" s="23"/>
      <c r="S194" s="35"/>
      <c r="T194" s="50" t="str">
        <f t="shared" si="39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17:05:59-700',mode:absolute,to:'2016-11-18 19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4" s="52" t="str">
        <f t="shared" si="41"/>
        <v>Y</v>
      </c>
      <c r="X194" s="177">
        <f t="shared" si="42"/>
        <v>0</v>
      </c>
      <c r="Y194" s="67">
        <f t="shared" si="43"/>
        <v>5.8625999999999996</v>
      </c>
      <c r="Z194" s="67">
        <f t="shared" si="44"/>
        <v>2.7726000000000002</v>
      </c>
      <c r="AA194" s="67">
        <f t="shared" si="45"/>
        <v>3.0899999999999994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6"/>
        <v>0836-18</v>
      </c>
      <c r="AE194" s="91" t="str">
        <f t="shared" si="47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194" s="88" t="str">
        <f t="shared" si="48"/>
        <v>"C:\Program Files (x86)\AstroGrep\AstroGrep.exe" /spath="%USERPROFILE%\AppData\Local\Temp\OnboardLogs" /stypes="app*4008*20161119*" /stext=" 01:.+((SYSTEM_STATE.+slice.+state.+changed )|(ment ac)|(system.+state.+changed )|(\[timeout)|(PRM\|1\|D)|(kpr)|(kdp)|(\|lc)|(penalty))" /e /r /s</v>
      </c>
      <c r="AG194" s="1" t="str">
        <f t="shared" si="49"/>
        <v>NW</v>
      </c>
      <c r="AH194" s="92" t="str">
        <f t="shared" si="50"/>
        <v>"%USERPROFILE%\Documents\GitHub\eaglep3\Utilities\RefineRTDCRunTimes.py" --tripid 836-18 --locoid 4008 --swversion DE.1.0.8.0 --startMP 300:58626 --initTime 2016-11-18T18:05:59 --startdatetime 2016-11-18T18:08:11 --delay 1 --endMP 300:27726 --enddatetime 2016-11-18T18:18:43 --enforcementcount 0 &gt;&gt;C:\Users\stu\Documents\GitHub\eaglep3-reporting\EC\2016-11-18-refined-times.txt</v>
      </c>
      <c r="AI194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{"issue":{"subject":"","project_id":79,"tracker_id":40,"status_id":1,"priority_id":2,"assigned_to_id":23,"start_date":"2016-11-18","description":"","custom_fields":[{"id":1,"name":"Subdivision","value":"NW"},{"id":4,"name":"Milepost","value":"2.7726"},{"id":17,"name":"Train ID","value":"836-18"},{"id":16,"name":"Locomotive ID","value":"4008"},{"id":130,"name":"Impact","value":""},{"id":150,"name":"Time of Event (Mountain Time)","value":"18:18:43"},{"id":151,"name":"Denver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610</v>
      </c>
      <c r="B195" s="7">
        <v>4031</v>
      </c>
      <c r="C195" s="22" t="s">
        <v>218</v>
      </c>
      <c r="D195" s="22" t="s">
        <v>365</v>
      </c>
      <c r="E195" s="13">
        <v>42692.762835648151</v>
      </c>
      <c r="F195" s="13">
        <v>42692.764837962961</v>
      </c>
      <c r="G195" s="7">
        <v>1</v>
      </c>
      <c r="H195" s="22" t="s">
        <v>792</v>
      </c>
      <c r="I195" s="13">
        <v>42692.77547453704</v>
      </c>
      <c r="J195" s="7">
        <v>0</v>
      </c>
      <c r="K195" s="109" t="str">
        <f t="shared" si="35"/>
        <v>4031/4032</v>
      </c>
      <c r="L195" s="22" t="str">
        <f>VLOOKUP(A195,'Trips&amp;Operators'!$C$1:$E$10000,3,FALSE)</f>
        <v>BADERTSCHER</v>
      </c>
      <c r="M195" s="6">
        <f t="shared" si="36"/>
        <v>1.0636574079398997E-2</v>
      </c>
      <c r="N195" s="7">
        <f t="shared" si="37"/>
        <v>15.316666674334556</v>
      </c>
      <c r="O195" s="7"/>
      <c r="P195" s="7"/>
      <c r="Q195" s="23"/>
      <c r="R195" s="23"/>
      <c r="S195" s="35">
        <f t="shared" si="38"/>
        <v>1</v>
      </c>
      <c r="T195" s="50" t="str">
        <f t="shared" si="39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17:18:29-700',mode:absolute,to:'2016-11-18 19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1"/>
        <v>N</v>
      </c>
      <c r="X195" s="177">
        <f t="shared" si="42"/>
        <v>1</v>
      </c>
      <c r="Y195" s="67">
        <f t="shared" si="43"/>
        <v>0.1009</v>
      </c>
      <c r="Z195" s="67">
        <f t="shared" si="44"/>
        <v>5.8940999999999999</v>
      </c>
      <c r="AA195" s="67">
        <f t="shared" si="45"/>
        <v>5.7931999999999997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6"/>
        <v>0837-18</v>
      </c>
      <c r="AE195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95" s="88" t="str">
        <f t="shared" si="48"/>
        <v>"C:\Program Files (x86)\AstroGrep\AstroGrep.exe" /spath="%USERPROFILE%\AppData\Local\Temp\OnboardLogs" /stypes="app*4031*20161119*" /stext=" 01:.+((SYSTEM_STATE.+slice.+state.+changed )|(ment ac)|(system.+state.+changed )|(\[timeout)|(PRM\|1\|D)|(kpr)|(kdp)|(\|lc)|(penalty))" /e /r /s</v>
      </c>
      <c r="AG195" s="1" t="str">
        <f t="shared" si="49"/>
        <v>NW</v>
      </c>
      <c r="AH195" s="92" t="str">
        <f t="shared" si="50"/>
        <v>"%USERPROFILE%\Documents\GitHub\eaglep3\Utilities\RefineRTDCRunTimes.py" --tripid 837-18 --locoid 4031 --swversion DE.1.0.8.0 --startMP 204:1009 --initTime 2016-11-18T18:18:29 --startdatetime 2016-11-18T18:21:22 --delay 1 --endMP 300:58941 --enddatetime 2016-11-18T18:36:41 --enforcementcount 0 &gt;&gt;C:\Users\stu\Documents\GitHub\eaglep3-reporting\EC\2016-11-18-refined-times.txt</v>
      </c>
      <c r="AI195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{"issue":{"subject":"","project_id":79,"tracker_id":40,"status_id":1,"priority_id":2,"assigned_to_id":23,"start_date":"2016-11-18","description":"","custom_fields":[{"id":1,"name":"Subdivision","value":"NW"},{"id":4,"name":"Milepost","value":"5.8941"},{"id":17,"name":"Train ID","value":"837-18"},{"id":16,"name":"Locomotive ID","value":"4031"},{"id":130,"name":"Impact","value":""},{"id":150,"name":"Time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615</v>
      </c>
      <c r="B196" s="7">
        <v>4032</v>
      </c>
      <c r="C196" s="22" t="s">
        <v>218</v>
      </c>
      <c r="D196" s="22" t="s">
        <v>793</v>
      </c>
      <c r="E196" s="13">
        <v>42692.778599537036</v>
      </c>
      <c r="F196" s="13">
        <v>42692.779780092591</v>
      </c>
      <c r="G196" s="7">
        <v>1</v>
      </c>
      <c r="H196" s="22" t="s">
        <v>794</v>
      </c>
      <c r="I196" s="13">
        <v>42692.789768518516</v>
      </c>
      <c r="J196" s="7">
        <v>0</v>
      </c>
      <c r="K196" s="109" t="str">
        <f t="shared" si="35"/>
        <v>4031/4032</v>
      </c>
      <c r="L196" s="22" t="str">
        <f>VLOOKUP(A196,'Trips&amp;Operators'!$C$1:$E$10000,3,FALSE)</f>
        <v>BADERTSCHER</v>
      </c>
      <c r="M196" s="6">
        <f t="shared" si="36"/>
        <v>9.9884259252576157E-3</v>
      </c>
      <c r="N196" s="7">
        <f t="shared" si="37"/>
        <v>14.383333332370967</v>
      </c>
      <c r="O196" s="7"/>
      <c r="P196" s="7"/>
      <c r="Q196" s="23"/>
      <c r="R196" s="23"/>
      <c r="S196" s="35">
        <f t="shared" si="38"/>
        <v>1</v>
      </c>
      <c r="T196" s="50" t="str">
        <f t="shared" si="39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17:41:11-700',mode:absolute,to:'2016-11-18 19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2" t="str">
        <f t="shared" si="41"/>
        <v>N</v>
      </c>
      <c r="X196" s="177">
        <f t="shared" si="42"/>
        <v>1</v>
      </c>
      <c r="Y196" s="67">
        <f t="shared" si="43"/>
        <v>5.8619000000000003</v>
      </c>
      <c r="Z196" s="67">
        <f t="shared" si="44"/>
        <v>7.4700000000000003E-2</v>
      </c>
      <c r="AA196" s="67">
        <f t="shared" si="45"/>
        <v>5.7872000000000003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6"/>
        <v>0838-18</v>
      </c>
      <c r="AE196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96" s="88" t="str">
        <f t="shared" si="48"/>
        <v>"C:\Program Files (x86)\AstroGrep\AstroGrep.exe" /spath="%USERPROFILE%\AppData\Local\Temp\OnboardLogs" /stypes="app*4032*20161119*" /stext=" 01:.+((SYSTEM_STATE.+slice.+state.+changed )|(ment ac)|(system.+state.+changed )|(\[timeout)|(PRM\|1\|D)|(kpr)|(kdp)|(\|lc)|(penalty))" /e /r /s</v>
      </c>
      <c r="AG196" s="1" t="str">
        <f t="shared" si="49"/>
        <v>NW</v>
      </c>
      <c r="AH196" s="92" t="str">
        <f t="shared" si="50"/>
        <v>"%USERPROFILE%\Documents\GitHub\eaglep3\Utilities\RefineRTDCRunTimes.py" --tripid 838-18 --locoid 4032 --swversion DE.1.0.8.0 --startMP 300:58619 --initTime 2016-11-18T18:41:11 --startdatetime 2016-11-18T18:42:53 --delay 1 --endMP 204:747 --enddatetime 2016-11-18T18:57:16 --enforcementcount 0 &gt;&gt;C:\Users\stu\Documents\GitHub\eaglep3-reporting\EC\2016-11-18-refined-times.txt</v>
      </c>
      <c r="AI196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{"issue":{"subject":"","project_id":79,"tracker_id":40,"status_id":1,"priority_id":2,"assigned_to_id":23,"start_date":"2016-11-18","description":"","custom_fields":[{"id":1,"name":"Subdivision","value":"NW"},{"id":4,"name":"Milepost","value":"0.0747"},{"id":17,"name":"Train ID","value":"838-18"},{"id":16,"name":"Locomotive ID","value":"4032"},{"id":130,"name":"Impact","value":""},{"id":150,"name":"Time of Event (Mountain Time)","value":"18:57:16"},{"id":151,"name":"Denver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466</v>
      </c>
      <c r="B197" s="7">
        <v>4007</v>
      </c>
      <c r="C197" s="22" t="s">
        <v>218</v>
      </c>
      <c r="D197" s="22" t="s">
        <v>786</v>
      </c>
      <c r="E197" s="13">
        <v>42692.770960648151</v>
      </c>
      <c r="F197" s="13">
        <v>42692.785567129627</v>
      </c>
      <c r="G197" s="7">
        <v>1</v>
      </c>
      <c r="H197" s="22" t="s">
        <v>287</v>
      </c>
      <c r="I197" s="13">
        <v>42692.794999999998</v>
      </c>
      <c r="J197" s="7">
        <v>0</v>
      </c>
      <c r="K197" s="109" t="str">
        <f t="shared" si="35"/>
        <v>4007/4008</v>
      </c>
      <c r="L197" s="22" t="str">
        <f>VLOOKUP(A197,'Trips&amp;Operators'!$C$1:$E$10000,3,FALSE)</f>
        <v>LALONDE</v>
      </c>
      <c r="M197" s="6">
        <f t="shared" si="36"/>
        <v>9.4328703708015382E-3</v>
      </c>
      <c r="N197" s="7">
        <f t="shared" si="37"/>
        <v>13.583333333954215</v>
      </c>
      <c r="O197" s="7"/>
      <c r="P197" s="7"/>
      <c r="Q197" s="23"/>
      <c r="R197" s="23"/>
      <c r="S197" s="35">
        <f t="shared" si="38"/>
        <v>1</v>
      </c>
      <c r="T197" s="50" t="str">
        <f t="shared" si="39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17:30:11-700',mode:absolute,to:'2016-11-18 20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7" s="52" t="str">
        <f t="shared" si="41"/>
        <v>N</v>
      </c>
      <c r="X197" s="177">
        <f t="shared" si="42"/>
        <v>1</v>
      </c>
      <c r="Y197" s="67">
        <f t="shared" si="43"/>
        <v>9.7100000000000006E-2</v>
      </c>
      <c r="Z197" s="67">
        <f t="shared" si="44"/>
        <v>5.8929</v>
      </c>
      <c r="AA197" s="67">
        <f t="shared" si="45"/>
        <v>5.7957999999999998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6"/>
        <v>0839-18</v>
      </c>
      <c r="AE197" s="91" t="str">
        <f t="shared" si="47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197" s="88" t="str">
        <f t="shared" si="48"/>
        <v>"C:\Program Files (x86)\AstroGrep\AstroGrep.exe" /spath="%USERPROFILE%\AppData\Local\Temp\OnboardLogs" /stypes="app*4007*20161119*" /stext=" 02:.+((SYSTEM_STATE.+slice.+state.+changed )|(ment ac)|(system.+state.+changed )|(\[timeout)|(PRM\|1\|D)|(kpr)|(kdp)|(\|lc)|(penalty))" /e /r /s</v>
      </c>
      <c r="AG197" s="1" t="str">
        <f t="shared" si="49"/>
        <v>NW</v>
      </c>
      <c r="AH197" s="92" t="str">
        <f t="shared" si="50"/>
        <v>"%USERPROFILE%\Documents\GitHub\eaglep3\Utilities\RefineRTDCRunTimes.py" --tripid 839-18 --locoid 4007 --swversion DE.1.0.8.0 --startMP 204:971 --initTime 2016-11-18T18:30:11 --startdatetime 2016-11-18T18:51:13 --delay 1 --endMP 300:58929 --enddatetime 2016-11-18T19:04:48 --enforcementcount 0 &gt;&gt;C:\Users\stu\Documents\GitHub\eaglep3-reporting\EC\2016-11-18-refined-times.txt</v>
      </c>
      <c r="AI197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{"issue":{"subject":"","project_id":79,"tracker_id":40,"status_id":1,"priority_id":2,"assigned_to_id":23,"start_date":"2016-11-18","description":"","custom_fields":[{"id":1,"name":"Subdivision","value":"NW"},{"id":4,"name":"Milepost","value":"5.8929"},{"id":17,"name":"Train ID","value":"839-18"},{"id":16,"name":"Locomotive ID","value":"4007"},{"id":130,"name":"Impact","value":""},{"id":150,"name":"Time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623</v>
      </c>
      <c r="B198" s="7">
        <v>4032</v>
      </c>
      <c r="C198" s="22" t="s">
        <v>218</v>
      </c>
      <c r="D198" s="22" t="s">
        <v>793</v>
      </c>
      <c r="E198" s="13">
        <v>42692.818287037036</v>
      </c>
      <c r="F198" s="13">
        <v>42692.819618055553</v>
      </c>
      <c r="G198" s="7">
        <v>1</v>
      </c>
      <c r="H198" s="22" t="s">
        <v>344</v>
      </c>
      <c r="I198" s="13">
        <v>42692.831238425926</v>
      </c>
      <c r="J198" s="7">
        <v>0</v>
      </c>
      <c r="K198" s="109" t="str">
        <f t="shared" si="35"/>
        <v>4031/4032</v>
      </c>
      <c r="L198" s="22" t="str">
        <f>VLOOKUP(A198,'Trips&amp;Operators'!$C$1:$E$10000,3,FALSE)</f>
        <v>BADERTSCHER</v>
      </c>
      <c r="M198" s="6">
        <f t="shared" si="36"/>
        <v>1.1620370372838806E-2</v>
      </c>
      <c r="N198" s="7">
        <f t="shared" si="37"/>
        <v>16.733333336887881</v>
      </c>
      <c r="O198" s="7"/>
      <c r="P198" s="7"/>
      <c r="Q198" s="23"/>
      <c r="R198" s="23"/>
      <c r="S198" s="35">
        <f t="shared" si="38"/>
        <v>1</v>
      </c>
      <c r="T198" s="50" t="str">
        <f t="shared" si="39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18:38:20-700',mode:absolute,to:'2016-11-18 20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8" s="52" t="str">
        <f t="shared" si="41"/>
        <v>N</v>
      </c>
      <c r="X198" s="177">
        <f t="shared" si="42"/>
        <v>1</v>
      </c>
      <c r="Y198" s="67">
        <f t="shared" si="43"/>
        <v>5.8619000000000003</v>
      </c>
      <c r="Z198" s="67">
        <f t="shared" si="44"/>
        <v>7.4099999999999999E-2</v>
      </c>
      <c r="AA198" s="67">
        <f t="shared" si="45"/>
        <v>5.7878000000000007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6"/>
        <v>0840-18</v>
      </c>
      <c r="AE198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198" s="88" t="str">
        <f t="shared" si="48"/>
        <v>"C:\Program Files (x86)\AstroGrep\AstroGrep.exe" /spath="%USERPROFILE%\AppData\Local\Temp\OnboardLogs" /stypes="app*4032*20161119*" /stext=" 02:.+((SYSTEM_STATE.+slice.+state.+changed )|(ment ac)|(system.+state.+changed )|(\[timeout)|(PRM\|1\|D)|(kpr)|(kdp)|(\|lc)|(penalty))" /e /r /s</v>
      </c>
      <c r="AG198" s="1" t="str">
        <f t="shared" si="49"/>
        <v>NW</v>
      </c>
      <c r="AH198" s="92" t="str">
        <f t="shared" si="50"/>
        <v>"%USERPROFILE%\Documents\GitHub\eaglep3\Utilities\RefineRTDCRunTimes.py" --tripid 840-18 --locoid 4032 --swversion DE.1.0.8.0 --startMP 300:58619 --initTime 2016-11-18T19:38:20 --startdatetime 2016-11-18T19:40:15 --delay 1 --endMP 204:741 --enddatetime 2016-11-18T19:56:59 --enforcementcount 0 &gt;&gt;C:\Users\stu\Documents\GitHub\eaglep3-reporting\EC\2016-11-18-refined-times.txt</v>
      </c>
      <c r="AI198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{"issue":{"subject":"","project_id":79,"tracker_id":40,"status_id":1,"priority_id":2,"assigned_to_id":23,"start_date":"2016-11-18","description":"","custom_fields":[{"id":1,"name":"Subdivision","value":"NW"},{"id":4,"name":"Milepost","value":"0.0741"},{"id":17,"name":"Train ID","value":"840-18"},{"id":16,"name":"Locomotive ID","value":"4032"},{"id":130,"name":"Impact","value":""},{"id":150,"name":"Time of Event (Mountain Time)","value":"19:56:59"},{"id":151,"name":"Denver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620</v>
      </c>
      <c r="B199" s="7">
        <v>4031</v>
      </c>
      <c r="C199" s="22" t="s">
        <v>218</v>
      </c>
      <c r="D199" s="22" t="s">
        <v>795</v>
      </c>
      <c r="E199" s="13">
        <v>42692.801921296297</v>
      </c>
      <c r="F199" s="13">
        <v>42692.806921296295</v>
      </c>
      <c r="G199" s="7">
        <v>1</v>
      </c>
      <c r="H199" s="22" t="s">
        <v>796</v>
      </c>
      <c r="I199" s="13">
        <v>42692.817002314812</v>
      </c>
      <c r="J199" s="7">
        <v>0</v>
      </c>
      <c r="K199" s="109" t="str">
        <f t="shared" si="35"/>
        <v>4031/4032</v>
      </c>
      <c r="L199" s="22" t="str">
        <f>VLOOKUP(A199,'Trips&amp;Operators'!$C$1:$E$10000,3,FALSE)</f>
        <v>BADERTSCHER</v>
      </c>
      <c r="M199" s="6">
        <f t="shared" si="36"/>
        <v>1.0081018517666962E-2</v>
      </c>
      <c r="N199" s="7">
        <f t="shared" si="37"/>
        <v>14.516666665440425</v>
      </c>
      <c r="O199" s="7"/>
      <c r="P199" s="7"/>
      <c r="Q199" s="23"/>
      <c r="R199" s="23"/>
      <c r="S199" s="35">
        <f t="shared" si="38"/>
        <v>1</v>
      </c>
      <c r="T199" s="50" t="str">
        <f t="shared" si="39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18:14:46-700',mode:absolute,to:'2016-11-18 20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si="41"/>
        <v>N</v>
      </c>
      <c r="X199" s="177">
        <f t="shared" si="42"/>
        <v>1</v>
      </c>
      <c r="Y199" s="67">
        <f t="shared" si="43"/>
        <v>0.10349999999999999</v>
      </c>
      <c r="Z199" s="67">
        <f t="shared" si="44"/>
        <v>5.8939000000000004</v>
      </c>
      <c r="AA199" s="67">
        <f t="shared" si="45"/>
        <v>5.7904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6"/>
        <v>0841-18</v>
      </c>
      <c r="AE199" s="91" t="str">
        <f t="shared" si="47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199" s="88" t="str">
        <f t="shared" si="48"/>
        <v>"C:\Program Files (x86)\AstroGrep\AstroGrep.exe" /spath="%USERPROFILE%\AppData\Local\Temp\OnboardLogs" /stypes="app*4031*20161119*" /stext=" 02:.+((SYSTEM_STATE.+slice.+state.+changed )|(ment ac)|(system.+state.+changed )|(\[timeout)|(PRM\|1\|D)|(kpr)|(kdp)|(\|lc)|(penalty))" /e /r /s</v>
      </c>
      <c r="AG199" s="1" t="str">
        <f t="shared" si="49"/>
        <v>NW</v>
      </c>
      <c r="AH199" s="92" t="str">
        <f t="shared" si="50"/>
        <v>"%USERPROFILE%\Documents\GitHub\eaglep3\Utilities\RefineRTDCRunTimes.py" --tripid 841-18 --locoid 4031 --swversion DE.1.0.8.0 --startMP 204:1035 --initTime 2016-11-18T19:14:46 --startdatetime 2016-11-18T19:21:58 --delay 1 --endMP 300:58939 --enddatetime 2016-11-18T19:36:29 --enforcementcount 0 &gt;&gt;C:\Users\stu\Documents\GitHub\eaglep3-reporting\EC\2016-11-18-refined-times.txt</v>
      </c>
      <c r="AI199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{"issue":{"subject":"","project_id":79,"tracker_id":40,"status_id":1,"priority_id":2,"assigned_to_id":23,"start_date":"2016-11-18","description":"","custom_fields":[{"id":1,"name":"Subdivision","value":"NW"},{"id":4,"name":"Milepost","value":"5.8939"},{"id":17,"name":"Train ID","value":"841-18"},{"id":16,"name":"Locomotive ID","value":"4031"},{"id":130,"name":"Impact","value":""},{"id":150,"name":"Time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630</v>
      </c>
      <c r="B200" s="7">
        <v>4032</v>
      </c>
      <c r="C200" s="22" t="s">
        <v>218</v>
      </c>
      <c r="D200" s="22" t="s">
        <v>319</v>
      </c>
      <c r="E200" s="13">
        <v>42692.859074074076</v>
      </c>
      <c r="F200" s="13">
        <v>42692.860520833332</v>
      </c>
      <c r="G200" s="7">
        <v>1</v>
      </c>
      <c r="H200" s="22" t="s">
        <v>750</v>
      </c>
      <c r="I200" s="13">
        <v>42692.872071759259</v>
      </c>
      <c r="J200" s="7">
        <v>0</v>
      </c>
      <c r="K200" s="109" t="str">
        <f t="shared" si="35"/>
        <v>4031/4032</v>
      </c>
      <c r="L200" s="22" t="str">
        <f>VLOOKUP(A200,'Trips&amp;Operators'!$C$1:$E$10000,3,FALSE)</f>
        <v>BADERTSCHER</v>
      </c>
      <c r="M200" s="6">
        <f t="shared" si="36"/>
        <v>1.1550925926712807E-2</v>
      </c>
      <c r="N200" s="7">
        <f t="shared" si="37"/>
        <v>16.633333334466442</v>
      </c>
      <c r="O200" s="7"/>
      <c r="P200" s="7"/>
      <c r="Q200" s="23"/>
      <c r="R200" s="23"/>
      <c r="S200" s="35">
        <f t="shared" si="38"/>
        <v>1</v>
      </c>
      <c r="T200" s="50" t="str">
        <f t="shared" si="39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https://search-rtdc-monitor-bjffxe2xuh6vdkpspy63sjmuny.us-east-1.es.amazonaws.com/_plugin/kibana/#/discover/Steve-Slow-Train-Analysis-(2080s-and-2083s)?_g=(refreshInterval:(display:Off,section:0,value:0),time:(from:'2016-11-18 19:37:04-700',mode:absolute,to:'2016-11-18 21:55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0" s="52" t="str">
        <f t="shared" si="41"/>
        <v>N</v>
      </c>
      <c r="X200" s="177">
        <f t="shared" si="42"/>
        <v>1</v>
      </c>
      <c r="Y200" s="67">
        <f t="shared" si="43"/>
        <v>5.8623000000000003</v>
      </c>
      <c r="Z200" s="67">
        <f t="shared" si="44"/>
        <v>7.3999999999999996E-2</v>
      </c>
      <c r="AA200" s="67">
        <f t="shared" si="45"/>
        <v>5.7883000000000004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6"/>
        <v>0842-18</v>
      </c>
      <c r="AE200" s="91" t="str">
        <f t="shared" si="47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200" s="88" t="str">
        <f t="shared" si="48"/>
        <v>"C:\Program Files (x86)\AstroGrep\AstroGrep.exe" /spath="%USERPROFILE%\AppData\Local\Temp\OnboardLogs" /stypes="app*4032*20161119*" /stext=" 03:.+((SYSTEM_STATE.+slice.+state.+changed )|(ment ac)|(system.+state.+changed )|(\[timeout)|(PRM\|1\|D)|(kpr)|(kdp)|(\|lc)|(penalty))" /e /r /s</v>
      </c>
      <c r="AG200" s="1" t="str">
        <f t="shared" si="49"/>
        <v>NW</v>
      </c>
      <c r="AH200" s="92" t="str">
        <f t="shared" si="50"/>
        <v>"%USERPROFILE%\Documents\GitHub\eaglep3\Utilities\RefineRTDCRunTimes.py" --tripid 842-18 --locoid 4032 --swversion DE.1.0.8.0 --startMP 300:58623 --initTime 2016-11-18T20:37:04 --startdatetime 2016-11-18T20:39:09 --delay 1 --endMP 204:740 --enddatetime 2016-11-18T20:55:47 --enforcementcount 0 &gt;&gt;C:\Users\stu\Documents\GitHub\eaglep3-reporting\EC\2016-11-18-refined-times.txt</v>
      </c>
      <c r="AI200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{"issue":{"subject":"","project_id":79,"tracker_id":40,"status_id":1,"priority_id":2,"assigned_to_id":23,"start_date":"2016-11-18","description":"","custom_fields":[{"id":1,"name":"Subdivision","value":"NW"},{"id":4,"name":"Milepost","value":"0.074"},{"id":17,"name":"Train ID","value":"842-18"},{"id":16,"name":"Locomotive ID","value":"4032"},{"id":130,"name":"Impact","value":""},{"id":150,"name":"Time of Event (Mountain Time)","value":"20:55:47"},{"id":151,"name":"Denver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627</v>
      </c>
      <c r="B201" s="7">
        <v>4031</v>
      </c>
      <c r="C201" s="22" t="s">
        <v>218</v>
      </c>
      <c r="D201" s="22" t="s">
        <v>428</v>
      </c>
      <c r="E201" s="13">
        <v>42692.841805555552</v>
      </c>
      <c r="F201" s="13">
        <v>42692.848113425927</v>
      </c>
      <c r="G201" s="7">
        <v>1</v>
      </c>
      <c r="H201" s="22" t="s">
        <v>287</v>
      </c>
      <c r="I201" s="13">
        <v>42692.857812499999</v>
      </c>
      <c r="J201" s="7">
        <v>0</v>
      </c>
      <c r="K201" s="109" t="str">
        <f t="shared" ref="K201:K229" si="52">IF(ISEVEN(B201),(B201-1)&amp;"/"&amp;B201,B201&amp;"/"&amp;(B201+1))</f>
        <v>4031/4032</v>
      </c>
      <c r="L201" s="22" t="str">
        <f>VLOOKUP(A201,'Trips&amp;Operators'!$C$1:$E$10000,3,FALSE)</f>
        <v>BADERTSCHER</v>
      </c>
      <c r="M201" s="6">
        <f t="shared" ref="M201:M229" si="53">I201-F201</f>
        <v>9.6990740712499246E-3</v>
      </c>
      <c r="N201" s="7">
        <f t="shared" ref="N201:N229" si="54">24*60*SUM($M201:$M201)</f>
        <v>13.966666662599891</v>
      </c>
      <c r="O201" s="7"/>
      <c r="P201" s="7"/>
      <c r="Q201" s="23"/>
      <c r="R201" s="23"/>
      <c r="S201" s="35">
        <f t="shared" ref="S201:S229" si="55">SUM(U201:U201)/IF(AG201="EC",12,1)</f>
        <v>1</v>
      </c>
      <c r="T201" s="50" t="str">
        <f t="shared" ref="T201:T229" si="56"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ref="V201:V229" si="57"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https://search-rtdc-monitor-bjffxe2xuh6vdkpspy63sjmuny.us-east-1.es.amazonaws.com/_plugin/kibana/#/discover/Steve-Slow-Train-Analysis-(2080s-and-2083s)?_g=(refreshInterval:(display:Off,section:0,value:0),time:(from:'2016-11-18 19:12:12-700',mode:absolute,to:'2016-11-18 21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1" s="52" t="str">
        <f t="shared" ref="W201:W229" si="58">IF(AA201&lt;IF(AG201="EC",23,5.65),"Y","N")</f>
        <v>N</v>
      </c>
      <c r="X201" s="177">
        <f t="shared" ref="X201:X229" si="59">VALUE(LEFT(AD201,4))-VALUE(LEFT(AD200,4))</f>
        <v>1</v>
      </c>
      <c r="Y201" s="67">
        <f t="shared" ref="Y201:Y229" si="60">RIGHT(D201,LEN(D201)-4)/10000</f>
        <v>0.10249999999999999</v>
      </c>
      <c r="Z201" s="67">
        <f t="shared" ref="Z201:Z229" si="61">RIGHT(H201,LEN(H201)-4)/10000</f>
        <v>5.8929</v>
      </c>
      <c r="AA201" s="67">
        <f t="shared" ref="AA201:AA229" si="62">ABS(Z201-Y201)</f>
        <v>5.7904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ref="AD201:AD229" si="63">IF(LEN(A201)=6,"0"&amp;A201,A201)</f>
        <v>0843-18</v>
      </c>
      <c r="AE201" s="91" t="str">
        <f t="shared" ref="AE201:AE229" si="64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201" s="88" t="str">
        <f t="shared" ref="AF201:AF229" si="65"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/stypes="app*4031*20161119*" /stext=" 03:.+((SYSTEM_STATE.+slice.+state.+changed )|(ment ac)|(system.+state.+changed )|(\[timeout)|(PRM\|1\|D)|(kpr)|(kdp)|(\|lc)|(penalty))" /e /r /s</v>
      </c>
      <c r="AG201" s="1" t="str">
        <f t="shared" ref="AG201:AG229" si="66">IFERROR(IF(VALUE(LEFT(AD201,2))&lt;=2,"EC",IF(OR(VALUE(LEFT(AD201,2))=8,VALUE(LEFT(AD201,2))=18),"NW","Other")),"Other")</f>
        <v>NW</v>
      </c>
      <c r="AH201" s="92" t="str">
        <f t="shared" si="50"/>
        <v>"%USERPROFILE%\Documents\GitHub\eaglep3\Utilities\RefineRTDCRunTimes.py" --tripid 843-18 --locoid 4031 --swversion DE.1.0.8.0 --startMP 204:1025 --initTime 2016-11-18T20:12:12 --startdatetime 2016-11-18T20:21:17 --delay 1 --endMP 300:58929 --enddatetime 2016-11-18T20:35:15 --enforcementcount 0 &gt;&gt;C:\Users\stu\Documents\GitHub\eaglep3-reporting\EC\2016-11-18-refined-times.txt</v>
      </c>
      <c r="AI201" s="119" t="str">
        <f t="shared" si="51"/>
        <v>echo {"issue":{"subject":"","project_id":79,"tracker_id":40,"status_id":1,"priority_id":2,"assigned_to_id":23,"start_date":"2016-11-18","description":"","custom_fields":[{"id":1,"name":"Subdivision","value":"NW"},{"id":4,"name":"Milepost","value":"5.8929"},{"id":17,"name":"Train ID","value":"843-18"},{"id":16,"name":"Locomotive ID","value":"4031"},{"id":130,"name":"Impact","value":""},{"id":150,"name":"Time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637</v>
      </c>
      <c r="B202" s="7">
        <v>4032</v>
      </c>
      <c r="C202" s="22" t="s">
        <v>218</v>
      </c>
      <c r="D202" s="22" t="s">
        <v>793</v>
      </c>
      <c r="E202" s="13">
        <v>42692.900416666664</v>
      </c>
      <c r="F202" s="13">
        <v>42692.902141203704</v>
      </c>
      <c r="G202" s="7">
        <v>1</v>
      </c>
      <c r="H202" s="22" t="s">
        <v>420</v>
      </c>
      <c r="I202" s="13">
        <v>42692.913090277776</v>
      </c>
      <c r="J202" s="7">
        <v>0</v>
      </c>
      <c r="K202" s="109" t="str">
        <f t="shared" si="52"/>
        <v>4031/4032</v>
      </c>
      <c r="L202" s="22" t="str">
        <f>VLOOKUP(A202,'Trips&amp;Operators'!$C$1:$E$10000,3,FALSE)</f>
        <v>LALONDE</v>
      </c>
      <c r="M202" s="6">
        <f t="shared" si="53"/>
        <v>1.0949074072414078E-2</v>
      </c>
      <c r="N202" s="7">
        <f t="shared" si="54"/>
        <v>15.766666664276272</v>
      </c>
      <c r="O202" s="7"/>
      <c r="P202" s="7"/>
      <c r="Q202" s="23"/>
      <c r="R202" s="23"/>
      <c r="S202" s="35">
        <f t="shared" si="55"/>
        <v>1</v>
      </c>
      <c r="T202" s="50" t="str">
        <f t="shared" si="56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20:36:36-700',mode:absolute,to:'2016-11-18 22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58"/>
        <v>N</v>
      </c>
      <c r="X202" s="177">
        <f t="shared" si="59"/>
        <v>1</v>
      </c>
      <c r="Y202" s="67">
        <f t="shared" si="60"/>
        <v>5.8619000000000003</v>
      </c>
      <c r="Z202" s="67">
        <f t="shared" si="61"/>
        <v>6.8400000000000002E-2</v>
      </c>
      <c r="AA202" s="67">
        <f t="shared" si="62"/>
        <v>5.7935000000000008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3"/>
        <v>0844-18</v>
      </c>
      <c r="AE202" s="91" t="str">
        <f t="shared" si="64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202" s="88" t="str">
        <f t="shared" si="65"/>
        <v>"C:\Program Files (x86)\AstroGrep\AstroGrep.exe" /spath="%USERPROFILE%\AppData\Local\Temp\OnboardLogs" /stypes="app*4032*20161119*" /stext=" 04:.+((SYSTEM_STATE.+slice.+state.+changed )|(ment ac)|(system.+state.+changed )|(\[timeout)|(PRM\|1\|D)|(kpr)|(kdp)|(\|lc)|(penalty))" /e /r /s</v>
      </c>
      <c r="AG202" s="1" t="str">
        <f t="shared" si="66"/>
        <v>NW</v>
      </c>
      <c r="AH202" s="92" t="str">
        <f t="shared" ref="AH202:AH229" si="67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844-18 --locoid 4032 --swversion DE.1.0.8.0 --startMP 300:58619 --initTime 2016-11-18T21:36:36 --startdatetime 2016-11-18T21:39:05 --delay 1 --endMP 204:684 --enddatetime 2016-11-18T21:54:51 --enforcementcount 0 &gt;&gt;C:\Users\stu\Documents\GitHub\eaglep3-reporting\EC\2016-11-18-refined-times.txt</v>
      </c>
      <c r="AI202" s="119" t="str">
        <f t="shared" ref="AI202:AI229" si="68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{"issue":{"subject":"","project_id":79,"tracker_id":40,"status_id":1,"priority_id":2,"assigned_to_id":23,"start_date":"2016-11-18","description":"","custom_fields":[{"id":1,"name":"Subdivision","value":"NW"},{"id":4,"name":"Milepost","value":"0.0684"},{"id":17,"name":"Train ID","value":"844-18"},{"id":16,"name":"Locomotive ID","value":"4032"},{"id":130,"name":"Impact","value":""},{"id":150,"name":"Time of Event (Mountain Time)","value":"21:54:51"},{"id":151,"name":"Denver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633</v>
      </c>
      <c r="B203" s="7">
        <v>4031</v>
      </c>
      <c r="C203" s="22" t="s">
        <v>218</v>
      </c>
      <c r="D203" s="22" t="s">
        <v>419</v>
      </c>
      <c r="E203" s="13">
        <v>42692.875428240739</v>
      </c>
      <c r="F203" s="13">
        <v>42692.889780092592</v>
      </c>
      <c r="G203" s="7">
        <v>1</v>
      </c>
      <c r="H203" s="22" t="s">
        <v>281</v>
      </c>
      <c r="I203" s="13">
        <v>42692.899409722224</v>
      </c>
      <c r="J203" s="7">
        <v>0</v>
      </c>
      <c r="K203" s="109" t="str">
        <f t="shared" si="52"/>
        <v>4031/4032</v>
      </c>
      <c r="L203" s="22" t="str">
        <f>VLOOKUP(A203,'Trips&amp;Operators'!$C$1:$E$10000,3,FALSE)</f>
        <v>LALONDE</v>
      </c>
      <c r="M203" s="6">
        <f t="shared" si="53"/>
        <v>9.6296296323998831E-3</v>
      </c>
      <c r="N203" s="7">
        <f t="shared" si="54"/>
        <v>13.866666670655832</v>
      </c>
      <c r="O203" s="7"/>
      <c r="P203" s="7"/>
      <c r="Q203" s="23"/>
      <c r="R203" s="23"/>
      <c r="S203" s="35">
        <f t="shared" si="55"/>
        <v>1</v>
      </c>
      <c r="T203" s="50" t="str">
        <f t="shared" si="5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20:00:37-700',mode:absolute,to:'2016-11-18 22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3" s="52" t="str">
        <f t="shared" si="58"/>
        <v>N</v>
      </c>
      <c r="X203" s="177">
        <f t="shared" si="59"/>
        <v>1</v>
      </c>
      <c r="Y203" s="67">
        <f t="shared" si="60"/>
        <v>0.1028</v>
      </c>
      <c r="Z203" s="67">
        <f t="shared" si="61"/>
        <v>5.8935000000000004</v>
      </c>
      <c r="AA203" s="67">
        <f t="shared" si="62"/>
        <v>5.7907000000000002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3"/>
        <v>0845-18</v>
      </c>
      <c r="AE203" s="91" t="str">
        <f t="shared" si="64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203" s="88" t="str">
        <f t="shared" si="65"/>
        <v>"C:\Program Files (x86)\AstroGrep\AstroGrep.exe" /spath="%USERPROFILE%\AppData\Local\Temp\OnboardLogs" /stypes="app*4031*20161119*" /stext=" 04:.+((SYSTEM_STATE.+slice.+state.+changed )|(ment ac)|(system.+state.+changed )|(\[timeout)|(PRM\|1\|D)|(kpr)|(kdp)|(\|lc)|(penalty))" /e /r /s</v>
      </c>
      <c r="AG203" s="1" t="str">
        <f t="shared" si="66"/>
        <v>NW</v>
      </c>
      <c r="AH203" s="92" t="str">
        <f t="shared" si="67"/>
        <v>"%USERPROFILE%\Documents\GitHub\eaglep3\Utilities\RefineRTDCRunTimes.py" --tripid 845-18 --locoid 4031 --swversion DE.1.0.8.0 --startMP 204:1028 --initTime 2016-11-18T21:00:37 --startdatetime 2016-11-18T21:21:17 --delay 1 --endMP 300:58935 --enddatetime 2016-11-18T21:35:09 --enforcementcount 0 &gt;&gt;C:\Users\stu\Documents\GitHub\eaglep3-reporting\EC\2016-11-18-refined-times.txt</v>
      </c>
      <c r="AI203" s="119" t="str">
        <f t="shared" si="68"/>
        <v>echo {"issue":{"subject":"","project_id":79,"tracker_id":40,"status_id":1,"priority_id":2,"assigned_to_id":23,"start_date":"2016-11-18","description":"","custom_fields":[{"id":1,"name":"Subdivision","value":"NW"},{"id":4,"name":"Milepost","value":"5.8935"},{"id":17,"name":"Train ID","value":"845-18"},{"id":16,"name":"Locomotive ID","value":"4031"},{"id":130,"name":"Impact","value":""},{"id":150,"name":"Time of Event (Mountain Time)","value":"21:35:09"},{"id":151,"name":"Denver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640</v>
      </c>
      <c r="B204" s="7">
        <v>4031</v>
      </c>
      <c r="C204" s="22" t="s">
        <v>218</v>
      </c>
      <c r="D204" s="22" t="s">
        <v>797</v>
      </c>
      <c r="E204" s="13">
        <v>42692.91443287037</v>
      </c>
      <c r="F204" s="13">
        <v>42692.93141203704</v>
      </c>
      <c r="G204" s="7">
        <v>1</v>
      </c>
      <c r="H204" s="22" t="s">
        <v>798</v>
      </c>
      <c r="I204" s="13">
        <v>42692.940509259257</v>
      </c>
      <c r="J204" s="7">
        <v>0</v>
      </c>
      <c r="K204" s="109" t="str">
        <f t="shared" si="52"/>
        <v>4031/4032</v>
      </c>
      <c r="L204" s="22" t="str">
        <f>VLOOKUP(A204,'Trips&amp;Operators'!$C$1:$E$10000,3,FALSE)</f>
        <v>LALONDE</v>
      </c>
      <c r="M204" s="6">
        <f t="shared" si="53"/>
        <v>9.0972222169511952E-3</v>
      </c>
      <c r="N204" s="7">
        <f t="shared" si="54"/>
        <v>13.099999992409721</v>
      </c>
      <c r="O204" s="7"/>
      <c r="P204" s="7"/>
      <c r="Q204" s="23"/>
      <c r="R204" s="23"/>
      <c r="S204" s="35">
        <f t="shared" si="55"/>
        <v>1</v>
      </c>
      <c r="T204" s="50" t="str">
        <f t="shared" si="5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20:56:47-700',mode:absolute,to:'2016-11-18 23:34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si="58"/>
        <v>N</v>
      </c>
      <c r="X204" s="177">
        <f t="shared" si="59"/>
        <v>2</v>
      </c>
      <c r="Y204" s="67">
        <f t="shared" si="60"/>
        <v>9.74E-2</v>
      </c>
      <c r="Z204" s="67">
        <f t="shared" si="61"/>
        <v>5.8916000000000004</v>
      </c>
      <c r="AA204" s="67">
        <f t="shared" si="62"/>
        <v>5.7942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3"/>
        <v>0847-18</v>
      </c>
      <c r="AE204" s="91" t="str">
        <f t="shared" si="64"/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AF204" s="88" t="str">
        <f t="shared" si="65"/>
        <v>"C:\Program Files (x86)\AstroGrep\AstroGrep.exe" /spath="%USERPROFILE%\AppData\Local\Temp\OnboardLogs" /stypes="app*4031*20161119*" /stext=" 05:.+((SYSTEM_STATE.+slice.+state.+changed )|(ment ac)|(system.+state.+changed )|(\[timeout)|(PRM\|1\|D)|(kpr)|(kdp)|(\|lc)|(penalty))" /e /r /s</v>
      </c>
      <c r="AG204" s="1" t="str">
        <f t="shared" si="66"/>
        <v>NW</v>
      </c>
      <c r="AH204" s="92" t="str">
        <f t="shared" si="67"/>
        <v>"%USERPROFILE%\Documents\GitHub\eaglep3\Utilities\RefineRTDCRunTimes.py" --tripid 847-18 --locoid 4031 --swversion DE.1.0.8.0 --startMP 204:974 --initTime 2016-11-18T21:56:47 --startdatetime 2016-11-18T22:21:14 --delay 1 --endMP 300:58916 --enddatetime 2016-11-18T22:34:20 --enforcementcount 0 &gt;&gt;C:\Users\stu\Documents\GitHub\eaglep3-reporting\EC\2016-11-18-refined-times.txt</v>
      </c>
      <c r="AI204" s="119" t="str">
        <f t="shared" si="68"/>
        <v>echo {"issue":{"subject":"","project_id":79,"tracker_id":40,"status_id":1,"priority_id":2,"assigned_to_id":23,"start_date":"2016-11-18","description":"","custom_fields":[{"id":1,"name":"Subdivision","value":"NW"},{"id":4,"name":"Milepost","value":"5.8916"},{"id":17,"name":"Train ID","value":"847-18"},{"id":16,"name":"Locomotive ID","value":"4031"},{"id":130,"name":"Impact","value":""},{"id":150,"name":"Time of Event (Mountain Time)","value":"22:34:20"},{"id":151,"name":"Denver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469</v>
      </c>
      <c r="B205" s="7">
        <v>4045</v>
      </c>
      <c r="C205" s="22" t="s">
        <v>218</v>
      </c>
      <c r="D205" s="22" t="s">
        <v>726</v>
      </c>
      <c r="E205" s="13">
        <v>42692.122604166667</v>
      </c>
      <c r="F205" s="13">
        <v>42692.124236111114</v>
      </c>
      <c r="G205" s="7">
        <v>1</v>
      </c>
      <c r="H205" s="22" t="s">
        <v>400</v>
      </c>
      <c r="I205" s="13">
        <v>42692.130277777775</v>
      </c>
      <c r="J205" s="7">
        <v>0</v>
      </c>
      <c r="K205" s="109" t="str">
        <f t="shared" si="52"/>
        <v>4045/4046</v>
      </c>
      <c r="L205" s="22" t="str">
        <f>VLOOKUP(A205,'Trips&amp;Operators'!$C$1:$E$10000,3,FALSE)</f>
        <v>MAELZER</v>
      </c>
      <c r="M205" s="6">
        <f t="shared" si="53"/>
        <v>6.0416666601668112E-3</v>
      </c>
      <c r="N205" s="7">
        <f t="shared" si="54"/>
        <v>8.6999999906402081</v>
      </c>
      <c r="O205" s="7"/>
      <c r="P205" s="7"/>
      <c r="Q205" s="23"/>
      <c r="R205" s="23"/>
      <c r="S205" s="35">
        <f t="shared" si="55"/>
        <v>1</v>
      </c>
      <c r="T205" s="50" t="str">
        <f t="shared" si="56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01:56:33-700',mode:absolute,to:'2016-11-18 04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5" s="52" t="str">
        <f t="shared" si="58"/>
        <v>Y</v>
      </c>
      <c r="X205" s="177">
        <f t="shared" si="59"/>
        <v>-545</v>
      </c>
      <c r="Y205" s="67">
        <f t="shared" si="60"/>
        <v>2.3155999999999999</v>
      </c>
      <c r="Z205" s="67">
        <f t="shared" si="61"/>
        <v>1.2999999999999999E-2</v>
      </c>
      <c r="AA205" s="67">
        <f t="shared" si="62"/>
        <v>2.3026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3"/>
        <v>0302-18</v>
      </c>
      <c r="AE205" s="91" t="str">
        <f t="shared" si="64"/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AF205" s="88" t="str">
        <f t="shared" si="65"/>
        <v>"C:\Program Files (x86)\AstroGrep\AstroGrep.exe" /spath="%USERPROFILE%\AppData\Local\Temp\OnboardLogs" /stypes="app*4045*20161118*" /stext=" 10:.+((SYSTEM_STATE.+slice.+state.+changed )|(ment ac)|(system.+state.+changed )|(\[timeout)|(PRM\|1\|D)|(kpr)|(kdp)|(\|lc)|(penalty))" /e /r /s</v>
      </c>
      <c r="AG205" s="1" t="str">
        <f t="shared" si="66"/>
        <v>Other</v>
      </c>
      <c r="AH205" s="92" t="str">
        <f t="shared" si="67"/>
        <v>"%USERPROFILE%\Documents\GitHub\eaglep3\Utilities\RefineRTDCRunTimes.py" --tripid 302-18 --locoid 4045 --swversion DE.1.0.8.0 --startMP 300:23156 --initTime 2016-11-18T02:56:33 --startdatetime 2016-11-18T02:58:54 --delay 1 --endMP 204:130 --enddatetime 2016-11-18T03:07:36 --enforcementcount 0 &gt;&gt;C:\Users\stu\Documents\GitHub\eaglep3-reporting\EC\2016-11-18-refined-times.txt</v>
      </c>
      <c r="AI205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{"issue":{"subject":"","project_id":79,"tracker_id":40,"status_id":1,"priority_id":2,"assigned_to_id":23,"start_date":"2016-11-18","description":"","custom_fields":[{"id":1,"name":"Subdivision","value":"Other"},{"id":4,"name":"Milepost","value":"0.013"},{"id":17,"name":"Train ID","value":"302-18"},{"id":16,"name":"Locomotive ID","value":"4045"},{"id":130,"name":"Impact","value":""},{"id":150,"name":"Time of Event (Mountain Time)","value":"03:07:36"},{"id":151,"name":"Denver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465</v>
      </c>
      <c r="B206" s="7">
        <v>4011</v>
      </c>
      <c r="C206" s="22" t="s">
        <v>218</v>
      </c>
      <c r="D206" s="22" t="s">
        <v>270</v>
      </c>
      <c r="E206" s="13">
        <v>42692.778599537036</v>
      </c>
      <c r="F206" s="13">
        <v>25568.708333333332</v>
      </c>
      <c r="G206" s="7">
        <v>1</v>
      </c>
      <c r="H206" s="22" t="s">
        <v>727</v>
      </c>
      <c r="I206" s="13">
        <v>25568.708333333332</v>
      </c>
      <c r="J206" s="7">
        <v>0</v>
      </c>
      <c r="K206" s="109" t="str">
        <f t="shared" si="52"/>
        <v>4011/4012</v>
      </c>
      <c r="L206" s="22" t="str">
        <f>VLOOKUP(A206,'Trips&amp;Operators'!$C$1:$E$10000,3,FALSE)</f>
        <v>JOHNSON</v>
      </c>
      <c r="M206" s="6">
        <f t="shared" si="53"/>
        <v>0</v>
      </c>
      <c r="N206" s="7">
        <f t="shared" si="54"/>
        <v>0</v>
      </c>
      <c r="O206" s="7"/>
      <c r="P206" s="7"/>
      <c r="Q206" s="23"/>
      <c r="R206" s="23"/>
      <c r="S206" s="35">
        <f t="shared" si="55"/>
        <v>1</v>
      </c>
      <c r="T206" s="50" t="str">
        <f t="shared" si="56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17:41:11-700',mode:absolute,to:'1969-12-31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si="58"/>
        <v>Y</v>
      </c>
      <c r="X206" s="177">
        <f t="shared" si="59"/>
        <v>1</v>
      </c>
      <c r="Y206" s="67">
        <f t="shared" si="60"/>
        <v>4.4900000000000002E-2</v>
      </c>
      <c r="Z206" s="67">
        <f t="shared" si="61"/>
        <v>2.3302</v>
      </c>
      <c r="AA206" s="67">
        <f t="shared" si="62"/>
        <v>2.2852999999999999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3"/>
        <v>0303-18</v>
      </c>
      <c r="AE206" s="91" t="str">
        <f t="shared" si="64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88" t="str">
        <f t="shared" si="65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6" s="1" t="str">
        <f t="shared" si="66"/>
        <v>Other</v>
      </c>
      <c r="AH206" s="92" t="str">
        <f t="shared" si="67"/>
        <v>"%USERPROFILE%\Documents\GitHub\eaglep3\Utilities\RefineRTDCRunTimes.py" --tripid 303-18 --locoid 4011 --swversion DE.1.0.8.0 --startMP 204:449 --initTime 2016-11-18T18:41:11 --startdatetime 1969-12-31T17:00:00 --delay 1 --endMP 300:23302 --enddatetime 1969-12-31T17:00:00 --enforcementcount 0 &gt;&gt;C:\Users\stu\Documents\GitHub\eaglep3-reporting\EC\2016-11-18-refined-times.txt</v>
      </c>
      <c r="AI206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619</v>
      </c>
      <c r="B207" s="7">
        <v>4046</v>
      </c>
      <c r="C207" s="22" t="s">
        <v>218</v>
      </c>
      <c r="D207" s="22" t="s">
        <v>220</v>
      </c>
      <c r="E207" s="13">
        <v>42692.798842592594</v>
      </c>
      <c r="F207" s="13">
        <v>25568.708333333332</v>
      </c>
      <c r="G207" s="7">
        <v>1</v>
      </c>
      <c r="H207" s="22" t="s">
        <v>728</v>
      </c>
      <c r="I207" s="13">
        <v>25568.708333333332</v>
      </c>
      <c r="J207" s="7">
        <v>0</v>
      </c>
      <c r="K207" s="109" t="str">
        <f t="shared" si="52"/>
        <v>4045/4046</v>
      </c>
      <c r="L207" s="22" t="str">
        <f>VLOOKUP(A207,'Trips&amp;Operators'!$C$1:$E$10000,3,FALSE)</f>
        <v>SHOOK</v>
      </c>
      <c r="M207" s="6">
        <f t="shared" si="53"/>
        <v>0</v>
      </c>
      <c r="N207" s="7">
        <f t="shared" si="54"/>
        <v>0</v>
      </c>
      <c r="O207" s="7"/>
      <c r="P207" s="7"/>
      <c r="Q207" s="23"/>
      <c r="R207" s="23"/>
      <c r="S207" s="35">
        <f t="shared" si="55"/>
        <v>1</v>
      </c>
      <c r="T207" s="50" t="str">
        <f t="shared" si="56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18:10:20-700',mode:absolute,to:'1969-12-31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7" s="52" t="str">
        <f t="shared" si="58"/>
        <v>Y</v>
      </c>
      <c r="X207" s="177">
        <f t="shared" si="59"/>
        <v>2</v>
      </c>
      <c r="Y207" s="67">
        <f t="shared" si="60"/>
        <v>4.58E-2</v>
      </c>
      <c r="Z207" s="67">
        <f t="shared" si="61"/>
        <v>2.331</v>
      </c>
      <c r="AA207" s="67">
        <f t="shared" si="62"/>
        <v>2.2852000000000001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3"/>
        <v>0305-18</v>
      </c>
      <c r="AE207" s="91" t="str">
        <f t="shared" si="64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7" s="88" t="str">
        <f t="shared" si="65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207" s="1" t="str">
        <f t="shared" si="66"/>
        <v>Other</v>
      </c>
      <c r="AH207" s="92" t="str">
        <f t="shared" si="67"/>
        <v>"%USERPROFILE%\Documents\GitHub\eaglep3\Utilities\RefineRTDCRunTimes.py" --tripid 305-18 --locoid 4046 --swversion DE.1.0.8.0 --startMP 204:458 --initTime 2016-11-18T19:10:20 --startdatetime 1969-12-31T17:00:00 --delay 1 --endMP 300:23310 --enddatetime 1969-12-31T17:00:00 --enforcementcount 0 &gt;&gt;C:\Users\stu\Documents\GitHub\eaglep3-reporting\EC\2016-11-18-refined-times.txt</v>
      </c>
      <c r="AI207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ID","value":"305-18"},{"id":16,"name":"Locomotive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624</v>
      </c>
      <c r="B208" s="7">
        <v>4029</v>
      </c>
      <c r="C208" s="22" t="s">
        <v>218</v>
      </c>
      <c r="D208" s="22" t="s">
        <v>198</v>
      </c>
      <c r="E208" s="13">
        <v>42692.819456018522</v>
      </c>
      <c r="F208" s="13">
        <v>25568.708333333332</v>
      </c>
      <c r="G208" s="7">
        <v>1</v>
      </c>
      <c r="H208" s="22" t="s">
        <v>418</v>
      </c>
      <c r="I208" s="13">
        <v>25568.708333333332</v>
      </c>
      <c r="J208" s="7">
        <v>0</v>
      </c>
      <c r="K208" s="109" t="str">
        <f t="shared" si="52"/>
        <v>4029/4030</v>
      </c>
      <c r="L208" s="22" t="str">
        <f>VLOOKUP(A208,'Trips&amp;Operators'!$C$1:$E$10000,3,FALSE)</f>
        <v>BROWN</v>
      </c>
      <c r="M208" s="6">
        <f t="shared" si="53"/>
        <v>0</v>
      </c>
      <c r="N208" s="7">
        <f t="shared" si="54"/>
        <v>0</v>
      </c>
      <c r="O208" s="7"/>
      <c r="P208" s="7"/>
      <c r="Q208" s="23"/>
      <c r="R208" s="23"/>
      <c r="S208" s="35">
        <f t="shared" si="55"/>
        <v>1</v>
      </c>
      <c r="T208" s="50" t="str">
        <f t="shared" si="56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18:40:01-700',mode:absolute,to:'1969-12-31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52" t="str">
        <f t="shared" si="58"/>
        <v>Y</v>
      </c>
      <c r="X208" s="177">
        <f t="shared" si="59"/>
        <v>2</v>
      </c>
      <c r="Y208" s="67">
        <f t="shared" si="60"/>
        <v>4.4699999999999997E-2</v>
      </c>
      <c r="Z208" s="67">
        <f t="shared" si="61"/>
        <v>2.3306</v>
      </c>
      <c r="AA208" s="67">
        <f t="shared" si="62"/>
        <v>2.2858999999999998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3"/>
        <v>0307-18</v>
      </c>
      <c r="AE208" s="91" t="str">
        <f t="shared" si="6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8" s="88" t="str">
        <f t="shared" si="65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8" s="1" t="str">
        <f t="shared" si="66"/>
        <v>Other</v>
      </c>
      <c r="AH208" s="92" t="str">
        <f t="shared" si="67"/>
        <v>"%USERPROFILE%\Documents\GitHub\eaglep3\Utilities\RefineRTDCRunTimes.py" --tripid 307-18 --locoid 4029 --swversion DE.1.0.8.0 --startMP 204:447 --initTime 2016-11-18T19:40:01 --startdatetime 1969-12-31T17:00:00 --delay 1 --endMP 300:23306 --enddatetime 1969-12-31T17:00:00 --enforcementcount 0 &gt;&gt;C:\Users\stu\Documents\GitHub\eaglep3-reporting\EC\2016-11-18-refined-times.txt</v>
      </c>
      <c r="AI208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654</v>
      </c>
      <c r="B209" s="7">
        <v>4016</v>
      </c>
      <c r="C209" s="22" t="s">
        <v>218</v>
      </c>
      <c r="D209" s="22" t="s">
        <v>270</v>
      </c>
      <c r="E209" s="13">
        <v>42693.044999999998</v>
      </c>
      <c r="F209" s="13">
        <v>25568.708333333332</v>
      </c>
      <c r="G209" s="7">
        <v>1</v>
      </c>
      <c r="H209" s="22" t="s">
        <v>418</v>
      </c>
      <c r="I209" s="13">
        <v>25568.708333333332</v>
      </c>
      <c r="J209" s="7">
        <v>0</v>
      </c>
      <c r="K209" s="109" t="str">
        <f t="shared" si="52"/>
        <v>4015/4016</v>
      </c>
      <c r="L209" s="22" t="str">
        <f>VLOOKUP(A209,'Trips&amp;Operators'!$C$1:$E$10000,3,FALSE)</f>
        <v>YANAI</v>
      </c>
      <c r="M209" s="6">
        <f t="shared" si="53"/>
        <v>0</v>
      </c>
      <c r="N209" s="7">
        <f t="shared" si="54"/>
        <v>0</v>
      </c>
      <c r="O209" s="7"/>
      <c r="P209" s="7"/>
      <c r="Q209" s="23"/>
      <c r="R209" s="23"/>
      <c r="S209" s="35">
        <f t="shared" si="55"/>
        <v>1</v>
      </c>
      <c r="T209" s="50" t="str">
        <f t="shared" si="56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https://search-rtdc-monitor-bjffxe2xuh6vdkpspy63sjmuny.us-east-1.es.amazonaws.com/_plugin/kibana/#/discover/Steve-Slow-Train-Analysis-(2080s-and-2083s)?_g=(refreshInterval:(display:Off,section:0,value:0),time:(from:'2016-11-19 00:04:48-700',mode:absolute,to:'1969-12-31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9" s="52" t="str">
        <f t="shared" si="58"/>
        <v>Y</v>
      </c>
      <c r="X209" s="177">
        <f t="shared" si="59"/>
        <v>2</v>
      </c>
      <c r="Y209" s="67">
        <f t="shared" si="60"/>
        <v>4.4900000000000002E-2</v>
      </c>
      <c r="Z209" s="67">
        <f t="shared" si="61"/>
        <v>2.3306</v>
      </c>
      <c r="AA209" s="67">
        <f t="shared" si="62"/>
        <v>2.2856999999999998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3"/>
        <v>0309-18</v>
      </c>
      <c r="AE209" s="91" t="str">
        <f t="shared" si="64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8" t="str">
        <f t="shared" si="65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09" s="1" t="str">
        <f t="shared" si="66"/>
        <v>Other</v>
      </c>
      <c r="AH209" s="92" t="str">
        <f t="shared" si="67"/>
        <v>"%USERPROFILE%\Documents\GitHub\eaglep3\Utilities\RefineRTDCRunTimes.py" --tripid 309-18 --locoid 4016 --swversion DE.1.0.8.0 --startMP 204:449 --initTime 2016-11-19T01:04:48 --startdatetime 1969-12-31T17:00:00 --delay 1 --endMP 300:23306 --enddatetime 1969-12-31T17:00:00 --enforcementcount 0 &gt;&gt;C:\Users\stu\Documents\GitHub\eaglep3-reporting\EC\2016-11-18-refined-times.txt</v>
      </c>
      <c r="AI20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ID","value":"309-18"},{"id":16,"name":"Locomotive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729</v>
      </c>
      <c r="B210" s="7">
        <v>4042</v>
      </c>
      <c r="C210" s="22" t="s">
        <v>218</v>
      </c>
      <c r="D210" s="22" t="s">
        <v>215</v>
      </c>
      <c r="E210" s="13">
        <v>42693.076990740738</v>
      </c>
      <c r="F210" s="13">
        <v>42693.078460648147</v>
      </c>
      <c r="G210" s="7">
        <v>1</v>
      </c>
      <c r="H210" s="22" t="s">
        <v>730</v>
      </c>
      <c r="I210" s="13">
        <v>42693.084490740737</v>
      </c>
      <c r="J210" s="7">
        <v>0</v>
      </c>
      <c r="K210" s="109" t="str">
        <f t="shared" si="52"/>
        <v>4041/4042</v>
      </c>
      <c r="L210" s="22" t="e">
        <f>VLOOKUP(A210,'Trips&amp;Operators'!$C$1:$E$10000,3,FALSE)</f>
        <v>#N/A</v>
      </c>
      <c r="M210" s="6">
        <f t="shared" si="53"/>
        <v>6.0300925906631164E-3</v>
      </c>
      <c r="N210" s="7">
        <f t="shared" si="54"/>
        <v>8.6833333305548877</v>
      </c>
      <c r="O210" s="7"/>
      <c r="P210" s="7"/>
      <c r="Q210" s="23"/>
      <c r="R210" s="23"/>
      <c r="S210" s="35">
        <f t="shared" si="55"/>
        <v>1</v>
      </c>
      <c r="T210" s="50" t="str">
        <f t="shared" si="56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https://search-rtdc-monitor-bjffxe2xuh6vdkpspy63sjmuny.us-east-1.es.amazonaws.com/_plugin/kibana/#/discover/Steve-Slow-Train-Analysis-(2080s-and-2083s)?_g=(refreshInterval:(display:Off,section:0,value:0),time:(from:'2016-11-19 00:50:52-700',mode:absolute,to:'2016-11-19 03:01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0" s="52" t="str">
        <f t="shared" si="58"/>
        <v>Y</v>
      </c>
      <c r="X210" s="177">
        <f t="shared" si="59"/>
        <v>2</v>
      </c>
      <c r="Y210" s="67">
        <f t="shared" si="60"/>
        <v>4.6199999999999998E-2</v>
      </c>
      <c r="Z210" s="67">
        <f t="shared" si="61"/>
        <v>2.2833000000000001</v>
      </c>
      <c r="AA210" s="67">
        <f t="shared" si="62"/>
        <v>2.2371000000000003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3"/>
        <v>0311-18</v>
      </c>
      <c r="AE210" s="91" t="str">
        <f t="shared" si="64"/>
        <v>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 &amp; aws s3 cp s3://rtdc.mdm.uploadarchive.raw/RTDC4042/ "%USERPROFILE%\AppData\Local\Temp\OnboardLogs"\RTDC4042\2016-11-20 --exclude "*" --recursive --include "*20161120*" &amp; "%USERPROFILE%\Documents\GitHub\mrs-test-scripts\Headless Mode &amp; Sideloading\WalkAndUnGZ.bat" "%USERPROFILE%\AppData\Local\Temp\OnboardLogs"\RTDC4042\2016-11-20</v>
      </c>
      <c r="AF210" s="88" t="str">
        <f t="shared" si="65"/>
        <v>"C:\Program Files (x86)\AstroGrep\AstroGrep.exe" /spath="%USERPROFILE%\AppData\Local\Temp\OnboardLogs" /stypes="app*4042*20161119*" /stext=" 09:.+((SYSTEM_STATE.+slice.+state.+changed )|(ment ac)|(system.+state.+changed )|(\[timeout)|(PRM\|1\|D)|(kpr)|(kdp)|(\|lc)|(penalty))" /e /r /s</v>
      </c>
      <c r="AG210" s="1" t="str">
        <f t="shared" si="66"/>
        <v>Other</v>
      </c>
      <c r="AH210" s="92" t="str">
        <f t="shared" si="67"/>
        <v>"%USERPROFILE%\Documents\GitHub\eaglep3\Utilities\RefineRTDCRunTimes.py" --tripid 311-18 --locoid 4042 --swversion DE.1.0.8.0 --startMP 204:462 --initTime 2016-11-19T01:50:52 --startdatetime 2016-11-19T01:52:59 --delay 1 --endMP 300:22833 --enddatetime 2016-11-19T02:01:40 --enforcementcount 0 &gt;&gt;C:\Users\stu\Documents\GitHub\eaglep3-reporting\EC\2016-11-18-refined-times.txt</v>
      </c>
      <c r="AI210" s="119" t="str">
        <f t="shared" si="68"/>
        <v>echo {"issue":{"subject":"","project_id":79,"tracker_id":40,"status_id":1,"priority_id":2,"assigned_to_id":23,"start_date":"2016-11-19","description":"","custom_fields":[{"id":1,"name":"Subdivision","value":"Other"},{"id":4,"name":"Milepost","value":"2.2833"},{"id":17,"name":"Train ID","value":"311-18"},{"id":16,"name":"Locomotive ID","value":"4042"},{"id":130,"name":"Impact","value":""},{"id":150,"name":"Time of Event (Mountain Time)","value":"02:01:40"},{"id":151,"name":"Denver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731</v>
      </c>
      <c r="B211" s="7">
        <v>4018</v>
      </c>
      <c r="C211" s="22" t="s">
        <v>218</v>
      </c>
      <c r="D211" s="22" t="s">
        <v>228</v>
      </c>
      <c r="E211" s="13">
        <v>42693.09615740741</v>
      </c>
      <c r="F211" s="13">
        <v>25568.708333333332</v>
      </c>
      <c r="G211" s="7">
        <v>1</v>
      </c>
      <c r="H211" s="22" t="s">
        <v>732</v>
      </c>
      <c r="I211" s="13">
        <v>25568.708333333332</v>
      </c>
      <c r="J211" s="7">
        <v>0</v>
      </c>
      <c r="K211" s="109" t="str">
        <f t="shared" si="52"/>
        <v>4017/4018</v>
      </c>
      <c r="L211" s="22" t="e">
        <f>VLOOKUP(A211,'Trips&amp;Operators'!$C$1:$E$10000,3,FALSE)</f>
        <v>#N/A</v>
      </c>
      <c r="M211" s="6">
        <f t="shared" si="53"/>
        <v>0</v>
      </c>
      <c r="N211" s="7">
        <f t="shared" si="54"/>
        <v>0</v>
      </c>
      <c r="O211" s="7"/>
      <c r="P211" s="7"/>
      <c r="Q211" s="23"/>
      <c r="R211" s="23"/>
      <c r="S211" s="35">
        <f t="shared" si="55"/>
        <v>1</v>
      </c>
      <c r="T211" s="50" t="str">
        <f t="shared" si="56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https://search-rtdc-monitor-bjffxe2xuh6vdkpspy63sjmuny.us-east-1.es.amazonaws.com/_plugin/kibana/#/discover/Steve-Slow-Train-Analysis-(2080s-and-2083s)?_g=(refreshInterval:(display:Off,section:0,value:0),time:(from:'2016-11-19 01:18:28-700',mode:absolute,to:'1969-12-31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1" s="52" t="str">
        <f t="shared" si="58"/>
        <v>Y</v>
      </c>
      <c r="X211" s="177">
        <f t="shared" si="59"/>
        <v>2</v>
      </c>
      <c r="Y211" s="67">
        <f t="shared" si="60"/>
        <v>4.6899999999999997E-2</v>
      </c>
      <c r="Z211" s="67">
        <f t="shared" si="61"/>
        <v>2.3304</v>
      </c>
      <c r="AA211" s="67">
        <f t="shared" si="62"/>
        <v>2.2835000000000001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3"/>
        <v>0313-18</v>
      </c>
      <c r="AE211" s="91" t="str">
        <f t="shared" si="6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1" s="88" t="str">
        <f t="shared" si="65"/>
        <v>"C:\Program Files (x86)\AstroGrep\AstroGrep.exe" /spath="%USERPROFILE%\AppData\Local\Temp\OnboardLogs" /stypes="app*4018*19700101*" /stext=" 00:.+((SYSTEM_STATE.+slice.+state.+changed )|(ment ac)|(system.+state.+changed )|(\[timeout)|(PRM\|1\|D)|(kpr)|(kdp)|(\|lc)|(penalty))" /e /r /s</v>
      </c>
      <c r="AG211" s="1" t="str">
        <f t="shared" si="66"/>
        <v>Other</v>
      </c>
      <c r="AH211" s="92" t="str">
        <f t="shared" si="67"/>
        <v>"%USERPROFILE%\Documents\GitHub\eaglep3\Utilities\RefineRTDCRunTimes.py" --tripid 313-18 --locoid 4018 --swversion DE.1.0.8.0 --startMP 204:469 --initTime 2016-11-19T02:18:28 --startdatetime 1969-12-31T17:00:00 --delay 1 --endMP 300:23304 --enddatetime 1969-12-31T17:00:00 --enforcementcount 0 &gt;&gt;C:\Users\stu\Documents\GitHub\eaglep3-reporting\EC\2016-11-18-refined-times.txt</v>
      </c>
      <c r="AI211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477</v>
      </c>
      <c r="B212" s="7">
        <v>4007</v>
      </c>
      <c r="C212" s="22" t="s">
        <v>218</v>
      </c>
      <c r="D212" s="22" t="s">
        <v>799</v>
      </c>
      <c r="E212" s="13">
        <v>42692.198842592596</v>
      </c>
      <c r="F212" s="13">
        <v>42692.204583333332</v>
      </c>
      <c r="G212" s="7">
        <v>7</v>
      </c>
      <c r="H212" s="22" t="s">
        <v>800</v>
      </c>
      <c r="I212" s="13">
        <v>42692.210451388892</v>
      </c>
      <c r="J212" s="7">
        <v>0</v>
      </c>
      <c r="K212" s="109" t="str">
        <f t="shared" si="52"/>
        <v>4007/4008</v>
      </c>
      <c r="L212" s="22" t="str">
        <f>VLOOKUP(A212,'Trips&amp;Operators'!$C$1:$E$10000,3,FALSE)</f>
        <v>STRICKLAND</v>
      </c>
      <c r="M212" s="6">
        <f t="shared" si="53"/>
        <v>5.8680555594037287E-3</v>
      </c>
      <c r="N212" s="7">
        <f t="shared" si="54"/>
        <v>8.4500000055413693</v>
      </c>
      <c r="O212" s="7"/>
      <c r="P212" s="7"/>
      <c r="Q212" s="23"/>
      <c r="R212" s="23"/>
      <c r="S212" s="35">
        <f t="shared" si="55"/>
        <v>0</v>
      </c>
      <c r="T212" s="50" t="str">
        <f t="shared" si="56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03:46:20-700',mode:absolute,to:'2016-11-18 06:03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2" s="52" t="str">
        <f t="shared" si="58"/>
        <v>Y</v>
      </c>
      <c r="X212" s="177">
        <f t="shared" si="59"/>
        <v>588</v>
      </c>
      <c r="Y212" s="67">
        <f t="shared" si="60"/>
        <v>3.0560999999999998</v>
      </c>
      <c r="Z212" s="67">
        <f t="shared" si="61"/>
        <v>5.8971</v>
      </c>
      <c r="AA212" s="67">
        <f t="shared" si="62"/>
        <v>2.8410000000000002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3"/>
        <v>0901-18</v>
      </c>
      <c r="AE212" s="91" t="str">
        <f t="shared" si="64"/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AF212" s="88" t="str">
        <f t="shared" si="65"/>
        <v>"C:\Program Files (x86)\AstroGrep\AstroGrep.exe" /spath="%USERPROFILE%\AppData\Local\Temp\OnboardLogs" /stypes="app*4007*20161118*" /stext=" 12:.+((SYSTEM_STATE.+slice.+state.+changed )|(ment ac)|(system.+state.+changed )|(\[timeout)|(PRM\|1\|D)|(kpr)|(kdp)|(\|lc)|(penalty))" /e /r /s</v>
      </c>
      <c r="AG212" s="1" t="str">
        <f t="shared" si="66"/>
        <v>Other</v>
      </c>
      <c r="AH212" s="92" t="str">
        <f t="shared" si="67"/>
        <v>"%USERPROFILE%\Documents\GitHub\eaglep3\Utilities\RefineRTDCRunTimes.py" --tripid 901-18 --locoid 4007 --swversion DE.1.0.8.0 --startMP 300:30561 --initTime 2016-11-18T04:46:20 --startdatetime 2016-11-18T04:54:36 --delay 7 --endMP 300:58971 --enddatetime 2016-11-18T05:03:03 --enforcementcount 0 &gt;&gt;C:\Users\stu\Documents\GitHub\eaglep3-reporting\EC\2016-11-18-refined-times.txt</v>
      </c>
      <c r="AI212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{"issue":{"subject":"","project_id":79,"tracker_id":40,"status_id":1,"priority_id":2,"assigned_to_id":23,"start_date":"2016-11-18","description":"","custom_fields":[{"id":1,"name":"Subdivision","value":"Other"},{"id":4,"name":"Milepost","value":"5.8971"},{"id":17,"name":"Train ID","value":"901-18"},{"id":16,"name":"Locomotive ID","value":"4007"},{"id":130,"name":"Impact","value":""},{"id":150,"name":"Time of Event (Mountain Time)","value":"05:03:03"},{"id":151,"name":"Denver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489</v>
      </c>
      <c r="B213" s="7">
        <v>4032</v>
      </c>
      <c r="C213" s="22" t="s">
        <v>218</v>
      </c>
      <c r="D213" s="22" t="s">
        <v>801</v>
      </c>
      <c r="E213" s="13">
        <v>42692.249016203707</v>
      </c>
      <c r="F213" s="13">
        <v>42692.250486111108</v>
      </c>
      <c r="G213" s="7">
        <v>1</v>
      </c>
      <c r="H213" s="22" t="s">
        <v>298</v>
      </c>
      <c r="I213" s="13">
        <v>42692.256018518521</v>
      </c>
      <c r="J213" s="7">
        <v>0</v>
      </c>
      <c r="K213" s="109" t="str">
        <f t="shared" si="52"/>
        <v>4031/4032</v>
      </c>
      <c r="L213" s="22" t="str">
        <f>VLOOKUP(A213,'Trips&amp;Operators'!$C$1:$E$10000,3,FALSE)</f>
        <v>MAGEE</v>
      </c>
      <c r="M213" s="6">
        <f t="shared" si="53"/>
        <v>5.5324074128293432E-3</v>
      </c>
      <c r="N213" s="7">
        <f t="shared" si="54"/>
        <v>7.9666666744742543</v>
      </c>
      <c r="O213" s="7"/>
      <c r="P213" s="7"/>
      <c r="Q213" s="23"/>
      <c r="R213" s="23"/>
      <c r="S213" s="35">
        <f t="shared" si="55"/>
        <v>1</v>
      </c>
      <c r="T213" s="50" t="str">
        <f t="shared" si="56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04:58:35-700',mode:absolute,to:'2016-11-18 07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3" s="52" t="str">
        <f t="shared" si="58"/>
        <v>Y</v>
      </c>
      <c r="X213" s="177">
        <f t="shared" si="59"/>
        <v>1</v>
      </c>
      <c r="Y213" s="67">
        <f t="shared" si="60"/>
        <v>2.3491</v>
      </c>
      <c r="Z213" s="67">
        <f t="shared" si="61"/>
        <v>7.2400000000000006E-2</v>
      </c>
      <c r="AA213" s="67">
        <f t="shared" si="62"/>
        <v>2.2766999999999999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3"/>
        <v>0902-18</v>
      </c>
      <c r="AE213" s="91" t="str">
        <f t="shared" si="64"/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AF213" s="88" t="str">
        <f t="shared" si="65"/>
        <v>"C:\Program Files (x86)\AstroGrep\AstroGrep.exe" /spath="%USERPROFILE%\AppData\Local\Temp\OnboardLogs" /stypes="app*4032*20161118*" /stext=" 13:.+((SYSTEM_STATE.+slice.+state.+changed )|(ment ac)|(system.+state.+changed )|(\[timeout)|(PRM\|1\|D)|(kpr)|(kdp)|(\|lc)|(penalty))" /e /r /s</v>
      </c>
      <c r="AG213" s="1" t="str">
        <f t="shared" si="66"/>
        <v>Other</v>
      </c>
      <c r="AH213" s="92" t="str">
        <f t="shared" si="67"/>
        <v>"%USERPROFILE%\Documents\GitHub\eaglep3\Utilities\RefineRTDCRunTimes.py" --tripid 902-18 --locoid 4032 --swversion DE.1.0.8.0 --startMP 300:23491 --initTime 2016-11-18T05:58:35 --startdatetime 2016-11-18T06:00:42 --delay 1 --endMP 204:724 --enddatetime 2016-11-18T06:08:40 --enforcementcount 0 &gt;&gt;C:\Users\stu\Documents\GitHub\eaglep3-reporting\EC\2016-11-18-refined-times.txt</v>
      </c>
      <c r="AI213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{"issue":{"subject":"","project_id":79,"tracker_id":40,"status_id":1,"priority_id":2,"assigned_to_id":23,"start_date":"2016-11-18","description":"","custom_fields":[{"id":1,"name":"Subdivision","value":"Other"},{"id":4,"name":"Milepost","value":"0.0724"},{"id":17,"name":"Train ID","value":"902-18"},{"id":16,"name":"Locomotive ID","value":"4032"},{"id":130,"name":"Impact","value":""},{"id":150,"name":"Time of Event (Mountain Time)","value":"06:08:40"},{"id":151,"name":"Denver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513</v>
      </c>
      <c r="B214" s="7">
        <v>4007</v>
      </c>
      <c r="C214" s="22" t="s">
        <v>218</v>
      </c>
      <c r="D214" s="22" t="s">
        <v>802</v>
      </c>
      <c r="E214" s="13">
        <v>42692.354803240742</v>
      </c>
      <c r="F214" s="13">
        <v>25568.708333333332</v>
      </c>
      <c r="G214" s="7">
        <v>1</v>
      </c>
      <c r="H214" s="22" t="s">
        <v>803</v>
      </c>
      <c r="I214" s="13">
        <v>25568.708333333332</v>
      </c>
      <c r="J214" s="7">
        <v>0</v>
      </c>
      <c r="K214" s="109" t="str">
        <f t="shared" si="52"/>
        <v>4007/4008</v>
      </c>
      <c r="L214" s="22" t="str">
        <f>VLOOKUP(A214,'Trips&amp;Operators'!$C$1:$E$10000,3,FALSE)</f>
        <v>STRICKLAND</v>
      </c>
      <c r="M214" s="6">
        <f t="shared" si="53"/>
        <v>0</v>
      </c>
      <c r="N214" s="7">
        <f t="shared" si="54"/>
        <v>0</v>
      </c>
      <c r="O214" s="7"/>
      <c r="P214" s="7"/>
      <c r="Q214" s="23"/>
      <c r="R214" s="23"/>
      <c r="S214" s="35">
        <f t="shared" si="55"/>
        <v>1</v>
      </c>
      <c r="T214" s="50" t="str">
        <f t="shared" si="56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07:30:55-700',mode:absolute,to:'1969-12-31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2" t="str">
        <f t="shared" si="58"/>
        <v>Y</v>
      </c>
      <c r="X214" s="177">
        <f t="shared" si="59"/>
        <v>1</v>
      </c>
      <c r="Y214" s="67">
        <f t="shared" si="60"/>
        <v>0.10630000000000001</v>
      </c>
      <c r="Z214" s="67">
        <f t="shared" si="61"/>
        <v>2.6882999999999999</v>
      </c>
      <c r="AA214" s="67">
        <f t="shared" si="62"/>
        <v>2.5819999999999999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3"/>
        <v>0903-18</v>
      </c>
      <c r="AE214" s="91" t="str">
        <f t="shared" si="64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4" s="88" t="str">
        <f t="shared" si="65"/>
        <v>"C:\Program Files (x86)\AstroGrep\AstroGrep.exe" /spath="%USERPROFILE%\AppData\Local\Temp\OnboardLogs" /stypes="app*4007*19700101*" /stext=" 00:.+((SYSTEM_STATE.+slice.+state.+changed )|(ment ac)|(system.+state.+changed )|(\[timeout)|(PRM\|1\|D)|(kpr)|(kdp)|(\|lc)|(penalty))" /e /r /s</v>
      </c>
      <c r="AG214" s="1" t="str">
        <f t="shared" si="66"/>
        <v>Other</v>
      </c>
      <c r="AH214" s="92" t="str">
        <f t="shared" si="67"/>
        <v>"%USERPROFILE%\Documents\GitHub\eaglep3\Utilities\RefineRTDCRunTimes.py" --tripid 903-18 --locoid 4007 --swversion DE.1.0.8.0 --startMP 204:1063 --initTime 2016-11-18T08:30:55 --startdatetime 1969-12-31T17:00:00 --delay 1 --endMP 300:26883 --enddatetime 1969-12-31T17:00:00 --enforcementcount 0 &gt;&gt;C:\Users\stu\Documents\GitHub\eaglep3-reporting\EC\2016-11-18-refined-times.txt</v>
      </c>
      <c r="AI214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{"issue":{"subject":"","project_id":79,"tracker_id":40,"status_id":1,"priority_id":2,"assigned_to_id":23,"start_date":"1969-12-31","description":"","custom_fields":[{"id":1,"name":"Subdivision","value":"Other"},{"id":4,"name":"Milepost","value":"2.6883"},{"id":17,"name":"Train ID","value":"903-18"},{"id":16,"name":"Locomotive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573</v>
      </c>
      <c r="B215" s="7">
        <v>4008</v>
      </c>
      <c r="C215" s="22" t="s">
        <v>218</v>
      </c>
      <c r="D215" s="22" t="s">
        <v>804</v>
      </c>
      <c r="E215" s="13">
        <v>42692.638101851851</v>
      </c>
      <c r="F215" s="13">
        <v>42692.644849537035</v>
      </c>
      <c r="G215" s="7">
        <v>9</v>
      </c>
      <c r="H215" s="22" t="s">
        <v>805</v>
      </c>
      <c r="I215" s="13">
        <v>42692.650509259256</v>
      </c>
      <c r="J215" s="7">
        <v>0</v>
      </c>
      <c r="K215" s="109" t="str">
        <f t="shared" si="52"/>
        <v>4007/4008</v>
      </c>
      <c r="L215" s="22" t="str">
        <f>VLOOKUP(A215,'Trips&amp;Operators'!$C$1:$E$10000,3,FALSE)</f>
        <v>LALONDE</v>
      </c>
      <c r="M215" s="6">
        <f t="shared" si="53"/>
        <v>5.6597222210257314E-3</v>
      </c>
      <c r="N215" s="7">
        <f t="shared" si="54"/>
        <v>8.1499999982770532</v>
      </c>
      <c r="O215" s="7"/>
      <c r="P215" s="7"/>
      <c r="Q215" s="23"/>
      <c r="R215" s="23"/>
      <c r="S215" s="35">
        <f t="shared" si="55"/>
        <v>1</v>
      </c>
      <c r="T215" s="50" t="str">
        <f t="shared" si="56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14:18:52-700',mode:absolute,to:'2016-11-18 16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5" s="52" t="str">
        <f t="shared" si="58"/>
        <v>Y</v>
      </c>
      <c r="X215" s="177">
        <f t="shared" si="59"/>
        <v>1</v>
      </c>
      <c r="Y215" s="67">
        <f t="shared" si="60"/>
        <v>2.3738999999999999</v>
      </c>
      <c r="Z215" s="67">
        <f t="shared" si="61"/>
        <v>6.5000000000000002E-2</v>
      </c>
      <c r="AA215" s="67">
        <f t="shared" si="62"/>
        <v>2.3089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3"/>
        <v>0904-18</v>
      </c>
      <c r="AE215" s="91" t="str">
        <f t="shared" si="64"/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AF215" s="88" t="str">
        <f t="shared" si="65"/>
        <v>"C:\Program Files (x86)\AstroGrep\AstroGrep.exe" /spath="%USERPROFILE%\AppData\Local\Temp\OnboardLogs" /stypes="app*4008*20161118*" /stext=" 22:.+((SYSTEM_STATE.+slice.+state.+changed )|(ment ac)|(system.+state.+changed )|(\[timeout)|(PRM\|1\|D)|(kpr)|(kdp)|(\|lc)|(penalty))" /e /r /s</v>
      </c>
      <c r="AG215" s="1" t="str">
        <f t="shared" si="66"/>
        <v>Other</v>
      </c>
      <c r="AH215" s="92" t="str">
        <f t="shared" si="67"/>
        <v>"%USERPROFILE%\Documents\GitHub\eaglep3\Utilities\RefineRTDCRunTimes.py" --tripid 904-18 --locoid 4008 --swversion DE.1.0.8.0 --startMP 300:23739 --initTime 2016-11-18T15:18:52 --startdatetime 2016-11-18T15:28:35 --delay 9 --endMP 204:650 --enddatetime 2016-11-18T15:36:44 --enforcementcount 0 &gt;&gt;C:\Users\stu\Documents\GitHub\eaglep3-reporting\EC\2016-11-18-refined-times.txt</v>
      </c>
      <c r="AI215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{"issue":{"subject":"","project_id":79,"tracker_id":40,"status_id":1,"priority_id":2,"assigned_to_id":23,"start_date":"2016-11-18","description":"","custom_fields":[{"id":1,"name":"Subdivision","value":"Other"},{"id":4,"name":"Milepost","value":"0.065"},{"id":17,"name":"Train ID","value":"904-18"},{"id":16,"name":"Locomotive ID","value":"4008"},{"id":130,"name":"Impact","value":""},{"id":150,"name":"Time of Event (Mountain Time)","value":"15:36:44"},{"id":151,"name":"Denver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618</v>
      </c>
      <c r="B216" s="7">
        <v>4008</v>
      </c>
      <c r="C216" s="22" t="s">
        <v>218</v>
      </c>
      <c r="D216" s="22" t="s">
        <v>793</v>
      </c>
      <c r="E216" s="13">
        <v>42692.795775462961</v>
      </c>
      <c r="F216" s="13">
        <v>25568.708333333332</v>
      </c>
      <c r="G216" s="7">
        <v>1</v>
      </c>
      <c r="H216" s="22" t="s">
        <v>806</v>
      </c>
      <c r="I216" s="13">
        <v>25568.708333333332</v>
      </c>
      <c r="J216" s="7">
        <v>0</v>
      </c>
      <c r="K216" s="109" t="str">
        <f t="shared" si="52"/>
        <v>4007/4008</v>
      </c>
      <c r="L216" s="22" t="str">
        <f>VLOOKUP(A216,'Trips&amp;Operators'!$C$1:$E$10000,3,FALSE)</f>
        <v>LALONDE</v>
      </c>
      <c r="M216" s="6">
        <f t="shared" si="53"/>
        <v>0</v>
      </c>
      <c r="N216" s="7">
        <f t="shared" si="54"/>
        <v>0</v>
      </c>
      <c r="O216" s="7"/>
      <c r="P216" s="7"/>
      <c r="Q216" s="23"/>
      <c r="R216" s="23"/>
      <c r="S216" s="35">
        <f t="shared" si="55"/>
        <v>0</v>
      </c>
      <c r="T216" s="50" t="str">
        <f t="shared" si="56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18:05:55-700',mode:absolute,to:'1969-12-31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6" s="52" t="str">
        <f t="shared" si="58"/>
        <v>Y</v>
      </c>
      <c r="X216" s="177">
        <f t="shared" si="59"/>
        <v>2</v>
      </c>
      <c r="Y216" s="67">
        <f t="shared" si="60"/>
        <v>5.8619000000000003</v>
      </c>
      <c r="Z216" s="67">
        <f t="shared" si="61"/>
        <v>2.8774000000000002</v>
      </c>
      <c r="AA216" s="67">
        <f t="shared" si="62"/>
        <v>2.9845000000000002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3"/>
        <v>0906-18</v>
      </c>
      <c r="AE216" s="91" t="str">
        <f t="shared" si="64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16" s="88" t="str">
        <f t="shared" si="65"/>
        <v>"C:\Program Files (x86)\AstroGrep\AstroGrep.exe" /spath="%USERPROFILE%\AppData\Local\Temp\OnboardLogs" /stypes="app*4008*19700101*" /stext=" 00:.+((SYSTEM_STATE.+slice.+state.+changed )|(ment ac)|(system.+state.+changed )|(\[timeout)|(PRM\|1\|D)|(kpr)|(kdp)|(\|lc)|(penalty))" /e /r /s</v>
      </c>
      <c r="AG216" s="1" t="str">
        <f t="shared" si="66"/>
        <v>Other</v>
      </c>
      <c r="AH216" s="92" t="str">
        <f t="shared" si="67"/>
        <v>"%USERPROFILE%\Documents\GitHub\eaglep3\Utilities\RefineRTDCRunTimes.py" --tripid 906-18 --locoid 4008 --swversion DE.1.0.8.0 --startMP 300:58619 --initTime 2016-11-18T19:05:55 --startdatetime 1969-12-31T17:00:00 --delay 1 --endMP 300:28774 --enddatetime 1969-12-31T17:00:00 --enforcementcount 0 &gt;&gt;C:\Users\stu\Documents\GitHub\eaglep3-reporting\EC\2016-11-18-refined-times.txt</v>
      </c>
      <c r="AI216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{"issue":{"subject":"","project_id":79,"tracker_id":40,"status_id":1,"priority_id":2,"assigned_to_id":23,"start_date":"1969-12-31","description":"","custom_fields":[{"id":1,"name":"Subdivision","value":"Other"},{"id":4,"name":"Milepost","value":"2.8774"},{"id":17,"name":"Train ID","value":"906-18"},{"id":16,"name":"Locomotive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643</v>
      </c>
      <c r="B217" s="7">
        <v>4032</v>
      </c>
      <c r="C217" s="22" t="s">
        <v>218</v>
      </c>
      <c r="D217" s="22" t="s">
        <v>807</v>
      </c>
      <c r="E217" s="13">
        <v>42692.941446759258</v>
      </c>
      <c r="F217" s="13">
        <v>25568.708333333332</v>
      </c>
      <c r="G217" s="7">
        <v>0</v>
      </c>
      <c r="H217" s="22" t="s">
        <v>808</v>
      </c>
      <c r="I217" s="13">
        <v>25568.708333333332</v>
      </c>
      <c r="J217" s="7">
        <v>0</v>
      </c>
      <c r="K217" s="109" t="str">
        <f t="shared" si="52"/>
        <v>4031/4032</v>
      </c>
      <c r="L217" s="22" t="str">
        <f>VLOOKUP(A217,'Trips&amp;Operators'!$C$1:$E$10000,3,FALSE)</f>
        <v>LALONDE</v>
      </c>
      <c r="M217" s="6">
        <f t="shared" si="53"/>
        <v>0</v>
      </c>
      <c r="N217" s="7">
        <f t="shared" si="54"/>
        <v>0</v>
      </c>
      <c r="O217" s="7"/>
      <c r="P217" s="7"/>
      <c r="Q217" s="23"/>
      <c r="R217" s="23"/>
      <c r="S217" s="35">
        <f t="shared" si="55"/>
        <v>0</v>
      </c>
      <c r="T217" s="50" t="str">
        <f t="shared" si="56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21:35:41-700',mode:absolute,to:'1969-12-31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7" s="52" t="str">
        <f t="shared" si="58"/>
        <v>Y</v>
      </c>
      <c r="X217" s="177">
        <f t="shared" si="59"/>
        <v>2</v>
      </c>
      <c r="Y217" s="67">
        <f t="shared" si="60"/>
        <v>5.86</v>
      </c>
      <c r="Z217" s="67">
        <f t="shared" si="61"/>
        <v>2.1791</v>
      </c>
      <c r="AA217" s="67">
        <f t="shared" si="62"/>
        <v>3.6809000000000003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3"/>
        <v>0908-18</v>
      </c>
      <c r="AE217" s="91" t="str">
        <f t="shared" si="64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17" s="88" t="str">
        <f t="shared" si="65"/>
        <v>"C:\Program Files (x86)\AstroGrep\AstroGrep.exe" /spath="%USERPROFILE%\AppData\Local\Temp\OnboardLogs" /stypes="app*4032*19700101*" /stext=" 00:.+((SYSTEM_STATE.+slice.+state.+changed )|(ment ac)|(system.+state.+changed )|(\[timeout)|(PRM\|1\|D)|(kpr)|(kdp)|(\|lc)|(penalty))" /e /r /s</v>
      </c>
      <c r="AG217" s="1" t="str">
        <f t="shared" si="66"/>
        <v>Other</v>
      </c>
      <c r="AH217" s="92" t="str">
        <f t="shared" si="67"/>
        <v>"%USERPROFILE%\Documents\GitHub\eaglep3\Utilities\RefineRTDCRunTimes.py" --tripid 908-18 --locoid 4032 --swversion DE.1.0.8.0 --startMP 300:58600 --initTime 2016-11-18T22:35:41 --startdatetime 1969-12-31T17:00:00 --delay 0 --endMP 300:21791 --enddatetime 1969-12-31T17:00:00 --enforcementcount 0 &gt;&gt;C:\Users\stu\Documents\GitHub\eaglep3-reporting\EC\2016-11-18-refined-times.txt</v>
      </c>
      <c r="AI217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{"issue":{"subject":"","project_id":79,"tracker_id":40,"status_id":1,"priority_id":2,"assigned_to_id":23,"start_date":"1969-12-31","description":"","custom_fields":[{"id":1,"name":"Subdivision","value":"Other"},{"id":4,"name":"Milepost","value":"2.1791"},{"id":17,"name":"Train ID","value":"908-18"},{"id":16,"name":"Locomotive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431</v>
      </c>
      <c r="B218" s="7">
        <v>4043</v>
      </c>
      <c r="C218" s="22" t="s">
        <v>218</v>
      </c>
      <c r="D218" s="22" t="s">
        <v>733</v>
      </c>
      <c r="E218" s="13">
        <v>42692.175266203703</v>
      </c>
      <c r="F218" s="13">
        <v>42692.176874999997</v>
      </c>
      <c r="G218" s="7">
        <v>2</v>
      </c>
      <c r="H218" s="22" t="s">
        <v>734</v>
      </c>
      <c r="I218" s="13">
        <v>42692.193113425928</v>
      </c>
      <c r="J218" s="7">
        <v>0</v>
      </c>
      <c r="K218" s="109" t="str">
        <f t="shared" si="52"/>
        <v>4043/4044</v>
      </c>
      <c r="L218" s="22" t="str">
        <f>VLOOKUP(A218,'Trips&amp;Operators'!$C$1:$E$10000,3,FALSE)</f>
        <v>CUSHING</v>
      </c>
      <c r="M218" s="6">
        <f t="shared" si="53"/>
        <v>1.6238425931078382E-2</v>
      </c>
      <c r="N218" s="7">
        <f t="shared" si="54"/>
        <v>23.38333334075287</v>
      </c>
      <c r="O218" s="7"/>
      <c r="P218" s="7"/>
      <c r="Q218" s="23"/>
      <c r="R218" s="23"/>
      <c r="S218" s="35">
        <f t="shared" si="55"/>
        <v>0</v>
      </c>
      <c r="T218" s="50" t="e">
        <f t="shared" si="56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03:12:23-700',mode:absolute,to:'2016-11-18 05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8" s="52" t="str">
        <f t="shared" si="58"/>
        <v>N</v>
      </c>
      <c r="X218" s="177" t="e">
        <f t="shared" si="59"/>
        <v>#VALUE!</v>
      </c>
      <c r="Y218" s="67">
        <f t="shared" si="60"/>
        <v>5.8238000000000003</v>
      </c>
      <c r="Z218" s="67">
        <f t="shared" si="61"/>
        <v>8.7099999999999997E-2</v>
      </c>
      <c r="AA218" s="67">
        <f t="shared" si="62"/>
        <v>5.7366999999999999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3"/>
        <v>50-18</v>
      </c>
      <c r="AE218" s="91" t="str">
        <f t="shared" si="64"/>
        <v>aws s3 cp s3://rtdc.mdm.uploadarchive.raw/RTDC4043/ "%USERPROFILE%\AppData\Local\Temp\OnboardLogs"\RTDC4043\2016-11-18 --exclude "*" --recursive --include "*20161118*" &amp; "%USERPROFILE%\Documents\GitHub\mrs-test-scripts\Headless Mode &amp; Sideloading\WalkAndUnGZ.bat" "%USERPROFILE%\AppData\Local\Temp\OnboardLogs"\RTDC4043\2016-11-18 &amp; 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</v>
      </c>
      <c r="AF218" s="88" t="str">
        <f t="shared" si="65"/>
        <v>"C:\Program Files (x86)\AstroGrep\AstroGrep.exe" /spath="%USERPROFILE%\AppData\Local\Temp\OnboardLogs" /stypes="app*4043*20161118*" /stext=" 11:.+((SYSTEM_STATE.+slice.+state.+changed )|(ment ac)|(system.+state.+changed )|(\[timeout)|(PRM\|1\|D)|(kpr)|(kdp)|(\|lc)|(penalty))" /e /r /s</v>
      </c>
      <c r="AG218" s="1" t="str">
        <f t="shared" si="66"/>
        <v>Other</v>
      </c>
      <c r="AH218" s="92" t="str">
        <f t="shared" si="67"/>
        <v>"%USERPROFILE%\Documents\GitHub\eaglep3\Utilities\RefineRTDCRunTimes.py" --tripid 50-18 --locoid 4043 --swversion DE.1.0.8.0 --startMP 204:58238 --initTime 2016-11-18T04:12:23 --startdatetime 2016-11-18T04:14:42 --delay 2 --endMP 204:871 --enddatetime 2016-11-18T04:38:05 --enforcementcount 0 &gt;&gt;C:\Users\stu\Documents\GitHub\eaglep3-reporting\EC\2016-11-18-refined-times.txt</v>
      </c>
      <c r="AI218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{"issue":{"subject":"","project_id":79,"tracker_id":40,"status_id":1,"priority_id":2,"assigned_to_id":23,"start_date":"2016-11-18","description":"","custom_fields":[{"id":1,"name":"Subdivision","value":"Other"},{"id":4,"name":"Milepost","value":"0.0871"},{"id":17,"name":"Train ID","value":"50-18"},{"id":16,"name":"Locomotive ID","value":"4043"},{"id":130,"name":"Impact","value":""},{"id":150,"name":"Time of Event (Mountain Time)","value":"04:38:05"},{"id":151,"name":"Denver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431</v>
      </c>
      <c r="B219" s="7">
        <v>4043</v>
      </c>
      <c r="C219" s="22" t="s">
        <v>218</v>
      </c>
      <c r="D219" s="22" t="s">
        <v>735</v>
      </c>
      <c r="E219" s="13">
        <v>42692.167314814818</v>
      </c>
      <c r="F219" s="13">
        <v>42692.176874999997</v>
      </c>
      <c r="G219" s="7">
        <v>1</v>
      </c>
      <c r="H219" s="22" t="s">
        <v>736</v>
      </c>
      <c r="I219" s="13">
        <v>42692.193113425928</v>
      </c>
      <c r="J219" s="7">
        <v>0</v>
      </c>
      <c r="K219" s="109" t="str">
        <f t="shared" si="52"/>
        <v>4043/4044</v>
      </c>
      <c r="L219" s="22" t="str">
        <f>VLOOKUP(A219,'Trips&amp;Operators'!$C$1:$E$10000,3,FALSE)</f>
        <v>CUSHING</v>
      </c>
      <c r="M219" s="6">
        <f t="shared" si="53"/>
        <v>1.6238425931078382E-2</v>
      </c>
      <c r="N219" s="7">
        <f t="shared" si="54"/>
        <v>23.38333334075287</v>
      </c>
      <c r="O219" s="7"/>
      <c r="P219" s="7"/>
      <c r="Q219" s="23"/>
      <c r="R219" s="23"/>
      <c r="S219" s="35">
        <f t="shared" si="55"/>
        <v>0</v>
      </c>
      <c r="T219" s="50" t="e">
        <f t="shared" si="56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03:00:56-700',mode:absolute,to:'2016-11-18 05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9" s="52" t="str">
        <f t="shared" si="58"/>
        <v>Y</v>
      </c>
      <c r="X219" s="177" t="e">
        <f t="shared" si="59"/>
        <v>#VALUE!</v>
      </c>
      <c r="Y219" s="67">
        <f t="shared" si="60"/>
        <v>6.4389000000000003</v>
      </c>
      <c r="Z219" s="67">
        <f t="shared" si="61"/>
        <v>6.4161000000000001</v>
      </c>
      <c r="AA219" s="67">
        <f t="shared" si="62"/>
        <v>2.2800000000000153E-2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3"/>
        <v>50-18</v>
      </c>
      <c r="AE219" s="91" t="str">
        <f t="shared" si="64"/>
        <v>aws s3 cp s3://rtdc.mdm.uploadarchive.raw/RTDC4043/ "%USERPROFILE%\AppData\Local\Temp\OnboardLogs"\RTDC4043\2016-11-18 --exclude "*" --recursive --include "*20161118*" &amp; "%USERPROFILE%\Documents\GitHub\mrs-test-scripts\Headless Mode &amp; Sideloading\WalkAndUnGZ.bat" "%USERPROFILE%\AppData\Local\Temp\OnboardLogs"\RTDC4043\2016-11-18 &amp; 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</v>
      </c>
      <c r="AF219" s="88" t="str">
        <f t="shared" si="65"/>
        <v>"C:\Program Files (x86)\AstroGrep\AstroGrep.exe" /spath="%USERPROFILE%\AppData\Local\Temp\OnboardLogs" /stypes="app*4043*20161118*" /stext=" 11:.+((SYSTEM_STATE.+slice.+state.+changed )|(ment ac)|(system.+state.+changed )|(\[timeout)|(PRM\|1\|D)|(kpr)|(kdp)|(\|lc)|(penalty))" /e /r /s</v>
      </c>
      <c r="AG219" s="1" t="str">
        <f t="shared" si="66"/>
        <v>Other</v>
      </c>
      <c r="AH219" s="92" t="str">
        <f t="shared" si="67"/>
        <v>"%USERPROFILE%\Documents\GitHub\eaglep3\Utilities\RefineRTDCRunTimes.py" --tripid 50-18 --locoid 4043 --swversion DE.1.0.8.0 --startMP 204:64389 --initTime 2016-11-18T04:00:56 --startdatetime 2016-11-18T04:14:42 --delay 1 --endMP 204:64161 --enddatetime 2016-11-18T04:38:05 --enforcementcount 0 &gt;&gt;C:\Users\stu\Documents\GitHub\eaglep3-reporting\EC\2016-11-18-refined-times.txt</v>
      </c>
      <c r="AI219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{"issue":{"subject":"","project_id":79,"tracker_id":40,"status_id":1,"priority_id":2,"assigned_to_id":23,"start_date":"2016-11-18","description":"","custom_fields":[{"id":1,"name":"Subdivision","value":"Other"},{"id":4,"name":"Milepost","value":"6.4161"},{"id":17,"name":"Train ID","value":"50-18"},{"id":16,"name":"Locomotive ID","value":"4043"},{"id":130,"name":"Impact","value":""},{"id":150,"name":"Time of Event (Mountain Time)","value":"04:38:05"},{"id":151,"name":"Denver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468</v>
      </c>
      <c r="B220" s="7">
        <v>4044</v>
      </c>
      <c r="C220" s="22" t="s">
        <v>218</v>
      </c>
      <c r="D220" s="22" t="s">
        <v>737</v>
      </c>
      <c r="E220" s="13">
        <v>42692.117083333331</v>
      </c>
      <c r="F220" s="13">
        <v>42692.153587962966</v>
      </c>
      <c r="G220" s="7">
        <v>1</v>
      </c>
      <c r="H220" s="22" t="s">
        <v>738</v>
      </c>
      <c r="I220" s="13">
        <v>42692.16511574074</v>
      </c>
      <c r="J220" s="7">
        <v>0</v>
      </c>
      <c r="K220" s="109" t="str">
        <f t="shared" si="52"/>
        <v>4043/4044</v>
      </c>
      <c r="L220" s="22" t="str">
        <f>VLOOKUP(A220,'Trips&amp;Operators'!$C$1:$E$10000,3,FALSE)</f>
        <v>CUSHING</v>
      </c>
      <c r="M220" s="6">
        <f t="shared" si="53"/>
        <v>1.1527777773153502E-2</v>
      </c>
      <c r="N220" s="7">
        <f t="shared" si="54"/>
        <v>16.599999993341044</v>
      </c>
      <c r="O220" s="7"/>
      <c r="P220" s="7"/>
      <c r="Q220" s="23"/>
      <c r="R220" s="23"/>
      <c r="S220" s="35">
        <f t="shared" si="55"/>
        <v>0</v>
      </c>
      <c r="T220" s="50" t="e">
        <f t="shared" si="56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01:48:36-700',mode:absolute,to:'2016-11-18 04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0" s="52" t="str">
        <f t="shared" si="58"/>
        <v>N</v>
      </c>
      <c r="X220" s="177" t="e">
        <f t="shared" si="59"/>
        <v>#VALUE!</v>
      </c>
      <c r="Y220" s="67">
        <f t="shared" si="60"/>
        <v>0.11600000000000001</v>
      </c>
      <c r="Z220" s="67">
        <f t="shared" si="61"/>
        <v>6.4725999999999999</v>
      </c>
      <c r="AA220" s="67">
        <f t="shared" si="62"/>
        <v>6.3566000000000003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3"/>
        <v>51-18</v>
      </c>
      <c r="AE220" s="91" t="str">
        <f t="shared" si="64"/>
        <v>aws s3 cp s3://rtdc.mdm.uploadarchive.raw/RTDC4044/ "%USERPROFILE%\AppData\Local\Temp\OnboardLogs"\RTDC4044\2016-11-18 --exclude "*" --recursive --include "*20161118*" &amp; "%USERPROFILE%\Documents\GitHub\mrs-test-scripts\Headless Mode &amp; Sideloading\WalkAndUnGZ.bat" "%USERPROFILE%\AppData\Local\Temp\OnboardLogs"\RTDC4044\2016-11-18 &amp; aws s3 cp s3://rtdc.mdm.uploadarchive.raw/RTDC4044/ "%USERPROFILE%\AppData\Local\Temp\OnboardLogs"\RTDC4044\2016-11-19 --exclude "*" --recursive --include "*20161119*" &amp; "%USERPROFILE%\Documents\GitHub\mrs-test-scripts\Headless Mode &amp; Sideloading\WalkAndUnGZ.bat" "%USERPROFILE%\AppData\Local\Temp\OnboardLogs"\RTDC4044\2016-11-19</v>
      </c>
      <c r="AF220" s="88" t="str">
        <f t="shared" si="65"/>
        <v>"C:\Program Files (x86)\AstroGrep\AstroGrep.exe" /spath="%USERPROFILE%\AppData\Local\Temp\OnboardLogs" /stypes="app*4044*20161118*" /stext=" 10:.+((SYSTEM_STATE.+slice.+state.+changed )|(ment ac)|(system.+state.+changed )|(\[timeout)|(PRM\|1\|D)|(kpr)|(kdp)|(\|lc)|(penalty))" /e /r /s</v>
      </c>
      <c r="AG220" s="1" t="str">
        <f t="shared" si="66"/>
        <v>Other</v>
      </c>
      <c r="AH220" s="92" t="str">
        <f t="shared" si="67"/>
        <v>"%USERPROFILE%\Documents\GitHub\eaglep3\Utilities\RefineRTDCRunTimes.py" --tripid 51-18 --locoid 4044 --swversion DE.1.0.8.0 --startMP 204:1160 --initTime 2016-11-18T02:48:36 --startdatetime 2016-11-18T03:41:10 --delay 1 --endMP 204:64726 --enddatetime 2016-11-18T03:57:46 --enforcementcount 0 &gt;&gt;C:\Users\stu\Documents\GitHub\eaglep3-reporting\EC\2016-11-18-refined-times.txt</v>
      </c>
      <c r="AI220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{"issue":{"subject":"","project_id":79,"tracker_id":40,"status_id":1,"priority_id":2,"assigned_to_id":23,"start_date":"2016-11-18","description":"","custom_fields":[{"id":1,"name":"Subdivision","value":"Other"},{"id":4,"name":"Milepost","value":"6.4726"},{"id":17,"name":"Train ID","value":"51-18"},{"id":16,"name":"Locomotive ID","value":"4044"},{"id":130,"name":"Impact","value":""},{"id":150,"name":"Time of Event (Mountain Time)","value":"03:57:46"},{"id":151,"name":"Denver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453</v>
      </c>
      <c r="B221" s="7">
        <v>4039</v>
      </c>
      <c r="C221" s="22" t="s">
        <v>218</v>
      </c>
      <c r="D221" s="22" t="s">
        <v>739</v>
      </c>
      <c r="E221" s="13">
        <v>42692.481469907405</v>
      </c>
      <c r="F221" s="13">
        <v>42692.482858796298</v>
      </c>
      <c r="G221" s="7">
        <v>1</v>
      </c>
      <c r="H221" s="22" t="s">
        <v>740</v>
      </c>
      <c r="I221" s="13">
        <v>42692.487893518519</v>
      </c>
      <c r="J221" s="7">
        <v>0</v>
      </c>
      <c r="K221" s="109" t="str">
        <f t="shared" si="52"/>
        <v>4039/4040</v>
      </c>
      <c r="L221" s="22" t="str">
        <f>VLOOKUP(A221,'Trips&amp;Operators'!$C$1:$E$10000,3,FALSE)</f>
        <v>HILLS</v>
      </c>
      <c r="M221" s="6">
        <f t="shared" si="53"/>
        <v>5.0347222204436548E-3</v>
      </c>
      <c r="N221" s="7">
        <f t="shared" si="54"/>
        <v>7.2499999974388629</v>
      </c>
      <c r="O221" s="7"/>
      <c r="P221" s="7"/>
      <c r="Q221" s="23"/>
      <c r="R221" s="23"/>
      <c r="S221" s="35">
        <f t="shared" si="55"/>
        <v>0</v>
      </c>
      <c r="T221" s="50" t="e">
        <f t="shared" si="56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10:33:19-700',mode:absolute,to:'2016-11-18 12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1" s="52" t="str">
        <f t="shared" si="58"/>
        <v>Y</v>
      </c>
      <c r="X221" s="177" t="e">
        <f t="shared" si="59"/>
        <v>#VALUE!</v>
      </c>
      <c r="Y221" s="67">
        <f t="shared" si="60"/>
        <v>2.2214</v>
      </c>
      <c r="Z221" s="67">
        <f t="shared" si="61"/>
        <v>0.10730000000000001</v>
      </c>
      <c r="AA221" s="67">
        <f t="shared" si="62"/>
        <v>2.1141000000000001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3"/>
        <v>52-18</v>
      </c>
      <c r="AE221" s="91" t="str">
        <f t="shared" si="64"/>
        <v>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 &amp; 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</v>
      </c>
      <c r="AF221" s="88" t="str">
        <f t="shared" si="65"/>
        <v>"C:\Program Files (x86)\AstroGrep\AstroGrep.exe" /spath="%USERPROFILE%\AppData\Local\Temp\OnboardLogs" /stypes="app*4039*20161118*" /stext=" 18:.+((SYSTEM_STATE.+slice.+state.+changed )|(ment ac)|(system.+state.+changed )|(\[timeout)|(PRM\|1\|D)|(kpr)|(kdp)|(\|lc)|(penalty))" /e /r /s</v>
      </c>
      <c r="AG221" s="1" t="str">
        <f t="shared" si="66"/>
        <v>Other</v>
      </c>
      <c r="AH221" s="92" t="str">
        <f t="shared" si="67"/>
        <v>"%USERPROFILE%\Documents\GitHub\eaglep3\Utilities\RefineRTDCRunTimes.py" --tripid 52-18 --locoid 4039 --swversion DE.1.0.8.0 --startMP 300:22214 --initTime 2016-11-18T11:33:19 --startdatetime 2016-11-18T11:35:19 --delay 1 --endMP 204:1073 --enddatetime 2016-11-18T11:42:34 --enforcementcount 0 &gt;&gt;C:\Users\stu\Documents\GitHub\eaglep3-reporting\EC\2016-11-18-refined-times.txt</v>
      </c>
      <c r="AI221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{"issue":{"subject":"","project_id":79,"tracker_id":40,"status_id":1,"priority_id":2,"assigned_to_id":23,"start_date":"2016-11-18","description":"","custom_fields":[{"id":1,"name":"Subdivision","value":"Other"},{"id":4,"name":"Milepost","value":"0.1073"},{"id":17,"name":"Train ID","value":"52-18"},{"id":16,"name":"Locomotive ID","value":"4039"},{"id":130,"name":"Impact","value":""},{"id":150,"name":"Time of Event (Mountain Time)","value":"11:42:34"},{"id":151,"name":"Denver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537</v>
      </c>
      <c r="B222" s="7">
        <v>4009</v>
      </c>
      <c r="C222" s="22" t="s">
        <v>218</v>
      </c>
      <c r="D222" s="22" t="s">
        <v>741</v>
      </c>
      <c r="E222" s="13">
        <v>42692.467812499999</v>
      </c>
      <c r="F222" s="13">
        <v>42692.476712962962</v>
      </c>
      <c r="G222" s="7">
        <v>1</v>
      </c>
      <c r="H222" s="22" t="s">
        <v>742</v>
      </c>
      <c r="I222" s="13">
        <v>42692.483437499999</v>
      </c>
      <c r="J222" s="7">
        <v>0</v>
      </c>
      <c r="K222" s="109" t="str">
        <f t="shared" si="52"/>
        <v>4009/4010</v>
      </c>
      <c r="L222" s="22" t="str">
        <f>VLOOKUP(A222,'Trips&amp;Operators'!$C$1:$E$10000,3,FALSE)</f>
        <v>HAITHCOX</v>
      </c>
      <c r="M222" s="6">
        <f t="shared" si="53"/>
        <v>6.7245370373711921E-3</v>
      </c>
      <c r="N222" s="7">
        <f t="shared" si="54"/>
        <v>9.6833333338145167</v>
      </c>
      <c r="O222" s="7"/>
      <c r="P222" s="7"/>
      <c r="Q222" s="23"/>
      <c r="R222" s="23"/>
      <c r="S222" s="35">
        <f t="shared" si="55"/>
        <v>0</v>
      </c>
      <c r="T222" s="50" t="e">
        <f t="shared" si="56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10:13:39-700',mode:absolute,to:'2016-11-18 12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2" s="52" t="str">
        <f t="shared" si="58"/>
        <v>Y</v>
      </c>
      <c r="X222" s="177" t="e">
        <f t="shared" si="59"/>
        <v>#VALUE!</v>
      </c>
      <c r="Y222" s="67">
        <f t="shared" si="60"/>
        <v>0.1537</v>
      </c>
      <c r="Z222" s="67">
        <f t="shared" si="61"/>
        <v>3.1309999999999998</v>
      </c>
      <c r="AA222" s="67">
        <f t="shared" si="62"/>
        <v>2.9772999999999996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3"/>
        <v>53-18</v>
      </c>
      <c r="AE222" s="91" t="str">
        <f t="shared" si="64"/>
        <v>aws s3 cp s3://rtdc.mdm.uploadarchive.raw/RTDC4009/ "%USERPROFILE%\AppData\Local\Temp\OnboardLogs"\RTDC4009\2016-11-18 --exclude "*" --recursive --include "*20161118*" &amp; "%USERPROFILE%\Documents\GitHub\mrs-test-scripts\Headless Mode &amp; Sideloading\WalkAndUnGZ.bat" "%USERPROFILE%\AppData\Local\Temp\OnboardLogs"\RTDC4009\2016-11-18 &amp; aws s3 cp s3://rtdc.mdm.uploadarchive.raw/RTDC4009/ "%USERPROFILE%\AppData\Local\Temp\OnboardLogs"\RTDC4009\2016-11-19 --exclude "*" --recursive --include "*20161119*" &amp; "%USERPROFILE%\Documents\GitHub\mrs-test-scripts\Headless Mode &amp; Sideloading\WalkAndUnGZ.bat" "%USERPROFILE%\AppData\Local\Temp\OnboardLogs"\RTDC4009\2016-11-19</v>
      </c>
      <c r="AF222" s="88" t="str">
        <f t="shared" si="65"/>
        <v>"C:\Program Files (x86)\AstroGrep\AstroGrep.exe" /spath="%USERPROFILE%\AppData\Local\Temp\OnboardLogs" /stypes="app*4009*20161118*" /stext=" 18:.+((SYSTEM_STATE.+slice.+state.+changed )|(ment ac)|(system.+state.+changed )|(\[timeout)|(PRM\|1\|D)|(kpr)|(kdp)|(\|lc)|(penalty))" /e /r /s</v>
      </c>
      <c r="AG222" s="1" t="str">
        <f t="shared" si="66"/>
        <v>Other</v>
      </c>
      <c r="AH222" s="92" t="str">
        <f t="shared" si="67"/>
        <v>"%USERPROFILE%\Documents\GitHub\eaglep3\Utilities\RefineRTDCRunTimes.py" --tripid 53-18 --locoid 4009 --swversion DE.1.0.8.0 --startMP 204:1537 --initTime 2016-11-18T11:13:39 --startdatetime 2016-11-18T11:26:28 --delay 1 --endMP 300:31310 --enddatetime 2016-11-18T11:36:09 --enforcementcount 0 &gt;&gt;C:\Users\stu\Documents\GitHub\eaglep3-reporting\EC\2016-11-18-refined-times.txt</v>
      </c>
      <c r="AI222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{"issue":{"subject":"","project_id":79,"tracker_id":40,"status_id":1,"priority_id":2,"assigned_to_id":23,"start_date":"2016-11-18","description":"","custom_fields":[{"id":1,"name":"Subdivision","value":"Other"},{"id":4,"name":"Milepost","value":"3.131"},{"id":17,"name":"Train ID","value":"53-18"},{"id":16,"name":"Locomotive ID","value":"4009"},{"id":130,"name":"Impact","value":""},{"id":150,"name":"Time of Event (Mountain Time)","value":"11:36:09"},{"id":151,"name":"Denver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543</v>
      </c>
      <c r="B223" s="7">
        <v>4010</v>
      </c>
      <c r="C223" s="22" t="s">
        <v>218</v>
      </c>
      <c r="D223" s="22" t="s">
        <v>743</v>
      </c>
      <c r="E223" s="13">
        <v>42692.485844907409</v>
      </c>
      <c r="F223" s="13">
        <v>42692.487361111111</v>
      </c>
      <c r="G223" s="7">
        <v>1</v>
      </c>
      <c r="H223" s="22" t="s">
        <v>422</v>
      </c>
      <c r="I223" s="13">
        <v>42692.500902777778</v>
      </c>
      <c r="J223" s="7">
        <v>0</v>
      </c>
      <c r="K223" s="109" t="str">
        <f t="shared" si="52"/>
        <v>4009/4010</v>
      </c>
      <c r="L223" s="22" t="str">
        <f>VLOOKUP(A223,'Trips&amp;Operators'!$C$1:$E$10000,3,FALSE)</f>
        <v>HAITHCOX</v>
      </c>
      <c r="M223" s="6">
        <f t="shared" si="53"/>
        <v>1.3541666667151731E-2</v>
      </c>
      <c r="N223" s="7">
        <f t="shared" si="54"/>
        <v>19.500000000698492</v>
      </c>
      <c r="O223" s="7"/>
      <c r="P223" s="7"/>
      <c r="Q223" s="23"/>
      <c r="R223" s="23"/>
      <c r="S223" s="35">
        <f t="shared" si="55"/>
        <v>0</v>
      </c>
      <c r="T223" s="50" t="e">
        <f t="shared" si="56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10:39:37-700',mode:absolute,to:'2016-11-18 13:01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3" s="52" t="str">
        <f t="shared" si="58"/>
        <v>Y</v>
      </c>
      <c r="X223" s="177" t="e">
        <f t="shared" si="59"/>
        <v>#VALUE!</v>
      </c>
      <c r="Y223" s="67">
        <f t="shared" si="60"/>
        <v>3.0996000000000001</v>
      </c>
      <c r="Z223" s="67">
        <f t="shared" si="61"/>
        <v>0.11990000000000001</v>
      </c>
      <c r="AA223" s="67">
        <f t="shared" si="62"/>
        <v>2.9797000000000002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3"/>
        <v>54-18</v>
      </c>
      <c r="AE223" s="91" t="str">
        <f t="shared" si="64"/>
        <v>aws s3 cp s3://rtdc.mdm.uploadarchive.raw/RTDC4010/ "%USERPROFILE%\AppData\Local\Temp\OnboardLogs"\RTDC4010\2016-11-18 --exclude "*" --recursive --include "*20161118*" &amp; "%USERPROFILE%\Documents\GitHub\mrs-test-scripts\Headless Mode &amp; Sideloading\WalkAndUnGZ.bat" "%USERPROFILE%\AppData\Local\Temp\OnboardLogs"\RTDC4010\2016-11-18 &amp; aws s3 cp s3://rtdc.mdm.uploadarchive.raw/RTDC4010/ "%USERPROFILE%\AppData\Local\Temp\OnboardLogs"\RTDC4010\2016-11-19 --exclude "*" --recursive --include "*20161119*" &amp; "%USERPROFILE%\Documents\GitHub\mrs-test-scripts\Headless Mode &amp; Sideloading\WalkAndUnGZ.bat" "%USERPROFILE%\AppData\Local\Temp\OnboardLogs"\RTDC4010\2016-11-19</v>
      </c>
      <c r="AF223" s="88" t="str">
        <f t="shared" si="65"/>
        <v>"C:\Program Files (x86)\AstroGrep\AstroGrep.exe" /spath="%USERPROFILE%\AppData\Local\Temp\OnboardLogs" /stypes="app*4010*20161118*" /stext=" 19:.+((SYSTEM_STATE.+slice.+state.+changed )|(ment ac)|(system.+state.+changed )|(\[timeout)|(PRM\|1\|D)|(kpr)|(kdp)|(\|lc)|(penalty))" /e /r /s</v>
      </c>
      <c r="AG223" s="1" t="str">
        <f t="shared" si="66"/>
        <v>Other</v>
      </c>
      <c r="AH223" s="92" t="str">
        <f t="shared" si="67"/>
        <v>"%USERPROFILE%\Documents\GitHub\eaglep3\Utilities\RefineRTDCRunTimes.py" --tripid 54-18 --locoid 4010 --swversion DE.1.0.8.0 --startMP 300:30996 --initTime 2016-11-18T11:39:37 --startdatetime 2016-11-18T11:41:48 --delay 1 --endMP 204:1199 --enddatetime 2016-11-18T12:01:18 --enforcementcount 0 &gt;&gt;C:\Users\stu\Documents\GitHub\eaglep3-reporting\EC\2016-11-18-refined-times.txt</v>
      </c>
      <c r="AI223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{"issue":{"subject":"","project_id":79,"tracker_id":40,"status_id":1,"priority_id":2,"assigned_to_id":23,"start_date":"2016-11-18","description":"","custom_fields":[{"id":1,"name":"Subdivision","value":"Other"},{"id":4,"name":"Milepost","value":"0.1199"},{"id":17,"name":"Train ID","value":"54-18"},{"id":16,"name":"Locomotive ID","value":"4010"},{"id":130,"name":"Impact","value":""},{"id":150,"name":"Time of Event (Mountain Time)","value":"12:01:18"},{"id":151,"name":"Denver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463</v>
      </c>
      <c r="B224" s="7">
        <v>4013</v>
      </c>
      <c r="C224" s="22" t="s">
        <v>218</v>
      </c>
      <c r="D224" s="22" t="s">
        <v>744</v>
      </c>
      <c r="E224" s="13">
        <v>42692.746712962966</v>
      </c>
      <c r="F224" s="13">
        <v>42692.747789351852</v>
      </c>
      <c r="G224" s="7">
        <v>1</v>
      </c>
      <c r="H224" s="22" t="s">
        <v>745</v>
      </c>
      <c r="I224" s="13">
        <v>42692.753263888888</v>
      </c>
      <c r="J224" s="7">
        <v>0</v>
      </c>
      <c r="K224" s="109" t="str">
        <f t="shared" si="52"/>
        <v>4013/4014</v>
      </c>
      <c r="L224" s="22" t="str">
        <f>VLOOKUP(A224,'Trips&amp;Operators'!$C$1:$E$10000,3,FALSE)</f>
        <v>STAMBAUGH</v>
      </c>
      <c r="M224" s="6">
        <f t="shared" si="53"/>
        <v>5.4745370362070389E-3</v>
      </c>
      <c r="N224" s="7">
        <f t="shared" si="54"/>
        <v>7.883333332138136</v>
      </c>
      <c r="O224" s="7"/>
      <c r="P224" s="7"/>
      <c r="Q224" s="23"/>
      <c r="R224" s="23"/>
      <c r="S224" s="35">
        <f t="shared" si="55"/>
        <v>0</v>
      </c>
      <c r="T224" s="50" t="e">
        <f t="shared" si="56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16:55:16-700',mode:absolute,to:'2016-11-18 19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4" s="52" t="str">
        <f t="shared" si="58"/>
        <v>Y</v>
      </c>
      <c r="X224" s="177" t="e">
        <f t="shared" si="59"/>
        <v>#VALUE!</v>
      </c>
      <c r="Y224" s="67">
        <f t="shared" si="60"/>
        <v>2.1985999999999999</v>
      </c>
      <c r="Z224" s="67">
        <f t="shared" si="61"/>
        <v>8.9999999999999993E-3</v>
      </c>
      <c r="AA224" s="67">
        <f t="shared" si="62"/>
        <v>2.1896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3"/>
        <v>66-18</v>
      </c>
      <c r="AE224" s="91" t="str">
        <f t="shared" si="64"/>
        <v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v>
      </c>
      <c r="AF224" s="88" t="str">
        <f t="shared" si="65"/>
        <v>"C:\Program Files (x86)\AstroGrep\AstroGrep.exe" /spath="%USERPROFILE%\AppData\Local\Temp\OnboardLogs" /stypes="app*4013*20161119*" /stext=" 01:.+((SYSTEM_STATE.+slice.+state.+changed )|(ment ac)|(system.+state.+changed )|(\[timeout)|(PRM\|1\|D)|(kpr)|(kdp)|(\|lc)|(penalty))" /e /r /s</v>
      </c>
      <c r="AG224" s="1" t="str">
        <f t="shared" si="66"/>
        <v>Other</v>
      </c>
      <c r="AH224" s="92" t="str">
        <f t="shared" si="67"/>
        <v>"%USERPROFILE%\Documents\GitHub\eaglep3\Utilities\RefineRTDCRunTimes.py" --tripid 66-18 --locoid 4013 --swversion DE.1.0.8.0 --startMP 300:21986 --initTime 2016-11-18T17:55:16 --startdatetime 2016-11-18T17:56:49 --delay 1 --endMP 204:90 --enddatetime 2016-11-18T18:04:42 --enforcementcount 0 &gt;&gt;C:\Users\stu\Documents\GitHub\eaglep3-reporting\EC\2016-11-18-refined-times.txt</v>
      </c>
      <c r="AI224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{"issue":{"subject":"","project_id":79,"tracker_id":40,"status_id":1,"priority_id":2,"assigned_to_id":23,"start_date":"2016-11-18","description":"","custom_fields":[{"id":1,"name":"Subdivision","value":"Other"},{"id":4,"name":"Milepost","value":"0.009"},{"id":17,"name":"Train ID","value":"66-18"},{"id":16,"name":"Locomotive ID","value":"4013"},{"id":130,"name":"Impact","value":""},{"id":150,"name":"Time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464</v>
      </c>
      <c r="B225" s="7">
        <v>4001</v>
      </c>
      <c r="C225" s="22" t="s">
        <v>218</v>
      </c>
      <c r="D225" s="22" t="s">
        <v>746</v>
      </c>
      <c r="E225" s="13">
        <v>42692.766944444447</v>
      </c>
      <c r="F225" s="13">
        <v>42692.76840277778</v>
      </c>
      <c r="G225" s="7">
        <v>1</v>
      </c>
      <c r="H225" s="22" t="s">
        <v>747</v>
      </c>
      <c r="I225" s="13">
        <v>42692.774953703702</v>
      </c>
      <c r="J225" s="7">
        <v>0</v>
      </c>
      <c r="K225" s="109" t="str">
        <f t="shared" si="52"/>
        <v>4001/4002</v>
      </c>
      <c r="L225" s="22" t="str">
        <f>VLOOKUP(A225,'Trips&amp;Operators'!$C$1:$E$10000,3,FALSE)</f>
        <v>WHITED</v>
      </c>
      <c r="M225" s="6">
        <f t="shared" si="53"/>
        <v>6.5509259220561944E-3</v>
      </c>
      <c r="N225" s="7">
        <f t="shared" si="54"/>
        <v>9.4333333277609199</v>
      </c>
      <c r="O225" s="7"/>
      <c r="P225" s="7"/>
      <c r="Q225" s="23"/>
      <c r="R225" s="23"/>
      <c r="S225" s="35">
        <f t="shared" si="55"/>
        <v>0</v>
      </c>
      <c r="T225" s="50" t="e">
        <f t="shared" si="56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17:24:24-700',mode:absolute,to:'2016-11-18 19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5" s="52" t="str">
        <f t="shared" si="58"/>
        <v>Y</v>
      </c>
      <c r="X225" s="177" t="e">
        <f t="shared" si="59"/>
        <v>#VALUE!</v>
      </c>
      <c r="Y225" s="67">
        <f t="shared" si="60"/>
        <v>2.3243</v>
      </c>
      <c r="Z225" s="67">
        <f t="shared" si="61"/>
        <v>0.09</v>
      </c>
      <c r="AA225" s="67">
        <f t="shared" si="62"/>
        <v>2.2343000000000002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3"/>
        <v>68-18</v>
      </c>
      <c r="AE225" s="91" t="str">
        <f t="shared" si="64"/>
        <v>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 &amp; 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</v>
      </c>
      <c r="AF225" s="88" t="str">
        <f t="shared" si="65"/>
        <v>"C:\Program Files (x86)\AstroGrep\AstroGrep.exe" /spath="%USERPROFILE%\AppData\Local\Temp\OnboardLogs" /stypes="app*4001*20161119*" /stext=" 01:.+((SYSTEM_STATE.+slice.+state.+changed )|(ment ac)|(system.+state.+changed )|(\[timeout)|(PRM\|1\|D)|(kpr)|(kdp)|(\|lc)|(penalty))" /e /r /s</v>
      </c>
      <c r="AG225" s="1" t="str">
        <f t="shared" si="66"/>
        <v>Other</v>
      </c>
      <c r="AH225" s="92" t="str">
        <f t="shared" si="67"/>
        <v>"%USERPROFILE%\Documents\GitHub\eaglep3\Utilities\RefineRTDCRunTimes.py" --tripid 68-18 --locoid 4001 --swversion DE.1.0.8.0 --startMP 300:23243 --initTime 2016-11-18T18:24:24 --startdatetime 2016-11-18T18:26:30 --delay 1 --endMP 204:900 --enddatetime 2016-11-18T18:35:56 --enforcementcount 0 &gt;&gt;C:\Users\stu\Documents\GitHub\eaglep3-reporting\EC\2016-11-18-refined-times.txt</v>
      </c>
      <c r="AI225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{"issue":{"subject":"","project_id":79,"tracker_id":40,"status_id":1,"priority_id":2,"assigned_to_id":23,"start_date":"2016-11-18","description":"","custom_fields":[{"id":1,"name":"Subdivision","value":"Other"},{"id":4,"name":"Milepost","value":"0.09"},{"id":17,"name":"Train ID","value":"68-18"},{"id":16,"name":"Locomotive ID","value":"4001"},{"id":130,"name":"Impact","value":""},{"id":150,"name":"Time of Event (Mountain Time)","value":"18:35:56"},{"id":151,"name":"Denver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613</v>
      </c>
      <c r="B226" s="7">
        <v>4014</v>
      </c>
      <c r="C226" s="22" t="s">
        <v>218</v>
      </c>
      <c r="D226" s="22" t="s">
        <v>748</v>
      </c>
      <c r="E226" s="13">
        <v>42692.76972222222</v>
      </c>
      <c r="F226" s="13">
        <v>42692.774965277778</v>
      </c>
      <c r="G226" s="7">
        <v>1</v>
      </c>
      <c r="H226" s="22" t="s">
        <v>727</v>
      </c>
      <c r="I226" s="13">
        <v>42692.780497685184</v>
      </c>
      <c r="J226" s="7">
        <v>0</v>
      </c>
      <c r="K226" s="109" t="str">
        <f t="shared" si="52"/>
        <v>4013/4014</v>
      </c>
      <c r="L226" s="22" t="str">
        <f>VLOOKUP(A226,'Trips&amp;Operators'!$C$1:$E$10000,3,FALSE)</f>
        <v>BONDS</v>
      </c>
      <c r="M226" s="6">
        <f t="shared" si="53"/>
        <v>5.5324074055533856E-3</v>
      </c>
      <c r="N226" s="7">
        <f t="shared" si="54"/>
        <v>7.9666666639968753</v>
      </c>
      <c r="O226" s="7"/>
      <c r="P226" s="7"/>
      <c r="Q226" s="23"/>
      <c r="R226" s="23"/>
      <c r="S226" s="35">
        <f t="shared" si="55"/>
        <v>0</v>
      </c>
      <c r="T226" s="50" t="e">
        <f t="shared" si="56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17:28:24-700',mode:absolute,to:'2016-11-18 19:43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6" s="52" t="str">
        <f t="shared" si="58"/>
        <v>Y</v>
      </c>
      <c r="X226" s="177" t="e">
        <f t="shared" si="59"/>
        <v>#VALUE!</v>
      </c>
      <c r="Y226" s="67">
        <f t="shared" si="60"/>
        <v>3.8800000000000001E-2</v>
      </c>
      <c r="Z226" s="67">
        <f t="shared" si="61"/>
        <v>2.3302</v>
      </c>
      <c r="AA226" s="67">
        <f t="shared" si="62"/>
        <v>2.2913999999999999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3"/>
        <v>71-18</v>
      </c>
      <c r="AE226" s="91" t="str">
        <f t="shared" si="64"/>
        <v>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 &amp; 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</v>
      </c>
      <c r="AF226" s="88" t="str">
        <f t="shared" si="65"/>
        <v>"C:\Program Files (x86)\AstroGrep\AstroGrep.exe" /spath="%USERPROFILE%\AppData\Local\Temp\OnboardLogs" /stypes="app*4014*20161119*" /stext=" 01:.+((SYSTEM_STATE.+slice.+state.+changed )|(ment ac)|(system.+state.+changed )|(\[timeout)|(PRM\|1\|D)|(kpr)|(kdp)|(\|lc)|(penalty))" /e /r /s</v>
      </c>
      <c r="AG226" s="1" t="str">
        <f t="shared" si="66"/>
        <v>Other</v>
      </c>
      <c r="AH226" s="92" t="str">
        <f t="shared" si="67"/>
        <v>"%USERPROFILE%\Documents\GitHub\eaglep3\Utilities\RefineRTDCRunTimes.py" --tripid 71-18 --locoid 4014 --swversion DE.1.0.8.0 --startMP 204:388 --initTime 2016-11-18T18:28:24 --startdatetime 2016-11-18T18:35:57 --delay 1 --endMP 300:23302 --enddatetime 2016-11-18T18:43:55 --enforcementcount 0 &gt;&gt;C:\Users\stu\Documents\GitHub\eaglep3-reporting\EC\2016-11-18-refined-times.txt</v>
      </c>
      <c r="AI226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{"issue":{"subject":"","project_id":79,"tracker_id":40,"status_id":1,"priority_id":2,"assigned_to_id":23,"start_date":"2016-11-18","description":"","custom_fields":[{"id":1,"name":"Subdivision","value":"Other"},{"id":4,"name":"Milepost","value":"2.3302"},{"id":17,"name":"Train ID","value":"71-18"},{"id":16,"name":"Locomotive ID","value":"4014"},{"id":130,"name":"Impact","value":""},{"id":150,"name":"Time of Event (Mountain Time)","value":"18:43:55"},{"id":151,"name":"Denver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613</v>
      </c>
      <c r="B227" s="7">
        <v>4014</v>
      </c>
      <c r="C227" s="22" t="s">
        <v>218</v>
      </c>
      <c r="D227" s="22" t="s">
        <v>749</v>
      </c>
      <c r="E227" s="13">
        <v>42692.76972222222</v>
      </c>
      <c r="F227" s="13">
        <v>42692.774965277778</v>
      </c>
      <c r="G227" s="7">
        <v>17</v>
      </c>
      <c r="H227" s="22" t="s">
        <v>727</v>
      </c>
      <c r="I227" s="13">
        <v>42692.780497685184</v>
      </c>
      <c r="J227" s="7">
        <v>0</v>
      </c>
      <c r="K227" s="109" t="str">
        <f t="shared" si="52"/>
        <v>4013/4014</v>
      </c>
      <c r="L227" s="22" t="str">
        <f>VLOOKUP(A227,'Trips&amp;Operators'!$C$1:$E$10000,3,FALSE)</f>
        <v>BONDS</v>
      </c>
      <c r="M227" s="6">
        <f t="shared" si="53"/>
        <v>5.5324074055533856E-3</v>
      </c>
      <c r="N227" s="7">
        <f t="shared" si="54"/>
        <v>7.9666666639968753</v>
      </c>
      <c r="O227" s="7"/>
      <c r="P227" s="7"/>
      <c r="Q227" s="23"/>
      <c r="R227" s="23"/>
      <c r="S227" s="35">
        <f t="shared" si="55"/>
        <v>0</v>
      </c>
      <c r="T227" s="50" t="e">
        <f t="shared" si="56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17:28:24-700',mode:absolute,to:'2016-11-18 19:43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7" s="52" t="str">
        <f t="shared" si="58"/>
        <v>Y</v>
      </c>
      <c r="X227" s="177" t="e">
        <f t="shared" si="59"/>
        <v>#VALUE!</v>
      </c>
      <c r="Y227" s="67">
        <f t="shared" si="60"/>
        <v>2.3300999999999998</v>
      </c>
      <c r="Z227" s="67">
        <f t="shared" si="61"/>
        <v>2.3302</v>
      </c>
      <c r="AA227" s="67">
        <f t="shared" si="62"/>
        <v>1.0000000000021103E-4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63"/>
        <v>71-18</v>
      </c>
      <c r="AE227" s="91" t="str">
        <f t="shared" si="64"/>
        <v>aws s3 cp s3://rtdc.mdm.uploadarchive.raw/RTDC4014/ "%USERPROFILE%\AppData\Local\Temp\OnboardLogs"\RTDC4014\2016-11-18 --exclude "*" --recursive --include "*20161118*" &amp; "%USERPROFILE%\Documents\GitHub\mrs-test-scripts\Headless Mode &amp; Sideloading\WalkAndUnGZ.bat" "%USERPROFILE%\AppData\Local\Temp\OnboardLogs"\RTDC4014\2016-11-18 &amp; aws s3 cp s3://rtdc.mdm.uploadarchive.raw/RTDC4014/ "%USERPROFILE%\AppData\Local\Temp\OnboardLogs"\RTDC4014\2016-11-19 --exclude "*" --recursive --include "*20161119*" &amp; "%USERPROFILE%\Documents\GitHub\mrs-test-scripts\Headless Mode &amp; Sideloading\WalkAndUnGZ.bat" "%USERPROFILE%\AppData\Local\Temp\OnboardLogs"\RTDC4014\2016-11-19</v>
      </c>
      <c r="AF227" s="88" t="str">
        <f t="shared" si="65"/>
        <v>"C:\Program Files (x86)\AstroGrep\AstroGrep.exe" /spath="%USERPROFILE%\AppData\Local\Temp\OnboardLogs" /stypes="app*4014*20161119*" /stext=" 01:.+((SYSTEM_STATE.+slice.+state.+changed )|(ment ac)|(system.+state.+changed )|(\[timeout)|(PRM\|1\|D)|(kpr)|(kdp)|(\|lc)|(penalty))" /e /r /s</v>
      </c>
      <c r="AG227" s="1" t="str">
        <f t="shared" si="66"/>
        <v>Other</v>
      </c>
      <c r="AH227" s="92" t="str">
        <f t="shared" si="67"/>
        <v>"%USERPROFILE%\Documents\GitHub\eaglep3\Utilities\RefineRTDCRunTimes.py" --tripid 71-18 --locoid 4014 --swversion DE.1.0.8.0 --startMP 300:23301 --initTime 2016-11-18T18:28:24 --startdatetime 2016-11-18T18:35:57 --delay 17 --endMP 300:23302 --enddatetime 2016-11-18T18:43:55 --enforcementcount 0 &gt;&gt;C:\Users\stu\Documents\GitHub\eaglep3-reporting\EC\2016-11-18-refined-times.txt</v>
      </c>
      <c r="AI227" s="119" t="str">
        <f t="shared" si="68"/>
        <v>echo {"issue":{"subject":"","project_id":79,"tracker_id":40,"status_id":1,"priority_id":2,"assigned_to_id":23,"start_date":"2016-11-18","description":"","custom_fields":[{"id":1,"name":"Subdivision","value":"Other"},{"id":4,"name":"Milepost","value":"2.3302"},{"id":17,"name":"Train ID","value":"71-18"},{"id":16,"name":"Locomotive ID","value":"4014"},{"id":130,"name":"Impact","value":""},{"id":150,"name":"Time of Event (Mountain Time)","value":"18:43:55"},{"id":151,"name":"Denver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593</v>
      </c>
      <c r="B228" s="7">
        <v>4009</v>
      </c>
      <c r="C228" s="22" t="s">
        <v>218</v>
      </c>
      <c r="D228" s="22" t="s">
        <v>779</v>
      </c>
      <c r="E228" s="13">
        <v>42692.710555555554</v>
      </c>
      <c r="F228" s="13">
        <v>25568.708333333332</v>
      </c>
      <c r="G228" s="7">
        <v>0</v>
      </c>
      <c r="H228" s="22" t="s">
        <v>780</v>
      </c>
      <c r="I228" s="13">
        <v>25568.708333333332</v>
      </c>
      <c r="J228" s="7">
        <v>0</v>
      </c>
      <c r="K228" s="109" t="str">
        <f t="shared" si="52"/>
        <v>4009/4010</v>
      </c>
      <c r="L228" s="22" t="str">
        <f>VLOOKUP(A228,'Trips&amp;Operators'!$C$1:$E$10000,3,FALSE)</f>
        <v>HAITHCOX</v>
      </c>
      <c r="M228" s="6">
        <f t="shared" si="53"/>
        <v>0</v>
      </c>
      <c r="N228" s="7">
        <f t="shared" si="54"/>
        <v>0</v>
      </c>
      <c r="O228" s="7"/>
      <c r="P228" s="7"/>
      <c r="Q228" s="23"/>
      <c r="R228" s="23"/>
      <c r="S228" s="35">
        <f t="shared" si="55"/>
        <v>0</v>
      </c>
      <c r="T228" s="50" t="e">
        <f t="shared" si="56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16:03:12-700',mode:absolute,to:'1969-12-31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8" s="52" t="str">
        <f t="shared" si="58"/>
        <v>Y</v>
      </c>
      <c r="X228" s="177" t="e">
        <f t="shared" si="59"/>
        <v>#VALUE!</v>
      </c>
      <c r="Y228" s="67">
        <f t="shared" si="60"/>
        <v>0.1522</v>
      </c>
      <c r="Z228" s="67">
        <f t="shared" si="61"/>
        <v>2.3346</v>
      </c>
      <c r="AA228" s="67">
        <f t="shared" si="62"/>
        <v>2.1823999999999999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63"/>
        <v>83-18</v>
      </c>
      <c r="AE228" s="91" t="str">
        <f t="shared" si="64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8" s="88" t="str">
        <f t="shared" si="65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28" s="1" t="str">
        <f t="shared" si="66"/>
        <v>Other</v>
      </c>
      <c r="AH228" s="92" t="str">
        <f t="shared" si="67"/>
        <v>"%USERPROFILE%\Documents\GitHub\eaglep3\Utilities\RefineRTDCRunTimes.py" --tripid 83-18 --locoid 4009 --swversion DE.1.0.8.0 --startMP 204:1522 --initTime 2016-11-18T17:03:12 --startdatetime 1969-12-31T17:00:00 --delay 0 --endMP 300:23346 --enddatetime 1969-12-31T17:00:00 --enforcementcount 0 &gt;&gt;C:\Users\stu\Documents\GitHub\eaglep3-reporting\EC\2016-11-18-refined-times.txt</v>
      </c>
      <c r="AI228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ID","value":"83-18"},{"id":16,"name":"Locomotive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593</v>
      </c>
      <c r="B229" s="7">
        <v>4009</v>
      </c>
      <c r="C229" s="22" t="s">
        <v>218</v>
      </c>
      <c r="D229" s="22" t="s">
        <v>780</v>
      </c>
      <c r="E229" s="13">
        <v>42692.710555555554</v>
      </c>
      <c r="F229" s="13">
        <v>25568.708333333332</v>
      </c>
      <c r="G229" s="7">
        <v>18</v>
      </c>
      <c r="H229" s="22" t="s">
        <v>780</v>
      </c>
      <c r="I229" s="13">
        <v>25568.708333333332</v>
      </c>
      <c r="J229" s="7">
        <v>0</v>
      </c>
      <c r="K229" s="109" t="str">
        <f t="shared" si="52"/>
        <v>4009/4010</v>
      </c>
      <c r="L229" s="22" t="str">
        <f>VLOOKUP(A229,'Trips&amp;Operators'!$C$1:$E$10000,3,FALSE)</f>
        <v>HAITHCOX</v>
      </c>
      <c r="M229" s="6">
        <f t="shared" si="53"/>
        <v>0</v>
      </c>
      <c r="N229" s="7">
        <f t="shared" si="54"/>
        <v>0</v>
      </c>
      <c r="O229" s="7"/>
      <c r="P229" s="7"/>
      <c r="Q229" s="23"/>
      <c r="R229" s="23"/>
      <c r="S229" s="35">
        <f t="shared" si="55"/>
        <v>0</v>
      </c>
      <c r="T229" s="50" t="e">
        <f t="shared" si="56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https://search-rtdc-monitor-bjffxe2xuh6vdkpspy63sjmuny.us-east-1.es.amazonaws.com/_plugin/kibana/#/discover/Steve-Slow-Train-Analysis-(2080s-and-2083s)?_g=(refreshInterval:(display:Off,section:0,value:0),time:(from:'2016-11-18 16:03:12-700',mode:absolute,to:'1969-12-31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9" s="52" t="str">
        <f t="shared" si="58"/>
        <v>Y</v>
      </c>
      <c r="X229" s="177" t="e">
        <f t="shared" si="59"/>
        <v>#VALUE!</v>
      </c>
      <c r="Y229" s="67">
        <f t="shared" si="60"/>
        <v>2.3346</v>
      </c>
      <c r="Z229" s="67">
        <f t="shared" si="61"/>
        <v>2.3346</v>
      </c>
      <c r="AA229" s="67">
        <f t="shared" si="62"/>
        <v>0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63"/>
        <v>83-18</v>
      </c>
      <c r="AE229" s="91" t="str">
        <f t="shared" si="64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9" s="88" t="str">
        <f t="shared" si="65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29" s="1" t="str">
        <f t="shared" si="66"/>
        <v>Other</v>
      </c>
      <c r="AH229" s="92" t="str">
        <f t="shared" si="67"/>
        <v>"%USERPROFILE%\Documents\GitHub\eaglep3\Utilities\RefineRTDCRunTimes.py" --tripid 83-18 --locoid 4009 --swversion DE.1.0.8.0 --startMP 300:23346 --initTime 2016-11-18T17:03:12 --startdatetime 1969-12-31T17:00:00 --delay 18 --endMP 300:23346 --enddatetime 1969-12-31T17:00:00 --enforcementcount 0 &gt;&gt;C:\Users\stu\Documents\GitHub\eaglep3-reporting\EC\2016-11-18-refined-times.txt</v>
      </c>
      <c r="AI22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ID","value":"83-18"},{"id":16,"name":"Locomotive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</sheetData>
  <autoFilter ref="A12:AG250">
    <sortState ref="A13:AG254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51:X1048576 W13:X229">
    <cfRule type="cellIs" dxfId="10" priority="344" operator="equal">
      <formula>"Y"</formula>
    </cfRule>
  </conditionalFormatting>
  <conditionalFormatting sqref="X251:X1048576 X13:X229">
    <cfRule type="cellIs" dxfId="9" priority="327" operator="greaterThan">
      <formula>1</formula>
    </cfRule>
  </conditionalFormatting>
  <conditionalFormatting sqref="X251:X1048576 X12:X229">
    <cfRule type="cellIs" dxfId="8" priority="324" operator="equal">
      <formula>0</formula>
    </cfRule>
  </conditionalFormatting>
  <conditionalFormatting sqref="A13:S229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22" sqref="A22: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40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- 2016-11-18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299</v>
      </c>
    </row>
    <row r="7" spans="1:30" s="1" customFormat="1" x14ac:dyDescent="0.25">
      <c r="A7" s="36">
        <v>42692.456863425927</v>
      </c>
      <c r="B7" s="31" t="s">
        <v>450</v>
      </c>
      <c r="C7" s="31" t="s">
        <v>451</v>
      </c>
      <c r="D7" s="31" t="s">
        <v>98</v>
      </c>
      <c r="E7" s="31" t="s">
        <v>371</v>
      </c>
      <c r="F7" s="47">
        <v>790</v>
      </c>
      <c r="G7" s="47">
        <v>841</v>
      </c>
      <c r="H7" s="47">
        <v>140470</v>
      </c>
      <c r="I7" s="47">
        <v>145097</v>
      </c>
      <c r="J7" s="31" t="s">
        <v>204</v>
      </c>
      <c r="K7" s="47">
        <v>110617</v>
      </c>
      <c r="L7" s="154" t="s">
        <v>50</v>
      </c>
      <c r="M7" s="155">
        <f t="shared" ref="M7:M48" si="0">CONVERT((I7-K7)/10000,"mi","ft")*IF(L7="Increasing Mileposts (1)",-1,1)</f>
        <v>-18205.439999999999</v>
      </c>
      <c r="N7" s="156" t="str">
        <f>VLOOKUP(C7,'Trips&amp;Operators'!$C$1:$E$99999,3,FALSE)</f>
        <v>STRICKLAND</v>
      </c>
      <c r="O7" s="183" t="s">
        <v>202</v>
      </c>
      <c r="P7" s="157" t="s">
        <v>833</v>
      </c>
      <c r="Q7" s="31"/>
      <c r="R7" s="100" t="str">
        <f>VLOOKUP(C7,'Train Runs'!$A$13:$AE$9994,31,0)</f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S7" s="103" t="str">
        <f>VLOOKUP(C7,'Train Runs'!$A$13:$AE$9994,22,0)</f>
        <v>https://search-rtdc-monitor-bjffxe2xuh6vdkpspy63sjmuny.us-east-1.es.amazonaws.com/_plugin/kibana/#/discover/Steve-Slow-Train-Analysis-(2080s-and-2083s)?_g=(refreshInterval:(display:Off,section:0,value:0),time:(from:'2016-11-18 09:24:37-700',mode:absolute,to:'2016-11-18 12:10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7" s="105" t="str">
        <f t="shared" ref="T7:T4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/stypes="*4046*201611181*" /stext=" 17:.+((SYSTEM_STATE.+slice.+state.+changed )|(ment ac)|(system.+state.+changed )|(\[timeout)|(PRM\|1\|D)|(kpr)|(kdp)|(\|lc)|(penalty))" /e /r /s</v>
      </c>
      <c r="U7" s="9" t="str">
        <f t="shared" ref="U7:U48" si="2">MID(B7,13,4)</f>
        <v>4046</v>
      </c>
      <c r="V7" s="36">
        <f t="shared" ref="V7:V48" si="3">A7-utc_offset/24</f>
        <v>42692.748530092591</v>
      </c>
      <c r="W7" s="50" t="str">
        <f t="shared" ref="W7:W48" si="4">IF(VALUE(LEFT(IF(LEN(C7)=6,"0"&amp;C7,C7),2))&lt;=2,"EC",IF(OR(VALUE(LEFT(IF(LEN(C7)=6,"0"&amp;C7,C7),2))=8,VALUE(LEFT(IF(LEN(C7)=6,"0"&amp;C7,C7),2))=18),"NW","Other"))</f>
        <v>EC</v>
      </c>
      <c r="X7" s="50" t="str">
        <f t="shared" ref="X7:X48" si="5">IF(AND(E7="TRACK WARRANT AUTHORITY",G7&lt;10),"OMIT","KEEP")</f>
        <v>KEEP</v>
      </c>
      <c r="Y7" s="11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-18","description":"","custom_fields":[{"id":1,"name":"Subdivision","value":"EC"},{"id":4,"name":"Milepost","value":"11.0617"},{"id":17,"name":"Train ID","value":"155-18"},{"id":16,"name":"Locomotive ID","value":"4046"},{"id":130,"name":"Impact","value":""},{"id":150,"name":"Time of Event (Mountain Time)","value":"10:57:53"},{"id":151,"name":"Denver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"%USERPROFILE%\AppData\Local\Temp\OnboardLogs"\RTDC4046\*4046*201611181*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"%USERPROFILE%\AppData\Local\Temp\OnboardLogs"\RTDC4046\*4046*201611181* &gt;&gt; 42692-slicedisagreementcheck.txt</v>
      </c>
    </row>
    <row r="8" spans="1:30" s="1" customFormat="1" x14ac:dyDescent="0.25">
      <c r="A8" s="36">
        <v>42692.611180555556</v>
      </c>
      <c r="B8" s="31" t="s">
        <v>369</v>
      </c>
      <c r="C8" s="31" t="s">
        <v>458</v>
      </c>
      <c r="D8" s="31" t="s">
        <v>49</v>
      </c>
      <c r="E8" s="31" t="s">
        <v>154</v>
      </c>
      <c r="F8" s="47">
        <v>0</v>
      </c>
      <c r="G8" s="47">
        <v>217</v>
      </c>
      <c r="H8" s="47">
        <v>33335</v>
      </c>
      <c r="I8" s="47">
        <v>33140</v>
      </c>
      <c r="J8" s="31" t="s">
        <v>153</v>
      </c>
      <c r="K8" s="47">
        <v>33257</v>
      </c>
      <c r="L8" s="154" t="s">
        <v>51</v>
      </c>
      <c r="M8" s="155">
        <f t="shared" si="0"/>
        <v>-61.776000000000003</v>
      </c>
      <c r="N8" s="156" t="str">
        <f>VLOOKUP(C8,'Trips&amp;Operators'!$C$1:$E$99999,3,FALSE)</f>
        <v>BONDS</v>
      </c>
      <c r="O8" s="183" t="s">
        <v>202</v>
      </c>
      <c r="P8" s="157" t="s">
        <v>834</v>
      </c>
      <c r="Q8" s="31"/>
      <c r="R8" s="100" t="str">
        <f>VLOOKUP(C8,'Train Runs'!$A$13:$AE$9994,31,0)</f>
        <v>aws s3 cp s3://rtdc.mdm.uploadarchive.raw/RTDC4017/ "%USERPROFILE%\AppData\Local\Temp\OnboardLogs"\RTDC4017\2016-11-18 --exclude "*" --recursive --include "*20161118*" &amp; "%USERPROFILE%\Documents\GitHub\mrs-test-scripts\Headless Mode &amp; Sideloading\WalkAndUnGZ.bat" "%USERPROFILE%\AppData\Local\Temp\OnboardLogs"\RTDC4017\2016-11-18 &amp; aws s3 cp s3://rtdc.mdm.uploadarchive.raw/RTDC4017/ "%USERPROFILE%\AppData\Local\Temp\OnboardLogs"\RTDC4017\2016-11-19 --exclude "*" --recursive --include "*20161119*" &amp; "%USERPROFILE%\Documents\GitHub\mrs-test-scripts\Headless Mode &amp; Sideloading\WalkAndUnGZ.bat" "%USERPROFILE%\AppData\Local\Temp\OnboardLogs"\RTDC4017\2016-11-19</v>
      </c>
      <c r="S8" s="103" t="str">
        <f>VLOOKUP(C8,'Train Runs'!$A$13:$AE$9994,22,0)</f>
        <v>https://search-rtdc-monitor-bjffxe2xuh6vdkpspy63sjmuny.us-east-1.es.amazonaws.com/_plugin/kibana/#/discover/Steve-Slow-Train-Analysis-(2080s-and-2083s)?_g=(refreshInterval:(display:Off,section:0,value:0),time:(from:'2016-11-18 12:59:22-700',mode:absolute,to:'2016-11-18 15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8" s="105" t="str">
        <f t="shared" si="1"/>
        <v>"C:\Program Files (x86)\AstroGrep\AstroGrep.exe" /spath="%USERPROFILE%\AppData\Local\Temp\OnboardLogs" /stypes="*4017*201611182*" /stext=" 21:.+((SYSTEM_STATE.+slice.+state.+changed )|(ment ac)|(system.+state.+changed )|(\[timeout)|(PRM\|1\|D)|(kpr)|(kdp)|(\|lc)|(penalty))" /e /r /s</v>
      </c>
      <c r="U8" s="9" t="str">
        <f t="shared" si="2"/>
        <v>4017</v>
      </c>
      <c r="V8" s="36">
        <f t="shared" si="3"/>
        <v>42692.90284722222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arrival","project_id":79,"tracker_id":40,"status_id":1,"priority_id":2,"assigned_to_id":23,"start_date":"2016-11-18","description":"","custom_fields":[{"id":1,"name":"Subdivision","value":"EC"},{"id":4,"name":"Milepost","value":"3.3257"},{"id":17,"name":"Train ID","value":"178-18"},{"id":16,"name":"Locomotive ID","value":"4017"},{"id":130,"name":"Impact","value":""},{"id":150,"name":"Time of Event (Mountain Time)","value":"14:40:06"},{"id":151,"name":"Denver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"%USERPROFILE%\AppData\Local\Temp\OnboardLogs"\RTDC4017\*4017*201611182*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"%USERPROFILE%\AppData\Local\Temp\OnboardLogs"\RTDC4017\*4017*201611182* &gt;&gt; 42692-slicedisagreementcheck.txt</v>
      </c>
    </row>
    <row r="9" spans="1:30" s="1" customFormat="1" x14ac:dyDescent="0.25">
      <c r="A9" s="36">
        <v>42692.192314814813</v>
      </c>
      <c r="B9" s="31" t="s">
        <v>302</v>
      </c>
      <c r="C9" s="31" t="s">
        <v>430</v>
      </c>
      <c r="D9" s="31" t="s">
        <v>49</v>
      </c>
      <c r="E9" s="31" t="s">
        <v>154</v>
      </c>
      <c r="F9" s="47">
        <v>780</v>
      </c>
      <c r="G9" s="47">
        <v>830</v>
      </c>
      <c r="H9" s="47">
        <v>108348</v>
      </c>
      <c r="I9" s="47">
        <v>113376</v>
      </c>
      <c r="J9" s="31" t="s">
        <v>153</v>
      </c>
      <c r="K9" s="47">
        <v>108954</v>
      </c>
      <c r="L9" s="154" t="s">
        <v>50</v>
      </c>
      <c r="M9" s="155">
        <f t="shared" si="0"/>
        <v>-2334.8159999999998</v>
      </c>
      <c r="N9" s="156" t="str">
        <f>VLOOKUP(C9,'Trips&amp;Operators'!$C$1:$E$99999,3,FALSE)</f>
        <v>ROBINSON</v>
      </c>
      <c r="O9" s="183" t="s">
        <v>202</v>
      </c>
      <c r="P9" s="157" t="s">
        <v>834</v>
      </c>
      <c r="Q9" s="31"/>
      <c r="R9" s="100" t="str">
        <f>VLOOKUP(C9,'Train Runs'!$A$13:$AE$9994,31,0)</f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S9" s="103" t="str">
        <f>VLOOKUP(C9,'Train Runs'!$A$13:$AE$9994,22,0)</f>
        <v>https://search-rtdc-monitor-bjffxe2xuh6vdkpspy63sjmuny.us-east-1.es.amazonaws.com/_plugin/kibana/#/discover/Steve-Slow-Train-Analysis-(2080s-and-2083s)?_g=(refreshInterval:(display:Off,section:0,value:0),time:(from:'2016-11-18 02:58:53-700',mode:absolute,to:'2016-11-18 05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9" s="105" t="str">
        <f t="shared" si="1"/>
        <v>"C:\Program Files (x86)\AstroGrep\AstroGrep.exe" /spath="%USERPROFILE%\AppData\Local\Temp\OnboardLogs" /stypes="*4042*201611181*" /stext=" 11:.+((SYSTEM_STATE.+slice.+state.+changed )|(ment ac)|(system.+state.+changed )|(\[timeout)|(PRM\|1\|D)|(kpr)|(kdp)|(\|lc)|(penalty))" /e /r /s</v>
      </c>
      <c r="U9" s="9" t="str">
        <f t="shared" si="2"/>
        <v>4042</v>
      </c>
      <c r="V9" s="36">
        <f t="shared" si="3"/>
        <v>42692.483981481477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arrival","project_id":79,"tracker_id":40,"status_id":1,"priority_id":2,"assigned_to_id":23,"start_date":"2016-11-18","description":"","custom_fields":[{"id":1,"name":"Subdivision","value":"EC"},{"id":4,"name":"Milepost","value":"10.8954"},{"id":17,"name":"Train ID","value":"105-18"},{"id":16,"name":"Locomotive ID","value":"4042"},{"id":130,"name":"Impact","value":""},{"id":150,"name":"Time of Event (Mountain Time)","value":"04:36:56"},{"id":151,"name":"Denver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"%USERPROFILE%\AppData\Local\Temp\OnboardLogs"\RTDC4042\*4042*201611181*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"%USERPROFILE%\AppData\Local\Temp\OnboardLogs"\RTDC4042\*4042*201611181* &gt;&gt; 42692-slicedisagreementcheck.txt</v>
      </c>
    </row>
    <row r="10" spans="1:30" s="1" customFormat="1" x14ac:dyDescent="0.25">
      <c r="A10" s="36">
        <v>42692.43954861111</v>
      </c>
      <c r="B10" s="31" t="s">
        <v>450</v>
      </c>
      <c r="C10" s="31" t="s">
        <v>451</v>
      </c>
      <c r="D10" s="31" t="s">
        <v>98</v>
      </c>
      <c r="E10" s="31" t="s">
        <v>203</v>
      </c>
      <c r="F10" s="47">
        <v>400</v>
      </c>
      <c r="G10" s="47">
        <v>450</v>
      </c>
      <c r="H10" s="47">
        <v>7295</v>
      </c>
      <c r="I10" s="47">
        <v>8864</v>
      </c>
      <c r="J10" s="31" t="s">
        <v>204</v>
      </c>
      <c r="K10" s="47">
        <v>5439</v>
      </c>
      <c r="L10" s="154" t="s">
        <v>50</v>
      </c>
      <c r="M10" s="155">
        <f t="shared" si="0"/>
        <v>-1808.4</v>
      </c>
      <c r="N10" s="156" t="str">
        <f>VLOOKUP(C10,'Trips&amp;Operators'!$C$1:$E$99999,3,FALSE)</f>
        <v>STRICKLAND</v>
      </c>
      <c r="O10" s="183" t="s">
        <v>202</v>
      </c>
      <c r="P10" s="157"/>
      <c r="Q10" s="31"/>
      <c r="R10" s="100" t="str">
        <f>VLOOKUP(C10,'Train Runs'!$A$13:$AE$9994,31,0)</f>
        <v>aws s3 cp s3://rtdc.mdm.uploadarchive.raw/RTDC4046/ "%USERPROFILE%\AppData\Local\Temp\OnboardLogs"\RTDC4046\2016-11-18 --exclude "*" --recursive --include "*20161118*" &amp; "%USERPROFILE%\Documents\GitHub\mrs-test-scripts\Headless Mode &amp; Sideloading\WalkAndUnGZ.bat" "%USERPROFILE%\AppData\Local\Temp\OnboardLogs"\RTDC4046\2016-11-18 &amp; aws s3 cp s3://rtdc.mdm.uploadarchive.raw/RTDC4046/ "%USERPROFILE%\AppData\Local\Temp\OnboardLogs"\RTDC4046\2016-11-19 --exclude "*" --recursive --include "*20161119*" &amp; "%USERPROFILE%\Documents\GitHub\mrs-test-scripts\Headless Mode &amp; Sideloading\WalkAndUnGZ.bat" "%USERPROFILE%\AppData\Local\Temp\OnboardLogs"\RTDC4046\2016-11-19</v>
      </c>
      <c r="S10" s="103" t="str">
        <f>VLOOKUP(C10,'Train Runs'!$A$13:$AE$9994,22,0)</f>
        <v>https://search-rtdc-monitor-bjffxe2xuh6vdkpspy63sjmuny.us-east-1.es.amazonaws.com/_plugin/kibana/#/discover/Steve-Slow-Train-Analysis-(2080s-and-2083s)?_g=(refreshInterval:(display:Off,section:0,value:0),time:(from:'2016-11-18 09:24:37-700',mode:absolute,to:'2016-11-18 12:10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0" s="105" t="str">
        <f t="shared" si="1"/>
        <v>"C:\Program Files (x86)\AstroGrep\AstroGrep.exe" /spath="%USERPROFILE%\AppData\Local\Temp\OnboardLogs" /stypes="*4046*201611181*" /stext=" 17:.+((SYSTEM_STATE.+slice.+state.+changed )|(ment ac)|(system.+state.+changed )|(\[timeout)|(PRM\|1\|D)|(kpr)|(kdp)|(\|lc)|(penalty))" /e /r /s</v>
      </c>
      <c r="U10" s="9" t="str">
        <f t="shared" si="2"/>
        <v>4046</v>
      </c>
      <c r="V10" s="36">
        <f t="shared" si="3"/>
        <v>42692.731215277774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{"issue":{"subject":"","project_id":79,"tracker_id":40,"status_id":1,"priority_id":2,"assigned_to_id":23,"start_date":"2016-11-18","description":"","custom_fields":[{"id":1,"name":"Subdivision","value":"EC"},{"id":4,"name":"Milepost","value":"0.5439"},{"id":17,"name":"Train ID","value":"155-18"},{"id":16,"name":"Locomotive ID","value":"4046"},{"id":130,"name":"Impact","value":""},{"id":150,"name":"Time of Event (Mountain Time)","value":"10:32:57"},{"id":151,"name":"Denver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"%USERPROFILE%\AppData\Local\Temp\OnboardLogs"\RTDC4046\*4046*201611181*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"%USERPROFILE%\AppData\Local\Temp\OnboardLogs"\RTDC4046\*4046*201611181* &gt;&gt; 42692-slicedisagreementcheck.txt</v>
      </c>
    </row>
    <row r="11" spans="1:30" s="1" customFormat="1" x14ac:dyDescent="0.25">
      <c r="A11" s="36">
        <v>42692.292743055557</v>
      </c>
      <c r="B11" s="31" t="s">
        <v>237</v>
      </c>
      <c r="C11" s="31" t="s">
        <v>439</v>
      </c>
      <c r="D11" s="31" t="s">
        <v>49</v>
      </c>
      <c r="E11" s="31" t="s">
        <v>203</v>
      </c>
      <c r="F11" s="47">
        <v>200</v>
      </c>
      <c r="G11" s="47">
        <v>394</v>
      </c>
      <c r="H11" s="47">
        <v>7375</v>
      </c>
      <c r="I11" s="47">
        <v>6347</v>
      </c>
      <c r="J11" s="31" t="s">
        <v>204</v>
      </c>
      <c r="K11" s="47">
        <v>5457</v>
      </c>
      <c r="L11" s="154" t="s">
        <v>51</v>
      </c>
      <c r="M11" s="155">
        <f t="shared" si="0"/>
        <v>469.92</v>
      </c>
      <c r="N11" s="156" t="str">
        <f>VLOOKUP(C11,'Trips&amp;Operators'!$C$1:$E$99999,3,FALSE)</f>
        <v>SAFIEF</v>
      </c>
      <c r="O11" s="183" t="s">
        <v>202</v>
      </c>
      <c r="P11" s="157"/>
      <c r="Q11" s="31"/>
      <c r="R11" s="100" t="str">
        <f>VLOOKUP(C11,'Train Runs'!$A$13:$AE$9994,31,0)</f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S11" s="103" t="str">
        <f>VLOOKUP(C11,'Train Runs'!$A$13:$AE$9994,22,0)</f>
        <v>https://search-rtdc-monitor-bjffxe2xuh6vdkpspy63sjmuny.us-east-1.es.amazonaws.com/_plugin/kibana/#/discover/Steve-Slow-Train-Analysis-(2080s-and-2083s)?_g=(refreshInterval:(display:Off,section:0,value:0),time:(from:'2016-11-18 05:18:36-700',mode:absolute,to:'2016-11-18 08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1" s="105" t="str">
        <f t="shared" si="1"/>
        <v>"C:\Program Files (x86)\AstroGrep\AstroGrep.exe" /spath="%USERPROFILE%\AppData\Local\Temp\OnboardLogs" /stypes="*4015*201611181*" /stext=" 14:.+((SYSTEM_STATE.+slice.+state.+changed )|(ment ac)|(system.+state.+changed )|(\[timeout)|(PRM\|1\|D)|(kpr)|(kdp)|(\|lc)|(penalty))" /e /r /s</v>
      </c>
      <c r="U11" s="9" t="str">
        <f t="shared" si="2"/>
        <v>4015</v>
      </c>
      <c r="V11" s="36">
        <f t="shared" si="3"/>
        <v>42692.584409722222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{"issue":{"subject":"","project_id":79,"tracker_id":40,"status_id":1,"priority_id":2,"assigned_to_id":23,"start_date":"2016-11-18","description":"","custom_fields":[{"id":1,"name":"Subdivision","value":"EC"},{"id":4,"name":"Milepost","value":"0.5457"},{"id":17,"name":"Train ID","value":"116-18"},{"id":16,"name":"Locomotive ID","value":"4015"},{"id":130,"name":"Impact","value":""},{"id":150,"name":"Time of Event (Mountain Time)","value":"07:01:33"},{"id":151,"name":"Denver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"%USERPROFILE%\AppData\Local\Temp\OnboardLogs"\RTDC4015\*4015*201611181*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"%USERPROFILE%\AppData\Local\Temp\OnboardLogs"\RTDC4015\*4015*201611181* &gt;&gt; 42692-slicedisagreementcheck.txt</v>
      </c>
    </row>
    <row r="12" spans="1:30" s="1" customFormat="1" x14ac:dyDescent="0.25">
      <c r="A12" s="36">
        <v>42692.290219907409</v>
      </c>
      <c r="B12" s="31" t="s">
        <v>237</v>
      </c>
      <c r="C12" s="31" t="s">
        <v>439</v>
      </c>
      <c r="D12" s="31" t="s">
        <v>49</v>
      </c>
      <c r="E12" s="31" t="s">
        <v>203</v>
      </c>
      <c r="F12" s="47">
        <v>300</v>
      </c>
      <c r="G12" s="47">
        <v>437</v>
      </c>
      <c r="H12" s="47">
        <v>23456</v>
      </c>
      <c r="I12" s="47">
        <v>22157</v>
      </c>
      <c r="J12" s="31" t="s">
        <v>204</v>
      </c>
      <c r="K12" s="47">
        <v>21848</v>
      </c>
      <c r="L12" s="154" t="s">
        <v>51</v>
      </c>
      <c r="M12" s="155">
        <f t="shared" si="0"/>
        <v>163.15199999999999</v>
      </c>
      <c r="N12" s="156" t="str">
        <f>VLOOKUP(C12,'Trips&amp;Operators'!$C$1:$E$99999,3,FALSE)</f>
        <v>SAFIEF</v>
      </c>
      <c r="O12" s="183" t="s">
        <v>202</v>
      </c>
      <c r="P12" s="157"/>
      <c r="Q12" s="31"/>
      <c r="R12" s="100" t="str">
        <f>VLOOKUP(C12,'Train Runs'!$A$13:$AE$9994,31,0)</f>
        <v>aws s3 cp s3://rtdc.mdm.uploadarchive.raw/RTDC4015/ "%USERPROFILE%\AppData\Local\Temp\OnboardLogs"\RTDC4015\2016-11-18 --exclude "*" --recursive --include "*20161118*" &amp; "%USERPROFILE%\Documents\GitHub\mrs-test-scripts\Headless Mode &amp; Sideloading\WalkAndUnGZ.bat" "%USERPROFILE%\AppData\Local\Temp\OnboardLogs"\RTDC4015\2016-11-18 &amp; aws s3 cp s3://rtdc.mdm.uploadarchive.raw/RTDC4015/ "%USERPROFILE%\AppData\Local\Temp\OnboardLogs"\RTDC4015\2016-11-19 --exclude "*" --recursive --include "*20161119*" &amp; "%USERPROFILE%\Documents\GitHub\mrs-test-scripts\Headless Mode &amp; Sideloading\WalkAndUnGZ.bat" "%USERPROFILE%\AppData\Local\Temp\OnboardLogs"\RTDC4015\2016-11-19</v>
      </c>
      <c r="S12" s="103" t="str">
        <f>VLOOKUP(C12,'Train Runs'!$A$13:$AE$9994,22,0)</f>
        <v>https://search-rtdc-monitor-bjffxe2xuh6vdkpspy63sjmuny.us-east-1.es.amazonaws.com/_plugin/kibana/#/discover/Steve-Slow-Train-Analysis-(2080s-and-2083s)?_g=(refreshInterval:(display:Off,section:0,value:0),time:(from:'2016-11-18 05:18:36-700',mode:absolute,to:'2016-11-18 08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2" s="105" t="str">
        <f t="shared" si="1"/>
        <v>"C:\Program Files (x86)\AstroGrep\AstroGrep.exe" /spath="%USERPROFILE%\AppData\Local\Temp\OnboardLogs" /stypes="*4015*201611181*" /stext=" 13:.+((SYSTEM_STATE.+slice.+state.+changed )|(ment ac)|(system.+state.+changed )|(\[timeout)|(PRM\|1\|D)|(kpr)|(kdp)|(\|lc)|(penalty))" /e /r /s</v>
      </c>
      <c r="U12" s="9" t="str">
        <f t="shared" si="2"/>
        <v>4015</v>
      </c>
      <c r="V12" s="36">
        <f t="shared" si="3"/>
        <v>42692.581886574073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{"issue":{"subject":"","project_id":79,"tracker_id":40,"status_id":1,"priority_id":2,"assigned_to_id":23,"start_date":"2016-11-18","description":"","custom_fields":[{"id":1,"name":"Subdivision","value":"EC"},{"id":4,"name":"Milepost","value":"2.1848"},{"id":17,"name":"Train ID","value":"116-18"},{"id":16,"name":"Locomotive ID","value":"4015"},{"id":130,"name":"Impact","value":""},{"id":150,"name":"Time of Event (Mountain Time)","value":"06:57:55"},{"id":151,"name":"Denver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"%USERPROFILE%\AppData\Local\Temp\OnboardLogs"\RTDC4015\*4015*201611181*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"%USERPROFILE%\AppData\Local\Temp\OnboardLogs"\RTDC4015\*4015*201611181* &gt;&gt; 42692-slicedisagreementcheck.txt</v>
      </c>
    </row>
    <row r="13" spans="1:30" s="1" customFormat="1" x14ac:dyDescent="0.25">
      <c r="A13" s="36">
        <v>42692.40865740741</v>
      </c>
      <c r="B13" s="31" t="s">
        <v>446</v>
      </c>
      <c r="C13" s="31" t="s">
        <v>447</v>
      </c>
      <c r="D13" s="31" t="s">
        <v>98</v>
      </c>
      <c r="E13" s="31" t="s">
        <v>203</v>
      </c>
      <c r="F13" s="47">
        <v>600</v>
      </c>
      <c r="G13" s="47">
        <v>656</v>
      </c>
      <c r="H13" s="47">
        <v>184016</v>
      </c>
      <c r="I13" s="47">
        <v>180785</v>
      </c>
      <c r="J13" s="31" t="s">
        <v>204</v>
      </c>
      <c r="K13" s="47">
        <v>190834</v>
      </c>
      <c r="L13" s="154" t="s">
        <v>51</v>
      </c>
      <c r="M13" s="155">
        <f t="shared" si="0"/>
        <v>-5305.8719999999994</v>
      </c>
      <c r="N13" s="156" t="str">
        <f>VLOOKUP(C13,'Trips&amp;Operators'!$C$1:$E$99999,3,FALSE)</f>
        <v>NICHOLSON</v>
      </c>
      <c r="O13" s="183" t="s">
        <v>202</v>
      </c>
      <c r="P13" s="157"/>
      <c r="Q13" s="31"/>
      <c r="R13" s="100" t="str">
        <f>VLOOKUP(C13,'Train Runs'!$A$13:$AE$9994,31,0)</f>
        <v>aws s3 cp s3://rtdc.mdm.uploadarchive.raw/RTDC4045/ "%USERPROFILE%\AppData\Local\Temp\OnboardLogs"\RTDC4045\2016-11-18 --exclude "*" --recursive --include "*20161118*" &amp; "%USERPROFILE%\Documents\GitHub\mrs-test-scripts\Headless Mode &amp; Sideloading\WalkAndUnGZ.bat" "%USERPROFILE%\AppData\Local\Temp\OnboardLogs"\RTDC4045\2016-11-18 &amp; aws s3 cp s3://rtdc.mdm.uploadarchive.raw/RTDC4045/ "%USERPROFILE%\AppData\Local\Temp\OnboardLogs"\RTDC4045\2016-11-19 --exclude "*" --recursive --include "*20161119*" &amp; "%USERPROFILE%\Documents\GitHub\mrs-test-scripts\Headless Mode &amp; Sideloading\WalkAndUnGZ.bat" "%USERPROFILE%\AppData\Local\Temp\OnboardLogs"\RTDC4045\2016-11-19</v>
      </c>
      <c r="S13" s="103" t="str">
        <f>VLOOKUP(C13,'Train Runs'!$A$13:$AE$9994,22,0)</f>
        <v>https://search-rtdc-monitor-bjffxe2xuh6vdkpspy63sjmuny.us-east-1.es.amazonaws.com/_plugin/kibana/#/discover/Steve-Slow-Train-Analysis-(2080s-and-2083s)?_g=(refreshInterval:(display:Off,section:0,value:0),time:(from:'2016-11-18 08:27:48-700',mode:absolute,to:'2016-11-18 11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3" s="105" t="str">
        <f t="shared" si="1"/>
        <v>"C:\Program Files (x86)\AstroGrep\AstroGrep.exe" /spath="%USERPROFILE%\AppData\Local\Temp\OnboardLogs" /stypes="*4045*201611181*" /stext=" 16:.+((SYSTEM_STATE.+slice.+state.+changed )|(ment ac)|(system.+state.+changed )|(\[timeout)|(PRM\|1\|D)|(kpr)|(kdp)|(\|lc)|(penalty))" /e /r /s</v>
      </c>
      <c r="U13" s="9" t="str">
        <f t="shared" si="2"/>
        <v>4045</v>
      </c>
      <c r="V13" s="36">
        <f t="shared" si="3"/>
        <v>42692.700324074074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{"issue":{"subject":"","project_id":79,"tracker_id":40,"status_id":1,"priority_id":2,"assigned_to_id":23,"start_date":"2016-11-18","description":"","custom_fields":[{"id":1,"name":"Subdivision","value":"EC"},{"id":4,"name":"Milepost","value":"19.0834"},{"id":17,"name":"Train ID","value":"142-18"},{"id":16,"name":"Locomotive ID","value":"4045"},{"id":130,"name":"Impact","value":""},{"id":150,"name":"Time of Event (Mountain Time)","value":"09:48:28"},{"id":151,"name":"Denver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"%USERPROFILE%\AppData\Local\Temp\OnboardLogs"\RTDC4045\*4045*201611181*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"%USERPROFILE%\AppData\Local\Temp\OnboardLogs"\RTDC4045\*4045*201611181* &gt;&gt; 42692-slicedisagreementcheck.txt</v>
      </c>
    </row>
    <row r="14" spans="1:30" s="1" customFormat="1" x14ac:dyDescent="0.25">
      <c r="A14" s="36">
        <v>42692.595312500001</v>
      </c>
      <c r="B14" s="31" t="s">
        <v>448</v>
      </c>
      <c r="C14" s="31" t="s">
        <v>457</v>
      </c>
      <c r="D14" s="31" t="s">
        <v>49</v>
      </c>
      <c r="E14" s="31" t="s">
        <v>203</v>
      </c>
      <c r="F14" s="47">
        <v>450</v>
      </c>
      <c r="G14" s="47">
        <v>789</v>
      </c>
      <c r="H14" s="47">
        <v>213813</v>
      </c>
      <c r="I14" s="47">
        <v>218370</v>
      </c>
      <c r="J14" s="31" t="s">
        <v>204</v>
      </c>
      <c r="K14" s="47">
        <v>218954</v>
      </c>
      <c r="L14" s="154" t="s">
        <v>50</v>
      </c>
      <c r="M14" s="155">
        <f t="shared" si="0"/>
        <v>308.35199999999998</v>
      </c>
      <c r="N14" s="156" t="str">
        <f>VLOOKUP(C14,'Trips&amp;Operators'!$C$1:$E$99999,3,FALSE)</f>
        <v>HILLS</v>
      </c>
      <c r="O14" s="183" t="s">
        <v>202</v>
      </c>
      <c r="P14" s="157"/>
      <c r="Q14" s="31"/>
      <c r="R14" s="100" t="str">
        <f>VLOOKUP(C14,'Train Runs'!$A$13:$AE$9994,31,0)</f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S14" s="103" t="str">
        <f>VLOOKUP(C14,'Train Runs'!$A$13:$AE$9994,22,0)</f>
        <v>https://search-rtdc-monitor-bjffxe2xuh6vdkpspy63sjmuny.us-east-1.es.amazonaws.com/_plugin/kibana/#/discover/Steve-Slow-Train-Analysis-(2080s-and-2083s)?_g=(refreshInterval:(display:Off,section:0,value:0),time:(from:'2016-11-18 12:37:13-700',mode:absolute,to:'2016-11-18 15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4" s="105" t="str">
        <f t="shared" si="1"/>
        <v>"C:\Program Files (x86)\AstroGrep\AstroGrep.exe" /spath="%USERPROFILE%\AppData\Local\Temp\OnboardLogs" /stypes="*4025*201611182*" /stext=" 21:.+((SYSTEM_STATE.+slice.+state.+changed )|(ment ac)|(system.+state.+changed )|(\[timeout)|(PRM\|1\|D)|(kpr)|(kdp)|(\|lc)|(penalty))" /e /r /s</v>
      </c>
      <c r="U14" s="9" t="str">
        <f t="shared" si="2"/>
        <v>4025</v>
      </c>
      <c r="V14" s="36">
        <f t="shared" si="3"/>
        <v>42692.886979166666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{"issue":{"subject":"","project_id":79,"tracker_id":40,"status_id":1,"priority_id":2,"assigned_to_id":23,"start_date":"2016-11-18","description":"","custom_fields":[{"id":1,"name":"Subdivision","value":"EC"},{"id":4,"name":"Milepost","value":"21.8954"},{"id":17,"name":"Train ID","value":"181-18"},{"id":16,"name":"Locomotive ID","value":"4025"},{"id":130,"name":"Impact","value":""},{"id":150,"name":"Time of Event (Mountain Time)","value":"14:17:15"},{"id":151,"name":"Denver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"%USERPROFILE%\AppData\Local\Temp\OnboardLogs"\RTDC4025\*4025*201611182*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"%USERPROFILE%\AppData\Local\Temp\OnboardLogs"\RTDC4025\*4025*201611182* &gt;&gt; 42692-slicedisagreementcheck.txt</v>
      </c>
    </row>
    <row r="15" spans="1:30" s="1" customFormat="1" x14ac:dyDescent="0.25">
      <c r="A15" s="36">
        <v>42692.659525462965</v>
      </c>
      <c r="B15" s="31" t="s">
        <v>216</v>
      </c>
      <c r="C15" s="31" t="s">
        <v>461</v>
      </c>
      <c r="D15" s="31" t="s">
        <v>49</v>
      </c>
      <c r="E15" s="31" t="s">
        <v>203</v>
      </c>
      <c r="F15" s="47">
        <v>450</v>
      </c>
      <c r="G15" s="47">
        <v>779</v>
      </c>
      <c r="H15" s="47">
        <v>214173</v>
      </c>
      <c r="I15" s="47">
        <v>218326</v>
      </c>
      <c r="J15" s="31" t="s">
        <v>204</v>
      </c>
      <c r="K15" s="47">
        <v>218954</v>
      </c>
      <c r="L15" s="154" t="s">
        <v>50</v>
      </c>
      <c r="M15" s="155">
        <f t="shared" si="0"/>
        <v>331.58399999999995</v>
      </c>
      <c r="N15" s="156" t="str">
        <f>VLOOKUP(C15,'Trips&amp;Operators'!$C$1:$E$99999,3,FALSE)</f>
        <v>JOHNSON</v>
      </c>
      <c r="O15" s="183" t="s">
        <v>202</v>
      </c>
      <c r="P15" s="157"/>
      <c r="Q15" s="31"/>
      <c r="R15" s="100" t="str">
        <f>VLOOKUP(C15,'Train Runs'!$A$13:$AE$9994,31,0)</f>
        <v>aws s3 cp s3://rtdc.mdm.uploadarchive.raw/RTDC4011/ "%USERPROFILE%\AppData\Local\Temp\OnboardLogs"\RTDC4011\2016-11-18 --exclude "*" --recursive --include "*20161118*" &amp; "%USERPROFILE%\Documents\GitHub\mrs-test-scripts\Headless Mode &amp; Sideloading\WalkAndUnGZ.bat" "%USERPROFILE%\AppData\Local\Temp\OnboardLogs"\RTDC4011\2016-11-18 &amp; aws s3 cp s3://rtdc.mdm.uploadarchive.raw/RTDC4011/ "%USERPROFILE%\AppData\Local\Temp\OnboardLogs"\RTDC4011\2016-11-19 --exclude "*" --recursive --include "*20161119*" &amp; "%USERPROFILE%\Documents\GitHub\mrs-test-scripts\Headless Mode &amp; Sideloading\WalkAndUnGZ.bat" "%USERPROFILE%\AppData\Local\Temp\OnboardLogs"\RTDC4011\2016-11-19</v>
      </c>
      <c r="S15" s="103" t="str">
        <f>VLOOKUP(C15,'Train Runs'!$A$13:$AE$9994,22,0)</f>
        <v>https://search-rtdc-monitor-bjffxe2xuh6vdkpspy63sjmuny.us-east-1.es.amazonaws.com/_plugin/kibana/#/discover/Steve-Slow-Train-Analysis-(2080s-and-2083s)?_g=(refreshInterval:(display:Off,section:0,value:0),time:(from:'2016-11-18 14:08:33-700',mode:absolute,to:'2016-11-18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5" s="105" t="str">
        <f t="shared" si="1"/>
        <v>"C:\Program Files (x86)\AstroGrep\AstroGrep.exe" /spath="%USERPROFILE%\AppData\Local\Temp\OnboardLogs" /stypes="*4011*201611182*" /stext=" 22:.+((SYSTEM_STATE.+slice.+state.+changed )|(ment ac)|(system.+state.+changed )|(\[timeout)|(PRM\|1\|D)|(kpr)|(kdp)|(\|lc)|(penalty))" /e /r /s</v>
      </c>
      <c r="U15" s="9" t="str">
        <f t="shared" si="2"/>
        <v>4011</v>
      </c>
      <c r="V15" s="36">
        <f t="shared" si="3"/>
        <v>42692.951192129629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{"issue":{"subject":"","project_id":79,"tracker_id":40,"status_id":1,"priority_id":2,"assigned_to_id":23,"start_date":"2016-11-18","description":"","custom_fields":[{"id":1,"name":"Subdivision","value":"EC"},{"id":4,"name":"Milepost","value":"21.8954"},{"id":17,"name":"Train ID","value":"193-18"},{"id":16,"name":"Locomotive ID","value":"4011"},{"id":130,"name":"Impact","value":""},{"id":150,"name":"Time of Event (Mountain Time)","value":"15:49:43"},{"id":151,"name":"Denver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"%USERPROFILE%\AppData\Local\Temp\OnboardLogs"\RTDC4011\*4011*201611182*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"%USERPROFILE%\AppData\Local\Temp\OnboardLogs"\RTDC4011\*4011*201611182* &gt;&gt; 42692-slicedisagreementcheck.txt</v>
      </c>
    </row>
    <row r="16" spans="1:30" s="1" customFormat="1" x14ac:dyDescent="0.25">
      <c r="A16" s="36">
        <v>42692.690370370372</v>
      </c>
      <c r="B16" s="31" t="s">
        <v>236</v>
      </c>
      <c r="C16" s="31" t="s">
        <v>462</v>
      </c>
      <c r="D16" s="31" t="s">
        <v>49</v>
      </c>
      <c r="E16" s="31" t="s">
        <v>203</v>
      </c>
      <c r="F16" s="47">
        <v>550</v>
      </c>
      <c r="G16" s="47">
        <v>617</v>
      </c>
      <c r="H16" s="47">
        <v>220630</v>
      </c>
      <c r="I16" s="47">
        <v>223238</v>
      </c>
      <c r="J16" s="31" t="s">
        <v>204</v>
      </c>
      <c r="K16" s="47">
        <v>222090</v>
      </c>
      <c r="L16" s="154" t="s">
        <v>50</v>
      </c>
      <c r="M16" s="155">
        <f t="shared" si="0"/>
        <v>-606.14400000000001</v>
      </c>
      <c r="N16" s="156" t="str">
        <f>VLOOKUP(C16,'Trips&amp;Operators'!$C$1:$E$99999,3,FALSE)</f>
        <v>BROWN</v>
      </c>
      <c r="O16" s="183" t="s">
        <v>202</v>
      </c>
      <c r="P16" s="157"/>
      <c r="Q16" s="31"/>
      <c r="R16" s="100" t="str">
        <f>VLOOKUP(C16,'Train Runs'!$A$13:$AE$9994,31,0)</f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S16" s="103" t="str">
        <f>VLOOKUP(C16,'Train Runs'!$A$13:$AE$9994,22,0)</f>
        <v>https://search-rtdc-monitor-bjffxe2xuh6vdkpspy63sjmuny.us-east-1.es.amazonaws.com/_plugin/kibana/#/discover/Steve-Slow-Train-Analysis-(2080s-and-2083s)?_g=(refreshInterval:(display:Off,section:0,value:0),time:(from:'2016-11-18 14:53:29-700',mode:absolute,to:'2016-11-18 17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5" t="str">
        <f t="shared" si="1"/>
        <v>"C:\Program Files (x86)\AstroGrep\AstroGrep.exe" /spath="%USERPROFILE%\AppData\Local\Temp\OnboardLogs" /stypes="*4016*201611182*" /stext=" 23:.+((SYSTEM_STATE.+slice.+state.+changed )|(ment ac)|(system.+state.+changed )|(\[timeout)|(PRM\|1\|D)|(kpr)|(kdp)|(\|lc)|(penalty))" /e /r /s</v>
      </c>
      <c r="U16" s="9" t="str">
        <f t="shared" si="2"/>
        <v>4016</v>
      </c>
      <c r="V16" s="36">
        <f t="shared" si="3"/>
        <v>42692.982037037036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{"issue":{"subject":"","project_id":79,"tracker_id":40,"status_id":1,"priority_id":2,"assigned_to_id":23,"start_date":"2016-11-18","description":"","custom_fields":[{"id":1,"name":"Subdivision","value":"EC"},{"id":4,"name":"Milepost","value":"22.209"},{"id":17,"name":"Train ID","value":"199-18"},{"id":16,"name":"Locomotive ID","value":"4016"},{"id":130,"name":"Impact","value":""},{"id":150,"name":"Time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"%USERPROFILE%\AppData\Local\Temp\OnboardLogs"\RTDC4016\*4016*201611182*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"%USERPROFILE%\AppData\Local\Temp\OnboardLogs"\RTDC4016\*4016*201611182* &gt;&gt; 42692-slicedisagreementcheck.txt</v>
      </c>
    </row>
    <row r="17" spans="1:30" s="1" customFormat="1" x14ac:dyDescent="0.25">
      <c r="A17" s="36">
        <v>42692.216643518521</v>
      </c>
      <c r="B17" s="31" t="s">
        <v>432</v>
      </c>
      <c r="C17" s="31" t="s">
        <v>433</v>
      </c>
      <c r="D17" s="31" t="s">
        <v>49</v>
      </c>
      <c r="E17" s="31" t="s">
        <v>203</v>
      </c>
      <c r="F17" s="47">
        <v>150</v>
      </c>
      <c r="G17" s="47">
        <v>200</v>
      </c>
      <c r="H17" s="47">
        <v>231331</v>
      </c>
      <c r="I17" s="47">
        <v>230825</v>
      </c>
      <c r="J17" s="31" t="s">
        <v>204</v>
      </c>
      <c r="K17" s="47">
        <v>231269</v>
      </c>
      <c r="L17" s="154" t="s">
        <v>51</v>
      </c>
      <c r="M17" s="155">
        <f t="shared" si="0"/>
        <v>-234.43199999999999</v>
      </c>
      <c r="N17" s="156" t="str">
        <f>VLOOKUP(C17,'Trips&amp;Operators'!$C$1:$E$99999,3,FALSE)</f>
        <v>ROBINSON</v>
      </c>
      <c r="O17" s="183" t="s">
        <v>202</v>
      </c>
      <c r="P17" s="157"/>
      <c r="Q17" s="31"/>
      <c r="R17" s="100" t="str">
        <f>VLOOKUP(C17,'Train Runs'!$A$13:$AE$9994,31,0)</f>
        <v>aws s3 cp s3://rtdc.mdm.uploadarchive.raw/RTDC4026/ "%USERPROFILE%\AppData\Local\Temp\OnboardLogs"\RTDC4026\2016-11-18 --exclude "*" --recursive --include "*20161118*" &amp; "%USERPROFILE%\Documents\GitHub\mrs-test-scripts\Headless Mode &amp; Sideloading\WalkAndUnGZ.bat" "%USERPROFILE%\AppData\Local\Temp\OnboardLogs"\RTDC4026\2016-11-18 &amp; aws s3 cp s3://rtdc.mdm.uploadarchive.raw/RTDC4026/ "%USERPROFILE%\AppData\Local\Temp\OnboardLogs"\RTDC4026\2016-11-19 --exclude "*" --recursive --include "*20161119*" &amp; "%USERPROFILE%\Documents\GitHub\mrs-test-scripts\Headless Mode &amp; Sideloading\WalkAndUnGZ.bat" "%USERPROFILE%\AppData\Local\Temp\OnboardLogs"\RTDC4026\2016-11-19</v>
      </c>
      <c r="S17" s="103" t="str">
        <f>VLOOKUP(C17,'Train Runs'!$A$13:$AE$9994,22,0)</f>
        <v>https://search-rtdc-monitor-bjffxe2xuh6vdkpspy63sjmuny.us-east-1.es.amazonaws.com/_plugin/kibana/#/discover/Steve-Slow-Train-Analysis-(2080s-and-2083s)?_g=(refreshInterval:(display:Off,section:0,value:0),time:(from:'2016-11-18 04:00:50-700',mode:absolute,to:'2016-11-18 06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/stypes="*4026*201611181*" /stext=" 12:.+((SYSTEM_STATE.+slice.+state.+changed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42692.508310185185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{"issue":{"subject":"","project_id":79,"tracker_id":40,"status_id":1,"priority_id":2,"assigned_to_id":23,"start_date":"2016-11-18","description":"","custom_fields":[{"id":1,"name":"Subdivision","value":"EC"},{"id":4,"name":"Milepost","value":"23.1269"},{"id":17,"name":"Train ID","value":"106-18"},{"id":16,"name":"Locomotive ID","value":"4026"},{"id":130,"name":"Impact","value":""},{"id":150,"name":"Time of Event (Mountain Time)","value":"05:11:58"},{"id":151,"name":"Denver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"%USERPROFILE%\AppData\Local\Temp\OnboardLogs"\RTDC4026\*4026*201611181*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"%USERPROFILE%\AppData\Local\Temp\OnboardLogs"\RTDC4026\*4026*201611181* &gt;&gt; 42692-slicedisagreementcheck.txt</v>
      </c>
    </row>
    <row r="18" spans="1:30" s="1" customFormat="1" x14ac:dyDescent="0.25">
      <c r="A18" s="36">
        <v>42692.801412037035</v>
      </c>
      <c r="B18" s="31" t="s">
        <v>301</v>
      </c>
      <c r="C18" s="31" t="s">
        <v>467</v>
      </c>
      <c r="D18" s="31" t="s">
        <v>98</v>
      </c>
      <c r="E18" s="31" t="s">
        <v>203</v>
      </c>
      <c r="F18" s="47">
        <v>350</v>
      </c>
      <c r="G18" s="47">
        <v>402</v>
      </c>
      <c r="H18" s="47">
        <v>224885</v>
      </c>
      <c r="I18" s="47">
        <v>223663</v>
      </c>
      <c r="J18" s="31" t="s">
        <v>204</v>
      </c>
      <c r="K18" s="47">
        <v>232107</v>
      </c>
      <c r="L18" s="154" t="s">
        <v>51</v>
      </c>
      <c r="M18" s="155">
        <f t="shared" si="0"/>
        <v>-4458.4319999999998</v>
      </c>
      <c r="N18" s="156" t="str">
        <f>VLOOKUP(C18,'Trips&amp;Operators'!$C$1:$E$99999,3,FALSE)</f>
        <v>CHANDLER</v>
      </c>
      <c r="O18" s="183" t="s">
        <v>202</v>
      </c>
      <c r="P18" s="157"/>
      <c r="Q18" s="31"/>
      <c r="R18" s="100" t="str">
        <f>VLOOKUP(C18,'Train Runs'!$A$13:$AE$9994,31,0)</f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S18" s="103" t="str">
        <f>VLOOKUP(C18,'Train Runs'!$A$13:$AE$9994,22,0)</f>
        <v>https://search-rtdc-monitor-bjffxe2xuh6vdkpspy63sjmuny.us-east-1.es.amazonaws.com/_plugin/kibana/#/discover/Steve-Slow-Train-Analysis-(2080s-and-2083s)?_g=(refreshInterval:(display:Off,section:0,value:0),time:(from:'2016-11-18 18:08:40-700',mode:absolute,to:'2016-11-18 20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5" t="str">
        <f t="shared" si="1"/>
        <v>"C:\Program Files (x86)\AstroGrep\AstroGrep.exe" /spath="%USERPROFILE%\AppData\Local\Temp\OnboardLogs" /stypes="*4041*201611190*" /stext=" 02:.+((SYSTEM_STATE.+slice.+state.+changed )|(ment ac)|(system.+state.+changed )|(\[timeout)|(PRM\|1\|D)|(kpr)|(kdp)|(\|lc)|(penalty))" /e /r /s</v>
      </c>
      <c r="U18" s="9" t="str">
        <f t="shared" si="2"/>
        <v>4041</v>
      </c>
      <c r="V18" s="36">
        <f t="shared" si="3"/>
        <v>42693.0930787037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{"issue":{"subject":"","project_id":79,"tracker_id":40,"status_id":1,"priority_id":2,"assigned_to_id":23,"start_date":"2016-11-18","description":"","custom_fields":[{"id":1,"name":"Subdivision","value":"EC"},{"id":4,"name":"Milepost","value":"23.2107"},{"id":17,"name":"Train ID","value":"218-18"},{"id":16,"name":"Locomotive ID","value":"4041"},{"id":130,"name":"Impact","value":""},{"id":150,"name":"Time of Event (Mountain Time)","value":"19:14:02"},{"id":151,"name":"Denver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"%USERPROFILE%\AppData\Local\Temp\OnboardLogs"\RTDC4041\*4041*201611190*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"%USERPROFILE%\AppData\Local\Temp\OnboardLogs"\RTDC4041\*4041*201611190* &gt;&gt; 42692-slicedisagreementcheck.txt</v>
      </c>
    </row>
    <row r="19" spans="1:30" s="1" customFormat="1" x14ac:dyDescent="0.25">
      <c r="A19" s="36">
        <v>42692.427546296298</v>
      </c>
      <c r="B19" s="31" t="s">
        <v>448</v>
      </c>
      <c r="C19" s="31" t="s">
        <v>449</v>
      </c>
      <c r="D19" s="31" t="s">
        <v>98</v>
      </c>
      <c r="E19" s="31" t="s">
        <v>205</v>
      </c>
      <c r="F19" s="47">
        <v>0</v>
      </c>
      <c r="G19" s="47">
        <v>80</v>
      </c>
      <c r="H19" s="47">
        <v>1902</v>
      </c>
      <c r="I19" s="47">
        <v>2020</v>
      </c>
      <c r="J19" s="31" t="s">
        <v>206</v>
      </c>
      <c r="K19" s="47">
        <v>1692</v>
      </c>
      <c r="L19" s="154" t="s">
        <v>50</v>
      </c>
      <c r="M19" s="155">
        <f t="shared" si="0"/>
        <v>-173.18400000000003</v>
      </c>
      <c r="N19" s="156" t="str">
        <f>VLOOKUP(C19,'Trips&amp;Operators'!$C$1:$E$99999,3,FALSE)</f>
        <v>ISHMAEL</v>
      </c>
      <c r="O19" s="183" t="s">
        <v>202</v>
      </c>
      <c r="P19" s="157" t="s">
        <v>829</v>
      </c>
      <c r="Q19" s="31"/>
      <c r="R19" s="100" t="str">
        <f>VLOOKUP(C19,'Train Runs'!$A$13:$AE$9994,31,0)</f>
        <v>aws s3 cp s3://rtdc.mdm.uploadarchive.raw/RTDC4025/ "%USERPROFILE%\AppData\Local\Temp\OnboardLogs"\RTDC4025\2016-11-18 --exclude "*" --recursive --include "*20161118*" &amp; "%USERPROFILE%\Documents\GitHub\mrs-test-scripts\Headless Mode &amp; Sideloading\WalkAndUnGZ.bat" "%USERPROFILE%\AppData\Local\Temp\OnboardLogs"\RTDC4025\2016-11-18 &amp; aws s3 cp s3://rtdc.mdm.uploadarchive.raw/RTDC4025/ "%USERPROFILE%\AppData\Local\Temp\OnboardLogs"\RTDC4025\2016-11-19 --exclude "*" --recursive --include "*20161119*" &amp; "%USERPROFILE%\Documents\GitHub\mrs-test-scripts\Headless Mode &amp; Sideloading\WalkAndUnGZ.bat" "%USERPROFILE%\AppData\Local\Temp\OnboardLogs"\RTDC4025\2016-11-19</v>
      </c>
      <c r="S19" s="103" t="str">
        <f>VLOOKUP(C19,'Train Runs'!$A$13:$AE$9994,22,0)</f>
        <v>https://search-rtdc-monitor-bjffxe2xuh6vdkpspy63sjmuny.us-east-1.es.amazonaws.com/_plugin/kibana/#/discover/Steve-Slow-Train-Analysis-(2080s-and-2083s)?_g=(refreshInterval:(display:Off,section:0,value:0),time:(from:'2016-11-18 09:20:58-700',mode:absolute,to:'2016-11-18 11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9" s="105" t="str">
        <f t="shared" si="1"/>
        <v>"C:\Program Files (x86)\AstroGrep\AstroGrep.exe" /spath="%USERPROFILE%\AppData\Local\Temp\OnboardLogs" /stypes="*4025*201611181*" /stext=" 17:.+((SYSTEM_STATE.+slice.+state.+changed )|(ment ac)|(system.+state.+changed )|(\[timeout)|(PRM\|1\|D)|(kpr)|(kdp)|(\|lc)|(penalty))" /e /r /s</v>
      </c>
      <c r="U19" s="9" t="str">
        <f t="shared" si="2"/>
        <v>4025</v>
      </c>
      <c r="V19" s="36">
        <f t="shared" si="3"/>
        <v>42692.719212962962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{"issue":{"subject":"Operator erroneously selected MAIN 2, caused navigation faults","project_id":79,"tracker_id":40,"status_id":1,"priority_id":2,"assigned_to_id":23,"start_date":"2016-11-18","description":"","custom_fields":[{"id":1,"name":"Subdivision","value":"EC"},{"id":4,"name":"Milepost","value":"0.1692"},{"id":17,"name":"Train ID","value":"153-18"},{"id":16,"name":"Locomotive ID","value":"4025"},{"id":130,"name":"Impact","value":""},{"id":150,"name":"Time of Event (Mountain Time)","value":"10:15:40"},{"id":151,"name":"Denver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"%USERPROFILE%\AppData\Local\Temp\OnboardLogs"\RTDC4025\*4025*201611181*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"%USERPROFILE%\AppData\Local\Temp\OnboardLogs"\RTDC4025\*4025*201611181* &gt;&gt; 42692-slicedisagreementcheck.txt</v>
      </c>
    </row>
    <row r="20" spans="1:30" s="1" customFormat="1" x14ac:dyDescent="0.25">
      <c r="A20" s="36">
        <v>42692.394918981481</v>
      </c>
      <c r="B20" s="31" t="s">
        <v>213</v>
      </c>
      <c r="C20" s="31" t="s">
        <v>445</v>
      </c>
      <c r="D20" s="31" t="s">
        <v>98</v>
      </c>
      <c r="E20" s="31" t="s">
        <v>205</v>
      </c>
      <c r="F20" s="47">
        <v>200</v>
      </c>
      <c r="G20" s="47">
        <v>252</v>
      </c>
      <c r="H20" s="47">
        <v>19756</v>
      </c>
      <c r="I20" s="47">
        <v>20386</v>
      </c>
      <c r="J20" s="31" t="s">
        <v>206</v>
      </c>
      <c r="K20" s="47">
        <v>10800</v>
      </c>
      <c r="L20" s="154" t="s">
        <v>50</v>
      </c>
      <c r="M20" s="155">
        <f t="shared" si="0"/>
        <v>-5061.4080000000004</v>
      </c>
      <c r="N20" s="156" t="str">
        <f>VLOOKUP(C20,'Trips&amp;Operators'!$C$1:$E$99999,3,FALSE)</f>
        <v>MACDONALD</v>
      </c>
      <c r="O20" s="183" t="s">
        <v>202</v>
      </c>
      <c r="P20" s="157" t="s">
        <v>833</v>
      </c>
      <c r="Q20" s="31"/>
      <c r="R20" s="100" t="str">
        <f>VLOOKUP(C20,'Train Runs'!$A$13:$AE$9994,31,0)</f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S20" s="103" t="str">
        <f>VLOOKUP(C20,'Train Runs'!$A$13:$AE$9994,22,0)</f>
        <v>https://search-rtdc-monitor-bjffxe2xuh6vdkpspy63sjmuny.us-east-1.es.amazonaws.com/_plugin/kibana/#/discover/Steve-Slow-Train-Analysis-(2080s-and-2083s)?_g=(refreshInterval:(display:Off,section:0,value:0),time:(from:'2016-11-18 08:26:14-700',mode:absolute,to:'2016-11-18 11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0" s="105" t="str">
        <f t="shared" si="1"/>
        <v>"C:\Program Files (x86)\AstroGrep\AstroGrep.exe" /spath="%USERPROFILE%\AppData\Local\Temp\OnboardLogs" /stypes="*4029*201611181*" /stext=" 16:.+((SYSTEM_STATE.+slice.+state.+changed )|(ment ac)|(system.+state.+changed )|(\[timeout)|(PRM\|1\|D)|(kpr)|(kdp)|(\|lc)|(penalty))" /e /r /s</v>
      </c>
      <c r="U20" s="9" t="str">
        <f t="shared" si="2"/>
        <v>4029</v>
      </c>
      <c r="V20" s="36">
        <f t="shared" si="3"/>
        <v>42692.686585648145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Overspeed","project_id":79,"tracker_id":40,"status_id":1,"priority_id":2,"assigned_to_id":23,"start_date":"2016-11-18","description":"","custom_fields":[{"id":1,"name":"Subdivision","value":"EC"},{"id":4,"name":"Milepost","value":"1.08"},{"id":17,"name":"Train ID","value":"145-18"},{"id":16,"name":"Locomotive ID","value":"4029"},{"id":130,"name":"Impact","value":""},{"id":150,"name":"Time of Event (Mountain Time)","value":"09:28:41"},{"id":151,"name":"Denver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"%USERPROFILE%\AppData\Local\Temp\OnboardLogs"\RTDC4029\*4029*201611181*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"%USERPROFILE%\AppData\Local\Temp\OnboardLogs"\RTDC4029\*4029*201611181* &gt;&gt; 42692-slicedisagreementcheck.txt</v>
      </c>
    </row>
    <row r="21" spans="1:30" x14ac:dyDescent="0.25">
      <c r="A21" s="36">
        <v>42692.822824074072</v>
      </c>
      <c r="B21" s="31" t="s">
        <v>301</v>
      </c>
      <c r="C21" s="31" t="s">
        <v>467</v>
      </c>
      <c r="D21" s="31" t="s">
        <v>98</v>
      </c>
      <c r="E21" s="31" t="s">
        <v>321</v>
      </c>
      <c r="F21" s="47">
        <v>150</v>
      </c>
      <c r="G21" s="47">
        <v>207</v>
      </c>
      <c r="H21" s="47">
        <v>26629</v>
      </c>
      <c r="I21" s="47">
        <v>26188</v>
      </c>
      <c r="J21" s="31" t="s">
        <v>153</v>
      </c>
      <c r="K21" s="47">
        <v>27399</v>
      </c>
      <c r="L21" s="154" t="s">
        <v>51</v>
      </c>
      <c r="M21" s="155">
        <f t="shared" si="0"/>
        <v>-639.40800000000002</v>
      </c>
      <c r="N21" s="156" t="str">
        <f>VLOOKUP(C21,'Trips&amp;Operators'!$C$1:$E$99999,3,FALSE)</f>
        <v>CHANDLER</v>
      </c>
      <c r="O21" s="183" t="s">
        <v>202</v>
      </c>
      <c r="P21" s="157"/>
      <c r="Q21" s="31"/>
      <c r="R21" s="100" t="str">
        <f>VLOOKUP(C21,'Train Runs'!$A$13:$AE$9994,31,0)</f>
        <v>aws s3 cp s3://rtdc.mdm.uploadarchive.raw/RTDC4041/ "%USERPROFILE%\AppData\Local\Temp\OnboardLogs"\RTDC4041\2016-11-18 --exclude "*" --recursive --include "*20161118*" &amp; "%USERPROFILE%\Documents\GitHub\mrs-test-scripts\Headless Mode &amp; Sideloading\WalkAndUnGZ.bat" "%USERPROFILE%\AppData\Local\Temp\OnboardLogs"\RTDC4041\2016-11-18 &amp; aws s3 cp s3://rtdc.mdm.uploadarchive.raw/RTDC4041/ "%USERPROFILE%\AppData\Local\Temp\OnboardLogs"\RTDC4041\2016-11-19 --exclude "*" --recursive --include "*20161119*" &amp; "%USERPROFILE%\Documents\GitHub\mrs-test-scripts\Headless Mode &amp; Sideloading\WalkAndUnGZ.bat" "%USERPROFILE%\AppData\Local\Temp\OnboardLogs"\RTDC4041\2016-11-19</v>
      </c>
      <c r="S21" s="103" t="str">
        <f>VLOOKUP(C21,'Train Runs'!$A$13:$AE$9994,22,0)</f>
        <v>https://search-rtdc-monitor-bjffxe2xuh6vdkpspy63sjmuny.us-east-1.es.amazonaws.com/_plugin/kibana/#/discover/Steve-Slow-Train-Analysis-(2080s-and-2083s)?_g=(refreshInterval:(display:Off,section:0,value:0),time:(from:'2016-11-18 18:08:40-700',mode:absolute,to:'2016-11-18 20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/stypes="*4041*201611190*" /stext=" 02:.+((SYSTEM_STATE.+slice.+state.+changed )|(ment ac)|(system.+state.+changed )|(\[timeout)|(PRM\|1\|D)|(kpr)|(kdp)|(\|lc)|(penalty))" /e /r /s</v>
      </c>
      <c r="U21" s="9" t="str">
        <f t="shared" si="2"/>
        <v>4041</v>
      </c>
      <c r="V21" s="36">
        <f t="shared" si="3"/>
        <v>42693.114490740736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{"issue":{"subject":"","project_id":79,"tracker_id":40,"status_id":1,"priority_id":2,"assigned_to_id":23,"start_date":"2016-11-18","description":"","custom_fields":[{"id":1,"name":"Subdivision","value":"EC"},{"id":4,"name":"Milepost","value":"2.7399"},{"id":17,"name":"Train ID","value":"218-18"},{"id":16,"name":"Locomotive ID","value":"4041"},{"id":130,"name":"Impact","value":""},{"id":150,"name":"Time of Event (Mountain Time)","value":"19:44:52"},{"id":151,"name":"Denver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"%USERPROFILE%\AppData\Local\Temp\OnboardLogs"\RTDC4041\*4041*201611190*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"%USERPROFILE%\AppData\Local\Temp\OnboardLogs"\RTDC4041\*4041*201611190* &gt;&gt; 42692-slicedisagreementcheck.txt</v>
      </c>
    </row>
    <row r="22" spans="1:30" x14ac:dyDescent="0.25">
      <c r="A22" s="36">
        <v>42692.341041666667</v>
      </c>
      <c r="B22" s="31" t="s">
        <v>229</v>
      </c>
      <c r="C22" s="31" t="s">
        <v>442</v>
      </c>
      <c r="D22" s="31" t="s">
        <v>49</v>
      </c>
      <c r="E22" s="31" t="s">
        <v>207</v>
      </c>
      <c r="F22" s="47">
        <v>0</v>
      </c>
      <c r="G22" s="47">
        <v>66</v>
      </c>
      <c r="H22" s="47">
        <v>212</v>
      </c>
      <c r="I22" s="47">
        <v>143</v>
      </c>
      <c r="J22" s="31" t="s">
        <v>208</v>
      </c>
      <c r="K22" s="47">
        <v>1</v>
      </c>
      <c r="L22" s="154" t="s">
        <v>51</v>
      </c>
      <c r="M22" s="155">
        <f t="shared" si="0"/>
        <v>74.975999999999999</v>
      </c>
      <c r="N22" s="156" t="str">
        <f>VLOOKUP(C22,'Trips&amp;Operators'!$C$1:$E$99999,3,FALSE)</f>
        <v>DAVIDSON</v>
      </c>
      <c r="O22" s="183" t="s">
        <v>320</v>
      </c>
      <c r="P22" s="157" t="s">
        <v>895</v>
      </c>
      <c r="Q22" s="31"/>
      <c r="R22" s="100" t="str">
        <f>VLOOKUP(C22,'Train Runs'!$A$13:$AE$9994,31,0)</f>
        <v>aws s3 cp s3://rtdc.mdm.uploadarchive.raw/RTDC4012/ "%USERPROFILE%\AppData\Local\Temp\OnboardLogs"\RTDC4012\2016-11-18 --exclude "*" --recursive --include "*20161118*" &amp; "%USERPROFILE%\Documents\GitHub\mrs-test-scripts\Headless Mode &amp; Sideloading\WalkAndUnGZ.bat" "%USERPROFILE%\AppData\Local\Temp\OnboardLogs"\RTDC4012\2016-11-18 &amp; aws s3 cp s3://rtdc.mdm.uploadarchive.raw/RTDC4012/ "%USERPROFILE%\AppData\Local\Temp\OnboardLogs"\RTDC4012\2016-11-19 --exclude "*" --recursive --include "*20161119*" &amp; "%USERPROFILE%\Documents\GitHub\mrs-test-scripts\Headless Mode &amp; Sideloading\WalkAndUnGZ.bat" "%USERPROFILE%\AppData\Local\Temp\OnboardLogs"\RTDC4012\2016-11-19</v>
      </c>
      <c r="S22" s="103" t="str">
        <f>VLOOKUP(C22,'Train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06:11:55-700',mode:absolute,to:'2016-11-18 09:11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/stypes="*4012*201611181*" /stext=" 15:.+((SYSTEM_STATE.+slice.+state.+changed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42692.632708333331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{"issue":{"subject":"Banner without braking","project_id":79,"tracker_id":40,"status_id":1,"priority_id":2,"assigned_to_id":23,"start_date":"2016-11-18","description":"CPU2 commanded enforcement, others did not","custom_fields":[{"id":1,"name":"Subdivision","value":"EC"},{"id":4,"name":"Milepost","value":"0.0001"},{"id":17,"name":"Train ID","value":"124-18"},{"id":16,"name":"Locomotive ID","value":"4012"},{"id":130,"name":"Impact","value":"Others"},{"id":150,"name":"Time of Event (Mountain Time)","value":"08:11:06"},{"id":151,"name":"Denver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2" s="53" t="s">
        <v>896</v>
      </c>
      <c r="AA22" s="53" t="s">
        <v>137</v>
      </c>
      <c r="AB22" s="53" t="s">
        <v>177</v>
      </c>
      <c r="AC22" s="138" t="str">
        <f t="shared" si="7"/>
        <v>grep -hSE -A100 "Enforcement Action" "%USERPROFILE%\AppData\Local\Temp\OnboardLogs"\RTDC4012\*4012*201611181*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"%USERPROFILE%\AppData\Local\Temp\OnboardLogs"\RTDC4012\*4012*201611181* &gt;&gt; 42692-slicedisagreementcheck.txt</v>
      </c>
    </row>
    <row r="23" spans="1:30" x14ac:dyDescent="0.25">
      <c r="A23" s="36">
        <v>42692.327638888892</v>
      </c>
      <c r="B23" s="31" t="s">
        <v>236</v>
      </c>
      <c r="C23" s="31" t="s">
        <v>440</v>
      </c>
      <c r="D23" s="31" t="s">
        <v>49</v>
      </c>
      <c r="E23" s="31" t="s">
        <v>207</v>
      </c>
      <c r="F23" s="47">
        <v>0</v>
      </c>
      <c r="G23" s="47">
        <v>114</v>
      </c>
      <c r="H23" s="47">
        <v>232409</v>
      </c>
      <c r="I23" s="47">
        <v>232532</v>
      </c>
      <c r="J23" s="31" t="s">
        <v>208</v>
      </c>
      <c r="K23" s="47">
        <v>233491</v>
      </c>
      <c r="L23" s="154" t="s">
        <v>50</v>
      </c>
      <c r="M23" s="155">
        <f t="shared" si="0"/>
        <v>506.35199999999998</v>
      </c>
      <c r="N23" s="156" t="str">
        <f>VLOOKUP(C23,'Trips&amp;Operators'!$C$1:$E$99999,3,FALSE)</f>
        <v>SAFIEF</v>
      </c>
      <c r="O23" s="183" t="s">
        <v>202</v>
      </c>
      <c r="P23" s="157"/>
      <c r="Q23" s="31"/>
      <c r="R23" s="100" t="str">
        <f>VLOOKUP(C23,'Train Runs'!$A$13:$AE$9994,31,0)</f>
        <v>aws s3 cp s3://rtdc.mdm.uploadarchive.raw/RTDC4016/ "%USERPROFILE%\AppData\Local\Temp\OnboardLogs"\RTDC4016\2016-11-18 --exclude "*" --recursive --include "*20161118*" &amp; "%USERPROFILE%\Documents\GitHub\mrs-test-scripts\Headless Mode &amp; Sideloading\WalkAndUnGZ.bat" "%USERPROFILE%\AppData\Local\Temp\OnboardLogs"\RTDC4016\2016-11-18 &amp; aws s3 cp s3://rtdc.mdm.uploadarchive.raw/RTDC4016/ "%USERPROFILE%\AppData\Local\Temp\OnboardLogs"\RTDC4016\2016-11-19 --exclude "*" --recursive --include "*20161119*" &amp; "%USERPROFILE%\Documents\GitHub\mrs-test-scripts\Headless Mode &amp; Sideloading\WalkAndUnGZ.bat" "%USERPROFILE%\AppData\Local\Temp\OnboardLogs"\RTDC4016\2016-11-19</v>
      </c>
      <c r="S23" s="103" t="str">
        <f>VLOOKUP(C23,'Train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06:08:16-700',mode:absolute,to:'2016-11-18 08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3" s="105" t="str">
        <f t="shared" si="1"/>
        <v>"C:\Program Files (x86)\AstroGrep\AstroGrep.exe" /spath="%USERPROFILE%\AppData\Local\Temp\OnboardLogs" /stypes="*4016*201611181*" /stext=" 14:.+((SYSTEM_STATE.+slice.+state.+changed )|(ment ac)|(system.+state.+changed )|(\[timeout)|(PRM\|1\|D)|(kpr)|(kdp)|(\|lc)|(penalty))" /e /r /s</v>
      </c>
      <c r="U23" s="9" t="str">
        <f t="shared" si="2"/>
        <v>4016</v>
      </c>
      <c r="V23" s="36">
        <f t="shared" si="3"/>
        <v>42692.619305555556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{"issue":{"subject":"","project_id":79,"tracker_id":40,"status_id":1,"priority_id":2,"assigned_to_id":23,"start_date":"2016-11-18","description":"","custom_fields":[{"id":1,"name":"Subdivision","value":"EC"},{"id":4,"name":"Milepost","value":"23.3491"},{"id":17,"name":"Train ID","value":"129-18"},{"id":16,"name":"Locomotive ID","value":"4016"},{"id":130,"name":"Impact","value":""},{"id":150,"name":"Time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"%USERPROFILE%\AppData\Local\Temp\OnboardLogs"\RTDC4016\*4016*201611181*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"%USERPROFILE%\AppData\Local\Temp\OnboardLogs"\RTDC4016\*4016*201611181* &gt;&gt; 42692-slicedisagreementcheck.txt</v>
      </c>
    </row>
    <row r="24" spans="1:30" ht="15" customHeight="1" x14ac:dyDescent="0.25">
      <c r="A24" s="36">
        <v>42692.348067129627</v>
      </c>
      <c r="B24" s="31" t="s">
        <v>302</v>
      </c>
      <c r="C24" s="31" t="s">
        <v>443</v>
      </c>
      <c r="D24" s="31" t="s">
        <v>49</v>
      </c>
      <c r="E24" s="31" t="s">
        <v>207</v>
      </c>
      <c r="F24" s="47">
        <v>0</v>
      </c>
      <c r="G24" s="47">
        <v>54</v>
      </c>
      <c r="H24" s="47">
        <v>233274</v>
      </c>
      <c r="I24" s="47">
        <v>233327</v>
      </c>
      <c r="J24" s="31" t="s">
        <v>208</v>
      </c>
      <c r="K24" s="47">
        <v>233491</v>
      </c>
      <c r="L24" s="154" t="s">
        <v>50</v>
      </c>
      <c r="M24" s="155">
        <f t="shared" si="0"/>
        <v>86.592000000000013</v>
      </c>
      <c r="N24" s="156" t="str">
        <f>VLOOKUP(C24,'Trips&amp;Operators'!$C$1:$E$99999,3,FALSE)</f>
        <v>ROBINSON</v>
      </c>
      <c r="O24" s="183" t="s">
        <v>202</v>
      </c>
      <c r="P24" s="157"/>
      <c r="Q24" s="31"/>
      <c r="R24" s="100" t="str">
        <f>VLOOKUP(C24,'Train Runs'!$A$13:$AE$9994,31,0)</f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S24" s="103" t="str">
        <f>VLOOKUP(C24,'Train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06:41:32-700',mode:absolute,to:'2016-11-18 09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 t="shared" si="1"/>
        <v>"C:\Program Files (x86)\AstroGrep\AstroGrep.exe" /spath="%USERPROFILE%\AppData\Local\Temp\OnboardLogs" /stypes="*4042*201611181*" /stext=" 15:.+((SYSTEM_STATE.+slice.+state.+changed )|(ment ac)|(system.+state.+changed )|(\[timeout)|(PRM\|1\|D)|(kpr)|(kdp)|(\|lc)|(penalty))" /e /r /s</v>
      </c>
      <c r="U24" s="9" t="str">
        <f t="shared" si="2"/>
        <v>4042</v>
      </c>
      <c r="V24" s="36">
        <f t="shared" si="3"/>
        <v>42692.639733796292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{"issue":{"subject":"","project_id":79,"tracker_id":40,"status_id":1,"priority_id":2,"assigned_to_id":23,"start_date":"2016-11-18","description":"","custom_fields":[{"id":1,"name":"Subdivision","value":"EC"},{"id":4,"name":"Milepost","value":"23.3491"},{"id":17,"name":"Train ID","value":"133-18"},{"id":16,"name":"Locomotive ID","value":"4042"},{"id":130,"name":"Impact","value":""},{"id":150,"name":"Time of Event (Mountain Time)","value":"08:21:13"},{"id":151,"name":"Denver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"%USERPROFILE%\AppData\Local\Temp\OnboardLogs"\RTDC4042\*4042*201611181*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"%USERPROFILE%\AppData\Local\Temp\OnboardLogs"\RTDC4042\*4042*201611181* &gt;&gt; 42692-slicedisagreementcheck.txt</v>
      </c>
    </row>
    <row r="25" spans="1:30" x14ac:dyDescent="0.25">
      <c r="A25" s="36">
        <v>42692.556840277779</v>
      </c>
      <c r="B25" s="31" t="s">
        <v>213</v>
      </c>
      <c r="C25" s="31" t="s">
        <v>456</v>
      </c>
      <c r="D25" s="31" t="s">
        <v>49</v>
      </c>
      <c r="E25" s="31" t="s">
        <v>207</v>
      </c>
      <c r="F25" s="47">
        <v>0</v>
      </c>
      <c r="G25" s="47">
        <v>148</v>
      </c>
      <c r="H25" s="47">
        <v>232764</v>
      </c>
      <c r="I25" s="47">
        <v>232972</v>
      </c>
      <c r="J25" s="31" t="s">
        <v>208</v>
      </c>
      <c r="K25" s="47">
        <v>233491</v>
      </c>
      <c r="L25" s="154" t="s">
        <v>50</v>
      </c>
      <c r="M25" s="155">
        <f t="shared" si="0"/>
        <v>274.03199999999998</v>
      </c>
      <c r="N25" s="156" t="str">
        <f>VLOOKUP(C25,'Trips&amp;Operators'!$C$1:$E$99999,3,FALSE)</f>
        <v>STEWART</v>
      </c>
      <c r="O25" s="183" t="s">
        <v>202</v>
      </c>
      <c r="P25" s="157"/>
      <c r="Q25" s="31"/>
      <c r="R25" s="100" t="str">
        <f>VLOOKUP(C25,'Train Runs'!$A$13:$AE$9994,31,0)</f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S25" s="103" t="str">
        <f>VLOOKUP(C25,'Train Runs'!$A$13:$AE$9994,22,0)</f>
        <v>https://search-rtdc-monitor-bjffxe2xuh6vdkpspy63sjmuny.us-east-1.es.amazonaws.com/_plugin/kibana/#/discover/Steve-Slow-Train-Analysis-(2080s-and-2083s)?_g=(refreshInterval:(display:Off,section:0,value:0),time:(from:'2016-11-18 11:38:12-700',mode:absolute,to:'2016-11-18 14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 t="shared" si="1"/>
        <v>"C:\Program Files (x86)\AstroGrep\AstroGrep.exe" /spath="%USERPROFILE%\AppData\Local\Temp\OnboardLogs" /stypes="*4029*201611182*" /stext=" 20:.+((SYSTEM_STATE.+slice.+state.+changed )|(ment ac)|(system.+state.+changed )|(\[timeout)|(PRM\|1\|D)|(kpr)|(kdp)|(\|lc)|(penalty))" /e /r /s</v>
      </c>
      <c r="U25" s="9" t="str">
        <f t="shared" si="2"/>
        <v>4029</v>
      </c>
      <c r="V25" s="36">
        <f t="shared" si="3"/>
        <v>42692.848506944443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{"issue":{"subject":"","project_id":79,"tracker_id":40,"status_id":1,"priority_id":2,"assigned_to_id":23,"start_date":"2016-11-18","description":"","custom_fields":[{"id":1,"name":"Subdivision","value":"EC"},{"id":4,"name":"Milepost","value":"23.3491"},{"id":17,"name":"Train ID","value":"173-18"},{"id":16,"name":"Locomotive ID","value":"4029"},{"id":130,"name":"Impact","value":""},{"id":150,"name":"Time of Event (Mountain Time)","value":"13:21:51"},{"id":151,"name":"Denver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"%USERPROFILE%\AppData\Local\Temp\OnboardLogs"\RTDC4029\*4029*201611182*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"%USERPROFILE%\AppData\Local\Temp\OnboardLogs"\RTDC4029\*4029*201611182* &gt;&gt; 42692-slicedisagreementcheck.txt</v>
      </c>
    </row>
    <row r="26" spans="1:30" x14ac:dyDescent="0.25">
      <c r="A26" s="36">
        <v>42692.557291666664</v>
      </c>
      <c r="B26" s="31" t="s">
        <v>213</v>
      </c>
      <c r="C26" s="31" t="s">
        <v>456</v>
      </c>
      <c r="D26" s="31" t="s">
        <v>49</v>
      </c>
      <c r="E26" s="31" t="s">
        <v>207</v>
      </c>
      <c r="F26" s="47">
        <v>0</v>
      </c>
      <c r="G26" s="47">
        <v>77</v>
      </c>
      <c r="H26" s="47">
        <v>233094</v>
      </c>
      <c r="I26" s="47">
        <v>233195</v>
      </c>
      <c r="J26" s="31" t="s">
        <v>208</v>
      </c>
      <c r="K26" s="47">
        <v>233491</v>
      </c>
      <c r="L26" s="154" t="s">
        <v>50</v>
      </c>
      <c r="M26" s="155">
        <f t="shared" si="0"/>
        <v>156.28800000000001</v>
      </c>
      <c r="N26" s="156" t="str">
        <f>VLOOKUP(C26,'Trips&amp;Operators'!$C$1:$E$99999,3,FALSE)</f>
        <v>STEWART</v>
      </c>
      <c r="O26" s="183" t="s">
        <v>202</v>
      </c>
      <c r="P26" s="157"/>
      <c r="Q26" s="31"/>
      <c r="R26" s="100" t="str">
        <f>VLOOKUP(C26,'Train Runs'!$A$13:$AE$9994,31,0)</f>
        <v>aws s3 cp s3://rtdc.mdm.uploadarchive.raw/RTDC4029/ "%USERPROFILE%\AppData\Local\Temp\OnboardLogs"\RTDC4029\2016-11-18 --exclude "*" --recursive --include "*20161118*" &amp; "%USERPROFILE%\Documents\GitHub\mrs-test-scripts\Headless Mode &amp; Sideloading\WalkAndUnGZ.bat" "%USERPROFILE%\AppData\Local\Temp\OnboardLogs"\RTDC4029\2016-11-18 &amp; aws s3 cp s3://rtdc.mdm.uploadarchive.raw/RTDC4029/ "%USERPROFILE%\AppData\Local\Temp\OnboardLogs"\RTDC4029\2016-11-19 --exclude "*" --recursive --include "*20161119*" &amp; "%USERPROFILE%\Documents\GitHub\mrs-test-scripts\Headless Mode &amp; Sideloading\WalkAndUnGZ.bat" "%USERPROFILE%\AppData\Local\Temp\OnboardLogs"\RTDC4029\2016-11-19</v>
      </c>
      <c r="S26" s="103" t="str">
        <f>VLOOKUP(C26,'Train Runs'!$A$13:$AE$9994,22,0)</f>
        <v>https://search-rtdc-monitor-bjffxe2xuh6vdkpspy63sjmuny.us-east-1.es.amazonaws.com/_plugin/kibana/#/discover/Steve-Slow-Train-Analysis-(2080s-and-2083s)?_g=(refreshInterval:(display:Off,section:0,value:0),time:(from:'2016-11-18 11:38:12-700',mode:absolute,to:'2016-11-18 14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 t="shared" si="1"/>
        <v>"C:\Program Files (x86)\AstroGrep\AstroGrep.exe" /spath="%USERPROFILE%\AppData\Local\Temp\OnboardLogs" /stypes="*4029*201611182*" /stext=" 20:.+((SYSTEM_STATE.+slice.+state.+changed )|(ment ac)|(system.+state.+changed )|(\[timeout)|(PRM\|1\|D)|(kpr)|(kdp)|(\|lc)|(penalty))" /e /r /s</v>
      </c>
      <c r="U26" s="9" t="str">
        <f t="shared" si="2"/>
        <v>4029</v>
      </c>
      <c r="V26" s="36">
        <f t="shared" si="3"/>
        <v>42692.848958333328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{"issue":{"subject":"","project_id":79,"tracker_id":40,"status_id":1,"priority_id":2,"assigned_to_id":23,"start_date":"2016-11-18","description":"","custom_fields":[{"id":1,"name":"Subdivision","value":"EC"},{"id":4,"name":"Milepost","value":"23.3491"},{"id":17,"name":"Train ID","value":"173-18"},{"id":16,"name":"Locomotive ID","value":"4029"},{"id":130,"name":"Impact","value":""},{"id":150,"name":"Time of Event (Mountain Time)","value":"13:22:30"},{"id":151,"name":"Denver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"%USERPROFILE%\AppData\Local\Temp\OnboardLogs"\RTDC4029\*4029*201611182*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"%USERPROFILE%\AppData\Local\Temp\OnboardLogs"\RTDC4029\*4029*201611182* &gt;&gt; 42692-slicedisagreementcheck.txt</v>
      </c>
    </row>
    <row r="27" spans="1:30" x14ac:dyDescent="0.25">
      <c r="A27" s="36">
        <v>42692.640625</v>
      </c>
      <c r="B27" s="31" t="s">
        <v>302</v>
      </c>
      <c r="C27" s="31" t="s">
        <v>460</v>
      </c>
      <c r="D27" s="31" t="s">
        <v>49</v>
      </c>
      <c r="E27" s="31" t="s">
        <v>207</v>
      </c>
      <c r="F27" s="47">
        <v>0</v>
      </c>
      <c r="G27" s="47">
        <v>156</v>
      </c>
      <c r="H27" s="47">
        <v>232439</v>
      </c>
      <c r="I27" s="47">
        <v>232636</v>
      </c>
      <c r="J27" s="31" t="s">
        <v>208</v>
      </c>
      <c r="K27" s="47">
        <v>233491</v>
      </c>
      <c r="L27" s="154" t="s">
        <v>50</v>
      </c>
      <c r="M27" s="155">
        <f t="shared" si="0"/>
        <v>451.44</v>
      </c>
      <c r="N27" s="156" t="str">
        <f>VLOOKUP(C27,'Trips&amp;Operators'!$C$1:$E$99999,3,FALSE)</f>
        <v>CLARK</v>
      </c>
      <c r="O27" s="183" t="s">
        <v>202</v>
      </c>
      <c r="P27" s="157"/>
      <c r="Q27" s="31"/>
      <c r="R27" s="100" t="str">
        <f>VLOOKUP(C27,'Train Runs'!$A$13:$AE$9994,31,0)</f>
        <v>aws s3 cp s3://rtdc.mdm.uploadarchive.raw/RTDC4042/ "%USERPROFILE%\AppData\Local\Temp\OnboardLogs"\RTDC4042\2016-11-18 --exclude "*" --recursive --include "*20161118*" &amp; "%USERPROFILE%\Documents\GitHub\mrs-test-scripts\Headless Mode &amp; Sideloading\WalkAndUnGZ.bat" "%USERPROFILE%\AppData\Local\Temp\OnboardLogs"\RTDC4042\2016-11-18 &amp; aws s3 cp s3://rtdc.mdm.uploadarchive.raw/RTDC4042/ "%USERPROFILE%\AppData\Local\Temp\OnboardLogs"\RTDC4042\2016-11-19 --exclude "*" --recursive --include "*20161119*" &amp; "%USERPROFILE%\Documents\GitHub\mrs-test-scripts\Headless Mode &amp; Sideloading\WalkAndUnGZ.bat" "%USERPROFILE%\AppData\Local\Temp\OnboardLogs"\RTDC4042\2016-11-19</v>
      </c>
      <c r="S27" s="103" t="str">
        <f>VLOOKUP(C27,'Train Runs'!$A$13:$AE$9994,22,0)</f>
        <v>https://search-rtdc-monitor-bjffxe2xuh6vdkpspy63sjmuny.us-east-1.es.amazonaws.com/_plugin/kibana/#/discover/Steve-Slow-Train-Analysis-(2080s-and-2083s)?_g=(refreshInterval:(display:Off,section:0,value:0),time:(from:'2016-11-18 13:38:50-700',mode:absolute,to:'2016-11-18 16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7" s="105" t="str">
        <f t="shared" si="1"/>
        <v>"C:\Program Files (x86)\AstroGrep\AstroGrep.exe" /spath="%USERPROFILE%\AppData\Local\Temp\OnboardLogs" /stypes="*4042*201611182*" /stext=" 22:.+((SYSTEM_STATE.+slice.+state.+changed )|(ment ac)|(system.+state.+changed )|(\[timeout)|(PRM\|1\|D)|(kpr)|(kdp)|(\|lc)|(penalty))" /e /r /s</v>
      </c>
      <c r="U27" s="9" t="str">
        <f t="shared" si="2"/>
        <v>4042</v>
      </c>
      <c r="V27" s="36">
        <f t="shared" si="3"/>
        <v>42692.932291666664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{"issue":{"subject":"","project_id":79,"tracker_id":40,"status_id":1,"priority_id":2,"assigned_to_id":23,"start_date":"2016-11-18","description":"","custom_fields":[{"id":1,"name":"Subdivision","value":"EC"},{"id":4,"name":"Milepost","value":"23.3491"},{"id":17,"name":"Train ID","value":"189-18"},{"id":16,"name":"Locomotive ID","value":"4042"},{"id":130,"name":"Impact","value":""},{"id":150,"name":"Time of Event (Mountain Time)","value":"15:22:30"},{"id":151,"name":"Denver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"%USERPROFILE%\AppData\Local\Temp\OnboardLogs"\RTDC4042\*4042*201611182*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"%USERPROFILE%\AppData\Local\Temp\OnboardLogs"\RTDC4042\*4042*201611182* &gt;&gt; 42692-slicedisagreementcheck.txt</v>
      </c>
    </row>
    <row r="28" spans="1:30" x14ac:dyDescent="0.25">
      <c r="A28" s="36">
        <v>42692.452835648146</v>
      </c>
      <c r="B28" s="31" t="s">
        <v>370</v>
      </c>
      <c r="C28" s="31" t="s">
        <v>452</v>
      </c>
      <c r="D28" s="31" t="s">
        <v>49</v>
      </c>
      <c r="E28" s="31" t="s">
        <v>154</v>
      </c>
      <c r="F28" s="47">
        <v>300</v>
      </c>
      <c r="G28" s="47">
        <v>476</v>
      </c>
      <c r="H28" s="47">
        <v>17604</v>
      </c>
      <c r="I28" s="47">
        <v>15775</v>
      </c>
      <c r="J28" s="31" t="s">
        <v>153</v>
      </c>
      <c r="K28" s="47">
        <v>15777</v>
      </c>
      <c r="L28" s="154" t="s">
        <v>51</v>
      </c>
      <c r="M28" s="155">
        <f t="shared" si="0"/>
        <v>-1.056</v>
      </c>
      <c r="N28" s="156" t="str">
        <f>VLOOKUP(C28,'Trips&amp;Operators'!$C$1:$E$99999,3,FALSE)</f>
        <v>MAGEE</v>
      </c>
      <c r="O28" s="183" t="s">
        <v>320</v>
      </c>
      <c r="P28" s="157" t="s">
        <v>835</v>
      </c>
      <c r="Q28" s="31"/>
      <c r="R28" s="100" t="str">
        <f>VLOOKUP(C28,'Train Runs'!$A$13:$AE$9994,31,0)</f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S28" s="103" t="str">
        <f>VLOOKUP(C28,'Train Runs'!$A$13:$AE$9994,22,0)</f>
        <v>https://search-rtdc-monitor-bjffxe2xuh6vdkpspy63sjmuny.us-east-1.es.amazonaws.com/_plugin/kibana/#/discover/Steve-Slow-Train-Analysis-(2080s-and-2083s)?_g=(refreshInterval:(display:Off,section:0,value:0),time:(from:'2016-11-18 09:36:47-700',mode:absolute,to:'2016-11-18 11:57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/stypes="*4032*201611181*" /stext=" 17:.+((SYSTEM_STATE.+slice.+state.+changed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42692.74450231481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 (41st)","project_id":79,"tracker_id":40,"status_id":1,"priority_id":2,"assigned_to_id":23,"start_date":"2016-11-18","description":"","custom_fields":[{"id":1,"name":"Subdivision","value":"NW"},{"id":4,"name":"Milepost","value":"1.5777"},{"id":17,"name":"Train ID","value":"816-18"},{"id":16,"name":"Locomotive ID","value":"4032"},{"id":130,"name":"Impact","value":""},{"id":150,"name":"Time of Event (Mountain Time)","value":"10:52:05"},{"id":151,"name":"Denver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"%USERPROFILE%\AppData\Local\Temp\OnboardLogs"\RTDC4032\*4032*201611181*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"%USERPROFILE%\AppData\Local\Temp\OnboardLogs"\RTDC4032\*4032*201611181* &gt;&gt; 42692-slicedisagreementcheck.txt</v>
      </c>
    </row>
    <row r="29" spans="1:30" x14ac:dyDescent="0.25">
      <c r="A29" s="36">
        <v>42692.286990740744</v>
      </c>
      <c r="B29" s="31" t="s">
        <v>437</v>
      </c>
      <c r="C29" s="31" t="s">
        <v>438</v>
      </c>
      <c r="D29" s="31" t="s">
        <v>98</v>
      </c>
      <c r="E29" s="31" t="s">
        <v>203</v>
      </c>
      <c r="F29" s="47">
        <v>150</v>
      </c>
      <c r="G29" s="47">
        <v>203</v>
      </c>
      <c r="H29" s="47">
        <v>5400</v>
      </c>
      <c r="I29" s="47">
        <v>5831</v>
      </c>
      <c r="J29" s="31" t="s">
        <v>204</v>
      </c>
      <c r="K29" s="47">
        <v>574</v>
      </c>
      <c r="L29" s="154" t="s">
        <v>50</v>
      </c>
      <c r="M29" s="155">
        <f t="shared" si="0"/>
        <v>-2775.6959999999995</v>
      </c>
      <c r="N29" s="156" t="str">
        <f>VLOOKUP(C29,'Trips&amp;Operators'!$C$1:$E$99999,3,FALSE)</f>
        <v>STRICKLAND</v>
      </c>
      <c r="O29" s="183" t="s">
        <v>202</v>
      </c>
      <c r="P29" s="157"/>
      <c r="Q29" s="31"/>
      <c r="R29" s="100" t="str">
        <f>VLOOKUP(C29,'Train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29" s="103" t="str">
        <f>VLOOKUP(C29,'Train Runs'!$A$13:$AE$9994,22,0)</f>
        <v>https://search-rtdc-monitor-bjffxe2xuh6vdkpspy63sjmuny.us-east-1.es.amazonaws.com/_plugin/kibana/#/discover/Steve-Slow-Train-Analysis-(2080s-and-2083s)?_g=(refreshInterval:(display:Off,section:0,value:0),time:(from:'2016-11-18 05:30:28-700',mode:absolute,to:'2016-11-18 08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9" s="105" t="str">
        <f t="shared" si="1"/>
        <v>"C:\Program Files (x86)\AstroGrep\AstroGrep.exe" /spath="%USERPROFILE%\AppData\Local\Temp\OnboardLogs" /stypes="*4007*201611181*" /stext=" 13:.+((SYSTEM_STATE.+slice.+state.+changed )|(ment ac)|(system.+state.+changed )|(\[timeout)|(PRM\|1\|D)|(kpr)|(kdp)|(\|lc)|(penalty))" /e /r /s</v>
      </c>
      <c r="U29" s="9" t="str">
        <f t="shared" si="2"/>
        <v>4007</v>
      </c>
      <c r="V29" s="36">
        <f t="shared" si="3"/>
        <v>42692.578657407408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{"issue":{"subject":"","project_id":79,"tracker_id":40,"status_id":1,"priority_id":2,"assigned_to_id":23,"start_date":"2016-11-18","description":"","custom_fields":[{"id":1,"name":"Subdivision","value":"NW"},{"id":4,"name":"Milepost","value":"0.0574"},{"id":17,"name":"Train ID","value":"805-18"},{"id":16,"name":"Locomotive ID","value":"4007"},{"id":130,"name":"Impact","value":""},{"id":150,"name":"Time of Event (Mountain Time)","value":"06:53:16"},{"id":151,"name":"Denver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"%USERPROFILE%\AppData\Local\Temp\OnboardLogs"\RTDC4007\*4007*201611181*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"%USERPROFILE%\AppData\Local\Temp\OnboardLogs"\RTDC4007\*4007*201611181* &gt;&gt; 42692-slicedisagreementcheck.txt</v>
      </c>
    </row>
    <row r="30" spans="1:30" ht="15" customHeight="1" x14ac:dyDescent="0.25">
      <c r="A30" s="36">
        <v>42692.53429398148</v>
      </c>
      <c r="B30" s="31" t="s">
        <v>370</v>
      </c>
      <c r="C30" s="31" t="s">
        <v>455</v>
      </c>
      <c r="D30" s="31" t="s">
        <v>98</v>
      </c>
      <c r="E30" s="31" t="s">
        <v>203</v>
      </c>
      <c r="F30" s="47">
        <v>300</v>
      </c>
      <c r="G30" s="47">
        <v>350</v>
      </c>
      <c r="H30" s="47">
        <v>21057</v>
      </c>
      <c r="I30" s="47">
        <v>20422</v>
      </c>
      <c r="J30" s="31" t="s">
        <v>204</v>
      </c>
      <c r="K30" s="47">
        <v>23561</v>
      </c>
      <c r="L30" s="154" t="s">
        <v>51</v>
      </c>
      <c r="M30" s="155">
        <f t="shared" si="0"/>
        <v>-1657.3920000000001</v>
      </c>
      <c r="N30" s="156" t="str">
        <f>VLOOKUP(C30,'Trips&amp;Operators'!$C$1:$E$99999,3,FALSE)</f>
        <v>NICHOLSON</v>
      </c>
      <c r="O30" s="183" t="s">
        <v>202</v>
      </c>
      <c r="P30" s="157"/>
      <c r="Q30" s="31"/>
      <c r="R30" s="100" t="str">
        <f>VLOOKUP(C30,'Train Runs'!$A$13:$AE$9994,31,0)</f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S30" s="103" t="str">
        <f>VLOOKUP(C30,'Train Runs'!$A$13:$AE$9994,22,0)</f>
        <v>https://search-rtdc-monitor-bjffxe2xuh6vdkpspy63sjmuny.us-east-1.es.amazonaws.com/_plugin/kibana/#/discover/Steve-Slow-Train-Analysis-(2080s-and-2083s)?_g=(refreshInterval:(display:Off,section:0,value:0),time:(from:'2016-11-18 11:38:52-700',mode:absolute,to:'2016-11-18 13:58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0" s="105" t="str">
        <f t="shared" si="1"/>
        <v>"C:\Program Files (x86)\AstroGrep\AstroGrep.exe" /spath="%USERPROFILE%\AppData\Local\Temp\OnboardLogs" /stypes="*4032*201611181*" /stext=" 19:.+((SYSTEM_STATE.+slice.+state.+changed )|(ment ac)|(system.+state.+changed )|(\[timeout)|(PRM\|1\|D)|(kpr)|(kdp)|(\|lc)|(penalty))" /e /r /s</v>
      </c>
      <c r="U30" s="9" t="str">
        <f t="shared" si="2"/>
        <v>4032</v>
      </c>
      <c r="V30" s="36">
        <f t="shared" si="3"/>
        <v>42692.825960648144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{"issue":{"subject":"","project_id":79,"tracker_id":40,"status_id":1,"priority_id":2,"assigned_to_id":23,"start_date":"2016-11-18","description":"","custom_fields":[{"id":1,"name":"Subdivision","value":"NW"},{"id":4,"name":"Milepost","value":"2.3561"},{"id":17,"name":"Train ID","value":"820-18"},{"id":16,"name":"Locomotive ID","value":"4032"},{"id":130,"name":"Impact","value":""},{"id":150,"name":"Time of Event (Mountain Time)","value":"12:49:23"},{"id":151,"name":"Denver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"%USERPROFILE%\AppData\Local\Temp\OnboardLogs"\RTDC4032\*4032*201611181*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"%USERPROFILE%\AppData\Local\Temp\OnboardLogs"\RTDC4032\*4032*201611181* &gt;&gt; 42692-slicedisagreementcheck.txt</v>
      </c>
    </row>
    <row r="31" spans="1:30" x14ac:dyDescent="0.25">
      <c r="A31" s="36">
        <v>42692.334282407406</v>
      </c>
      <c r="B31" s="31" t="s">
        <v>437</v>
      </c>
      <c r="C31" s="31" t="s">
        <v>441</v>
      </c>
      <c r="D31" s="31" t="s">
        <v>98</v>
      </c>
      <c r="E31" s="31" t="s">
        <v>203</v>
      </c>
      <c r="F31" s="47">
        <v>400</v>
      </c>
      <c r="G31" s="47">
        <v>452</v>
      </c>
      <c r="H31" s="47">
        <v>43877</v>
      </c>
      <c r="I31" s="47">
        <v>45396</v>
      </c>
      <c r="J31" s="31" t="s">
        <v>204</v>
      </c>
      <c r="K31" s="47">
        <v>41797</v>
      </c>
      <c r="L31" s="154" t="s">
        <v>50</v>
      </c>
      <c r="M31" s="155">
        <f t="shared" si="0"/>
        <v>-1900.2719999999999</v>
      </c>
      <c r="N31" s="156" t="str">
        <f>VLOOKUP(C31,'Trips&amp;Operators'!$C$1:$E$99999,3,FALSE)</f>
        <v>STRICKLAND</v>
      </c>
      <c r="O31" s="183" t="s">
        <v>202</v>
      </c>
      <c r="P31" s="157"/>
      <c r="Q31" s="31"/>
      <c r="R31" s="100" t="str">
        <f>VLOOKUP(C31,'Train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31" s="103" t="str">
        <f>VLOOKUP(C31,'Train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06:29:33-700',mode:absolute,to:'2016-11-18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1" s="105" t="str">
        <f t="shared" si="1"/>
        <v>"C:\Program Files (x86)\AstroGrep\AstroGrep.exe" /spath="%USERPROFILE%\AppData\Local\Temp\OnboardLogs" /stypes="*4007*201611181*" /stext=" 15:.+((SYSTEM_STATE.+slice.+state.+changed )|(ment ac)|(system.+state.+changed )|(\[timeout)|(PRM\|1\|D)|(kpr)|(kdp)|(\|lc)|(penalty))" /e /r /s</v>
      </c>
      <c r="U31" s="9" t="str">
        <f t="shared" si="2"/>
        <v>4007</v>
      </c>
      <c r="V31" s="36">
        <f t="shared" si="3"/>
        <v>42692.62594907407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{"issue":{"subject":"","project_id":79,"tracker_id":40,"status_id":1,"priority_id":2,"assigned_to_id":23,"start_date":"2016-11-18","description":"","custom_fields":[{"id":1,"name":"Subdivision","value":"NW"},{"id":4,"name":"Milepost","value":"4.1797"},{"id":17,"name":"Train ID","value":"809-18"},{"id":16,"name":"Locomotive ID","value":"4007"},{"id":130,"name":"Impact","value":""},{"id":150,"name":"Time of Event (Mountain Time)","value":"08:01:22"},{"id":151,"name":"Denver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"%USERPROFILE%\AppData\Local\Temp\OnboardLogs"\RTDC4007\*4007*201611181*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"%USERPROFILE%\AppData\Local\Temp\OnboardLogs"\RTDC4007\*4007*201611181* &gt;&gt; 42692-slicedisagreementcheck.txt</v>
      </c>
    </row>
    <row r="32" spans="1:30" ht="15" customHeight="1" x14ac:dyDescent="0.25">
      <c r="A32" s="36">
        <v>42692.272453703707</v>
      </c>
      <c r="B32" s="31" t="s">
        <v>368</v>
      </c>
      <c r="C32" s="31" t="s">
        <v>436</v>
      </c>
      <c r="D32" s="31" t="s">
        <v>49</v>
      </c>
      <c r="E32" s="31" t="s">
        <v>203</v>
      </c>
      <c r="F32" s="47">
        <v>150</v>
      </c>
      <c r="G32" s="47">
        <v>268</v>
      </c>
      <c r="H32" s="47">
        <v>56576</v>
      </c>
      <c r="I32" s="47">
        <v>57090</v>
      </c>
      <c r="J32" s="31" t="s">
        <v>204</v>
      </c>
      <c r="K32" s="47">
        <v>57008</v>
      </c>
      <c r="L32" s="154" t="s">
        <v>50</v>
      </c>
      <c r="M32" s="155">
        <f t="shared" si="0"/>
        <v>-43.296000000000006</v>
      </c>
      <c r="N32" s="156" t="str">
        <f>VLOOKUP(C32,'Trips&amp;Operators'!$C$1:$E$99999,3,FALSE)</f>
        <v>MAGEE</v>
      </c>
      <c r="O32" s="183" t="s">
        <v>202</v>
      </c>
      <c r="P32" s="157"/>
      <c r="Q32" s="31"/>
      <c r="R32" s="100" t="str">
        <f>VLOOKUP(C32,'Train Runs'!$A$13:$AE$9994,31,0)</f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S32" s="103" t="str">
        <f>VLOOKUP(C32,'Train Runs'!$A$13:$AE$9994,22,0)</f>
        <v>https://search-rtdc-monitor-bjffxe2xuh6vdkpspy63sjmuny.us-east-1.es.amazonaws.com/_plugin/kibana/#/discover/Steve-Slow-Train-Analysis-(2080s-and-2083s)?_g=(refreshInterval:(display:Off,section:0,value:0),time:(from:'2016-11-18 05:12:49-700',mode:absolute,to:'2016-11-18 07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2" s="105" t="str">
        <f t="shared" si="1"/>
        <v>"C:\Program Files (x86)\AstroGrep\AstroGrep.exe" /spath="%USERPROFILE%\AppData\Local\Temp\OnboardLogs" /stypes="*4031*201611181*" /stext=" 13:.+((SYSTEM_STATE.+slice.+state.+changed )|(ment ac)|(system.+state.+changed )|(\[timeout)|(PRM\|1\|D)|(kpr)|(kdp)|(\|lc)|(penalty))" /e /r /s</v>
      </c>
      <c r="U32" s="9" t="str">
        <f t="shared" si="2"/>
        <v>4031</v>
      </c>
      <c r="V32" s="36">
        <f t="shared" si="3"/>
        <v>42692.564120370371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{"issue":{"subject":"","project_id":79,"tracker_id":40,"status_id":1,"priority_id":2,"assigned_to_id":23,"start_date":"2016-11-18","description":"","custom_fields":[{"id":1,"name":"Subdivision","value":"NW"},{"id":4,"name":"Milepost","value":"5.7008"},{"id":17,"name":"Train ID","value":"803-18"},{"id":16,"name":"Locomotive ID","value":"4031"},{"id":130,"name":"Impact","value":""},{"id":150,"name":"Time of Event (Mountain Time)","value":"06:32:20"},{"id":151,"name":"Denver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"%USERPROFILE%\AppData\Local\Temp\OnboardLogs"\RTDC4031\*4031*201611181*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"%USERPROFILE%\AppData\Local\Temp\OnboardLogs"\RTDC4031\*4031*201611181* &gt;&gt; 42692-slicedisagreementcheck.txt</v>
      </c>
    </row>
    <row r="33" spans="1:30" x14ac:dyDescent="0.25">
      <c r="A33" s="36">
        <v>42692.613761574074</v>
      </c>
      <c r="B33" s="31" t="s">
        <v>370</v>
      </c>
      <c r="C33" s="31" t="s">
        <v>459</v>
      </c>
      <c r="D33" s="31" t="s">
        <v>98</v>
      </c>
      <c r="E33" s="31" t="s">
        <v>203</v>
      </c>
      <c r="F33" s="47">
        <v>150</v>
      </c>
      <c r="G33" s="47">
        <v>201</v>
      </c>
      <c r="H33" s="47">
        <v>56636</v>
      </c>
      <c r="I33" s="47">
        <v>56253</v>
      </c>
      <c r="J33" s="31" t="s">
        <v>204</v>
      </c>
      <c r="K33" s="47">
        <v>59050</v>
      </c>
      <c r="L33" s="154" t="s">
        <v>51</v>
      </c>
      <c r="M33" s="155">
        <f t="shared" si="0"/>
        <v>-1476.816</v>
      </c>
      <c r="N33" s="156" t="str">
        <f>VLOOKUP(C33,'Trips&amp;Operators'!$C$1:$E$99999,3,FALSE)</f>
        <v>BADERTSCHER</v>
      </c>
      <c r="O33" s="183" t="s">
        <v>202</v>
      </c>
      <c r="P33" s="157"/>
      <c r="Q33" s="31"/>
      <c r="R33" s="100" t="str">
        <f>VLOOKUP(C33,'Train Runs'!$A$13:$AE$9994,31,0)</f>
        <v>aws s3 cp s3://rtdc.mdm.uploadarchive.raw/RTDC4032/ "%USERPROFILE%\AppData\Local\Temp\OnboardLogs"\RTDC4032\2016-11-18 --exclude "*" --recursive --include "*20161118*" &amp; "%USERPROFILE%\Documents\GitHub\mrs-test-scripts\Headless Mode &amp; Sideloading\WalkAndUnGZ.bat" "%USERPROFILE%\AppData\Local\Temp\OnboardLogs"\RTDC4032\2016-11-18 &amp; aws s3 cp s3://rtdc.mdm.uploadarchive.raw/RTDC4032/ "%USERPROFILE%\AppData\Local\Temp\OnboardLogs"\RTDC4032\2016-11-19 --exclude "*" --recursive --include "*20161119*" &amp; "%USERPROFILE%\Documents\GitHub\mrs-test-scripts\Headless Mode &amp; Sideloading\WalkAndUnGZ.bat" "%USERPROFILE%\AppData\Local\Temp\OnboardLogs"\RTDC4032\2016-11-19</v>
      </c>
      <c r="S33" s="103" t="str">
        <f>VLOOKUP(C33,'Train Runs'!$A$13:$AE$9994,22,0)</f>
        <v>https://search-rtdc-monitor-bjffxe2xuh6vdkpspy63sjmuny.us-east-1.es.amazonaws.com/_plugin/kibana/#/discover/Steve-Slow-Train-Analysis-(2080s-and-2083s)?_g=(refreshInterval:(display:Off,section:0,value:0),time:(from:'2016-11-18 13:37:26-700',mode:absolute,to:'2016-11-18 15:56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3" s="105" t="str">
        <f t="shared" si="1"/>
        <v>"C:\Program Files (x86)\AstroGrep\AstroGrep.exe" /spath="%USERPROFILE%\AppData\Local\Temp\OnboardLogs" /stypes="*4032*201611182*" /stext=" 21:.+((SYSTEM_STATE.+slice.+state.+changed )|(ment ac)|(system.+state.+changed )|(\[timeout)|(PRM\|1\|D)|(kpr)|(kdp)|(\|lc)|(penalty))" /e /r /s</v>
      </c>
      <c r="U33" s="9" t="str">
        <f t="shared" si="2"/>
        <v>4032</v>
      </c>
      <c r="V33" s="36">
        <f t="shared" si="3"/>
        <v>42692.905428240738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{"issue":{"subject":"","project_id":79,"tracker_id":40,"status_id":1,"priority_id":2,"assigned_to_id":23,"start_date":"2016-11-18","description":"","custom_fields":[{"id":1,"name":"Subdivision","value":"NW"},{"id":4,"name":"Milepost","value":"5.905"},{"id":17,"name":"Train ID","value":"824-18"},{"id":16,"name":"Locomotive ID","value":"4032"},{"id":130,"name":"Impact","value":""},{"id":150,"name":"Time of Event (Mountain Time)","value":"14:43:49"},{"id":151,"name":"Denver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"%USERPROFILE%\AppData\Local\Temp\OnboardLogs"\RTDC4032\*4032*201611182*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"%USERPROFILE%\AppData\Local\Temp\OnboardLogs"\RTDC4032\*4032*201611182* &gt;&gt; 42692-slicedisagreementcheck.txt</v>
      </c>
    </row>
    <row r="34" spans="1:30" x14ac:dyDescent="0.25">
      <c r="A34" s="36">
        <v>42692.393750000003</v>
      </c>
      <c r="B34" s="31" t="s">
        <v>368</v>
      </c>
      <c r="C34" s="31" t="s">
        <v>444</v>
      </c>
      <c r="D34" s="31" t="s">
        <v>49</v>
      </c>
      <c r="E34" s="31" t="s">
        <v>205</v>
      </c>
      <c r="F34" s="47">
        <v>0</v>
      </c>
      <c r="G34" s="47">
        <v>265</v>
      </c>
      <c r="H34" s="47">
        <v>20623</v>
      </c>
      <c r="I34" s="47">
        <v>21388</v>
      </c>
      <c r="J34" s="31" t="s">
        <v>206</v>
      </c>
      <c r="K34" s="47">
        <v>22314</v>
      </c>
      <c r="L34" s="154" t="s">
        <v>50</v>
      </c>
      <c r="M34" s="155">
        <f t="shared" si="0"/>
        <v>488.928</v>
      </c>
      <c r="N34" s="156" t="str">
        <f>VLOOKUP(C34,'Trips&amp;Operators'!$C$1:$E$99999,3,FALSE)</f>
        <v>MAGEE</v>
      </c>
      <c r="O34" s="183" t="s">
        <v>202</v>
      </c>
      <c r="P34" s="157" t="s">
        <v>836</v>
      </c>
      <c r="Q34" s="31"/>
      <c r="R34" s="100" t="str">
        <f>VLOOKUP(C34,'Train Runs'!$A$13:$AE$9994,31,0)</f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S34" s="103" t="str">
        <f>VLOOKUP(C34,'Train Runs'!$A$13:$AE$9994,22,0)</f>
        <v>https://search-rtdc-monitor-bjffxe2xuh6vdkpspy63sjmuny.us-east-1.es.amazonaws.com/_plugin/kibana/#/discover/Steve-Slow-Train-Analysis-(2080s-and-2083s)?_g=(refreshInterval:(display:Off,section:0,value:0),time:(from:'2016-11-18 07:58:47-700',mode:absolute,to:'2016-11-18 10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5" t="str">
        <f t="shared" si="1"/>
        <v>"C:\Program Files (x86)\AstroGrep\AstroGrep.exe" /spath="%USERPROFILE%\AppData\Local\Temp\OnboardLogs" /stypes="*4031*201611181*" /stext=" 16:.+((SYSTEM_STATE.+slice.+state.+changed )|(ment ac)|(system.+state.+changed )|(\[timeout)|(PRM\|1\|D)|(kpr)|(kdp)|(\|lc)|(penalty))" /e /r /s</v>
      </c>
      <c r="U34" s="9" t="str">
        <f t="shared" si="2"/>
        <v>4031</v>
      </c>
      <c r="V34" s="36">
        <f t="shared" si="3"/>
        <v>42692.685416666667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{"issue":{"subject":"CRMF N 2N not cleared until 09:32","project_id":79,"tracker_id":40,"status_id":1,"priority_id":2,"assigned_to_id":23,"start_date":"2016-11-18","description":"","custom_fields":[{"id":1,"name":"Subdivision","value":"NW"},{"id":4,"name":"Milepost","value":"2.2314"},{"id":17,"name":"Train ID","value":"813-18"},{"id":16,"name":"Locomotive ID","value":"4031"},{"id":130,"name":"Impact","value":""},{"id":150,"name":"Time of Event (Mountain Time)","value":"09:27:00"},{"id":151,"name":"Denver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"%USERPROFILE%\AppData\Local\Temp\OnboardLogs"\RTDC4031\*4031*201611181*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"%USERPROFILE%\AppData\Local\Temp\OnboardLogs"\RTDC4031\*4031*201611181* &gt;&gt; 42692-slicedisagreementcheck.txt</v>
      </c>
    </row>
    <row r="35" spans="1:30" x14ac:dyDescent="0.25">
      <c r="A35" s="36">
        <v>42692.269456018519</v>
      </c>
      <c r="B35" s="31" t="s">
        <v>434</v>
      </c>
      <c r="C35" s="31" t="s">
        <v>435</v>
      </c>
      <c r="D35" s="31" t="s">
        <v>49</v>
      </c>
      <c r="E35" s="31" t="s">
        <v>207</v>
      </c>
      <c r="F35" s="47">
        <v>0</v>
      </c>
      <c r="G35" s="47">
        <v>50</v>
      </c>
      <c r="H35" s="47">
        <v>741</v>
      </c>
      <c r="I35" s="47">
        <v>717</v>
      </c>
      <c r="J35" s="31" t="s">
        <v>208</v>
      </c>
      <c r="K35" s="47">
        <v>575</v>
      </c>
      <c r="L35" s="154" t="s">
        <v>51</v>
      </c>
      <c r="M35" s="155">
        <f t="shared" si="0"/>
        <v>74.975999999999999</v>
      </c>
      <c r="N35" s="156" t="str">
        <f>VLOOKUP(C35,'Trips&amp;Operators'!$C$1:$E$99999,3,FALSE)</f>
        <v>STRICKLAND</v>
      </c>
      <c r="O35" s="183" t="s">
        <v>202</v>
      </c>
      <c r="P35" s="157"/>
      <c r="Q35" s="31"/>
      <c r="R35" s="100" t="str">
        <f>VLOOKUP(C35,'Train Runs'!$A$13:$AE$9994,31,0)</f>
        <v>aws s3 cp s3://rtdc.mdm.uploadarchive.raw/RTDC4008/ "%USERPROFILE%\AppData\Local\Temp\OnboardLogs"\RTDC4008\2016-11-18 --exclude "*" --recursive --include "*20161118*" &amp; "%USERPROFILE%\Documents\GitHub\mrs-test-scripts\Headless Mode &amp; Sideloading\WalkAndUnGZ.bat" "%USERPROFILE%\AppData\Local\Temp\OnboardLogs"\RTDC4008\2016-11-18 &amp; aws s3 cp s3://rtdc.mdm.uploadarchive.raw/RTDC4008/ "%USERPROFILE%\AppData\Local\Temp\OnboardLogs"\RTDC4008\2016-11-19 --exclude "*" --recursive --include "*20161119*" &amp; "%USERPROFILE%\Documents\GitHub\mrs-test-scripts\Headless Mode &amp; Sideloading\WalkAndUnGZ.bat" "%USERPROFILE%\AppData\Local\Temp\OnboardLogs"\RTDC4008\2016-11-19</v>
      </c>
      <c r="S35" s="103" t="str">
        <f>VLOOKUP(C35,'Train Runs'!$A$13:$AE$9994,22,0)</f>
        <v>https://search-rtdc-monitor-bjffxe2xuh6vdkpspy63sjmuny.us-east-1.es.amazonaws.com/_plugin/kibana/#/discover/Steve-Slow-Train-Analysis-(2080s-and-2083s)?_g=(refreshInterval:(display:Off,section:0,value:0),time:(from:'2016-11-18 05:07:41-700',mode:absolute,to:'2016-11-18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5" s="105" t="str">
        <f t="shared" si="1"/>
        <v>"C:\Program Files (x86)\AstroGrep\AstroGrep.exe" /spath="%USERPROFILE%\AppData\Local\Temp\OnboardLogs" /stypes="*4008*201611181*" /stext=" 13:.+((SYSTEM_STATE.+slice.+state.+changed )|(ment ac)|(system.+state.+changed )|(\[timeout)|(PRM\|1\|D)|(kpr)|(kdp)|(\|lc)|(penalty))" /e /r /s</v>
      </c>
      <c r="U35" s="9" t="str">
        <f t="shared" si="2"/>
        <v>4008</v>
      </c>
      <c r="V35" s="36">
        <f t="shared" si="3"/>
        <v>42692.561122685183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{"issue":{"subject":"","project_id":79,"tracker_id":40,"status_id":1,"priority_id":2,"assigned_to_id":23,"start_date":"2016-11-18","description":"","custom_fields":[{"id":1,"name":"Subdivision","value":"NW"},{"id":4,"name":"Milepost","value":"0.0575"},{"id":17,"name":"Train ID","value":"802-18"},{"id":16,"name":"Locomotive ID","value":"4008"},{"id":130,"name":"Impact","value":""},{"id":150,"name":"Time of Event (Mountain Time)","value":"06:28:01"},{"id":151,"name":"Denver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"%USERPROFILE%\AppData\Local\Temp\OnboardLogs"\RTDC4008\*4008*201611181*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"%USERPROFILE%\AppData\Local\Temp\OnboardLogs"\RTDC4008\*4008*201611181* &gt;&gt; 42692-slicedisagreementcheck.txt</v>
      </c>
    </row>
    <row r="36" spans="1:30" x14ac:dyDescent="0.25">
      <c r="A36" s="36">
        <v>42692.337245370371</v>
      </c>
      <c r="B36" s="31" t="s">
        <v>437</v>
      </c>
      <c r="C36" s="31" t="s">
        <v>441</v>
      </c>
      <c r="D36" s="31" t="s">
        <v>49</v>
      </c>
      <c r="E36" s="31" t="s">
        <v>207</v>
      </c>
      <c r="F36" s="47">
        <v>0</v>
      </c>
      <c r="G36" s="47">
        <v>110</v>
      </c>
      <c r="H36" s="47">
        <v>58577</v>
      </c>
      <c r="I36" s="47">
        <v>58739</v>
      </c>
      <c r="J36" s="31" t="s">
        <v>208</v>
      </c>
      <c r="K36" s="47">
        <v>59048</v>
      </c>
      <c r="L36" s="154" t="s">
        <v>50</v>
      </c>
      <c r="M36" s="155">
        <f t="shared" si="0"/>
        <v>163.15199999999999</v>
      </c>
      <c r="N36" s="156" t="str">
        <f>VLOOKUP(C36,'Trips&amp;Operators'!$C$1:$E$99999,3,FALSE)</f>
        <v>STRICKLAND</v>
      </c>
      <c r="O36" s="183" t="s">
        <v>202</v>
      </c>
      <c r="P36" s="157"/>
      <c r="Q36" s="31"/>
      <c r="R36" s="100" t="str">
        <f>VLOOKUP(C36,'Train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36" s="103" t="str">
        <f>VLOOKUP(C36,'Train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06:29:33-700',mode:absolute,to:'2016-11-18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5" t="str">
        <f t="shared" si="1"/>
        <v>"C:\Program Files (x86)\AstroGrep\AstroGrep.exe" /spath="%USERPROFILE%\AppData\Local\Temp\OnboardLogs" /stypes="*4007*201611181*" /stext=" 15:.+((SYSTEM_STATE.+slice.+state.+changed )|(ment ac)|(system.+state.+changed )|(\[timeout)|(PRM\|1\|D)|(kpr)|(kdp)|(\|lc)|(penalty))" /e /r /s</v>
      </c>
      <c r="U36" s="9" t="str">
        <f t="shared" si="2"/>
        <v>4007</v>
      </c>
      <c r="V36" s="36">
        <f t="shared" si="3"/>
        <v>42692.628912037035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ID","value":"809-18"},{"id":16,"name":"Locomotive ID","value":"4007"},{"id":130,"name":"Impact","value":""},{"id":150,"name":"Time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"%USERPROFILE%\AppData\Local\Temp\OnboardLogs"\RTDC4007\*4007*201611181*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"%USERPROFILE%\AppData\Local\Temp\OnboardLogs"\RTDC4007\*4007*201611181* &gt;&gt; 42692-slicedisagreementcheck.txt</v>
      </c>
    </row>
    <row r="37" spans="1:30" x14ac:dyDescent="0.25">
      <c r="A37" s="36">
        <v>42692.33766203704</v>
      </c>
      <c r="B37" s="31" t="s">
        <v>437</v>
      </c>
      <c r="C37" s="31" t="s">
        <v>441</v>
      </c>
      <c r="D37" s="31" t="s">
        <v>49</v>
      </c>
      <c r="E37" s="31" t="s">
        <v>207</v>
      </c>
      <c r="F37" s="47">
        <v>0</v>
      </c>
      <c r="G37" s="47">
        <v>54</v>
      </c>
      <c r="H37" s="47">
        <v>58777</v>
      </c>
      <c r="I37" s="47">
        <v>58858</v>
      </c>
      <c r="J37" s="31" t="s">
        <v>208</v>
      </c>
      <c r="K37" s="47">
        <v>59048</v>
      </c>
      <c r="L37" s="154" t="s">
        <v>50</v>
      </c>
      <c r="M37" s="155">
        <f t="shared" si="0"/>
        <v>100.32</v>
      </c>
      <c r="N37" s="156" t="str">
        <f>VLOOKUP(C37,'Trips&amp;Operators'!$C$1:$E$99999,3,FALSE)</f>
        <v>STRICKLAND</v>
      </c>
      <c r="O37" s="183" t="s">
        <v>202</v>
      </c>
      <c r="P37" s="157"/>
      <c r="Q37" s="31"/>
      <c r="R37" s="100" t="str">
        <f>VLOOKUP(C37,'Train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37" s="103" t="str">
        <f>VLOOKUP(C37,'Train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06:29:33-700',mode:absolute,to:'2016-11-18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7" s="105" t="str">
        <f t="shared" si="1"/>
        <v>"C:\Program Files (x86)\AstroGrep\AstroGrep.exe" /spath="%USERPROFILE%\AppData\Local\Temp\OnboardLogs" /stypes="*4007*201611181*" /stext=" 15:.+((SYSTEM_STATE.+slice.+state.+changed )|(ment ac)|(system.+state.+changed )|(\[timeout)|(PRM\|1\|D)|(kpr)|(kdp)|(\|lc)|(penalty))" /e /r /s</v>
      </c>
      <c r="U37" s="9" t="str">
        <f t="shared" si="2"/>
        <v>4007</v>
      </c>
      <c r="V37" s="36">
        <f t="shared" si="3"/>
        <v>42692.629328703704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ID","value":"809-18"},{"id":16,"name":"Locomotive ID","value":"4007"},{"id":130,"name":"Impact","value":""},{"id":150,"name":"Time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"%USERPROFILE%\AppData\Local\Temp\OnboardLogs"\RTDC4007\*4007*201611181*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"%USERPROFILE%\AppData\Local\Temp\OnboardLogs"\RTDC4007\*4007*201611181* &gt;&gt; 42692-slicedisagreementcheck.txt</v>
      </c>
    </row>
    <row r="38" spans="1:30" x14ac:dyDescent="0.25">
      <c r="A38" s="36">
        <v>42692.338217592594</v>
      </c>
      <c r="B38" s="31" t="s">
        <v>437</v>
      </c>
      <c r="C38" s="31" t="s">
        <v>441</v>
      </c>
      <c r="D38" s="31" t="s">
        <v>49</v>
      </c>
      <c r="E38" s="31" t="s">
        <v>207</v>
      </c>
      <c r="F38" s="47">
        <v>0</v>
      </c>
      <c r="G38" s="47">
        <v>38</v>
      </c>
      <c r="H38" s="47">
        <v>58918</v>
      </c>
      <c r="I38" s="47">
        <v>58961</v>
      </c>
      <c r="J38" s="31" t="s">
        <v>208</v>
      </c>
      <c r="K38" s="47">
        <v>59048</v>
      </c>
      <c r="L38" s="154" t="s">
        <v>50</v>
      </c>
      <c r="M38" s="155">
        <f t="shared" si="0"/>
        <v>45.936</v>
      </c>
      <c r="N38" s="156" t="str">
        <f>VLOOKUP(C38,'Trips&amp;Operators'!$C$1:$E$99999,3,FALSE)</f>
        <v>STRICKLAND</v>
      </c>
      <c r="O38" s="183" t="s">
        <v>202</v>
      </c>
      <c r="P38" s="157"/>
      <c r="Q38" s="31"/>
      <c r="R38" s="100" t="str">
        <f>VLOOKUP(C38,'Train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38" s="103" t="str">
        <f>VLOOKUP(C38,'Train Runs'!$A$13:$AE$9994,22,0)</f>
        <v>https://search-rtdc-monitor-bjffxe2xuh6vdkpspy63sjmuny.us-east-1.es.amazonaws.com/_plugin/kibana/#/discover/Steve-Slow-Train-Analysis-(2080s-and-2083s)?_g=(refreshInterval:(display:Off,section:0,value:0),time:(from:'2016-11-18 06:29:33-700',mode:absolute,to:'2016-11-18 09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5" t="str">
        <f t="shared" si="1"/>
        <v>"C:\Program Files (x86)\AstroGrep\AstroGrep.exe" /spath="%USERPROFILE%\AppData\Local\Temp\OnboardLogs" /stypes="*4007*201611181*" /stext=" 15:.+((SYSTEM_STATE.+slice.+state.+changed )|(ment ac)|(system.+state.+changed )|(\[timeout)|(PRM\|1\|D)|(kpr)|(kdp)|(\|lc)|(penalty))" /e /r /s</v>
      </c>
      <c r="U38" s="9" t="str">
        <f t="shared" si="2"/>
        <v>4007</v>
      </c>
      <c r="V38" s="36">
        <f t="shared" si="3"/>
        <v>42692.629884259259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ID","value":"809-18"},{"id":16,"name":"Locomotive ID","value":"4007"},{"id":130,"name":"Impact","value":""},{"id":150,"name":"Time of Event (Mountain Time)","value":"08:07:02"},{"id":151,"name":"Denver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"%USERPROFILE%\AppData\Local\Temp\OnboardLogs"\RTDC4007\*4007*201611181*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"%USERPROFILE%\AppData\Local\Temp\OnboardLogs"\RTDC4007\*4007*201611181* &gt;&gt; 42692-slicedisagreementcheck.txt</v>
      </c>
    </row>
    <row r="39" spans="1:30" x14ac:dyDescent="0.25">
      <c r="A39" s="36">
        <v>42692.402662037035</v>
      </c>
      <c r="B39" s="31" t="s">
        <v>368</v>
      </c>
      <c r="C39" s="31" t="s">
        <v>444</v>
      </c>
      <c r="D39" s="31" t="s">
        <v>49</v>
      </c>
      <c r="E39" s="31" t="s">
        <v>207</v>
      </c>
      <c r="F39" s="47">
        <v>0</v>
      </c>
      <c r="G39" s="47">
        <v>172</v>
      </c>
      <c r="H39" s="47">
        <v>58008</v>
      </c>
      <c r="I39" s="47">
        <v>58225</v>
      </c>
      <c r="J39" s="31" t="s">
        <v>208</v>
      </c>
      <c r="K39" s="47">
        <v>59048</v>
      </c>
      <c r="L39" s="154" t="s">
        <v>50</v>
      </c>
      <c r="M39" s="155">
        <f t="shared" si="0"/>
        <v>434.54399999999998</v>
      </c>
      <c r="N39" s="156" t="str">
        <f>VLOOKUP(C39,'Trips&amp;Operators'!$C$1:$E$99999,3,FALSE)</f>
        <v>MAGEE</v>
      </c>
      <c r="O39" s="183" t="s">
        <v>202</v>
      </c>
      <c r="P39" s="157"/>
      <c r="Q39" s="31"/>
      <c r="R39" s="100" t="str">
        <f>VLOOKUP(C39,'Train Runs'!$A$13:$AE$9994,31,0)</f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S39" s="103" t="str">
        <f>VLOOKUP(C39,'Train Runs'!$A$13:$AE$9994,22,0)</f>
        <v>https://search-rtdc-monitor-bjffxe2xuh6vdkpspy63sjmuny.us-east-1.es.amazonaws.com/_plugin/kibana/#/discover/Steve-Slow-Train-Analysis-(2080s-and-2083s)?_g=(refreshInterval:(display:Off,section:0,value:0),time:(from:'2016-11-18 07:58:47-700',mode:absolute,to:'2016-11-18 10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9" s="105" t="str">
        <f t="shared" si="1"/>
        <v>"C:\Program Files (x86)\AstroGrep\AstroGrep.exe" /spath="%USERPROFILE%\AppData\Local\Temp\OnboardLogs" /stypes="*4031*201611181*" /stext=" 16:.+((SYSTEM_STATE.+slice.+state.+changed )|(ment ac)|(system.+state.+changed )|(\[timeout)|(PRM\|1\|D)|(kpr)|(kdp)|(\|lc)|(penalty))" /e /r /s</v>
      </c>
      <c r="U39" s="9" t="str">
        <f t="shared" si="2"/>
        <v>4031</v>
      </c>
      <c r="V39" s="36">
        <f t="shared" si="3"/>
        <v>42692.694328703699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ID","value":"813-18"},{"id":16,"name":"Locomotive ID","value":"4031"},{"id":130,"name":"Impact","value":""},{"id":150,"name":"Time of Event (Mountain Time)","value":"09:39:50"},{"id":151,"name":"Denver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"%USERPROFILE%\AppData\Local\Temp\OnboardLogs"\RTDC4031\*4031*201611181*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"%USERPROFILE%\AppData\Local\Temp\OnboardLogs"\RTDC4031\*4031*201611181* &gt;&gt; 42692-slicedisagreementcheck.txt</v>
      </c>
    </row>
    <row r="40" spans="1:30" x14ac:dyDescent="0.25">
      <c r="A40" s="36">
        <v>42692.525763888887</v>
      </c>
      <c r="B40" s="31" t="s">
        <v>368</v>
      </c>
      <c r="C40" s="31" t="s">
        <v>454</v>
      </c>
      <c r="D40" s="31" t="s">
        <v>49</v>
      </c>
      <c r="E40" s="31" t="s">
        <v>207</v>
      </c>
      <c r="F40" s="47">
        <v>0</v>
      </c>
      <c r="G40" s="47">
        <v>45</v>
      </c>
      <c r="H40" s="47">
        <v>58931</v>
      </c>
      <c r="I40" s="47">
        <v>58975</v>
      </c>
      <c r="J40" s="31" t="s">
        <v>208</v>
      </c>
      <c r="K40" s="47">
        <v>59048</v>
      </c>
      <c r="L40" s="154" t="s">
        <v>50</v>
      </c>
      <c r="M40" s="155">
        <f t="shared" si="0"/>
        <v>38.543999999999997</v>
      </c>
      <c r="N40" s="156" t="str">
        <f>VLOOKUP(C40,'Trips&amp;Operators'!$C$1:$E$99999,3,FALSE)</f>
        <v>NICHOLSON</v>
      </c>
      <c r="O40" s="183" t="s">
        <v>202</v>
      </c>
      <c r="P40" s="157"/>
      <c r="Q40" s="31"/>
      <c r="R40" s="100" t="str">
        <f>VLOOKUP(C40,'Train Runs'!$A$13:$AE$9994,31,0)</f>
        <v>aws s3 cp s3://rtdc.mdm.uploadarchive.raw/RTDC4031/ "%USERPROFILE%\AppData\Local\Temp\OnboardLogs"\RTDC4031\2016-11-18 --exclude "*" --recursive --include "*20161118*" &amp; "%USERPROFILE%\Documents\GitHub\mrs-test-scripts\Headless Mode &amp; Sideloading\WalkAndUnGZ.bat" "%USERPROFILE%\AppData\Local\Temp\OnboardLogs"\RTDC4031\2016-11-18 &amp; aws s3 cp s3://rtdc.mdm.uploadarchive.raw/RTDC4031/ "%USERPROFILE%\AppData\Local\Temp\OnboardLogs"\RTDC4031\2016-11-19 --exclude "*" --recursive --include "*20161119*" &amp; "%USERPROFILE%\Documents\GitHub\mrs-test-scripts\Headless Mode &amp; Sideloading\WalkAndUnGZ.bat" "%USERPROFILE%\AppData\Local\Temp\OnboardLogs"\RTDC4031\2016-11-19</v>
      </c>
      <c r="S40" s="103" t="str">
        <f>VLOOKUP(C40,'Train Runs'!$A$13:$AE$9994,22,0)</f>
        <v>https://search-rtdc-monitor-bjffxe2xuh6vdkpspy63sjmuny.us-east-1.es.amazonaws.com/_plugin/kibana/#/discover/Steve-Slow-Train-Analysis-(2080s-and-2083s)?_g=(refreshInterval:(display:Off,section:0,value:0),time:(from:'2016-11-18 11:06:55-700',mode:absolute,to:'2016-11-18 13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40" s="105" t="str">
        <f t="shared" si="1"/>
        <v>"C:\Program Files (x86)\AstroGrep\AstroGrep.exe" /spath="%USERPROFILE%\AppData\Local\Temp\OnboardLogs" /stypes="*4031*201611181*" /stext=" 19:.+((SYSTEM_STATE.+slice.+state.+changed )|(ment ac)|(system.+state.+changed )|(\[timeout)|(PRM\|1\|D)|(kpr)|(kdp)|(\|lc)|(penalty))" /e /r /s</v>
      </c>
      <c r="U40" s="9" t="str">
        <f t="shared" si="2"/>
        <v>4031</v>
      </c>
      <c r="V40" s="36">
        <f t="shared" si="3"/>
        <v>42692.817430555551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ID","value":"819-18"},{"id":16,"name":"Locomotive ID","value":"4031"},{"id":130,"name":"Impact","value":""},{"id":150,"name":"Time of Event (Mountain Time)","value":"12:37:06"},{"id":151,"name":"Denver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"%USERPROFILE%\AppData\Local\Temp\OnboardLogs"\RTDC4031\*4031*201611181*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"%USERPROFILE%\AppData\Local\Temp\OnboardLogs"\RTDC4031\*4031*201611181* &gt;&gt; 42692-slicedisagreementcheck.txt</v>
      </c>
    </row>
    <row r="41" spans="1:30" x14ac:dyDescent="0.25">
      <c r="A41" s="36">
        <v>42692.794999999998</v>
      </c>
      <c r="B41" s="31" t="s">
        <v>437</v>
      </c>
      <c r="C41" s="31" t="s">
        <v>466</v>
      </c>
      <c r="D41" s="31" t="s">
        <v>49</v>
      </c>
      <c r="E41" s="31" t="s">
        <v>207</v>
      </c>
      <c r="F41" s="47">
        <v>0</v>
      </c>
      <c r="G41" s="47">
        <v>39</v>
      </c>
      <c r="H41" s="47">
        <v>58944</v>
      </c>
      <c r="I41" s="47">
        <v>58965</v>
      </c>
      <c r="J41" s="31" t="s">
        <v>208</v>
      </c>
      <c r="K41" s="47">
        <v>59048</v>
      </c>
      <c r="L41" s="154" t="s">
        <v>50</v>
      </c>
      <c r="M41" s="155">
        <f t="shared" si="0"/>
        <v>43.823999999999998</v>
      </c>
      <c r="N41" s="156" t="str">
        <f>VLOOKUP(C41,'Trips&amp;Operators'!$C$1:$E$99999,3,FALSE)</f>
        <v>LALONDE</v>
      </c>
      <c r="O41" s="183" t="s">
        <v>202</v>
      </c>
      <c r="P41" s="157"/>
      <c r="Q41" s="31"/>
      <c r="R41" s="100" t="str">
        <f>VLOOKUP(C41,'Train Runs'!$A$13:$AE$9994,31,0)</f>
        <v>aws s3 cp s3://rtdc.mdm.uploadarchive.raw/RTDC4007/ "%USERPROFILE%\AppData\Local\Temp\OnboardLogs"\RTDC4007\2016-11-18 --exclude "*" --recursive --include "*20161118*" &amp; "%USERPROFILE%\Documents\GitHub\mrs-test-scripts\Headless Mode &amp; Sideloading\WalkAndUnGZ.bat" "%USERPROFILE%\AppData\Local\Temp\OnboardLogs"\RTDC4007\2016-11-18 &amp; aws s3 cp s3://rtdc.mdm.uploadarchive.raw/RTDC4007/ "%USERPROFILE%\AppData\Local\Temp\OnboardLogs"\RTDC4007\2016-11-19 --exclude "*" --recursive --include "*20161119*" &amp; "%USERPROFILE%\Documents\GitHub\mrs-test-scripts\Headless Mode &amp; Sideloading\WalkAndUnGZ.bat" "%USERPROFILE%\AppData\Local\Temp\OnboardLogs"\RTDC4007\2016-11-19</v>
      </c>
      <c r="S41" s="103" t="str">
        <f>VLOOKUP(C41,'Train Runs'!$A$13:$AE$9994,22,0)</f>
        <v>https://search-rtdc-monitor-bjffxe2xuh6vdkpspy63sjmuny.us-east-1.es.amazonaws.com/_plugin/kibana/#/discover/Steve-Slow-Train-Analysis-(2080s-and-2083s)?_g=(refreshInterval:(display:Off,section:0,value:0),time:(from:'2016-11-18 17:30:11-700',mode:absolute,to:'2016-11-18 20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1" s="105" t="str">
        <f t="shared" si="1"/>
        <v>"C:\Program Files (x86)\AstroGrep\AstroGrep.exe" /spath="%USERPROFILE%\AppData\Local\Temp\OnboardLogs" /stypes="*4007*201611190*" /stext=" 02:.+((SYSTEM_STATE.+slice.+state.+changed )|(ment ac)|(system.+state.+changed )|(\[timeout)|(PRM\|1\|D)|(kpr)|(kdp)|(\|lc)|(penalty))" /e /r /s</v>
      </c>
      <c r="U41" s="9" t="str">
        <f t="shared" si="2"/>
        <v>4007</v>
      </c>
      <c r="V41" s="36">
        <f t="shared" si="3"/>
        <v>42693.086666666662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{"issue":{"subject":"","project_id":79,"tracker_id":40,"status_id":1,"priority_id":2,"assigned_to_id":23,"start_date":"2016-11-18","description":"","custom_fields":[{"id":1,"name":"Subdivision","value":"NW"},{"id":4,"name":"Milepost","value":"5.9048"},{"id":17,"name":"Train ID","value":"839-18"},{"id":16,"name":"Locomotive ID","value":"4007"},{"id":130,"name":"Impact","value":""},{"id":150,"name":"Time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"%USERPROFILE%\AppData\Local\Temp\OnboardLogs"\RTDC4007\*4007*201611190*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"%USERPROFILE%\AppData\Local\Temp\OnboardLogs"\RTDC4007\*4007*201611190* &gt;&gt; 42692-slicedisagreementcheck.txt</v>
      </c>
    </row>
    <row r="42" spans="1:30" x14ac:dyDescent="0.25">
      <c r="A42" s="36">
        <v>42692.783553240741</v>
      </c>
      <c r="B42" s="31" t="s">
        <v>216</v>
      </c>
      <c r="C42" s="31" t="s">
        <v>465</v>
      </c>
      <c r="D42" s="31" t="s">
        <v>49</v>
      </c>
      <c r="E42" s="31" t="s">
        <v>154</v>
      </c>
      <c r="F42" s="47">
        <v>90</v>
      </c>
      <c r="G42" s="47">
        <v>145</v>
      </c>
      <c r="H42" s="47">
        <v>10340</v>
      </c>
      <c r="I42" s="47">
        <v>10572</v>
      </c>
      <c r="J42" s="31" t="s">
        <v>153</v>
      </c>
      <c r="K42" s="47">
        <v>10716</v>
      </c>
      <c r="L42" s="154" t="s">
        <v>50</v>
      </c>
      <c r="M42" s="155">
        <f t="shared" si="0"/>
        <v>76.031999999999996</v>
      </c>
      <c r="N42" s="156" t="str">
        <f>VLOOKUP(C42,'Trips&amp;Operators'!$C$1:$E$99999,3,FALSE)</f>
        <v>JOHNSON</v>
      </c>
      <c r="O42" s="183" t="s">
        <v>202</v>
      </c>
      <c r="P42" s="157"/>
      <c r="Q42" s="31"/>
      <c r="R42" s="100" t="str">
        <f>VLOOKUP(C42,'Train Runs'!$A$13:$AE$9994,31,0)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S42" s="103" t="str">
        <f>VLOOKUP(C42,'Train Runs'!$A$13:$AE$9994,22,0)</f>
        <v>https://search-rtdc-monitor-bjffxe2xuh6vdkpspy63sjmuny.us-east-1.es.amazonaws.com/_plugin/kibana/#/discover/Steve-Slow-Train-Analysis-(2080s-and-2083s)?_g=(refreshInterval:(display:Off,section:0,value:0),time:(from:'2016-11-18 17:41:11-700',mode:absolute,to:'1969-12-31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2" s="105" t="str">
        <f t="shared" si="1"/>
        <v>"C:\Program Files (x86)\AstroGrep\AstroGrep.exe" /spath="%USERPROFILE%\AppData\Local\Temp\OnboardLogs" /stypes="*4011*201611190*" /stext=" 01:.+((SYSTEM_STATE.+slice.+state.+changed )|(ment ac)|(system.+state.+changed )|(\[timeout)|(PRM\|1\|D)|(kpr)|(kdp)|(\|lc)|(penalty))" /e /r /s</v>
      </c>
      <c r="U42" s="9" t="str">
        <f t="shared" si="2"/>
        <v>4011</v>
      </c>
      <c r="V42" s="36">
        <f t="shared" si="3"/>
        <v>42693.075219907405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{"issue":{"subject":"","project_id":79,"tracker_id":40,"status_id":1,"priority_id":2,"assigned_to_id":23,"start_date":"2016-11-18","description":"","custom_fields":[{"id":1,"name":"Subdivision","value":"Other"},{"id":4,"name":"Milepost","value":"1.0716"},{"id":17,"name":"Train ID","value":"303-18"},{"id":16,"name":"Locomotive ID","value":"4011"},{"id":130,"name":"Impact","value":""},{"id":150,"name":"Time of Event (Mountain Time)","value":"18:48:19"},{"id":151,"name":"Denver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"%USERPROFILE%\AppData\Local\Temp\OnboardLogs"\RTDC4011\*4011*201611190*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"%USERPROFILE%\AppData\Local\Temp\OnboardLogs"\RTDC4011\*4011*201611190* &gt;&gt; 42692-slicedisagreementcheck.txt</v>
      </c>
    </row>
    <row r="43" spans="1:30" x14ac:dyDescent="0.25">
      <c r="A43" s="36">
        <v>42692.483067129629</v>
      </c>
      <c r="B43" s="31" t="s">
        <v>223</v>
      </c>
      <c r="C43" s="31" t="s">
        <v>453</v>
      </c>
      <c r="D43" s="31" t="s">
        <v>98</v>
      </c>
      <c r="E43" s="31" t="s">
        <v>205</v>
      </c>
      <c r="F43" s="47">
        <v>200</v>
      </c>
      <c r="G43" s="47">
        <v>383</v>
      </c>
      <c r="H43" s="47">
        <v>20454</v>
      </c>
      <c r="I43" s="47">
        <v>19481</v>
      </c>
      <c r="J43" s="31" t="s">
        <v>206</v>
      </c>
      <c r="K43" s="47">
        <v>24235</v>
      </c>
      <c r="L43" s="154" t="s">
        <v>51</v>
      </c>
      <c r="M43" s="155">
        <f t="shared" si="0"/>
        <v>-2510.1120000000001</v>
      </c>
      <c r="N43" s="156" t="str">
        <f>VLOOKUP(C43,'Trips&amp;Operators'!$C$1:$E$99999,3,FALSE)</f>
        <v>HILLS</v>
      </c>
      <c r="O43" s="183" t="s">
        <v>202</v>
      </c>
      <c r="P43" s="157"/>
      <c r="Q43" s="31"/>
      <c r="R43" s="100" t="str">
        <f>VLOOKUP(C43,'Train Runs'!$A$13:$AE$9994,31,0)</f>
        <v>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 &amp; 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</v>
      </c>
      <c r="S43" s="103" t="str">
        <f>VLOOKUP(C43,'Train Runs'!$A$13:$AE$9994,22,0)</f>
        <v>https://search-rtdc-monitor-bjffxe2xuh6vdkpspy63sjmuny.us-east-1.es.amazonaws.com/_plugin/kibana/#/discover/Steve-Slow-Train-Analysis-(2080s-and-2083s)?_g=(refreshInterval:(display:Off,section:0,value:0),time:(from:'2016-11-18 10:33:19-700',mode:absolute,to:'2016-11-18 12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3" s="105" t="str">
        <f t="shared" si="1"/>
        <v>"C:\Program Files (x86)\AstroGrep\AstroGrep.exe" /spath="%USERPROFILE%\AppData\Local\Temp\OnboardLogs" /stypes="*4039*201611181*" /stext=" 18:.+((SYSTEM_STATE.+slice.+state.+changed )|(ment ac)|(system.+state.+changed )|(\[timeout)|(PRM\|1\|D)|(kpr)|(kdp)|(\|lc)|(penalty))" /e /r /s</v>
      </c>
      <c r="U43" s="9" t="str">
        <f t="shared" si="2"/>
        <v>4039</v>
      </c>
      <c r="V43" s="36">
        <f t="shared" si="3"/>
        <v>42692.774733796294</v>
      </c>
      <c r="W43" s="50" t="str">
        <f t="shared" si="4"/>
        <v>Other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{"issue":{"subject":"","project_id":79,"tracker_id":40,"status_id":1,"priority_id":2,"assigned_to_id":23,"start_date":"2016-11-18","description":"","custom_fields":[{"id":1,"name":"Subdivision","value":"Other"},{"id":4,"name":"Milepost","value":"2.4235"},{"id":17,"name":"Train ID","value":"52-18"},{"id":16,"name":"Locomotive ID","value":"4039"},{"id":130,"name":"Impact","value":""},{"id":150,"name":"Time of Event (Mountain Time)","value":"11:35:37"},{"id":151,"name":"Denver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"%USERPROFILE%\AppData\Local\Temp\OnboardLogs"\RTDC4039\*4039*201611181*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"%USERPROFILE%\AppData\Local\Temp\OnboardLogs"\RTDC4039\*4039*201611181* &gt;&gt; 42692-slicedisagreementcheck.txt</v>
      </c>
    </row>
    <row r="44" spans="1:30" x14ac:dyDescent="0.25">
      <c r="A44" s="36">
        <v>42692.753263888888</v>
      </c>
      <c r="B44" s="31" t="s">
        <v>277</v>
      </c>
      <c r="C44" s="31" t="s">
        <v>463</v>
      </c>
      <c r="D44" s="31" t="s">
        <v>49</v>
      </c>
      <c r="E44" s="31" t="s">
        <v>207</v>
      </c>
      <c r="F44" s="47">
        <v>0</v>
      </c>
      <c r="G44" s="47">
        <v>33</v>
      </c>
      <c r="H44" s="47">
        <v>73</v>
      </c>
      <c r="I44" s="47">
        <v>55</v>
      </c>
      <c r="J44" s="31" t="s">
        <v>208</v>
      </c>
      <c r="K44" s="47">
        <v>1</v>
      </c>
      <c r="L44" s="154" t="s">
        <v>51</v>
      </c>
      <c r="M44" s="155">
        <f t="shared" si="0"/>
        <v>28.512</v>
      </c>
      <c r="N44" s="156" t="str">
        <f>VLOOKUP(C44,'Trips&amp;Operators'!$C$1:$E$99999,3,FALSE)</f>
        <v>STAMBAUGH</v>
      </c>
      <c r="O44" s="183" t="s">
        <v>202</v>
      </c>
      <c r="P44" s="157"/>
      <c r="Q44" s="31"/>
      <c r="R44" s="100" t="str">
        <f>VLOOKUP(C44,'Train Runs'!$A$13:$AE$9994,31,0)</f>
        <v>aws s3 cp s3://rtdc.mdm.uploadarchive.raw/RTDC4013/ "%USERPROFILE%\AppData\Local\Temp\OnboardLogs"\RTDC4013\2016-11-18 --exclude "*" --recursive --include "*20161118*" &amp; "%USERPROFILE%\Documents\GitHub\mrs-test-scripts\Headless Mode &amp; Sideloading\WalkAndUnGZ.bat" "%USERPROFILE%\AppData\Local\Temp\OnboardLogs"\RTDC4013\2016-11-18 &amp; aws s3 cp s3://rtdc.mdm.uploadarchive.raw/RTDC4013/ "%USERPROFILE%\AppData\Local\Temp\OnboardLogs"\RTDC4013\2016-11-19 --exclude "*" --recursive --include "*20161119*" &amp; "%USERPROFILE%\Documents\GitHub\mrs-test-scripts\Headless Mode &amp; Sideloading\WalkAndUnGZ.bat" "%USERPROFILE%\AppData\Local\Temp\OnboardLogs"\RTDC4013\2016-11-19</v>
      </c>
      <c r="S44" s="103" t="str">
        <f>VLOOKUP(C44,'Train Runs'!$A$13:$AE$9994,22,0)</f>
        <v>https://search-rtdc-monitor-bjffxe2xuh6vdkpspy63sjmuny.us-east-1.es.amazonaws.com/_plugin/kibana/#/discover/Steve-Slow-Train-Analysis-(2080s-and-2083s)?_g=(refreshInterval:(display:Off,section:0,value:0),time:(from:'2016-11-18 16:55:16-700',mode:absolute,to:'2016-11-18 19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4" s="105" t="str">
        <f t="shared" si="1"/>
        <v>"C:\Program Files (x86)\AstroGrep\AstroGrep.exe" /spath="%USERPROFILE%\AppData\Local\Temp\OnboardLogs" /stypes="*4013*201611190*" /stext=" 01:.+((SYSTEM_STATE.+slice.+state.+changed )|(ment ac)|(system.+state.+changed )|(\[timeout)|(PRM\|1\|D)|(kpr)|(kdp)|(\|lc)|(penalty))" /e /r /s</v>
      </c>
      <c r="U44" s="9" t="str">
        <f t="shared" si="2"/>
        <v>4013</v>
      </c>
      <c r="V44" s="36">
        <f t="shared" si="3"/>
        <v>42693.044930555552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{"issue":{"subject":"","project_id":79,"tracker_id":40,"status_id":1,"priority_id":2,"assigned_to_id":23,"start_date":"2016-11-18","description":"","custom_fields":[{"id":1,"name":"Subdivision","value":"Other"},{"id":4,"name":"Milepost","value":"0.0001"},{"id":17,"name":"Train ID","value":"66-18"},{"id":16,"name":"Locomotive ID","value":"4013"},{"id":130,"name":"Impact","value":""},{"id":150,"name":"Time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"%USERPROFILE%\AppData\Local\Temp\OnboardLogs"\RTDC4013\*4013*201611190*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"%USERPROFILE%\AppData\Local\Temp\OnboardLogs"\RTDC4013\*4013*201611190* &gt;&gt; 42692-slicedisagreementcheck.txt</v>
      </c>
    </row>
    <row r="45" spans="1:30" x14ac:dyDescent="0.25">
      <c r="A45" s="36">
        <v>42692.487893518519</v>
      </c>
      <c r="B45" s="31" t="s">
        <v>223</v>
      </c>
      <c r="C45" s="31" t="s">
        <v>453</v>
      </c>
      <c r="D45" s="31" t="s">
        <v>49</v>
      </c>
      <c r="E45" s="31" t="s">
        <v>207</v>
      </c>
      <c r="F45" s="47">
        <v>0</v>
      </c>
      <c r="G45" s="47">
        <v>96</v>
      </c>
      <c r="H45" s="47">
        <v>1220</v>
      </c>
      <c r="I45" s="47">
        <v>1127</v>
      </c>
      <c r="J45" s="31" t="s">
        <v>208</v>
      </c>
      <c r="K45" s="47">
        <v>826</v>
      </c>
      <c r="L45" s="154" t="s">
        <v>51</v>
      </c>
      <c r="M45" s="155">
        <f t="shared" si="0"/>
        <v>158.928</v>
      </c>
      <c r="N45" s="156" t="str">
        <f>VLOOKUP(C45,'Trips&amp;Operators'!$C$1:$E$99999,3,FALSE)</f>
        <v>HILLS</v>
      </c>
      <c r="O45" s="183" t="s">
        <v>202</v>
      </c>
      <c r="P45" s="157"/>
      <c r="Q45" s="31"/>
      <c r="R45" s="100" t="str">
        <f>VLOOKUP(C45,'Train Runs'!$A$13:$AE$9994,31,0)</f>
        <v>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 &amp; 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</v>
      </c>
      <c r="S45" s="103" t="str">
        <f>VLOOKUP(C45,'Train Runs'!$A$13:$AE$9994,22,0)</f>
        <v>https://search-rtdc-monitor-bjffxe2xuh6vdkpspy63sjmuny.us-east-1.es.amazonaws.com/_plugin/kibana/#/discover/Steve-Slow-Train-Analysis-(2080s-and-2083s)?_g=(refreshInterval:(display:Off,section:0,value:0),time:(from:'2016-11-18 10:33:19-700',mode:absolute,to:'2016-11-18 12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5" s="105" t="str">
        <f t="shared" si="1"/>
        <v>"C:\Program Files (x86)\AstroGrep\AstroGrep.exe" /spath="%USERPROFILE%\AppData\Local\Temp\OnboardLogs" /stypes="*4039*201611181*" /stext=" 18:.+((SYSTEM_STATE.+slice.+state.+changed )|(ment ac)|(system.+state.+changed )|(\[timeout)|(PRM\|1\|D)|(kpr)|(kdp)|(\|lc)|(penalty))" /e /r /s</v>
      </c>
      <c r="U45" s="9" t="str">
        <f t="shared" si="2"/>
        <v>4039</v>
      </c>
      <c r="V45" s="36">
        <f t="shared" si="3"/>
        <v>42692.779560185183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{"issue":{"subject":"","project_id":79,"tracker_id":40,"status_id":1,"priority_id":2,"assigned_to_id":23,"start_date":"2016-11-18","description":"","custom_fields":[{"id":1,"name":"Subdivision","value":"Other"},{"id":4,"name":"Milepost","value":"0.0826"},{"id":17,"name":"Train ID","value":"52-18"},{"id":16,"name":"Locomotive ID","value":"4039"},{"id":130,"name":"Impact","value":""},{"id":150,"name":"Time of Event (Mountain Time)","value":"11:42:34"},{"id":151,"name":"Denver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"%USERPROFILE%\AppData\Local\Temp\OnboardLogs"\RTDC4039\*4039*201611181*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"%USERPROFILE%\AppData\Local\Temp\OnboardLogs"\RTDC4039\*4039*201611181* &gt;&gt; 42692-slicedisagreementcheck.txt</v>
      </c>
    </row>
    <row r="46" spans="1:30" x14ac:dyDescent="0.25">
      <c r="A46" s="36">
        <v>42692.488344907404</v>
      </c>
      <c r="B46" s="31" t="s">
        <v>223</v>
      </c>
      <c r="C46" s="31" t="s">
        <v>453</v>
      </c>
      <c r="D46" s="31" t="s">
        <v>49</v>
      </c>
      <c r="E46" s="31" t="s">
        <v>207</v>
      </c>
      <c r="F46" s="47">
        <v>0</v>
      </c>
      <c r="G46" s="47">
        <v>41</v>
      </c>
      <c r="H46" s="47">
        <v>1103</v>
      </c>
      <c r="I46" s="47">
        <v>1041</v>
      </c>
      <c r="J46" s="31" t="s">
        <v>208</v>
      </c>
      <c r="K46" s="47">
        <v>826</v>
      </c>
      <c r="L46" s="154" t="s">
        <v>51</v>
      </c>
      <c r="M46" s="155">
        <f t="shared" si="0"/>
        <v>113.52</v>
      </c>
      <c r="N46" s="156" t="str">
        <f>VLOOKUP(C46,'Trips&amp;Operators'!$C$1:$E$99999,3,FALSE)</f>
        <v>HILLS</v>
      </c>
      <c r="O46" s="183" t="s">
        <v>202</v>
      </c>
      <c r="P46" s="157"/>
      <c r="Q46" s="31"/>
      <c r="R46" s="100" t="str">
        <f>VLOOKUP(C46,'Train Runs'!$A$13:$AE$9994,31,0)</f>
        <v>aws s3 cp s3://rtdc.mdm.uploadarchive.raw/RTDC4039/ "%USERPROFILE%\AppData\Local\Temp\OnboardLogs"\RTDC4039\2016-11-18 --exclude "*" --recursive --include "*20161118*" &amp; "%USERPROFILE%\Documents\GitHub\mrs-test-scripts\Headless Mode &amp; Sideloading\WalkAndUnGZ.bat" "%USERPROFILE%\AppData\Local\Temp\OnboardLogs"\RTDC4039\2016-11-18 &amp; aws s3 cp s3://rtdc.mdm.uploadarchive.raw/RTDC4039/ "%USERPROFILE%\AppData\Local\Temp\OnboardLogs"\RTDC4039\2016-11-19 --exclude "*" --recursive --include "*20161119*" &amp; "%USERPROFILE%\Documents\GitHub\mrs-test-scripts\Headless Mode &amp; Sideloading\WalkAndUnGZ.bat" "%USERPROFILE%\AppData\Local\Temp\OnboardLogs"\RTDC4039\2016-11-19</v>
      </c>
      <c r="S46" s="103" t="str">
        <f>VLOOKUP(C46,'Train Runs'!$A$13:$AE$9994,22,0)</f>
        <v>https://search-rtdc-monitor-bjffxe2xuh6vdkpspy63sjmuny.us-east-1.es.amazonaws.com/_plugin/kibana/#/discover/Steve-Slow-Train-Analysis-(2080s-and-2083s)?_g=(refreshInterval:(display:Off,section:0,value:0),time:(from:'2016-11-18 10:33:19-700',mode:absolute,to:'2016-11-18 12:42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1"/>
        <v>"C:\Program Files (x86)\AstroGrep\AstroGrep.exe" /spath="%USERPROFILE%\AppData\Local\Temp\OnboardLogs" /stypes="*4039*201611181*" /stext=" 18:.+((SYSTEM_STATE.+slice.+state.+changed )|(ment ac)|(system.+state.+changed )|(\[timeout)|(PRM\|1\|D)|(kpr)|(kdp)|(\|lc)|(penalty))" /e /r /s</v>
      </c>
      <c r="U46" s="9" t="str">
        <f t="shared" si="2"/>
        <v>4039</v>
      </c>
      <c r="V46" s="36">
        <f t="shared" si="3"/>
        <v>42692.780011574068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{"issue":{"subject":"","project_id":79,"tracker_id":40,"status_id":1,"priority_id":2,"assigned_to_id":23,"start_date":"2016-11-18","description":"","custom_fields":[{"id":1,"name":"Subdivision","value":"Other"},{"id":4,"name":"Milepost","value":"0.0826"},{"id":17,"name":"Train ID","value":"52-18"},{"id":16,"name":"Locomotive ID","value":"4039"},{"id":130,"name":"Impact","value":""},{"id":150,"name":"Time of Event (Mountain Time)","value":"11:43:13"},{"id":151,"name":"Denver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"%USERPROFILE%\AppData\Local\Temp\OnboardLogs"\RTDC4039\*4039*201611181*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"%USERPROFILE%\AppData\Local\Temp\OnboardLogs"\RTDC4039\*4039*201611181* &gt;&gt; 42692-slicedisagreementcheck.txt</v>
      </c>
    </row>
    <row r="47" spans="1:30" x14ac:dyDescent="0.25">
      <c r="A47" s="36">
        <v>42692.774409722224</v>
      </c>
      <c r="B47" s="31" t="s">
        <v>232</v>
      </c>
      <c r="C47" s="31" t="s">
        <v>464</v>
      </c>
      <c r="D47" s="31" t="s">
        <v>49</v>
      </c>
      <c r="E47" s="31" t="s">
        <v>207</v>
      </c>
      <c r="F47" s="47">
        <v>0</v>
      </c>
      <c r="G47" s="47">
        <v>123</v>
      </c>
      <c r="H47" s="47">
        <v>1474</v>
      </c>
      <c r="I47" s="47">
        <v>1344</v>
      </c>
      <c r="J47" s="31" t="s">
        <v>208</v>
      </c>
      <c r="K47" s="47">
        <v>826</v>
      </c>
      <c r="L47" s="154" t="s">
        <v>51</v>
      </c>
      <c r="M47" s="155">
        <f t="shared" si="0"/>
        <v>273.50400000000002</v>
      </c>
      <c r="N47" s="156" t="str">
        <f>VLOOKUP(C47,'Trips&amp;Operators'!$C$1:$E$99999,3,FALSE)</f>
        <v>WHITED</v>
      </c>
      <c r="O47" s="183" t="s">
        <v>202</v>
      </c>
      <c r="P47" s="157"/>
      <c r="Q47" s="31"/>
      <c r="R47" s="100" t="str">
        <f>VLOOKUP(C47,'Train Runs'!$A$13:$AE$9994,31,0)</f>
        <v>aws s3 cp s3://rtdc.mdm.uploadarchive.raw/RTDC4001/ "%USERPROFILE%\AppData\Local\Temp\OnboardLogs"\RTDC4001\2016-11-18 --exclude "*" --recursive --include "*20161118*" &amp; "%USERPROFILE%\Documents\GitHub\mrs-test-scripts\Headless Mode &amp; Sideloading\WalkAndUnGZ.bat" "%USERPROFILE%\AppData\Local\Temp\OnboardLogs"\RTDC4001\2016-11-18 &amp; aws s3 cp s3://rtdc.mdm.uploadarchive.raw/RTDC4001/ "%USERPROFILE%\AppData\Local\Temp\OnboardLogs"\RTDC4001\2016-11-19 --exclude "*" --recursive --include "*20161119*" &amp; "%USERPROFILE%\Documents\GitHub\mrs-test-scripts\Headless Mode &amp; Sideloading\WalkAndUnGZ.bat" "%USERPROFILE%\AppData\Local\Temp\OnboardLogs"\RTDC4001\2016-11-19</v>
      </c>
      <c r="S47" s="103" t="str">
        <f>VLOOKUP(C47,'Train Runs'!$A$13:$AE$9994,22,0)</f>
        <v>https://search-rtdc-monitor-bjffxe2xuh6vdkpspy63sjmuny.us-east-1.es.amazonaws.com/_plugin/kibana/#/discover/Steve-Slow-Train-Analysis-(2080s-and-2083s)?_g=(refreshInterval:(display:Off,section:0,value:0),time:(from:'2016-11-18 17:24:24-700',mode:absolute,to:'2016-11-18 19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7" s="105" t="str">
        <f t="shared" si="1"/>
        <v>"C:\Program Files (x86)\AstroGrep\AstroGrep.exe" /spath="%USERPROFILE%\AppData\Local\Temp\OnboardLogs" /stypes="*4001*201611190*" /stext=" 01:.+((SYSTEM_STATE.+slice.+state.+changed )|(ment ac)|(system.+state.+changed )|(\[timeout)|(PRM\|1\|D)|(kpr)|(kdp)|(\|lc)|(penalty))" /e /r /s</v>
      </c>
      <c r="U47" s="9" t="str">
        <f t="shared" si="2"/>
        <v>4001</v>
      </c>
      <c r="V47" s="36">
        <f t="shared" si="3"/>
        <v>42693.066076388888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{"issue":{"subject":"","project_id":79,"tracker_id":40,"status_id":1,"priority_id":2,"assigned_to_id":23,"start_date":"2016-11-18","description":"","custom_fields":[{"id":1,"name":"Subdivision","value":"Other"},{"id":4,"name":"Milepost","value":"0.0826"},{"id":17,"name":"Train ID","value":"68-18"},{"id":16,"name":"Locomotive ID","value":"4001"},{"id":130,"name":"Impact","value":""},{"id":150,"name":"Time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"%USERPROFILE%\AppData\Local\Temp\OnboardLogs"\RTDC4001\*4001*201611190*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"%USERPROFILE%\AppData\Local\Temp\OnboardLogs"\RTDC4001\*4001*201611190* &gt;&gt; 42692-slicedisagreementcheck.txt</v>
      </c>
    </row>
    <row r="48" spans="1:30" x14ac:dyDescent="0.25">
      <c r="A48" s="36">
        <v>42692.193124999998</v>
      </c>
      <c r="B48" s="31" t="s">
        <v>238</v>
      </c>
      <c r="C48" s="31" t="s">
        <v>431</v>
      </c>
      <c r="D48" s="31" t="s">
        <v>49</v>
      </c>
      <c r="E48" s="31" t="s">
        <v>207</v>
      </c>
      <c r="F48" s="47">
        <v>0</v>
      </c>
      <c r="G48" s="47">
        <v>17</v>
      </c>
      <c r="H48" s="47">
        <v>856</v>
      </c>
      <c r="I48" s="47">
        <v>841</v>
      </c>
      <c r="J48" s="31" t="s">
        <v>208</v>
      </c>
      <c r="K48" s="47">
        <v>839</v>
      </c>
      <c r="L48" s="154" t="s">
        <v>51</v>
      </c>
      <c r="M48" s="155">
        <f t="shared" si="0"/>
        <v>1.056</v>
      </c>
      <c r="N48" s="156" t="str">
        <f>VLOOKUP(C48,'Trips&amp;Operators'!$C$1:$E$99999,3,FALSE)</f>
        <v>CUSHING</v>
      </c>
      <c r="O48" s="183" t="s">
        <v>202</v>
      </c>
      <c r="P48" s="157"/>
      <c r="Q48" s="31"/>
      <c r="R48" s="100" t="str">
        <f>VLOOKUP(C48,'Train Runs'!$A$13:$AE$9994,31,0)</f>
        <v>aws s3 cp s3://rtdc.mdm.uploadarchive.raw/RTDC4043/ "%USERPROFILE%\AppData\Local\Temp\OnboardLogs"\RTDC4043\2016-11-18 --exclude "*" --recursive --include "*20161118*" &amp; "%USERPROFILE%\Documents\GitHub\mrs-test-scripts\Headless Mode &amp; Sideloading\WalkAndUnGZ.bat" "%USERPROFILE%\AppData\Local\Temp\OnboardLogs"\RTDC4043\2016-11-18 &amp; aws s3 cp s3://rtdc.mdm.uploadarchive.raw/RTDC4043/ "%USERPROFILE%\AppData\Local\Temp\OnboardLogs"\RTDC4043\2016-11-19 --exclude "*" --recursive --include "*20161119*" &amp; "%USERPROFILE%\Documents\GitHub\mrs-test-scripts\Headless Mode &amp; Sideloading\WalkAndUnGZ.bat" "%USERPROFILE%\AppData\Local\Temp\OnboardLogs"\RTDC4043\2016-11-19</v>
      </c>
      <c r="S48" s="103" t="str">
        <f>VLOOKUP(C48,'Train Runs'!$A$13:$AE$9994,22,0)</f>
        <v>https://search-rtdc-monitor-bjffxe2xuh6vdkpspy63sjmuny.us-east-1.es.amazonaws.com/_plugin/kibana/#/discover/Steve-Slow-Train-Analysis-(2080s-and-2083s)?_g=(refreshInterval:(display:Off,section:0,value:0),time:(from:'2016-11-18 03:12:23-700',mode:absolute,to:'2016-11-18 05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8" s="105" t="str">
        <f t="shared" si="1"/>
        <v>"C:\Program Files (x86)\AstroGrep\AstroGrep.exe" /spath="%USERPROFILE%\AppData\Local\Temp\OnboardLogs" /stypes="*4043*201611181*" /stext=" 11:.+((SYSTEM_STATE.+slice.+state.+changed )|(ment ac)|(system.+state.+changed )|(\[timeout)|(PRM\|1\|D)|(kpr)|(kdp)|(\|lc)|(penalty))" /e /r /s</v>
      </c>
      <c r="U48" s="9" t="str">
        <f t="shared" si="2"/>
        <v>4043</v>
      </c>
      <c r="V48" s="36">
        <f t="shared" si="3"/>
        <v>42692.484791666662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{"issue":{"subject":"","project_id":79,"tracker_id":40,"status_id":1,"priority_id":2,"assigned_to_id":23,"start_date":"2016-11-18","description":"","custom_fields":[{"id":1,"name":"Subdivision","value":"Other"},{"id":4,"name":"Milepost","value":"0.0839"},{"id":17,"name":"Train ID","value":"50-18"},{"id":16,"name":"Locomotive ID","value":"4043"},{"id":130,"name":"Impact","value":""},{"id":150,"name":"Time of Event (Mountain Time)","value":"04:38:06"},{"id":151,"name":"Denver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"%USERPROFILE%\AppData\Local\Temp\OnboardLogs"\RTDC4043\*4043*201611181*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"%USERPROFILE%\AppData\Local\Temp\OnboardLogs"\RTDC4043\*4043*201611181* &gt;&gt; 42692-slicedisagreementcheck.txt</v>
      </c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7">
    <sortState ref="A7:AC48">
      <sortCondition ref="V6:V47"/>
    </sortState>
  </autoFilter>
  <sortState ref="A7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68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>
      <selection activeCell="E4" sqref="E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2016-11-18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101</v>
      </c>
      <c r="B3" s="47" t="str">
        <f>A3&amp;"-"&amp;IF(DAY(Variables!$A$2)&lt;10,0,"")&amp;DAY(Variables!$A$2)</f>
        <v>101-18</v>
      </c>
      <c r="C3" s="158"/>
      <c r="D3" s="163"/>
      <c r="E3" s="31" t="s">
        <v>832</v>
      </c>
      <c r="F3" s="22" t="str">
        <f>VLOOKUP(B3,'Trips&amp;Operators'!$C$2:$E$10000,3,FALSE)</f>
        <v>MAELZER</v>
      </c>
      <c r="G3" s="22" t="str">
        <f>VLOOKUP(B3,'Trips&amp;Operators'!$C$1:$F$10000,4,FALSE)</f>
        <v>rtdc.l.rtdc.4009:itc</v>
      </c>
      <c r="H3" s="30">
        <f>VLOOKUP(B3,'Trips&amp;Operators'!$C$1:$H$10000,5,FALSE)</f>
        <v>42692.133564814816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-18%22)),sort:!(Time,asc))</v>
      </c>
      <c r="J3" s="31" t="e">
        <f>VLOOKUP(B3,'Train Runs'!$A$13:$A$99991,1,FALSE)</f>
        <v>#N/A</v>
      </c>
      <c r="K3" s="31" t="e">
        <f>IF(VLOOKUP(A3,$K$42:$K$65,1,FALSE),"Cancelled")</f>
        <v>#N/A</v>
      </c>
    </row>
    <row r="4" spans="1:11" x14ac:dyDescent="0.25">
      <c r="A4" s="171">
        <v>102</v>
      </c>
      <c r="B4" s="47" t="str">
        <f>A4&amp;"-"&amp;IF(DAY(Variables!$A$2)&lt;10,0,"")&amp;DAY(Variables!$A$2)</f>
        <v>102-18</v>
      </c>
      <c r="C4" s="158"/>
      <c r="D4" s="163"/>
      <c r="E4" s="31" t="s">
        <v>832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22102-18%22)),sort:!(Time,asc))</v>
      </c>
      <c r="J4" s="31" t="e">
        <f>VLOOKUP(B4,'Train Runs'!$A$13:$A$99991,1,FALSE)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-18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5" s="31" t="e">
        <f>VLOOKUP(B5,'Train Runs'!$A$13:$A$99991,1,FALSE)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-18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6" s="31" t="e">
        <f>VLOOKUP(B6,'Train Runs'!$A$13:$A$99991,1,FALSE)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-18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7" s="31" t="e">
        <f>VLOOKUP(B7,'Train Runs'!$A$13:$A$99991,1,FALSE)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42691.990266203706</v>
      </c>
      <c r="B2" s="21" t="s">
        <v>243</v>
      </c>
      <c r="C2" s="21" t="s">
        <v>372</v>
      </c>
      <c r="D2" s="21">
        <v>2230000</v>
      </c>
      <c r="E2" s="21" t="s">
        <v>376</v>
      </c>
      <c r="F2" s="21" t="str">
        <f t="shared" ref="F2:F65" si="0">B2</f>
        <v>rtdc.l.rtdc.4021:itc</v>
      </c>
      <c r="G2" s="8">
        <f t="shared" ref="G2:G65" si="1">A2</f>
        <v>42691.990266203706</v>
      </c>
    </row>
    <row r="3" spans="1:7" x14ac:dyDescent="0.25">
      <c r="A3" s="8">
        <v>42691.991284722222</v>
      </c>
      <c r="B3" s="21" t="s">
        <v>276</v>
      </c>
      <c r="C3" s="21" t="s">
        <v>378</v>
      </c>
      <c r="D3" s="21">
        <v>2370000</v>
      </c>
      <c r="E3" s="21" t="s">
        <v>377</v>
      </c>
      <c r="F3" s="21" t="str">
        <f t="shared" si="0"/>
        <v>rtdc.l.rtdc.4014:itc</v>
      </c>
      <c r="G3" s="8">
        <f t="shared" si="1"/>
        <v>42691.991284722222</v>
      </c>
    </row>
    <row r="4" spans="1:7" x14ac:dyDescent="0.25">
      <c r="A4" s="8">
        <v>42692.007222222222</v>
      </c>
      <c r="B4" s="21" t="s">
        <v>247</v>
      </c>
      <c r="C4" s="21" t="s">
        <v>379</v>
      </c>
      <c r="D4" s="21">
        <v>2440000</v>
      </c>
      <c r="E4" s="21" t="s">
        <v>330</v>
      </c>
      <c r="F4" s="21" t="str">
        <f t="shared" si="0"/>
        <v>rtdc.l.rtdc.4038:itc</v>
      </c>
      <c r="G4" s="8">
        <f t="shared" si="1"/>
        <v>42692.007222222222</v>
      </c>
    </row>
    <row r="5" spans="1:7" x14ac:dyDescent="0.25">
      <c r="A5" s="8">
        <v>42692.013101851851</v>
      </c>
      <c r="B5" s="21" t="s">
        <v>232</v>
      </c>
      <c r="C5" s="21" t="s">
        <v>380</v>
      </c>
      <c r="D5" s="21">
        <v>2350000</v>
      </c>
      <c r="E5" s="21" t="s">
        <v>328</v>
      </c>
      <c r="F5" s="21" t="str">
        <f t="shared" si="0"/>
        <v>rtdc.l.rtdc.4001:itc</v>
      </c>
      <c r="G5" s="8">
        <f t="shared" si="1"/>
        <v>42692.013101851851</v>
      </c>
    </row>
    <row r="6" spans="1:7" x14ac:dyDescent="0.25">
      <c r="A6" s="8">
        <v>42692.030601851853</v>
      </c>
      <c r="B6" s="21" t="s">
        <v>242</v>
      </c>
      <c r="C6" s="21" t="s">
        <v>381</v>
      </c>
      <c r="D6" s="21">
        <v>2230000</v>
      </c>
      <c r="E6" s="21" t="s">
        <v>376</v>
      </c>
      <c r="F6" s="21" t="str">
        <f t="shared" si="0"/>
        <v>rtdc.l.rtdc.4022:itc</v>
      </c>
      <c r="G6" s="8">
        <f t="shared" si="1"/>
        <v>42692.030601851853</v>
      </c>
    </row>
    <row r="7" spans="1:7" x14ac:dyDescent="0.25">
      <c r="A7" s="8">
        <v>42692.032175925924</v>
      </c>
      <c r="B7" s="21" t="s">
        <v>277</v>
      </c>
      <c r="C7" s="21" t="s">
        <v>382</v>
      </c>
      <c r="D7" s="21">
        <v>2370000</v>
      </c>
      <c r="E7" s="21" t="s">
        <v>377</v>
      </c>
      <c r="F7" s="21" t="str">
        <f t="shared" si="0"/>
        <v>rtdc.l.rtdc.4013:itc</v>
      </c>
      <c r="G7" s="8">
        <f t="shared" si="1"/>
        <v>42692.032175925924</v>
      </c>
    </row>
    <row r="8" spans="1:7" x14ac:dyDescent="0.25">
      <c r="A8" s="8">
        <v>42692.049039351848</v>
      </c>
      <c r="B8" s="21" t="s">
        <v>233</v>
      </c>
      <c r="C8" s="21" t="s">
        <v>383</v>
      </c>
      <c r="D8" s="21">
        <v>2350000</v>
      </c>
      <c r="E8" s="21" t="s">
        <v>328</v>
      </c>
      <c r="F8" s="21" t="str">
        <f t="shared" si="0"/>
        <v>rtdc.l.rtdc.4002:itc</v>
      </c>
      <c r="G8" s="8">
        <f t="shared" si="1"/>
        <v>42692.049039351848</v>
      </c>
    </row>
    <row r="9" spans="1:7" ht="15.75" thickBot="1" x14ac:dyDescent="0.3">
      <c r="A9" s="25">
        <v>42692.051585648151</v>
      </c>
      <c r="B9" s="21" t="s">
        <v>251</v>
      </c>
      <c r="C9" s="21" t="s">
        <v>384</v>
      </c>
      <c r="D9" s="21">
        <v>2440000</v>
      </c>
      <c r="E9" s="21" t="s">
        <v>330</v>
      </c>
      <c r="F9" s="21" t="str">
        <f t="shared" si="0"/>
        <v>rtdc.l.rtdc.4037:itc</v>
      </c>
      <c r="G9" s="8">
        <f t="shared" si="1"/>
        <v>42692.051585648151</v>
      </c>
    </row>
    <row r="10" spans="1:7" x14ac:dyDescent="0.25">
      <c r="A10" s="8">
        <v>42692.117685185185</v>
      </c>
      <c r="B10" s="21" t="s">
        <v>188</v>
      </c>
      <c r="C10" s="21" t="s">
        <v>468</v>
      </c>
      <c r="D10" s="21">
        <v>1200000</v>
      </c>
      <c r="E10" s="21" t="s">
        <v>327</v>
      </c>
      <c r="F10" s="21" t="str">
        <f t="shared" si="0"/>
        <v>rtdc.l.rtdc.4044:itc</v>
      </c>
      <c r="G10" s="8">
        <f t="shared" si="1"/>
        <v>42692.117685185185</v>
      </c>
    </row>
    <row r="11" spans="1:7" x14ac:dyDescent="0.25">
      <c r="A11" s="8">
        <v>42692.123020833336</v>
      </c>
      <c r="B11" s="21" t="s">
        <v>446</v>
      </c>
      <c r="C11" s="21" t="s">
        <v>469</v>
      </c>
      <c r="D11" s="21">
        <v>2010000</v>
      </c>
      <c r="E11" s="21" t="s">
        <v>322</v>
      </c>
      <c r="F11" s="21" t="str">
        <f t="shared" si="0"/>
        <v>rtdc.l.rtdc.4045:itc</v>
      </c>
      <c r="G11" s="8">
        <f t="shared" si="1"/>
        <v>42692.123020833336</v>
      </c>
    </row>
    <row r="12" spans="1:7" x14ac:dyDescent="0.25">
      <c r="A12" s="8">
        <v>42692.133564814816</v>
      </c>
      <c r="B12" s="21" t="s">
        <v>186</v>
      </c>
      <c r="C12" s="21" t="s">
        <v>470</v>
      </c>
      <c r="D12" s="21">
        <v>2010000</v>
      </c>
      <c r="E12" s="21" t="s">
        <v>322</v>
      </c>
      <c r="F12" s="21" t="str">
        <f t="shared" si="0"/>
        <v>rtdc.l.rtdc.4009:itc</v>
      </c>
      <c r="G12" s="8">
        <f t="shared" si="1"/>
        <v>42692.133564814816</v>
      </c>
    </row>
    <row r="13" spans="1:7" x14ac:dyDescent="0.25">
      <c r="A13" s="8">
        <v>42692.158206018517</v>
      </c>
      <c r="B13" s="21" t="s">
        <v>236</v>
      </c>
      <c r="C13" s="21" t="s">
        <v>471</v>
      </c>
      <c r="D13" s="21">
        <v>1990000</v>
      </c>
      <c r="E13" s="21" t="s">
        <v>472</v>
      </c>
      <c r="F13" s="21" t="str">
        <f t="shared" si="0"/>
        <v>rtdc.l.rtdc.4016:itc</v>
      </c>
      <c r="G13" s="8">
        <f t="shared" si="1"/>
        <v>42692.158206018517</v>
      </c>
    </row>
    <row r="14" spans="1:7" x14ac:dyDescent="0.25">
      <c r="A14" s="8">
        <v>42692.166481481479</v>
      </c>
      <c r="B14" s="21" t="s">
        <v>302</v>
      </c>
      <c r="C14" s="21" t="s">
        <v>430</v>
      </c>
      <c r="D14" s="21">
        <v>2140000</v>
      </c>
      <c r="E14" s="21" t="s">
        <v>473</v>
      </c>
      <c r="F14" s="21" t="str">
        <f t="shared" si="0"/>
        <v>rtdc.l.rtdc.4042:itc</v>
      </c>
      <c r="G14" s="8">
        <f t="shared" si="1"/>
        <v>42692.166481481479</v>
      </c>
    </row>
    <row r="15" spans="1:7" x14ac:dyDescent="0.25">
      <c r="A15" s="8">
        <v>42692.167986111112</v>
      </c>
      <c r="B15" s="21" t="s">
        <v>238</v>
      </c>
      <c r="C15" s="21" t="s">
        <v>431</v>
      </c>
      <c r="D15" s="21">
        <v>1200000</v>
      </c>
      <c r="E15" s="21" t="s">
        <v>327</v>
      </c>
      <c r="F15" s="21" t="str">
        <f t="shared" si="0"/>
        <v>rtdc.l.rtdc.4043:itc</v>
      </c>
      <c r="G15" s="8">
        <f t="shared" si="1"/>
        <v>42692.167986111112</v>
      </c>
    </row>
    <row r="16" spans="1:7" x14ac:dyDescent="0.25">
      <c r="A16" s="8">
        <v>42692.175439814811</v>
      </c>
      <c r="B16" s="21" t="s">
        <v>238</v>
      </c>
      <c r="C16" s="21" t="s">
        <v>431</v>
      </c>
      <c r="D16" s="21">
        <v>1200000</v>
      </c>
      <c r="E16" s="21" t="s">
        <v>327</v>
      </c>
      <c r="F16" s="21" t="str">
        <f t="shared" si="0"/>
        <v>rtdc.l.rtdc.4043:itc</v>
      </c>
      <c r="G16" s="8">
        <f t="shared" si="1"/>
        <v>42692.175439814811</v>
      </c>
    </row>
    <row r="17" spans="1:7" x14ac:dyDescent="0.25">
      <c r="A17" s="8">
        <v>42692.183877314812</v>
      </c>
      <c r="B17" s="21" t="s">
        <v>289</v>
      </c>
      <c r="C17" s="21" t="s">
        <v>474</v>
      </c>
      <c r="D17" s="21">
        <v>2380000</v>
      </c>
      <c r="E17" s="21" t="s">
        <v>324</v>
      </c>
      <c r="F17" s="21" t="str">
        <f t="shared" si="0"/>
        <v>rtdc.l.rtdc.4018:itc</v>
      </c>
      <c r="G17" s="8">
        <f t="shared" si="1"/>
        <v>42692.183877314812</v>
      </c>
    </row>
    <row r="18" spans="1:7" x14ac:dyDescent="0.25">
      <c r="A18" s="8">
        <v>42692.193032407406</v>
      </c>
      <c r="B18" s="21" t="s">
        <v>214</v>
      </c>
      <c r="C18" s="21" t="s">
        <v>475</v>
      </c>
      <c r="D18" s="21">
        <v>1990000</v>
      </c>
      <c r="E18" s="21" t="s">
        <v>472</v>
      </c>
      <c r="F18" s="21" t="str">
        <f t="shared" si="0"/>
        <v>rtdc.l.rtdc.4030:itc</v>
      </c>
      <c r="G18" s="8">
        <f t="shared" si="1"/>
        <v>42692.193032407406</v>
      </c>
    </row>
    <row r="19" spans="1:7" x14ac:dyDescent="0.25">
      <c r="A19" s="8">
        <v>42692.194039351853</v>
      </c>
      <c r="B19" s="21" t="s">
        <v>214</v>
      </c>
      <c r="C19" s="21" t="s">
        <v>475</v>
      </c>
      <c r="D19" s="21">
        <v>1990000</v>
      </c>
      <c r="E19" s="21" t="s">
        <v>472</v>
      </c>
      <c r="F19" s="21" t="str">
        <f t="shared" si="0"/>
        <v>rtdc.l.rtdc.4030:itc</v>
      </c>
      <c r="G19" s="8">
        <f t="shared" si="1"/>
        <v>42692.194039351853</v>
      </c>
    </row>
    <row r="20" spans="1:7" x14ac:dyDescent="0.25">
      <c r="A20" s="8">
        <v>42692.196701388886</v>
      </c>
      <c r="B20" s="21" t="s">
        <v>216</v>
      </c>
      <c r="C20" s="21" t="s">
        <v>476</v>
      </c>
      <c r="D20" s="21">
        <v>2600000</v>
      </c>
      <c r="E20" s="21" t="s">
        <v>304</v>
      </c>
      <c r="F20" s="21" t="str">
        <f t="shared" si="0"/>
        <v>rtdc.l.rtdc.4011:itc</v>
      </c>
      <c r="G20" s="8">
        <f t="shared" si="1"/>
        <v>42692.196701388886</v>
      </c>
    </row>
    <row r="21" spans="1:7" x14ac:dyDescent="0.25">
      <c r="A21" s="8">
        <v>42692.199490740742</v>
      </c>
      <c r="B21" s="21" t="s">
        <v>437</v>
      </c>
      <c r="C21" s="21" t="s">
        <v>477</v>
      </c>
      <c r="D21" s="21">
        <v>1760000</v>
      </c>
      <c r="E21" s="21" t="s">
        <v>323</v>
      </c>
      <c r="F21" s="21" t="str">
        <f t="shared" si="0"/>
        <v>rtdc.l.rtdc.4007:itc</v>
      </c>
      <c r="G21" s="8">
        <f t="shared" si="1"/>
        <v>42692.199490740742</v>
      </c>
    </row>
    <row r="22" spans="1:7" x14ac:dyDescent="0.25">
      <c r="A22" s="27">
        <v>42692.199675925927</v>
      </c>
      <c r="B22" s="21" t="s">
        <v>186</v>
      </c>
      <c r="C22" s="21" t="s">
        <v>478</v>
      </c>
      <c r="D22" s="21">
        <v>2100000</v>
      </c>
      <c r="E22" s="21" t="s">
        <v>479</v>
      </c>
      <c r="F22" s="21" t="str">
        <f t="shared" si="0"/>
        <v>rtdc.l.rtdc.4009:itc</v>
      </c>
      <c r="G22" s="8">
        <f t="shared" si="1"/>
        <v>42692.199675925927</v>
      </c>
    </row>
    <row r="23" spans="1:7" x14ac:dyDescent="0.25">
      <c r="A23" s="8">
        <v>42692.209502314814</v>
      </c>
      <c r="B23" s="21" t="s">
        <v>432</v>
      </c>
      <c r="C23" s="21" t="s">
        <v>433</v>
      </c>
      <c r="D23" s="21">
        <v>2140000</v>
      </c>
      <c r="E23" s="21" t="s">
        <v>473</v>
      </c>
      <c r="F23" s="21" t="str">
        <f t="shared" si="0"/>
        <v>rtdc.l.rtdc.4026:itc</v>
      </c>
      <c r="G23" s="8">
        <f t="shared" si="1"/>
        <v>42692.209502314814</v>
      </c>
    </row>
    <row r="24" spans="1:7" x14ac:dyDescent="0.25">
      <c r="A24" s="8">
        <v>42692.210138888891</v>
      </c>
      <c r="B24" s="21" t="s">
        <v>450</v>
      </c>
      <c r="C24" s="21" t="s">
        <v>480</v>
      </c>
      <c r="D24" s="21">
        <v>2010000</v>
      </c>
      <c r="E24" s="21" t="s">
        <v>322</v>
      </c>
      <c r="F24" s="21" t="str">
        <f t="shared" si="0"/>
        <v>rtdc.l.rtdc.4046:itc</v>
      </c>
      <c r="G24" s="8">
        <f t="shared" si="1"/>
        <v>42692.210138888891</v>
      </c>
    </row>
    <row r="25" spans="1:7" x14ac:dyDescent="0.25">
      <c r="A25" s="8">
        <v>42692.212094907409</v>
      </c>
      <c r="B25" s="21" t="s">
        <v>434</v>
      </c>
      <c r="C25" s="21" t="s">
        <v>481</v>
      </c>
      <c r="D25" s="21">
        <v>1760000</v>
      </c>
      <c r="E25" s="21" t="s">
        <v>323</v>
      </c>
      <c r="F25" s="21" t="str">
        <f t="shared" si="0"/>
        <v>rtdc.l.rtdc.4008:itc</v>
      </c>
      <c r="G25" s="8">
        <f t="shared" si="1"/>
        <v>42692.212094907409</v>
      </c>
    </row>
    <row r="26" spans="1:7" x14ac:dyDescent="0.25">
      <c r="A26" s="8">
        <v>42692.21912037037</v>
      </c>
      <c r="B26" s="21" t="s">
        <v>369</v>
      </c>
      <c r="C26" s="21" t="s">
        <v>482</v>
      </c>
      <c r="D26" s="21">
        <v>2380000</v>
      </c>
      <c r="E26" s="21" t="s">
        <v>324</v>
      </c>
      <c r="F26" s="21" t="str">
        <f t="shared" si="0"/>
        <v>rtdc.l.rtdc.4017:itc</v>
      </c>
      <c r="G26" s="8">
        <f t="shared" si="1"/>
        <v>42692.21912037037</v>
      </c>
    </row>
    <row r="27" spans="1:7" x14ac:dyDescent="0.25">
      <c r="A27" s="8">
        <v>42692.228263888886</v>
      </c>
      <c r="B27" s="21" t="s">
        <v>437</v>
      </c>
      <c r="C27" s="21" t="s">
        <v>483</v>
      </c>
      <c r="D27" s="21">
        <v>1760000</v>
      </c>
      <c r="E27" s="21" t="s">
        <v>323</v>
      </c>
      <c r="F27" s="21" t="str">
        <f t="shared" si="0"/>
        <v>rtdc.l.rtdc.4007:itc</v>
      </c>
      <c r="G27" s="8">
        <f t="shared" si="1"/>
        <v>42692.228263888886</v>
      </c>
    </row>
    <row r="28" spans="1:7" x14ac:dyDescent="0.25">
      <c r="A28" s="8">
        <v>42692.22934027778</v>
      </c>
      <c r="B28" s="21" t="s">
        <v>236</v>
      </c>
      <c r="C28" s="21" t="s">
        <v>484</v>
      </c>
      <c r="D28" s="21">
        <v>2630000</v>
      </c>
      <c r="E28" s="21" t="s">
        <v>303</v>
      </c>
      <c r="F28" s="21" t="str">
        <f t="shared" si="0"/>
        <v>rtdc.l.rtdc.4016:itc</v>
      </c>
      <c r="G28" s="8">
        <f t="shared" si="1"/>
        <v>42692.22934027778</v>
      </c>
    </row>
    <row r="29" spans="1:7" x14ac:dyDescent="0.25">
      <c r="A29" s="8">
        <v>42692.231030092589</v>
      </c>
      <c r="B29" s="21" t="s">
        <v>229</v>
      </c>
      <c r="C29" s="21" t="s">
        <v>485</v>
      </c>
      <c r="D29" s="21">
        <v>2600000</v>
      </c>
      <c r="E29" s="21" t="s">
        <v>304</v>
      </c>
      <c r="F29" s="21" t="str">
        <f t="shared" si="0"/>
        <v>rtdc.l.rtdc.4012:itc</v>
      </c>
      <c r="G29" s="8">
        <f t="shared" si="1"/>
        <v>42692.231030092589</v>
      </c>
    </row>
    <row r="30" spans="1:7" x14ac:dyDescent="0.25">
      <c r="A30" s="8">
        <v>42692.231354166666</v>
      </c>
      <c r="B30" s="21" t="s">
        <v>213</v>
      </c>
      <c r="C30" s="21" t="s">
        <v>486</v>
      </c>
      <c r="D30" s="21">
        <v>1990000</v>
      </c>
      <c r="E30" s="21" t="s">
        <v>472</v>
      </c>
      <c r="F30" s="21" t="str">
        <f t="shared" si="0"/>
        <v>rtdc.l.rtdc.4029:itc</v>
      </c>
      <c r="G30" s="8">
        <f t="shared" si="1"/>
        <v>42692.231354166666</v>
      </c>
    </row>
    <row r="31" spans="1:7" x14ac:dyDescent="0.25">
      <c r="A31" s="8">
        <v>42692.232557870368</v>
      </c>
      <c r="B31" s="21" t="s">
        <v>213</v>
      </c>
      <c r="C31" s="21" t="s">
        <v>486</v>
      </c>
      <c r="D31" s="21">
        <v>1990000</v>
      </c>
      <c r="E31" s="21" t="s">
        <v>472</v>
      </c>
      <c r="F31" s="21" t="str">
        <f t="shared" si="0"/>
        <v>rtdc.l.rtdc.4029:itc</v>
      </c>
      <c r="G31" s="8">
        <f t="shared" si="1"/>
        <v>42692.232557870368</v>
      </c>
    </row>
    <row r="32" spans="1:7" x14ac:dyDescent="0.25">
      <c r="A32" s="8">
        <v>42692.245370370372</v>
      </c>
      <c r="B32" s="21" t="s">
        <v>241</v>
      </c>
      <c r="C32" s="21" t="s">
        <v>487</v>
      </c>
      <c r="D32" s="21">
        <v>2100000</v>
      </c>
      <c r="E32" s="21" t="s">
        <v>479</v>
      </c>
      <c r="F32" s="21" t="str">
        <f t="shared" si="0"/>
        <v>rtdc.l.rtdc.4010:itc</v>
      </c>
      <c r="G32" s="8">
        <f t="shared" si="1"/>
        <v>42692.245370370372</v>
      </c>
    </row>
    <row r="33" spans="1:7" x14ac:dyDescent="0.25">
      <c r="A33" s="8">
        <v>42692.248935185184</v>
      </c>
      <c r="B33" s="21" t="s">
        <v>302</v>
      </c>
      <c r="C33" s="21" t="s">
        <v>488</v>
      </c>
      <c r="D33" s="21">
        <v>2140000</v>
      </c>
      <c r="E33" s="21" t="s">
        <v>473</v>
      </c>
      <c r="F33" s="21" t="str">
        <f t="shared" si="0"/>
        <v>rtdc.l.rtdc.4042:itc</v>
      </c>
      <c r="G33" s="8">
        <f t="shared" si="1"/>
        <v>42692.248935185184</v>
      </c>
    </row>
    <row r="34" spans="1:7" x14ac:dyDescent="0.25">
      <c r="A34" s="8">
        <v>42692.249594907407</v>
      </c>
      <c r="B34" s="21" t="s">
        <v>370</v>
      </c>
      <c r="C34" s="21" t="s">
        <v>489</v>
      </c>
      <c r="D34" s="21">
        <v>2610000</v>
      </c>
      <c r="E34" s="21" t="s">
        <v>235</v>
      </c>
      <c r="F34" s="21" t="str">
        <f t="shared" si="0"/>
        <v>rtdc.l.rtdc.4032:itc</v>
      </c>
      <c r="G34" s="8">
        <f t="shared" si="1"/>
        <v>42692.249594907407</v>
      </c>
    </row>
    <row r="35" spans="1:7" x14ac:dyDescent="0.25">
      <c r="A35" s="8">
        <v>42692.255358796298</v>
      </c>
      <c r="B35" s="21" t="s">
        <v>446</v>
      </c>
      <c r="C35" s="21" t="s">
        <v>490</v>
      </c>
      <c r="D35" s="21">
        <v>2010000</v>
      </c>
      <c r="E35" s="21" t="s">
        <v>322</v>
      </c>
      <c r="F35" s="21" t="str">
        <f t="shared" si="0"/>
        <v>rtdc.l.rtdc.4045:itc</v>
      </c>
      <c r="G35" s="8">
        <f t="shared" si="1"/>
        <v>42692.255358796298</v>
      </c>
    </row>
    <row r="36" spans="1:7" x14ac:dyDescent="0.25">
      <c r="A36" s="8">
        <v>42692.255752314813</v>
      </c>
      <c r="B36" s="21" t="s">
        <v>434</v>
      </c>
      <c r="C36" s="21" t="s">
        <v>435</v>
      </c>
      <c r="D36" s="21">
        <v>1760000</v>
      </c>
      <c r="E36" s="21" t="s">
        <v>323</v>
      </c>
      <c r="F36" s="21" t="str">
        <f t="shared" si="0"/>
        <v>rtdc.l.rtdc.4008:itc</v>
      </c>
      <c r="G36" s="8">
        <f t="shared" si="1"/>
        <v>42692.255752314813</v>
      </c>
    </row>
    <row r="37" spans="1:7" x14ac:dyDescent="0.25">
      <c r="A37" s="8">
        <v>42692.257384259261</v>
      </c>
      <c r="B37" s="21" t="s">
        <v>289</v>
      </c>
      <c r="C37" s="21" t="s">
        <v>491</v>
      </c>
      <c r="D37" s="21">
        <v>2380000</v>
      </c>
      <c r="E37" s="21" t="s">
        <v>324</v>
      </c>
      <c r="F37" s="21" t="str">
        <f t="shared" si="0"/>
        <v>rtdc.l.rtdc.4018:itc</v>
      </c>
      <c r="G37" s="8">
        <f t="shared" si="1"/>
        <v>42692.257384259261</v>
      </c>
    </row>
    <row r="38" spans="1:7" x14ac:dyDescent="0.25">
      <c r="A38" s="8">
        <v>42692.259652777779</v>
      </c>
      <c r="B38" s="21" t="s">
        <v>368</v>
      </c>
      <c r="C38" s="21" t="s">
        <v>436</v>
      </c>
      <c r="D38" s="21">
        <v>2610000</v>
      </c>
      <c r="E38" s="21" t="s">
        <v>235</v>
      </c>
      <c r="F38" s="21" t="str">
        <f t="shared" si="0"/>
        <v>rtdc.l.rtdc.4031:itc</v>
      </c>
      <c r="G38" s="8">
        <f t="shared" si="1"/>
        <v>42692.259652777779</v>
      </c>
    </row>
    <row r="39" spans="1:7" x14ac:dyDescent="0.25">
      <c r="A39" s="8">
        <v>42692.263460648152</v>
      </c>
      <c r="B39" s="21" t="s">
        <v>237</v>
      </c>
      <c r="C39" s="21" t="s">
        <v>439</v>
      </c>
      <c r="D39" s="21">
        <v>2630000</v>
      </c>
      <c r="E39" s="21" t="s">
        <v>303</v>
      </c>
      <c r="F39" s="21" t="str">
        <f t="shared" si="0"/>
        <v>rtdc.l.rtdc.4015:itc</v>
      </c>
      <c r="G39" s="8">
        <f t="shared" si="1"/>
        <v>42692.263460648152</v>
      </c>
    </row>
    <row r="40" spans="1:7" x14ac:dyDescent="0.25">
      <c r="A40" s="8">
        <v>42692.268541666665</v>
      </c>
      <c r="B40" s="26" t="s">
        <v>216</v>
      </c>
      <c r="C40" s="21" t="s">
        <v>492</v>
      </c>
      <c r="D40" s="21">
        <v>2600000</v>
      </c>
      <c r="E40" s="21" t="s">
        <v>304</v>
      </c>
      <c r="F40" s="21" t="str">
        <f t="shared" si="0"/>
        <v>rtdc.l.rtdc.4011:itc</v>
      </c>
      <c r="G40" s="8">
        <f t="shared" si="1"/>
        <v>42692.268541666665</v>
      </c>
    </row>
    <row r="41" spans="1:7" x14ac:dyDescent="0.25">
      <c r="A41" s="8">
        <v>42692.271620370368</v>
      </c>
      <c r="B41" s="21" t="s">
        <v>437</v>
      </c>
      <c r="C41" s="21" t="s">
        <v>438</v>
      </c>
      <c r="D41" s="21">
        <v>1760000</v>
      </c>
      <c r="E41" s="21" t="s">
        <v>323</v>
      </c>
      <c r="F41" s="21" t="str">
        <f t="shared" si="0"/>
        <v>rtdc.l.rtdc.4007:itc</v>
      </c>
      <c r="G41" s="8">
        <f t="shared" si="1"/>
        <v>42692.271620370368</v>
      </c>
    </row>
    <row r="42" spans="1:7" x14ac:dyDescent="0.25">
      <c r="A42" s="8">
        <v>42692.276180555556</v>
      </c>
      <c r="B42" s="21" t="s">
        <v>370</v>
      </c>
      <c r="C42" s="21" t="s">
        <v>493</v>
      </c>
      <c r="D42" s="21">
        <v>2610000</v>
      </c>
      <c r="E42" s="21" t="s">
        <v>235</v>
      </c>
      <c r="F42" s="21" t="str">
        <f t="shared" si="0"/>
        <v>rtdc.l.rtdc.4032:itc</v>
      </c>
      <c r="G42" s="8">
        <f t="shared" si="1"/>
        <v>42692.276180555556</v>
      </c>
    </row>
    <row r="43" spans="1:7" x14ac:dyDescent="0.25">
      <c r="A43" s="8">
        <v>42692.276944444442</v>
      </c>
      <c r="B43" s="21" t="s">
        <v>214</v>
      </c>
      <c r="C43" s="21" t="s">
        <v>494</v>
      </c>
      <c r="D43" s="21">
        <v>1990000</v>
      </c>
      <c r="E43" s="21" t="s">
        <v>472</v>
      </c>
      <c r="F43" s="21" t="str">
        <f t="shared" si="0"/>
        <v>rtdc.l.rtdc.4030:itc</v>
      </c>
      <c r="G43" s="8">
        <f t="shared" si="1"/>
        <v>42692.276944444442</v>
      </c>
    </row>
    <row r="44" spans="1:7" x14ac:dyDescent="0.25">
      <c r="A44" s="8">
        <v>42692.27884259259</v>
      </c>
      <c r="B44" s="21" t="s">
        <v>186</v>
      </c>
      <c r="C44" s="21" t="s">
        <v>495</v>
      </c>
      <c r="D44" s="21">
        <v>2100000</v>
      </c>
      <c r="E44" s="21" t="s">
        <v>479</v>
      </c>
      <c r="F44" s="21" t="str">
        <f t="shared" si="0"/>
        <v>rtdc.l.rtdc.4009:itc</v>
      </c>
      <c r="G44" s="8">
        <f t="shared" si="1"/>
        <v>42692.27884259259</v>
      </c>
    </row>
    <row r="45" spans="1:7" x14ac:dyDescent="0.25">
      <c r="A45" s="8">
        <v>42692.278877314813</v>
      </c>
      <c r="B45" s="21" t="s">
        <v>301</v>
      </c>
      <c r="C45" s="21" t="s">
        <v>496</v>
      </c>
      <c r="D45" s="21">
        <v>2140000</v>
      </c>
      <c r="E45" s="21" t="s">
        <v>473</v>
      </c>
      <c r="F45" s="21" t="str">
        <f t="shared" si="0"/>
        <v>rtdc.l.rtdc.4041:itc</v>
      </c>
      <c r="G45" s="8">
        <f t="shared" si="1"/>
        <v>42692.278877314813</v>
      </c>
    </row>
    <row r="46" spans="1:7" x14ac:dyDescent="0.25">
      <c r="A46" s="8">
        <v>42692.288622685184</v>
      </c>
      <c r="B46" s="21" t="s">
        <v>450</v>
      </c>
      <c r="C46" s="21" t="s">
        <v>497</v>
      </c>
      <c r="D46" s="21">
        <v>2010000</v>
      </c>
      <c r="E46" s="21" t="s">
        <v>322</v>
      </c>
      <c r="F46" s="21" t="str">
        <f t="shared" si="0"/>
        <v>rtdc.l.rtdc.4046:itc</v>
      </c>
      <c r="G46" s="8">
        <f t="shared" si="1"/>
        <v>42692.288622685184</v>
      </c>
    </row>
    <row r="47" spans="1:7" x14ac:dyDescent="0.25">
      <c r="A47" s="8">
        <v>42692.29042824074</v>
      </c>
      <c r="B47" s="21" t="s">
        <v>369</v>
      </c>
      <c r="C47" s="21" t="s">
        <v>498</v>
      </c>
      <c r="D47" s="21">
        <v>2380000</v>
      </c>
      <c r="E47" s="21" t="s">
        <v>324</v>
      </c>
      <c r="F47" s="21" t="str">
        <f t="shared" si="0"/>
        <v>rtdc.l.rtdc.4017:itc</v>
      </c>
      <c r="G47" s="8">
        <f t="shared" si="1"/>
        <v>42692.29042824074</v>
      </c>
    </row>
    <row r="48" spans="1:7" x14ac:dyDescent="0.25">
      <c r="A48" s="8">
        <v>42692.293009259258</v>
      </c>
      <c r="B48" s="21" t="s">
        <v>368</v>
      </c>
      <c r="C48" s="21" t="s">
        <v>499</v>
      </c>
      <c r="D48" s="21">
        <v>2610000</v>
      </c>
      <c r="E48" s="21" t="s">
        <v>235</v>
      </c>
      <c r="F48" s="21" t="str">
        <f t="shared" si="0"/>
        <v>rtdc.l.rtdc.4031:itc</v>
      </c>
      <c r="G48" s="8">
        <f t="shared" si="1"/>
        <v>42692.293009259258</v>
      </c>
    </row>
    <row r="49" spans="1:7" x14ac:dyDescent="0.25">
      <c r="A49" s="8">
        <v>42692.297013888892</v>
      </c>
      <c r="B49" s="21" t="s">
        <v>434</v>
      </c>
      <c r="C49" s="21" t="s">
        <v>500</v>
      </c>
      <c r="D49" s="21">
        <v>1760000</v>
      </c>
      <c r="E49" s="21" t="s">
        <v>323</v>
      </c>
      <c r="F49" s="21" t="str">
        <f t="shared" si="0"/>
        <v>rtdc.l.rtdc.4008:itc</v>
      </c>
      <c r="G49" s="8">
        <f t="shared" si="1"/>
        <v>42692.297013888892</v>
      </c>
    </row>
    <row r="50" spans="1:7" x14ac:dyDescent="0.25">
      <c r="A50" s="8">
        <v>42692.298252314817</v>
      </c>
      <c r="B50" s="21" t="s">
        <v>236</v>
      </c>
      <c r="C50" s="21" t="s">
        <v>440</v>
      </c>
      <c r="D50" s="21">
        <v>2630000</v>
      </c>
      <c r="E50" s="21" t="s">
        <v>303</v>
      </c>
      <c r="F50" s="21" t="str">
        <f t="shared" si="0"/>
        <v>rtdc.l.rtdc.4016:itc</v>
      </c>
      <c r="G50" s="8">
        <f t="shared" si="1"/>
        <v>42692.298252314817</v>
      </c>
    </row>
    <row r="51" spans="1:7" x14ac:dyDescent="0.25">
      <c r="A51" s="8">
        <v>42692.300335648149</v>
      </c>
      <c r="B51" s="21" t="s">
        <v>229</v>
      </c>
      <c r="C51" s="21" t="s">
        <v>442</v>
      </c>
      <c r="D51" s="21">
        <v>2600000</v>
      </c>
      <c r="E51" s="21" t="s">
        <v>304</v>
      </c>
      <c r="F51" s="21" t="str">
        <f t="shared" si="0"/>
        <v>rtdc.l.rtdc.4012:itc</v>
      </c>
      <c r="G51" s="8">
        <f t="shared" si="1"/>
        <v>42692.300335648149</v>
      </c>
    </row>
    <row r="52" spans="1:7" x14ac:dyDescent="0.25">
      <c r="A52" s="8">
        <v>42692.310717592591</v>
      </c>
      <c r="B52" s="21" t="s">
        <v>213</v>
      </c>
      <c r="C52" s="21" t="s">
        <v>501</v>
      </c>
      <c r="D52" s="21">
        <v>1990000</v>
      </c>
      <c r="E52" s="21" t="s">
        <v>472</v>
      </c>
      <c r="F52" s="21" t="str">
        <f t="shared" si="0"/>
        <v>rtdc.l.rtdc.4029:itc</v>
      </c>
      <c r="G52" s="8">
        <f t="shared" si="1"/>
        <v>42692.310717592591</v>
      </c>
    </row>
    <row r="53" spans="1:7" x14ac:dyDescent="0.25">
      <c r="A53" s="8">
        <v>42692.312719907408</v>
      </c>
      <c r="B53" s="21" t="s">
        <v>437</v>
      </c>
      <c r="C53" s="21" t="s">
        <v>441</v>
      </c>
      <c r="D53" s="21">
        <v>1760000</v>
      </c>
      <c r="E53" s="21" t="s">
        <v>323</v>
      </c>
      <c r="F53" s="21" t="str">
        <f t="shared" si="0"/>
        <v>rtdc.l.rtdc.4007:itc</v>
      </c>
      <c r="G53" s="8">
        <f t="shared" si="1"/>
        <v>42692.312719907408</v>
      </c>
    </row>
    <row r="54" spans="1:7" x14ac:dyDescent="0.25">
      <c r="A54" s="8">
        <v>42692.314942129633</v>
      </c>
      <c r="B54" s="21" t="s">
        <v>241</v>
      </c>
      <c r="C54" s="21" t="s">
        <v>502</v>
      </c>
      <c r="D54" s="21">
        <v>2100000</v>
      </c>
      <c r="E54" s="21" t="s">
        <v>479</v>
      </c>
      <c r="F54" s="21" t="str">
        <f t="shared" si="0"/>
        <v>rtdc.l.rtdc.4010:itc</v>
      </c>
      <c r="G54" s="8">
        <f t="shared" si="1"/>
        <v>42692.314942129633</v>
      </c>
    </row>
    <row r="55" spans="1:7" x14ac:dyDescent="0.25">
      <c r="A55" s="8">
        <v>42692.317372685182</v>
      </c>
      <c r="B55" s="21" t="s">
        <v>370</v>
      </c>
      <c r="C55" s="21" t="s">
        <v>503</v>
      </c>
      <c r="D55" s="21">
        <v>2610000</v>
      </c>
      <c r="E55" s="21" t="s">
        <v>235</v>
      </c>
      <c r="F55" s="21" t="str">
        <f t="shared" si="0"/>
        <v>rtdc.l.rtdc.4032:itc</v>
      </c>
      <c r="G55" s="8">
        <f t="shared" si="1"/>
        <v>42692.317372685182</v>
      </c>
    </row>
    <row r="56" spans="1:7" x14ac:dyDescent="0.25">
      <c r="A56" s="8">
        <v>42692.320891203701</v>
      </c>
      <c r="B56" s="21" t="s">
        <v>302</v>
      </c>
      <c r="C56" s="21" t="s">
        <v>443</v>
      </c>
      <c r="D56" s="21">
        <v>2140000</v>
      </c>
      <c r="E56" s="21" t="s">
        <v>473</v>
      </c>
      <c r="F56" s="21" t="str">
        <f t="shared" si="0"/>
        <v>rtdc.l.rtdc.4042:itc</v>
      </c>
      <c r="G56" s="8">
        <f t="shared" si="1"/>
        <v>42692.320891203701</v>
      </c>
    </row>
    <row r="57" spans="1:7" x14ac:dyDescent="0.25">
      <c r="A57" s="8">
        <v>42692.324467592596</v>
      </c>
      <c r="B57" s="21" t="s">
        <v>446</v>
      </c>
      <c r="C57" s="21" t="s">
        <v>504</v>
      </c>
      <c r="D57" s="21">
        <v>2010000</v>
      </c>
      <c r="E57" s="21" t="s">
        <v>322</v>
      </c>
      <c r="F57" s="21" t="str">
        <f t="shared" si="0"/>
        <v>rtdc.l.rtdc.4045:itc</v>
      </c>
      <c r="G57" s="8">
        <f t="shared" si="1"/>
        <v>42692.324467592596</v>
      </c>
    </row>
    <row r="58" spans="1:7" x14ac:dyDescent="0.25">
      <c r="A58" s="8">
        <v>42692.333368055559</v>
      </c>
      <c r="B58" s="21" t="s">
        <v>289</v>
      </c>
      <c r="C58" s="21" t="s">
        <v>505</v>
      </c>
      <c r="D58" s="21">
        <v>2380000</v>
      </c>
      <c r="E58" s="21" t="s">
        <v>324</v>
      </c>
      <c r="F58" s="21" t="str">
        <f t="shared" si="0"/>
        <v>rtdc.l.rtdc.4018:itc</v>
      </c>
      <c r="G58" s="8">
        <f t="shared" si="1"/>
        <v>42692.333368055559</v>
      </c>
    </row>
    <row r="59" spans="1:7" x14ac:dyDescent="0.25">
      <c r="A59" s="8">
        <v>42692.335231481484</v>
      </c>
      <c r="B59" s="21" t="s">
        <v>237</v>
      </c>
      <c r="C59" s="21" t="s">
        <v>506</v>
      </c>
      <c r="D59" s="21">
        <v>2630000</v>
      </c>
      <c r="E59" s="21" t="s">
        <v>303</v>
      </c>
      <c r="F59" s="21" t="str">
        <f t="shared" si="0"/>
        <v>rtdc.l.rtdc.4015:itc</v>
      </c>
      <c r="G59" s="8">
        <f t="shared" si="1"/>
        <v>42692.335231481484</v>
      </c>
    </row>
    <row r="60" spans="1:7" x14ac:dyDescent="0.25">
      <c r="A60" s="8">
        <v>42692.339513888888</v>
      </c>
      <c r="B60" s="21" t="s">
        <v>434</v>
      </c>
      <c r="C60" s="21" t="s">
        <v>507</v>
      </c>
      <c r="D60" s="21">
        <v>1760000</v>
      </c>
      <c r="E60" s="21" t="s">
        <v>323</v>
      </c>
      <c r="F60" s="21" t="str">
        <f t="shared" si="0"/>
        <v>rtdc.l.rtdc.4008:itc</v>
      </c>
      <c r="G60" s="8">
        <f t="shared" si="1"/>
        <v>42692.339513888888</v>
      </c>
    </row>
    <row r="61" spans="1:7" x14ac:dyDescent="0.25">
      <c r="A61" s="8">
        <v>42692.340381944443</v>
      </c>
      <c r="B61" s="21" t="s">
        <v>368</v>
      </c>
      <c r="C61" s="21" t="s">
        <v>508</v>
      </c>
      <c r="D61" s="21">
        <v>2610000</v>
      </c>
      <c r="E61" s="21" t="s">
        <v>235</v>
      </c>
      <c r="F61" s="21" t="str">
        <f t="shared" si="0"/>
        <v>rtdc.l.rtdc.4031:itc</v>
      </c>
      <c r="G61" s="8">
        <f t="shared" si="1"/>
        <v>42692.340381944443</v>
      </c>
    </row>
    <row r="62" spans="1:7" x14ac:dyDescent="0.25">
      <c r="A62" s="8">
        <v>42692.342256944445</v>
      </c>
      <c r="B62" s="21" t="s">
        <v>216</v>
      </c>
      <c r="C62" s="21" t="s">
        <v>509</v>
      </c>
      <c r="D62" s="21">
        <v>2600000</v>
      </c>
      <c r="E62" s="21" t="s">
        <v>304</v>
      </c>
      <c r="F62" s="21" t="str">
        <f t="shared" si="0"/>
        <v>rtdc.l.rtdc.4011:itc</v>
      </c>
      <c r="G62" s="8">
        <f t="shared" si="1"/>
        <v>42692.342256944445</v>
      </c>
    </row>
    <row r="63" spans="1:7" x14ac:dyDescent="0.25">
      <c r="A63" s="8">
        <v>42692.346736111111</v>
      </c>
      <c r="B63" s="21" t="s">
        <v>214</v>
      </c>
      <c r="C63" s="21" t="s">
        <v>510</v>
      </c>
      <c r="D63" s="21">
        <v>1990000</v>
      </c>
      <c r="E63" s="21" t="s">
        <v>472</v>
      </c>
      <c r="F63" s="21" t="str">
        <f t="shared" si="0"/>
        <v>rtdc.l.rtdc.4030:itc</v>
      </c>
      <c r="G63" s="8">
        <f t="shared" si="1"/>
        <v>42692.346736111111</v>
      </c>
    </row>
    <row r="64" spans="1:7" x14ac:dyDescent="0.25">
      <c r="A64" s="27">
        <v>42692.351168981484</v>
      </c>
      <c r="B64" s="21" t="s">
        <v>186</v>
      </c>
      <c r="C64" s="21" t="s">
        <v>511</v>
      </c>
      <c r="D64" s="21">
        <v>2100000</v>
      </c>
      <c r="E64" s="21" t="s">
        <v>479</v>
      </c>
      <c r="F64" s="21" t="str">
        <f t="shared" si="0"/>
        <v>rtdc.l.rtdc.4009:itc</v>
      </c>
      <c r="G64" s="8">
        <f t="shared" si="1"/>
        <v>42692.351168981484</v>
      </c>
    </row>
    <row r="65" spans="1:7" x14ac:dyDescent="0.25">
      <c r="A65" s="8">
        <v>42692.354849537034</v>
      </c>
      <c r="B65" s="21" t="s">
        <v>301</v>
      </c>
      <c r="C65" s="21" t="s">
        <v>512</v>
      </c>
      <c r="D65" s="21">
        <v>2140000</v>
      </c>
      <c r="E65" s="21" t="s">
        <v>473</v>
      </c>
      <c r="F65" s="21" t="str">
        <f t="shared" si="0"/>
        <v>rtdc.l.rtdc.4041:itc</v>
      </c>
      <c r="G65" s="8">
        <f t="shared" si="1"/>
        <v>42692.354849537034</v>
      </c>
    </row>
    <row r="66" spans="1:7" x14ac:dyDescent="0.25">
      <c r="A66" s="8">
        <v>42692.355312500003</v>
      </c>
      <c r="B66" s="21" t="s">
        <v>437</v>
      </c>
      <c r="C66" s="21" t="s">
        <v>513</v>
      </c>
      <c r="D66" s="21">
        <v>1760000</v>
      </c>
      <c r="E66" s="21" t="s">
        <v>323</v>
      </c>
      <c r="F66" s="21" t="str">
        <f t="shared" ref="F66:F129" si="2">B66</f>
        <v>rtdc.l.rtdc.4007:itc</v>
      </c>
      <c r="G66" s="8">
        <f t="shared" ref="G66:G129" si="3">A66</f>
        <v>42692.355312500003</v>
      </c>
    </row>
    <row r="67" spans="1:7" x14ac:dyDescent="0.25">
      <c r="A67" s="8">
        <v>42692.359398148146</v>
      </c>
      <c r="B67" s="21" t="s">
        <v>370</v>
      </c>
      <c r="C67" s="21" t="s">
        <v>514</v>
      </c>
      <c r="D67" s="21">
        <v>2610000</v>
      </c>
      <c r="E67" s="21" t="s">
        <v>235</v>
      </c>
      <c r="F67" s="21" t="str">
        <f t="shared" si="2"/>
        <v>rtdc.l.rtdc.4032:itc</v>
      </c>
      <c r="G67" s="8">
        <f t="shared" si="3"/>
        <v>42692.359398148146</v>
      </c>
    </row>
    <row r="68" spans="1:7" x14ac:dyDescent="0.25">
      <c r="A68" s="8">
        <v>42692.364583333336</v>
      </c>
      <c r="B68" s="21" t="s">
        <v>450</v>
      </c>
      <c r="C68" s="21" t="s">
        <v>515</v>
      </c>
      <c r="D68" s="21">
        <v>2460000</v>
      </c>
      <c r="E68" s="21" t="s">
        <v>305</v>
      </c>
      <c r="F68" s="21" t="str">
        <f t="shared" si="2"/>
        <v>rtdc.l.rtdc.4046:itc</v>
      </c>
      <c r="G68" s="8">
        <f t="shared" si="3"/>
        <v>42692.364583333336</v>
      </c>
    </row>
    <row r="69" spans="1:7" x14ac:dyDescent="0.25">
      <c r="A69" s="8">
        <v>42692.364976851852</v>
      </c>
      <c r="B69" s="21" t="s">
        <v>369</v>
      </c>
      <c r="C69" s="21" t="s">
        <v>516</v>
      </c>
      <c r="D69" s="21">
        <v>2380000</v>
      </c>
      <c r="E69" s="21" t="s">
        <v>324</v>
      </c>
      <c r="F69" s="21" t="str">
        <f t="shared" si="2"/>
        <v>rtdc.l.rtdc.4017:itc</v>
      </c>
      <c r="G69" s="8">
        <f t="shared" si="3"/>
        <v>42692.364976851852</v>
      </c>
    </row>
    <row r="70" spans="1:7" x14ac:dyDescent="0.25">
      <c r="A70" s="8">
        <v>42692.371574074074</v>
      </c>
      <c r="B70" s="21" t="s">
        <v>229</v>
      </c>
      <c r="C70" s="21" t="s">
        <v>517</v>
      </c>
      <c r="D70" s="21">
        <v>2600000</v>
      </c>
      <c r="E70" s="21" t="s">
        <v>304</v>
      </c>
      <c r="F70" s="21" t="str">
        <f t="shared" si="2"/>
        <v>rtdc.l.rtdc.4012:itc</v>
      </c>
      <c r="G70" s="8">
        <f t="shared" si="3"/>
        <v>42692.371574074074</v>
      </c>
    </row>
    <row r="71" spans="1:7" x14ac:dyDescent="0.25">
      <c r="A71" s="8">
        <v>42692.37259259259</v>
      </c>
      <c r="B71" s="21" t="s">
        <v>236</v>
      </c>
      <c r="C71" s="21" t="s">
        <v>518</v>
      </c>
      <c r="D71" s="21">
        <v>2630000</v>
      </c>
      <c r="E71" s="21" t="s">
        <v>303</v>
      </c>
      <c r="F71" s="21" t="str">
        <f t="shared" si="2"/>
        <v>rtdc.l.rtdc.4016:itc</v>
      </c>
      <c r="G71" s="8">
        <f t="shared" si="3"/>
        <v>42692.37259259259</v>
      </c>
    </row>
    <row r="72" spans="1:7" x14ac:dyDescent="0.25">
      <c r="A72" s="8">
        <v>42692.374560185184</v>
      </c>
      <c r="B72" s="21" t="s">
        <v>368</v>
      </c>
      <c r="C72" s="21" t="s">
        <v>444</v>
      </c>
      <c r="D72" s="21">
        <v>2610000</v>
      </c>
      <c r="E72" s="21" t="s">
        <v>235</v>
      </c>
      <c r="F72" s="21" t="str">
        <f t="shared" si="2"/>
        <v>rtdc.l.rtdc.4031:itc</v>
      </c>
      <c r="G72" s="8">
        <f t="shared" si="3"/>
        <v>42692.374560185184</v>
      </c>
    </row>
    <row r="73" spans="1:7" x14ac:dyDescent="0.25">
      <c r="A73" s="8">
        <v>42692.38653935185</v>
      </c>
      <c r="B73" s="21" t="s">
        <v>213</v>
      </c>
      <c r="C73" s="21" t="s">
        <v>445</v>
      </c>
      <c r="D73" s="21">
        <v>2560000</v>
      </c>
      <c r="E73" s="21" t="s">
        <v>325</v>
      </c>
      <c r="F73" s="21" t="str">
        <f t="shared" si="2"/>
        <v>rtdc.l.rtdc.4029:itc</v>
      </c>
      <c r="G73" s="8">
        <f t="shared" si="3"/>
        <v>42692.38653935185</v>
      </c>
    </row>
    <row r="74" spans="1:7" x14ac:dyDescent="0.25">
      <c r="A74" s="8">
        <v>42692.388356481482</v>
      </c>
      <c r="B74" s="21" t="s">
        <v>241</v>
      </c>
      <c r="C74" s="21" t="s">
        <v>519</v>
      </c>
      <c r="D74" s="21">
        <v>2100000</v>
      </c>
      <c r="E74" s="21" t="s">
        <v>479</v>
      </c>
      <c r="F74" s="21" t="str">
        <f t="shared" si="2"/>
        <v>rtdc.l.rtdc.4010:itc</v>
      </c>
      <c r="G74" s="8">
        <f t="shared" si="3"/>
        <v>42692.388356481482</v>
      </c>
    </row>
    <row r="75" spans="1:7" x14ac:dyDescent="0.25">
      <c r="A75" s="8">
        <v>42692.391597222224</v>
      </c>
      <c r="B75" s="21" t="s">
        <v>302</v>
      </c>
      <c r="C75" s="21" t="s">
        <v>520</v>
      </c>
      <c r="D75" s="21">
        <v>2140000</v>
      </c>
      <c r="E75" s="21" t="s">
        <v>473</v>
      </c>
      <c r="F75" s="21" t="str">
        <f t="shared" si="2"/>
        <v>rtdc.l.rtdc.4042:itc</v>
      </c>
      <c r="G75" s="8">
        <f t="shared" si="3"/>
        <v>42692.391597222224</v>
      </c>
    </row>
    <row r="76" spans="1:7" x14ac:dyDescent="0.25">
      <c r="A76" s="8">
        <v>42692.393645833334</v>
      </c>
      <c r="B76" s="21" t="s">
        <v>213</v>
      </c>
      <c r="C76" s="21" t="s">
        <v>445</v>
      </c>
      <c r="D76" s="21">
        <v>2560000</v>
      </c>
      <c r="E76" s="21" t="s">
        <v>325</v>
      </c>
      <c r="F76" s="21" t="str">
        <f t="shared" si="2"/>
        <v>rtdc.l.rtdc.4029:itc</v>
      </c>
      <c r="G76" s="8">
        <f t="shared" si="3"/>
        <v>42692.393645833334</v>
      </c>
    </row>
    <row r="77" spans="1:7" x14ac:dyDescent="0.25">
      <c r="A77" s="8">
        <v>42692.395104166666</v>
      </c>
      <c r="B77" s="21" t="s">
        <v>446</v>
      </c>
      <c r="C77" s="21" t="s">
        <v>447</v>
      </c>
      <c r="D77" s="21">
        <v>2460000</v>
      </c>
      <c r="E77" s="21" t="s">
        <v>305</v>
      </c>
      <c r="F77" s="21" t="str">
        <f t="shared" si="2"/>
        <v>rtdc.l.rtdc.4045:itc</v>
      </c>
      <c r="G77" s="8">
        <f t="shared" si="3"/>
        <v>42692.395104166666</v>
      </c>
    </row>
    <row r="78" spans="1:7" x14ac:dyDescent="0.25">
      <c r="A78" s="8">
        <v>42692.403553240743</v>
      </c>
      <c r="B78" s="21" t="s">
        <v>289</v>
      </c>
      <c r="C78" s="21" t="s">
        <v>521</v>
      </c>
      <c r="D78" s="21">
        <v>2380000</v>
      </c>
      <c r="E78" s="21" t="s">
        <v>324</v>
      </c>
      <c r="F78" s="21" t="str">
        <f t="shared" si="2"/>
        <v>rtdc.l.rtdc.4018:itc</v>
      </c>
      <c r="G78" s="8">
        <f t="shared" si="3"/>
        <v>42692.403553240743</v>
      </c>
    </row>
    <row r="79" spans="1:7" x14ac:dyDescent="0.25">
      <c r="A79" s="8">
        <v>42692.405092592591</v>
      </c>
      <c r="B79" s="21" t="s">
        <v>370</v>
      </c>
      <c r="C79" s="21" t="s">
        <v>522</v>
      </c>
      <c r="D79" s="21">
        <v>2610000</v>
      </c>
      <c r="E79" s="21" t="s">
        <v>235</v>
      </c>
      <c r="F79" s="21" t="str">
        <f t="shared" si="2"/>
        <v>rtdc.l.rtdc.4032:itc</v>
      </c>
      <c r="G79" s="8">
        <f t="shared" si="3"/>
        <v>42692.405092592591</v>
      </c>
    </row>
    <row r="80" spans="1:7" x14ac:dyDescent="0.25">
      <c r="A80" s="8">
        <v>42692.412777777776</v>
      </c>
      <c r="B80" s="21" t="s">
        <v>237</v>
      </c>
      <c r="C80" s="21" t="s">
        <v>523</v>
      </c>
      <c r="D80" s="21">
        <v>2630000</v>
      </c>
      <c r="E80" s="21" t="s">
        <v>303</v>
      </c>
      <c r="F80" s="21" t="str">
        <f t="shared" si="2"/>
        <v>rtdc.l.rtdc.4015:itc</v>
      </c>
      <c r="G80" s="8">
        <f t="shared" si="3"/>
        <v>42692.412777777776</v>
      </c>
    </row>
    <row r="81" spans="1:7" x14ac:dyDescent="0.25">
      <c r="A81" s="8">
        <v>42692.4140625</v>
      </c>
      <c r="B81" s="21" t="s">
        <v>216</v>
      </c>
      <c r="C81" s="21" t="s">
        <v>524</v>
      </c>
      <c r="D81" s="21">
        <v>2600000</v>
      </c>
      <c r="E81" s="21" t="s">
        <v>304</v>
      </c>
      <c r="F81" s="21" t="str">
        <f t="shared" si="2"/>
        <v>rtdc.l.rtdc.4011:itc</v>
      </c>
      <c r="G81" s="8">
        <f t="shared" si="3"/>
        <v>42692.4140625</v>
      </c>
    </row>
    <row r="82" spans="1:7" x14ac:dyDescent="0.25">
      <c r="A82" s="8">
        <v>42692.417094907411</v>
      </c>
      <c r="B82" s="21" t="s">
        <v>368</v>
      </c>
      <c r="C82" s="21" t="s">
        <v>525</v>
      </c>
      <c r="D82" s="21">
        <v>2610000</v>
      </c>
      <c r="E82" s="21" t="s">
        <v>235</v>
      </c>
      <c r="F82" s="21" t="str">
        <f t="shared" si="2"/>
        <v>rtdc.l.rtdc.4031:itc</v>
      </c>
      <c r="G82" s="8">
        <f t="shared" si="3"/>
        <v>42692.417094907411</v>
      </c>
    </row>
    <row r="83" spans="1:7" x14ac:dyDescent="0.25">
      <c r="A83" s="8">
        <v>42692.422696759262</v>
      </c>
      <c r="B83" s="21" t="s">
        <v>214</v>
      </c>
      <c r="C83" s="21" t="s">
        <v>526</v>
      </c>
      <c r="D83" s="21">
        <v>2560000</v>
      </c>
      <c r="E83" s="21" t="s">
        <v>325</v>
      </c>
      <c r="F83" s="21" t="str">
        <f t="shared" si="2"/>
        <v>rtdc.l.rtdc.4030:itc</v>
      </c>
      <c r="G83" s="8">
        <f t="shared" si="3"/>
        <v>42692.422696759262</v>
      </c>
    </row>
    <row r="84" spans="1:7" x14ac:dyDescent="0.25">
      <c r="A84" s="8">
        <v>42692.423946759256</v>
      </c>
      <c r="B84" s="21" t="s">
        <v>448</v>
      </c>
      <c r="C84" s="21" t="s">
        <v>449</v>
      </c>
      <c r="D84" s="21">
        <v>2100000</v>
      </c>
      <c r="E84" s="21" t="s">
        <v>479</v>
      </c>
      <c r="F84" s="21" t="str">
        <f t="shared" si="2"/>
        <v>rtdc.l.rtdc.4025:itc</v>
      </c>
      <c r="G84" s="8">
        <f t="shared" si="3"/>
        <v>42692.423946759256</v>
      </c>
    </row>
    <row r="85" spans="1:7" x14ac:dyDescent="0.25">
      <c r="A85" s="8">
        <v>42692.426226851851</v>
      </c>
      <c r="B85" s="21" t="s">
        <v>301</v>
      </c>
      <c r="C85" s="21" t="s">
        <v>527</v>
      </c>
      <c r="D85" s="21">
        <v>2140000</v>
      </c>
      <c r="E85" s="21" t="s">
        <v>473</v>
      </c>
      <c r="F85" s="21" t="str">
        <f t="shared" si="2"/>
        <v>rtdc.l.rtdc.4041:itc</v>
      </c>
      <c r="G85" s="8">
        <f t="shared" si="3"/>
        <v>42692.426226851851</v>
      </c>
    </row>
    <row r="86" spans="1:7" x14ac:dyDescent="0.25">
      <c r="A86" s="8">
        <v>42692.43141203704</v>
      </c>
      <c r="B86" s="21" t="s">
        <v>448</v>
      </c>
      <c r="C86" s="21" t="s">
        <v>449</v>
      </c>
      <c r="D86" s="21">
        <v>2100000</v>
      </c>
      <c r="E86" s="21" t="s">
        <v>479</v>
      </c>
      <c r="F86" s="21" t="str">
        <f t="shared" si="2"/>
        <v>rtdc.l.rtdc.4025:itc</v>
      </c>
      <c r="G86" s="8">
        <f t="shared" si="3"/>
        <v>42692.43141203704</v>
      </c>
    </row>
    <row r="87" spans="1:7" x14ac:dyDescent="0.25">
      <c r="A87" s="8">
        <v>42692.434421296297</v>
      </c>
      <c r="B87" s="21" t="s">
        <v>450</v>
      </c>
      <c r="C87" s="21" t="s">
        <v>451</v>
      </c>
      <c r="D87" s="21">
        <v>1760000</v>
      </c>
      <c r="E87" s="21" t="s">
        <v>323</v>
      </c>
      <c r="F87" s="21" t="str">
        <f t="shared" si="2"/>
        <v>rtdc.l.rtdc.4046:itc</v>
      </c>
      <c r="G87" s="8">
        <f t="shared" si="3"/>
        <v>42692.434421296297</v>
      </c>
    </row>
    <row r="88" spans="1:7" x14ac:dyDescent="0.25">
      <c r="A88" s="8">
        <v>42692.438703703701</v>
      </c>
      <c r="B88" s="21" t="s">
        <v>369</v>
      </c>
      <c r="C88" s="21" t="s">
        <v>528</v>
      </c>
      <c r="D88" s="21">
        <v>2380000</v>
      </c>
      <c r="E88" s="21" t="s">
        <v>324</v>
      </c>
      <c r="F88" s="21" t="str">
        <f t="shared" si="2"/>
        <v>rtdc.l.rtdc.4017:itc</v>
      </c>
      <c r="G88" s="8">
        <f t="shared" si="3"/>
        <v>42692.438703703701</v>
      </c>
    </row>
    <row r="89" spans="1:7" x14ac:dyDescent="0.25">
      <c r="A89" s="8">
        <v>42692.441944444443</v>
      </c>
      <c r="B89" s="21" t="s">
        <v>236</v>
      </c>
      <c r="C89" s="21" t="s">
        <v>529</v>
      </c>
      <c r="D89" s="21">
        <v>2630000</v>
      </c>
      <c r="E89" s="21" t="s">
        <v>303</v>
      </c>
      <c r="F89" s="21" t="str">
        <f t="shared" si="2"/>
        <v>rtdc.l.rtdc.4016:itc</v>
      </c>
      <c r="G89" s="8">
        <f t="shared" si="3"/>
        <v>42692.441944444443</v>
      </c>
    </row>
    <row r="90" spans="1:7" x14ac:dyDescent="0.25">
      <c r="A90" s="8">
        <v>42692.442870370367</v>
      </c>
      <c r="B90" s="21" t="s">
        <v>370</v>
      </c>
      <c r="C90" s="21" t="s">
        <v>452</v>
      </c>
      <c r="D90" s="21">
        <v>2610000</v>
      </c>
      <c r="E90" s="21" t="s">
        <v>235</v>
      </c>
      <c r="F90" s="21" t="str">
        <f t="shared" si="2"/>
        <v>rtdc.l.rtdc.4032:itc</v>
      </c>
      <c r="G90" s="8">
        <f t="shared" si="3"/>
        <v>42692.442870370367</v>
      </c>
    </row>
    <row r="91" spans="1:7" x14ac:dyDescent="0.25">
      <c r="A91" s="8">
        <v>42692.446400462963</v>
      </c>
      <c r="B91" s="21" t="s">
        <v>229</v>
      </c>
      <c r="C91" s="21" t="s">
        <v>530</v>
      </c>
      <c r="D91" s="21">
        <v>2600000</v>
      </c>
      <c r="E91" s="21" t="s">
        <v>304</v>
      </c>
      <c r="F91" s="21" t="str">
        <f t="shared" si="2"/>
        <v>rtdc.l.rtdc.4012:itc</v>
      </c>
      <c r="G91" s="8">
        <f t="shared" si="3"/>
        <v>42692.446400462963</v>
      </c>
    </row>
    <row r="92" spans="1:7" x14ac:dyDescent="0.25">
      <c r="A92" s="8">
        <v>42692.455914351849</v>
      </c>
      <c r="B92" s="21" t="s">
        <v>213</v>
      </c>
      <c r="C92" s="21" t="s">
        <v>531</v>
      </c>
      <c r="D92" s="21">
        <v>880000</v>
      </c>
      <c r="E92" s="21" t="s">
        <v>532</v>
      </c>
      <c r="F92" s="21" t="str">
        <f t="shared" si="2"/>
        <v>rtdc.l.rtdc.4029:itc</v>
      </c>
      <c r="G92" s="8">
        <f t="shared" si="3"/>
        <v>42692.455914351849</v>
      </c>
    </row>
    <row r="93" spans="1:7" x14ac:dyDescent="0.25">
      <c r="A93" s="8">
        <v>42692.461180555554</v>
      </c>
      <c r="B93" s="21" t="s">
        <v>432</v>
      </c>
      <c r="C93" s="21" t="s">
        <v>533</v>
      </c>
      <c r="D93" s="21">
        <v>2100000</v>
      </c>
      <c r="E93" s="21" t="s">
        <v>479</v>
      </c>
      <c r="F93" s="21" t="str">
        <f t="shared" si="2"/>
        <v>rtdc.l.rtdc.4026:itc</v>
      </c>
      <c r="G93" s="8">
        <f t="shared" si="3"/>
        <v>42692.461180555554</v>
      </c>
    </row>
    <row r="94" spans="1:7" x14ac:dyDescent="0.25">
      <c r="A94" s="8">
        <v>42692.464201388888</v>
      </c>
      <c r="B94" s="21" t="s">
        <v>302</v>
      </c>
      <c r="C94" s="21" t="s">
        <v>534</v>
      </c>
      <c r="D94" s="21">
        <v>930000</v>
      </c>
      <c r="E94" s="21" t="s">
        <v>535</v>
      </c>
      <c r="F94" s="21" t="str">
        <f t="shared" si="2"/>
        <v>rtdc.l.rtdc.4042:itc</v>
      </c>
      <c r="G94" s="8">
        <f t="shared" si="3"/>
        <v>42692.464201388888</v>
      </c>
    </row>
    <row r="95" spans="1:7" x14ac:dyDescent="0.25">
      <c r="A95" s="8">
        <v>42692.46806712963</v>
      </c>
      <c r="B95" s="21" t="s">
        <v>446</v>
      </c>
      <c r="C95" s="21" t="s">
        <v>536</v>
      </c>
      <c r="D95" s="21">
        <v>1760000</v>
      </c>
      <c r="E95" s="21" t="s">
        <v>323</v>
      </c>
      <c r="F95" s="21" t="str">
        <f t="shared" si="2"/>
        <v>rtdc.l.rtdc.4045:itc</v>
      </c>
      <c r="G95" s="8">
        <f t="shared" si="3"/>
        <v>42692.46806712963</v>
      </c>
    </row>
    <row r="96" spans="1:7" x14ac:dyDescent="0.25">
      <c r="A96" s="8">
        <v>42692.468657407408</v>
      </c>
      <c r="B96" s="21" t="s">
        <v>186</v>
      </c>
      <c r="C96" s="21" t="s">
        <v>537</v>
      </c>
      <c r="D96" s="21">
        <v>2090000</v>
      </c>
      <c r="E96" s="21" t="s">
        <v>538</v>
      </c>
      <c r="F96" s="21" t="str">
        <f t="shared" si="2"/>
        <v>rtdc.l.rtdc.4009:itc</v>
      </c>
      <c r="G96" s="8">
        <f t="shared" si="3"/>
        <v>42692.468657407408</v>
      </c>
    </row>
    <row r="97" spans="1:7" x14ac:dyDescent="0.25">
      <c r="A97" s="8">
        <v>42692.469884259262</v>
      </c>
      <c r="B97" s="21" t="s">
        <v>368</v>
      </c>
      <c r="C97" s="21" t="s">
        <v>539</v>
      </c>
      <c r="D97" s="21">
        <v>2560000</v>
      </c>
      <c r="E97" s="21" t="s">
        <v>325</v>
      </c>
      <c r="F97" s="21" t="str">
        <f t="shared" si="2"/>
        <v>rtdc.l.rtdc.4031:itc</v>
      </c>
      <c r="G97" s="8">
        <f t="shared" si="3"/>
        <v>42692.469884259262</v>
      </c>
    </row>
    <row r="98" spans="1:7" x14ac:dyDescent="0.25">
      <c r="A98" s="8">
        <v>42692.475405092591</v>
      </c>
      <c r="B98" s="21" t="s">
        <v>289</v>
      </c>
      <c r="C98" s="21" t="s">
        <v>540</v>
      </c>
      <c r="D98" s="21">
        <v>940000</v>
      </c>
      <c r="E98" s="21" t="s">
        <v>375</v>
      </c>
      <c r="F98" s="21" t="str">
        <f t="shared" si="2"/>
        <v>rtdc.l.rtdc.4018:itc</v>
      </c>
      <c r="G98" s="8">
        <f t="shared" si="3"/>
        <v>42692.475405092591</v>
      </c>
    </row>
    <row r="99" spans="1:7" x14ac:dyDescent="0.25">
      <c r="A99" s="8">
        <v>42692.479791666665</v>
      </c>
      <c r="B99" s="21" t="s">
        <v>237</v>
      </c>
      <c r="C99" s="21" t="s">
        <v>541</v>
      </c>
      <c r="D99" s="21">
        <v>2630000</v>
      </c>
      <c r="E99" s="21" t="s">
        <v>303</v>
      </c>
      <c r="F99" s="21" t="str">
        <f t="shared" si="2"/>
        <v>rtdc.l.rtdc.4015:itc</v>
      </c>
      <c r="G99" s="8">
        <f t="shared" si="3"/>
        <v>42692.479791666665</v>
      </c>
    </row>
    <row r="100" spans="1:7" x14ac:dyDescent="0.25">
      <c r="A100" s="8">
        <v>42692.482060185182</v>
      </c>
      <c r="B100" s="21" t="s">
        <v>223</v>
      </c>
      <c r="C100" s="21" t="s">
        <v>453</v>
      </c>
      <c r="D100" s="21">
        <v>2220000</v>
      </c>
      <c r="E100" s="21" t="s">
        <v>329</v>
      </c>
      <c r="F100" s="21" t="str">
        <f t="shared" si="2"/>
        <v>rtdc.l.rtdc.4039:itc</v>
      </c>
      <c r="G100" s="8">
        <f t="shared" si="3"/>
        <v>42692.482060185182</v>
      </c>
    </row>
    <row r="101" spans="1:7" x14ac:dyDescent="0.25">
      <c r="A101" s="8">
        <v>42692.486076388886</v>
      </c>
      <c r="B101" s="21" t="s">
        <v>370</v>
      </c>
      <c r="C101" s="21" t="s">
        <v>542</v>
      </c>
      <c r="D101" s="21">
        <v>2560000</v>
      </c>
      <c r="E101" s="21" t="s">
        <v>325</v>
      </c>
      <c r="F101" s="21" t="str">
        <f t="shared" si="2"/>
        <v>rtdc.l.rtdc.4032:itc</v>
      </c>
      <c r="G101" s="8">
        <f t="shared" si="3"/>
        <v>42692.486076388886</v>
      </c>
    </row>
    <row r="102" spans="1:7" x14ac:dyDescent="0.25">
      <c r="A102" s="8">
        <v>42692.486215277779</v>
      </c>
      <c r="B102" s="21" t="s">
        <v>241</v>
      </c>
      <c r="C102" s="21" t="s">
        <v>543</v>
      </c>
      <c r="D102" s="21">
        <v>2090000</v>
      </c>
      <c r="E102" s="21" t="s">
        <v>538</v>
      </c>
      <c r="F102" s="21" t="str">
        <f t="shared" si="2"/>
        <v>rtdc.l.rtdc.4010:itc</v>
      </c>
      <c r="G102" s="8">
        <f t="shared" si="3"/>
        <v>42692.486215277779</v>
      </c>
    </row>
    <row r="103" spans="1:7" x14ac:dyDescent="0.25">
      <c r="A103" s="8">
        <v>42692.487881944442</v>
      </c>
      <c r="B103" s="21" t="s">
        <v>216</v>
      </c>
      <c r="C103" s="21" t="s">
        <v>544</v>
      </c>
      <c r="D103" s="21">
        <v>2430000</v>
      </c>
      <c r="E103" s="21" t="s">
        <v>290</v>
      </c>
      <c r="F103" s="21" t="str">
        <f t="shared" si="2"/>
        <v>rtdc.l.rtdc.4011:itc</v>
      </c>
      <c r="G103" s="8">
        <f t="shared" si="3"/>
        <v>42692.487881944442</v>
      </c>
    </row>
    <row r="104" spans="1:7" x14ac:dyDescent="0.25">
      <c r="A104" s="8">
        <v>42692.495405092595</v>
      </c>
      <c r="B104" s="21" t="s">
        <v>214</v>
      </c>
      <c r="C104" s="21" t="s">
        <v>545</v>
      </c>
      <c r="D104" s="21">
        <v>880000</v>
      </c>
      <c r="E104" s="21" t="s">
        <v>532</v>
      </c>
      <c r="F104" s="21" t="str">
        <f t="shared" si="2"/>
        <v>rtdc.l.rtdc.4030:itc</v>
      </c>
      <c r="G104" s="8">
        <f t="shared" si="3"/>
        <v>42692.495405092595</v>
      </c>
    </row>
    <row r="105" spans="1:7" x14ac:dyDescent="0.25">
      <c r="A105" s="8">
        <v>42692.49628472222</v>
      </c>
      <c r="B105" s="21" t="s">
        <v>448</v>
      </c>
      <c r="C105" s="21" t="s">
        <v>546</v>
      </c>
      <c r="D105" s="21">
        <v>2220000</v>
      </c>
      <c r="E105" s="21" t="s">
        <v>329</v>
      </c>
      <c r="F105" s="21" t="str">
        <f t="shared" si="2"/>
        <v>rtdc.l.rtdc.4025:itc</v>
      </c>
      <c r="G105" s="8">
        <f t="shared" si="3"/>
        <v>42692.49628472222</v>
      </c>
    </row>
    <row r="106" spans="1:7" x14ac:dyDescent="0.25">
      <c r="A106" s="8">
        <v>42692.50136574074</v>
      </c>
      <c r="B106" s="21" t="s">
        <v>301</v>
      </c>
      <c r="C106" s="21" t="s">
        <v>547</v>
      </c>
      <c r="D106" s="21">
        <v>930000</v>
      </c>
      <c r="E106" s="21" t="s">
        <v>535</v>
      </c>
      <c r="F106" s="21" t="str">
        <f t="shared" si="2"/>
        <v>rtdc.l.rtdc.4041:itc</v>
      </c>
      <c r="G106" s="8">
        <f t="shared" si="3"/>
        <v>42692.50136574074</v>
      </c>
    </row>
    <row r="107" spans="1:7" x14ac:dyDescent="0.25">
      <c r="A107" s="8">
        <v>42692.505601851852</v>
      </c>
      <c r="B107" s="21" t="s">
        <v>368</v>
      </c>
      <c r="C107" s="21" t="s">
        <v>454</v>
      </c>
      <c r="D107" s="21">
        <v>2460000</v>
      </c>
      <c r="E107" s="21" t="s">
        <v>305</v>
      </c>
      <c r="F107" s="21" t="str">
        <f t="shared" si="2"/>
        <v>rtdc.l.rtdc.4031:itc</v>
      </c>
      <c r="G107" s="8">
        <f t="shared" si="3"/>
        <v>42692.505601851852</v>
      </c>
    </row>
    <row r="108" spans="1:7" x14ac:dyDescent="0.25">
      <c r="A108" s="8">
        <v>42692.507245370369</v>
      </c>
      <c r="B108" s="21" t="s">
        <v>450</v>
      </c>
      <c r="C108" s="21" t="s">
        <v>548</v>
      </c>
      <c r="D108" s="21">
        <v>2020000</v>
      </c>
      <c r="E108" s="21" t="s">
        <v>373</v>
      </c>
      <c r="F108" s="21" t="str">
        <f t="shared" si="2"/>
        <v>rtdc.l.rtdc.4046:itc</v>
      </c>
      <c r="G108" s="8">
        <f t="shared" si="3"/>
        <v>42692.507245370369</v>
      </c>
    </row>
    <row r="109" spans="1:7" x14ac:dyDescent="0.25">
      <c r="A109" s="8">
        <v>42692.509629629632</v>
      </c>
      <c r="B109" s="21" t="s">
        <v>219</v>
      </c>
      <c r="C109" s="21" t="s">
        <v>549</v>
      </c>
      <c r="D109" s="21">
        <v>2100000</v>
      </c>
      <c r="E109" s="21" t="s">
        <v>479</v>
      </c>
      <c r="F109" s="21" t="str">
        <f t="shared" si="2"/>
        <v>rtdc.l.rtdc.4040:itc</v>
      </c>
      <c r="G109" s="8">
        <f t="shared" si="3"/>
        <v>42692.509629629632</v>
      </c>
    </row>
    <row r="110" spans="1:7" x14ac:dyDescent="0.25">
      <c r="A110" s="8">
        <v>42692.513645833336</v>
      </c>
      <c r="B110" s="21" t="s">
        <v>369</v>
      </c>
      <c r="C110" s="21" t="s">
        <v>550</v>
      </c>
      <c r="D110" s="21">
        <v>940000</v>
      </c>
      <c r="E110" s="21" t="s">
        <v>375</v>
      </c>
      <c r="F110" s="21" t="str">
        <f t="shared" si="2"/>
        <v>rtdc.l.rtdc.4017:itc</v>
      </c>
      <c r="G110" s="8">
        <f t="shared" si="3"/>
        <v>42692.513645833336</v>
      </c>
    </row>
    <row r="111" spans="1:7" x14ac:dyDescent="0.25">
      <c r="A111" s="8">
        <v>42692.516863425924</v>
      </c>
      <c r="B111" s="21" t="s">
        <v>236</v>
      </c>
      <c r="C111" s="21" t="s">
        <v>551</v>
      </c>
      <c r="D111" s="21">
        <v>2270000</v>
      </c>
      <c r="E111" s="21" t="s">
        <v>326</v>
      </c>
      <c r="F111" s="21" t="str">
        <f t="shared" si="2"/>
        <v>rtdc.l.rtdc.4016:itc</v>
      </c>
      <c r="G111" s="8">
        <f t="shared" si="3"/>
        <v>42692.516863425924</v>
      </c>
    </row>
    <row r="112" spans="1:7" x14ac:dyDescent="0.25">
      <c r="A112" s="8">
        <v>42692.524456018517</v>
      </c>
      <c r="B112" s="21" t="s">
        <v>229</v>
      </c>
      <c r="C112" s="21" t="s">
        <v>552</v>
      </c>
      <c r="D112" s="21">
        <v>2430000</v>
      </c>
      <c r="E112" s="21" t="s">
        <v>290</v>
      </c>
      <c r="F112" s="21" t="str">
        <f t="shared" si="2"/>
        <v>rtdc.l.rtdc.4012:itc</v>
      </c>
      <c r="G112" s="8">
        <f t="shared" si="3"/>
        <v>42692.524456018517</v>
      </c>
    </row>
    <row r="113" spans="1:7" x14ac:dyDescent="0.25">
      <c r="A113" s="8">
        <v>42692.527268518519</v>
      </c>
      <c r="B113" s="21" t="s">
        <v>213</v>
      </c>
      <c r="C113" s="21" t="s">
        <v>456</v>
      </c>
      <c r="D113" s="21">
        <v>880000</v>
      </c>
      <c r="E113" s="21" t="s">
        <v>532</v>
      </c>
      <c r="F113" s="21" t="str">
        <f t="shared" si="2"/>
        <v>rtdc.l.rtdc.4029:itc</v>
      </c>
      <c r="G113" s="8">
        <f t="shared" si="3"/>
        <v>42692.527268518519</v>
      </c>
    </row>
    <row r="114" spans="1:7" x14ac:dyDescent="0.25">
      <c r="A114" s="8">
        <v>42692.527685185189</v>
      </c>
      <c r="B114" s="21" t="s">
        <v>370</v>
      </c>
      <c r="C114" s="21" t="s">
        <v>455</v>
      </c>
      <c r="D114" s="21">
        <v>2460000</v>
      </c>
      <c r="E114" s="21" t="s">
        <v>305</v>
      </c>
      <c r="F114" s="21" t="str">
        <f t="shared" si="2"/>
        <v>rtdc.l.rtdc.4032:itc</v>
      </c>
      <c r="G114" s="8">
        <f t="shared" si="3"/>
        <v>42692.527685185189</v>
      </c>
    </row>
    <row r="115" spans="1:7" x14ac:dyDescent="0.25">
      <c r="A115" s="8">
        <v>42692.530416666668</v>
      </c>
      <c r="B115" s="21" t="s">
        <v>432</v>
      </c>
      <c r="C115" s="21" t="s">
        <v>553</v>
      </c>
      <c r="D115" s="21">
        <v>2220000</v>
      </c>
      <c r="E115" s="21" t="s">
        <v>329</v>
      </c>
      <c r="F115" s="21" t="str">
        <f t="shared" si="2"/>
        <v>rtdc.l.rtdc.4026:itc</v>
      </c>
      <c r="G115" s="8">
        <f t="shared" si="3"/>
        <v>42692.530416666668</v>
      </c>
    </row>
    <row r="116" spans="1:7" x14ac:dyDescent="0.25">
      <c r="A116" s="8">
        <v>42692.53869212963</v>
      </c>
      <c r="B116" s="21" t="s">
        <v>302</v>
      </c>
      <c r="C116" s="21" t="s">
        <v>554</v>
      </c>
      <c r="D116" s="21">
        <v>930000</v>
      </c>
      <c r="E116" s="21" t="s">
        <v>535</v>
      </c>
      <c r="F116" s="21" t="str">
        <f t="shared" si="2"/>
        <v>rtdc.l.rtdc.4042:itc</v>
      </c>
      <c r="G116" s="8">
        <f t="shared" si="3"/>
        <v>42692.53869212963</v>
      </c>
    </row>
    <row r="117" spans="1:7" x14ac:dyDescent="0.25">
      <c r="A117" s="8">
        <v>42692.544409722221</v>
      </c>
      <c r="B117" s="21" t="s">
        <v>368</v>
      </c>
      <c r="C117" s="21" t="s">
        <v>555</v>
      </c>
      <c r="D117" s="21">
        <v>2550000</v>
      </c>
      <c r="E117" s="21" t="s">
        <v>234</v>
      </c>
      <c r="F117" s="21" t="str">
        <f t="shared" si="2"/>
        <v>rtdc.l.rtdc.4031:itc</v>
      </c>
      <c r="G117" s="8">
        <f t="shared" si="3"/>
        <v>42692.544409722221</v>
      </c>
    </row>
    <row r="118" spans="1:7" x14ac:dyDescent="0.25">
      <c r="A118" s="8">
        <v>42692.545868055553</v>
      </c>
      <c r="B118" s="21" t="s">
        <v>446</v>
      </c>
      <c r="C118" s="21" t="s">
        <v>556</v>
      </c>
      <c r="D118" s="21">
        <v>2020000</v>
      </c>
      <c r="E118" s="21" t="s">
        <v>373</v>
      </c>
      <c r="F118" s="21" t="str">
        <f t="shared" si="2"/>
        <v>rtdc.l.rtdc.4045:itc</v>
      </c>
      <c r="G118" s="8">
        <f t="shared" si="3"/>
        <v>42692.545868055553</v>
      </c>
    </row>
    <row r="119" spans="1:7" x14ac:dyDescent="0.25">
      <c r="A119" s="8">
        <v>42692.54587962963</v>
      </c>
      <c r="B119" s="21" t="s">
        <v>289</v>
      </c>
      <c r="C119" s="21" t="s">
        <v>557</v>
      </c>
      <c r="D119" s="21">
        <v>940000</v>
      </c>
      <c r="E119" s="21" t="s">
        <v>375</v>
      </c>
      <c r="F119" s="21" t="str">
        <f t="shared" si="2"/>
        <v>rtdc.l.rtdc.4018:itc</v>
      </c>
      <c r="G119" s="8">
        <f t="shared" si="3"/>
        <v>42692.54587962963</v>
      </c>
    </row>
    <row r="120" spans="1:7" x14ac:dyDescent="0.25">
      <c r="A120" s="8">
        <v>42692.552060185182</v>
      </c>
      <c r="B120" s="21" t="s">
        <v>237</v>
      </c>
      <c r="C120" s="21" t="s">
        <v>558</v>
      </c>
      <c r="D120" s="21">
        <v>2270000</v>
      </c>
      <c r="E120" s="21" t="s">
        <v>326</v>
      </c>
      <c r="F120" s="21" t="str">
        <f t="shared" si="2"/>
        <v>rtdc.l.rtdc.4015:itc</v>
      </c>
      <c r="G120" s="8">
        <f t="shared" si="3"/>
        <v>42692.552060185182</v>
      </c>
    </row>
    <row r="121" spans="1:7" x14ac:dyDescent="0.25">
      <c r="A121" s="8">
        <v>42692.559490740743</v>
      </c>
      <c r="B121" s="21" t="s">
        <v>216</v>
      </c>
      <c r="C121" s="21" t="s">
        <v>559</v>
      </c>
      <c r="D121" s="21">
        <v>2430000</v>
      </c>
      <c r="E121" s="21" t="s">
        <v>290</v>
      </c>
      <c r="F121" s="21" t="str">
        <f t="shared" si="2"/>
        <v>rtdc.l.rtdc.4011:itc</v>
      </c>
      <c r="G121" s="8">
        <f t="shared" si="3"/>
        <v>42692.559490740743</v>
      </c>
    </row>
    <row r="122" spans="1:7" x14ac:dyDescent="0.25">
      <c r="A122" s="8">
        <v>42692.56689814815</v>
      </c>
      <c r="B122" s="26" t="s">
        <v>214</v>
      </c>
      <c r="C122" s="21" t="s">
        <v>560</v>
      </c>
      <c r="D122" s="21">
        <v>880000</v>
      </c>
      <c r="E122" s="21" t="s">
        <v>532</v>
      </c>
      <c r="F122" s="21" t="str">
        <f t="shared" si="2"/>
        <v>rtdc.l.rtdc.4030:itc</v>
      </c>
      <c r="G122" s="8">
        <f t="shared" si="3"/>
        <v>42692.56689814815</v>
      </c>
    </row>
    <row r="123" spans="1:7" x14ac:dyDescent="0.25">
      <c r="A123" s="8">
        <v>42692.568020833336</v>
      </c>
      <c r="B123" s="21" t="s">
        <v>448</v>
      </c>
      <c r="C123" s="21" t="s">
        <v>457</v>
      </c>
      <c r="D123" s="21">
        <v>2220000</v>
      </c>
      <c r="E123" s="21" t="s">
        <v>329</v>
      </c>
      <c r="F123" s="21" t="str">
        <f t="shared" si="2"/>
        <v>rtdc.l.rtdc.4025:itc</v>
      </c>
      <c r="G123" s="8">
        <f t="shared" si="3"/>
        <v>42692.568020833336</v>
      </c>
    </row>
    <row r="124" spans="1:7" x14ac:dyDescent="0.25">
      <c r="A124" s="8">
        <v>42692.568090277775</v>
      </c>
      <c r="B124" s="21" t="s">
        <v>370</v>
      </c>
      <c r="C124" s="21" t="s">
        <v>561</v>
      </c>
      <c r="D124" s="21">
        <v>2550000</v>
      </c>
      <c r="E124" s="21" t="s">
        <v>234</v>
      </c>
      <c r="F124" s="21" t="str">
        <f t="shared" si="2"/>
        <v>rtdc.l.rtdc.4032:itc</v>
      </c>
      <c r="G124" s="8">
        <f t="shared" si="3"/>
        <v>42692.568090277775</v>
      </c>
    </row>
    <row r="125" spans="1:7" x14ac:dyDescent="0.25">
      <c r="A125" s="8">
        <v>42692.575810185182</v>
      </c>
      <c r="B125" s="21" t="s">
        <v>301</v>
      </c>
      <c r="C125" s="21" t="s">
        <v>562</v>
      </c>
      <c r="D125" s="21">
        <v>930000</v>
      </c>
      <c r="E125" s="21" t="s">
        <v>535</v>
      </c>
      <c r="F125" s="21" t="str">
        <f t="shared" si="2"/>
        <v>rtdc.l.rtdc.4041:itc</v>
      </c>
      <c r="G125" s="8">
        <f t="shared" si="3"/>
        <v>42692.575810185182</v>
      </c>
    </row>
    <row r="126" spans="1:7" x14ac:dyDescent="0.25">
      <c r="A126" s="8">
        <v>42692.579942129632</v>
      </c>
      <c r="B126" s="21" t="s">
        <v>450</v>
      </c>
      <c r="C126" s="21" t="s">
        <v>563</v>
      </c>
      <c r="D126" s="21">
        <v>2020000</v>
      </c>
      <c r="E126" s="21" t="s">
        <v>373</v>
      </c>
      <c r="F126" s="21" t="str">
        <f t="shared" si="2"/>
        <v>rtdc.l.rtdc.4046:itc</v>
      </c>
      <c r="G126" s="8">
        <f t="shared" si="3"/>
        <v>42692.579942129632</v>
      </c>
    </row>
    <row r="127" spans="1:7" x14ac:dyDescent="0.25">
      <c r="A127" s="8">
        <v>42692.583229166667</v>
      </c>
      <c r="B127" s="21" t="s">
        <v>369</v>
      </c>
      <c r="C127" s="21" t="s">
        <v>458</v>
      </c>
      <c r="D127" s="21">
        <v>940000</v>
      </c>
      <c r="E127" s="21" t="s">
        <v>375</v>
      </c>
      <c r="F127" s="21" t="str">
        <f t="shared" si="2"/>
        <v>rtdc.l.rtdc.4017:itc</v>
      </c>
      <c r="G127" s="8">
        <f t="shared" si="3"/>
        <v>42692.583229166667</v>
      </c>
    </row>
    <row r="128" spans="1:7" x14ac:dyDescent="0.25">
      <c r="A128" s="8">
        <v>42692.589166666665</v>
      </c>
      <c r="B128" s="21" t="s">
        <v>236</v>
      </c>
      <c r="C128" s="21" t="s">
        <v>564</v>
      </c>
      <c r="D128" s="21">
        <v>2270000</v>
      </c>
      <c r="E128" s="21" t="s">
        <v>326</v>
      </c>
      <c r="F128" s="21" t="str">
        <f t="shared" si="2"/>
        <v>rtdc.l.rtdc.4016:itc</v>
      </c>
      <c r="G128" s="8">
        <f t="shared" si="3"/>
        <v>42692.589166666665</v>
      </c>
    </row>
    <row r="129" spans="1:7" x14ac:dyDescent="0.25">
      <c r="A129" s="8">
        <v>42692.594085648147</v>
      </c>
      <c r="B129" s="21" t="s">
        <v>368</v>
      </c>
      <c r="C129" s="21" t="s">
        <v>565</v>
      </c>
      <c r="D129" s="21">
        <v>2550000</v>
      </c>
      <c r="E129" s="21" t="s">
        <v>234</v>
      </c>
      <c r="F129" s="21" t="str">
        <f t="shared" si="2"/>
        <v>rtdc.l.rtdc.4031:itc</v>
      </c>
      <c r="G129" s="8">
        <f t="shared" si="3"/>
        <v>42692.594085648147</v>
      </c>
    </row>
    <row r="130" spans="1:7" x14ac:dyDescent="0.25">
      <c r="A130" s="8">
        <v>42692.595543981479</v>
      </c>
      <c r="B130" s="21" t="s">
        <v>229</v>
      </c>
      <c r="C130" s="21" t="s">
        <v>566</v>
      </c>
      <c r="D130" s="21">
        <v>2430000</v>
      </c>
      <c r="E130" s="21" t="s">
        <v>290</v>
      </c>
      <c r="F130" s="21" t="str">
        <f t="shared" ref="F130:F193" si="4">B130</f>
        <v>rtdc.l.rtdc.4012:itc</v>
      </c>
      <c r="G130" s="8">
        <f t="shared" ref="G130:G193" si="5">A130</f>
        <v>42692.595543981479</v>
      </c>
    </row>
    <row r="131" spans="1:7" x14ac:dyDescent="0.25">
      <c r="A131" s="8">
        <v>42692.599745370368</v>
      </c>
      <c r="B131" s="21" t="s">
        <v>213</v>
      </c>
      <c r="C131" s="21" t="s">
        <v>567</v>
      </c>
      <c r="D131" s="21">
        <v>880000</v>
      </c>
      <c r="E131" s="21" t="s">
        <v>532</v>
      </c>
      <c r="F131" s="21" t="str">
        <f t="shared" si="4"/>
        <v>rtdc.l.rtdc.4029:itc</v>
      </c>
      <c r="G131" s="8">
        <f t="shared" si="5"/>
        <v>42692.599745370368</v>
      </c>
    </row>
    <row r="132" spans="1:7" x14ac:dyDescent="0.25">
      <c r="A132" s="8">
        <v>42692.602743055555</v>
      </c>
      <c r="B132" s="21" t="s">
        <v>432</v>
      </c>
      <c r="C132" s="21" t="s">
        <v>568</v>
      </c>
      <c r="D132" s="21">
        <v>2220000</v>
      </c>
      <c r="E132" s="21" t="s">
        <v>329</v>
      </c>
      <c r="F132" s="21" t="str">
        <f t="shared" si="4"/>
        <v>rtdc.l.rtdc.4026:itc</v>
      </c>
      <c r="G132" s="8">
        <f t="shared" si="5"/>
        <v>42692.602743055555</v>
      </c>
    </row>
    <row r="133" spans="1:7" x14ac:dyDescent="0.25">
      <c r="A133" s="8">
        <v>42692.609675925924</v>
      </c>
      <c r="B133" s="21" t="s">
        <v>370</v>
      </c>
      <c r="C133" s="21" t="s">
        <v>459</v>
      </c>
      <c r="D133" s="21">
        <v>2550000</v>
      </c>
      <c r="E133" s="21" t="s">
        <v>234</v>
      </c>
      <c r="F133" s="21" t="str">
        <f t="shared" si="4"/>
        <v>rtdc.l.rtdc.4032:itc</v>
      </c>
      <c r="G133" s="8">
        <f t="shared" si="5"/>
        <v>42692.609675925924</v>
      </c>
    </row>
    <row r="134" spans="1:7" x14ac:dyDescent="0.25">
      <c r="A134" s="8">
        <v>42692.610844907409</v>
      </c>
      <c r="B134" s="21" t="s">
        <v>302</v>
      </c>
      <c r="C134" s="21" t="s">
        <v>460</v>
      </c>
      <c r="D134" s="21">
        <v>930000</v>
      </c>
      <c r="E134" s="21" t="s">
        <v>535</v>
      </c>
      <c r="F134" s="21" t="str">
        <f t="shared" si="4"/>
        <v>rtdc.l.rtdc.4042:itc</v>
      </c>
      <c r="G134" s="8">
        <f t="shared" si="5"/>
        <v>42692.610844907409</v>
      </c>
    </row>
    <row r="135" spans="1:7" x14ac:dyDescent="0.25">
      <c r="A135" s="8">
        <v>42692.617627314816</v>
      </c>
      <c r="B135" s="21" t="s">
        <v>446</v>
      </c>
      <c r="C135" s="21" t="s">
        <v>569</v>
      </c>
      <c r="D135" s="21">
        <v>2020000</v>
      </c>
      <c r="E135" s="21" t="s">
        <v>373</v>
      </c>
      <c r="F135" s="21" t="str">
        <f t="shared" si="4"/>
        <v>rtdc.l.rtdc.4045:itc</v>
      </c>
      <c r="G135" s="8">
        <f t="shared" si="5"/>
        <v>42692.617627314816</v>
      </c>
    </row>
    <row r="136" spans="1:7" x14ac:dyDescent="0.25">
      <c r="A136" s="8">
        <v>42692.620104166665</v>
      </c>
      <c r="B136" s="21" t="s">
        <v>289</v>
      </c>
      <c r="C136" s="21" t="s">
        <v>570</v>
      </c>
      <c r="D136" s="21">
        <v>940000</v>
      </c>
      <c r="E136" s="21" t="s">
        <v>375</v>
      </c>
      <c r="F136" s="21" t="str">
        <f t="shared" si="4"/>
        <v>rtdc.l.rtdc.4018:itc</v>
      </c>
      <c r="G136" s="8">
        <f t="shared" si="5"/>
        <v>42692.620104166665</v>
      </c>
    </row>
    <row r="137" spans="1:7" x14ac:dyDescent="0.25">
      <c r="A137" s="8">
        <v>42692.625752314816</v>
      </c>
      <c r="B137" s="21" t="s">
        <v>237</v>
      </c>
      <c r="C137" s="21" t="s">
        <v>571</v>
      </c>
      <c r="D137" s="21">
        <v>2270000</v>
      </c>
      <c r="E137" s="21" t="s">
        <v>326</v>
      </c>
      <c r="F137" s="21" t="str">
        <f t="shared" si="4"/>
        <v>rtdc.l.rtdc.4015:itc</v>
      </c>
      <c r="G137" s="8">
        <f t="shared" si="5"/>
        <v>42692.625752314816</v>
      </c>
    </row>
    <row r="138" spans="1:7" x14ac:dyDescent="0.25">
      <c r="A138" s="8">
        <v>42692.631249999999</v>
      </c>
      <c r="B138" s="21" t="s">
        <v>216</v>
      </c>
      <c r="C138" s="21" t="s">
        <v>461</v>
      </c>
      <c r="D138" s="21">
        <v>2430000</v>
      </c>
      <c r="E138" s="21" t="s">
        <v>290</v>
      </c>
      <c r="F138" s="21" t="str">
        <f t="shared" si="4"/>
        <v>rtdc.l.rtdc.4011:itc</v>
      </c>
      <c r="G138" s="8">
        <f t="shared" si="5"/>
        <v>42692.631249999999</v>
      </c>
    </row>
    <row r="139" spans="1:7" x14ac:dyDescent="0.25">
      <c r="A139" s="8">
        <v>42692.637395833335</v>
      </c>
      <c r="B139" s="21" t="s">
        <v>368</v>
      </c>
      <c r="C139" s="21" t="s">
        <v>572</v>
      </c>
      <c r="D139" s="21">
        <v>2550000</v>
      </c>
      <c r="E139" s="21" t="s">
        <v>234</v>
      </c>
      <c r="F139" s="21" t="str">
        <f t="shared" si="4"/>
        <v>rtdc.l.rtdc.4031:itc</v>
      </c>
      <c r="G139" s="8">
        <f t="shared" si="5"/>
        <v>42692.637395833335</v>
      </c>
    </row>
    <row r="140" spans="1:7" x14ac:dyDescent="0.25">
      <c r="A140" s="8">
        <v>42692.63925925926</v>
      </c>
      <c r="B140" s="21" t="s">
        <v>434</v>
      </c>
      <c r="C140" s="21" t="s">
        <v>573</v>
      </c>
      <c r="D140" s="21">
        <v>2530000</v>
      </c>
      <c r="E140" s="21" t="s">
        <v>374</v>
      </c>
      <c r="F140" s="21" t="str">
        <f t="shared" si="4"/>
        <v>rtdc.l.rtdc.4008:itc</v>
      </c>
      <c r="G140" s="8">
        <f t="shared" si="5"/>
        <v>42692.63925925926</v>
      </c>
    </row>
    <row r="141" spans="1:7" x14ac:dyDescent="0.25">
      <c r="A141" s="8">
        <v>42692.640428240738</v>
      </c>
      <c r="B141" s="21" t="s">
        <v>214</v>
      </c>
      <c r="C141" s="21" t="s">
        <v>574</v>
      </c>
      <c r="D141" s="21">
        <v>880000</v>
      </c>
      <c r="E141" s="21" t="s">
        <v>532</v>
      </c>
      <c r="F141" s="21" t="str">
        <f t="shared" si="4"/>
        <v>rtdc.l.rtdc.4030:itc</v>
      </c>
      <c r="G141" s="8">
        <f t="shared" si="5"/>
        <v>42692.640428240738</v>
      </c>
    </row>
    <row r="142" spans="1:7" x14ac:dyDescent="0.25">
      <c r="A142" s="8">
        <v>42692.640682870369</v>
      </c>
      <c r="B142" s="21" t="s">
        <v>448</v>
      </c>
      <c r="C142" s="21" t="s">
        <v>575</v>
      </c>
      <c r="D142" s="21">
        <v>2220000</v>
      </c>
      <c r="E142" s="21" t="s">
        <v>329</v>
      </c>
      <c r="F142" s="21" t="str">
        <f t="shared" si="4"/>
        <v>rtdc.l.rtdc.4025:itc</v>
      </c>
      <c r="G142" s="8">
        <f t="shared" si="5"/>
        <v>42692.640682870369</v>
      </c>
    </row>
    <row r="143" spans="1:7" x14ac:dyDescent="0.25">
      <c r="A143" s="8">
        <v>42692.64947916667</v>
      </c>
      <c r="B143" s="21" t="s">
        <v>301</v>
      </c>
      <c r="C143" s="21" t="s">
        <v>576</v>
      </c>
      <c r="D143" s="21">
        <v>930000</v>
      </c>
      <c r="E143" s="21" t="s">
        <v>535</v>
      </c>
      <c r="F143" s="21" t="str">
        <f t="shared" si="4"/>
        <v>rtdc.l.rtdc.4041:itc</v>
      </c>
      <c r="G143" s="8">
        <f t="shared" si="5"/>
        <v>42692.64947916667</v>
      </c>
    </row>
    <row r="144" spans="1:7" x14ac:dyDescent="0.25">
      <c r="A144" s="8">
        <v>42692.64984953704</v>
      </c>
      <c r="B144" s="21" t="s">
        <v>370</v>
      </c>
      <c r="C144" s="21" t="s">
        <v>577</v>
      </c>
      <c r="D144" s="21">
        <v>2550000</v>
      </c>
      <c r="E144" s="21" t="s">
        <v>234</v>
      </c>
      <c r="F144" s="21" t="str">
        <f t="shared" si="4"/>
        <v>rtdc.l.rtdc.4032:itc</v>
      </c>
      <c r="G144" s="8">
        <f t="shared" si="5"/>
        <v>42692.64984953704</v>
      </c>
    </row>
    <row r="145" spans="1:7" x14ac:dyDescent="0.25">
      <c r="A145" s="8">
        <v>42692.652349537035</v>
      </c>
      <c r="B145" s="21" t="s">
        <v>450</v>
      </c>
      <c r="C145" s="21" t="s">
        <v>578</v>
      </c>
      <c r="D145" s="21">
        <v>2020000</v>
      </c>
      <c r="E145" s="21" t="s">
        <v>373</v>
      </c>
      <c r="F145" s="21" t="str">
        <f t="shared" si="4"/>
        <v>rtdc.l.rtdc.4046:itc</v>
      </c>
      <c r="G145" s="8">
        <f t="shared" si="5"/>
        <v>42692.652349537035</v>
      </c>
    </row>
    <row r="146" spans="1:7" x14ac:dyDescent="0.25">
      <c r="A146" s="8">
        <v>42692.653715277775</v>
      </c>
      <c r="B146" s="21" t="s">
        <v>437</v>
      </c>
      <c r="C146" s="21" t="s">
        <v>579</v>
      </c>
      <c r="D146" s="21">
        <v>2530000</v>
      </c>
      <c r="E146" s="21" t="s">
        <v>374</v>
      </c>
      <c r="F146" s="21" t="str">
        <f t="shared" si="4"/>
        <v>rtdc.l.rtdc.4007:itc</v>
      </c>
      <c r="G146" s="8">
        <f t="shared" si="5"/>
        <v>42692.653715277775</v>
      </c>
    </row>
    <row r="147" spans="1:7" x14ac:dyDescent="0.25">
      <c r="A147" s="8">
        <v>42692.654652777775</v>
      </c>
      <c r="B147" s="21" t="s">
        <v>369</v>
      </c>
      <c r="C147" s="21" t="s">
        <v>580</v>
      </c>
      <c r="D147" s="21">
        <v>940000</v>
      </c>
      <c r="E147" s="21" t="s">
        <v>375</v>
      </c>
      <c r="F147" s="21" t="str">
        <f t="shared" si="4"/>
        <v>rtdc.l.rtdc.4017:itc</v>
      </c>
      <c r="G147" s="8">
        <f t="shared" si="5"/>
        <v>42692.654652777775</v>
      </c>
    </row>
    <row r="148" spans="1:7" x14ac:dyDescent="0.25">
      <c r="A148" s="8">
        <v>42692.662592592591</v>
      </c>
      <c r="B148" s="21" t="s">
        <v>236</v>
      </c>
      <c r="C148" s="21" t="s">
        <v>462</v>
      </c>
      <c r="D148" s="21">
        <v>2270000</v>
      </c>
      <c r="E148" s="21" t="s">
        <v>326</v>
      </c>
      <c r="F148" s="21" t="str">
        <f t="shared" si="4"/>
        <v>rtdc.l.rtdc.4016:itc</v>
      </c>
      <c r="G148" s="8">
        <f t="shared" si="5"/>
        <v>42692.662592592591</v>
      </c>
    </row>
    <row r="149" spans="1:7" x14ac:dyDescent="0.25">
      <c r="A149" s="8">
        <v>42692.669652777775</v>
      </c>
      <c r="B149" s="21" t="s">
        <v>229</v>
      </c>
      <c r="C149" s="21" t="s">
        <v>581</v>
      </c>
      <c r="D149" s="21">
        <v>2430000</v>
      </c>
      <c r="E149" s="21" t="s">
        <v>290</v>
      </c>
      <c r="F149" s="21" t="str">
        <f t="shared" si="4"/>
        <v>rtdc.l.rtdc.4012:itc</v>
      </c>
      <c r="G149" s="8">
        <f t="shared" si="5"/>
        <v>42692.669652777775</v>
      </c>
    </row>
    <row r="150" spans="1:7" x14ac:dyDescent="0.25">
      <c r="A150" s="8">
        <v>42692.671446759261</v>
      </c>
      <c r="B150" s="21" t="s">
        <v>434</v>
      </c>
      <c r="C150" s="21" t="s">
        <v>582</v>
      </c>
      <c r="D150" s="21">
        <v>2530000</v>
      </c>
      <c r="E150" s="21" t="s">
        <v>374</v>
      </c>
      <c r="F150" s="21" t="str">
        <f t="shared" si="4"/>
        <v>rtdc.l.rtdc.4008:itc</v>
      </c>
      <c r="G150" s="8">
        <f t="shared" si="5"/>
        <v>42692.671446759261</v>
      </c>
    </row>
    <row r="151" spans="1:7" x14ac:dyDescent="0.25">
      <c r="A151" s="8">
        <v>42692.672222222223</v>
      </c>
      <c r="B151" s="21" t="s">
        <v>368</v>
      </c>
      <c r="C151" s="21" t="s">
        <v>583</v>
      </c>
      <c r="D151" s="21">
        <v>2550000</v>
      </c>
      <c r="E151" s="21" t="s">
        <v>234</v>
      </c>
      <c r="F151" s="21" t="str">
        <f t="shared" si="4"/>
        <v>rtdc.l.rtdc.4031:itc</v>
      </c>
      <c r="G151" s="8">
        <f t="shared" si="5"/>
        <v>42692.672222222223</v>
      </c>
    </row>
    <row r="152" spans="1:7" x14ac:dyDescent="0.25">
      <c r="A152" s="8">
        <v>42692.673333333332</v>
      </c>
      <c r="B152" s="21" t="s">
        <v>213</v>
      </c>
      <c r="C152" s="21" t="s">
        <v>584</v>
      </c>
      <c r="D152" s="21">
        <v>880000</v>
      </c>
      <c r="E152" s="21" t="s">
        <v>532</v>
      </c>
      <c r="F152" s="21" t="str">
        <f t="shared" si="4"/>
        <v>rtdc.l.rtdc.4029:itc</v>
      </c>
      <c r="G152" s="8">
        <f t="shared" si="5"/>
        <v>42692.673333333332</v>
      </c>
    </row>
    <row r="153" spans="1:7" x14ac:dyDescent="0.25">
      <c r="A153" s="8">
        <v>42692.675335648149</v>
      </c>
      <c r="B153" s="21" t="s">
        <v>432</v>
      </c>
      <c r="C153" s="21" t="s">
        <v>585</v>
      </c>
      <c r="D153" s="21">
        <v>2220000</v>
      </c>
      <c r="E153" s="21" t="s">
        <v>329</v>
      </c>
      <c r="F153" s="21" t="str">
        <f t="shared" si="4"/>
        <v>rtdc.l.rtdc.4026:itc</v>
      </c>
      <c r="G153" s="8">
        <f t="shared" si="5"/>
        <v>42692.675335648149</v>
      </c>
    </row>
    <row r="154" spans="1:7" x14ac:dyDescent="0.25">
      <c r="A154" s="8">
        <v>42692.685011574074</v>
      </c>
      <c r="B154" s="21" t="s">
        <v>302</v>
      </c>
      <c r="C154" s="21" t="s">
        <v>586</v>
      </c>
      <c r="D154" s="21">
        <v>930000</v>
      </c>
      <c r="E154" s="21" t="s">
        <v>535</v>
      </c>
      <c r="F154" s="21" t="str">
        <f t="shared" si="4"/>
        <v>rtdc.l.rtdc.4042:itc</v>
      </c>
      <c r="G154" s="8">
        <f t="shared" si="5"/>
        <v>42692.685011574074</v>
      </c>
    </row>
    <row r="155" spans="1:7" x14ac:dyDescent="0.25">
      <c r="A155" s="8">
        <v>42692.68677083333</v>
      </c>
      <c r="B155" s="21" t="s">
        <v>437</v>
      </c>
      <c r="C155" s="21" t="s">
        <v>587</v>
      </c>
      <c r="D155" s="21">
        <v>2530000</v>
      </c>
      <c r="E155" s="21" t="s">
        <v>374</v>
      </c>
      <c r="F155" s="21" t="str">
        <f t="shared" si="4"/>
        <v>rtdc.l.rtdc.4007:itc</v>
      </c>
      <c r="G155" s="8">
        <f t="shared" si="5"/>
        <v>42692.68677083333</v>
      </c>
    </row>
    <row r="156" spans="1:7" x14ac:dyDescent="0.25">
      <c r="A156" s="8">
        <v>42692.690937500003</v>
      </c>
      <c r="B156" s="21" t="s">
        <v>446</v>
      </c>
      <c r="C156" s="21" t="s">
        <v>588</v>
      </c>
      <c r="D156" s="21">
        <v>2020000</v>
      </c>
      <c r="E156" s="21" t="s">
        <v>373</v>
      </c>
      <c r="F156" s="21" t="str">
        <f t="shared" si="4"/>
        <v>rtdc.l.rtdc.4045:itc</v>
      </c>
      <c r="G156" s="8">
        <f t="shared" si="5"/>
        <v>42692.690937500003</v>
      </c>
    </row>
    <row r="157" spans="1:7" x14ac:dyDescent="0.25">
      <c r="A157" s="8">
        <v>42692.692824074074</v>
      </c>
      <c r="B157" s="21" t="s">
        <v>370</v>
      </c>
      <c r="C157" s="21" t="s">
        <v>589</v>
      </c>
      <c r="D157" s="21">
        <v>2550000</v>
      </c>
      <c r="E157" s="21" t="s">
        <v>234</v>
      </c>
      <c r="F157" s="21" t="str">
        <f t="shared" si="4"/>
        <v>rtdc.l.rtdc.4032:itc</v>
      </c>
      <c r="G157" s="8">
        <f t="shared" si="5"/>
        <v>42692.692824074074</v>
      </c>
    </row>
    <row r="158" spans="1:7" x14ac:dyDescent="0.25">
      <c r="A158" s="8">
        <v>42692.692997685182</v>
      </c>
      <c r="B158" s="21" t="s">
        <v>289</v>
      </c>
      <c r="C158" s="21" t="s">
        <v>590</v>
      </c>
      <c r="D158" s="21">
        <v>940000</v>
      </c>
      <c r="E158" s="21" t="s">
        <v>375</v>
      </c>
      <c r="F158" s="21" t="str">
        <f t="shared" si="4"/>
        <v>rtdc.l.rtdc.4018:itc</v>
      </c>
      <c r="G158" s="8">
        <f t="shared" si="5"/>
        <v>42692.692997685182</v>
      </c>
    </row>
    <row r="159" spans="1:7" x14ac:dyDescent="0.25">
      <c r="A159" s="8">
        <v>42692.699155092596</v>
      </c>
      <c r="B159" s="21" t="s">
        <v>237</v>
      </c>
      <c r="C159" s="21" t="s">
        <v>591</v>
      </c>
      <c r="D159" s="21">
        <v>2270000</v>
      </c>
      <c r="E159" s="21" t="s">
        <v>326</v>
      </c>
      <c r="F159" s="21" t="str">
        <f t="shared" si="4"/>
        <v>rtdc.l.rtdc.4015:itc</v>
      </c>
      <c r="G159" s="8">
        <f t="shared" si="5"/>
        <v>42692.699155092596</v>
      </c>
    </row>
    <row r="160" spans="1:7" x14ac:dyDescent="0.25">
      <c r="A160" s="8">
        <v>42692.705763888887</v>
      </c>
      <c r="B160" s="21" t="s">
        <v>216</v>
      </c>
      <c r="C160" s="21" t="s">
        <v>592</v>
      </c>
      <c r="D160" s="21">
        <v>2430000</v>
      </c>
      <c r="E160" s="21" t="s">
        <v>290</v>
      </c>
      <c r="F160" s="21" t="str">
        <f t="shared" si="4"/>
        <v>rtdc.l.rtdc.4011:itc</v>
      </c>
      <c r="G160" s="8">
        <f t="shared" si="5"/>
        <v>42692.705763888887</v>
      </c>
    </row>
    <row r="161" spans="1:7" x14ac:dyDescent="0.25">
      <c r="A161" s="8">
        <v>42692.710879629631</v>
      </c>
      <c r="B161" s="21" t="s">
        <v>186</v>
      </c>
      <c r="C161" s="21" t="s">
        <v>593</v>
      </c>
      <c r="D161" s="21">
        <v>2090000</v>
      </c>
      <c r="E161" s="21" t="s">
        <v>538</v>
      </c>
      <c r="F161" s="21" t="str">
        <f t="shared" si="4"/>
        <v>rtdc.l.rtdc.4009:itc</v>
      </c>
      <c r="G161" s="8">
        <f t="shared" si="5"/>
        <v>42692.710879629631</v>
      </c>
    </row>
    <row r="162" spans="1:7" x14ac:dyDescent="0.25">
      <c r="A162" s="8">
        <v>42692.713055555556</v>
      </c>
      <c r="B162" s="21" t="s">
        <v>214</v>
      </c>
      <c r="C162" s="21" t="s">
        <v>594</v>
      </c>
      <c r="D162" s="21">
        <v>880000</v>
      </c>
      <c r="E162" s="21" t="s">
        <v>532</v>
      </c>
      <c r="F162" s="21" t="str">
        <f t="shared" si="4"/>
        <v>rtdc.l.rtdc.4030:itc</v>
      </c>
      <c r="G162" s="8">
        <f t="shared" si="5"/>
        <v>42692.713055555556</v>
      </c>
    </row>
    <row r="163" spans="1:7" x14ac:dyDescent="0.25">
      <c r="A163" s="8">
        <v>42692.713078703702</v>
      </c>
      <c r="B163" s="21" t="s">
        <v>434</v>
      </c>
      <c r="C163" s="21" t="s">
        <v>595</v>
      </c>
      <c r="D163" s="21">
        <v>2530000</v>
      </c>
      <c r="E163" s="21" t="s">
        <v>374</v>
      </c>
      <c r="F163" s="21" t="str">
        <f t="shared" si="4"/>
        <v>rtdc.l.rtdc.4008:itc</v>
      </c>
      <c r="G163" s="8">
        <f t="shared" si="5"/>
        <v>42692.713078703702</v>
      </c>
    </row>
    <row r="164" spans="1:7" x14ac:dyDescent="0.25">
      <c r="A164" s="8">
        <v>42692.714872685188</v>
      </c>
      <c r="B164" s="21" t="s">
        <v>448</v>
      </c>
      <c r="C164" s="21" t="s">
        <v>596</v>
      </c>
      <c r="D164" s="21">
        <v>2220000</v>
      </c>
      <c r="E164" s="21" t="s">
        <v>329</v>
      </c>
      <c r="F164" s="21" t="str">
        <f t="shared" si="4"/>
        <v>rtdc.l.rtdc.4025:itc</v>
      </c>
      <c r="G164" s="8">
        <f t="shared" si="5"/>
        <v>42692.714872685188</v>
      </c>
    </row>
    <row r="165" spans="1:7" x14ac:dyDescent="0.25">
      <c r="A165" s="8">
        <v>42692.718587962961</v>
      </c>
      <c r="B165" s="21" t="s">
        <v>368</v>
      </c>
      <c r="C165" s="21" t="s">
        <v>597</v>
      </c>
      <c r="D165" s="21">
        <v>2550000</v>
      </c>
      <c r="E165" s="21" t="s">
        <v>234</v>
      </c>
      <c r="F165" s="21" t="str">
        <f t="shared" si="4"/>
        <v>rtdc.l.rtdc.4031:itc</v>
      </c>
      <c r="G165" s="8">
        <f t="shared" si="5"/>
        <v>42692.718587962961</v>
      </c>
    </row>
    <row r="166" spans="1:7" x14ac:dyDescent="0.25">
      <c r="A166" s="8">
        <v>42692.720393518517</v>
      </c>
      <c r="B166" s="21" t="s">
        <v>301</v>
      </c>
      <c r="C166" s="21" t="s">
        <v>598</v>
      </c>
      <c r="D166" s="21">
        <v>930000</v>
      </c>
      <c r="E166" s="21" t="s">
        <v>535</v>
      </c>
      <c r="F166" s="21" t="str">
        <f t="shared" si="4"/>
        <v>rtdc.l.rtdc.4041:itc</v>
      </c>
      <c r="G166" s="8">
        <f t="shared" si="5"/>
        <v>42692.720393518517</v>
      </c>
    </row>
    <row r="167" spans="1:7" x14ac:dyDescent="0.25">
      <c r="A167" s="8">
        <v>42692.725439814814</v>
      </c>
      <c r="B167" s="21" t="s">
        <v>450</v>
      </c>
      <c r="C167" s="21" t="s">
        <v>599</v>
      </c>
      <c r="D167" s="21">
        <v>2020000</v>
      </c>
      <c r="E167" s="21" t="s">
        <v>373</v>
      </c>
      <c r="F167" s="21" t="str">
        <f t="shared" si="4"/>
        <v>rtdc.l.rtdc.4046:itc</v>
      </c>
      <c r="G167" s="8">
        <f t="shared" si="5"/>
        <v>42692.725439814814</v>
      </c>
    </row>
    <row r="168" spans="1:7" x14ac:dyDescent="0.25">
      <c r="A168" s="8">
        <v>42692.729074074072</v>
      </c>
      <c r="B168" s="21" t="s">
        <v>369</v>
      </c>
      <c r="C168" s="21" t="s">
        <v>600</v>
      </c>
      <c r="D168" s="21">
        <v>940000</v>
      </c>
      <c r="E168" s="21" t="s">
        <v>375</v>
      </c>
      <c r="F168" s="21" t="str">
        <f t="shared" si="4"/>
        <v>rtdc.l.rtdc.4017:itc</v>
      </c>
      <c r="G168" s="8">
        <f t="shared" si="5"/>
        <v>42692.729074074072</v>
      </c>
    </row>
    <row r="169" spans="1:7" x14ac:dyDescent="0.25">
      <c r="A169" s="8">
        <v>42692.729363425926</v>
      </c>
      <c r="B169" s="21" t="s">
        <v>437</v>
      </c>
      <c r="C169" s="21" t="s">
        <v>601</v>
      </c>
      <c r="D169" s="21">
        <v>2530000</v>
      </c>
      <c r="E169" s="21" t="s">
        <v>374</v>
      </c>
      <c r="F169" s="21" t="str">
        <f t="shared" si="4"/>
        <v>rtdc.l.rtdc.4007:itc</v>
      </c>
      <c r="G169" s="8">
        <f t="shared" si="5"/>
        <v>42692.729363425926</v>
      </c>
    </row>
    <row r="170" spans="1:7" x14ac:dyDescent="0.25">
      <c r="A170" s="8">
        <v>42692.734826388885</v>
      </c>
      <c r="B170" s="21" t="s">
        <v>370</v>
      </c>
      <c r="C170" s="21" t="s">
        <v>602</v>
      </c>
      <c r="D170" s="21">
        <v>2550000</v>
      </c>
      <c r="E170" s="21" t="s">
        <v>234</v>
      </c>
      <c r="F170" s="21" t="str">
        <f t="shared" si="4"/>
        <v>rtdc.l.rtdc.4032:itc</v>
      </c>
      <c r="G170" s="8">
        <f t="shared" si="5"/>
        <v>42692.734826388885</v>
      </c>
    </row>
    <row r="171" spans="1:7" x14ac:dyDescent="0.25">
      <c r="A171" s="8">
        <v>42692.735023148147</v>
      </c>
      <c r="B171" s="21" t="s">
        <v>236</v>
      </c>
      <c r="C171" s="21" t="s">
        <v>603</v>
      </c>
      <c r="D171" s="21">
        <v>2620000</v>
      </c>
      <c r="E171" s="21" t="s">
        <v>293</v>
      </c>
      <c r="F171" s="21" t="str">
        <f t="shared" si="4"/>
        <v>rtdc.l.rtdc.4016:itc</v>
      </c>
      <c r="G171" s="8">
        <f t="shared" si="5"/>
        <v>42692.735023148147</v>
      </c>
    </row>
    <row r="172" spans="1:7" x14ac:dyDescent="0.25">
      <c r="A172" s="8">
        <v>42692.744305555556</v>
      </c>
      <c r="B172" s="21" t="s">
        <v>229</v>
      </c>
      <c r="C172" s="21" t="s">
        <v>604</v>
      </c>
      <c r="D172" s="21">
        <v>2430000</v>
      </c>
      <c r="E172" s="21" t="s">
        <v>290</v>
      </c>
      <c r="F172" s="21" t="str">
        <f t="shared" si="4"/>
        <v>rtdc.l.rtdc.4012:itc</v>
      </c>
      <c r="G172" s="8">
        <f t="shared" si="5"/>
        <v>42692.744305555556</v>
      </c>
    </row>
    <row r="173" spans="1:7" x14ac:dyDescent="0.25">
      <c r="A173" s="8">
        <v>42692.74690972222</v>
      </c>
      <c r="B173" s="21" t="s">
        <v>432</v>
      </c>
      <c r="C173" s="21" t="s">
        <v>605</v>
      </c>
      <c r="D173" s="21">
        <v>2220000</v>
      </c>
      <c r="E173" s="21" t="s">
        <v>329</v>
      </c>
      <c r="F173" s="21" t="str">
        <f t="shared" si="4"/>
        <v>rtdc.l.rtdc.4026:itc</v>
      </c>
      <c r="G173" s="8">
        <f t="shared" si="5"/>
        <v>42692.74690972222</v>
      </c>
    </row>
    <row r="174" spans="1:7" x14ac:dyDescent="0.25">
      <c r="A174" s="8">
        <v>42692.747118055559</v>
      </c>
      <c r="B174" s="21" t="s">
        <v>277</v>
      </c>
      <c r="C174" s="21" t="s">
        <v>463</v>
      </c>
      <c r="D174" s="21">
        <v>2000000</v>
      </c>
      <c r="E174" s="21" t="s">
        <v>227</v>
      </c>
      <c r="F174" s="21" t="str">
        <f t="shared" si="4"/>
        <v>rtdc.l.rtdc.4013:itc</v>
      </c>
      <c r="G174" s="8">
        <f t="shared" si="5"/>
        <v>42692.747118055559</v>
      </c>
    </row>
    <row r="175" spans="1:7" x14ac:dyDescent="0.25">
      <c r="A175" s="8">
        <v>42692.748379629629</v>
      </c>
      <c r="B175" s="21" t="s">
        <v>213</v>
      </c>
      <c r="C175" s="21" t="s">
        <v>606</v>
      </c>
      <c r="D175" s="21">
        <v>2270000</v>
      </c>
      <c r="E175" s="21" t="s">
        <v>326</v>
      </c>
      <c r="F175" s="21" t="str">
        <f t="shared" si="4"/>
        <v>rtdc.l.rtdc.4029:itc</v>
      </c>
      <c r="G175" s="8">
        <f t="shared" si="5"/>
        <v>42692.748379629629</v>
      </c>
    </row>
    <row r="176" spans="1:7" x14ac:dyDescent="0.25">
      <c r="A176" s="8">
        <v>42692.754513888889</v>
      </c>
      <c r="B176" s="21" t="s">
        <v>434</v>
      </c>
      <c r="C176" s="21" t="s">
        <v>607</v>
      </c>
      <c r="D176" s="21">
        <v>2530000</v>
      </c>
      <c r="E176" s="21" t="s">
        <v>374</v>
      </c>
      <c r="F176" s="21" t="str">
        <f t="shared" si="4"/>
        <v>rtdc.l.rtdc.4008:itc</v>
      </c>
      <c r="G176" s="8">
        <f t="shared" si="5"/>
        <v>42692.754513888889</v>
      </c>
    </row>
    <row r="177" spans="1:7" x14ac:dyDescent="0.25">
      <c r="A177" s="8">
        <v>42692.762048611112</v>
      </c>
      <c r="B177" s="21" t="s">
        <v>302</v>
      </c>
      <c r="C177" s="21" t="s">
        <v>608</v>
      </c>
      <c r="D177" s="21">
        <v>1800000</v>
      </c>
      <c r="E177" s="21" t="s">
        <v>272</v>
      </c>
      <c r="F177" s="21" t="str">
        <f t="shared" si="4"/>
        <v>rtdc.l.rtdc.4042:itc</v>
      </c>
      <c r="G177" s="8">
        <f t="shared" si="5"/>
        <v>42692.762048611112</v>
      </c>
    </row>
    <row r="178" spans="1:7" x14ac:dyDescent="0.25">
      <c r="A178" s="8">
        <v>42692.76258101852</v>
      </c>
      <c r="B178" s="21" t="s">
        <v>446</v>
      </c>
      <c r="C178" s="21" t="s">
        <v>609</v>
      </c>
      <c r="D178" s="21">
        <v>2020000</v>
      </c>
      <c r="E178" s="21" t="s">
        <v>373</v>
      </c>
      <c r="F178" s="21" t="str">
        <f t="shared" si="4"/>
        <v>rtdc.l.rtdc.4045:itc</v>
      </c>
      <c r="G178" s="8">
        <f t="shared" si="5"/>
        <v>42692.76258101852</v>
      </c>
    </row>
    <row r="179" spans="1:7" x14ac:dyDescent="0.25">
      <c r="A179" s="8">
        <v>42692.763124999998</v>
      </c>
      <c r="B179" s="21" t="s">
        <v>368</v>
      </c>
      <c r="C179" s="21" t="s">
        <v>610</v>
      </c>
      <c r="D179" s="21">
        <v>2550000</v>
      </c>
      <c r="E179" s="21" t="s">
        <v>234</v>
      </c>
      <c r="F179" s="21" t="str">
        <f t="shared" si="4"/>
        <v>rtdc.l.rtdc.4031:itc</v>
      </c>
      <c r="G179" s="8">
        <f t="shared" si="5"/>
        <v>42692.763124999998</v>
      </c>
    </row>
    <row r="180" spans="1:7" x14ac:dyDescent="0.25">
      <c r="A180" s="8">
        <v>42692.764421296299</v>
      </c>
      <c r="B180" s="21" t="s">
        <v>434</v>
      </c>
      <c r="C180" s="21" t="s">
        <v>607</v>
      </c>
      <c r="D180" s="21">
        <v>2530000</v>
      </c>
      <c r="E180" s="21" t="s">
        <v>374</v>
      </c>
      <c r="F180" s="21" t="str">
        <f t="shared" si="4"/>
        <v>rtdc.l.rtdc.4008:itc</v>
      </c>
      <c r="G180" s="8">
        <f t="shared" si="5"/>
        <v>42692.764421296299</v>
      </c>
    </row>
    <row r="181" spans="1:7" x14ac:dyDescent="0.25">
      <c r="A181" s="8">
        <v>42692.767094907409</v>
      </c>
      <c r="B181" s="21" t="s">
        <v>289</v>
      </c>
      <c r="C181" s="21" t="s">
        <v>611</v>
      </c>
      <c r="D181" s="21">
        <v>2540000</v>
      </c>
      <c r="E181" s="21" t="s">
        <v>291</v>
      </c>
      <c r="F181" s="21" t="str">
        <f t="shared" si="4"/>
        <v>rtdc.l.rtdc.4018:itc</v>
      </c>
      <c r="G181" s="8">
        <f t="shared" si="5"/>
        <v>42692.767094907409</v>
      </c>
    </row>
    <row r="182" spans="1:7" x14ac:dyDescent="0.25">
      <c r="A182" s="8">
        <v>42692.767511574071</v>
      </c>
      <c r="B182" s="21" t="s">
        <v>232</v>
      </c>
      <c r="C182" s="21" t="s">
        <v>464</v>
      </c>
      <c r="D182" s="21">
        <v>2480000</v>
      </c>
      <c r="E182" s="21" t="s">
        <v>612</v>
      </c>
      <c r="F182" s="21" t="str">
        <f t="shared" si="4"/>
        <v>rtdc.l.rtdc.4001:itc</v>
      </c>
      <c r="G182" s="8">
        <f t="shared" si="5"/>
        <v>42692.767511574071</v>
      </c>
    </row>
    <row r="183" spans="1:7" x14ac:dyDescent="0.25">
      <c r="A183" s="8">
        <v>42692.77034722222</v>
      </c>
      <c r="B183" s="21" t="s">
        <v>276</v>
      </c>
      <c r="C183" s="21" t="s">
        <v>613</v>
      </c>
      <c r="D183" s="21">
        <v>940000</v>
      </c>
      <c r="E183" s="21" t="s">
        <v>375</v>
      </c>
      <c r="F183" s="21" t="str">
        <f t="shared" si="4"/>
        <v>rtdc.l.rtdc.4014:itc</v>
      </c>
      <c r="G183" s="8">
        <f t="shared" si="5"/>
        <v>42692.77034722222</v>
      </c>
    </row>
    <row r="184" spans="1:7" x14ac:dyDescent="0.25">
      <c r="A184" s="8">
        <v>42692.770486111112</v>
      </c>
      <c r="B184" s="21" t="s">
        <v>237</v>
      </c>
      <c r="C184" s="21" t="s">
        <v>614</v>
      </c>
      <c r="D184" s="21">
        <v>2620000</v>
      </c>
      <c r="E184" s="21" t="s">
        <v>293</v>
      </c>
      <c r="F184" s="21" t="str">
        <f t="shared" si="4"/>
        <v>rtdc.l.rtdc.4015:itc</v>
      </c>
      <c r="G184" s="8">
        <f t="shared" si="5"/>
        <v>42692.770486111112</v>
      </c>
    </row>
    <row r="185" spans="1:7" x14ac:dyDescent="0.25">
      <c r="A185" s="8">
        <v>42692.771435185183</v>
      </c>
      <c r="B185" s="21" t="s">
        <v>437</v>
      </c>
      <c r="C185" s="21" t="s">
        <v>466</v>
      </c>
      <c r="D185" s="21">
        <v>2530000</v>
      </c>
      <c r="E185" s="21" t="s">
        <v>374</v>
      </c>
      <c r="F185" s="21" t="str">
        <f t="shared" si="4"/>
        <v>rtdc.l.rtdc.4007:itc</v>
      </c>
      <c r="G185" s="8">
        <f t="shared" si="5"/>
        <v>42692.771435185183</v>
      </c>
    </row>
    <row r="186" spans="1:7" x14ac:dyDescent="0.25">
      <c r="A186" s="8">
        <v>42692.778865740744</v>
      </c>
      <c r="B186" s="21" t="s">
        <v>370</v>
      </c>
      <c r="C186" s="21" t="s">
        <v>615</v>
      </c>
      <c r="D186" s="21">
        <v>2550000</v>
      </c>
      <c r="E186" s="21" t="s">
        <v>234</v>
      </c>
      <c r="F186" s="21" t="str">
        <f t="shared" si="4"/>
        <v>rtdc.l.rtdc.4032:itc</v>
      </c>
      <c r="G186" s="8">
        <f t="shared" si="5"/>
        <v>42692.778865740744</v>
      </c>
    </row>
    <row r="187" spans="1:7" x14ac:dyDescent="0.25">
      <c r="A187" s="8">
        <v>42692.779143518521</v>
      </c>
      <c r="B187" s="21" t="s">
        <v>216</v>
      </c>
      <c r="C187" s="21" t="s">
        <v>465</v>
      </c>
      <c r="D187" s="21">
        <v>2430000</v>
      </c>
      <c r="E187" s="21" t="s">
        <v>290</v>
      </c>
      <c r="F187" s="21" t="str">
        <f t="shared" si="4"/>
        <v>rtdc.l.rtdc.4011:itc</v>
      </c>
      <c r="G187" s="8">
        <f t="shared" si="5"/>
        <v>42692.779143518521</v>
      </c>
    </row>
    <row r="188" spans="1:7" x14ac:dyDescent="0.25">
      <c r="A188" s="8">
        <v>42692.784918981481</v>
      </c>
      <c r="B188" s="21" t="s">
        <v>214</v>
      </c>
      <c r="C188" s="21" t="s">
        <v>616</v>
      </c>
      <c r="D188" s="21">
        <v>2270000</v>
      </c>
      <c r="E188" s="21" t="s">
        <v>326</v>
      </c>
      <c r="F188" s="21" t="str">
        <f t="shared" si="4"/>
        <v>rtdc.l.rtdc.4030:itc</v>
      </c>
      <c r="G188" s="8">
        <f t="shared" si="5"/>
        <v>42692.784918981481</v>
      </c>
    </row>
    <row r="189" spans="1:7" x14ac:dyDescent="0.25">
      <c r="A189" s="8">
        <v>42692.787569444445</v>
      </c>
      <c r="B189" s="21" t="s">
        <v>448</v>
      </c>
      <c r="C189" s="21" t="s">
        <v>617</v>
      </c>
      <c r="D189" s="21">
        <v>1300000</v>
      </c>
      <c r="E189" s="21" t="s">
        <v>113</v>
      </c>
      <c r="F189" s="21" t="str">
        <f t="shared" si="4"/>
        <v>rtdc.l.rtdc.4025:itc</v>
      </c>
      <c r="G189" s="8">
        <f t="shared" si="5"/>
        <v>42692.787569444445</v>
      </c>
    </row>
    <row r="190" spans="1:7" x14ac:dyDescent="0.25">
      <c r="A190" s="8">
        <v>42692.796307870369</v>
      </c>
      <c r="B190" s="21" t="s">
        <v>434</v>
      </c>
      <c r="C190" s="21" t="s">
        <v>618</v>
      </c>
      <c r="D190" s="21">
        <v>2530000</v>
      </c>
      <c r="E190" s="21" t="s">
        <v>374</v>
      </c>
      <c r="F190" s="21" t="str">
        <f t="shared" si="4"/>
        <v>rtdc.l.rtdc.4008:itc</v>
      </c>
      <c r="G190" s="8">
        <f t="shared" si="5"/>
        <v>42692.796307870369</v>
      </c>
    </row>
    <row r="191" spans="1:7" x14ac:dyDescent="0.25">
      <c r="A191" s="8">
        <v>42692.798217592594</v>
      </c>
      <c r="B191" s="21" t="s">
        <v>301</v>
      </c>
      <c r="C191" s="21" t="s">
        <v>467</v>
      </c>
      <c r="D191" s="21">
        <v>1800000</v>
      </c>
      <c r="E191" s="21" t="s">
        <v>272</v>
      </c>
      <c r="F191" s="21" t="str">
        <f t="shared" si="4"/>
        <v>rtdc.l.rtdc.4041:itc</v>
      </c>
      <c r="G191" s="8">
        <f t="shared" si="5"/>
        <v>42692.798217592594</v>
      </c>
    </row>
    <row r="192" spans="1:7" x14ac:dyDescent="0.25">
      <c r="A192" s="8">
        <v>42692.799224537041</v>
      </c>
      <c r="B192" s="21" t="s">
        <v>450</v>
      </c>
      <c r="C192" s="21" t="s">
        <v>619</v>
      </c>
      <c r="D192" s="21">
        <v>2020000</v>
      </c>
      <c r="E192" s="21" t="s">
        <v>373</v>
      </c>
      <c r="F192" s="21" t="str">
        <f t="shared" si="4"/>
        <v>rtdc.l.rtdc.4046:itc</v>
      </c>
      <c r="G192" s="8">
        <f t="shared" si="5"/>
        <v>42692.799224537041</v>
      </c>
    </row>
    <row r="193" spans="1:7" x14ac:dyDescent="0.25">
      <c r="A193" s="8">
        <v>42692.802361111113</v>
      </c>
      <c r="B193" s="21" t="s">
        <v>368</v>
      </c>
      <c r="C193" s="21" t="s">
        <v>620</v>
      </c>
      <c r="D193" s="21">
        <v>2550000</v>
      </c>
      <c r="E193" s="21" t="s">
        <v>234</v>
      </c>
      <c r="F193" s="21" t="str">
        <f t="shared" si="4"/>
        <v>rtdc.l.rtdc.4031:itc</v>
      </c>
      <c r="G193" s="8">
        <f t="shared" si="5"/>
        <v>42692.802361111113</v>
      </c>
    </row>
    <row r="194" spans="1:7" x14ac:dyDescent="0.25">
      <c r="A194" s="8">
        <v>42692.805543981478</v>
      </c>
      <c r="B194" s="21" t="s">
        <v>369</v>
      </c>
      <c r="C194" s="21" t="s">
        <v>621</v>
      </c>
      <c r="D194" s="21">
        <v>2540000</v>
      </c>
      <c r="E194" s="21" t="s">
        <v>291</v>
      </c>
      <c r="F194" s="21" t="str">
        <f t="shared" ref="F194:F235" si="6">B194</f>
        <v>rtdc.l.rtdc.4017:itc</v>
      </c>
      <c r="G194" s="8">
        <f t="shared" ref="G194:G235" si="7">A194</f>
        <v>42692.805543981478</v>
      </c>
    </row>
    <row r="195" spans="1:7" x14ac:dyDescent="0.25">
      <c r="A195" s="8">
        <v>42692.809305555558</v>
      </c>
      <c r="B195" s="21" t="s">
        <v>236</v>
      </c>
      <c r="C195" s="21" t="s">
        <v>622</v>
      </c>
      <c r="D195" s="21">
        <v>2620000</v>
      </c>
      <c r="E195" s="21" t="s">
        <v>293</v>
      </c>
      <c r="F195" s="21" t="str">
        <f t="shared" si="6"/>
        <v>rtdc.l.rtdc.4016:itc</v>
      </c>
      <c r="G195" s="8">
        <f t="shared" si="7"/>
        <v>42692.809305555558</v>
      </c>
    </row>
    <row r="196" spans="1:7" x14ac:dyDescent="0.25">
      <c r="A196" s="8">
        <v>42692.81863425926</v>
      </c>
      <c r="B196" s="21" t="s">
        <v>370</v>
      </c>
      <c r="C196" s="21" t="s">
        <v>623</v>
      </c>
      <c r="D196" s="21">
        <v>2550000</v>
      </c>
      <c r="E196" s="21" t="s">
        <v>234</v>
      </c>
      <c r="F196" s="21" t="str">
        <f t="shared" si="6"/>
        <v>rtdc.l.rtdc.4032:itc</v>
      </c>
      <c r="G196" s="8">
        <f t="shared" si="7"/>
        <v>42692.81863425926</v>
      </c>
    </row>
    <row r="197" spans="1:7" x14ac:dyDescent="0.25">
      <c r="A197" s="8">
        <v>42692.819756944446</v>
      </c>
      <c r="B197" s="21" t="s">
        <v>213</v>
      </c>
      <c r="C197" s="21" t="s">
        <v>624</v>
      </c>
      <c r="D197" s="21">
        <v>2270000</v>
      </c>
      <c r="E197" s="21" t="s">
        <v>326</v>
      </c>
      <c r="F197" s="21" t="str">
        <f t="shared" si="6"/>
        <v>rtdc.l.rtdc.4029:itc</v>
      </c>
      <c r="G197" s="8">
        <f t="shared" si="7"/>
        <v>42692.819756944446</v>
      </c>
    </row>
    <row r="198" spans="1:7" x14ac:dyDescent="0.25">
      <c r="A198" s="8">
        <v>42692.827199074076</v>
      </c>
      <c r="B198" s="21" t="s">
        <v>432</v>
      </c>
      <c r="C198" s="21" t="s">
        <v>625</v>
      </c>
      <c r="D198" s="21">
        <v>1300000</v>
      </c>
      <c r="E198" s="21" t="s">
        <v>113</v>
      </c>
      <c r="F198" s="21" t="str">
        <f t="shared" si="6"/>
        <v>rtdc.l.rtdc.4026:itc</v>
      </c>
      <c r="G198" s="8">
        <f t="shared" si="7"/>
        <v>42692.827199074076</v>
      </c>
    </row>
    <row r="199" spans="1:7" x14ac:dyDescent="0.25">
      <c r="A199" s="8">
        <v>42692.831805555557</v>
      </c>
      <c r="B199" s="21" t="s">
        <v>302</v>
      </c>
      <c r="C199" s="21" t="s">
        <v>626</v>
      </c>
      <c r="D199" s="21">
        <v>1800000</v>
      </c>
      <c r="E199" s="21" t="s">
        <v>272</v>
      </c>
      <c r="F199" s="21" t="str">
        <f t="shared" si="6"/>
        <v>rtdc.l.rtdc.4042:itc</v>
      </c>
      <c r="G199" s="8">
        <f t="shared" si="7"/>
        <v>42692.831805555557</v>
      </c>
    </row>
    <row r="200" spans="1:7" x14ac:dyDescent="0.25">
      <c r="A200" s="8">
        <v>42692.842175925929</v>
      </c>
      <c r="B200" s="21" t="s">
        <v>368</v>
      </c>
      <c r="C200" s="21" t="s">
        <v>627</v>
      </c>
      <c r="D200" s="21">
        <v>2550000</v>
      </c>
      <c r="E200" s="21" t="s">
        <v>234</v>
      </c>
      <c r="F200" s="21" t="str">
        <f t="shared" si="6"/>
        <v>rtdc.l.rtdc.4031:itc</v>
      </c>
      <c r="G200" s="8">
        <f t="shared" si="7"/>
        <v>42692.842175925929</v>
      </c>
    </row>
    <row r="201" spans="1:7" x14ac:dyDescent="0.25">
      <c r="A201" s="8">
        <v>42692.8440162037</v>
      </c>
      <c r="B201" s="21" t="s">
        <v>237</v>
      </c>
      <c r="C201" s="21" t="s">
        <v>628</v>
      </c>
      <c r="D201" s="21">
        <v>2620000</v>
      </c>
      <c r="E201" s="21" t="s">
        <v>293</v>
      </c>
      <c r="F201" s="21" t="str">
        <f t="shared" si="6"/>
        <v>rtdc.l.rtdc.4015:itc</v>
      </c>
      <c r="G201" s="8">
        <f t="shared" si="7"/>
        <v>42692.8440162037</v>
      </c>
    </row>
    <row r="202" spans="1:7" x14ac:dyDescent="0.25">
      <c r="A202" s="27">
        <v>42692.851111111115</v>
      </c>
      <c r="B202" s="21" t="s">
        <v>289</v>
      </c>
      <c r="C202" s="21" t="s">
        <v>629</v>
      </c>
      <c r="D202" s="21">
        <v>2540000</v>
      </c>
      <c r="E202" s="21" t="s">
        <v>291</v>
      </c>
      <c r="F202" s="21" t="str">
        <f t="shared" si="6"/>
        <v>rtdc.l.rtdc.4018:itc</v>
      </c>
      <c r="G202" s="8">
        <f t="shared" si="7"/>
        <v>42692.851111111115</v>
      </c>
    </row>
    <row r="203" spans="1:7" x14ac:dyDescent="0.25">
      <c r="A203" s="8">
        <v>42692.859432870369</v>
      </c>
      <c r="B203" s="21" t="s">
        <v>370</v>
      </c>
      <c r="C203" s="21" t="s">
        <v>630</v>
      </c>
      <c r="D203" s="21">
        <v>2550000</v>
      </c>
      <c r="E203" s="21" t="s">
        <v>234</v>
      </c>
      <c r="F203" s="21" t="str">
        <f t="shared" si="6"/>
        <v>rtdc.l.rtdc.4032:itc</v>
      </c>
      <c r="G203" s="8">
        <f t="shared" si="7"/>
        <v>42692.859432870369</v>
      </c>
    </row>
    <row r="204" spans="1:7" x14ac:dyDescent="0.25">
      <c r="A204" s="8">
        <v>42692.86005787037</v>
      </c>
      <c r="B204" s="21" t="s">
        <v>302</v>
      </c>
      <c r="C204" s="21" t="s">
        <v>626</v>
      </c>
      <c r="D204" s="21">
        <v>1800000</v>
      </c>
      <c r="E204" s="21" t="s">
        <v>272</v>
      </c>
      <c r="F204" s="21" t="str">
        <f t="shared" si="6"/>
        <v>rtdc.l.rtdc.4042:itc</v>
      </c>
      <c r="G204" s="8">
        <f t="shared" si="7"/>
        <v>42692.86005787037</v>
      </c>
    </row>
    <row r="205" spans="1:7" x14ac:dyDescent="0.25">
      <c r="A205" s="8">
        <v>42692.869270833333</v>
      </c>
      <c r="B205" s="21" t="s">
        <v>301</v>
      </c>
      <c r="C205" s="21" t="s">
        <v>631</v>
      </c>
      <c r="D205" s="21">
        <v>1800000</v>
      </c>
      <c r="E205" s="21" t="s">
        <v>272</v>
      </c>
      <c r="F205" s="21" t="str">
        <f t="shared" si="6"/>
        <v>rtdc.l.rtdc.4041:itc</v>
      </c>
      <c r="G205" s="8">
        <f t="shared" si="7"/>
        <v>42692.869270833333</v>
      </c>
    </row>
    <row r="206" spans="1:7" x14ac:dyDescent="0.25">
      <c r="A206" s="8">
        <v>42692.869687500002</v>
      </c>
      <c r="B206" s="21" t="s">
        <v>448</v>
      </c>
      <c r="C206" s="21" t="s">
        <v>632</v>
      </c>
      <c r="D206" s="21">
        <v>1300000</v>
      </c>
      <c r="E206" s="21" t="s">
        <v>113</v>
      </c>
      <c r="F206" s="21" t="str">
        <f t="shared" si="6"/>
        <v>rtdc.l.rtdc.4025:itc</v>
      </c>
      <c r="G206" s="8">
        <f t="shared" si="7"/>
        <v>42692.869687500002</v>
      </c>
    </row>
    <row r="207" spans="1:7" x14ac:dyDescent="0.25">
      <c r="A207" s="8">
        <v>42692.87605324074</v>
      </c>
      <c r="B207" s="21" t="s">
        <v>368</v>
      </c>
      <c r="C207" s="21" t="s">
        <v>633</v>
      </c>
      <c r="D207" s="21">
        <v>2530000</v>
      </c>
      <c r="E207" s="21" t="s">
        <v>374</v>
      </c>
      <c r="F207" s="21" t="str">
        <f t="shared" si="6"/>
        <v>rtdc.l.rtdc.4031:itc</v>
      </c>
      <c r="G207" s="8">
        <f t="shared" si="7"/>
        <v>42692.87605324074</v>
      </c>
    </row>
    <row r="208" spans="1:7" x14ac:dyDescent="0.25">
      <c r="A208" s="8">
        <v>42692.890289351853</v>
      </c>
      <c r="B208" s="21" t="s">
        <v>369</v>
      </c>
      <c r="C208" s="21" t="s">
        <v>634</v>
      </c>
      <c r="D208" s="21">
        <v>2540000</v>
      </c>
      <c r="E208" s="21" t="s">
        <v>291</v>
      </c>
      <c r="F208" s="21" t="str">
        <f t="shared" si="6"/>
        <v>rtdc.l.rtdc.4017:itc</v>
      </c>
      <c r="G208" s="8">
        <f t="shared" si="7"/>
        <v>42692.890289351853</v>
      </c>
    </row>
    <row r="209" spans="1:7" x14ac:dyDescent="0.25">
      <c r="A209" s="8">
        <v>42692.893067129633</v>
      </c>
      <c r="B209" s="21" t="s">
        <v>236</v>
      </c>
      <c r="C209" s="21" t="s">
        <v>635</v>
      </c>
      <c r="D209" s="21">
        <v>1230000</v>
      </c>
      <c r="E209" s="21" t="s">
        <v>636</v>
      </c>
      <c r="F209" s="21" t="str">
        <f t="shared" si="6"/>
        <v>rtdc.l.rtdc.4016:itc</v>
      </c>
      <c r="G209" s="8">
        <f t="shared" si="7"/>
        <v>42692.893067129633</v>
      </c>
    </row>
    <row r="210" spans="1:7" x14ac:dyDescent="0.25">
      <c r="A210" s="8">
        <v>42692.900995370372</v>
      </c>
      <c r="B210" s="21" t="s">
        <v>370</v>
      </c>
      <c r="C210" s="21" t="s">
        <v>637</v>
      </c>
      <c r="D210" s="21">
        <v>2530000</v>
      </c>
      <c r="E210" s="21" t="s">
        <v>374</v>
      </c>
      <c r="F210" s="21" t="str">
        <f t="shared" si="6"/>
        <v>rtdc.l.rtdc.4032:itc</v>
      </c>
      <c r="G210" s="8">
        <f t="shared" si="7"/>
        <v>42692.900995370372</v>
      </c>
    </row>
    <row r="211" spans="1:7" x14ac:dyDescent="0.25">
      <c r="A211" s="8">
        <v>42692.911597222221</v>
      </c>
      <c r="B211" s="21" t="s">
        <v>432</v>
      </c>
      <c r="C211" s="21" t="s">
        <v>638</v>
      </c>
      <c r="D211" s="21">
        <v>1300000</v>
      </c>
      <c r="E211" s="21" t="s">
        <v>113</v>
      </c>
      <c r="F211" s="21" t="str">
        <f t="shared" si="6"/>
        <v>rtdc.l.rtdc.4026:itc</v>
      </c>
      <c r="G211" s="8">
        <f t="shared" si="7"/>
        <v>42692.911597222221</v>
      </c>
    </row>
    <row r="212" spans="1:7" x14ac:dyDescent="0.25">
      <c r="A212" s="8">
        <v>42692.914479166669</v>
      </c>
      <c r="B212" s="21" t="s">
        <v>302</v>
      </c>
      <c r="C212" s="21" t="s">
        <v>639</v>
      </c>
      <c r="D212" s="21">
        <v>1800000</v>
      </c>
      <c r="E212" s="21" t="s">
        <v>272</v>
      </c>
      <c r="F212" s="21" t="str">
        <f t="shared" si="6"/>
        <v>rtdc.l.rtdc.4042:itc</v>
      </c>
      <c r="G212" s="8">
        <f t="shared" si="7"/>
        <v>42692.914479166669</v>
      </c>
    </row>
    <row r="213" spans="1:7" x14ac:dyDescent="0.25">
      <c r="A213" s="8">
        <v>42692.914861111109</v>
      </c>
      <c r="B213" s="21" t="s">
        <v>368</v>
      </c>
      <c r="C213" s="21" t="s">
        <v>640</v>
      </c>
      <c r="D213" s="21">
        <v>2530000</v>
      </c>
      <c r="E213" s="21" t="s">
        <v>374</v>
      </c>
      <c r="F213" s="21" t="str">
        <f t="shared" si="6"/>
        <v>rtdc.l.rtdc.4031:itc</v>
      </c>
      <c r="G213" s="8">
        <f t="shared" si="7"/>
        <v>42692.914861111109</v>
      </c>
    </row>
    <row r="214" spans="1:7" x14ac:dyDescent="0.25">
      <c r="A214" s="8">
        <v>42692.922627314816</v>
      </c>
      <c r="B214" s="21" t="s">
        <v>237</v>
      </c>
      <c r="C214" s="21" t="s">
        <v>641</v>
      </c>
      <c r="D214" s="21">
        <v>1230000</v>
      </c>
      <c r="E214" s="21" t="s">
        <v>636</v>
      </c>
      <c r="F214" s="21" t="str">
        <f t="shared" si="6"/>
        <v>rtdc.l.rtdc.4015:itc</v>
      </c>
      <c r="G214" s="8">
        <f t="shared" si="7"/>
        <v>42692.922627314816</v>
      </c>
    </row>
    <row r="215" spans="1:7" x14ac:dyDescent="0.25">
      <c r="A215" s="8">
        <v>42692.923622685186</v>
      </c>
      <c r="B215" s="21" t="s">
        <v>289</v>
      </c>
      <c r="C215" s="21" t="s">
        <v>642</v>
      </c>
      <c r="D215" s="21">
        <v>2540000</v>
      </c>
      <c r="E215" s="21" t="s">
        <v>291</v>
      </c>
      <c r="F215" s="21" t="str">
        <f t="shared" si="6"/>
        <v>rtdc.l.rtdc.4018:itc</v>
      </c>
      <c r="G215" s="8">
        <f t="shared" si="7"/>
        <v>42692.923622685186</v>
      </c>
    </row>
    <row r="216" spans="1:7" x14ac:dyDescent="0.25">
      <c r="A216" s="8">
        <v>42692.941805555558</v>
      </c>
      <c r="B216" s="21" t="s">
        <v>370</v>
      </c>
      <c r="C216" s="21" t="s">
        <v>643</v>
      </c>
      <c r="D216" s="21">
        <v>2530000</v>
      </c>
      <c r="E216" s="21" t="s">
        <v>374</v>
      </c>
      <c r="F216" s="21" t="str">
        <f t="shared" si="6"/>
        <v>rtdc.l.rtdc.4032:itc</v>
      </c>
      <c r="G216" s="8">
        <f t="shared" si="7"/>
        <v>42692.941805555558</v>
      </c>
    </row>
    <row r="217" spans="1:7" x14ac:dyDescent="0.25">
      <c r="A217" s="8">
        <v>42692.948981481481</v>
      </c>
      <c r="B217" s="21" t="s">
        <v>368</v>
      </c>
      <c r="C217" s="21" t="s">
        <v>643</v>
      </c>
      <c r="D217" s="21">
        <v>2530000</v>
      </c>
      <c r="E217" s="21" t="s">
        <v>374</v>
      </c>
      <c r="F217" s="21" t="str">
        <f t="shared" si="6"/>
        <v>rtdc.l.rtdc.4031:itc</v>
      </c>
      <c r="G217" s="8">
        <f t="shared" si="7"/>
        <v>42692.948981481481</v>
      </c>
    </row>
    <row r="218" spans="1:7" x14ac:dyDescent="0.25">
      <c r="A218" s="8">
        <v>42692.953657407408</v>
      </c>
      <c r="B218" s="21" t="s">
        <v>301</v>
      </c>
      <c r="C218" s="21" t="s">
        <v>644</v>
      </c>
      <c r="D218" s="21">
        <v>1800000</v>
      </c>
      <c r="E218" s="21" t="s">
        <v>272</v>
      </c>
      <c r="F218" s="21" t="str">
        <f t="shared" si="6"/>
        <v>rtdc.l.rtdc.4041:itc</v>
      </c>
      <c r="G218" s="8">
        <f t="shared" si="7"/>
        <v>42692.953657407408</v>
      </c>
    </row>
    <row r="219" spans="1:7" x14ac:dyDescent="0.25">
      <c r="A219" s="8">
        <v>42692.954062500001</v>
      </c>
      <c r="B219" s="21" t="s">
        <v>448</v>
      </c>
      <c r="C219" s="21" t="s">
        <v>645</v>
      </c>
      <c r="D219" s="21">
        <v>1300000</v>
      </c>
      <c r="E219" s="21" t="s">
        <v>113</v>
      </c>
      <c r="F219" s="21" t="str">
        <f t="shared" si="6"/>
        <v>rtdc.l.rtdc.4025:itc</v>
      </c>
      <c r="G219" s="8">
        <f t="shared" si="7"/>
        <v>42692.954062500001</v>
      </c>
    </row>
    <row r="220" spans="1:7" x14ac:dyDescent="0.25">
      <c r="A220" s="8">
        <v>42692.964409722219</v>
      </c>
      <c r="B220" s="21" t="s">
        <v>236</v>
      </c>
      <c r="C220" s="21" t="s">
        <v>646</v>
      </c>
      <c r="D220" s="21">
        <v>1230000</v>
      </c>
      <c r="E220" s="21" t="s">
        <v>636</v>
      </c>
      <c r="F220" s="21" t="str">
        <f t="shared" si="6"/>
        <v>rtdc.l.rtdc.4016:itc</v>
      </c>
      <c r="G220" s="8">
        <f t="shared" si="7"/>
        <v>42692.964409722219</v>
      </c>
    </row>
    <row r="221" spans="1:7" x14ac:dyDescent="0.25">
      <c r="A221" s="8">
        <v>42692.973923611113</v>
      </c>
      <c r="B221" s="21" t="s">
        <v>369</v>
      </c>
      <c r="C221" s="21" t="s">
        <v>647</v>
      </c>
      <c r="D221" s="21">
        <v>2540000</v>
      </c>
      <c r="E221" s="21" t="s">
        <v>291</v>
      </c>
      <c r="F221" s="21" t="str">
        <f t="shared" si="6"/>
        <v>rtdc.l.rtdc.4017:itc</v>
      </c>
      <c r="G221" s="8">
        <f t="shared" si="7"/>
        <v>42692.973923611113</v>
      </c>
    </row>
    <row r="222" spans="1:7" x14ac:dyDescent="0.25">
      <c r="A222" s="8">
        <v>42692.994398148148</v>
      </c>
      <c r="B222" s="21" t="s">
        <v>432</v>
      </c>
      <c r="C222" s="21" t="s">
        <v>648</v>
      </c>
      <c r="D222" s="21">
        <v>1300000</v>
      </c>
      <c r="E222" s="21" t="s">
        <v>113</v>
      </c>
      <c r="F222" s="21" t="str">
        <f t="shared" si="6"/>
        <v>rtdc.l.rtdc.4026:itc</v>
      </c>
      <c r="G222" s="8">
        <f t="shared" si="7"/>
        <v>42692.994398148148</v>
      </c>
    </row>
    <row r="223" spans="1:7" x14ac:dyDescent="0.25">
      <c r="A223" s="8">
        <v>42692.999444444446</v>
      </c>
      <c r="B223" s="21" t="s">
        <v>302</v>
      </c>
      <c r="C223" s="21" t="s">
        <v>649</v>
      </c>
      <c r="D223" s="21">
        <v>1800000</v>
      </c>
      <c r="E223" s="21" t="s">
        <v>272</v>
      </c>
      <c r="F223" s="21" t="str">
        <f t="shared" si="6"/>
        <v>rtdc.l.rtdc.4042:itc</v>
      </c>
      <c r="G223" s="8">
        <f t="shared" si="7"/>
        <v>42692.999444444446</v>
      </c>
    </row>
    <row r="224" spans="1:7" x14ac:dyDescent="0.25">
      <c r="A224" s="8">
        <v>42693.006226851852</v>
      </c>
      <c r="B224" t="s">
        <v>237</v>
      </c>
      <c r="C224" t="s">
        <v>650</v>
      </c>
      <c r="D224">
        <v>1230000</v>
      </c>
      <c r="E224" t="s">
        <v>636</v>
      </c>
      <c r="F224" s="21" t="str">
        <f t="shared" si="6"/>
        <v>rtdc.l.rtdc.4015:itc</v>
      </c>
      <c r="G224" s="8">
        <f t="shared" si="7"/>
        <v>42693.006226851852</v>
      </c>
    </row>
    <row r="225" spans="1:7" x14ac:dyDescent="0.25">
      <c r="A225" s="8">
        <v>42693.016979166663</v>
      </c>
      <c r="B225" t="s">
        <v>289</v>
      </c>
      <c r="C225" t="s">
        <v>651</v>
      </c>
      <c r="D225">
        <v>2540000</v>
      </c>
      <c r="E225" t="s">
        <v>291</v>
      </c>
      <c r="F225" s="21" t="str">
        <f t="shared" si="6"/>
        <v>rtdc.l.rtdc.4018:itc</v>
      </c>
      <c r="G225" s="8">
        <f t="shared" si="7"/>
        <v>42693.016979166663</v>
      </c>
    </row>
    <row r="226" spans="1:7" x14ac:dyDescent="0.25">
      <c r="A226" s="8">
        <v>42693.03230324074</v>
      </c>
      <c r="B226" t="s">
        <v>448</v>
      </c>
      <c r="C226" t="s">
        <v>652</v>
      </c>
      <c r="D226">
        <v>1300000</v>
      </c>
      <c r="E226" t="s">
        <v>113</v>
      </c>
      <c r="F226" s="21" t="str">
        <f t="shared" si="6"/>
        <v>rtdc.l.rtdc.4025:itc</v>
      </c>
      <c r="G226" s="8">
        <f t="shared" si="7"/>
        <v>42693.03230324074</v>
      </c>
    </row>
    <row r="227" spans="1:7" x14ac:dyDescent="0.25">
      <c r="A227" s="8">
        <v>42693.039027777777</v>
      </c>
      <c r="B227" t="s">
        <v>301</v>
      </c>
      <c r="C227" t="s">
        <v>653</v>
      </c>
      <c r="D227">
        <v>1800000</v>
      </c>
      <c r="E227" t="s">
        <v>272</v>
      </c>
      <c r="F227" s="21" t="str">
        <f t="shared" si="6"/>
        <v>rtdc.l.rtdc.4041:itc</v>
      </c>
      <c r="G227" s="8">
        <f t="shared" si="7"/>
        <v>42693.039027777777</v>
      </c>
    </row>
    <row r="228" spans="1:7" x14ac:dyDescent="0.25">
      <c r="A228" s="8">
        <v>42693.045601851853</v>
      </c>
      <c r="B228" t="s">
        <v>236</v>
      </c>
      <c r="C228" t="s">
        <v>654</v>
      </c>
      <c r="D228">
        <v>1230000</v>
      </c>
      <c r="E228" t="s">
        <v>636</v>
      </c>
      <c r="F228" s="21" t="str">
        <f t="shared" si="6"/>
        <v>rtdc.l.rtdc.4016:itc</v>
      </c>
      <c r="G228" s="8">
        <f t="shared" si="7"/>
        <v>42693.045601851853</v>
      </c>
    </row>
    <row r="229" spans="1:7" x14ac:dyDescent="0.25">
      <c r="A229" s="8">
        <v>42693.057951388888</v>
      </c>
      <c r="B229" t="s">
        <v>369</v>
      </c>
      <c r="C229" t="s">
        <v>655</v>
      </c>
      <c r="D229">
        <v>2540000</v>
      </c>
      <c r="E229" t="s">
        <v>291</v>
      </c>
      <c r="F229" s="21" t="str">
        <f t="shared" si="6"/>
        <v>rtdc.l.rtdc.4017:itc</v>
      </c>
      <c r="G229" s="8">
        <f t="shared" si="7"/>
        <v>42693.057951388888</v>
      </c>
    </row>
    <row r="230" spans="1:7" x14ac:dyDescent="0.25">
      <c r="A230" s="8">
        <v>42692.013101851851</v>
      </c>
      <c r="B230" t="s">
        <v>232</v>
      </c>
      <c r="C230" t="s">
        <v>380</v>
      </c>
      <c r="D230">
        <v>2350000</v>
      </c>
      <c r="E230" t="s">
        <v>328</v>
      </c>
      <c r="F230" s="21" t="str">
        <f t="shared" si="6"/>
        <v>rtdc.l.rtdc.4001:itc</v>
      </c>
      <c r="G230" s="8">
        <f t="shared" si="7"/>
        <v>42692.013101851851</v>
      </c>
    </row>
    <row r="231" spans="1:7" x14ac:dyDescent="0.25">
      <c r="A231" s="8">
        <v>42692.030601851853</v>
      </c>
      <c r="B231" t="s">
        <v>242</v>
      </c>
      <c r="C231" t="s">
        <v>381</v>
      </c>
      <c r="D231">
        <v>2230000</v>
      </c>
      <c r="E231" t="s">
        <v>376</v>
      </c>
      <c r="F231" s="21" t="str">
        <f t="shared" si="6"/>
        <v>rtdc.l.rtdc.4022:itc</v>
      </c>
      <c r="G231" s="8">
        <f t="shared" si="7"/>
        <v>42692.030601851853</v>
      </c>
    </row>
    <row r="232" spans="1:7" x14ac:dyDescent="0.25">
      <c r="A232" s="8">
        <v>42692.032175925924</v>
      </c>
      <c r="B232" t="s">
        <v>277</v>
      </c>
      <c r="C232" t="s">
        <v>382</v>
      </c>
      <c r="D232">
        <v>2370000</v>
      </c>
      <c r="E232" t="s">
        <v>377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233</v>
      </c>
      <c r="C233" t="s">
        <v>383</v>
      </c>
      <c r="D233">
        <v>2350000</v>
      </c>
      <c r="E233" t="s">
        <v>328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251</v>
      </c>
      <c r="C234" t="s">
        <v>384</v>
      </c>
      <c r="D234">
        <v>2440000</v>
      </c>
      <c r="E234" t="s">
        <v>330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241</v>
      </c>
      <c r="C235" t="s">
        <v>332</v>
      </c>
      <c r="D235">
        <v>2250000</v>
      </c>
      <c r="E235" t="s">
        <v>282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236</v>
      </c>
      <c r="C236" t="s">
        <v>331</v>
      </c>
      <c r="D236">
        <v>2540000</v>
      </c>
      <c r="E236" t="s">
        <v>291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216</v>
      </c>
      <c r="C237" t="s">
        <v>333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237</v>
      </c>
      <c r="C238" t="s">
        <v>334</v>
      </c>
      <c r="D238">
        <v>2540000</v>
      </c>
      <c r="E238" t="s">
        <v>291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335</v>
      </c>
      <c r="D239">
        <v>2620000</v>
      </c>
      <c r="E239" t="s">
        <v>293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336</v>
      </c>
      <c r="D240">
        <v>2250000</v>
      </c>
      <c r="E240" t="s">
        <v>282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236</v>
      </c>
      <c r="C241" t="s">
        <v>337</v>
      </c>
      <c r="D241">
        <v>2540000</v>
      </c>
      <c r="E241" t="s">
        <v>291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229</v>
      </c>
      <c r="C242" t="s">
        <v>338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241</v>
      </c>
      <c r="C243" t="s">
        <v>339</v>
      </c>
      <c r="D243">
        <v>2250000</v>
      </c>
      <c r="E243" t="s">
        <v>282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340</v>
      </c>
      <c r="D244">
        <v>2620000</v>
      </c>
      <c r="E244" t="s">
        <v>293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216</v>
      </c>
      <c r="C245" t="s">
        <v>307</v>
      </c>
      <c r="D245">
        <v>1800000</v>
      </c>
      <c r="E245" t="s">
        <v>272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289</v>
      </c>
      <c r="C246" t="s">
        <v>306</v>
      </c>
      <c r="D246">
        <v>2450000</v>
      </c>
      <c r="E246" t="s">
        <v>292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224</v>
      </c>
      <c r="C247" t="s">
        <v>308</v>
      </c>
      <c r="D247">
        <v>2620000</v>
      </c>
      <c r="E247" t="s">
        <v>293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219</v>
      </c>
      <c r="C248" t="s">
        <v>309</v>
      </c>
      <c r="D248">
        <v>2250000</v>
      </c>
      <c r="E248" t="s">
        <v>282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219</v>
      </c>
      <c r="C249" t="s">
        <v>309</v>
      </c>
      <c r="D249">
        <v>2250000</v>
      </c>
      <c r="E249" t="s">
        <v>282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229</v>
      </c>
      <c r="C250" t="s">
        <v>310</v>
      </c>
      <c r="D250">
        <v>1800000</v>
      </c>
      <c r="E250" t="s">
        <v>272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300</v>
      </c>
      <c r="C251" t="s">
        <v>311</v>
      </c>
      <c r="D251">
        <v>2620000</v>
      </c>
      <c r="E251" t="s">
        <v>293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252</v>
      </c>
      <c r="D252">
        <v>2610000</v>
      </c>
      <c r="E252" t="s">
        <v>235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232</v>
      </c>
      <c r="C253" t="s">
        <v>248</v>
      </c>
      <c r="D253">
        <v>2420000</v>
      </c>
      <c r="E253" t="s">
        <v>244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216</v>
      </c>
      <c r="C254" t="s">
        <v>253</v>
      </c>
      <c r="D254">
        <v>2000000</v>
      </c>
      <c r="E254" t="s">
        <v>227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238</v>
      </c>
      <c r="C255" t="s">
        <v>254</v>
      </c>
      <c r="D255">
        <v>2610000</v>
      </c>
      <c r="E255" t="s">
        <v>235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251</v>
      </c>
      <c r="C256" t="s">
        <v>255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242</v>
      </c>
      <c r="C257" t="s">
        <v>256</v>
      </c>
      <c r="D257">
        <v>2550000</v>
      </c>
      <c r="E257" t="s">
        <v>234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233</v>
      </c>
      <c r="C258" t="s">
        <v>250</v>
      </c>
      <c r="D258">
        <v>2420000</v>
      </c>
      <c r="E258" t="s">
        <v>244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229</v>
      </c>
      <c r="C259" t="s">
        <v>249</v>
      </c>
      <c r="D259">
        <v>2000000</v>
      </c>
      <c r="E259" t="s">
        <v>227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243</v>
      </c>
      <c r="C260" t="s">
        <v>257</v>
      </c>
      <c r="D260">
        <v>2550000</v>
      </c>
      <c r="E260" t="s">
        <v>234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247</v>
      </c>
      <c r="C261" t="s">
        <v>258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232</v>
      </c>
      <c r="C262" t="s">
        <v>259</v>
      </c>
      <c r="D262">
        <v>2420000</v>
      </c>
      <c r="E262" t="s">
        <v>244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216</v>
      </c>
      <c r="C263" t="s">
        <v>260</v>
      </c>
      <c r="D263">
        <v>2000000</v>
      </c>
      <c r="E263" t="s">
        <v>227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242</v>
      </c>
      <c r="C264" t="s">
        <v>261</v>
      </c>
      <c r="D264">
        <v>2550000</v>
      </c>
      <c r="E264" t="s">
        <v>234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251</v>
      </c>
      <c r="C265" t="s">
        <v>262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233</v>
      </c>
      <c r="C266" t="s">
        <v>263</v>
      </c>
      <c r="D266">
        <v>2420000</v>
      </c>
      <c r="E266" t="s">
        <v>244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229</v>
      </c>
      <c r="C267" t="s">
        <v>264</v>
      </c>
      <c r="D267">
        <v>2000000</v>
      </c>
      <c r="E267" t="s">
        <v>227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247</v>
      </c>
      <c r="C268" t="s">
        <v>265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385</v>
      </c>
      <c r="I1" s="164" t="s">
        <v>173</v>
      </c>
      <c r="J1" s="164" t="s">
        <v>174</v>
      </c>
      <c r="K1" s="164" t="s">
        <v>386</v>
      </c>
      <c r="L1" s="164" t="s">
        <v>168</v>
      </c>
      <c r="M1" s="164" t="s">
        <v>166</v>
      </c>
      <c r="N1" s="164" t="s">
        <v>161</v>
      </c>
      <c r="O1" s="164" t="s">
        <v>171</v>
      </c>
      <c r="P1" s="164" t="s">
        <v>165</v>
      </c>
      <c r="Q1" s="164" t="s">
        <v>172</v>
      </c>
      <c r="R1" s="164" t="s">
        <v>169</v>
      </c>
    </row>
    <row r="2" spans="1:18" x14ac:dyDescent="0.25">
      <c r="A2" s="165">
        <v>27.2</v>
      </c>
      <c r="B2" s="165">
        <v>0.43</v>
      </c>
      <c r="C2" s="165">
        <v>24.87</v>
      </c>
      <c r="D2" s="8">
        <v>42692</v>
      </c>
      <c r="E2" s="165">
        <v>0.91</v>
      </c>
      <c r="F2" s="165" t="s">
        <v>387</v>
      </c>
      <c r="G2" s="165">
        <v>284.69</v>
      </c>
      <c r="H2" s="165">
        <v>5.6000000000000001E-2</v>
      </c>
      <c r="I2" s="165">
        <v>5.1999999999999998E-3</v>
      </c>
      <c r="J2" s="165">
        <v>0.23</v>
      </c>
      <c r="K2" s="165" t="s">
        <v>387</v>
      </c>
      <c r="L2" s="165">
        <v>1025.28</v>
      </c>
      <c r="M2" s="165" t="s">
        <v>388</v>
      </c>
      <c r="N2" s="165">
        <v>27.2</v>
      </c>
      <c r="O2" s="165">
        <v>1479452400</v>
      </c>
      <c r="P2" s="165">
        <v>5.61</v>
      </c>
      <c r="Q2" s="165">
        <v>325</v>
      </c>
      <c r="R2" s="165">
        <v>1.59</v>
      </c>
    </row>
    <row r="3" spans="1:18" x14ac:dyDescent="0.25">
      <c r="A3" s="165">
        <v>26.09</v>
      </c>
      <c r="B3" s="165">
        <v>0.35</v>
      </c>
      <c r="C3" s="165">
        <v>23.87</v>
      </c>
      <c r="D3" s="8">
        <v>42692.041666666664</v>
      </c>
      <c r="E3" s="165">
        <v>0.91</v>
      </c>
      <c r="F3" s="165" t="s">
        <v>387</v>
      </c>
      <c r="G3" s="165">
        <v>285.91000000000003</v>
      </c>
      <c r="H3" s="165">
        <v>3.2000000000000001E-2</v>
      </c>
      <c r="I3" s="165">
        <v>2.8E-3</v>
      </c>
      <c r="J3" s="165">
        <v>0.09</v>
      </c>
      <c r="K3" s="165" t="s">
        <v>387</v>
      </c>
      <c r="L3" s="165">
        <v>1026.74</v>
      </c>
      <c r="M3" s="165" t="s">
        <v>388</v>
      </c>
      <c r="N3" s="165">
        <v>26.09</v>
      </c>
      <c r="O3" s="165">
        <v>1479456000</v>
      </c>
      <c r="P3" s="165">
        <v>5.21</v>
      </c>
      <c r="Q3" s="165">
        <v>190</v>
      </c>
      <c r="R3" s="165">
        <v>1.63</v>
      </c>
    </row>
    <row r="4" spans="1:18" x14ac:dyDescent="0.25">
      <c r="A4" s="165">
        <v>25.04</v>
      </c>
      <c r="B4" s="165">
        <v>0.27</v>
      </c>
      <c r="C4" s="165">
        <v>22.62</v>
      </c>
      <c r="D4" s="8">
        <v>42692.083333333336</v>
      </c>
      <c r="E4" s="165">
        <v>0.9</v>
      </c>
      <c r="F4" s="165" t="s">
        <v>341</v>
      </c>
      <c r="G4" s="165">
        <v>287.13</v>
      </c>
      <c r="H4" s="165"/>
      <c r="I4" s="165">
        <v>0</v>
      </c>
      <c r="J4" s="165">
        <v>0</v>
      </c>
      <c r="K4" s="165"/>
      <c r="L4" s="165">
        <v>1028.17</v>
      </c>
      <c r="M4" s="165" t="s">
        <v>221</v>
      </c>
      <c r="N4" s="165">
        <v>25.04</v>
      </c>
      <c r="O4" s="165">
        <v>1479459600</v>
      </c>
      <c r="P4" s="165">
        <v>10</v>
      </c>
      <c r="Q4" s="165">
        <v>39</v>
      </c>
      <c r="R4" s="165">
        <v>0.73</v>
      </c>
    </row>
    <row r="5" spans="1:18" x14ac:dyDescent="0.25">
      <c r="A5" s="165">
        <v>24.15</v>
      </c>
      <c r="B5" s="165">
        <v>0.26</v>
      </c>
      <c r="C5" s="165">
        <v>21.2</v>
      </c>
      <c r="D5" s="8">
        <v>42692.125</v>
      </c>
      <c r="E5" s="165">
        <v>0.88</v>
      </c>
      <c r="F5" s="165" t="s">
        <v>341</v>
      </c>
      <c r="G5" s="165">
        <v>284.89</v>
      </c>
      <c r="H5" s="165"/>
      <c r="I5" s="165">
        <v>0</v>
      </c>
      <c r="J5" s="165">
        <v>0</v>
      </c>
      <c r="K5" s="165"/>
      <c r="L5" s="165">
        <v>1029.27</v>
      </c>
      <c r="M5" s="165" t="s">
        <v>221</v>
      </c>
      <c r="N5" s="165">
        <v>24.15</v>
      </c>
      <c r="O5" s="165">
        <v>1479463200</v>
      </c>
      <c r="P5" s="165">
        <v>3.74</v>
      </c>
      <c r="Q5" s="165">
        <v>278</v>
      </c>
      <c r="R5" s="165">
        <v>0.82</v>
      </c>
    </row>
    <row r="6" spans="1:18" x14ac:dyDescent="0.25">
      <c r="A6" s="165">
        <v>22.74</v>
      </c>
      <c r="B6" s="165">
        <v>0.28000000000000003</v>
      </c>
      <c r="C6" s="165">
        <v>19.43</v>
      </c>
      <c r="D6" s="8">
        <v>42692.166666666664</v>
      </c>
      <c r="E6" s="165">
        <v>0.87</v>
      </c>
      <c r="F6" s="165" t="s">
        <v>341</v>
      </c>
      <c r="G6" s="165">
        <v>281.14</v>
      </c>
      <c r="H6" s="165"/>
      <c r="I6" s="165">
        <v>0</v>
      </c>
      <c r="J6" s="165">
        <v>0</v>
      </c>
      <c r="K6" s="165"/>
      <c r="L6" s="165">
        <v>1030.23</v>
      </c>
      <c r="M6" s="165" t="s">
        <v>221</v>
      </c>
      <c r="N6" s="165">
        <v>22.74</v>
      </c>
      <c r="O6" s="165">
        <v>1479466800</v>
      </c>
      <c r="P6" s="165">
        <v>4</v>
      </c>
      <c r="Q6" s="165">
        <v>188</v>
      </c>
      <c r="R6" s="165">
        <v>2.25</v>
      </c>
    </row>
    <row r="7" spans="1:18" x14ac:dyDescent="0.25">
      <c r="A7" s="165">
        <v>21.65</v>
      </c>
      <c r="B7" s="165">
        <v>0.27</v>
      </c>
      <c r="C7" s="165">
        <v>18.41</v>
      </c>
      <c r="D7" s="8">
        <v>42692.208333333336</v>
      </c>
      <c r="E7" s="165">
        <v>0.87</v>
      </c>
      <c r="F7" s="165" t="s">
        <v>341</v>
      </c>
      <c r="G7" s="165">
        <v>277.25</v>
      </c>
      <c r="H7" s="165"/>
      <c r="I7" s="165">
        <v>0</v>
      </c>
      <c r="J7" s="165">
        <v>0</v>
      </c>
      <c r="K7" s="165"/>
      <c r="L7" s="165">
        <v>1031.23</v>
      </c>
      <c r="M7" s="165" t="s">
        <v>221</v>
      </c>
      <c r="N7" s="165">
        <v>21.65</v>
      </c>
      <c r="O7" s="165">
        <v>1479470400</v>
      </c>
      <c r="P7" s="165">
        <v>5.35</v>
      </c>
      <c r="Q7" s="165">
        <v>220</v>
      </c>
      <c r="R7" s="165">
        <v>2.58</v>
      </c>
    </row>
    <row r="8" spans="1:18" x14ac:dyDescent="0.25">
      <c r="A8" s="165">
        <v>21.98</v>
      </c>
      <c r="B8" s="165">
        <v>0.25</v>
      </c>
      <c r="C8" s="165">
        <v>18.63</v>
      </c>
      <c r="D8" s="8">
        <v>42692.25</v>
      </c>
      <c r="E8" s="165">
        <v>0.87</v>
      </c>
      <c r="F8" s="165" t="s">
        <v>341</v>
      </c>
      <c r="G8" s="165">
        <v>273.42</v>
      </c>
      <c r="H8" s="165"/>
      <c r="I8" s="165">
        <v>0</v>
      </c>
      <c r="J8" s="165">
        <v>0</v>
      </c>
      <c r="K8" s="165"/>
      <c r="L8" s="165">
        <v>1032.55</v>
      </c>
      <c r="M8" s="165" t="s">
        <v>221</v>
      </c>
      <c r="N8" s="165">
        <v>21.98</v>
      </c>
      <c r="O8" s="165">
        <v>1479474000</v>
      </c>
      <c r="P8" s="165">
        <v>3.69</v>
      </c>
      <c r="Q8" s="165">
        <v>230</v>
      </c>
      <c r="R8" s="165">
        <v>0.57999999999999996</v>
      </c>
    </row>
    <row r="9" spans="1:18" x14ac:dyDescent="0.25">
      <c r="A9" s="165">
        <v>21.34</v>
      </c>
      <c r="B9" s="165">
        <v>0.18</v>
      </c>
      <c r="C9" s="165">
        <v>17.75</v>
      </c>
      <c r="D9" s="8">
        <v>42692.291666666664</v>
      </c>
      <c r="E9" s="165">
        <v>0.86</v>
      </c>
      <c r="F9" s="165" t="s">
        <v>656</v>
      </c>
      <c r="G9" s="165">
        <v>269.45</v>
      </c>
      <c r="H9" s="165"/>
      <c r="I9" s="165">
        <v>0</v>
      </c>
      <c r="J9" s="165">
        <v>0</v>
      </c>
      <c r="K9" s="165"/>
      <c r="L9" s="165">
        <v>1033.77</v>
      </c>
      <c r="M9" s="165" t="s">
        <v>657</v>
      </c>
      <c r="N9" s="165">
        <v>21.34</v>
      </c>
      <c r="O9" s="165">
        <v>1479477600</v>
      </c>
      <c r="P9" s="165">
        <v>3.09</v>
      </c>
      <c r="Q9" s="165">
        <v>185</v>
      </c>
      <c r="R9" s="165">
        <v>1.04</v>
      </c>
    </row>
    <row r="10" spans="1:18" x14ac:dyDescent="0.25">
      <c r="A10" s="165">
        <v>23.29</v>
      </c>
      <c r="B10" s="165">
        <v>0.16</v>
      </c>
      <c r="C10" s="165">
        <v>19.64</v>
      </c>
      <c r="D10" s="8">
        <v>42692.333333333336</v>
      </c>
      <c r="E10" s="165">
        <v>0.86</v>
      </c>
      <c r="F10" s="165" t="s">
        <v>656</v>
      </c>
      <c r="G10" s="165">
        <v>266.11</v>
      </c>
      <c r="H10" s="165"/>
      <c r="I10" s="165">
        <v>0</v>
      </c>
      <c r="J10" s="165">
        <v>0</v>
      </c>
      <c r="K10" s="165"/>
      <c r="L10" s="165">
        <v>1034.32</v>
      </c>
      <c r="M10" s="165" t="s">
        <v>657</v>
      </c>
      <c r="N10" s="165">
        <v>23.29</v>
      </c>
      <c r="O10" s="165">
        <v>1479481200</v>
      </c>
      <c r="P10" s="165">
        <v>2.9</v>
      </c>
      <c r="Q10" s="165">
        <v>177</v>
      </c>
      <c r="R10" s="165">
        <v>2.0499999999999998</v>
      </c>
    </row>
    <row r="11" spans="1:18" x14ac:dyDescent="0.25">
      <c r="A11" s="165">
        <v>21.46</v>
      </c>
      <c r="B11" s="165">
        <v>0.16</v>
      </c>
      <c r="C11" s="165">
        <v>19.989999999999998</v>
      </c>
      <c r="D11" s="8">
        <v>42692.375</v>
      </c>
      <c r="E11" s="165">
        <v>0.79</v>
      </c>
      <c r="F11" s="165" t="s">
        <v>656</v>
      </c>
      <c r="G11" s="165">
        <v>263.99</v>
      </c>
      <c r="H11" s="165"/>
      <c r="I11" s="165">
        <v>0</v>
      </c>
      <c r="J11" s="165">
        <v>0</v>
      </c>
      <c r="K11" s="165"/>
      <c r="L11" s="165">
        <v>1033.95</v>
      </c>
      <c r="M11" s="165" t="s">
        <v>657</v>
      </c>
      <c r="N11" s="165">
        <v>25.7</v>
      </c>
      <c r="O11" s="165">
        <v>1479484800</v>
      </c>
      <c r="P11" s="165">
        <v>2.75</v>
      </c>
      <c r="Q11" s="165">
        <v>215</v>
      </c>
      <c r="R11" s="165">
        <v>3.49</v>
      </c>
    </row>
    <row r="12" spans="1:18" x14ac:dyDescent="0.25">
      <c r="A12" s="165">
        <v>28.38</v>
      </c>
      <c r="B12" s="165">
        <v>0.16</v>
      </c>
      <c r="C12" s="165">
        <v>20.79</v>
      </c>
      <c r="D12" s="8">
        <v>42692.416666666664</v>
      </c>
      <c r="E12" s="165">
        <v>0.73</v>
      </c>
      <c r="F12" s="165" t="s">
        <v>656</v>
      </c>
      <c r="G12" s="165">
        <v>262.49</v>
      </c>
      <c r="H12" s="165"/>
      <c r="I12" s="165">
        <v>0</v>
      </c>
      <c r="J12" s="165">
        <v>0</v>
      </c>
      <c r="K12" s="165"/>
      <c r="L12" s="165">
        <v>1033.04</v>
      </c>
      <c r="M12" s="165" t="s">
        <v>657</v>
      </c>
      <c r="N12" s="165">
        <v>28.38</v>
      </c>
      <c r="O12" s="165">
        <v>1479488400</v>
      </c>
      <c r="P12" s="165">
        <v>2.82</v>
      </c>
      <c r="Q12" s="165">
        <v>180</v>
      </c>
      <c r="R12" s="165">
        <v>2.34</v>
      </c>
    </row>
    <row r="13" spans="1:18" x14ac:dyDescent="0.25">
      <c r="A13" s="165">
        <v>31.35</v>
      </c>
      <c r="B13" s="165">
        <v>0.16</v>
      </c>
      <c r="C13" s="165">
        <v>21.6</v>
      </c>
      <c r="D13" s="8">
        <v>42692.458333333336</v>
      </c>
      <c r="E13" s="165">
        <v>0.67</v>
      </c>
      <c r="F13" s="165" t="s">
        <v>656</v>
      </c>
      <c r="G13" s="165">
        <v>260.61</v>
      </c>
      <c r="H13" s="165"/>
      <c r="I13" s="165">
        <v>0</v>
      </c>
      <c r="J13" s="165">
        <v>0</v>
      </c>
      <c r="K13" s="165"/>
      <c r="L13" s="165">
        <v>1032.19</v>
      </c>
      <c r="M13" s="165" t="s">
        <v>657</v>
      </c>
      <c r="N13" s="165">
        <v>31.35</v>
      </c>
      <c r="O13" s="165">
        <v>1479492000</v>
      </c>
      <c r="P13" s="165">
        <v>2.72</v>
      </c>
      <c r="Q13" s="165">
        <v>191</v>
      </c>
      <c r="R13" s="165">
        <v>2.46</v>
      </c>
    </row>
    <row r="14" spans="1:18" x14ac:dyDescent="0.25">
      <c r="A14" s="165">
        <v>33.979999999999997</v>
      </c>
      <c r="B14" s="165">
        <v>0.16</v>
      </c>
      <c r="C14" s="165">
        <v>22.18</v>
      </c>
      <c r="D14" s="8">
        <v>42692.5</v>
      </c>
      <c r="E14" s="165">
        <v>0.62</v>
      </c>
      <c r="F14" s="165" t="s">
        <v>656</v>
      </c>
      <c r="G14" s="165">
        <v>257.81</v>
      </c>
      <c r="H14" s="165"/>
      <c r="I14" s="165">
        <v>0</v>
      </c>
      <c r="J14" s="165">
        <v>0</v>
      </c>
      <c r="K14" s="165"/>
      <c r="L14" s="165">
        <v>1031.6400000000001</v>
      </c>
      <c r="M14" s="165" t="s">
        <v>657</v>
      </c>
      <c r="N14" s="165">
        <v>33.979999999999997</v>
      </c>
      <c r="O14" s="165">
        <v>1479495600</v>
      </c>
      <c r="P14" s="165">
        <v>2.72</v>
      </c>
      <c r="Q14" s="165">
        <v>131</v>
      </c>
      <c r="R14" s="165">
        <v>1.87</v>
      </c>
    </row>
    <row r="15" spans="1:18" x14ac:dyDescent="0.25">
      <c r="A15" s="165">
        <v>36.29</v>
      </c>
      <c r="B15" s="165">
        <v>0.16</v>
      </c>
      <c r="C15" s="165">
        <v>23.88</v>
      </c>
      <c r="D15" s="8">
        <v>42692.541666666664</v>
      </c>
      <c r="E15" s="165">
        <v>0.6</v>
      </c>
      <c r="F15" s="165" t="s">
        <v>656</v>
      </c>
      <c r="G15" s="165">
        <v>254.62</v>
      </c>
      <c r="H15" s="165"/>
      <c r="I15" s="165">
        <v>0</v>
      </c>
      <c r="J15" s="165">
        <v>0</v>
      </c>
      <c r="K15" s="165"/>
      <c r="L15" s="165">
        <v>1031.19</v>
      </c>
      <c r="M15" s="165" t="s">
        <v>657</v>
      </c>
      <c r="N15" s="165">
        <v>36.29</v>
      </c>
      <c r="O15" s="165">
        <v>1479499200</v>
      </c>
      <c r="P15" s="165">
        <v>2.83</v>
      </c>
      <c r="Q15" s="165">
        <v>98</v>
      </c>
      <c r="R15" s="165">
        <v>2.19</v>
      </c>
    </row>
    <row r="16" spans="1:18" x14ac:dyDescent="0.25">
      <c r="A16" s="165">
        <v>35.32</v>
      </c>
      <c r="B16" s="165">
        <v>0.16</v>
      </c>
      <c r="C16" s="165">
        <v>25.29</v>
      </c>
      <c r="D16" s="8">
        <v>42692.583333333336</v>
      </c>
      <c r="E16" s="165">
        <v>0.61</v>
      </c>
      <c r="F16" s="165" t="s">
        <v>656</v>
      </c>
      <c r="G16" s="165">
        <v>251.65</v>
      </c>
      <c r="H16" s="165"/>
      <c r="I16" s="165">
        <v>0</v>
      </c>
      <c r="J16" s="165">
        <v>0</v>
      </c>
      <c r="K16" s="165"/>
      <c r="L16" s="165">
        <v>1030.98</v>
      </c>
      <c r="M16" s="165" t="s">
        <v>657</v>
      </c>
      <c r="N16" s="165">
        <v>37.380000000000003</v>
      </c>
      <c r="O16" s="165">
        <v>1479502800</v>
      </c>
      <c r="P16" s="165">
        <v>2.93</v>
      </c>
      <c r="Q16" s="165">
        <v>95</v>
      </c>
      <c r="R16" s="165">
        <v>3.07</v>
      </c>
    </row>
    <row r="17" spans="1:18" x14ac:dyDescent="0.25">
      <c r="A17" s="165">
        <v>34.090000000000003</v>
      </c>
      <c r="B17" s="165">
        <v>0.13</v>
      </c>
      <c r="C17" s="165">
        <v>22.6</v>
      </c>
      <c r="D17" s="8">
        <v>42692.625</v>
      </c>
      <c r="E17" s="165">
        <v>0.56000000000000005</v>
      </c>
      <c r="F17" s="165" t="s">
        <v>656</v>
      </c>
      <c r="G17" s="165">
        <v>248.9</v>
      </c>
      <c r="H17" s="165"/>
      <c r="I17" s="165">
        <v>0</v>
      </c>
      <c r="J17" s="165">
        <v>0</v>
      </c>
      <c r="K17" s="165"/>
      <c r="L17" s="165">
        <v>1031.03</v>
      </c>
      <c r="M17" s="165" t="s">
        <v>657</v>
      </c>
      <c r="N17" s="165">
        <v>36.71</v>
      </c>
      <c r="O17" s="165">
        <v>1479506400</v>
      </c>
      <c r="P17" s="165">
        <v>3.05</v>
      </c>
      <c r="Q17" s="165">
        <v>85</v>
      </c>
      <c r="R17" s="165">
        <v>3.46</v>
      </c>
    </row>
    <row r="18" spans="1:18" x14ac:dyDescent="0.25">
      <c r="A18" s="165">
        <v>33.020000000000003</v>
      </c>
      <c r="B18" s="165">
        <v>0.09</v>
      </c>
      <c r="C18" s="165">
        <v>22.09</v>
      </c>
      <c r="D18" s="8">
        <v>42692.666666666664</v>
      </c>
      <c r="E18" s="165">
        <v>0.56000000000000005</v>
      </c>
      <c r="F18" s="165" t="s">
        <v>656</v>
      </c>
      <c r="G18" s="165">
        <v>246.36</v>
      </c>
      <c r="H18" s="165"/>
      <c r="I18" s="165">
        <v>0</v>
      </c>
      <c r="J18" s="165">
        <v>0</v>
      </c>
      <c r="K18" s="165"/>
      <c r="L18" s="165">
        <v>1031.28</v>
      </c>
      <c r="M18" s="165" t="s">
        <v>657</v>
      </c>
      <c r="N18" s="165">
        <v>36.090000000000003</v>
      </c>
      <c r="O18" s="165">
        <v>1479510000</v>
      </c>
      <c r="P18" s="165">
        <v>5.53</v>
      </c>
      <c r="Q18" s="165">
        <v>95</v>
      </c>
      <c r="R18" s="165">
        <v>3.78</v>
      </c>
    </row>
    <row r="19" spans="1:18" x14ac:dyDescent="0.25">
      <c r="A19" s="165">
        <v>30.67</v>
      </c>
      <c r="B19" s="165">
        <v>7.0000000000000007E-2</v>
      </c>
      <c r="C19" s="165">
        <v>20.149999999999999</v>
      </c>
      <c r="D19" s="8">
        <v>42692.708333333336</v>
      </c>
      <c r="E19" s="165">
        <v>0.57999999999999996</v>
      </c>
      <c r="F19" s="165" t="s">
        <v>658</v>
      </c>
      <c r="G19" s="165">
        <v>244.58</v>
      </c>
      <c r="H19" s="165"/>
      <c r="I19" s="165">
        <v>0</v>
      </c>
      <c r="J19" s="165">
        <v>0</v>
      </c>
      <c r="K19" s="165"/>
      <c r="L19" s="165">
        <v>1031.99</v>
      </c>
      <c r="M19" s="165" t="s">
        <v>657</v>
      </c>
      <c r="N19" s="165">
        <v>33.31</v>
      </c>
      <c r="O19" s="165">
        <v>1479513600</v>
      </c>
      <c r="P19" s="165">
        <v>6.06</v>
      </c>
      <c r="Q19" s="165">
        <v>99</v>
      </c>
      <c r="R19" s="165">
        <v>3.1</v>
      </c>
    </row>
    <row r="20" spans="1:18" x14ac:dyDescent="0.25">
      <c r="A20" s="165">
        <v>30.54</v>
      </c>
      <c r="B20" s="165">
        <v>0.06</v>
      </c>
      <c r="C20" s="165">
        <v>18.53</v>
      </c>
      <c r="D20" s="8">
        <v>42692.75</v>
      </c>
      <c r="E20" s="165">
        <v>0.61</v>
      </c>
      <c r="F20" s="165" t="s">
        <v>658</v>
      </c>
      <c r="G20" s="165">
        <v>243.98</v>
      </c>
      <c r="H20" s="165"/>
      <c r="I20" s="165">
        <v>0</v>
      </c>
      <c r="J20" s="165">
        <v>0</v>
      </c>
      <c r="K20" s="165"/>
      <c r="L20" s="165">
        <v>1033.58</v>
      </c>
      <c r="M20" s="165" t="s">
        <v>657</v>
      </c>
      <c r="N20" s="165">
        <v>30.54</v>
      </c>
      <c r="O20" s="165">
        <v>1479517200</v>
      </c>
      <c r="P20" s="165">
        <v>6.69</v>
      </c>
      <c r="Q20" s="165">
        <v>114</v>
      </c>
      <c r="R20" s="165">
        <v>1.21</v>
      </c>
    </row>
    <row r="21" spans="1:18" x14ac:dyDescent="0.25">
      <c r="A21" s="165">
        <v>28.47</v>
      </c>
      <c r="B21" s="165">
        <v>0.14000000000000001</v>
      </c>
      <c r="C21" s="165">
        <v>18.510000000000002</v>
      </c>
      <c r="D21" s="8">
        <v>42692.791666666664</v>
      </c>
      <c r="E21" s="165">
        <v>0.66</v>
      </c>
      <c r="F21" s="165" t="s">
        <v>658</v>
      </c>
      <c r="G21" s="165">
        <v>244.12</v>
      </c>
      <c r="H21" s="165"/>
      <c r="I21" s="165">
        <v>0</v>
      </c>
      <c r="J21" s="165">
        <v>0</v>
      </c>
      <c r="K21" s="165"/>
      <c r="L21" s="165">
        <v>1035.77</v>
      </c>
      <c r="M21" s="165" t="s">
        <v>657</v>
      </c>
      <c r="N21" s="165">
        <v>28.47</v>
      </c>
      <c r="O21" s="165">
        <v>1479520800</v>
      </c>
      <c r="P21" s="165">
        <v>7.44</v>
      </c>
      <c r="Q21" s="165">
        <v>152</v>
      </c>
      <c r="R21" s="165">
        <v>1.95</v>
      </c>
    </row>
    <row r="22" spans="1:18" x14ac:dyDescent="0.25">
      <c r="A22" s="165">
        <v>27.18</v>
      </c>
      <c r="B22" s="165">
        <v>0.08</v>
      </c>
      <c r="C22" s="165">
        <v>17.829999999999998</v>
      </c>
      <c r="D22" s="8">
        <v>42692.833333333336</v>
      </c>
      <c r="E22" s="165">
        <v>0.67</v>
      </c>
      <c r="F22" s="165" t="s">
        <v>658</v>
      </c>
      <c r="G22" s="165">
        <v>244.28</v>
      </c>
      <c r="H22" s="165"/>
      <c r="I22" s="165">
        <v>0</v>
      </c>
      <c r="J22" s="165">
        <v>0</v>
      </c>
      <c r="K22" s="165"/>
      <c r="L22" s="165">
        <v>1037.2</v>
      </c>
      <c r="M22" s="165" t="s">
        <v>657</v>
      </c>
      <c r="N22" s="165">
        <v>27.18</v>
      </c>
      <c r="O22" s="165">
        <v>1479524400</v>
      </c>
      <c r="P22" s="165">
        <v>7.71</v>
      </c>
      <c r="Q22" s="165">
        <v>174</v>
      </c>
      <c r="R22" s="165">
        <v>1.94</v>
      </c>
    </row>
    <row r="23" spans="1:18" x14ac:dyDescent="0.25">
      <c r="A23" s="165">
        <v>25.43</v>
      </c>
      <c r="B23" s="165">
        <v>0.08</v>
      </c>
      <c r="C23" s="165">
        <v>16.649999999999999</v>
      </c>
      <c r="D23" s="8">
        <v>42692.875</v>
      </c>
      <c r="E23" s="165">
        <v>0.69</v>
      </c>
      <c r="F23" s="165" t="s">
        <v>658</v>
      </c>
      <c r="G23" s="165">
        <v>244.34</v>
      </c>
      <c r="H23" s="165"/>
      <c r="I23" s="165">
        <v>0</v>
      </c>
      <c r="J23" s="165">
        <v>0</v>
      </c>
      <c r="K23" s="165"/>
      <c r="L23" s="165">
        <v>1037.1600000000001</v>
      </c>
      <c r="M23" s="165" t="s">
        <v>657</v>
      </c>
      <c r="N23" s="165">
        <v>25.43</v>
      </c>
      <c r="O23" s="165">
        <v>1479528000</v>
      </c>
      <c r="P23" s="165">
        <v>6.97</v>
      </c>
      <c r="Q23" s="165">
        <v>175</v>
      </c>
      <c r="R23" s="165">
        <v>1.66</v>
      </c>
    </row>
    <row r="24" spans="1:18" x14ac:dyDescent="0.25">
      <c r="A24" s="165">
        <v>24.67</v>
      </c>
      <c r="B24" s="165">
        <v>0.08</v>
      </c>
      <c r="C24" s="165">
        <v>17.170000000000002</v>
      </c>
      <c r="D24" s="8">
        <v>42692.916666666664</v>
      </c>
      <c r="E24" s="165">
        <v>0.73</v>
      </c>
      <c r="F24" s="165" t="s">
        <v>658</v>
      </c>
      <c r="G24" s="165">
        <v>244.4</v>
      </c>
      <c r="H24" s="165"/>
      <c r="I24" s="165">
        <v>0</v>
      </c>
      <c r="J24" s="165">
        <v>0</v>
      </c>
      <c r="K24" s="165"/>
      <c r="L24" s="165">
        <v>1036.1500000000001</v>
      </c>
      <c r="M24" s="165" t="s">
        <v>657</v>
      </c>
      <c r="N24" s="165">
        <v>24.67</v>
      </c>
      <c r="O24" s="165">
        <v>1479531600</v>
      </c>
      <c r="P24" s="165">
        <v>6.98</v>
      </c>
      <c r="Q24" s="165">
        <v>197</v>
      </c>
      <c r="R24" s="165">
        <v>1.78</v>
      </c>
    </row>
    <row r="25" spans="1:18" x14ac:dyDescent="0.25">
      <c r="A25" s="165">
        <v>24.59</v>
      </c>
      <c r="B25" s="165">
        <v>7.0000000000000007E-2</v>
      </c>
      <c r="C25" s="165">
        <v>17.7</v>
      </c>
      <c r="D25" s="8">
        <v>42692.958333333336</v>
      </c>
      <c r="E25" s="165">
        <v>0.75</v>
      </c>
      <c r="F25" s="165" t="s">
        <v>658</v>
      </c>
      <c r="G25" s="165">
        <v>244.08</v>
      </c>
      <c r="H25" s="165"/>
      <c r="I25" s="165">
        <v>0</v>
      </c>
      <c r="J25" s="165">
        <v>0</v>
      </c>
      <c r="K25" s="165"/>
      <c r="L25" s="165">
        <v>1035.1600000000001</v>
      </c>
      <c r="M25" s="165" t="s">
        <v>657</v>
      </c>
      <c r="N25" s="165">
        <v>24.59</v>
      </c>
      <c r="O25" s="165">
        <v>1479535200</v>
      </c>
      <c r="P25" s="165">
        <v>7.61</v>
      </c>
      <c r="Q25" s="165">
        <v>236</v>
      </c>
      <c r="R25" s="165">
        <v>1.46</v>
      </c>
    </row>
    <row r="26" spans="1:18" x14ac:dyDescent="0.25">
      <c r="A26" s="165">
        <v>24.96</v>
      </c>
      <c r="B26" s="165">
        <v>0.11</v>
      </c>
      <c r="C26" s="165">
        <v>18.87</v>
      </c>
      <c r="D26" s="8">
        <v>42693</v>
      </c>
      <c r="E26" s="165">
        <v>0.77</v>
      </c>
      <c r="F26" s="165" t="s">
        <v>658</v>
      </c>
      <c r="G26" s="165">
        <v>242.85</v>
      </c>
      <c r="H26" s="165"/>
      <c r="I26" s="165">
        <v>0</v>
      </c>
      <c r="J26" s="165">
        <v>0</v>
      </c>
      <c r="K26" s="165"/>
      <c r="L26" s="165">
        <v>1034.83</v>
      </c>
      <c r="M26" s="165" t="s">
        <v>657</v>
      </c>
      <c r="N26" s="165">
        <v>24.96</v>
      </c>
      <c r="O26" s="165">
        <v>1479538800</v>
      </c>
      <c r="P26" s="165">
        <v>7.33</v>
      </c>
      <c r="Q26" s="165">
        <v>192</v>
      </c>
      <c r="R26" s="165">
        <v>2.4500000000000002</v>
      </c>
    </row>
    <row r="27" spans="1:18" x14ac:dyDescent="0.25">
      <c r="A27" s="165">
        <v>23.74</v>
      </c>
      <c r="B27" s="165">
        <v>0.11</v>
      </c>
      <c r="C27" s="165">
        <v>17.52</v>
      </c>
      <c r="D27" s="8">
        <v>42693.041666666664</v>
      </c>
      <c r="E27" s="165">
        <v>0.77</v>
      </c>
      <c r="F27" s="165" t="s">
        <v>658</v>
      </c>
      <c r="G27" s="165">
        <v>241.62</v>
      </c>
      <c r="H27" s="165"/>
      <c r="I27" s="165">
        <v>0</v>
      </c>
      <c r="J27" s="165">
        <v>0</v>
      </c>
      <c r="K27" s="165"/>
      <c r="L27" s="165">
        <v>1034.45</v>
      </c>
      <c r="M27" s="165" t="s">
        <v>657</v>
      </c>
      <c r="N27" s="165">
        <v>23.74</v>
      </c>
      <c r="O27" s="165">
        <v>1479542400</v>
      </c>
      <c r="P27" s="165">
        <v>7.62</v>
      </c>
      <c r="Q27" s="165">
        <v>208</v>
      </c>
      <c r="R27" s="165">
        <v>1.53</v>
      </c>
    </row>
    <row r="28" spans="1:18" x14ac:dyDescent="0.25">
      <c r="A28" s="165">
        <v>23.4</v>
      </c>
      <c r="B28" s="165">
        <v>0.09</v>
      </c>
      <c r="C28" s="165">
        <v>17.96</v>
      </c>
      <c r="D28" s="8">
        <v>42693.083333333336</v>
      </c>
      <c r="E28" s="165">
        <v>0.79</v>
      </c>
      <c r="F28" s="165" t="s">
        <v>658</v>
      </c>
      <c r="G28" s="165">
        <v>240.38</v>
      </c>
      <c r="H28" s="165"/>
      <c r="I28" s="165">
        <v>0</v>
      </c>
      <c r="J28" s="165">
        <v>0</v>
      </c>
      <c r="K28" s="165"/>
      <c r="L28" s="165">
        <v>1034.03</v>
      </c>
      <c r="M28" s="165" t="s">
        <v>657</v>
      </c>
      <c r="N28" s="165">
        <v>23.4</v>
      </c>
      <c r="O28" s="165">
        <v>1479546000</v>
      </c>
      <c r="P28" s="165">
        <v>5.92</v>
      </c>
      <c r="Q28" s="165">
        <v>187</v>
      </c>
      <c r="R28" s="165">
        <v>1.55</v>
      </c>
    </row>
    <row r="29" spans="1:18" x14ac:dyDescent="0.25">
      <c r="A29" s="165">
        <v>22.96</v>
      </c>
      <c r="B29" s="165">
        <v>0.14000000000000001</v>
      </c>
      <c r="C29" s="165">
        <v>16.32</v>
      </c>
      <c r="D29" s="8">
        <v>42693.125</v>
      </c>
      <c r="E29" s="165">
        <v>0.75</v>
      </c>
      <c r="F29" s="165" t="s">
        <v>658</v>
      </c>
      <c r="G29" s="165">
        <v>239.37</v>
      </c>
      <c r="H29" s="165"/>
      <c r="I29" s="165">
        <v>0</v>
      </c>
      <c r="J29" s="165">
        <v>0</v>
      </c>
      <c r="K29" s="165"/>
      <c r="L29" s="165">
        <v>1033.3</v>
      </c>
      <c r="M29" s="165" t="s">
        <v>657</v>
      </c>
      <c r="N29" s="165">
        <v>22.96</v>
      </c>
      <c r="O29" s="165">
        <v>1479549600</v>
      </c>
      <c r="P29" s="165">
        <v>7.56</v>
      </c>
      <c r="Q29" s="165">
        <v>190</v>
      </c>
      <c r="R29" s="165">
        <v>1.54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topLeftCell="A11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42692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809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810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811</v>
      </c>
      <c r="J20" t="s">
        <v>87</v>
      </c>
      <c r="M20" s="68" t="s">
        <v>240</v>
      </c>
    </row>
    <row r="21" spans="3:13" x14ac:dyDescent="0.25">
      <c r="C21" t="s">
        <v>812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813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814</v>
      </c>
      <c r="J23" s="29" t="s">
        <v>95</v>
      </c>
      <c r="K23" s="21"/>
      <c r="M23" s="69">
        <v>-7</v>
      </c>
    </row>
    <row r="24" spans="3:13" x14ac:dyDescent="0.25">
      <c r="C24" t="s">
        <v>815</v>
      </c>
      <c r="J24" s="21" t="s">
        <v>108</v>
      </c>
      <c r="K24" s="21"/>
      <c r="M24" s="68" t="s">
        <v>110</v>
      </c>
    </row>
    <row r="25" spans="3:13" x14ac:dyDescent="0.25">
      <c r="C25" t="s">
        <v>816</v>
      </c>
      <c r="J25" t="s">
        <v>151</v>
      </c>
      <c r="M25" s="68" t="b">
        <v>1</v>
      </c>
    </row>
    <row r="26" spans="3:13" x14ac:dyDescent="0.25">
      <c r="C26" t="s">
        <v>817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C:\Users\stu\Documents\GitHub\eaglep3-reporting\EC\2016-11-18-refined-times.txt</v>
      </c>
    </row>
    <row r="27" spans="3:13" x14ac:dyDescent="0.25">
      <c r="C27" t="s">
        <v>818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C:\Users\stu\Documents\GitHub\eaglep3-reporting\EC\2016-11-18-Enforcements.txt</v>
      </c>
    </row>
    <row r="28" spans="3:13" x14ac:dyDescent="0.25">
      <c r="C28" t="s">
        <v>819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C:\Users\stu\Documents\GitHub\eaglep3-reporting\EC\2016-11-18-Runs-Refined.txt</v>
      </c>
    </row>
    <row r="29" spans="3:13" x14ac:dyDescent="0.25">
      <c r="C29" t="s">
        <v>820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C:\Users\stu\Documents\GitHub\eaglep3-reporting\EC\2016-11-18-Trips.txt</v>
      </c>
    </row>
    <row r="30" spans="3:13" x14ac:dyDescent="0.25">
      <c r="C30" t="s">
        <v>821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C:\Users\stu\Documents\GitHub\eaglep3-reporting\EC\2016-11-18-Weather.txt</v>
      </c>
    </row>
    <row r="31" spans="3:13" x14ac:dyDescent="0.25">
      <c r="C31" t="s">
        <v>822</v>
      </c>
    </row>
    <row r="32" spans="3:13" x14ac:dyDescent="0.25">
      <c r="C32" t="s">
        <v>823</v>
      </c>
    </row>
    <row r="33" spans="3:3" x14ac:dyDescent="0.25">
      <c r="C33" t="s">
        <v>824</v>
      </c>
    </row>
    <row r="34" spans="3:3" x14ac:dyDescent="0.25">
      <c r="C34" t="s">
        <v>825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C13" sqref="C1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838</v>
      </c>
      <c r="B1" t="str">
        <f t="shared" ref="B1:B57" si="0">MID(A1,6,23)</f>
        <v>2016/11/18 11:36:15.081</v>
      </c>
      <c r="C1" t="e">
        <f>ABS(B1-#REF!)</f>
        <v>#REF!</v>
      </c>
    </row>
    <row r="2" spans="1:3" x14ac:dyDescent="0.25">
      <c r="A2" t="s">
        <v>839</v>
      </c>
      <c r="B2" s="21" t="str">
        <f t="shared" si="0"/>
        <v>2016/11/18 11:36:15.410</v>
      </c>
      <c r="C2">
        <f>ABS(B2-B1)</f>
        <v>3.8078724173828959E-6</v>
      </c>
    </row>
    <row r="3" spans="1:3" x14ac:dyDescent="0.25">
      <c r="A3" t="s">
        <v>840</v>
      </c>
      <c r="B3" s="21" t="str">
        <f t="shared" si="0"/>
        <v>2016/11/18 11:36:16.014</v>
      </c>
      <c r="C3" s="21">
        <f t="shared" ref="C3:C57" si="1">ABS(B3-B2)</f>
        <v>6.9907400757074356E-6</v>
      </c>
    </row>
    <row r="4" spans="1:3" x14ac:dyDescent="0.25">
      <c r="A4" t="s">
        <v>841</v>
      </c>
      <c r="B4" s="21" t="str">
        <f t="shared" si="0"/>
        <v>2016/11/18 12:11:43.589</v>
      </c>
      <c r="C4" s="21">
        <f t="shared" si="1"/>
        <v>2.4624710647913162E-2</v>
      </c>
    </row>
    <row r="5" spans="1:3" x14ac:dyDescent="0.25">
      <c r="A5" t="s">
        <v>842</v>
      </c>
      <c r="B5" s="21" t="str">
        <f t="shared" si="0"/>
        <v>2016/11/18 12:11:44.206</v>
      </c>
      <c r="C5" s="21">
        <f t="shared" si="1"/>
        <v>7.1411996032111347E-6</v>
      </c>
    </row>
    <row r="6" spans="1:3" x14ac:dyDescent="0.25">
      <c r="A6" t="s">
        <v>843</v>
      </c>
      <c r="B6" s="21" t="str">
        <f t="shared" si="0"/>
        <v>2016/11/18 12:11:44.998</v>
      </c>
      <c r="C6" s="21">
        <f t="shared" si="1"/>
        <v>9.1666661319322884E-6</v>
      </c>
    </row>
    <row r="7" spans="1:3" x14ac:dyDescent="0.25">
      <c r="A7" t="s">
        <v>844</v>
      </c>
      <c r="B7" s="21" t="str">
        <f t="shared" si="0"/>
        <v>2016/11/18 13:57:35.485</v>
      </c>
      <c r="C7" s="21">
        <f t="shared" si="1"/>
        <v>7.3501006947481073E-2</v>
      </c>
    </row>
    <row r="8" spans="1:3" x14ac:dyDescent="0.25">
      <c r="A8" t="s">
        <v>845</v>
      </c>
      <c r="B8" s="21" t="str">
        <f t="shared" si="0"/>
        <v>2016/11/18 13:57:35.864</v>
      </c>
      <c r="C8" s="21">
        <f t="shared" si="1"/>
        <v>4.3865729821845889E-6</v>
      </c>
    </row>
    <row r="9" spans="1:3" x14ac:dyDescent="0.25">
      <c r="A9" t="s">
        <v>846</v>
      </c>
      <c r="B9" s="21" t="str">
        <f t="shared" si="0"/>
        <v>2016/11/18 14:01:15.493</v>
      </c>
      <c r="C9" s="21">
        <f t="shared" si="1"/>
        <v>2.5420023157494143E-3</v>
      </c>
    </row>
    <row r="10" spans="1:3" x14ac:dyDescent="0.25">
      <c r="A10" t="s">
        <v>847</v>
      </c>
      <c r="B10" s="21" t="str">
        <f t="shared" si="0"/>
        <v>2016/11/18 14:01:15.874</v>
      </c>
      <c r="C10" s="21">
        <f t="shared" si="1"/>
        <v>4.4097250793129206E-6</v>
      </c>
    </row>
    <row r="11" spans="1:3" x14ac:dyDescent="0.25">
      <c r="A11" t="s">
        <v>848</v>
      </c>
      <c r="B11" s="21" t="str">
        <f t="shared" si="0"/>
        <v>2016/11/18 14:51:39.424</v>
      </c>
      <c r="C11" s="21">
        <f t="shared" si="1"/>
        <v>3.4994791662029456E-2</v>
      </c>
    </row>
    <row r="12" spans="1:3" x14ac:dyDescent="0.25">
      <c r="A12" t="s">
        <v>849</v>
      </c>
      <c r="B12" s="21" t="str">
        <f t="shared" si="0"/>
        <v>2016/11/18 14:51:40.399</v>
      </c>
      <c r="C12" s="21">
        <f t="shared" si="1"/>
        <v>1.128472649725154E-5</v>
      </c>
    </row>
    <row r="13" spans="1:3" x14ac:dyDescent="0.25">
      <c r="A13" t="s">
        <v>850</v>
      </c>
      <c r="B13" s="21" t="str">
        <f t="shared" si="0"/>
        <v>2016/11/18 15:10:58.865</v>
      </c>
      <c r="C13" s="21">
        <f t="shared" si="1"/>
        <v>1.3408171296759974E-2</v>
      </c>
    </row>
    <row r="14" spans="1:3" x14ac:dyDescent="0.25">
      <c r="A14" t="s">
        <v>851</v>
      </c>
      <c r="B14" s="21" t="str">
        <f t="shared" si="0"/>
        <v>2016/11/18 15:21:05.990</v>
      </c>
      <c r="C14" s="21">
        <f t="shared" si="1"/>
        <v>7.0269097195705399E-3</v>
      </c>
    </row>
    <row r="15" spans="1:3" x14ac:dyDescent="0.25">
      <c r="A15" t="s">
        <v>852</v>
      </c>
      <c r="B15" s="21" t="str">
        <f t="shared" si="0"/>
        <v>2016/11/18 15:21:06.055</v>
      </c>
      <c r="C15" s="21">
        <f t="shared" si="1"/>
        <v>7.5231218943372369E-7</v>
      </c>
    </row>
    <row r="16" spans="1:3" x14ac:dyDescent="0.25">
      <c r="A16" t="s">
        <v>853</v>
      </c>
      <c r="B16" s="21" t="str">
        <f t="shared" si="0"/>
        <v>2016/11/18 15:21:06.379</v>
      </c>
      <c r="C16" s="21">
        <f t="shared" si="1"/>
        <v>3.749999450519681E-6</v>
      </c>
    </row>
    <row r="17" spans="1:3" x14ac:dyDescent="0.25">
      <c r="A17" t="s">
        <v>854</v>
      </c>
      <c r="B17" s="21" t="str">
        <f t="shared" si="0"/>
        <v>2016/11/18 15:36:30.293</v>
      </c>
      <c r="C17" s="21">
        <f t="shared" si="1"/>
        <v>1.0693449075915851E-2</v>
      </c>
    </row>
    <row r="18" spans="1:3" x14ac:dyDescent="0.25">
      <c r="A18" t="s">
        <v>855</v>
      </c>
      <c r="B18" s="21" t="str">
        <f t="shared" si="0"/>
        <v>2016/11/18 16:28:26.236</v>
      </c>
      <c r="C18" s="21">
        <f t="shared" si="1"/>
        <v>3.6064155094209127E-2</v>
      </c>
    </row>
    <row r="19" spans="1:3" x14ac:dyDescent="0.25">
      <c r="A19" t="s">
        <v>856</v>
      </c>
      <c r="B19" s="21" t="str">
        <f t="shared" si="0"/>
        <v>2016/11/18 16:28:26.605</v>
      </c>
      <c r="C19" s="21">
        <f t="shared" si="1"/>
        <v>4.2708343244157732E-6</v>
      </c>
    </row>
    <row r="20" spans="1:3" x14ac:dyDescent="0.25">
      <c r="A20" t="s">
        <v>857</v>
      </c>
      <c r="B20" s="21" t="str">
        <f t="shared" si="0"/>
        <v>2016/11/18 16:28:27.483</v>
      </c>
      <c r="C20" s="21">
        <f t="shared" si="1"/>
        <v>1.0162038961425424E-5</v>
      </c>
    </row>
    <row r="21" spans="1:3" x14ac:dyDescent="0.25">
      <c r="A21" t="s">
        <v>858</v>
      </c>
      <c r="B21" s="21" t="str">
        <f t="shared" si="0"/>
        <v>2016/11/18 16:47:56.316</v>
      </c>
      <c r="C21" s="21">
        <f t="shared" si="1"/>
        <v>1.3528159717679955E-2</v>
      </c>
    </row>
    <row r="22" spans="1:3" x14ac:dyDescent="0.25">
      <c r="A22" t="s">
        <v>859</v>
      </c>
      <c r="B22" s="21" t="str">
        <f t="shared" si="0"/>
        <v>2016/11/18 16:47:56.791</v>
      </c>
      <c r="C22" s="21">
        <f t="shared" si="1"/>
        <v>5.4976844694465399E-6</v>
      </c>
    </row>
    <row r="23" spans="1:3" x14ac:dyDescent="0.25">
      <c r="A23" t="s">
        <v>860</v>
      </c>
      <c r="B23" s="21" t="str">
        <f t="shared" si="0"/>
        <v>2016/11/18 16:47:57.075</v>
      </c>
      <c r="C23" s="21">
        <f t="shared" si="1"/>
        <v>3.2870375434868038E-6</v>
      </c>
    </row>
    <row r="24" spans="1:3" x14ac:dyDescent="0.25">
      <c r="A24" t="s">
        <v>861</v>
      </c>
      <c r="B24" s="21" t="str">
        <f t="shared" si="0"/>
        <v>2016/11/18 17:15:31.026</v>
      </c>
      <c r="C24" s="21">
        <f t="shared" si="1"/>
        <v>1.914295138703892E-2</v>
      </c>
    </row>
    <row r="25" spans="1:3" x14ac:dyDescent="0.25">
      <c r="A25" t="s">
        <v>862</v>
      </c>
      <c r="B25" s="21" t="str">
        <f t="shared" si="0"/>
        <v>2016/11/18 17:15:31.264</v>
      </c>
      <c r="C25" s="21">
        <f t="shared" si="1"/>
        <v>2.7546338969841599E-6</v>
      </c>
    </row>
    <row r="26" spans="1:3" x14ac:dyDescent="0.25">
      <c r="A26" t="s">
        <v>863</v>
      </c>
      <c r="B26" s="21" t="str">
        <f t="shared" si="0"/>
        <v>2016/11/18 17:15:31.443</v>
      </c>
      <c r="C26" s="21">
        <f t="shared" si="1"/>
        <v>2.0717561710625887E-6</v>
      </c>
    </row>
    <row r="27" spans="1:3" x14ac:dyDescent="0.25">
      <c r="A27" t="s">
        <v>864</v>
      </c>
      <c r="B27" s="21" t="str">
        <f t="shared" si="0"/>
        <v>2016/11/18 17:32:34.956</v>
      </c>
      <c r="C27" s="21">
        <f t="shared" si="1"/>
        <v>1.1846215282275807E-2</v>
      </c>
    </row>
    <row r="28" spans="1:3" x14ac:dyDescent="0.25">
      <c r="A28" t="s">
        <v>865</v>
      </c>
      <c r="B28" s="21" t="str">
        <f t="shared" si="0"/>
        <v>2016/11/18 17:32:35.472</v>
      </c>
      <c r="C28" s="21">
        <f t="shared" si="1"/>
        <v>5.9722224250435829E-6</v>
      </c>
    </row>
    <row r="29" spans="1:3" x14ac:dyDescent="0.25">
      <c r="A29" t="s">
        <v>866</v>
      </c>
      <c r="B29" s="21" t="str">
        <f t="shared" si="0"/>
        <v>2016/11/18 17:32:35.478</v>
      </c>
      <c r="C29" s="21">
        <f t="shared" si="1"/>
        <v>6.9441739469766617E-8</v>
      </c>
    </row>
    <row r="30" spans="1:3" x14ac:dyDescent="0.25">
      <c r="A30" t="s">
        <v>867</v>
      </c>
      <c r="B30" s="21" t="str">
        <f t="shared" si="0"/>
        <v>2016/11/18 17:57:14.953</v>
      </c>
      <c r="C30" s="21">
        <f t="shared" si="1"/>
        <v>1.7123553239798639E-2</v>
      </c>
    </row>
    <row r="31" spans="1:3" x14ac:dyDescent="0.25">
      <c r="A31" t="s">
        <v>868</v>
      </c>
      <c r="B31" s="21" t="str">
        <f t="shared" si="0"/>
        <v>2016/11/18 17:57:15.473</v>
      </c>
      <c r="C31" s="21">
        <f t="shared" si="1"/>
        <v>6.0185193433426321E-6</v>
      </c>
    </row>
    <row r="32" spans="1:3" x14ac:dyDescent="0.25">
      <c r="A32" t="s">
        <v>869</v>
      </c>
      <c r="B32" s="21" t="str">
        <f t="shared" si="0"/>
        <v>2016/11/18 20:21:41.210</v>
      </c>
      <c r="C32" s="21">
        <f t="shared" si="1"/>
        <v>0.10029788194515277</v>
      </c>
    </row>
    <row r="33" spans="1:3" x14ac:dyDescent="0.25">
      <c r="A33" t="s">
        <v>870</v>
      </c>
      <c r="B33" s="21" t="str">
        <f t="shared" si="0"/>
        <v>2016/11/18 20:21:41.456</v>
      </c>
      <c r="C33" s="21">
        <f t="shared" si="1"/>
        <v>2.847220457624644E-6</v>
      </c>
    </row>
    <row r="34" spans="1:3" x14ac:dyDescent="0.25">
      <c r="A34" t="s">
        <v>871</v>
      </c>
      <c r="B34" s="21" t="str">
        <f t="shared" si="0"/>
        <v>2016/11/18 20:21:41.592</v>
      </c>
      <c r="C34" s="21">
        <f t="shared" si="1"/>
        <v>1.5740733942948282E-6</v>
      </c>
    </row>
    <row r="35" spans="1:3" x14ac:dyDescent="0.25">
      <c r="A35" t="s">
        <v>872</v>
      </c>
      <c r="B35" s="21" t="str">
        <f t="shared" si="0"/>
        <v>2016/11/18 20:22:21.207</v>
      </c>
      <c r="C35" s="21">
        <f t="shared" si="1"/>
        <v>4.5850694732507691E-4</v>
      </c>
    </row>
    <row r="36" spans="1:3" x14ac:dyDescent="0.25">
      <c r="A36" t="s">
        <v>873</v>
      </c>
      <c r="B36" s="21" t="str">
        <f t="shared" si="0"/>
        <v>2016/11/18 20:22:22.453</v>
      </c>
      <c r="C36" s="21">
        <f t="shared" si="1"/>
        <v>1.4421297237277031E-5</v>
      </c>
    </row>
    <row r="37" spans="1:3" x14ac:dyDescent="0.25">
      <c r="A37" t="s">
        <v>874</v>
      </c>
      <c r="B37" s="21" t="str">
        <f t="shared" si="0"/>
        <v>2016/11/18 20:22:22.586</v>
      </c>
      <c r="C37" s="21">
        <f t="shared" si="1"/>
        <v>1.5393525245599449E-6</v>
      </c>
    </row>
    <row r="38" spans="1:3" x14ac:dyDescent="0.25">
      <c r="A38" t="s">
        <v>875</v>
      </c>
      <c r="B38" s="21" t="str">
        <f t="shared" si="0"/>
        <v>2016/11/18 21:16:36.046</v>
      </c>
      <c r="C38" s="21">
        <f t="shared" si="1"/>
        <v>3.7655787033145316E-2</v>
      </c>
    </row>
    <row r="39" spans="1:3" x14ac:dyDescent="0.25">
      <c r="A39" t="s">
        <v>876</v>
      </c>
      <c r="B39" s="21" t="str">
        <f t="shared" si="0"/>
        <v>2016/11/18 21:16:36.270</v>
      </c>
      <c r="C39" s="21">
        <f t="shared" si="1"/>
        <v>2.5925910449586809E-6</v>
      </c>
    </row>
    <row r="40" spans="1:3" x14ac:dyDescent="0.25">
      <c r="A40" t="s">
        <v>877</v>
      </c>
      <c r="B40" s="21" t="str">
        <f t="shared" si="0"/>
        <v>2016/11/18 21:16:36.616</v>
      </c>
      <c r="C40" s="21">
        <f t="shared" si="1"/>
        <v>4.0046288631856441E-6</v>
      </c>
    </row>
    <row r="41" spans="1:3" x14ac:dyDescent="0.25">
      <c r="A41" t="s">
        <v>878</v>
      </c>
      <c r="B41" s="21" t="str">
        <f t="shared" si="0"/>
        <v>2016/11/18 21:39:54.372</v>
      </c>
      <c r="C41" s="21">
        <f t="shared" si="1"/>
        <v>1.6177731486095581E-2</v>
      </c>
    </row>
    <row r="42" spans="1:3" x14ac:dyDescent="0.25">
      <c r="A42" t="s">
        <v>879</v>
      </c>
      <c r="B42" s="21" t="str">
        <f t="shared" si="0"/>
        <v>2016/11/18 21:39:54.439</v>
      </c>
      <c r="C42" s="21">
        <f t="shared" si="1"/>
        <v>7.7546428656205535E-7</v>
      </c>
    </row>
    <row r="43" spans="1:3" x14ac:dyDescent="0.25">
      <c r="A43" t="s">
        <v>880</v>
      </c>
      <c r="B43" s="21" t="str">
        <f t="shared" si="0"/>
        <v>2016/11/18 21:39:55.233</v>
      </c>
      <c r="C43" s="21">
        <f t="shared" si="1"/>
        <v>9.1898109531030059E-6</v>
      </c>
    </row>
    <row r="44" spans="1:3" x14ac:dyDescent="0.25">
      <c r="A44" t="s">
        <v>881</v>
      </c>
      <c r="B44" s="21" t="str">
        <f t="shared" si="0"/>
        <v>2016/11/18 22:22:20.397</v>
      </c>
      <c r="C44" s="21">
        <f t="shared" si="1"/>
        <v>2.9457916665705852E-2</v>
      </c>
    </row>
    <row r="45" spans="1:3" x14ac:dyDescent="0.25">
      <c r="A45" t="s">
        <v>882</v>
      </c>
      <c r="B45" s="21" t="str">
        <f t="shared" si="0"/>
        <v>2016/11/18 22:22:20.611</v>
      </c>
      <c r="C45" s="21">
        <f t="shared" si="1"/>
        <v>2.4768523871898651E-6</v>
      </c>
    </row>
    <row r="46" spans="1:3" x14ac:dyDescent="0.25">
      <c r="A46" t="s">
        <v>883</v>
      </c>
      <c r="B46" s="21" t="str">
        <f t="shared" si="0"/>
        <v>2016/11/18 22:22:20.992</v>
      </c>
      <c r="C46" s="21">
        <f t="shared" si="1"/>
        <v>4.4097250793129206E-6</v>
      </c>
    </row>
    <row r="47" spans="1:3" x14ac:dyDescent="0.25">
      <c r="A47" t="s">
        <v>884</v>
      </c>
      <c r="B47" s="21" t="str">
        <f t="shared" si="0"/>
        <v>2016/11/18 23:33:42.405</v>
      </c>
      <c r="C47" s="21">
        <f t="shared" si="1"/>
        <v>4.9553391203517094E-2</v>
      </c>
    </row>
    <row r="48" spans="1:3" x14ac:dyDescent="0.25">
      <c r="A48" t="s">
        <v>885</v>
      </c>
      <c r="B48" s="21" t="str">
        <f t="shared" si="0"/>
        <v>2016/11/18 23:33:42.439</v>
      </c>
      <c r="C48" s="21">
        <f t="shared" si="1"/>
        <v>3.9352016756311059E-7</v>
      </c>
    </row>
    <row r="49" spans="1:3" x14ac:dyDescent="0.25">
      <c r="A49" t="s">
        <v>886</v>
      </c>
      <c r="B49" s="21" t="str">
        <f t="shared" si="0"/>
        <v>2016/11/19 01:04:36.500</v>
      </c>
      <c r="C49" s="21">
        <f t="shared" si="1"/>
        <v>6.3125706015853211E-2</v>
      </c>
    </row>
    <row r="50" spans="1:3" x14ac:dyDescent="0.25">
      <c r="A50" t="s">
        <v>887</v>
      </c>
      <c r="B50" s="21" t="str">
        <f t="shared" si="0"/>
        <v>2016/11/19 01:04:36.564</v>
      </c>
      <c r="C50" s="21">
        <f t="shared" si="1"/>
        <v>7.4074341682717204E-7</v>
      </c>
    </row>
    <row r="51" spans="1:3" x14ac:dyDescent="0.25">
      <c r="A51" t="s">
        <v>888</v>
      </c>
      <c r="B51" s="21" t="str">
        <f t="shared" si="0"/>
        <v>2016/11/19 01:04:37.284</v>
      </c>
      <c r="C51" s="21">
        <f t="shared" si="1"/>
        <v>8.3333288785070181E-6</v>
      </c>
    </row>
    <row r="52" spans="1:3" x14ac:dyDescent="0.25">
      <c r="A52" t="s">
        <v>889</v>
      </c>
      <c r="B52" s="21" t="str">
        <f t="shared" si="0"/>
        <v>2016/11/19 02:13:39.209</v>
      </c>
      <c r="C52" s="21">
        <f t="shared" si="1"/>
        <v>4.7938946758222301E-2</v>
      </c>
    </row>
    <row r="53" spans="1:3" x14ac:dyDescent="0.25">
      <c r="A53" t="s">
        <v>890</v>
      </c>
      <c r="B53" s="21" t="str">
        <f t="shared" si="0"/>
        <v>2016/11/19 02:13:39.638</v>
      </c>
      <c r="C53" s="21">
        <f t="shared" si="1"/>
        <v>4.9652808229438961E-6</v>
      </c>
    </row>
    <row r="54" spans="1:3" x14ac:dyDescent="0.25">
      <c r="A54" t="s">
        <v>891</v>
      </c>
      <c r="B54" s="21" t="str">
        <f t="shared" si="0"/>
        <v>2016/11/19 02:13:39.915</v>
      </c>
      <c r="C54" s="21">
        <f t="shared" si="1"/>
        <v>3.2060197554528713E-6</v>
      </c>
    </row>
    <row r="55" spans="1:3" x14ac:dyDescent="0.25">
      <c r="A55" t="s">
        <v>892</v>
      </c>
      <c r="B55" s="21" t="str">
        <f t="shared" si="0"/>
        <v>2016/11/19 02:44:38.909</v>
      </c>
      <c r="C55" s="21">
        <f t="shared" si="1"/>
        <v>2.1516134256671648E-2</v>
      </c>
    </row>
    <row r="56" spans="1:3" x14ac:dyDescent="0.25">
      <c r="A56" t="s">
        <v>893</v>
      </c>
      <c r="B56" s="21" t="str">
        <f t="shared" si="0"/>
        <v>2016/11/19 02:44:39.203</v>
      </c>
      <c r="C56" s="21">
        <f t="shared" si="1"/>
        <v>3.4027762012556195E-6</v>
      </c>
    </row>
    <row r="57" spans="1:3" x14ac:dyDescent="0.25">
      <c r="A57" t="s">
        <v>894</v>
      </c>
      <c r="B57" s="21" t="str">
        <f t="shared" si="0"/>
        <v>2016/11/19 02:44:39.628</v>
      </c>
      <c r="C57" s="21">
        <f t="shared" si="1"/>
        <v>4.9189839046448469E-6</v>
      </c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2016-11-21T20:53:09Z</dcterms:modified>
</cp:coreProperties>
</file>