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Enforcements!$A$6:$AC$66</definedName>
    <definedName name="_xlnm._FilterDatabase" localSheetId="2" hidden="1">'Missing Trips'!$A$2:$J$88</definedName>
    <definedName name="_xlnm._FilterDatabase" localSheetId="0" hidden="1">'Train Runs'!$A$12:$AG$270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S8" i="3" s="1"/>
  <c r="Y39" i="1"/>
  <c r="Z39" i="1"/>
  <c r="AB39" i="1"/>
  <c r="AC39" i="1"/>
  <c r="AD39" i="1"/>
  <c r="T39" i="1" s="1"/>
  <c r="AE39" i="1"/>
  <c r="R8" i="3" s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17" i="3" s="1"/>
  <c r="Y43" i="1"/>
  <c r="Z43" i="1"/>
  <c r="AB43" i="1"/>
  <c r="AC43" i="1"/>
  <c r="AD43" i="1"/>
  <c r="T43" i="1" s="1"/>
  <c r="AE43" i="1"/>
  <c r="R17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25" i="3" s="1"/>
  <c r="Y49" i="1"/>
  <c r="Z49" i="1"/>
  <c r="AB49" i="1"/>
  <c r="AC49" i="1"/>
  <c r="AD49" i="1"/>
  <c r="T49" i="1" s="1"/>
  <c r="AE49" i="1"/>
  <c r="R25" i="3" s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14" i="3" s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P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S15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29" i="3" s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27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31" i="3" s="1"/>
  <c r="Y78" i="1"/>
  <c r="Z78" i="1"/>
  <c r="AB78" i="1"/>
  <c r="AC78" i="1"/>
  <c r="AD78" i="1"/>
  <c r="T78" i="1" s="1"/>
  <c r="AE78" i="1"/>
  <c r="R31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32" i="3" s="1"/>
  <c r="Y84" i="1"/>
  <c r="Z84" i="1"/>
  <c r="AA84" i="1" s="1"/>
  <c r="AB84" i="1"/>
  <c r="AC84" i="1"/>
  <c r="AD84" i="1"/>
  <c r="T84" i="1" s="1"/>
  <c r="AE84" i="1"/>
  <c r="R32" i="3" s="1"/>
  <c r="AF84" i="1"/>
  <c r="AH84" i="1"/>
  <c r="AM84" i="1"/>
  <c r="AN84" i="1"/>
  <c r="K85" i="1"/>
  <c r="L85" i="1"/>
  <c r="M85" i="1"/>
  <c r="N85" i="1" s="1"/>
  <c r="V85" i="1"/>
  <c r="S12" i="3" s="1"/>
  <c r="Y85" i="1"/>
  <c r="Z85" i="1"/>
  <c r="AB85" i="1"/>
  <c r="AC85" i="1"/>
  <c r="AD85" i="1"/>
  <c r="AG85" i="1" s="1"/>
  <c r="AE85" i="1"/>
  <c r="R12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/>
  <c r="V89" i="1"/>
  <c r="S23" i="3" s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R30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P94" i="1" s="1"/>
  <c r="V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G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S9" i="3" s="1"/>
  <c r="Y118" i="1"/>
  <c r="Z118" i="1"/>
  <c r="AB118" i="1"/>
  <c r="AC118" i="1"/>
  <c r="AD118" i="1"/>
  <c r="T118" i="1" s="1"/>
  <c r="AE118" i="1"/>
  <c r="R10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33" i="3" s="1"/>
  <c r="Y120" i="1"/>
  <c r="Z120" i="1"/>
  <c r="AB120" i="1"/>
  <c r="AC120" i="1"/>
  <c r="AD120" i="1"/>
  <c r="T120" i="1" s="1"/>
  <c r="AE120" i="1"/>
  <c r="R33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6" i="3" s="1"/>
  <c r="Y125" i="1"/>
  <c r="Z125" i="1"/>
  <c r="AB125" i="1"/>
  <c r="AC125" i="1"/>
  <c r="AD125" i="1"/>
  <c r="AE125" i="1"/>
  <c r="R16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S18" i="3" s="1"/>
  <c r="Y133" i="1"/>
  <c r="Z133" i="1"/>
  <c r="AB133" i="1"/>
  <c r="AC133" i="1"/>
  <c r="AD133" i="1"/>
  <c r="T133" i="1" s="1"/>
  <c r="AE133" i="1"/>
  <c r="R13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42" i="1"/>
  <c r="AM142" i="1"/>
  <c r="AN14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43" i="1"/>
  <c r="AM143" i="1"/>
  <c r="AN143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44" i="1"/>
  <c r="AM144" i="1"/>
  <c r="AN144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45" i="1"/>
  <c r="AM145" i="1"/>
  <c r="AN145" i="1"/>
  <c r="K193" i="1"/>
  <c r="L193" i="1"/>
  <c r="M193" i="1"/>
  <c r="N193" i="1" s="1"/>
  <c r="V193" i="1"/>
  <c r="S38" i="3" s="1"/>
  <c r="Y193" i="1"/>
  <c r="Z193" i="1"/>
  <c r="AB193" i="1"/>
  <c r="AC193" i="1"/>
  <c r="AD193" i="1"/>
  <c r="AG193" i="1" s="1"/>
  <c r="AE193" i="1"/>
  <c r="AF193" i="1"/>
  <c r="AH146" i="1"/>
  <c r="AM146" i="1"/>
  <c r="AN14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47" i="1"/>
  <c r="AM147" i="1"/>
  <c r="AN14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48" i="1"/>
  <c r="AM148" i="1"/>
  <c r="AN14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49" i="1"/>
  <c r="AM149" i="1"/>
  <c r="AN14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50" i="1"/>
  <c r="AM150" i="1"/>
  <c r="AN15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51" i="1"/>
  <c r="AM151" i="1"/>
  <c r="AN15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52" i="1"/>
  <c r="AM152" i="1"/>
  <c r="AN15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53" i="1"/>
  <c r="AM153" i="1"/>
  <c r="AN15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54" i="1"/>
  <c r="AM154" i="1"/>
  <c r="AN154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55" i="1"/>
  <c r="AM155" i="1"/>
  <c r="AN15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6" i="1"/>
  <c r="AM156" i="1"/>
  <c r="AN156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57" i="1"/>
  <c r="AM157" i="1"/>
  <c r="AN157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58" i="1"/>
  <c r="AM158" i="1"/>
  <c r="AN158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59" i="1"/>
  <c r="AM159" i="1"/>
  <c r="AN159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0" i="1"/>
  <c r="AM160" i="1"/>
  <c r="AN160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1" i="1"/>
  <c r="AM161" i="1"/>
  <c r="AN16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2" i="1"/>
  <c r="AM162" i="1"/>
  <c r="AN162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163" i="1"/>
  <c r="AM163" i="1"/>
  <c r="AN163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4" i="1"/>
  <c r="AM164" i="1"/>
  <c r="AN164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5" i="1"/>
  <c r="AM165" i="1"/>
  <c r="AN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B220" i="1"/>
  <c r="AC220" i="1"/>
  <c r="AD220" i="1"/>
  <c r="AG220" i="1" s="1"/>
  <c r="AI220" i="1" s="1"/>
  <c r="AE220" i="1"/>
  <c r="AF220" i="1"/>
  <c r="AH167" i="1"/>
  <c r="AM167" i="1"/>
  <c r="AN167" i="1"/>
  <c r="K221" i="1"/>
  <c r="L221" i="1"/>
  <c r="M221" i="1"/>
  <c r="N221" i="1" s="1"/>
  <c r="V221" i="1"/>
  <c r="S39" i="3" s="1"/>
  <c r="Y221" i="1"/>
  <c r="Z221" i="1"/>
  <c r="AB221" i="1"/>
  <c r="AC221" i="1"/>
  <c r="AD221" i="1"/>
  <c r="T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I228" i="1" s="1"/>
  <c r="AE228" i="1"/>
  <c r="AF228" i="1"/>
  <c r="AH175" i="1"/>
  <c r="AM175" i="1"/>
  <c r="AN175" i="1"/>
  <c r="K142" i="1"/>
  <c r="L142" i="1"/>
  <c r="M142" i="1"/>
  <c r="N142" i="1" s="1"/>
  <c r="V142" i="1"/>
  <c r="Y142" i="1"/>
  <c r="Z142" i="1"/>
  <c r="AA142" i="1" s="1"/>
  <c r="AB142" i="1"/>
  <c r="AC142" i="1"/>
  <c r="AD142" i="1"/>
  <c r="AG142" i="1" s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7" i="1"/>
  <c r="AM177" i="1"/>
  <c r="AN177" i="1"/>
  <c r="K144" i="1"/>
  <c r="L144" i="1"/>
  <c r="M144" i="1"/>
  <c r="N144" i="1" s="1"/>
  <c r="V144" i="1"/>
  <c r="S35" i="3" s="1"/>
  <c r="Y144" i="1"/>
  <c r="Z144" i="1"/>
  <c r="AB144" i="1"/>
  <c r="AC144" i="1"/>
  <c r="AD144" i="1"/>
  <c r="AE144" i="1"/>
  <c r="R35" i="3" s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A146" i="1" s="1"/>
  <c r="AB146" i="1"/>
  <c r="AC146" i="1"/>
  <c r="AD146" i="1"/>
  <c r="AG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2" i="1"/>
  <c r="AM182" i="1"/>
  <c r="AN182" i="1"/>
  <c r="K149" i="1"/>
  <c r="L149" i="1"/>
  <c r="M149" i="1"/>
  <c r="N149" i="1"/>
  <c r="V149" i="1"/>
  <c r="Y149" i="1"/>
  <c r="Z149" i="1"/>
  <c r="AB149" i="1"/>
  <c r="AC149" i="1"/>
  <c r="AD149" i="1"/>
  <c r="AG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AM185" i="1"/>
  <c r="AN18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86" i="1"/>
  <c r="AM186" i="1"/>
  <c r="AN18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87" i="1"/>
  <c r="AM187" i="1"/>
  <c r="AN18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88" i="1"/>
  <c r="AM188" i="1"/>
  <c r="AN18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9" i="1"/>
  <c r="AM189" i="1"/>
  <c r="AN18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90" i="1"/>
  <c r="AM190" i="1"/>
  <c r="AN19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91" i="1"/>
  <c r="AM191" i="1"/>
  <c r="AN19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2" i="1"/>
  <c r="AM192" i="1"/>
  <c r="AN19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3" i="1"/>
  <c r="AM193" i="1"/>
  <c r="AN19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94" i="1"/>
  <c r="AM194" i="1"/>
  <c r="AN19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5" i="1"/>
  <c r="AM195" i="1"/>
  <c r="AN19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6" i="1"/>
  <c r="AM196" i="1"/>
  <c r="AN19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7" i="1"/>
  <c r="AM197" i="1"/>
  <c r="AN197" i="1"/>
  <c r="K158" i="1"/>
  <c r="L158" i="1"/>
  <c r="M158" i="1"/>
  <c r="N158" i="1" s="1"/>
  <c r="V158" i="1"/>
  <c r="S36" i="3" s="1"/>
  <c r="Y158" i="1"/>
  <c r="Z158" i="1"/>
  <c r="AB158" i="1"/>
  <c r="AC158" i="1"/>
  <c r="AD158" i="1"/>
  <c r="T158" i="1" s="1"/>
  <c r="AE158" i="1"/>
  <c r="R36" i="3" s="1"/>
  <c r="AF158" i="1"/>
  <c r="AH198" i="1"/>
  <c r="AM198" i="1"/>
  <c r="AN19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9" i="1"/>
  <c r="AM199" i="1"/>
  <c r="AN19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00" i="1"/>
  <c r="AM200" i="1"/>
  <c r="AN20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1" i="1"/>
  <c r="AM201" i="1"/>
  <c r="AN20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202" i="1"/>
  <c r="AM202" i="1"/>
  <c r="AN20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203" i="1"/>
  <c r="AM203" i="1"/>
  <c r="AN20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4" i="1"/>
  <c r="AM204" i="1"/>
  <c r="AN20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5" i="1"/>
  <c r="AM205" i="1"/>
  <c r="AN20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6" i="1"/>
  <c r="AM206" i="1"/>
  <c r="AN20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7" i="1"/>
  <c r="AM207" i="1"/>
  <c r="AN20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8" i="1"/>
  <c r="AM208" i="1"/>
  <c r="AN20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9" i="1"/>
  <c r="AM209" i="1"/>
  <c r="AN20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0" i="1"/>
  <c r="AM210" i="1"/>
  <c r="AN21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11" i="1"/>
  <c r="AM211" i="1"/>
  <c r="AN21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2" i="1"/>
  <c r="AM212" i="1"/>
  <c r="AN21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3" i="1"/>
  <c r="AM213" i="1"/>
  <c r="AN21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14" i="1"/>
  <c r="AM214" i="1"/>
  <c r="AN214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15" i="1"/>
  <c r="AM215" i="1"/>
  <c r="AN21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6" i="1"/>
  <c r="AM216" i="1"/>
  <c r="AN21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7" i="1"/>
  <c r="AM217" i="1"/>
  <c r="AN21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8" i="1"/>
  <c r="AM218" i="1"/>
  <c r="AN21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9" i="1"/>
  <c r="AM219" i="1"/>
  <c r="AN21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0" i="1"/>
  <c r="AM220" i="1"/>
  <c r="AN2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1" i="1"/>
  <c r="AM221" i="1"/>
  <c r="AN22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2" i="1"/>
  <c r="AM222" i="1"/>
  <c r="AN222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23" i="1"/>
  <c r="AM223" i="1"/>
  <c r="AN22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4" i="1"/>
  <c r="AM224" i="1"/>
  <c r="AN22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5" i="1"/>
  <c r="AM225" i="1"/>
  <c r="AN22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6" i="1"/>
  <c r="AM226" i="1"/>
  <c r="AN226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27" i="1"/>
  <c r="AM227" i="1"/>
  <c r="AN227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28" i="1"/>
  <c r="AM228" i="1"/>
  <c r="AN22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4" i="1"/>
  <c r="AM234" i="1"/>
  <c r="AN234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35" i="1"/>
  <c r="AM235" i="1"/>
  <c r="AN235" i="1"/>
  <c r="M38" i="3"/>
  <c r="R38" i="3"/>
  <c r="U38" i="3"/>
  <c r="T38" i="3" s="1"/>
  <c r="V38" i="3"/>
  <c r="W38" i="3"/>
  <c r="X38" i="3"/>
  <c r="M19" i="3"/>
  <c r="R19" i="3"/>
  <c r="S19" i="3"/>
  <c r="U19" i="3"/>
  <c r="T19" i="3" s="1"/>
  <c r="V19" i="3"/>
  <c r="W19" i="3"/>
  <c r="X19" i="3"/>
  <c r="AC19" i="3"/>
  <c r="M7" i="3"/>
  <c r="R7" i="3"/>
  <c r="S7" i="3"/>
  <c r="U7" i="3"/>
  <c r="AC7" i="3" s="1"/>
  <c r="V7" i="3"/>
  <c r="W7" i="3"/>
  <c r="X7" i="3"/>
  <c r="M34" i="3"/>
  <c r="R34" i="3"/>
  <c r="U34" i="3"/>
  <c r="AC34" i="3" s="1"/>
  <c r="V34" i="3"/>
  <c r="W34" i="3"/>
  <c r="X34" i="3"/>
  <c r="M35" i="3"/>
  <c r="U35" i="3"/>
  <c r="AC35" i="3" s="1"/>
  <c r="V35" i="3"/>
  <c r="W35" i="3"/>
  <c r="X35" i="3"/>
  <c r="M11" i="3"/>
  <c r="R11" i="3"/>
  <c r="S11" i="3"/>
  <c r="U11" i="3"/>
  <c r="T11" i="3" s="1"/>
  <c r="V11" i="3"/>
  <c r="W11" i="3"/>
  <c r="X11" i="3"/>
  <c r="AC11" i="3"/>
  <c r="M8" i="3"/>
  <c r="U8" i="3"/>
  <c r="AC8" i="3" s="1"/>
  <c r="V8" i="3"/>
  <c r="W8" i="3"/>
  <c r="X8" i="3"/>
  <c r="Y8" i="3"/>
  <c r="M17" i="3"/>
  <c r="U17" i="3"/>
  <c r="AC17" i="3" s="1"/>
  <c r="V17" i="3"/>
  <c r="W17" i="3"/>
  <c r="X17" i="3"/>
  <c r="M36" i="3"/>
  <c r="U36" i="3"/>
  <c r="AC36" i="3" s="1"/>
  <c r="V36" i="3"/>
  <c r="W36" i="3"/>
  <c r="X36" i="3"/>
  <c r="M24" i="3"/>
  <c r="R24" i="3"/>
  <c r="S24" i="3"/>
  <c r="U24" i="3"/>
  <c r="T24" i="3" s="1"/>
  <c r="V24" i="3"/>
  <c r="W24" i="3"/>
  <c r="X24" i="3"/>
  <c r="M25" i="3"/>
  <c r="U25" i="3"/>
  <c r="AC25" i="3" s="1"/>
  <c r="V25" i="3"/>
  <c r="W25" i="3"/>
  <c r="Y25" i="3" s="1"/>
  <c r="X25" i="3"/>
  <c r="M39" i="3"/>
  <c r="R39" i="3"/>
  <c r="U39" i="3"/>
  <c r="AC39" i="3" s="1"/>
  <c r="V39" i="3"/>
  <c r="W39" i="3"/>
  <c r="X39" i="3"/>
  <c r="M26" i="3"/>
  <c r="R26" i="3"/>
  <c r="S26" i="3"/>
  <c r="U26" i="3"/>
  <c r="AC26" i="3" s="1"/>
  <c r="V26" i="3"/>
  <c r="W26" i="3"/>
  <c r="X26" i="3"/>
  <c r="M14" i="3"/>
  <c r="R14" i="3"/>
  <c r="U14" i="3"/>
  <c r="T14" i="3" s="1"/>
  <c r="V14" i="3"/>
  <c r="W14" i="3"/>
  <c r="Y14" i="3" s="1"/>
  <c r="X14" i="3"/>
  <c r="AC14" i="3"/>
  <c r="M15" i="3"/>
  <c r="R15" i="3"/>
  <c r="U15" i="3"/>
  <c r="V15" i="3"/>
  <c r="W15" i="3"/>
  <c r="Y15" i="3" s="1"/>
  <c r="X15" i="3"/>
  <c r="M20" i="3"/>
  <c r="R20" i="3"/>
  <c r="S20" i="3"/>
  <c r="U20" i="3"/>
  <c r="AC20" i="3" s="1"/>
  <c r="V20" i="3"/>
  <c r="W20" i="3"/>
  <c r="Y20" i="3" s="1"/>
  <c r="X20" i="3"/>
  <c r="M21" i="3"/>
  <c r="R21" i="3"/>
  <c r="S21" i="3"/>
  <c r="T21" i="3"/>
  <c r="U21" i="3"/>
  <c r="AC21" i="3" s="1"/>
  <c r="V21" i="3"/>
  <c r="W21" i="3"/>
  <c r="X21" i="3"/>
  <c r="M28" i="3"/>
  <c r="R28" i="3"/>
  <c r="S28" i="3"/>
  <c r="U28" i="3"/>
  <c r="AC28" i="3" s="1"/>
  <c r="V28" i="3"/>
  <c r="W28" i="3"/>
  <c r="X28" i="3"/>
  <c r="M29" i="3"/>
  <c r="R29" i="3"/>
  <c r="U29" i="3"/>
  <c r="V29" i="3"/>
  <c r="W29" i="3"/>
  <c r="Y29" i="3" s="1"/>
  <c r="X29" i="3"/>
  <c r="M31" i="3"/>
  <c r="U31" i="3"/>
  <c r="AC31" i="3" s="1"/>
  <c r="V31" i="3"/>
  <c r="W31" i="3"/>
  <c r="X31" i="3"/>
  <c r="M27" i="3"/>
  <c r="S27" i="3"/>
  <c r="U27" i="3"/>
  <c r="AC27" i="3" s="1"/>
  <c r="V27" i="3"/>
  <c r="W27" i="3"/>
  <c r="X27" i="3"/>
  <c r="AD27" i="3"/>
  <c r="M32" i="3"/>
  <c r="U32" i="3"/>
  <c r="V32" i="3"/>
  <c r="W32" i="3"/>
  <c r="X32" i="3"/>
  <c r="AC32" i="3"/>
  <c r="M12" i="3"/>
  <c r="U12" i="3"/>
  <c r="AD29" i="3" s="1"/>
  <c r="V12" i="3"/>
  <c r="W12" i="3"/>
  <c r="Y12" i="3" s="1"/>
  <c r="X12" i="3"/>
  <c r="M23" i="3"/>
  <c r="R23" i="3"/>
  <c r="U23" i="3"/>
  <c r="AC23" i="3" s="1"/>
  <c r="V23" i="3"/>
  <c r="W23" i="3"/>
  <c r="Y23" i="3" s="1"/>
  <c r="X23" i="3"/>
  <c r="M22" i="3"/>
  <c r="R22" i="3"/>
  <c r="S22" i="3"/>
  <c r="U22" i="3"/>
  <c r="AC22" i="3" s="1"/>
  <c r="V22" i="3"/>
  <c r="W22" i="3"/>
  <c r="X22" i="3"/>
  <c r="AD31" i="3"/>
  <c r="M30" i="3"/>
  <c r="S30" i="3"/>
  <c r="U30" i="3"/>
  <c r="V30" i="3"/>
  <c r="W30" i="3"/>
  <c r="X30" i="3"/>
  <c r="M10" i="3"/>
  <c r="U10" i="3"/>
  <c r="AC10" i="3" s="1"/>
  <c r="V10" i="3"/>
  <c r="W10" i="3"/>
  <c r="X10" i="3"/>
  <c r="M9" i="3"/>
  <c r="U9" i="3"/>
  <c r="AC9" i="3" s="1"/>
  <c r="V9" i="3"/>
  <c r="W9" i="3"/>
  <c r="X9" i="3"/>
  <c r="M33" i="3"/>
  <c r="U33" i="3"/>
  <c r="T33" i="3" s="1"/>
  <c r="V33" i="3"/>
  <c r="W33" i="3"/>
  <c r="X33" i="3"/>
  <c r="AC33" i="3"/>
  <c r="M16" i="3"/>
  <c r="U16" i="3"/>
  <c r="AD16" i="3" s="1"/>
  <c r="V16" i="3"/>
  <c r="W16" i="3"/>
  <c r="X16" i="3"/>
  <c r="Y16" i="3"/>
  <c r="M18" i="3"/>
  <c r="R18" i="3"/>
  <c r="U18" i="3"/>
  <c r="AC18" i="3" s="1"/>
  <c r="V18" i="3"/>
  <c r="W18" i="3"/>
  <c r="X18" i="3"/>
  <c r="M13" i="3"/>
  <c r="S13" i="3"/>
  <c r="U13" i="3"/>
  <c r="AC13" i="3" s="1"/>
  <c r="V13" i="3"/>
  <c r="W13" i="3"/>
  <c r="X13" i="3"/>
  <c r="R9" i="3" l="1"/>
  <c r="AA173" i="1"/>
  <c r="AA160" i="1"/>
  <c r="AA152" i="1"/>
  <c r="AA231" i="1"/>
  <c r="T148" i="1"/>
  <c r="AA147" i="1"/>
  <c r="AI97" i="1"/>
  <c r="AA59" i="1"/>
  <c r="AG160" i="1"/>
  <c r="AA32" i="1"/>
  <c r="W32" i="1" s="1"/>
  <c r="AG29" i="1"/>
  <c r="X29" i="1"/>
  <c r="X28" i="1"/>
  <c r="T207" i="1"/>
  <c r="AG187" i="1"/>
  <c r="U187" i="1" s="1"/>
  <c r="S187" i="1" s="1"/>
  <c r="AA122" i="1"/>
  <c r="AA207" i="1"/>
  <c r="X232" i="1"/>
  <c r="AI149" i="1"/>
  <c r="T146" i="1"/>
  <c r="AA222" i="1"/>
  <c r="AA131" i="1"/>
  <c r="AA125" i="1"/>
  <c r="AG33" i="1"/>
  <c r="AI33" i="1" s="1"/>
  <c r="AA31" i="1"/>
  <c r="X20" i="1"/>
  <c r="AA20" i="1"/>
  <c r="AA27" i="1"/>
  <c r="AA23" i="1"/>
  <c r="AA181" i="1"/>
  <c r="AG76" i="1"/>
  <c r="X224" i="1"/>
  <c r="S10" i="3"/>
  <c r="Y30" i="3"/>
  <c r="Y31" i="3"/>
  <c r="S34" i="3"/>
  <c r="Y7" i="3"/>
  <c r="Y19" i="3"/>
  <c r="T202" i="1"/>
  <c r="U202" i="1" s="1"/>
  <c r="S202" i="1" s="1"/>
  <c r="X184" i="1"/>
  <c r="Y10" i="3"/>
  <c r="AD24" i="3"/>
  <c r="Y34" i="3"/>
  <c r="AG175" i="1"/>
  <c r="T159" i="1"/>
  <c r="AA158" i="1"/>
  <c r="AG152" i="1"/>
  <c r="U152" i="1" s="1"/>
  <c r="S152" i="1" s="1"/>
  <c r="T225" i="1"/>
  <c r="U225" i="1" s="1"/>
  <c r="S225" i="1" s="1"/>
  <c r="AA224" i="1"/>
  <c r="T224" i="1"/>
  <c r="X223" i="1"/>
  <c r="AI218" i="1"/>
  <c r="AG210" i="1"/>
  <c r="AI210" i="1" s="1"/>
  <c r="AA133" i="1"/>
  <c r="AA106" i="1"/>
  <c r="AA100" i="1"/>
  <c r="AA98" i="1"/>
  <c r="AA92" i="1"/>
  <c r="AI76" i="1"/>
  <c r="X74" i="1"/>
  <c r="AA68" i="1"/>
  <c r="AA64" i="1"/>
  <c r="AA45" i="1"/>
  <c r="X23" i="1"/>
  <c r="X19" i="1"/>
  <c r="AA39" i="1"/>
  <c r="AA22" i="1"/>
  <c r="AA16" i="1"/>
  <c r="X22" i="1"/>
  <c r="X18" i="1"/>
  <c r="AI170" i="1"/>
  <c r="AA225" i="1"/>
  <c r="X138" i="1"/>
  <c r="AG133" i="1"/>
  <c r="AI133" i="1" s="1"/>
  <c r="AG118" i="1"/>
  <c r="AI118" i="1" s="1"/>
  <c r="AA88" i="1"/>
  <c r="AG46" i="1"/>
  <c r="X46" i="1"/>
  <c r="X21" i="1"/>
  <c r="X17" i="1"/>
  <c r="AC24" i="3"/>
  <c r="W160" i="1"/>
  <c r="AA233" i="1"/>
  <c r="T223" i="1"/>
  <c r="X193" i="1"/>
  <c r="AG192" i="1"/>
  <c r="AI192" i="1" s="1"/>
  <c r="AA140" i="1"/>
  <c r="W140" i="1" s="1"/>
  <c r="AA137" i="1"/>
  <c r="AG114" i="1"/>
  <c r="AG107" i="1"/>
  <c r="AI107" i="1" s="1"/>
  <c r="X107" i="1"/>
  <c r="X24" i="1"/>
  <c r="AG166" i="1"/>
  <c r="T166" i="1"/>
  <c r="AD36" i="3"/>
  <c r="AD35" i="3"/>
  <c r="T32" i="3"/>
  <c r="AD32" i="3"/>
  <c r="T26" i="3"/>
  <c r="AG186" i="1"/>
  <c r="T186" i="1"/>
  <c r="AG174" i="1"/>
  <c r="T174" i="1"/>
  <c r="AG169" i="1"/>
  <c r="U169" i="1" s="1"/>
  <c r="S169" i="1" s="1"/>
  <c r="AA167" i="1"/>
  <c r="X166" i="1"/>
  <c r="X155" i="1"/>
  <c r="T231" i="1"/>
  <c r="AG231" i="1"/>
  <c r="AI231" i="1" s="1"/>
  <c r="AG229" i="1"/>
  <c r="T229" i="1"/>
  <c r="T88" i="1"/>
  <c r="AG88" i="1"/>
  <c r="AI88" i="1" s="1"/>
  <c r="AA76" i="1"/>
  <c r="W76" i="1" s="1"/>
  <c r="T28" i="3"/>
  <c r="AD28" i="3"/>
  <c r="AD17" i="3"/>
  <c r="T179" i="1"/>
  <c r="AG179" i="1"/>
  <c r="Y28" i="3"/>
  <c r="Y38" i="3"/>
  <c r="W187" i="1"/>
  <c r="T144" i="1"/>
  <c r="AG144" i="1"/>
  <c r="AG20" i="1"/>
  <c r="W20" i="1" s="1"/>
  <c r="AD39" i="3"/>
  <c r="Y18" i="3"/>
  <c r="Y32" i="3"/>
  <c r="T188" i="1"/>
  <c r="X188" i="1"/>
  <c r="AG182" i="1"/>
  <c r="T182" i="1"/>
  <c r="AA175" i="1"/>
  <c r="AG167" i="1"/>
  <c r="AI167" i="1" s="1"/>
  <c r="T163" i="1"/>
  <c r="AG163" i="1"/>
  <c r="AG234" i="1"/>
  <c r="AI234" i="1" s="1"/>
  <c r="T234" i="1"/>
  <c r="U234" i="1" s="1"/>
  <c r="S234" i="1" s="1"/>
  <c r="AG230" i="1"/>
  <c r="AI230" i="1" s="1"/>
  <c r="T230" i="1"/>
  <c r="X230" i="1"/>
  <c r="AG214" i="1"/>
  <c r="AI214" i="1" s="1"/>
  <c r="X214" i="1"/>
  <c r="T124" i="1"/>
  <c r="AG124" i="1"/>
  <c r="AG122" i="1"/>
  <c r="T122" i="1"/>
  <c r="AA118" i="1"/>
  <c r="T34" i="1"/>
  <c r="X34" i="1"/>
  <c r="AG34" i="1"/>
  <c r="AA135" i="1"/>
  <c r="AA90" i="1"/>
  <c r="AA82" i="1"/>
  <c r="AA78" i="1"/>
  <c r="Y33" i="3"/>
  <c r="AD25" i="3"/>
  <c r="Y17" i="3"/>
  <c r="AA202" i="1"/>
  <c r="AI224" i="1"/>
  <c r="AA183" i="1"/>
  <c r="AA177" i="1"/>
  <c r="AA174" i="1"/>
  <c r="AA159" i="1"/>
  <c r="W159" i="1" s="1"/>
  <c r="AA156" i="1"/>
  <c r="AA221" i="1"/>
  <c r="AG219" i="1"/>
  <c r="X209" i="1"/>
  <c r="AG208" i="1"/>
  <c r="AI208" i="1" s="1"/>
  <c r="AG135" i="1"/>
  <c r="AA128" i="1"/>
  <c r="AA117" i="1"/>
  <c r="X103" i="1"/>
  <c r="AG100" i="1"/>
  <c r="W100" i="1" s="1"/>
  <c r="AA87" i="1"/>
  <c r="AA56" i="1"/>
  <c r="AA51" i="1"/>
  <c r="AA49" i="1"/>
  <c r="AA46" i="1"/>
  <c r="AA40" i="1"/>
  <c r="W40" i="1" s="1"/>
  <c r="AA36" i="1"/>
  <c r="AG22" i="1"/>
  <c r="AI22" i="1" s="1"/>
  <c r="AG21" i="1"/>
  <c r="AI21" i="1" s="1"/>
  <c r="AG18" i="1"/>
  <c r="U18" i="1" s="1"/>
  <c r="AI16" i="1"/>
  <c r="AA14" i="1"/>
  <c r="W14" i="1" s="1"/>
  <c r="X169" i="1"/>
  <c r="AA166" i="1"/>
  <c r="W166" i="1" s="1"/>
  <c r="AA165" i="1"/>
  <c r="AA155" i="1"/>
  <c r="W155" i="1" s="1"/>
  <c r="AA230" i="1"/>
  <c r="X229" i="1"/>
  <c r="X143" i="1"/>
  <c r="AA194" i="1"/>
  <c r="X192" i="1"/>
  <c r="T189" i="1"/>
  <c r="U189" i="1" s="1"/>
  <c r="S189" i="1" s="1"/>
  <c r="AA141" i="1"/>
  <c r="X137" i="1"/>
  <c r="X133" i="1"/>
  <c r="AI114" i="1"/>
  <c r="T111" i="1"/>
  <c r="U111" i="1" s="1"/>
  <c r="S111" i="1" s="1"/>
  <c r="X106" i="1"/>
  <c r="AA102" i="1"/>
  <c r="AA95" i="1"/>
  <c r="AA69" i="1"/>
  <c r="W69" i="1" s="1"/>
  <c r="AA67" i="1"/>
  <c r="AA41" i="1"/>
  <c r="X38" i="1"/>
  <c r="AA34" i="1"/>
  <c r="W34" i="1" s="1"/>
  <c r="AI29" i="1"/>
  <c r="AA26" i="1"/>
  <c r="AA24" i="1"/>
  <c r="AA15" i="1"/>
  <c r="X16" i="1"/>
  <c r="X205" i="1"/>
  <c r="AG204" i="1"/>
  <c r="AI204" i="1" s="1"/>
  <c r="AA206" i="1"/>
  <c r="W202" i="1"/>
  <c r="U163" i="1"/>
  <c r="S163" i="1" s="1"/>
  <c r="AA227" i="1"/>
  <c r="W128" i="1"/>
  <c r="T97" i="1"/>
  <c r="U97" i="1" s="1"/>
  <c r="S97" i="1" s="1"/>
  <c r="X64" i="1"/>
  <c r="AA17" i="1"/>
  <c r="AA205" i="1"/>
  <c r="AI186" i="1"/>
  <c r="AA185" i="1"/>
  <c r="AG183" i="1"/>
  <c r="U183" i="1" s="1"/>
  <c r="S183" i="1" s="1"/>
  <c r="AA182" i="1"/>
  <c r="W182" i="1" s="1"/>
  <c r="X180" i="1"/>
  <c r="AA179" i="1"/>
  <c r="T178" i="1"/>
  <c r="T173" i="1"/>
  <c r="U173" i="1" s="1"/>
  <c r="S173" i="1" s="1"/>
  <c r="AA162" i="1"/>
  <c r="W162" i="1" s="1"/>
  <c r="T162" i="1"/>
  <c r="U162" i="1" s="1"/>
  <c r="S162" i="1" s="1"/>
  <c r="AA235" i="1"/>
  <c r="W235" i="1" s="1"/>
  <c r="AG156" i="1"/>
  <c r="U156" i="1" s="1"/>
  <c r="S156" i="1" s="1"/>
  <c r="AA234" i="1"/>
  <c r="W234" i="1" s="1"/>
  <c r="X148" i="1"/>
  <c r="U146" i="1"/>
  <c r="S146" i="1" s="1"/>
  <c r="AI145" i="1"/>
  <c r="AA144" i="1"/>
  <c r="T228" i="1"/>
  <c r="U228" i="1" s="1"/>
  <c r="S228" i="1" s="1"/>
  <c r="AG227" i="1"/>
  <c r="AG221" i="1"/>
  <c r="U221" i="1" s="1"/>
  <c r="S221" i="1" s="1"/>
  <c r="AG217" i="1"/>
  <c r="U217" i="1" s="1"/>
  <c r="S217" i="1" s="1"/>
  <c r="AA215" i="1"/>
  <c r="AG200" i="1"/>
  <c r="AI200" i="1" s="1"/>
  <c r="AA198" i="1"/>
  <c r="X197" i="1"/>
  <c r="AG196" i="1"/>
  <c r="AI196" i="1" s="1"/>
  <c r="X196" i="1"/>
  <c r="X191" i="1"/>
  <c r="AG190" i="1"/>
  <c r="AI190" i="1" s="1"/>
  <c r="AA189" i="1"/>
  <c r="W189" i="1" s="1"/>
  <c r="T140" i="1"/>
  <c r="U140" i="1" s="1"/>
  <c r="S140" i="1" s="1"/>
  <c r="X136" i="1"/>
  <c r="AA129" i="1"/>
  <c r="W129" i="1" s="1"/>
  <c r="AG127" i="1"/>
  <c r="AI127" i="1" s="1"/>
  <c r="AG126" i="1"/>
  <c r="AI126" i="1" s="1"/>
  <c r="AA116" i="1"/>
  <c r="AG110" i="1"/>
  <c r="AI110" i="1" s="1"/>
  <c r="AG106" i="1"/>
  <c r="W106" i="1" s="1"/>
  <c r="AA103" i="1"/>
  <c r="T103" i="1"/>
  <c r="AG102" i="1"/>
  <c r="AI102" i="1" s="1"/>
  <c r="AA94" i="1"/>
  <c r="AG92" i="1"/>
  <c r="AI92" i="1" s="1"/>
  <c r="AA83" i="1"/>
  <c r="AA79" i="1"/>
  <c r="AA77" i="1"/>
  <c r="W77" i="1" s="1"/>
  <c r="T74" i="1"/>
  <c r="AG73" i="1"/>
  <c r="AI73" i="1" s="1"/>
  <c r="X73" i="1"/>
  <c r="AA72" i="1"/>
  <c r="W72" i="1" s="1"/>
  <c r="AG70" i="1"/>
  <c r="AI70" i="1" s="1"/>
  <c r="X70" i="1"/>
  <c r="AA63" i="1"/>
  <c r="AA52" i="1"/>
  <c r="AA48" i="1"/>
  <c r="AG45" i="1"/>
  <c r="U45" i="1" s="1"/>
  <c r="S45" i="1" s="1"/>
  <c r="AA44" i="1"/>
  <c r="AA38" i="1"/>
  <c r="T38" i="1"/>
  <c r="AG37" i="1"/>
  <c r="AI37" i="1" s="1"/>
  <c r="X37" i="1"/>
  <c r="AG30" i="1"/>
  <c r="AI30" i="1" s="1"/>
  <c r="AG17" i="1"/>
  <c r="AI17" i="1" s="1"/>
  <c r="AA178" i="1"/>
  <c r="W178" i="1" s="1"/>
  <c r="W175" i="1"/>
  <c r="T155" i="1"/>
  <c r="AA154" i="1"/>
  <c r="W154" i="1" s="1"/>
  <c r="T151" i="1"/>
  <c r="AA143" i="1"/>
  <c r="T142" i="1"/>
  <c r="U142" i="1" s="1"/>
  <c r="S142" i="1" s="1"/>
  <c r="AA228" i="1"/>
  <c r="W228" i="1" s="1"/>
  <c r="W225" i="1"/>
  <c r="AA214" i="1"/>
  <c r="T214" i="1"/>
  <c r="AA210" i="1"/>
  <c r="W210" i="1" s="1"/>
  <c r="T195" i="1"/>
  <c r="W114" i="1"/>
  <c r="W46" i="1"/>
  <c r="U175" i="1"/>
  <c r="S175" i="1" s="1"/>
  <c r="AG171" i="1"/>
  <c r="U171" i="1" s="1"/>
  <c r="S171" i="1" s="1"/>
  <c r="AA163" i="1"/>
  <c r="X162" i="1"/>
  <c r="AA232" i="1"/>
  <c r="AA151" i="1"/>
  <c r="AA150" i="1"/>
  <c r="W150" i="1" s="1"/>
  <c r="AA217" i="1"/>
  <c r="AA200" i="1"/>
  <c r="AG198" i="1"/>
  <c r="AI198" i="1" s="1"/>
  <c r="AA195" i="1"/>
  <c r="AA190" i="1"/>
  <c r="AG131" i="1"/>
  <c r="AI131" i="1" s="1"/>
  <c r="AA126" i="1"/>
  <c r="AG123" i="1"/>
  <c r="X123" i="1"/>
  <c r="AG119" i="1"/>
  <c r="U119" i="1" s="1"/>
  <c r="S119" i="1" s="1"/>
  <c r="X119" i="1"/>
  <c r="AG116" i="1"/>
  <c r="AA111" i="1"/>
  <c r="W111" i="1" s="1"/>
  <c r="AA110" i="1"/>
  <c r="AG103" i="1"/>
  <c r="W103" i="1" s="1"/>
  <c r="AA101" i="1"/>
  <c r="AA91" i="1"/>
  <c r="AA86" i="1"/>
  <c r="AA80" i="1"/>
  <c r="X77" i="1"/>
  <c r="AG74" i="1"/>
  <c r="AI74" i="1" s="1"/>
  <c r="AA73" i="1"/>
  <c r="AA66" i="1"/>
  <c r="AA60" i="1"/>
  <c r="AA55" i="1"/>
  <c r="AG38" i="1"/>
  <c r="AI38" i="1" s="1"/>
  <c r="AA35" i="1"/>
  <c r="AA30" i="1"/>
  <c r="AA28" i="1"/>
  <c r="W28" i="1" s="1"/>
  <c r="X25" i="1"/>
  <c r="X176" i="1"/>
  <c r="W173" i="1"/>
  <c r="AA172" i="1"/>
  <c r="AA171" i="1"/>
  <c r="X170" i="1"/>
  <c r="AA168" i="1"/>
  <c r="T168" i="1"/>
  <c r="AI166" i="1"/>
  <c r="AG165" i="1"/>
  <c r="W165" i="1" s="1"/>
  <c r="X164" i="1"/>
  <c r="AI202" i="1"/>
  <c r="T235" i="1"/>
  <c r="U235" i="1" s="1"/>
  <c r="S235" i="1" s="1"/>
  <c r="AA161" i="1"/>
  <c r="AI159" i="1"/>
  <c r="AG158" i="1"/>
  <c r="W158" i="1" s="1"/>
  <c r="X157" i="1"/>
  <c r="T154" i="1"/>
  <c r="U154" i="1" s="1"/>
  <c r="S154" i="1" s="1"/>
  <c r="AA153" i="1"/>
  <c r="AG233" i="1"/>
  <c r="W233" i="1" s="1"/>
  <c r="AI137" i="1"/>
  <c r="AG206" i="1"/>
  <c r="X203" i="1"/>
  <c r="AG185" i="1"/>
  <c r="U185" i="1" s="1"/>
  <c r="S185" i="1" s="1"/>
  <c r="AI182" i="1"/>
  <c r="AG181" i="1"/>
  <c r="AI178" i="1"/>
  <c r="AG177" i="1"/>
  <c r="U177" i="1" s="1"/>
  <c r="S177" i="1" s="1"/>
  <c r="X173" i="1"/>
  <c r="X235" i="1"/>
  <c r="U160" i="1"/>
  <c r="S160" i="1" s="1"/>
  <c r="AI160" i="1"/>
  <c r="X159" i="1"/>
  <c r="X154" i="1"/>
  <c r="X234" i="1"/>
  <c r="U231" i="1"/>
  <c r="S231" i="1" s="1"/>
  <c r="X207" i="1"/>
  <c r="AA204" i="1"/>
  <c r="W204" i="1" s="1"/>
  <c r="AA188" i="1"/>
  <c r="X186" i="1"/>
  <c r="AA184" i="1"/>
  <c r="X182" i="1"/>
  <c r="AA180" i="1"/>
  <c r="X178" i="1"/>
  <c r="AA176" i="1"/>
  <c r="AI174" i="1"/>
  <c r="X172" i="1"/>
  <c r="AA170" i="1"/>
  <c r="W170" i="1" s="1"/>
  <c r="T170" i="1"/>
  <c r="AA169" i="1"/>
  <c r="W169" i="1" s="1"/>
  <c r="X168" i="1"/>
  <c r="AA164" i="1"/>
  <c r="AI162" i="1"/>
  <c r="X161" i="1"/>
  <c r="AA157" i="1"/>
  <c r="AI155" i="1"/>
  <c r="X153" i="1"/>
  <c r="X233" i="1"/>
  <c r="T232" i="1"/>
  <c r="X206" i="1"/>
  <c r="U204" i="1"/>
  <c r="AA203" i="1"/>
  <c r="W203" i="1" s="1"/>
  <c r="T203" i="1"/>
  <c r="U203" i="1" s="1"/>
  <c r="S203" i="1" s="1"/>
  <c r="X202" i="1"/>
  <c r="X189" i="1"/>
  <c r="X185" i="1"/>
  <c r="X181" i="1"/>
  <c r="X177" i="1"/>
  <c r="X165" i="1"/>
  <c r="X158" i="1"/>
  <c r="AA229" i="1"/>
  <c r="X151" i="1"/>
  <c r="X145" i="1"/>
  <c r="AA223" i="1"/>
  <c r="W223" i="1" s="1"/>
  <c r="X222" i="1"/>
  <c r="X218" i="1"/>
  <c r="AG215" i="1"/>
  <c r="AI215" i="1" s="1"/>
  <c r="T213" i="1"/>
  <c r="AA209" i="1"/>
  <c r="X201" i="1"/>
  <c r="X200" i="1"/>
  <c r="X199" i="1"/>
  <c r="AA197" i="1"/>
  <c r="T197" i="1"/>
  <c r="U197" i="1" s="1"/>
  <c r="S197" i="1" s="1"/>
  <c r="AA196" i="1"/>
  <c r="W196" i="1" s="1"/>
  <c r="AG194" i="1"/>
  <c r="AG141" i="1"/>
  <c r="W141" i="1" s="1"/>
  <c r="AG139" i="1"/>
  <c r="AI139" i="1" s="1"/>
  <c r="T137" i="1"/>
  <c r="U137" i="1" s="1"/>
  <c r="S137" i="1" s="1"/>
  <c r="AA136" i="1"/>
  <c r="W136" i="1" s="1"/>
  <c r="T136" i="1"/>
  <c r="X134" i="1"/>
  <c r="X130" i="1"/>
  <c r="AI129" i="1"/>
  <c r="X126" i="1"/>
  <c r="AA124" i="1"/>
  <c r="W124" i="1" s="1"/>
  <c r="AA123" i="1"/>
  <c r="AG120" i="1"/>
  <c r="U120" i="1" s="1"/>
  <c r="S120" i="1" s="1"/>
  <c r="X118" i="1"/>
  <c r="AG115" i="1"/>
  <c r="U115" i="1" s="1"/>
  <c r="S115" i="1" s="1"/>
  <c r="X115" i="1"/>
  <c r="AA113" i="1"/>
  <c r="AA112" i="1"/>
  <c r="W112" i="1" s="1"/>
  <c r="X110" i="1"/>
  <c r="AG108" i="1"/>
  <c r="U108" i="1" s="1"/>
  <c r="S108" i="1" s="1"/>
  <c r="T96" i="1"/>
  <c r="U96" i="1" s="1"/>
  <c r="S96" i="1" s="1"/>
  <c r="X72" i="1"/>
  <c r="X62" i="1"/>
  <c r="AG62" i="1"/>
  <c r="AI62" i="1" s="1"/>
  <c r="T62" i="1"/>
  <c r="X60" i="1"/>
  <c r="AG60" i="1"/>
  <c r="W60" i="1" s="1"/>
  <c r="T150" i="1"/>
  <c r="U150" i="1" s="1"/>
  <c r="S150" i="1" s="1"/>
  <c r="AA149" i="1"/>
  <c r="W149" i="1" s="1"/>
  <c r="T149" i="1"/>
  <c r="AA148" i="1"/>
  <c r="W148" i="1" s="1"/>
  <c r="X147" i="1"/>
  <c r="X144" i="1"/>
  <c r="X228" i="1"/>
  <c r="AA226" i="1"/>
  <c r="AA220" i="1"/>
  <c r="W220" i="1" s="1"/>
  <c r="T220" i="1"/>
  <c r="AA219" i="1"/>
  <c r="W219" i="1" s="1"/>
  <c r="AA216" i="1"/>
  <c r="AA213" i="1"/>
  <c r="W213" i="1" s="1"/>
  <c r="AG212" i="1"/>
  <c r="AI212" i="1" s="1"/>
  <c r="T211" i="1"/>
  <c r="U211" i="1" s="1"/>
  <c r="S211" i="1" s="1"/>
  <c r="X210" i="1"/>
  <c r="X195" i="1"/>
  <c r="AA193" i="1"/>
  <c r="T193" i="1"/>
  <c r="U193" i="1" s="1"/>
  <c r="S193" i="1" s="1"/>
  <c r="AA191" i="1"/>
  <c r="W191" i="1" s="1"/>
  <c r="T191" i="1"/>
  <c r="X141" i="1"/>
  <c r="X140" i="1"/>
  <c r="AA138" i="1"/>
  <c r="W138" i="1" s="1"/>
  <c r="T138" i="1"/>
  <c r="AA132" i="1"/>
  <c r="W132" i="1" s="1"/>
  <c r="T132" i="1"/>
  <c r="U132" i="1" s="1"/>
  <c r="S132" i="1" s="1"/>
  <c r="U127" i="1"/>
  <c r="S127" i="1" s="1"/>
  <c r="X127" i="1"/>
  <c r="AA119" i="1"/>
  <c r="X114" i="1"/>
  <c r="X111" i="1"/>
  <c r="AA107" i="1"/>
  <c r="W96" i="1"/>
  <c r="X84" i="1"/>
  <c r="AG84" i="1"/>
  <c r="AI72" i="1"/>
  <c r="X65" i="1"/>
  <c r="AG65" i="1"/>
  <c r="AI65" i="1" s="1"/>
  <c r="T65" i="1"/>
  <c r="X56" i="1"/>
  <c r="AG56" i="1"/>
  <c r="W146" i="1"/>
  <c r="AA145" i="1"/>
  <c r="W145" i="1" s="1"/>
  <c r="T145" i="1"/>
  <c r="W144" i="1"/>
  <c r="X227" i="1"/>
  <c r="T222" i="1"/>
  <c r="AA218" i="1"/>
  <c r="T218" i="1"/>
  <c r="U218" i="1" s="1"/>
  <c r="S218" i="1" s="1"/>
  <c r="AA211" i="1"/>
  <c r="W211" i="1" s="1"/>
  <c r="U210" i="1"/>
  <c r="S210" i="1" s="1"/>
  <c r="AA201" i="1"/>
  <c r="W201" i="1" s="1"/>
  <c r="T201" i="1"/>
  <c r="U201" i="1" s="1"/>
  <c r="S201" i="1" s="1"/>
  <c r="AA199" i="1"/>
  <c r="W199" i="1" s="1"/>
  <c r="T199" i="1"/>
  <c r="U199" i="1" s="1"/>
  <c r="S199" i="1" s="1"/>
  <c r="AA134" i="1"/>
  <c r="W134" i="1" s="1"/>
  <c r="T134" i="1"/>
  <c r="U133" i="1"/>
  <c r="S133" i="1" s="1"/>
  <c r="AA130" i="1"/>
  <c r="T130" i="1"/>
  <c r="U130" i="1" s="1"/>
  <c r="S130" i="1" s="1"/>
  <c r="AA121" i="1"/>
  <c r="AA120" i="1"/>
  <c r="AA115" i="1"/>
  <c r="U114" i="1"/>
  <c r="S114" i="1" s="1"/>
  <c r="AA109" i="1"/>
  <c r="AA108" i="1"/>
  <c r="AI96" i="1"/>
  <c r="X80" i="1"/>
  <c r="AG80" i="1"/>
  <c r="X68" i="1"/>
  <c r="AG68" i="1"/>
  <c r="X69" i="1"/>
  <c r="X52" i="1"/>
  <c r="AG52" i="1"/>
  <c r="X149" i="1"/>
  <c r="W142" i="1"/>
  <c r="X226" i="1"/>
  <c r="X220" i="1"/>
  <c r="W212" i="1"/>
  <c r="W137" i="1"/>
  <c r="X132" i="1"/>
  <c r="U126" i="1"/>
  <c r="S126" i="1" s="1"/>
  <c r="X122" i="1"/>
  <c r="U110" i="1"/>
  <c r="S110" i="1" s="1"/>
  <c r="T104" i="1"/>
  <c r="AG104" i="1"/>
  <c r="AI104" i="1" s="1"/>
  <c r="X98" i="1"/>
  <c r="AG98" i="1"/>
  <c r="X49" i="1"/>
  <c r="AG49" i="1"/>
  <c r="AG44" i="1"/>
  <c r="X44" i="1"/>
  <c r="X45" i="1"/>
  <c r="X41" i="1"/>
  <c r="AG41" i="1"/>
  <c r="W16" i="1"/>
  <c r="X102" i="1"/>
  <c r="AG99" i="1"/>
  <c r="U99" i="1" s="1"/>
  <c r="S99" i="1" s="1"/>
  <c r="X99" i="1"/>
  <c r="AG94" i="1"/>
  <c r="AI94" i="1" s="1"/>
  <c r="X94" i="1"/>
  <c r="X93" i="1"/>
  <c r="AG90" i="1"/>
  <c r="AI90" i="1" s="1"/>
  <c r="X90" i="1"/>
  <c r="X89" i="1"/>
  <c r="AG86" i="1"/>
  <c r="AI86" i="1" s="1"/>
  <c r="X86" i="1"/>
  <c r="X85" i="1"/>
  <c r="AG82" i="1"/>
  <c r="AI82" i="1" s="1"/>
  <c r="X82" i="1"/>
  <c r="X81" i="1"/>
  <c r="AG78" i="1"/>
  <c r="AI78" i="1" s="1"/>
  <c r="X78" i="1"/>
  <c r="X76" i="1"/>
  <c r="AA74" i="1"/>
  <c r="T72" i="1"/>
  <c r="U72" i="1" s="1"/>
  <c r="S72" i="1" s="1"/>
  <c r="AA71" i="1"/>
  <c r="AG66" i="1"/>
  <c r="AI66" i="1" s="1"/>
  <c r="X66" i="1"/>
  <c r="AA65" i="1"/>
  <c r="W65" i="1" s="1"/>
  <c r="AG64" i="1"/>
  <c r="AA62" i="1"/>
  <c r="W62" i="1" s="1"/>
  <c r="AG61" i="1"/>
  <c r="AI61" i="1" s="1"/>
  <c r="X61" i="1"/>
  <c r="AG58" i="1"/>
  <c r="AI58" i="1" s="1"/>
  <c r="AG57" i="1"/>
  <c r="AI57" i="1" s="1"/>
  <c r="X57" i="1"/>
  <c r="AG54" i="1"/>
  <c r="AI54" i="1" s="1"/>
  <c r="AG53" i="1"/>
  <c r="AI53" i="1" s="1"/>
  <c r="X53" i="1"/>
  <c r="AG50" i="1"/>
  <c r="U50" i="1" s="1"/>
  <c r="S50" i="1" s="1"/>
  <c r="X50" i="1"/>
  <c r="AG42" i="1"/>
  <c r="X42" i="1"/>
  <c r="X40" i="1"/>
  <c r="X36" i="1"/>
  <c r="X32" i="1"/>
  <c r="AA29" i="1"/>
  <c r="W29" i="1" s="1"/>
  <c r="T28" i="1"/>
  <c r="AA105" i="1"/>
  <c r="AA104" i="1"/>
  <c r="AA99" i="1"/>
  <c r="AA97" i="1"/>
  <c r="W97" i="1" s="1"/>
  <c r="AA93" i="1"/>
  <c r="W93" i="1" s="1"/>
  <c r="T93" i="1"/>
  <c r="AA89" i="1"/>
  <c r="W89" i="1" s="1"/>
  <c r="T89" i="1"/>
  <c r="AA85" i="1"/>
  <c r="W85" i="1" s="1"/>
  <c r="T85" i="1"/>
  <c r="AA81" i="1"/>
  <c r="W81" i="1" s="1"/>
  <c r="T81" i="1"/>
  <c r="AA75" i="1"/>
  <c r="AA70" i="1"/>
  <c r="T69" i="1"/>
  <c r="U69" i="1" s="1"/>
  <c r="S69" i="1" s="1"/>
  <c r="AA61" i="1"/>
  <c r="W61" i="1" s="1"/>
  <c r="AA58" i="1"/>
  <c r="AA57" i="1"/>
  <c r="AA54" i="1"/>
  <c r="AA53" i="1"/>
  <c r="AA47" i="1"/>
  <c r="AA43" i="1"/>
  <c r="AA42" i="1"/>
  <c r="W42" i="1" s="1"/>
  <c r="T40" i="1"/>
  <c r="AA37" i="1"/>
  <c r="T36" i="1"/>
  <c r="AA33" i="1"/>
  <c r="W33" i="1" s="1"/>
  <c r="T32" i="1"/>
  <c r="AA25" i="1"/>
  <c r="T24" i="1"/>
  <c r="T16" i="1"/>
  <c r="U16" i="1" s="1"/>
  <c r="S16" i="1" s="1"/>
  <c r="T77" i="1"/>
  <c r="U76" i="1"/>
  <c r="S76" i="1" s="1"/>
  <c r="W30" i="1"/>
  <c r="AG26" i="1"/>
  <c r="AG25" i="1"/>
  <c r="AI25" i="1" s="1"/>
  <c r="AA21" i="1"/>
  <c r="W21" i="1" s="1"/>
  <c r="T20" i="1"/>
  <c r="U20" i="1" s="1"/>
  <c r="S20" i="1" s="1"/>
  <c r="AA19" i="1"/>
  <c r="AA18" i="1"/>
  <c r="U207" i="1"/>
  <c r="S207" i="1" s="1"/>
  <c r="AI235" i="1"/>
  <c r="AI227" i="1"/>
  <c r="AI203" i="1"/>
  <c r="U155" i="1"/>
  <c r="S155" i="1" s="1"/>
  <c r="AI195" i="1"/>
  <c r="U149" i="1"/>
  <c r="S149" i="1" s="1"/>
  <c r="U220" i="1"/>
  <c r="S220" i="1" s="1"/>
  <c r="W218" i="1"/>
  <c r="U170" i="1"/>
  <c r="S170" i="1" s="1"/>
  <c r="AI211" i="1"/>
  <c r="U145" i="1"/>
  <c r="S145" i="1" s="1"/>
  <c r="W207" i="1"/>
  <c r="U166" i="1"/>
  <c r="S166" i="1" s="1"/>
  <c r="AI207" i="1"/>
  <c r="U159" i="1"/>
  <c r="S159" i="1" s="1"/>
  <c r="AI199" i="1"/>
  <c r="AI191" i="1"/>
  <c r="W230" i="1"/>
  <c r="AI175" i="1"/>
  <c r="W224" i="1"/>
  <c r="AI223" i="1"/>
  <c r="U178" i="1"/>
  <c r="S178" i="1" s="1"/>
  <c r="AI219" i="1"/>
  <c r="AI187" i="1"/>
  <c r="U224" i="1"/>
  <c r="S224" i="1" s="1"/>
  <c r="AI171" i="1"/>
  <c r="AG205" i="1"/>
  <c r="X204" i="1"/>
  <c r="AG188" i="1"/>
  <c r="AI188" i="1" s="1"/>
  <c r="X187" i="1"/>
  <c r="AG184" i="1"/>
  <c r="AI184" i="1" s="1"/>
  <c r="X183" i="1"/>
  <c r="AG180" i="1"/>
  <c r="X179" i="1"/>
  <c r="AG176" i="1"/>
  <c r="X175" i="1"/>
  <c r="AG172" i="1"/>
  <c r="X171" i="1"/>
  <c r="AG168" i="1"/>
  <c r="AI168" i="1" s="1"/>
  <c r="X167" i="1"/>
  <c r="AG164" i="1"/>
  <c r="AI164" i="1" s="1"/>
  <c r="X163" i="1"/>
  <c r="AG161" i="1"/>
  <c r="X160" i="1"/>
  <c r="AG157" i="1"/>
  <c r="X156" i="1"/>
  <c r="AG153" i="1"/>
  <c r="AI153" i="1" s="1"/>
  <c r="X152" i="1"/>
  <c r="AG232" i="1"/>
  <c r="X231" i="1"/>
  <c r="AG151" i="1"/>
  <c r="AI151" i="1" s="1"/>
  <c r="X150" i="1"/>
  <c r="AG147" i="1"/>
  <c r="X146" i="1"/>
  <c r="AG143" i="1"/>
  <c r="AI143" i="1" s="1"/>
  <c r="X142" i="1"/>
  <c r="AG226" i="1"/>
  <c r="X225" i="1"/>
  <c r="AG222" i="1"/>
  <c r="AI222" i="1" s="1"/>
  <c r="X221" i="1"/>
  <c r="X217" i="1"/>
  <c r="U213" i="1"/>
  <c r="S213" i="1" s="1"/>
  <c r="AI146" i="1"/>
  <c r="AI144" i="1"/>
  <c r="U191" i="1"/>
  <c r="S191" i="1" s="1"/>
  <c r="U138" i="1"/>
  <c r="S138" i="1" s="1"/>
  <c r="AI138" i="1"/>
  <c r="AI132" i="1"/>
  <c r="U131" i="1"/>
  <c r="S131" i="1" s="1"/>
  <c r="W130" i="1"/>
  <c r="S204" i="1"/>
  <c r="U233" i="1"/>
  <c r="S233" i="1" s="1"/>
  <c r="U148" i="1"/>
  <c r="S148" i="1" s="1"/>
  <c r="U227" i="1"/>
  <c r="S227" i="1" s="1"/>
  <c r="U223" i="1"/>
  <c r="S223" i="1" s="1"/>
  <c r="U219" i="1"/>
  <c r="S219" i="1" s="1"/>
  <c r="X211" i="1"/>
  <c r="AI154" i="1"/>
  <c r="U198" i="1"/>
  <c r="S198" i="1" s="1"/>
  <c r="W195" i="1"/>
  <c r="U134" i="1"/>
  <c r="S134" i="1" s="1"/>
  <c r="AI134" i="1"/>
  <c r="AI130" i="1"/>
  <c r="X219" i="1"/>
  <c r="AG216" i="1"/>
  <c r="AI216" i="1" s="1"/>
  <c r="X215" i="1"/>
  <c r="X213" i="1"/>
  <c r="W197" i="1"/>
  <c r="AI148" i="1"/>
  <c r="U195" i="1"/>
  <c r="S195" i="1" s="1"/>
  <c r="AI142" i="1"/>
  <c r="AI140" i="1"/>
  <c r="X216" i="1"/>
  <c r="U208" i="1"/>
  <c r="S208" i="1" s="1"/>
  <c r="AI150" i="1"/>
  <c r="W193" i="1"/>
  <c r="AI136" i="1"/>
  <c r="U136" i="1"/>
  <c r="S136" i="1" s="1"/>
  <c r="X212" i="1"/>
  <c r="AG209" i="1"/>
  <c r="X208" i="1"/>
  <c r="X198" i="1"/>
  <c r="X194" i="1"/>
  <c r="X190" i="1"/>
  <c r="X139" i="1"/>
  <c r="X135" i="1"/>
  <c r="X131" i="1"/>
  <c r="T129" i="1"/>
  <c r="U129" i="1" s="1"/>
  <c r="S129" i="1" s="1"/>
  <c r="AI128" i="1"/>
  <c r="AA127" i="1"/>
  <c r="T125" i="1"/>
  <c r="X125" i="1"/>
  <c r="AG125" i="1"/>
  <c r="AI124" i="1"/>
  <c r="U123" i="1"/>
  <c r="S123" i="1" s="1"/>
  <c r="X129" i="1"/>
  <c r="T128" i="1"/>
  <c r="U128" i="1" s="1"/>
  <c r="S128" i="1" s="1"/>
  <c r="X128" i="1"/>
  <c r="U116" i="1"/>
  <c r="S116" i="1" s="1"/>
  <c r="U112" i="1"/>
  <c r="S112" i="1" s="1"/>
  <c r="X124" i="1"/>
  <c r="AI123" i="1"/>
  <c r="AG121" i="1"/>
  <c r="X120" i="1"/>
  <c r="AG117" i="1"/>
  <c r="X116" i="1"/>
  <c r="AI115" i="1"/>
  <c r="AG113" i="1"/>
  <c r="X112" i="1"/>
  <c r="AI111" i="1"/>
  <c r="AG109" i="1"/>
  <c r="X108" i="1"/>
  <c r="AG105" i="1"/>
  <c r="X104" i="1"/>
  <c r="AI103" i="1"/>
  <c r="AG101" i="1"/>
  <c r="X100" i="1"/>
  <c r="X97" i="1"/>
  <c r="X121" i="1"/>
  <c r="T121" i="1"/>
  <c r="X117" i="1"/>
  <c r="T117" i="1"/>
  <c r="AI116" i="1"/>
  <c r="X113" i="1"/>
  <c r="T113" i="1"/>
  <c r="AI112" i="1"/>
  <c r="X109" i="1"/>
  <c r="X105" i="1"/>
  <c r="X101" i="1"/>
  <c r="T101" i="1"/>
  <c r="AI100" i="1"/>
  <c r="AI69" i="1"/>
  <c r="AI93" i="1"/>
  <c r="U93" i="1"/>
  <c r="S93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X96" i="1"/>
  <c r="X92" i="1"/>
  <c r="X88" i="1"/>
  <c r="U65" i="1"/>
  <c r="S65" i="1" s="1"/>
  <c r="U61" i="1"/>
  <c r="S61" i="1" s="1"/>
  <c r="U53" i="1"/>
  <c r="S53" i="1" s="1"/>
  <c r="U28" i="1"/>
  <c r="S28" i="1" s="1"/>
  <c r="AI28" i="1"/>
  <c r="U94" i="1"/>
  <c r="S94" i="1" s="1"/>
  <c r="U90" i="1"/>
  <c r="S90" i="1" s="1"/>
  <c r="U82" i="1"/>
  <c r="S82" i="1" s="1"/>
  <c r="U78" i="1"/>
  <c r="S78" i="1" s="1"/>
  <c r="U70" i="1"/>
  <c r="S70" i="1" s="1"/>
  <c r="U62" i="1"/>
  <c r="S62" i="1" s="1"/>
  <c r="U58" i="1"/>
  <c r="S58" i="1" s="1"/>
  <c r="U54" i="1"/>
  <c r="S54" i="1" s="1"/>
  <c r="AA50" i="1"/>
  <c r="W50" i="1" s="1"/>
  <c r="U44" i="1"/>
  <c r="S44" i="1" s="1"/>
  <c r="AI44" i="1"/>
  <c r="W36" i="1"/>
  <c r="W24" i="1"/>
  <c r="AG95" i="1"/>
  <c r="AG91" i="1"/>
  <c r="W91" i="1" s="1"/>
  <c r="AG87" i="1"/>
  <c r="W87" i="1" s="1"/>
  <c r="AG83" i="1"/>
  <c r="AG79" i="1"/>
  <c r="AG75" i="1"/>
  <c r="AG71" i="1"/>
  <c r="W71" i="1" s="1"/>
  <c r="AG67" i="1"/>
  <c r="W67" i="1" s="1"/>
  <c r="AG63" i="1"/>
  <c r="AG59" i="1"/>
  <c r="X58" i="1"/>
  <c r="AG55" i="1"/>
  <c r="X54" i="1"/>
  <c r="AG51" i="1"/>
  <c r="W48" i="1"/>
  <c r="U40" i="1"/>
  <c r="S40" i="1" s="1"/>
  <c r="AI40" i="1"/>
  <c r="U36" i="1"/>
  <c r="S36" i="1" s="1"/>
  <c r="AI36" i="1"/>
  <c r="U32" i="1"/>
  <c r="S32" i="1" s="1"/>
  <c r="AI32" i="1"/>
  <c r="U24" i="1"/>
  <c r="S24" i="1" s="1"/>
  <c r="AI24" i="1"/>
  <c r="X95" i="1"/>
  <c r="X91" i="1"/>
  <c r="X87" i="1"/>
  <c r="X83" i="1"/>
  <c r="X79" i="1"/>
  <c r="X75" i="1"/>
  <c r="X71" i="1"/>
  <c r="X67" i="1"/>
  <c r="X63" i="1"/>
  <c r="X59" i="1"/>
  <c r="X55" i="1"/>
  <c r="X51" i="1"/>
  <c r="AI50" i="1"/>
  <c r="X48" i="1"/>
  <c r="T48" i="1"/>
  <c r="U48" i="1" s="1"/>
  <c r="S48" i="1" s="1"/>
  <c r="U33" i="1"/>
  <c r="S33" i="1" s="1"/>
  <c r="U29" i="1"/>
  <c r="S29" i="1" s="1"/>
  <c r="U21" i="1"/>
  <c r="S21" i="1" s="1"/>
  <c r="U46" i="1"/>
  <c r="S46" i="1" s="1"/>
  <c r="U42" i="1"/>
  <c r="S42" i="1" s="1"/>
  <c r="U38" i="1"/>
  <c r="S38" i="1" s="1"/>
  <c r="U34" i="1"/>
  <c r="S34" i="1" s="1"/>
  <c r="U30" i="1"/>
  <c r="S30" i="1" s="1"/>
  <c r="U26" i="1"/>
  <c r="S26" i="1" s="1"/>
  <c r="U22" i="1"/>
  <c r="S22" i="1" s="1"/>
  <c r="U14" i="1"/>
  <c r="S14" i="1" s="1"/>
  <c r="AG47" i="1"/>
  <c r="AG43" i="1"/>
  <c r="W43" i="1" s="1"/>
  <c r="AG39" i="1"/>
  <c r="W39" i="1" s="1"/>
  <c r="AG35" i="1"/>
  <c r="AG31" i="1"/>
  <c r="W31" i="1" s="1"/>
  <c r="X30" i="1"/>
  <c r="AG27" i="1"/>
  <c r="X26" i="1"/>
  <c r="AG23" i="1"/>
  <c r="W23" i="1" s="1"/>
  <c r="AG19" i="1"/>
  <c r="AG15" i="1"/>
  <c r="X47" i="1"/>
  <c r="AI46" i="1"/>
  <c r="X43" i="1"/>
  <c r="AI42" i="1"/>
  <c r="X39" i="1"/>
  <c r="X35" i="1"/>
  <c r="AI34" i="1"/>
  <c r="X31" i="1"/>
  <c r="X27" i="1"/>
  <c r="AI26" i="1"/>
  <c r="X15" i="1"/>
  <c r="AI14" i="1"/>
  <c r="AD23" i="3"/>
  <c r="Y39" i="3"/>
  <c r="AD18" i="3"/>
  <c r="Y24" i="3"/>
  <c r="AD12" i="3"/>
  <c r="AD33" i="3"/>
  <c r="AD20" i="3"/>
  <c r="T36" i="3"/>
  <c r="Y11" i="3"/>
  <c r="AE11" i="3"/>
  <c r="AD9" i="3"/>
  <c r="AD22" i="3"/>
  <c r="AD21" i="3"/>
  <c r="AE16" i="3"/>
  <c r="T34" i="3"/>
  <c r="AD8" i="3"/>
  <c r="T13" i="3"/>
  <c r="T9" i="3"/>
  <c r="Y9" i="3"/>
  <c r="Y27" i="3"/>
  <c r="Y21" i="3"/>
  <c r="Y26" i="3"/>
  <c r="Y36" i="3"/>
  <c r="AE15" i="3"/>
  <c r="AD13" i="3"/>
  <c r="T35" i="3"/>
  <c r="T22" i="3"/>
  <c r="Y13" i="3"/>
  <c r="Y22" i="3"/>
  <c r="AE39" i="3"/>
  <c r="AC16" i="3"/>
  <c r="AE35" i="3"/>
  <c r="AC30" i="3"/>
  <c r="AE31" i="3"/>
  <c r="AC12" i="3"/>
  <c r="AE27" i="3"/>
  <c r="AC29" i="3"/>
  <c r="AE23" i="3"/>
  <c r="AC15" i="3"/>
  <c r="AE20" i="3"/>
  <c r="Y35" i="3"/>
  <c r="T17" i="3"/>
  <c r="AE12" i="3"/>
  <c r="T27" i="3"/>
  <c r="AE30" i="3"/>
  <c r="T23" i="3"/>
  <c r="AE19" i="3"/>
  <c r="T39" i="3"/>
  <c r="AE38" i="3"/>
  <c r="T18" i="3"/>
  <c r="AE34" i="3"/>
  <c r="T10" i="3"/>
  <c r="AE26" i="3"/>
  <c r="T31" i="3"/>
  <c r="T20" i="3"/>
  <c r="AD38" i="3"/>
  <c r="T16" i="3"/>
  <c r="AD34" i="3"/>
  <c r="AE33" i="3"/>
  <c r="T30" i="3"/>
  <c r="AD30" i="3"/>
  <c r="AE29" i="3"/>
  <c r="T12" i="3"/>
  <c r="AD26" i="3"/>
  <c r="AE25" i="3"/>
  <c r="T29" i="3"/>
  <c r="AE22" i="3"/>
  <c r="T15" i="3"/>
  <c r="AD19" i="3"/>
  <c r="AE18" i="3"/>
  <c r="T25" i="3"/>
  <c r="AD15" i="3"/>
  <c r="AE14" i="3"/>
  <c r="T8" i="3"/>
  <c r="AD11" i="3"/>
  <c r="AE10" i="3"/>
  <c r="T7" i="3"/>
  <c r="AC38" i="3"/>
  <c r="AE36" i="3"/>
  <c r="AE32" i="3"/>
  <c r="AE28" i="3"/>
  <c r="AE24" i="3"/>
  <c r="AE21" i="3"/>
  <c r="AE17" i="3"/>
  <c r="AD14" i="3"/>
  <c r="AE13" i="3"/>
  <c r="AD10" i="3"/>
  <c r="AE9" i="3"/>
  <c r="AE8" i="3"/>
  <c r="M37" i="3"/>
  <c r="R37" i="3"/>
  <c r="S37" i="3"/>
  <c r="U37" i="3"/>
  <c r="T37" i="3" s="1"/>
  <c r="V37" i="3"/>
  <c r="W37" i="3"/>
  <c r="X37" i="3"/>
  <c r="AC37" i="3"/>
  <c r="W78" i="1" l="1"/>
  <c r="U122" i="1"/>
  <c r="S122" i="1" s="1"/>
  <c r="W133" i="1"/>
  <c r="W118" i="1"/>
  <c r="U230" i="1"/>
  <c r="S230" i="1" s="1"/>
  <c r="U182" i="1"/>
  <c r="S182" i="1" s="1"/>
  <c r="U37" i="1"/>
  <c r="S37" i="1" s="1"/>
  <c r="U214" i="1"/>
  <c r="S214" i="1" s="1"/>
  <c r="W37" i="1"/>
  <c r="U107" i="1"/>
  <c r="S107" i="1" s="1"/>
  <c r="AI45" i="1"/>
  <c r="W194" i="1"/>
  <c r="AI122" i="1"/>
  <c r="U167" i="1"/>
  <c r="S167" i="1" s="1"/>
  <c r="W181" i="1"/>
  <c r="W38" i="1"/>
  <c r="W215" i="1"/>
  <c r="U73" i="1"/>
  <c r="S73" i="1" s="1"/>
  <c r="U158" i="1"/>
  <c r="S158" i="1" s="1"/>
  <c r="AI158" i="1"/>
  <c r="W83" i="1"/>
  <c r="U139" i="1"/>
  <c r="S139" i="1" s="1"/>
  <c r="U100" i="1"/>
  <c r="S100" i="1" s="1"/>
  <c r="W74" i="1"/>
  <c r="W115" i="1"/>
  <c r="U192" i="1"/>
  <c r="S192" i="1" s="1"/>
  <c r="W107" i="1"/>
  <c r="W73" i="1"/>
  <c r="W200" i="1"/>
  <c r="U179" i="1"/>
  <c r="S179" i="1" s="1"/>
  <c r="W205" i="1"/>
  <c r="U74" i="1"/>
  <c r="S74" i="1" s="1"/>
  <c r="U86" i="1"/>
  <c r="S86" i="1" s="1"/>
  <c r="U196" i="1"/>
  <c r="S196" i="1" s="1"/>
  <c r="U181" i="1"/>
  <c r="S181" i="1" s="1"/>
  <c r="W80" i="1"/>
  <c r="W163" i="1"/>
  <c r="W17" i="1"/>
  <c r="W227" i="1"/>
  <c r="W156" i="1"/>
  <c r="W88" i="1"/>
  <c r="U229" i="1"/>
  <c r="S229" i="1" s="1"/>
  <c r="U174" i="1"/>
  <c r="S174" i="1" s="1"/>
  <c r="W231" i="1"/>
  <c r="W35" i="1"/>
  <c r="U57" i="1"/>
  <c r="S57" i="1" s="1"/>
  <c r="AI108" i="1"/>
  <c r="W127" i="1"/>
  <c r="U215" i="1"/>
  <c r="S215" i="1" s="1"/>
  <c r="U165" i="1"/>
  <c r="S165" i="1" s="1"/>
  <c r="AI165" i="1"/>
  <c r="W86" i="1"/>
  <c r="U118" i="1"/>
  <c r="S118" i="1" s="1"/>
  <c r="W171" i="1"/>
  <c r="U144" i="1"/>
  <c r="S144" i="1" s="1"/>
  <c r="U88" i="1"/>
  <c r="S88" i="1" s="1"/>
  <c r="U186" i="1"/>
  <c r="S186" i="1" s="1"/>
  <c r="W192" i="1"/>
  <c r="W152" i="1"/>
  <c r="AI18" i="1"/>
  <c r="AI152" i="1"/>
  <c r="W161" i="1"/>
  <c r="W18" i="1"/>
  <c r="W90" i="1"/>
  <c r="U104" i="1"/>
  <c r="S104" i="1" s="1"/>
  <c r="W185" i="1"/>
  <c r="W45" i="1"/>
  <c r="W221" i="1"/>
  <c r="W82" i="1"/>
  <c r="W99" i="1"/>
  <c r="W119" i="1"/>
  <c r="W22" i="1"/>
  <c r="W15" i="1"/>
  <c r="U17" i="1"/>
  <c r="S17" i="1" s="1"/>
  <c r="AI20" i="1"/>
  <c r="U66" i="1"/>
  <c r="S66" i="1" s="1"/>
  <c r="AI120" i="1"/>
  <c r="W101" i="1"/>
  <c r="W105" i="1"/>
  <c r="W109" i="1"/>
  <c r="AI119" i="1"/>
  <c r="U200" i="1"/>
  <c r="S200" i="1" s="1"/>
  <c r="U190" i="1"/>
  <c r="S190" i="1" s="1"/>
  <c r="W186" i="1"/>
  <c r="W26" i="1"/>
  <c r="W66" i="1"/>
  <c r="U92" i="1"/>
  <c r="S92" i="1" s="1"/>
  <c r="W57" i="1"/>
  <c r="W70" i="1"/>
  <c r="W104" i="1"/>
  <c r="W41" i="1"/>
  <c r="W44" i="1"/>
  <c r="U102" i="1"/>
  <c r="S102" i="1" s="1"/>
  <c r="W229" i="1"/>
  <c r="W206" i="1"/>
  <c r="U103" i="1"/>
  <c r="S103" i="1" s="1"/>
  <c r="W126" i="1"/>
  <c r="W94" i="1"/>
  <c r="W179" i="1"/>
  <c r="W174" i="1"/>
  <c r="U124" i="1"/>
  <c r="S124" i="1" s="1"/>
  <c r="W208" i="1"/>
  <c r="W135" i="1"/>
  <c r="U135" i="1"/>
  <c r="S135" i="1" s="1"/>
  <c r="AI135" i="1"/>
  <c r="W47" i="1"/>
  <c r="U25" i="1"/>
  <c r="S25" i="1" s="1"/>
  <c r="AI99" i="1"/>
  <c r="W214" i="1"/>
  <c r="AI179" i="1"/>
  <c r="AI183" i="1"/>
  <c r="W122" i="1"/>
  <c r="W131" i="1"/>
  <c r="W123" i="1"/>
  <c r="W177" i="1"/>
  <c r="W190" i="1"/>
  <c r="W217" i="1"/>
  <c r="W167" i="1"/>
  <c r="W58" i="1"/>
  <c r="W183" i="1"/>
  <c r="W53" i="1"/>
  <c r="W120" i="1"/>
  <c r="W110" i="1"/>
  <c r="U106" i="1"/>
  <c r="S106" i="1" s="1"/>
  <c r="AI106" i="1"/>
  <c r="W102" i="1"/>
  <c r="W116" i="1"/>
  <c r="W198" i="1"/>
  <c r="W92" i="1"/>
  <c r="W54" i="1"/>
  <c r="U64" i="1"/>
  <c r="S64" i="1" s="1"/>
  <c r="AI64" i="1"/>
  <c r="U49" i="1"/>
  <c r="S49" i="1" s="1"/>
  <c r="AI49" i="1"/>
  <c r="W49" i="1"/>
  <c r="W108" i="1"/>
  <c r="U56" i="1"/>
  <c r="S56" i="1" s="1"/>
  <c r="AI56" i="1"/>
  <c r="U60" i="1"/>
  <c r="S60" i="1" s="1"/>
  <c r="AI60" i="1"/>
  <c r="U194" i="1"/>
  <c r="S194" i="1" s="1"/>
  <c r="AI194" i="1"/>
  <c r="U212" i="1"/>
  <c r="S212" i="1" s="1"/>
  <c r="W176" i="1"/>
  <c r="AI176" i="1"/>
  <c r="AI161" i="1"/>
  <c r="U52" i="1"/>
  <c r="S52" i="1" s="1"/>
  <c r="AI52" i="1"/>
  <c r="U68" i="1"/>
  <c r="S68" i="1" s="1"/>
  <c r="AI68" i="1"/>
  <c r="W68" i="1"/>
  <c r="U84" i="1"/>
  <c r="S84" i="1" s="1"/>
  <c r="AI84" i="1"/>
  <c r="W25" i="1"/>
  <c r="W139" i="1"/>
  <c r="U206" i="1"/>
  <c r="S206" i="1" s="1"/>
  <c r="AI206" i="1"/>
  <c r="W226" i="1"/>
  <c r="AI226" i="1"/>
  <c r="W147" i="1"/>
  <c r="AI147" i="1"/>
  <c r="W232" i="1"/>
  <c r="AI232" i="1"/>
  <c r="W157" i="1"/>
  <c r="AI157" i="1"/>
  <c r="W172" i="1"/>
  <c r="AI172" i="1"/>
  <c r="W180" i="1"/>
  <c r="AI180" i="1"/>
  <c r="U41" i="1"/>
  <c r="S41" i="1" s="1"/>
  <c r="AI41" i="1"/>
  <c r="U98" i="1"/>
  <c r="S98" i="1" s="1"/>
  <c r="AI98" i="1"/>
  <c r="W64" i="1"/>
  <c r="U80" i="1"/>
  <c r="S80" i="1" s="1"/>
  <c r="AI80" i="1"/>
  <c r="W98" i="1"/>
  <c r="W52" i="1"/>
  <c r="W56" i="1"/>
  <c r="W84" i="1"/>
  <c r="U141" i="1"/>
  <c r="S141" i="1" s="1"/>
  <c r="AI141" i="1"/>
  <c r="U35" i="1"/>
  <c r="S35" i="1" s="1"/>
  <c r="AI35" i="1"/>
  <c r="U51" i="1"/>
  <c r="S51" i="1" s="1"/>
  <c r="AI51" i="1"/>
  <c r="U59" i="1"/>
  <c r="S59" i="1" s="1"/>
  <c r="AI59" i="1"/>
  <c r="U75" i="1"/>
  <c r="S75" i="1" s="1"/>
  <c r="AI75" i="1"/>
  <c r="U91" i="1"/>
  <c r="S91" i="1" s="1"/>
  <c r="AI91" i="1"/>
  <c r="W75" i="1"/>
  <c r="AI101" i="1"/>
  <c r="U101" i="1"/>
  <c r="S101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AI121" i="1"/>
  <c r="U121" i="1"/>
  <c r="S121" i="1" s="1"/>
  <c r="W117" i="1"/>
  <c r="W121" i="1"/>
  <c r="U125" i="1"/>
  <c r="S125" i="1" s="1"/>
  <c r="W125" i="1"/>
  <c r="AI125" i="1"/>
  <c r="U83" i="1"/>
  <c r="S83" i="1" s="1"/>
  <c r="AI83" i="1"/>
  <c r="U19" i="1"/>
  <c r="S18" i="1" s="1"/>
  <c r="AI19" i="1"/>
  <c r="U27" i="1"/>
  <c r="S27" i="1" s="1"/>
  <c r="AI27" i="1"/>
  <c r="U39" i="1"/>
  <c r="S39" i="1" s="1"/>
  <c r="AI39" i="1"/>
  <c r="W19" i="1"/>
  <c r="U63" i="1"/>
  <c r="S63" i="1" s="1"/>
  <c r="AI63" i="1"/>
  <c r="U79" i="1"/>
  <c r="S79" i="1" s="1"/>
  <c r="AI79" i="1"/>
  <c r="U95" i="1"/>
  <c r="S95" i="1" s="1"/>
  <c r="AI95" i="1"/>
  <c r="W27" i="1"/>
  <c r="W51" i="1"/>
  <c r="AI156" i="1"/>
  <c r="U209" i="1"/>
  <c r="S209" i="1" s="1"/>
  <c r="AI169" i="1"/>
  <c r="U222" i="1"/>
  <c r="S222" i="1" s="1"/>
  <c r="AI177" i="1"/>
  <c r="U143" i="1"/>
  <c r="S143" i="1" s="1"/>
  <c r="AI185" i="1"/>
  <c r="U151" i="1"/>
  <c r="S151" i="1" s="1"/>
  <c r="AI193" i="1"/>
  <c r="U153" i="1"/>
  <c r="S153" i="1" s="1"/>
  <c r="AI201" i="1"/>
  <c r="U161" i="1"/>
  <c r="S161" i="1" s="1"/>
  <c r="AI209" i="1"/>
  <c r="U168" i="1"/>
  <c r="S168" i="1" s="1"/>
  <c r="AI217" i="1"/>
  <c r="U176" i="1"/>
  <c r="S176" i="1" s="1"/>
  <c r="AI225" i="1"/>
  <c r="U184" i="1"/>
  <c r="S184" i="1" s="1"/>
  <c r="AI233" i="1"/>
  <c r="U205" i="1"/>
  <c r="S205" i="1" s="1"/>
  <c r="W143" i="1"/>
  <c r="W168" i="1"/>
  <c r="W151" i="1"/>
  <c r="U67" i="1"/>
  <c r="S67" i="1" s="1"/>
  <c r="AI67" i="1"/>
  <c r="W184" i="1"/>
  <c r="U43" i="1"/>
  <c r="S43" i="1" s="1"/>
  <c r="AI43" i="1"/>
  <c r="U55" i="1"/>
  <c r="S55" i="1" s="1"/>
  <c r="AI55" i="1"/>
  <c r="W55" i="1"/>
  <c r="U15" i="1"/>
  <c r="S15" i="1" s="1"/>
  <c r="AI15" i="1"/>
  <c r="U23" i="1"/>
  <c r="S23" i="1" s="1"/>
  <c r="AI23" i="1"/>
  <c r="U31" i="1"/>
  <c r="S31" i="1" s="1"/>
  <c r="AI31" i="1"/>
  <c r="U47" i="1"/>
  <c r="S47" i="1" s="1"/>
  <c r="AI47" i="1"/>
  <c r="U71" i="1"/>
  <c r="S71" i="1" s="1"/>
  <c r="AI71" i="1"/>
  <c r="U87" i="1"/>
  <c r="S87" i="1" s="1"/>
  <c r="AI87" i="1"/>
  <c r="W63" i="1"/>
  <c r="W59" i="1"/>
  <c r="W79" i="1"/>
  <c r="W95" i="1"/>
  <c r="W113" i="1"/>
  <c r="W209" i="1"/>
  <c r="U216" i="1"/>
  <c r="S216" i="1" s="1"/>
  <c r="AI163" i="1"/>
  <c r="AI173" i="1"/>
  <c r="U226" i="1"/>
  <c r="S226" i="1" s="1"/>
  <c r="AI181" i="1"/>
  <c r="U147" i="1"/>
  <c r="S147" i="1" s="1"/>
  <c r="AI189" i="1"/>
  <c r="U232" i="1"/>
  <c r="S232" i="1" s="1"/>
  <c r="AI197" i="1"/>
  <c r="U157" i="1"/>
  <c r="S157" i="1" s="1"/>
  <c r="AI205" i="1"/>
  <c r="U164" i="1"/>
  <c r="S164" i="1" s="1"/>
  <c r="AI213" i="1"/>
  <c r="U172" i="1"/>
  <c r="S172" i="1" s="1"/>
  <c r="AI221" i="1"/>
  <c r="U180" i="1"/>
  <c r="S180" i="1" s="1"/>
  <c r="AI229" i="1"/>
  <c r="U188" i="1"/>
  <c r="S188" i="1" s="1"/>
  <c r="W216" i="1"/>
  <c r="W153" i="1"/>
  <c r="W222" i="1"/>
  <c r="W164" i="1"/>
  <c r="W188" i="1"/>
  <c r="AE37" i="3"/>
  <c r="AD37" i="3"/>
  <c r="Y37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38" i="3" s="1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7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11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8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7" i="3" s="1"/>
  <c r="G93" i="4"/>
  <c r="G94" i="4"/>
  <c r="G95" i="4"/>
  <c r="G96" i="4"/>
  <c r="N36" i="3" s="1"/>
  <c r="G97" i="4"/>
  <c r="G98" i="4"/>
  <c r="N24" i="3" s="1"/>
  <c r="G99" i="4"/>
  <c r="G100" i="4"/>
  <c r="G101" i="4"/>
  <c r="G102" i="4"/>
  <c r="N25" i="3" s="1"/>
  <c r="G103" i="4"/>
  <c r="G104" i="4"/>
  <c r="G105" i="4"/>
  <c r="G106" i="4"/>
  <c r="G107" i="4"/>
  <c r="G108" i="4"/>
  <c r="G109" i="4"/>
  <c r="G110" i="4"/>
  <c r="G111" i="4"/>
  <c r="N26" i="3" s="1"/>
  <c r="G112" i="4"/>
  <c r="N14" i="3" s="1"/>
  <c r="G113" i="4"/>
  <c r="G114" i="4"/>
  <c r="N39" i="3" s="1"/>
  <c r="G115" i="4"/>
  <c r="G116" i="4"/>
  <c r="G117" i="4"/>
  <c r="N15" i="3" s="1"/>
  <c r="G118" i="4"/>
  <c r="G119" i="4"/>
  <c r="G120" i="4"/>
  <c r="G121" i="4"/>
  <c r="N20" i="3" s="1"/>
  <c r="G122" i="4"/>
  <c r="G123" i="4"/>
  <c r="G124" i="4"/>
  <c r="N28" i="3" s="1"/>
  <c r="G125" i="4"/>
  <c r="G126" i="4"/>
  <c r="G127" i="4"/>
  <c r="G128" i="4"/>
  <c r="G129" i="4"/>
  <c r="G130" i="4"/>
  <c r="G131" i="4"/>
  <c r="G132" i="4"/>
  <c r="G133" i="4"/>
  <c r="N31" i="3" s="1"/>
  <c r="G134" i="4"/>
  <c r="N27" i="3" s="1"/>
  <c r="G135" i="4"/>
  <c r="G136" i="4"/>
  <c r="G137" i="4"/>
  <c r="G138" i="4"/>
  <c r="G139" i="4"/>
  <c r="G140" i="4"/>
  <c r="G141" i="4"/>
  <c r="N32" i="3" s="1"/>
  <c r="G142" i="4"/>
  <c r="G143" i="4"/>
  <c r="G144" i="4"/>
  <c r="G145" i="4"/>
  <c r="G146" i="4"/>
  <c r="G147" i="4"/>
  <c r="G148" i="4"/>
  <c r="N12" i="3" s="1"/>
  <c r="G149" i="4"/>
  <c r="G150" i="4"/>
  <c r="G151" i="4"/>
  <c r="G152" i="4"/>
  <c r="G153" i="4"/>
  <c r="G154" i="4"/>
  <c r="G155" i="4"/>
  <c r="G156" i="4"/>
  <c r="N23" i="3" s="1"/>
  <c r="G157" i="4"/>
  <c r="G158" i="4"/>
  <c r="G159" i="4"/>
  <c r="G160" i="4"/>
  <c r="G161" i="4"/>
  <c r="N30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33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16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3" i="3"/>
  <c r="N9" i="3"/>
  <c r="N10" i="3"/>
  <c r="N34" i="3"/>
  <c r="N35" i="3"/>
  <c r="N22" i="3"/>
  <c r="N21" i="3"/>
  <c r="N29" i="3"/>
  <c r="N37" i="3"/>
  <c r="N1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<sst xmlns="http://schemas.openxmlformats.org/spreadsheetml/2006/main" count="2937" uniqueCount="1063">
  <si>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</si>
  <si>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</si>
  <si>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</si>
  <si>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</si>
  <si>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</si>
  <si>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</si>
  <si>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</si>
  <si>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</si>
  <si>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</si>
  <si>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</si>
  <si>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</si>
  <si>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</si>
  <si>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</si>
  <si>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</si>
  <si>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</si>
  <si>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</si>
  <si>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</si>
  <si>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</si>
  <si>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</si>
  <si>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</si>
  <si>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</si>
  <si>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</si>
  <si>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</si>
  <si>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</si>
  <si>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</si>
  <si>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</si>
  <si>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</si>
  <si>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</si>
  <si>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</si>
  <si>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</si>
  <si>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</si>
  <si>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</si>
  <si>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</si>
  <si>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</si>
  <si>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</si>
  <si>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</si>
  <si>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</si>
  <si>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</si>
  <si>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</si>
  <si>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</si>
  <si>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</si>
  <si>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</si>
  <si>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</si>
  <si>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</si>
  <si>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</si>
  <si>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</si>
  <si>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</si>
  <si>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</si>
  <si>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</si>
  <si>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</si>
  <si>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</si>
  <si>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</si>
  <si>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</si>
  <si>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</si>
  <si>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</si>
  <si>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</si>
  <si>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</si>
  <si>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</si>
  <si>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</si>
  <si>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</si>
  <si>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</si>
  <si>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</si>
  <si>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</si>
  <si>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</si>
  <si>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</si>
  <si>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</si>
  <si>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</si>
  <si>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</si>
  <si>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</si>
  <si>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</si>
  <si>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</si>
  <si>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</si>
  <si>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</si>
  <si>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</si>
  <si>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</si>
  <si>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</si>
  <si>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</si>
  <si>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</si>
  <si>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</si>
  <si>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</si>
  <si>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</si>
  <si>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</si>
  <si>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</si>
  <si>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</si>
  <si>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</si>
  <si>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</si>
  <si>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</si>
  <si>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</si>
  <si>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</si>
  <si>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</si>
  <si>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</si>
  <si>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</si>
  <si>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</si>
  <si>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</si>
  <si>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</si>
  <si>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</si>
  <si>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</si>
  <si>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</si>
  <si>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</si>
  <si>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</si>
  <si>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</si>
  <si>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</si>
  <si>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</si>
  <si>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</si>
  <si>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</si>
  <si>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</si>
  <si>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</si>
  <si>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</si>
  <si>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</si>
  <si>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</si>
  <si>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</si>
  <si>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</si>
  <si>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</si>
  <si>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</si>
  <si>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</si>
  <si>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</si>
  <si>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</si>
  <si>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</si>
  <si>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</si>
  <si>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</si>
  <si>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</si>
  <si>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</si>
  <si>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</si>
  <si>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</si>
  <si>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</si>
  <si>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</si>
  <si>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</si>
  <si>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</si>
  <si>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</si>
  <si>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</si>
  <si>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</si>
  <si>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</si>
  <si>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</si>
  <si>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</si>
  <si>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</si>
  <si>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</si>
  <si>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</si>
  <si>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</si>
  <si>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</si>
  <si>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</si>
  <si>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</si>
  <si>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</si>
  <si>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</si>
  <si>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</si>
  <si>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</si>
  <si>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</si>
  <si>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</si>
  <si>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</si>
  <si>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</si>
  <si>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</si>
  <si>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</si>
  <si>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</si>
  <si>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</si>
  <si>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</si>
  <si>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</si>
  <si>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</si>
  <si>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</si>
  <si>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</si>
  <si>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</si>
  <si>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</si>
  <si>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</si>
  <si>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</si>
  <si>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</si>
  <si>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</si>
  <si>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</si>
  <si>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</si>
  <si>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</si>
  <si>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</si>
  <si>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</si>
  <si>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</si>
  <si>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</si>
  <si>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</si>
  <si>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</si>
  <si>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</si>
  <si>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</si>
  <si>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</si>
  <si>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</si>
  <si>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</si>
  <si>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</si>
  <si>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</si>
  <si>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</si>
  <si>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</si>
  <si>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</si>
  <si>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</si>
  <si>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</si>
  <si>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</si>
  <si>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</si>
  <si>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</si>
  <si>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</si>
  <si>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</si>
  <si>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</si>
  <si>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</si>
  <si>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</si>
  <si>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</si>
  <si>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</si>
  <si>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</si>
  <si>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</si>
  <si>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</si>
  <si>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</si>
  <si>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</si>
  <si>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</si>
  <si>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</si>
  <si>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</si>
  <si>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</si>
  <si>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</si>
  <si>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</si>
  <si>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</si>
  <si>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</si>
  <si>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</si>
  <si>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</si>
  <si>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</si>
  <si>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</si>
  <si>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</si>
  <si>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</si>
  <si>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</si>
  <si>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</si>
  <si>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</si>
  <si>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</si>
  <si>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</si>
  <si>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</si>
  <si>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</si>
  <si>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</si>
  <si>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</si>
  <si>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</si>
  <si>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</si>
  <si>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</si>
  <si>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</si>
  <si>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</si>
  <si>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</si>
  <si>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</si>
  <si>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</si>
  <si>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</si>
  <si>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</si>
  <si>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</si>
  <si>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</si>
  <si>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</si>
  <si>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</si>
  <si>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</si>
  <si>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</si>
  <si>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</si>
  <si>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</si>
  <si>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</si>
  <si>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</si>
  <si>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</si>
  <si>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</si>
  <si>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</si>
  <si>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</si>
  <si>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</si>
  <si>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</si>
  <si>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</si>
  <si>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</si>
  <si>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</si>
  <si>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</si>
  <si>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</si>
  <si>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</si>
  <si>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</si>
  <si>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</si>
  <si>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</si>
  <si>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</si>
  <si>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</si>
  <si>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</si>
  <si>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</si>
  <si>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</si>
  <si>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</si>
  <si>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</si>
  <si>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</si>
  <si>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</si>
  <si>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</si>
  <si>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</si>
  <si>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</si>
  <si>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</si>
  <si>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</si>
  <si>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</si>
  <si>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</si>
  <si>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</si>
  <si>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</si>
  <si>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</si>
  <si>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</si>
  <si>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</si>
  <si>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</si>
  <si>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</si>
  <si>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</si>
  <si>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</si>
  <si>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</si>
  <si>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</si>
  <si>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</si>
  <si>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</si>
  <si>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</si>
  <si>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</si>
  <si>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</si>
  <si>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</si>
  <si>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</si>
  <si>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</si>
  <si>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</si>
  <si>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</si>
  <si>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</si>
  <si>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</si>
  <si>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</si>
  <si>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</si>
  <si>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</si>
  <si>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</si>
  <si>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</si>
  <si>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</si>
  <si>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</si>
  <si>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</si>
  <si>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</si>
  <si>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</si>
  <si>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</si>
  <si>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</si>
  <si>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</si>
  <si>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</si>
  <si>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</si>
  <si>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</si>
  <si>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</si>
  <si>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</si>
  <si>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</si>
  <si>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</si>
  <si>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</si>
  <si>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</si>
  <si>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</si>
  <si>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</si>
  <si>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</si>
  <si>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</si>
  <si>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</si>
  <si>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</si>
  <si>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</si>
  <si>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</si>
  <si>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</si>
  <si>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</si>
  <si>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</si>
  <si>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</si>
  <si>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</si>
  <si>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</si>
  <si>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</si>
  <si>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</si>
  <si>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</si>
  <si>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</si>
  <si>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</si>
  <si>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</si>
  <si>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</si>
  <si>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</si>
  <si>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</si>
  <si>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</si>
  <si>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</si>
  <si>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</si>
  <si>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</si>
  <si>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</si>
  <si>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</si>
  <si>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</si>
  <si>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</si>
  <si>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</si>
  <si>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</si>
  <si>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</si>
  <si>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</si>
  <si>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</si>
  <si>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</si>
  <si>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</si>
  <si>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</si>
  <si>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</si>
  <si>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</si>
  <si>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</si>
  <si>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</si>
  <si>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</si>
  <si>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</si>
  <si>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</si>
  <si>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</si>
  <si>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</si>
  <si>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</si>
  <si>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</si>
  <si>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</si>
  <si>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</si>
  <si>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</si>
  <si>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</si>
  <si>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</si>
  <si>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</si>
  <si>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</si>
  <si>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</si>
  <si>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</si>
  <si>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</si>
  <si>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</si>
  <si>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</si>
  <si>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</si>
  <si>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</si>
  <si>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</si>
  <si>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</si>
  <si>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</si>
  <si>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</si>
  <si>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</si>
  <si>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</si>
  <si>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</si>
  <si>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</si>
  <si>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</si>
  <si>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</si>
  <si>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</si>
  <si>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</si>
  <si>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</si>
  <si>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</si>
  <si>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</si>
  <si>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</si>
  <si>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</si>
  <si>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</si>
  <si>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</si>
  <si>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</si>
  <si>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</si>
  <si>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</si>
  <si>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</si>
  <si>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</si>
  <si>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</si>
  <si>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</si>
  <si>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</si>
  <si>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</si>
  <si>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</si>
  <si>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</si>
  <si>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</si>
  <si>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</si>
  <si>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</si>
  <si>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</si>
  <si>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</si>
  <si>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</si>
  <si>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</si>
  <si>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</si>
  <si>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</si>
  <si>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</si>
  <si>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</si>
  <si>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</si>
  <si>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</si>
  <si>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</si>
  <si>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</si>
  <si>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</si>
  <si>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</si>
  <si>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</si>
  <si>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</si>
  <si>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</si>
  <si>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</si>
  <si>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</si>
  <si>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</si>
  <si>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</si>
  <si>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</si>
  <si>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</si>
  <si>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</si>
  <si>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</si>
  <si>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</si>
  <si>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</si>
  <si>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204:232973</t>
  </si>
  <si>
    <t>204:232996</t>
  </si>
  <si>
    <t>204:232980</t>
  </si>
  <si>
    <t>rtdc.l.rtdc.4004:itc</t>
  </si>
  <si>
    <t>rtdc.l.rtdc.4003:itc</t>
  </si>
  <si>
    <t>rtdc.l.rtdc.4017:itc</t>
  </si>
  <si>
    <t>rtdc.l.rtdc.4041:itc</t>
  </si>
  <si>
    <t>rtdc.l.rtdc.4042:itc</t>
  </si>
  <si>
    <t>CHANDLER</t>
  </si>
  <si>
    <t>KELVIN</t>
  </si>
  <si>
    <t>rtdc.l.rtdc.4018:itc</t>
  </si>
  <si>
    <t>NEWELL</t>
  </si>
  <si>
    <t>Mostly Cloudy</t>
  </si>
  <si>
    <t>204:161</t>
  </si>
  <si>
    <t>204:475</t>
  </si>
  <si>
    <t>204:165</t>
  </si>
  <si>
    <t>204:484</t>
  </si>
  <si>
    <t>204:464</t>
  </si>
  <si>
    <t>204:437</t>
  </si>
  <si>
    <t>Wi-MAX data drop</t>
  </si>
  <si>
    <t>Onboard in-route failure</t>
  </si>
  <si>
    <t>Early arrival</t>
  </si>
  <si>
    <t>STARKS</t>
  </si>
  <si>
    <t>ANGELINA</t>
  </si>
  <si>
    <t>GUZMAN</t>
  </si>
  <si>
    <t>DANNY</t>
  </si>
  <si>
    <t>MENGES</t>
  </si>
  <si>
    <t>BRAD</t>
  </si>
  <si>
    <t>CLARK</t>
  </si>
  <si>
    <t>KATHLEEN</t>
  </si>
  <si>
    <t>FORTUNATO</t>
  </si>
  <si>
    <t>FRANK</t>
  </si>
  <si>
    <t>STORY</t>
  </si>
  <si>
    <t>SAMANTHA</t>
  </si>
  <si>
    <t>204:232979</t>
  </si>
  <si>
    <t>204:232977</t>
  </si>
  <si>
    <t>204:233300</t>
  </si>
  <si>
    <t>204:232994</t>
  </si>
  <si>
    <t>rtdc.l.rtdc.4014:itc</t>
  </si>
  <si>
    <t>rtdc.l.rtdc.4013:itc</t>
  </si>
  <si>
    <t>LOZA</t>
  </si>
  <si>
    <t>FIDEL</t>
  </si>
  <si>
    <t>STRICKLAND</t>
  </si>
  <si>
    <t>EVAN</t>
  </si>
  <si>
    <t>242-21</t>
  </si>
  <si>
    <t>244-21</t>
  </si>
  <si>
    <t>311-21</t>
  </si>
  <si>
    <t>313-21</t>
  </si>
  <si>
    <t>204:233289</t>
  </si>
  <si>
    <t>204:233291</t>
  </si>
  <si>
    <t>204:233325</t>
  </si>
  <si>
    <t>204:233298</t>
  </si>
  <si>
    <t>204:233301</t>
  </si>
  <si>
    <t>204:233266</t>
  </si>
  <si>
    <t>204:130</t>
  </si>
  <si>
    <t>300:58948</t>
  </si>
  <si>
    <t>300:58619</t>
  </si>
  <si>
    <t>rtdc.l.rtdc.4019:itc</t>
  </si>
  <si>
    <t>rtdc.l.rtdc.4040:itc</t>
  </si>
  <si>
    <t>rtdc.l.rtdc.4039:itc</t>
  </si>
  <si>
    <t>rtdc.l.rtdc.4020:itc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</si>
  <si>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</si>
  <si>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</si>
  <si>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</si>
  <si>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</si>
  <si>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</si>
  <si>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</si>
  <si>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</si>
  <si>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DELGADO</t>
  </si>
  <si>
    <t>DIANAH</t>
  </si>
  <si>
    <t>MCREYNOLDS</t>
  </si>
  <si>
    <t>KYLE</t>
  </si>
  <si>
    <t>204:174</t>
  </si>
  <si>
    <t>204:232982</t>
  </si>
  <si>
    <t>204:233295</t>
  </si>
  <si>
    <t>204:138</t>
  </si>
  <si>
    <t>204:139</t>
  </si>
  <si>
    <t>204:232967</t>
  </si>
  <si>
    <t>204:480</t>
  </si>
  <si>
    <t>204:232986</t>
  </si>
  <si>
    <t>204:232989</t>
  </si>
  <si>
    <t>204:233299</t>
  </si>
  <si>
    <t>204:233013</t>
  </si>
  <si>
    <t>204:233287</t>
  </si>
  <si>
    <t>204:232985</t>
  </si>
  <si>
    <t>204:458</t>
  </si>
  <si>
    <t>204:233319</t>
  </si>
  <si>
    <t>204:440</t>
  </si>
  <si>
    <t>204:979</t>
  </si>
  <si>
    <t>204:971</t>
  </si>
  <si>
    <t>204:691</t>
  </si>
  <si>
    <t>300:58630</t>
  </si>
  <si>
    <t>rtdc.l.rtdc.4053:itc</t>
  </si>
  <si>
    <t>rtdc.l.rtdc.4002:itc</t>
  </si>
  <si>
    <t>ROBINSON</t>
  </si>
  <si>
    <t>KADDIBA</t>
  </si>
  <si>
    <t>SHOOK</t>
  </si>
  <si>
    <t>BRANDNER</t>
  </si>
  <si>
    <t>MELINDA</t>
  </si>
  <si>
    <t>WHITED</t>
  </si>
  <si>
    <t>DUSTIN</t>
  </si>
  <si>
    <t>BRUDER</t>
  </si>
  <si>
    <t>RICHARD</t>
  </si>
  <si>
    <t>906-23</t>
  </si>
  <si>
    <t>315-23</t>
  </si>
  <si>
    <t>244-23</t>
  </si>
  <si>
    <t>309-23</t>
  </si>
  <si>
    <t>311-23</t>
  </si>
  <si>
    <t>313-23</t>
  </si>
  <si>
    <t>precipType</t>
  </si>
  <si>
    <t>rain</t>
  </si>
  <si>
    <t>Light Rain</t>
  </si>
  <si>
    <t>Rain</t>
  </si>
  <si>
    <t>sleet</t>
  </si>
  <si>
    <t>Sleet</t>
  </si>
  <si>
    <t>204:233268</t>
  </si>
  <si>
    <t>204:444</t>
  </si>
  <si>
    <t>204:233306</t>
  </si>
  <si>
    <t>204:447</t>
  </si>
  <si>
    <t>204:141</t>
  </si>
  <si>
    <t>204:232961</t>
  </si>
  <si>
    <t>204:431</t>
  </si>
  <si>
    <t>204:422</t>
  </si>
  <si>
    <t>204:233285</t>
  </si>
  <si>
    <t>204:232990</t>
  </si>
  <si>
    <t>204:187</t>
  </si>
  <si>
    <t>204:233312</t>
  </si>
  <si>
    <t>204:233334</t>
  </si>
  <si>
    <t>204:509</t>
  </si>
  <si>
    <t>204:136</t>
  </si>
  <si>
    <t>204:167</t>
  </si>
  <si>
    <t>204:233305</t>
  </si>
  <si>
    <t>204:450</t>
  </si>
  <si>
    <t>300:23297</t>
  </si>
  <si>
    <t>300:58677</t>
  </si>
  <si>
    <t>300:58997</t>
  </si>
  <si>
    <t>300:58672</t>
  </si>
  <si>
    <t>300:58993</t>
  </si>
  <si>
    <t>300:58675</t>
  </si>
  <si>
    <t>204:670</t>
  </si>
  <si>
    <t>204:1028</t>
  </si>
  <si>
    <t>300:58992</t>
  </si>
  <si>
    <t>300:58673</t>
  </si>
  <si>
    <t>204:974</t>
  </si>
  <si>
    <t>300:58988</t>
  </si>
  <si>
    <t>300:58943</t>
  </si>
  <si>
    <t>204:689</t>
  </si>
  <si>
    <t>204:726</t>
  </si>
  <si>
    <t>300:58960</t>
  </si>
  <si>
    <t>300:58931</t>
  </si>
  <si>
    <t>204:692</t>
  </si>
  <si>
    <t>300:58621</t>
  </si>
  <si>
    <t>300:58944</t>
  </si>
  <si>
    <t>204:992</t>
  </si>
  <si>
    <t>204:985</t>
  </si>
  <si>
    <t>204:1158</t>
  </si>
  <si>
    <t>Selected wrong track</t>
  </si>
  <si>
    <t>51-24</t>
  </si>
  <si>
    <t>306-24</t>
  </si>
  <si>
    <t>111-24</t>
  </si>
  <si>
    <t>104-24</t>
  </si>
  <si>
    <t>rtdc.l.rtdc.4052:itc</t>
  </si>
  <si>
    <t>802-24</t>
  </si>
  <si>
    <t>128-24</t>
  </si>
  <si>
    <t>143-24</t>
  </si>
  <si>
    <t>148-24</t>
  </si>
  <si>
    <t>816-24</t>
  </si>
  <si>
    <t>157-24</t>
  </si>
  <si>
    <t>154-24</t>
  </si>
  <si>
    <t>rtdc.l.rtdc.4008:itc</t>
  </si>
  <si>
    <t>58-24</t>
  </si>
  <si>
    <t>167-24</t>
  </si>
  <si>
    <t>162-24</t>
  </si>
  <si>
    <t>171-24</t>
  </si>
  <si>
    <t>173-24</t>
  </si>
  <si>
    <t>172-24</t>
  </si>
  <si>
    <t>170-24</t>
  </si>
  <si>
    <t>183-24</t>
  </si>
  <si>
    <t>178-24</t>
  </si>
  <si>
    <t>TEMPORARY SPEED RESTRICTION</t>
  </si>
  <si>
    <t>189-24</t>
  </si>
  <si>
    <t>190-24</t>
  </si>
  <si>
    <t>194-24</t>
  </si>
  <si>
    <t>207-24</t>
  </si>
  <si>
    <t>196-24</t>
  </si>
  <si>
    <t>223-24</t>
  </si>
  <si>
    <t>225-24</t>
  </si>
  <si>
    <t>230-24</t>
  </si>
  <si>
    <t>238-24</t>
  </si>
  <si>
    <t>SPECTOR</t>
  </si>
  <si>
    <t>302-24</t>
  </si>
  <si>
    <t>101-24</t>
  </si>
  <si>
    <t>304-24</t>
  </si>
  <si>
    <t>DAVIS</t>
  </si>
  <si>
    <t>WENDY</t>
  </si>
  <si>
    <t>52-24</t>
  </si>
  <si>
    <t>103-24</t>
  </si>
  <si>
    <t>105-24</t>
  </si>
  <si>
    <t>308-24</t>
  </si>
  <si>
    <t>102-24</t>
  </si>
  <si>
    <t>107-24</t>
  </si>
  <si>
    <t>310-24</t>
  </si>
  <si>
    <t>109-24</t>
  </si>
  <si>
    <t>rtdc.l.rtdc.4051:itc</t>
  </si>
  <si>
    <t>901-24</t>
  </si>
  <si>
    <t>800-24</t>
  </si>
  <si>
    <t>108-24</t>
  </si>
  <si>
    <t>801-24</t>
  </si>
  <si>
    <t>115-24</t>
  </si>
  <si>
    <t>ROCHA</t>
  </si>
  <si>
    <t>YAOTL</t>
  </si>
  <si>
    <t>119-24</t>
  </si>
  <si>
    <t>YANAI</t>
  </si>
  <si>
    <t>IAN</t>
  </si>
  <si>
    <t>112-24</t>
  </si>
  <si>
    <t>902-24</t>
  </si>
  <si>
    <t>116-24</t>
  </si>
  <si>
    <t>803-24</t>
  </si>
  <si>
    <t>805-24</t>
  </si>
  <si>
    <t>123-24</t>
  </si>
  <si>
    <t>804-24</t>
  </si>
  <si>
    <t>120-24</t>
  </si>
  <si>
    <t>127-24</t>
  </si>
  <si>
    <t>807-24</t>
  </si>
  <si>
    <t>806-24</t>
  </si>
  <si>
    <t>COOL-24</t>
  </si>
  <si>
    <t>COOLAHAN</t>
  </si>
  <si>
    <t>124-24</t>
  </si>
  <si>
    <t>131-24</t>
  </si>
  <si>
    <t>BONDS</t>
  </si>
  <si>
    <t>REYNALDO</t>
  </si>
  <si>
    <t>809-24</t>
  </si>
  <si>
    <t>808-24</t>
  </si>
  <si>
    <t>135-24</t>
  </si>
  <si>
    <t>811-24</t>
  </si>
  <si>
    <t>810-24</t>
  </si>
  <si>
    <t>132-24</t>
  </si>
  <si>
    <t>139-24</t>
  </si>
  <si>
    <t>903-24</t>
  </si>
  <si>
    <t>50-24</t>
  </si>
  <si>
    <t>812-24</t>
  </si>
  <si>
    <t>136-24</t>
  </si>
  <si>
    <t>813-24</t>
  </si>
  <si>
    <t>140-24</t>
  </si>
  <si>
    <t>147-24</t>
  </si>
  <si>
    <t>142-24</t>
  </si>
  <si>
    <t>144-24</t>
  </si>
  <si>
    <t>814-24</t>
  </si>
  <si>
    <t>149-24</t>
  </si>
  <si>
    <t>815-24</t>
  </si>
  <si>
    <t>151-24</t>
  </si>
  <si>
    <t>146-24</t>
  </si>
  <si>
    <t>153-24</t>
  </si>
  <si>
    <t>155-24</t>
  </si>
  <si>
    <t>54-24</t>
  </si>
  <si>
    <t>STEWART</t>
  </si>
  <si>
    <t>150-24</t>
  </si>
  <si>
    <t>56-24</t>
  </si>
  <si>
    <t>LOPES</t>
  </si>
  <si>
    <t>KIMBERLY</t>
  </si>
  <si>
    <t>152-24</t>
  </si>
  <si>
    <t>817-24</t>
  </si>
  <si>
    <t>159-24</t>
  </si>
  <si>
    <t>161-24</t>
  </si>
  <si>
    <t>ROMERO</t>
  </si>
  <si>
    <t>CHAD</t>
  </si>
  <si>
    <t>156-24</t>
  </si>
  <si>
    <t>rtdc.l.rtdc.4007:itc</t>
  </si>
  <si>
    <t>55-24</t>
  </si>
  <si>
    <t>163-24</t>
  </si>
  <si>
    <t>158-24</t>
  </si>
  <si>
    <t>818-24</t>
  </si>
  <si>
    <t>165-24</t>
  </si>
  <si>
    <t>160-24</t>
  </si>
  <si>
    <t>819-24</t>
  </si>
  <si>
    <t>169-24</t>
  </si>
  <si>
    <t>164-24</t>
  </si>
  <si>
    <t>166-24</t>
  </si>
  <si>
    <t>57-24</t>
  </si>
  <si>
    <t>820-24</t>
  </si>
  <si>
    <t>168-24</t>
  </si>
  <si>
    <t>175-24</t>
  </si>
  <si>
    <t>821-24</t>
  </si>
  <si>
    <t>177-24</t>
  </si>
  <si>
    <t>179-24</t>
  </si>
  <si>
    <t>174-24</t>
  </si>
  <si>
    <t>822-24</t>
  </si>
  <si>
    <t>176-24</t>
  </si>
  <si>
    <t>181-24</t>
  </si>
  <si>
    <t>823-24</t>
  </si>
  <si>
    <t>185-24</t>
  </si>
  <si>
    <t>180-24</t>
  </si>
  <si>
    <t>187-24</t>
  </si>
  <si>
    <t>824-24</t>
  </si>
  <si>
    <t>182-24</t>
  </si>
  <si>
    <t>184-24</t>
  </si>
  <si>
    <t>191-24</t>
  </si>
  <si>
    <t>825-24</t>
  </si>
  <si>
    <t>186-24</t>
  </si>
  <si>
    <t>193-24</t>
  </si>
  <si>
    <t>904-24</t>
  </si>
  <si>
    <t>188-24</t>
  </si>
  <si>
    <t>195-24</t>
  </si>
  <si>
    <t>826-24</t>
  </si>
  <si>
    <t>197-24</t>
  </si>
  <si>
    <t>827-24</t>
  </si>
  <si>
    <t>192-24</t>
  </si>
  <si>
    <t>199-24</t>
  </si>
  <si>
    <t>828-24</t>
  </si>
  <si>
    <t>829-24</t>
  </si>
  <si>
    <t>201-24</t>
  </si>
  <si>
    <t>203-24</t>
  </si>
  <si>
    <t>831-24</t>
  </si>
  <si>
    <t>198-24</t>
  </si>
  <si>
    <t>830-24</t>
  </si>
  <si>
    <t>205-24</t>
  </si>
  <si>
    <t>200-24</t>
  </si>
  <si>
    <t>832-24</t>
  </si>
  <si>
    <t>833-24</t>
  </si>
  <si>
    <t>204-24</t>
  </si>
  <si>
    <t>53-24</t>
  </si>
  <si>
    <t>202-24</t>
  </si>
  <si>
    <t>209-24</t>
  </si>
  <si>
    <t>211-24</t>
  </si>
  <si>
    <t>206-24</t>
  </si>
  <si>
    <t>834-24</t>
  </si>
  <si>
    <t>208-24</t>
  </si>
  <si>
    <t>835-24</t>
  </si>
  <si>
    <t>213-24</t>
  </si>
  <si>
    <t>215-24</t>
  </si>
  <si>
    <t>70-24</t>
  </si>
  <si>
    <t>217-24</t>
  </si>
  <si>
    <t>210-24</t>
  </si>
  <si>
    <t>836-24</t>
  </si>
  <si>
    <t>DAVIDSON</t>
  </si>
  <si>
    <t>DAVID</t>
  </si>
  <si>
    <t>837-24</t>
  </si>
  <si>
    <t>212-24</t>
  </si>
  <si>
    <t>219-24</t>
  </si>
  <si>
    <t>839-24</t>
  </si>
  <si>
    <t>214-24</t>
  </si>
  <si>
    <t>838-24</t>
  </si>
  <si>
    <t>303-24</t>
  </si>
  <si>
    <t>216-24</t>
  </si>
  <si>
    <t>221-24</t>
  </si>
  <si>
    <t>218-24</t>
  </si>
  <si>
    <t>906-24</t>
  </si>
  <si>
    <t>305-24</t>
  </si>
  <si>
    <t>841-24</t>
  </si>
  <si>
    <t>220-24</t>
  </si>
  <si>
    <t>840-24</t>
  </si>
  <si>
    <t>307-24</t>
  </si>
  <si>
    <t>222-24</t>
  </si>
  <si>
    <t>80-24</t>
  </si>
  <si>
    <t>MAGEE</t>
  </si>
  <si>
    <t>KENYA</t>
  </si>
  <si>
    <t>843-24</t>
  </si>
  <si>
    <t>224-24</t>
  </si>
  <si>
    <t>81-24</t>
  </si>
  <si>
    <t>227-24</t>
  </si>
  <si>
    <t>842-24</t>
  </si>
  <si>
    <t>226-24</t>
  </si>
  <si>
    <t>229-24</t>
  </si>
  <si>
    <t>845-24</t>
  </si>
  <si>
    <t>228-24</t>
  </si>
  <si>
    <t>231-24</t>
  </si>
  <si>
    <t>844-24</t>
  </si>
  <si>
    <t>233-24</t>
  </si>
  <si>
    <t>847-24</t>
  </si>
  <si>
    <t>235-24</t>
  </si>
  <si>
    <t>82-24</t>
  </si>
  <si>
    <t>232-24</t>
  </si>
  <si>
    <t>908-24</t>
  </si>
  <si>
    <t>234-24</t>
  </si>
  <si>
    <t>237-24</t>
  </si>
  <si>
    <t>236-24</t>
  </si>
  <si>
    <t>239-24</t>
  </si>
  <si>
    <t>241-24</t>
  </si>
  <si>
    <t>243-24</t>
  </si>
  <si>
    <t>240-24</t>
  </si>
  <si>
    <t>242-24</t>
  </si>
  <si>
    <t>245-24</t>
  </si>
  <si>
    <t>309-24</t>
  </si>
  <si>
    <t>244-24</t>
  </si>
  <si>
    <t>311-24</t>
  </si>
  <si>
    <t>246-24</t>
  </si>
  <si>
    <t>313-24</t>
  </si>
  <si>
    <t>315-24</t>
  </si>
  <si>
    <t>Drizzle</t>
  </si>
  <si>
    <t>clear-night</t>
  </si>
  <si>
    <t>Clear</t>
  </si>
  <si>
    <t>204:764</t>
  </si>
  <si>
    <t>204:232614</t>
  </si>
  <si>
    <t>204:125</t>
  </si>
  <si>
    <t>204:737</t>
  </si>
  <si>
    <t>204:232679</t>
  </si>
  <si>
    <t>204:721</t>
  </si>
  <si>
    <t>204:233403</t>
  </si>
  <si>
    <t>204:86375</t>
  </si>
  <si>
    <t>204:232727</t>
  </si>
  <si>
    <t>204:712</t>
  </si>
  <si>
    <t>204:730</t>
  </si>
  <si>
    <t>204:232641</t>
  </si>
  <si>
    <t>204:1486</t>
  </si>
  <si>
    <t>204:233282</t>
  </si>
  <si>
    <t>204:232666</t>
  </si>
  <si>
    <t>204:774</t>
  </si>
  <si>
    <t>204:233359</t>
  </si>
  <si>
    <t>204:232644</t>
  </si>
  <si>
    <t>204:232762</t>
  </si>
  <si>
    <t>204:752</t>
  </si>
  <si>
    <t>204:193364</t>
  </si>
  <si>
    <t>204:801</t>
  </si>
  <si>
    <t>204:772</t>
  </si>
  <si>
    <t>204:233302</t>
  </si>
  <si>
    <t>204:232658</t>
  </si>
  <si>
    <t>204:2210</t>
  </si>
  <si>
    <t>204:232654</t>
  </si>
  <si>
    <t>204:232650</t>
  </si>
  <si>
    <t>204:646</t>
  </si>
  <si>
    <t>204:233337</t>
  </si>
  <si>
    <t>204:233019</t>
  </si>
  <si>
    <t>204:358</t>
  </si>
  <si>
    <t>204:19149</t>
  </si>
  <si>
    <t>204:233034</t>
  </si>
  <si>
    <t>204:70700</t>
  </si>
  <si>
    <t>204:232975</t>
  </si>
  <si>
    <t>204:420</t>
  </si>
  <si>
    <t>204:170</t>
  </si>
  <si>
    <t>204:478</t>
  </si>
  <si>
    <t>204:233389</t>
  </si>
  <si>
    <t>204:233055</t>
  </si>
  <si>
    <t>204:471</t>
  </si>
  <si>
    <t>204:232976</t>
  </si>
  <si>
    <t>204:201</t>
  </si>
  <si>
    <t>204:193943</t>
  </si>
  <si>
    <t>204:233008</t>
  </si>
  <si>
    <t>204:232974</t>
  </si>
  <si>
    <t>204:233431</t>
  </si>
  <si>
    <t>204:233074</t>
  </si>
  <si>
    <t>204:513</t>
  </si>
  <si>
    <t>204:233372</t>
  </si>
  <si>
    <t>204:233084</t>
  </si>
  <si>
    <t>204:183</t>
  </si>
  <si>
    <t>204:233321</t>
  </si>
  <si>
    <t>204:233374</t>
  </si>
  <si>
    <t>204:232991</t>
  </si>
  <si>
    <t>204:438</t>
  </si>
  <si>
    <t>204:233416</t>
  </si>
  <si>
    <t>204:233086</t>
  </si>
  <si>
    <t>204:469</t>
  </si>
  <si>
    <t>204:232949</t>
  </si>
  <si>
    <t>204:205</t>
  </si>
  <si>
    <t>204:233309</t>
  </si>
  <si>
    <t>204:233284</t>
  </si>
  <si>
    <t>204:233393</t>
  </si>
  <si>
    <t>204:233060</t>
  </si>
  <si>
    <t>204:477</t>
  </si>
  <si>
    <t>204:233107</t>
  </si>
  <si>
    <t>204:232781</t>
  </si>
  <si>
    <t>204:134</t>
  </si>
  <si>
    <t>204:506</t>
  </si>
  <si>
    <t>204:233280</t>
  </si>
  <si>
    <t>204:119</t>
  </si>
  <si>
    <t>204:442</t>
  </si>
  <si>
    <t>204:181</t>
  </si>
  <si>
    <t>204:233351</t>
  </si>
  <si>
    <t>204:233391</t>
  </si>
  <si>
    <t>204:233080</t>
  </si>
  <si>
    <t>204:232972</t>
  </si>
  <si>
    <t>204:233001</t>
  </si>
  <si>
    <t>204:233338</t>
  </si>
  <si>
    <t>204:233053</t>
  </si>
  <si>
    <t>204:163</t>
  </si>
  <si>
    <t>204:406</t>
  </si>
  <si>
    <t>204:233076</t>
  </si>
  <si>
    <t>204:232964</t>
  </si>
  <si>
    <t>204:232978</t>
  </si>
  <si>
    <t>204:233378</t>
  </si>
  <si>
    <t>204:233071</t>
  </si>
  <si>
    <t>204:233303</t>
  </si>
  <si>
    <t>204:225</t>
  </si>
  <si>
    <t>300:22637</t>
  </si>
  <si>
    <t>300:23304</t>
  </si>
  <si>
    <t>300:23616</t>
  </si>
  <si>
    <t>204:116</t>
  </si>
  <si>
    <t>300:23022</t>
  </si>
  <si>
    <t>300:23601</t>
  </si>
  <si>
    <t>300:23346</t>
  </si>
  <si>
    <t>300:23306</t>
  </si>
  <si>
    <t>300:23446</t>
  </si>
  <si>
    <t>300:23302</t>
  </si>
  <si>
    <t>300:23299</t>
  </si>
  <si>
    <t>300:7124</t>
  </si>
  <si>
    <t>204:540</t>
  </si>
  <si>
    <t>204:127886</t>
  </si>
  <si>
    <t>204:154144</t>
  </si>
  <si>
    <t>204:149858</t>
  </si>
  <si>
    <t>204:232651</t>
  </si>
  <si>
    <t>204:127892</t>
  </si>
  <si>
    <t>204:125932</t>
  </si>
  <si>
    <t>204:154413</t>
  </si>
  <si>
    <t>204:107082</t>
  </si>
  <si>
    <t>204:158056</t>
  </si>
  <si>
    <t>204:334</t>
  </si>
  <si>
    <t>204:158112</t>
  </si>
  <si>
    <t>204:157829</t>
  </si>
  <si>
    <t>204:1311</t>
  </si>
  <si>
    <t>204:157879</t>
  </si>
  <si>
    <t>204:106752</t>
  </si>
  <si>
    <t>204:1467</t>
  </si>
  <si>
    <t>300:23062</t>
  </si>
  <si>
    <t>300:22051</t>
  </si>
  <si>
    <t>204:135</t>
  </si>
  <si>
    <t>204:441</t>
  </si>
  <si>
    <t>300:24224</t>
  </si>
  <si>
    <t>204:232988</t>
  </si>
  <si>
    <t>204:1177</t>
  </si>
  <si>
    <t>204:403</t>
  </si>
  <si>
    <t>300:24229</t>
  </si>
  <si>
    <t>300:23527</t>
  </si>
  <si>
    <t>204:97</t>
  </si>
  <si>
    <t>300:23451</t>
  </si>
  <si>
    <t>204:967</t>
  </si>
  <si>
    <t>204:128008</t>
  </si>
  <si>
    <t>204:10143</t>
  </si>
  <si>
    <t>204:128011</t>
  </si>
  <si>
    <t>204:9940</t>
  </si>
  <si>
    <t>204:128018</t>
  </si>
  <si>
    <t>204:10200</t>
  </si>
  <si>
    <t>204:70553</t>
  </si>
  <si>
    <t>300:23491</t>
  </si>
  <si>
    <t>204:859</t>
  </si>
  <si>
    <t>204:708</t>
  </si>
  <si>
    <t>300:58664</t>
  </si>
  <si>
    <t>300:58681</t>
  </si>
  <si>
    <t>204:741</t>
  </si>
  <si>
    <t>204:1020</t>
  </si>
  <si>
    <t>300:58986</t>
  </si>
  <si>
    <t>204:696</t>
  </si>
  <si>
    <t>204:1023</t>
  </si>
  <si>
    <t>204:705</t>
  </si>
  <si>
    <t>204:10178</t>
  </si>
  <si>
    <t>204:128274</t>
  </si>
  <si>
    <t>204:10383</t>
  </si>
  <si>
    <t>204:70862</t>
  </si>
  <si>
    <t>204:10438</t>
  </si>
  <si>
    <t>204:128269</t>
  </si>
  <si>
    <t>204:1173</t>
  </si>
  <si>
    <t>204:128272</t>
  </si>
  <si>
    <t>204:1483</t>
  </si>
  <si>
    <t>204:128271</t>
  </si>
  <si>
    <t>204:128268</t>
  </si>
  <si>
    <t>300:58668</t>
  </si>
  <si>
    <t>204:153</t>
  </si>
  <si>
    <t>300:58685</t>
  </si>
  <si>
    <t>204:733</t>
  </si>
  <si>
    <t>204:1027</t>
  </si>
  <si>
    <t>204:754</t>
  </si>
  <si>
    <t>204:759</t>
  </si>
  <si>
    <t>204:1035</t>
  </si>
  <si>
    <t>204:678</t>
  </si>
  <si>
    <t>204:986</t>
  </si>
  <si>
    <t>300:58990</t>
  </si>
  <si>
    <t>204:128027</t>
  </si>
  <si>
    <t>300:58679</t>
  </si>
  <si>
    <t>204:710</t>
  </si>
  <si>
    <t>300:58641</t>
  </si>
  <si>
    <t>204:682</t>
  </si>
  <si>
    <t>300:58937</t>
  </si>
  <si>
    <t>300:58628</t>
  </si>
  <si>
    <t>204:684</t>
  </si>
  <si>
    <t>300:58929</t>
  </si>
  <si>
    <t>300:58609</t>
  </si>
  <si>
    <t>204:675</t>
  </si>
  <si>
    <t>300:58626</t>
  </si>
  <si>
    <t>204:713</t>
  </si>
  <si>
    <t>300:58941</t>
  </si>
  <si>
    <t>300:58950</t>
  </si>
  <si>
    <t>300:58636</t>
  </si>
  <si>
    <t>204:965</t>
  </si>
  <si>
    <t>300:58634</t>
  </si>
  <si>
    <t>204:685</t>
  </si>
  <si>
    <t>300:58946</t>
  </si>
  <si>
    <t>300:29678</t>
  </si>
  <si>
    <t>300:22601</t>
  </si>
  <si>
    <t>300:24195</t>
  </si>
  <si>
    <t>300:23508</t>
  </si>
  <si>
    <t>300:28793</t>
  </si>
  <si>
    <t>300:58670</t>
  </si>
  <si>
    <t>300:21655</t>
  </si>
  <si>
    <t>start /low /b %USERPROFILE%\Documents\GitHub\eaglep3\Utilities\DownloadLogsFromS3.py --loco 4020 --day 2017-03-24</t>
  </si>
  <si>
    <t>start /low /b %USERPROFILE%\Documents\GitHub\eaglep3\Utilities\DownloadLogsFromS3.py --loco 4019 --day 2017-03-24</t>
  </si>
  <si>
    <t>start /low /b %USERPROFILE%\Documents\GitHub\eaglep3\Utilities\DownloadLogsFromS3.py --loco 4031 --day 2017-03-24</t>
  </si>
  <si>
    <t>start /low /b %USERPROFILE%\Documents\GitHub\eaglep3\Utilities\DownloadLogsFromS3.py --loco 4003 --day 2017-03-24</t>
  </si>
  <si>
    <t>start /low /b %USERPROFILE%\Documents\GitHub\eaglep3\Utilities\DownloadLogsFromS3.py --loco 4027 --day 2017-03-24</t>
  </si>
  <si>
    <t>start /low /b %USERPROFILE%\Documents\GitHub\eaglep3\Utilities\DownloadLogsFromS3.py --loco 4032 --day 2017-03-24</t>
  </si>
  <si>
    <t>start /low /b %USERPROFILE%\Documents\GitHub\eaglep3\Utilities\DownloadLogsFromS3.py --loco 4016 --day 2017-03-24</t>
  </si>
  <si>
    <t>start /low /b %USERPROFILE%\Documents\GitHub\eaglep3\Utilities\DownloadLogsFromS3.py --loco 4003 --day 2017-03-25</t>
  </si>
  <si>
    <t>start /low /b %USERPROFILE%\Documents\GitHub\eaglep3\Utilities\DownloadLogsFromS3.py --loco 4012 --day 2017-03-24</t>
  </si>
  <si>
    <t>start /low /b %USERPROFILE%\Documents\GitHub\eaglep3\Utilities\DownloadLogsFromS3.py --loco 4028 --day 2017-03-25</t>
  </si>
  <si>
    <t>start /low /b %USERPROFILE%\Documents\GitHub\eaglep3\Utilities\DownloadLogsFromS3.py --loco 4046 --day 2017-03-24</t>
  </si>
  <si>
    <t>start /low /b %USERPROFILE%\Documents\GitHub\eaglep3\Utilities\DownloadLogsFromS3.py --loco 4011 --day 2017-03-24</t>
  </si>
  <si>
    <t>start /low /b %USERPROFILE%\Documents\GitHub\eaglep3\Utilities\DownloadLogsFromS3.py --loco 4004 --day 2017-03-24</t>
  </si>
  <si>
    <t>start /low /b %USERPROFILE%\Documents\GitHub\eaglep3\Utilities\DownloadLogsFromS3.py --loco 4018 --day 2017-03-24</t>
  </si>
  <si>
    <t>start /low /b %USERPROFILE%\Documents\GitHub\eaglep3\Utilities\DownloadLogsFromS3.py --loco 4017 --day 2017-03-24</t>
  </si>
  <si>
    <t>start /low /b %USERPROFILE%\Documents\GitHub\eaglep3\Utilities\DownloadLogsFromS3.py --loco 4028 --day 2017-03-24</t>
  </si>
  <si>
    <t>start /low /b %USERPROFILE%\Documents\GitHub\eaglep3\Utilities\DownloadLogsFromS3.py --loco 4045 --day 2017-03-24</t>
  </si>
  <si>
    <t>start /low /b %USERPROFILE%\Documents\GitHub\eaglep3\Utilities\DownloadLogsFromS3.py --loco 4020 --day 2017-03-25</t>
  </si>
  <si>
    <t>start /low /b %USERPROFILE%\Documents\GitHub\eaglep3\Utilities\DownloadLogsFromS3.py --loco 4052 --day 2017-03-24</t>
  </si>
  <si>
    <t>start /low /b %USERPROFILE%\Documents\GitHub\eaglep3\Utilities\DownloadLogsFromS3.py --loco 4043 --day 2017-03-24</t>
  </si>
  <si>
    <t>Office-commanded cut out delayed trip</t>
  </si>
  <si>
    <t>Premature downgrade at Sand Creek 2N</t>
  </si>
  <si>
    <t>At 11:02:38, Sand Creek 2N went from PROCEED CAB to STOP while the train was still approaching, do logs tell anything odd?</t>
  </si>
  <si>
    <t>Premature downgrade at Pena 2N</t>
  </si>
  <si>
    <t>At 18:30:29, Pena 2N went from PROCEED CAB to STOP while the train was still approaching, do logs tell anything odd?</t>
  </si>
  <si>
    <t>Cancelled - power outage</t>
  </si>
  <si>
    <t>http://stevetu21.github.io/eaglep3/load_kml.html?kml=http://rtdc.gmaps-snips.s3.amazonaws.com/852c8d3d-f171-4fe7-bcaa-5eb8e573fbd1.kml</t>
  </si>
  <si>
    <t>40th 4S STOP</t>
  </si>
  <si>
    <t>No issues found with CP 40th signals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</si>
</sst>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topLeftCell="A7" workbookViewId="0">
      <selection activeCell="L22" sqref="L22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5" customWidth="1"/>
    <col min="38" max="38" width="4.14062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42818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127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122</v>
      </c>
      <c r="K5" s="40"/>
      <c r="L5" s="40"/>
      <c r="M5" s="41">
        <f>AVERAGEIFS($N$13:$N$9335,$AG$13:$AG$9335,I1)</f>
        <v>41.401639344384435</v>
      </c>
      <c r="N5" s="39">
        <f t="array" ref="N5">MIN(IF($AG$13:$AG$9335=I1,IF(ISNUMBER($N$13:$N$9335),IF($N$13:$N$9335&gt;0,$N$13:$N$9335))))</f>
        <v>33.933333334280178</v>
      </c>
      <c r="O5" s="3">
        <f t="array" ref="O5">MAX(IF($AG$13:$AG$9335=I1,IF(ISNUMBER($N$13:$N$9335),IF($N$13:$N$9335&gt;0,$N$13:$N$9335))))</f>
        <v>56.949999995995313</v>
      </c>
      <c r="P5" s="2"/>
      <c r="R5" s="74" t="s">
        <v>17</v>
      </c>
      <c r="S5" s="50">
        <f>COUNTIFS($N$13:$N$9335,"&gt;0",$AG$13:$AG$9335,R1)</f>
        <v>47</v>
      </c>
      <c r="T5" s="40"/>
      <c r="U5" s="177"/>
      <c r="V5" s="174">
        <f>AVERAGEIFS($N$13:$N$9335,$AG$13:$AG$9335,R1)</f>
        <v>14.964539006456455</v>
      </c>
      <c r="W5" s="175">
        <f t="array" ref="W5">MIN(IF($AG$13:$AG$9335=R1,IF(ISNUMBER($N$13:$N$9335),IF($N$13:$N$9335&gt;0,$N$13:$N$9335))))</f>
        <v>12.333333335118368</v>
      </c>
      <c r="X5" s="176">
        <f t="array" ref="X5">MAX(IF($AG$13:$AG$9335=R1,IF(ISNUMBER($N$13:$N$9335),IF($N$13:$N$9335&gt;0,$N$13:$N$9335))))</f>
        <v>19.950000001117587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122</v>
      </c>
      <c r="K8" s="40"/>
      <c r="L8" s="40"/>
      <c r="M8" s="41">
        <f>M5</f>
        <v>41.401639344384435</v>
      </c>
      <c r="N8" s="39">
        <f>N5</f>
        <v>33.933333334280178</v>
      </c>
      <c r="O8" s="3">
        <f>O5</f>
        <v>56.949999995995313</v>
      </c>
      <c r="P8" s="2"/>
      <c r="R8" s="74" t="s">
        <v>16</v>
      </c>
      <c r="S8" s="50">
        <f>S5</f>
        <v>47</v>
      </c>
      <c r="T8" s="40"/>
      <c r="U8" s="177"/>
      <c r="V8" s="174">
        <f>V5</f>
        <v>14.964539006456455</v>
      </c>
      <c r="W8" s="175">
        <f>W5</f>
        <v>12.333333335118368</v>
      </c>
      <c r="X8" s="176">
        <f>X5</f>
        <v>19.950000001117587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0.96062992125984248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- 2017-03-24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0.96959459459459463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634</v>
      </c>
      <c r="B13" s="7">
        <v>4046</v>
      </c>
      <c r="C13" s="21" t="s">
        <v>219</v>
      </c>
      <c r="D13" s="21" t="s">
        <v>834</v>
      </c>
      <c r="E13" s="13">
        <v>42818.134074074071</v>
      </c>
      <c r="F13" s="13">
        <v>42818.137071759258</v>
      </c>
      <c r="G13" s="7">
        <v>3</v>
      </c>
      <c r="H13" s="21" t="s">
        <v>409</v>
      </c>
      <c r="I13" s="13">
        <v>42818.174189814818</v>
      </c>
      <c r="J13" s="7">
        <v>0</v>
      </c>
      <c r="K13" s="98" t="str">
        <f t="shared" ref="K13:K76" si="0">IF(ISEVEN(B13),(B13-1)&amp;"/"&amp;B13,B13&amp;"/"&amp;(B13+1))</f>
        <v>4045/4046</v>
      </c>
      <c r="L13" s="21" t="str">
        <f>VLOOKUP(A13,'Trips&amp;Operators'!$C$1:$G$99999,5,FALSE)</f>
        <v>BADERTSCHER DIANE</v>
      </c>
      <c r="M13" s="6">
        <f t="shared" ref="M13:M76" si="1">I13-F13</f>
        <v>3.7118055559403729E-2</v>
      </c>
      <c r="N13" s="7">
        <f t="shared" ref="N13:N18" si="2">24*60*SUM($M13:$M13)</f>
        <v>53.450000005541369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-24T02:13:04-0600',mode:absolute,to:'2017-03-24T05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87" t="str">
        <f t="shared" ref="W13:W76" si="5">IF(AA13&lt;IF(AG13="EC",23,5.65),"Y","N")</f>
        <v>N</v>
      </c>
      <c r="X13" s="187" t="e">
        <f>VALUE(LEFT(AD13,4))-VALUE(LEFT(AD12,4))</f>
        <v>#VALUE!</v>
      </c>
      <c r="Y13" s="62">
        <f t="shared" ref="Y13:Y44" si="6">RIGHT(D13,LEN(D13)-4)/10000</f>
        <v>7.6399999999999996E-2</v>
      </c>
      <c r="Z13" s="62">
        <f t="shared" ref="Z13:Z76" si="7">RIGHT(H13,LEN(H13)-4)/10000</f>
        <v>23.3278</v>
      </c>
      <c r="AA13" s="62">
        <f t="shared" ref="AA13:AA76" si="8">ABS(Z13-Y13)</f>
        <v>23.2514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0101-24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/stypes="app*4046*20170324*" /stext=" 10:.+((SYSTEM_STATE.+slice.+state.+changed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4046 --swversion DE.1.0.9.0 --startMP 204:764 --initTime 2017-03-24T03:13:04 --startdatetime 2017-03-24T03:17:23 --delay 3 --endMP 204:233278 --enddatetime 2017-03-24T04:10:50 --enforcementcount 0 &gt;&gt;C:\Users\stu\Documents\GitHub\eaglep3-reporting\EC\2017-03-24-refined-times.txt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{"issue":{"subject":"","project_id":79,"tracker_id":40,"status_id":1,"priority_id":2,"assigned_to_id":23,"start_date":"2017-03-24","description":"","custom_fields":[{"id":1,"name":"Subdivision","value":"EC"},{"id":4,"name":"Milepost","value":"23.3278"},{"id":17,"name":"Train ID","value":"101-24"},{"id":16,"name":"Locomotive ID","value":"4046"},{"id":130,"name":"Impact","value":""},{"id":150,"name":"Time of Event (Mountain Time)","value":"04:10:50"},{"id":151,"name":"Denver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4046 --day 2017-03-24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642</v>
      </c>
      <c r="B14" s="7">
        <v>4017</v>
      </c>
      <c r="C14" s="21" t="s">
        <v>219</v>
      </c>
      <c r="D14" s="21" t="s">
        <v>835</v>
      </c>
      <c r="E14" s="13">
        <v>42818.177499999998</v>
      </c>
      <c r="F14" s="13">
        <v>42818.181446759256</v>
      </c>
      <c r="G14" s="7">
        <v>1</v>
      </c>
      <c r="H14" s="21" t="s">
        <v>836</v>
      </c>
      <c r="I14" s="13">
        <v>42818.2112037037</v>
      </c>
      <c r="J14" s="7">
        <v>0</v>
      </c>
      <c r="K14" s="98" t="str">
        <f t="shared" si="0"/>
        <v>4017/4018</v>
      </c>
      <c r="L14" s="21" t="str">
        <f>VLOOKUP(A14,'Trips&amp;Operators'!$C$1:$G$99999,5,FALSE)</f>
        <v>BADERTSCHER DIANE</v>
      </c>
      <c r="M14" s="6">
        <f t="shared" si="1"/>
        <v>2.9756944444670808E-2</v>
      </c>
      <c r="N14" s="7">
        <f t="shared" si="2"/>
        <v>42.850000000325963</v>
      </c>
      <c r="O14" s="7"/>
      <c r="P14" s="7"/>
      <c r="Q14" s="22"/>
      <c r="R14" s="22"/>
      <c r="S14" s="31">
        <f>SUM(U14:U14)/IF(AG14="EC",12,1)</f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-24T03:15:36-0600',mode:absolute,to:'2017-03-24T06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7" t="str">
        <f t="shared" si="5"/>
        <v>N</v>
      </c>
      <c r="X14" s="187">
        <f>VALUE(LEFT(AD14,4))-VALUE(LEFT(AD13,4))</f>
        <v>1</v>
      </c>
      <c r="Y14" s="62">
        <f t="shared" si="6"/>
        <v>23.261399999999998</v>
      </c>
      <c r="Z14" s="62">
        <f t="shared" si="7"/>
        <v>1.2500000000000001E-2</v>
      </c>
      <c r="AA14" s="62">
        <f t="shared" si="8"/>
        <v>23.248899999999999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0102-24</v>
      </c>
      <c r="AE14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14" s="82" t="str">
        <f t="shared" si="11"/>
        <v>"C:\Program Files (x86)\AstroGrep\AstroGrep.exe" /e /r /s /spath="%USERPROFILE%\AppData\Local\Temp\OnboardLogs" /stypes="app*4017*20170324*" /stext=" 11:.+((SYSTEM_STATE.+slice.+state.+changed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4017 --swversion DE.1.0.9.0 --startMP 204:232614 --initTime 2017-03-24T04:15:36 --startdatetime 2017-03-24T04:21:17 --delay 1 --endMP 204:125 --enddatetime 2017-03-24T05:04:08 --enforcementcount 0 &gt;&gt;C:\Users\stu\Documents\GitHub\eaglep3-reporting\EC\2017-03-24-refined-times.txt</v>
      </c>
      <c r="AI14" s="108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{"issue":{"subject":"","project_id":79,"tracker_id":40,"status_id":1,"priority_id":2,"assigned_to_id":23,"start_date":"2017-03-24","description":"","custom_fields":[{"id":1,"name":"Subdivision","value":"EC"},{"id":4,"name":"Milepost","value":"0.0125"},{"id":17,"name":"Train ID","value":"102-24"},{"id":16,"name":"Locomotive ID","value":"4017"},{"id":130,"name":"Impact","value":""},{"id":150,"name":"Time of Event (Mountain Time)","value":"05:04:08"},{"id":151,"name":"Denver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8">"start /low /b "&amp;dls3logs&amp;" --loco "&amp;B14&amp;" --day "&amp;TEXT(F14,"YYYY-MM-DD")</f>
        <v>start /low /b %USERPROFILE%\Documents\GitHub\eaglep3\Utilities\DownloadLogsFromS3.py --loco 4017 --day 2017-03-24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639</v>
      </c>
      <c r="B15" s="7">
        <v>4027</v>
      </c>
      <c r="C15" s="21" t="s">
        <v>219</v>
      </c>
      <c r="D15" s="21" t="s">
        <v>837</v>
      </c>
      <c r="E15" s="13">
        <v>42818.150659722225</v>
      </c>
      <c r="F15" s="13">
        <v>42818.156481481485</v>
      </c>
      <c r="G15" s="7">
        <v>1</v>
      </c>
      <c r="H15" s="21" t="s">
        <v>569</v>
      </c>
      <c r="I15" s="13">
        <v>42818.187349537038</v>
      </c>
      <c r="J15" s="7">
        <v>0</v>
      </c>
      <c r="K15" s="98" t="str">
        <f t="shared" si="0"/>
        <v>4027/4028</v>
      </c>
      <c r="L15" s="21" t="str">
        <f>VLOOKUP(A15,'Trips&amp;Operators'!$C$1:$G$99999,5,FALSE)</f>
        <v>DAVIS WENDY</v>
      </c>
      <c r="M15" s="6">
        <f t="shared" si="1"/>
        <v>3.0868055553582963E-2</v>
      </c>
      <c r="N15" s="7">
        <f t="shared" si="2"/>
        <v>44.449999997159466</v>
      </c>
      <c r="O15" s="7"/>
      <c r="P15" s="7"/>
      <c r="Q15" s="22"/>
      <c r="R15" s="22"/>
      <c r="S15" s="31">
        <f>SUM(U15:U15)/IF(AG15="EC",12,1)</f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-24T02:36:57-0600',mode:absolute,to:'2017-03-24T05:29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87" t="str">
        <f t="shared" si="5"/>
        <v>N</v>
      </c>
      <c r="X15" s="187">
        <f>VALUE(LEFT(AD15,4))-VALUE(LEFT(AD14,4))</f>
        <v>1</v>
      </c>
      <c r="Y15" s="62">
        <f t="shared" si="6"/>
        <v>7.3700000000000002E-2</v>
      </c>
      <c r="Z15" s="62">
        <f t="shared" si="7"/>
        <v>23.331199999999999</v>
      </c>
      <c r="AA15" s="62">
        <f t="shared" si="8"/>
        <v>23.2575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0103-24</v>
      </c>
      <c r="AE15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5" s="82" t="str">
        <f t="shared" si="11"/>
        <v>"C:\Program Files (x86)\AstroGrep\AstroGrep.exe" /e /r /s /spath="%USERPROFILE%\AppData\Local\Temp\OnboardLogs" /stypes="app*4027*20170324*" /stext=" 10:.+((SYSTEM_STATE.+slice.+state.+changed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6"/>
        <v>"%USERPROFILE%\Documents\GitHub\eaglep3\Utilities\RefineRTDCRunTimes.py" --tripid 103-24 --locoid 4027 --swversion DE.1.0.9.0 --startMP 204:737 --initTime 2017-03-24T03:36:57 --startdatetime 2017-03-24T03:45:20 --delay 1 --endMP 204:233312 --enddatetime 2017-03-24T04:29:47 --enforcementcount 0 &gt;&gt;C:\Users\stu\Documents\GitHub\eaglep3-reporting\EC\2017-03-24-refined-times.txt</v>
      </c>
      <c r="AI1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{"issue":{"subject":"","project_id":79,"tracker_id":40,"status_id":1,"priority_id":2,"assigned_to_id":23,"start_date":"2017-03-24","description":"","custom_fields":[{"id":1,"name":"Subdivision","value":"EC"},{"id":4,"name":"Milepost","value":"23.3312"},{"id":17,"name":"Train ID","value":"103-24"},{"id":16,"name":"Locomotive ID","value":"4027"},{"id":130,"name":"Impact","value":""},{"id":150,"name":"Time of Event (Mountain Time)","value":"04:29:47"},{"id":151,"name":"Denver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4027 --day 2017-03-24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603</v>
      </c>
      <c r="B16" s="7">
        <v>4032</v>
      </c>
      <c r="C16" s="21" t="s">
        <v>219</v>
      </c>
      <c r="D16" s="21" t="s">
        <v>838</v>
      </c>
      <c r="E16" s="13">
        <v>42818.193136574075</v>
      </c>
      <c r="F16" s="13">
        <v>42818.195405092592</v>
      </c>
      <c r="G16" s="7">
        <v>1</v>
      </c>
      <c r="H16" s="21" t="s">
        <v>395</v>
      </c>
      <c r="I16" s="13">
        <v>42818.228842592594</v>
      </c>
      <c r="J16" s="7">
        <v>0</v>
      </c>
      <c r="K16" s="98" t="str">
        <f t="shared" si="0"/>
        <v>4031/4032</v>
      </c>
      <c r="L16" s="21" t="str">
        <f>VLOOKUP(A16,'Trips&amp;Operators'!$C$1:$G$99999,5,FALSE)</f>
        <v>DAVIS WENDY</v>
      </c>
      <c r="M16" s="6">
        <f t="shared" si="1"/>
        <v>3.3437500002037268E-2</v>
      </c>
      <c r="N16" s="7">
        <f t="shared" si="2"/>
        <v>48.150000002933666</v>
      </c>
      <c r="O16" s="7"/>
      <c r="P16" s="7"/>
      <c r="Q16" s="22"/>
      <c r="R16" s="22"/>
      <c r="S16" s="31">
        <f>SUM(U16:U16)/IF(AG16="EC",12,1)</f>
        <v>1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-24T03:38:07-0600',mode:absolute,to:'2017-03-24T06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" s="187" t="str">
        <f t="shared" si="5"/>
        <v>N</v>
      </c>
      <c r="X16" s="187">
        <f t="shared" ref="X16:X24" si="19">VALUE(LEFT(AD16,4))-VALUE(LEFT(AD15,4))</f>
        <v>1</v>
      </c>
      <c r="Y16" s="62">
        <f t="shared" si="6"/>
        <v>23.267900000000001</v>
      </c>
      <c r="Z16" s="62">
        <f t="shared" si="7"/>
        <v>1.43E-2</v>
      </c>
      <c r="AA16" s="62">
        <f t="shared" si="8"/>
        <v>23.253600000000002</v>
      </c>
      <c r="AB16" s="59" t="str">
        <f>VLOOKUP(A16,Enforcements!$C$7:$K$13,8,0)</f>
        <v>Bulletin (2)</v>
      </c>
      <c r="AC16" s="55" t="str">
        <f>VLOOKUP(A16,Enforcements!$C$7:$E$13,3,0)</f>
        <v>GRADE CROSSING</v>
      </c>
      <c r="AD16" s="56" t="str">
        <f t="shared" si="9"/>
        <v>0104-24</v>
      </c>
      <c r="AE16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16" s="82" t="str">
        <f t="shared" si="11"/>
        <v>"C:\Program Files (x86)\AstroGrep\AstroGrep.exe" /e /r /s /spath="%USERPROFILE%\AppData\Local\Temp\OnboardLogs" /stypes="app*4032*20170324*" /stext=" 11:.+((SYSTEM_STATE.+slice.+state.+changed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6"/>
        <v>"%USERPROFILE%\Documents\GitHub\eaglep3\Utilities\RefineRTDCRunTimes.py" --tripid 104-24 --locoid 4032 --swversion DE.1.0.9.0 --startMP 204:232679 --initTime 2017-03-24T04:38:07 --startdatetime 2017-03-24T04:41:23 --delay 1 --endMP 204:143 --enddatetime 2017-03-24T05:29:32 --enforcementcount 0 &gt;&gt;C:\Users\stu\Documents\GitHub\eaglep3-reporting\EC\2017-03-24-refined-times.txt</v>
      </c>
      <c r="AI1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{"issue":{"subject":"","project_id":79,"tracker_id":40,"status_id":1,"priority_id":2,"assigned_to_id":23,"start_date":"2017-03-24","description":"","custom_fields":[{"id":1,"name":"Subdivision","value":"EC"},{"id":4,"name":"Milepost","value":"0.0143"},{"id":17,"name":"Train ID","value":"104-24"},{"id":16,"name":"Locomotive ID","value":"4032"},{"id":130,"name":"Impact","value":""},{"id":150,"name":"Time of Event (Mountain Time)","value":"05:29:32"},{"id":151,"name":"Denver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4032 --day 2017-03-24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640</v>
      </c>
      <c r="B17" s="7">
        <v>4016</v>
      </c>
      <c r="C17" s="21" t="s">
        <v>219</v>
      </c>
      <c r="D17" s="21" t="s">
        <v>839</v>
      </c>
      <c r="E17" s="13">
        <v>42818.172997685186</v>
      </c>
      <c r="F17" s="13">
        <v>42818.177557870367</v>
      </c>
      <c r="G17" s="7">
        <v>2</v>
      </c>
      <c r="H17" s="21" t="s">
        <v>840</v>
      </c>
      <c r="I17" s="13">
        <v>42818.207754629628</v>
      </c>
      <c r="J17" s="7">
        <v>0</v>
      </c>
      <c r="K17" s="98" t="str">
        <f t="shared" si="0"/>
        <v>4015/4016</v>
      </c>
      <c r="L17" s="21" t="str">
        <f>VLOOKUP(A17,'Trips&amp;Operators'!$C$1:$G$99999,5,FALSE)</f>
        <v>ROBINSON KADDIBA</v>
      </c>
      <c r="M17" s="6">
        <f t="shared" si="1"/>
        <v>3.0196759260434192E-2</v>
      </c>
      <c r="N17" s="7">
        <f t="shared" si="2"/>
        <v>43.483333335025236</v>
      </c>
      <c r="O17" s="7"/>
      <c r="P17" s="7"/>
      <c r="Q17" s="22"/>
      <c r="R17" s="22"/>
      <c r="S17" s="31">
        <f>SUM(U17:U17)/IF(AG17="EC",12,1)</f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-24T03:09:07-0600',mode:absolute,to:'2017-03-24T05:59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87" t="str">
        <f t="shared" si="5"/>
        <v>N</v>
      </c>
      <c r="X17" s="187">
        <f t="shared" si="19"/>
        <v>1</v>
      </c>
      <c r="Y17" s="62">
        <f t="shared" si="6"/>
        <v>7.2099999999999997E-2</v>
      </c>
      <c r="Z17" s="62">
        <f t="shared" si="7"/>
        <v>23.340299999999999</v>
      </c>
      <c r="AA17" s="62">
        <f t="shared" si="8"/>
        <v>23.2682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0105-24</v>
      </c>
      <c r="AE17" s="85" t="str">
        <f t="shared" si="10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17" s="82" t="str">
        <f t="shared" si="11"/>
        <v>"C:\Program Files (x86)\AstroGrep\AstroGrep.exe" /e /r /s /spath="%USERPROFILE%\AppData\Local\Temp\OnboardLogs" /stypes="app*4016*20170324*" /stext=" 10:.+((SYSTEM_STATE.+slice.+state.+changed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6"/>
        <v>"%USERPROFILE%\Documents\GitHub\eaglep3\Utilities\RefineRTDCRunTimes.py" --tripid 105-24 --locoid 4016 --swversion DE.1.0.9.0 --startMP 204:721 --initTime 2017-03-24T04:09:07 --startdatetime 2017-03-24T04:15:41 --delay 2 --endMP 204:233403 --enddatetime 2017-03-24T04:59:10 --enforcementcount 0 &gt;&gt;C:\Users\stu\Documents\GitHub\eaglep3-reporting\EC\2017-03-24-refined-times.txt</v>
      </c>
      <c r="AI1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{"issue":{"subject":"","project_id":79,"tracker_id":40,"status_id":1,"priority_id":2,"assigned_to_id":23,"start_date":"2017-03-24","description":"","custom_fields":[{"id":1,"name":"Subdivision","value":"EC"},{"id":4,"name":"Milepost","value":"23.3403"},{"id":17,"name":"Train ID","value":"105-24"},{"id":16,"name":"Locomotive ID","value":"4016"},{"id":130,"name":"Impact","value":""},{"id":150,"name":"Time of Event (Mountain Time)","value":"04:59:10"},{"id":151,"name":"Denver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4016 --day 2017-03-24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"%USERPROFILE%\AppData\Local\Temp\OnboardLogs"\RTDC4016\*4016*20170324* | grep -SE "(Enforcement Action)|(\[TIMEOUT)|(CHR.+\|PRM\|1\|D.+(SWITCH|SIGNAL).+UNKNOWN)" - &gt;&gt; 2017-03-24-UncaughtWiMAX.txt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643</v>
      </c>
      <c r="B18" s="7">
        <v>4020</v>
      </c>
      <c r="C18" s="21" t="s">
        <v>219</v>
      </c>
      <c r="D18" s="21" t="s">
        <v>530</v>
      </c>
      <c r="E18" s="13">
        <v>42818.186967592592</v>
      </c>
      <c r="F18" s="13">
        <v>42818.188368055555</v>
      </c>
      <c r="G18" s="7">
        <v>1</v>
      </c>
      <c r="H18" s="21" t="s">
        <v>841</v>
      </c>
      <c r="I18" s="13">
        <v>42818.225462962961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STARKS ANGELINA</v>
      </c>
      <c r="M18" s="6">
        <f t="shared" si="1"/>
        <v>3.7094907405844424E-2</v>
      </c>
      <c r="N18" s="7">
        <f t="shared" si="2"/>
        <v>53.41666666441597</v>
      </c>
      <c r="O18" s="7"/>
      <c r="P18" s="7"/>
      <c r="Q18" s="22"/>
      <c r="R18" s="22" t="s">
        <v>1054</v>
      </c>
      <c r="S18" s="31">
        <f>SUM(U18:U19)/IF(AG18="EC",12,1)</f>
        <v>1</v>
      </c>
      <c r="T18" s="46" t="str">
        <f t="shared" si="3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10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-24T03:29:14-0600',mode:absolute,to:'2017-03-24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" s="187" t="str">
        <f t="shared" si="5"/>
        <v>Y</v>
      </c>
      <c r="X18" s="187">
        <f t="shared" si="19"/>
        <v>2</v>
      </c>
      <c r="Y18" s="62">
        <f t="shared" si="6"/>
        <v>4.3999999999999997E-2</v>
      </c>
      <c r="Z18" s="62">
        <f t="shared" si="7"/>
        <v>8.6374999999999993</v>
      </c>
      <c r="AA18" s="62">
        <f t="shared" si="8"/>
        <v>8.5934999999999988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0107-24</v>
      </c>
      <c r="AE18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8" s="82" t="str">
        <f t="shared" si="11"/>
        <v>"C:\Program Files (x86)\AstroGrep\AstroGrep.exe" /e /r /s /spath="%USERPROFILE%\AppData\Local\Temp\OnboardLogs" /stypes="app*4020*20170324*" /stext=" 11:.+((SYSTEM_STATE.+slice.+state.+changed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6"/>
        <v>"%USERPROFILE%\Documents\GitHub\eaglep3\Utilities\RefineRTDCRunTimes.py" --tripid 107-24 --locoid 4020 --swversion DE.1.0.9.0 --startMP 204:440 --initTime 2017-03-24T04:29:14 --startdatetime 2017-03-24T04:31:15 --delay 1 --endMP 204:86375 --enddatetime 2017-03-24T05:24:40 --enforcementcount 0 &gt;&gt;C:\Users\stu\Documents\GitHub\eaglep3-reporting\EC\2017-03-24-refined-times.txt</v>
      </c>
      <c r="AI18" s="108" t="str">
        <f t="shared" si="17"/>
        <v>echo {"issue":{"subject":"Office-commanded cut out delayed trip","project_id":79,"tracker_id":40,"status_id":1,"priority_id":2,"assigned_to_id":23,"start_date":"2017-03-24","description":"","custom_fields":[{"id":1,"name":"Subdivision","value":"EC"},{"id":4,"name":"Milepost","value":"8.6375"},{"id":17,"name":"Train ID","value":"107-24"},{"id":16,"name":"Locomotive ID","value":"4020"},{"id":130,"name":"Impact","value":""},{"id":150,"name":"Time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4020 --day 2017-03-24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643</v>
      </c>
      <c r="B19" s="7">
        <v>4020</v>
      </c>
      <c r="C19" s="21" t="s">
        <v>219</v>
      </c>
      <c r="D19" s="21" t="s">
        <v>841</v>
      </c>
      <c r="E19" s="13">
        <v>42818.202523148146</v>
      </c>
      <c r="F19" s="13">
        <v>42818.203356481485</v>
      </c>
      <c r="G19" s="7">
        <v>1</v>
      </c>
      <c r="H19" s="21" t="s">
        <v>385</v>
      </c>
      <c r="I19" s="13">
        <v>42818.225462962961</v>
      </c>
      <c r="J19" s="7">
        <v>0</v>
      </c>
      <c r="K19" s="98" t="str">
        <f t="shared" si="0"/>
        <v>4019/4020</v>
      </c>
      <c r="L19" s="21" t="str">
        <f>VLOOKUP(A19,'Trips&amp;Operators'!$C$1:$G$99999,5,FALSE)</f>
        <v>STARKS ANGELINA</v>
      </c>
      <c r="M19" s="6">
        <f t="shared" si="1"/>
        <v>2.2106481475930195E-2</v>
      </c>
      <c r="N19" s="7"/>
      <c r="O19" s="7"/>
      <c r="P19" s="7"/>
      <c r="Q19" s="22"/>
      <c r="R19" s="22"/>
      <c r="S19" s="31"/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-24T03:51:38-0600',mode:absolute,to:'2017-03-24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87" t="str">
        <f t="shared" si="5"/>
        <v>Y</v>
      </c>
      <c r="X19" s="187">
        <f t="shared" si="19"/>
        <v>0</v>
      </c>
      <c r="Y19" s="62">
        <f t="shared" si="6"/>
        <v>8.6374999999999993</v>
      </c>
      <c r="Z19" s="62">
        <f t="shared" si="7"/>
        <v>23.3293</v>
      </c>
      <c r="AA19" s="62">
        <f t="shared" si="8"/>
        <v>14.691800000000001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0107-24</v>
      </c>
      <c r="AE19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9" s="82" t="str">
        <f t="shared" si="11"/>
        <v>"C:\Program Files (x86)\AstroGrep\AstroGrep.exe" /e /r /s /spath="%USERPROFILE%\AppData\Local\Temp\OnboardLogs" /stypes="app*4020*20170324*"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6"/>
        <v>"%USERPROFILE%\Documents\GitHub\eaglep3\Utilities\RefineRTDCRunTimes.py" --tripid 107-24 --locoid 4020 --swversion DE.1.0.9.0 --startMP 204:86375 --initTime 2017-03-24T04:51:38 --startdatetime 2017-03-24T04:52:50 --delay 1 --endMP 204:233293 --enddatetime 2017-03-24T05:24:40 --enforcementcount 0 &gt;&gt;C:\Users\stu\Documents\GitHub\eaglep3-reporting\EC\2017-03-24-refined-times.txt</v>
      </c>
      <c r="AI1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{"issue":{"subject":"","project_id":79,"tracker_id":40,"status_id":1,"priority_id":2,"assigned_to_id":23,"start_date":"2017-03-24","description":"","custom_fields":[{"id":1,"name":"Subdivision","value":"EC"},{"id":4,"name":"Milepost","value":"23.3293"},{"id":17,"name":"Train ID","value":"107-24"},{"id":16,"name":"Locomotive ID","value":"4020"},{"id":130,"name":"Impact","value":""},{"id":150,"name":"Time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4020 --day 2017-03-24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649</v>
      </c>
      <c r="B20" s="7">
        <v>4012</v>
      </c>
      <c r="C20" s="21" t="s">
        <v>219</v>
      </c>
      <c r="D20" s="21" t="s">
        <v>842</v>
      </c>
      <c r="E20" s="13">
        <v>42818.211516203701</v>
      </c>
      <c r="F20" s="13">
        <v>42818.231157407405</v>
      </c>
      <c r="G20" s="7">
        <v>3</v>
      </c>
      <c r="H20" s="21" t="s">
        <v>184</v>
      </c>
      <c r="I20" s="13">
        <v>42818.268888888888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ROBINSON KADDIBA</v>
      </c>
      <c r="M20" s="6">
        <f t="shared" si="1"/>
        <v>3.7731481483206153E-2</v>
      </c>
      <c r="N20" s="7">
        <f t="shared" ref="N20:N31" si="20">24*60*SUM($M20:$M20)</f>
        <v>54.33333333581686</v>
      </c>
      <c r="O20" s="7"/>
      <c r="P20" s="7"/>
      <c r="Q20" s="22"/>
      <c r="R20" s="22"/>
      <c r="S20" s="31">
        <f t="shared" ref="S20:S83" si="21">SUM(U20:U20)/IF(AG20="EC",12,1)</f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-24T04:04:35-0600',mode:absolute,to:'2017-03-24T07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5"/>
        <v>N</v>
      </c>
      <c r="X20" s="187">
        <f t="shared" si="19"/>
        <v>1</v>
      </c>
      <c r="Y20" s="62">
        <f t="shared" si="6"/>
        <v>23.2727</v>
      </c>
      <c r="Z20" s="62">
        <f t="shared" si="7"/>
        <v>1.49E-2</v>
      </c>
      <c r="AA20" s="62">
        <f t="shared" si="8"/>
        <v>23.2578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0108-24</v>
      </c>
      <c r="AE20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20" s="82" t="str">
        <f t="shared" si="11"/>
        <v>"C:\Program Files (x86)\AstroGrep\AstroGrep.exe" /e /r /s /spath="%USERPROFILE%\AppData\Local\Temp\OnboardLogs" /stypes="app*4012*20170324*" /stext=" 12:.+((SYSTEM_STATE.+slice.+state.+changed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6"/>
        <v>"%USERPROFILE%\Documents\GitHub\eaglep3\Utilities\RefineRTDCRunTimes.py" --tripid 108-24 --locoid 4012 --swversion DE.1.0.9.0 --startMP 204:232727 --initTime 2017-03-24T05:04:35 --startdatetime 2017-03-24T05:32:52 --delay 3 --endMP 204:149 --enddatetime 2017-03-24T06:27:12 --enforcementcount 0 &gt;&gt;C:\Users\stu\Documents\GitHub\eaglep3-reporting\EC\2017-03-24-refined-times.txt</v>
      </c>
      <c r="AI2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ID","value":"108-24"},{"id":16,"name":"Locomotive ID","value":"4012"},{"id":130,"name":"Impact","value":""},{"id":150,"name":"Time of Event (Mountain Time)","value":"06:27:12"},{"id":151,"name":"Denver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4012 --day 2017-03-24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602</v>
      </c>
      <c r="B21" s="7">
        <v>4046</v>
      </c>
      <c r="C21" s="21" t="s">
        <v>219</v>
      </c>
      <c r="D21" s="21" t="s">
        <v>843</v>
      </c>
      <c r="E21" s="13">
        <v>42818.213206018518</v>
      </c>
      <c r="F21" s="13">
        <v>42818.215266203704</v>
      </c>
      <c r="G21" s="7">
        <v>1</v>
      </c>
      <c r="H21" s="21" t="s">
        <v>491</v>
      </c>
      <c r="I21" s="13">
        <v>42818.243796296294</v>
      </c>
      <c r="J21" s="7">
        <v>0</v>
      </c>
      <c r="K21" s="98" t="str">
        <f t="shared" si="0"/>
        <v>4045/4046</v>
      </c>
      <c r="L21" s="21" t="str">
        <f>VLOOKUP(A21,'Trips&amp;Operators'!$C$1:$G$99999,5,FALSE)</f>
        <v>GUZMAN DANNY</v>
      </c>
      <c r="M21" s="6">
        <f t="shared" si="1"/>
        <v>2.8530092589790002E-2</v>
      </c>
      <c r="N21" s="7">
        <f t="shared" si="20"/>
        <v>41.083333329297602</v>
      </c>
      <c r="O21" s="7"/>
      <c r="P21" s="7"/>
      <c r="Q21" s="22"/>
      <c r="R21" s="22"/>
      <c r="S21" s="31">
        <f t="shared" si="21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-24T04:07:01-0600',mode:absolute,to:'2017-03-24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87" t="str">
        <f t="shared" si="5"/>
        <v>N</v>
      </c>
      <c r="X21" s="187">
        <f t="shared" si="19"/>
        <v>3</v>
      </c>
      <c r="Y21" s="62">
        <f t="shared" si="6"/>
        <v>7.1199999999999999E-2</v>
      </c>
      <c r="Z21" s="62">
        <f t="shared" si="7"/>
        <v>23.328900000000001</v>
      </c>
      <c r="AA21" s="62">
        <f t="shared" si="8"/>
        <v>23.2577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0111-24</v>
      </c>
      <c r="AE21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21" s="82" t="str">
        <f t="shared" si="11"/>
        <v>"C:\Program Files (x86)\AstroGrep\AstroGrep.exe" /e /r /s /spath="%USERPROFILE%\AppData\Local\Temp\OnboardLogs" /stypes="app*4046*20170324*" /stext=" 11:.+((SYSTEM_STATE.+slice.+state.+changed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6"/>
        <v>"%USERPROFILE%\Documents\GitHub\eaglep3\Utilities\RefineRTDCRunTimes.py" --tripid 111-24 --locoid 4046 --swversion DE.1.0.9.0 --startMP 204:712 --initTime 2017-03-24T05:07:01 --startdatetime 2017-03-24T05:09:59 --delay 1 --endMP 204:233289 --enddatetime 2017-03-24T05:51:04 --enforcementcount 0 &gt;&gt;C:\Users\stu\Documents\GitHub\eaglep3-reporting\EC\2017-03-24-refined-times.txt</v>
      </c>
      <c r="AI2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ID","value":"111-24"},{"id":16,"name":"Locomotive ID","value":"4046"},{"id":130,"name":"Impact","value":""},{"id":150,"name":"Time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4046 --day 2017-03-24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657</v>
      </c>
      <c r="B22" s="7">
        <v>4019</v>
      </c>
      <c r="C22" s="21" t="s">
        <v>219</v>
      </c>
      <c r="D22" s="21" t="s">
        <v>478</v>
      </c>
      <c r="E22" s="13">
        <v>42818.244050925925</v>
      </c>
      <c r="F22" s="13">
        <v>42818.247835648152</v>
      </c>
      <c r="G22" s="7">
        <v>1</v>
      </c>
      <c r="H22" s="21" t="s">
        <v>215</v>
      </c>
      <c r="I22" s="13">
        <v>42818.285381944443</v>
      </c>
      <c r="J22" s="7">
        <v>0</v>
      </c>
      <c r="K22" s="98" t="str">
        <f t="shared" si="0"/>
        <v>4019/4020</v>
      </c>
      <c r="L22" s="21" t="str">
        <f>VLOOKUP(A22,'Trips&amp;Operators'!$C$1:$G$99999,5,FALSE)</f>
        <v>STARKS ANGELINA</v>
      </c>
      <c r="M22" s="6">
        <f t="shared" si="1"/>
        <v>3.7546296291111503E-2</v>
      </c>
      <c r="N22" s="7">
        <f t="shared" si="20"/>
        <v>54.066666659200564</v>
      </c>
      <c r="O22" s="7"/>
      <c r="P22" s="7"/>
      <c r="Q22" s="22"/>
      <c r="R22" s="22"/>
      <c r="S22" s="31">
        <f t="shared" si="21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-24T04:51:26-0600',mode:absolute,to:'2017-03-24T07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7" t="str">
        <f t="shared" si="5"/>
        <v>N</v>
      </c>
      <c r="X22" s="187">
        <f t="shared" si="19"/>
        <v>1</v>
      </c>
      <c r="Y22" s="62">
        <f t="shared" si="6"/>
        <v>23.297699999999999</v>
      </c>
      <c r="Z22" s="62">
        <f t="shared" si="7"/>
        <v>1.47E-2</v>
      </c>
      <c r="AA22" s="62">
        <f t="shared" si="8"/>
        <v>23.282999999999998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0112-24</v>
      </c>
      <c r="AE22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22" s="82" t="str">
        <f t="shared" si="11"/>
        <v>"C:\Program Files (x86)\AstroGrep\AstroGrep.exe" /e /r /s /spath="%USERPROFILE%\AppData\Local\Temp\OnboardLogs" /stypes="app*4019*20170324*" /stext=" 12:.+((SYSTEM_STATE.+slice.+state.+changed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6"/>
        <v>"%USERPROFILE%\Documents\GitHub\eaglep3\Utilities\RefineRTDCRunTimes.py" --tripid 112-24 --locoid 4019 --swversion DE.1.0.9.0 --startMP 204:232977 --initTime 2017-03-24T05:51:26 --startdatetime 2017-03-24T05:56:53 --delay 1 --endMP 204:147 --enddatetime 2017-03-24T06:50:57 --enforcementcount 0 &gt;&gt;C:\Users\stu\Documents\GitHub\eaglep3-reporting\EC\2017-03-24-refined-times.txt</v>
      </c>
      <c r="AI22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{"issue":{"subject":"","project_id":79,"tracker_id":40,"status_id":1,"priority_id":2,"assigned_to_id":23,"start_date":"2017-03-24","description":"","custom_fields":[{"id":1,"name":"Subdivision","value":"EC"},{"id":4,"name":"Milepost","value":"0.0147"},{"id":17,"name":"Train ID","value":"112-24"},{"id":16,"name":"Locomotive ID","value":"4019"},{"id":130,"name":"Impact","value":""},{"id":150,"name":"Time of Event (Mountain Time)","value":"06:50:57"},{"id":151,"name":"Denver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4019 --day 2017-03-24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651</v>
      </c>
      <c r="B23" s="7">
        <v>4027</v>
      </c>
      <c r="C23" s="21" t="s">
        <v>219</v>
      </c>
      <c r="D23" s="21" t="s">
        <v>844</v>
      </c>
      <c r="E23" s="13">
        <v>42818.229108796295</v>
      </c>
      <c r="F23" s="13">
        <v>42818.230312500003</v>
      </c>
      <c r="G23" s="7">
        <v>1</v>
      </c>
      <c r="H23" s="21" t="s">
        <v>529</v>
      </c>
      <c r="I23" s="13">
        <v>42818.263101851851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ROCHA YAOTL</v>
      </c>
      <c r="M23" s="6">
        <f t="shared" si="1"/>
        <v>3.2789351847895887E-2</v>
      </c>
      <c r="N23" s="7">
        <f t="shared" si="20"/>
        <v>47.216666660970077</v>
      </c>
      <c r="O23" s="7"/>
      <c r="P23" s="7"/>
      <c r="Q23" s="22"/>
      <c r="R23" s="22"/>
      <c r="S23" s="31">
        <f t="shared" si="21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-24T04:29:55-0600',mode:absolute,to:'2017-03-24T07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87" t="str">
        <f t="shared" si="5"/>
        <v>N</v>
      </c>
      <c r="X23" s="187">
        <f t="shared" si="19"/>
        <v>3</v>
      </c>
      <c r="Y23" s="62">
        <f t="shared" si="6"/>
        <v>7.2999999999999995E-2</v>
      </c>
      <c r="Z23" s="62">
        <f t="shared" si="7"/>
        <v>23.331900000000001</v>
      </c>
      <c r="AA23" s="62">
        <f t="shared" si="8"/>
        <v>23.258900000000001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0115-24</v>
      </c>
      <c r="AE23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23" s="82" t="str">
        <f t="shared" si="11"/>
        <v>"C:\Program Files (x86)\AstroGrep\AstroGrep.exe" /e /r /s /spath="%USERPROFILE%\AppData\Local\Temp\OnboardLogs" /stypes="app*4027*20170324*"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6"/>
        <v>"%USERPROFILE%\Documents\GitHub\eaglep3\Utilities\RefineRTDCRunTimes.py" --tripid 115-24 --locoid 4027 --swversion DE.1.0.9.0 --startMP 204:730 --initTime 2017-03-24T05:29:55 --startdatetime 2017-03-24T05:31:39 --delay 1 --endMP 204:233319 --enddatetime 2017-03-24T06:18:52 --enforcementcount 0 &gt;&gt;C:\Users\stu\Documents\GitHub\eaglep3-reporting\EC\2017-03-24-refined-times.txt</v>
      </c>
      <c r="AI2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{"issue":{"subject":"","project_id":79,"tracker_id":40,"status_id":1,"priority_id":2,"assigned_to_id":23,"start_date":"2017-03-24","description":"","custom_fields":[{"id":1,"name":"Subdivision","value":"EC"},{"id":4,"name":"Milepost","value":"23.3319"},{"id":17,"name":"Train ID","value":"115-24"},{"id":16,"name":"Locomotive ID","value":"4027"},{"id":130,"name":"Impact","value":""},{"id":150,"name":"Time of Event (Mountain Time)","value":"06:18:52"},{"id":151,"name":"Denver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4027 --day 2017-03-24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659</v>
      </c>
      <c r="B24" s="7">
        <v>4017</v>
      </c>
      <c r="C24" s="21" t="s">
        <v>219</v>
      </c>
      <c r="D24" s="21" t="s">
        <v>845</v>
      </c>
      <c r="E24" s="13">
        <v>42818.259386574071</v>
      </c>
      <c r="F24" s="13">
        <v>42818.268275462964</v>
      </c>
      <c r="G24" s="7">
        <v>1</v>
      </c>
      <c r="H24" s="21" t="s">
        <v>519</v>
      </c>
      <c r="I24" s="13">
        <v>42818.307384259257</v>
      </c>
      <c r="J24" s="7">
        <v>0</v>
      </c>
      <c r="K24" s="98" t="str">
        <f t="shared" si="0"/>
        <v>4017/4018</v>
      </c>
      <c r="L24" s="21" t="str">
        <f>VLOOKUP(A24,'Trips&amp;Operators'!$C$1:$G$99999,5,FALSE)</f>
        <v>BADERTSCHER DIANE</v>
      </c>
      <c r="M24" s="6">
        <f t="shared" si="1"/>
        <v>3.9108796292566694E-2</v>
      </c>
      <c r="N24" s="7">
        <f t="shared" si="20"/>
        <v>56.31666666129604</v>
      </c>
      <c r="O24" s="7"/>
      <c r="P24" s="7"/>
      <c r="Q24" s="22"/>
      <c r="R24" s="22"/>
      <c r="S24" s="31">
        <f t="shared" si="21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-24T05:13:31-0600',mode:absolute,to:'2017-03-24T08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87" t="str">
        <f t="shared" si="5"/>
        <v>N</v>
      </c>
      <c r="X24" s="187">
        <f t="shared" si="19"/>
        <v>1</v>
      </c>
      <c r="Y24" s="62">
        <f t="shared" si="6"/>
        <v>23.264099999999999</v>
      </c>
      <c r="Z24" s="62">
        <f t="shared" si="7"/>
        <v>1.3899999999999999E-2</v>
      </c>
      <c r="AA24" s="62">
        <f t="shared" si="8"/>
        <v>23.2502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0116-24</v>
      </c>
      <c r="AE24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4" s="82" t="str">
        <f t="shared" si="11"/>
        <v>"C:\Program Files (x86)\AstroGrep\AstroGrep.exe" /e /r /s /spath="%USERPROFILE%\AppData\Local\Temp\OnboardLogs" /stypes="app*4017*20170324*" /stext=" 13:.+((SYSTEM_STATE.+slice.+state.+changed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6"/>
        <v>"%USERPROFILE%\Documents\GitHub\eaglep3\Utilities\RefineRTDCRunTimes.py" --tripid 116-24 --locoid 4017 --swversion DE.1.0.9.0 --startMP 204:232641 --initTime 2017-03-24T06:13:31 --startdatetime 2017-03-24T06:26:19 --delay 1 --endMP 204:139 --enddatetime 2017-03-24T07:22:38 --enforcementcount 0 &gt;&gt;C:\Users\stu\Documents\GitHub\eaglep3-reporting\EC\2017-03-24-refined-times.txt</v>
      </c>
      <c r="AI2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ID","value":"116-24"},{"id":16,"name":"Locomotive ID","value":"4017"},{"id":130,"name":"Impact","value":""},{"id":150,"name":"Time of Event (Mountain Time)","value":"07:22:38"},{"id":151,"name":"Denver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4017 --day 2017-03-24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654</v>
      </c>
      <c r="B25" s="7">
        <v>4003</v>
      </c>
      <c r="C25" s="21" t="s">
        <v>219</v>
      </c>
      <c r="D25" s="21" t="s">
        <v>846</v>
      </c>
      <c r="E25" s="13">
        <v>42818.239398148151</v>
      </c>
      <c r="F25" s="13">
        <v>42818.250324074077</v>
      </c>
      <c r="G25" s="7">
        <v>1</v>
      </c>
      <c r="H25" s="21" t="s">
        <v>847</v>
      </c>
      <c r="I25" s="13">
        <v>42818.284178240741</v>
      </c>
      <c r="J25" s="7">
        <v>0</v>
      </c>
      <c r="K25" s="98" t="str">
        <f t="shared" si="0"/>
        <v>4003/4004</v>
      </c>
      <c r="L25" s="21" t="str">
        <f>VLOOKUP(A25,'Trips&amp;Operators'!$C$1:$G$99999,5,FALSE)</f>
        <v>YANAI IAN</v>
      </c>
      <c r="M25" s="6">
        <f t="shared" si="1"/>
        <v>3.3854166664241347E-2</v>
      </c>
      <c r="N25" s="7">
        <f t="shared" si="20"/>
        <v>48.74999999650754</v>
      </c>
      <c r="O25" s="7"/>
      <c r="P25" s="7"/>
      <c r="Q25" s="22"/>
      <c r="R25" s="22"/>
      <c r="S25" s="31">
        <f t="shared" si="21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-24T04:44:44-0600',mode:absolute,to:'2017-03-24T07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" s="187" t="str">
        <f t="shared" si="5"/>
        <v>N</v>
      </c>
      <c r="X25" s="187">
        <f t="shared" ref="X25:X88" si="22">VALUE(LEFT(AD25,4))-VALUE(LEFT(AD24,4))</f>
        <v>3</v>
      </c>
      <c r="Y25" s="62">
        <f t="shared" si="6"/>
        <v>0.14860000000000001</v>
      </c>
      <c r="Z25" s="62">
        <f t="shared" si="7"/>
        <v>23.328199999999999</v>
      </c>
      <c r="AA25" s="62">
        <f t="shared" si="8"/>
        <v>23.179600000000001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0119-24</v>
      </c>
      <c r="AE25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25" s="82" t="str">
        <f t="shared" si="11"/>
        <v>"C:\Program Files (x86)\AstroGrep\AstroGrep.exe" /e /r /s /spath="%USERPROFILE%\AppData\Local\Temp\OnboardLogs" /stypes="app*4003*20170324*"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6"/>
        <v>"%USERPROFILE%\Documents\GitHub\eaglep3\Utilities\RefineRTDCRunTimes.py" --tripid 119-24 --locoid 4003 --swversion DE.1.0.9.0 --startMP 204:1486 --initTime 2017-03-24T05:44:44 --startdatetime 2017-03-24T06:00:28 --delay 1 --endMP 204:233282 --enddatetime 2017-03-24T06:49:13 --enforcementcount 0 &gt;&gt;C:\Users\stu\Documents\GitHub\eaglep3-reporting\EC\2017-03-24-refined-times.txt</v>
      </c>
      <c r="AI2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{"issue":{"subject":"","project_id":79,"tracker_id":40,"status_id":1,"priority_id":2,"assigned_to_id":23,"start_date":"2017-03-24","description":"","custom_fields":[{"id":1,"name":"Subdivision","value":"EC"},{"id":4,"name":"Milepost","value":"23.3282"},{"id":17,"name":"Train ID","value":"119-24"},{"id":16,"name":"Locomotive ID","value":"4003"},{"id":130,"name":"Impact","value":""},{"id":150,"name":"Time of Event (Mountain Time)","value":"06:49:13"},{"id":151,"name":"Denver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4003 --day 2017-03-24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664</v>
      </c>
      <c r="B26" s="7">
        <v>4032</v>
      </c>
      <c r="C26" s="21" t="s">
        <v>219</v>
      </c>
      <c r="D26" s="21" t="s">
        <v>848</v>
      </c>
      <c r="E26" s="13">
        <v>42818.278761574074</v>
      </c>
      <c r="F26" s="13">
        <v>42818.289027777777</v>
      </c>
      <c r="G26" s="7">
        <v>1</v>
      </c>
      <c r="H26" s="21" t="s">
        <v>184</v>
      </c>
      <c r="I26" s="13">
        <v>42818.328576388885</v>
      </c>
      <c r="J26" s="7">
        <v>0</v>
      </c>
      <c r="K26" s="98" t="str">
        <f t="shared" si="0"/>
        <v>4031/4032</v>
      </c>
      <c r="L26" s="21" t="str">
        <f>VLOOKUP(A26,'Trips&amp;Operators'!$C$1:$G$99999,5,FALSE)</f>
        <v>DAVIS WENDY</v>
      </c>
      <c r="M26" s="6">
        <f t="shared" si="1"/>
        <v>3.9548611108330078E-2</v>
      </c>
      <c r="N26" s="7">
        <f t="shared" si="20"/>
        <v>56.949999995995313</v>
      </c>
      <c r="O26" s="7"/>
      <c r="P26" s="7"/>
      <c r="Q26" s="22"/>
      <c r="R26" s="22"/>
      <c r="S26" s="31">
        <f t="shared" si="21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-24T05:41:25-0600',mode:absolute,to:'2017-03-24T08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6" s="187" t="str">
        <f t="shared" si="5"/>
        <v>N</v>
      </c>
      <c r="X26" s="187">
        <f t="shared" si="22"/>
        <v>1</v>
      </c>
      <c r="Y26" s="62">
        <f t="shared" si="6"/>
        <v>23.2666</v>
      </c>
      <c r="Z26" s="62">
        <f t="shared" si="7"/>
        <v>1.49E-2</v>
      </c>
      <c r="AA26" s="62">
        <f t="shared" si="8"/>
        <v>23.2517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0120-24</v>
      </c>
      <c r="AE26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26" s="82" t="str">
        <f t="shared" si="11"/>
        <v>"C:\Program Files (x86)\AstroGrep\AstroGrep.exe" /e /r /s /spath="%USERPROFILE%\AppData\Local\Temp\OnboardLogs" /stypes="app*4032*20170324*" /stext=" 13:.+((SYSTEM_STATE.+slice.+state.+changed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6"/>
        <v>"%USERPROFILE%\Documents\GitHub\eaglep3\Utilities\RefineRTDCRunTimes.py" --tripid 120-24 --locoid 4032 --swversion DE.1.0.9.0 --startMP 204:232666 --initTime 2017-03-24T06:41:25 --startdatetime 2017-03-24T06:56:12 --delay 1 --endMP 204:149 --enddatetime 2017-03-24T07:53:09 --enforcementcount 0 &gt;&gt;C:\Users\stu\Documents\GitHub\eaglep3-reporting\EC\2017-03-24-refined-times.txt</v>
      </c>
      <c r="AI2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ID","value":"120-24"},{"id":16,"name":"Locomotive ID","value":"4032"},{"id":130,"name":"Impact","value":""},{"id":150,"name":"Time of Event (Mountain Time)","value":"07:53:09"},{"id":151,"name":"Denver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4032 --day 2017-03-24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662</v>
      </c>
      <c r="B27" s="7">
        <v>4016</v>
      </c>
      <c r="C27" s="21" t="s">
        <v>219</v>
      </c>
      <c r="D27" s="21" t="s">
        <v>849</v>
      </c>
      <c r="E27" s="13">
        <v>42818.270624999997</v>
      </c>
      <c r="F27" s="13">
        <v>42818.272268518522</v>
      </c>
      <c r="G27" s="7">
        <v>1</v>
      </c>
      <c r="H27" s="21" t="s">
        <v>850</v>
      </c>
      <c r="I27" s="13">
        <v>42818.305023148147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ROBINSON KADDIBA</v>
      </c>
      <c r="M27" s="6">
        <f t="shared" si="1"/>
        <v>3.2754629624832887E-2</v>
      </c>
      <c r="N27" s="7">
        <f t="shared" si="20"/>
        <v>47.166666659759358</v>
      </c>
      <c r="O27" s="7"/>
      <c r="P27" s="7"/>
      <c r="Q27" s="22"/>
      <c r="R27" s="22"/>
      <c r="S27" s="31">
        <f t="shared" si="21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-24T05:29:42-0600',mode:absolute,to:'2017-03-24T08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7" t="str">
        <f t="shared" si="5"/>
        <v>N</v>
      </c>
      <c r="X27" s="187">
        <f t="shared" si="22"/>
        <v>3</v>
      </c>
      <c r="Y27" s="62">
        <f t="shared" si="6"/>
        <v>7.7399999999999997E-2</v>
      </c>
      <c r="Z27" s="62">
        <f t="shared" si="7"/>
        <v>23.335899999999999</v>
      </c>
      <c r="AA27" s="62">
        <f t="shared" si="8"/>
        <v>23.258499999999998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0123-24</v>
      </c>
      <c r="AE27" s="85" t="str">
        <f t="shared" si="10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27" s="82" t="str">
        <f t="shared" si="11"/>
        <v>"C:\Program Files (x86)\AstroGrep\AstroGrep.exe" /e /r /s /spath="%USERPROFILE%\AppData\Local\Temp\OnboardLogs" /stypes="app*4016*20170324*" /stext=" 13:.+((SYSTEM_STATE.+slice.+state.+changed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6"/>
        <v>"%USERPROFILE%\Documents\GitHub\eaglep3\Utilities\RefineRTDCRunTimes.py" --tripid 123-24 --locoid 4016 --swversion DE.1.0.9.0 --startMP 204:774 --initTime 2017-03-24T06:29:42 --startdatetime 2017-03-24T06:32:04 --delay 1 --endMP 204:233359 --enddatetime 2017-03-24T07:19:14 --enforcementcount 0 &gt;&gt;C:\Users\stu\Documents\GitHub\eaglep3-reporting\EC\2017-03-24-refined-times.txt</v>
      </c>
      <c r="AI2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{"issue":{"subject":"","project_id":79,"tracker_id":40,"status_id":1,"priority_id":2,"assigned_to_id":23,"start_date":"2017-03-24","description":"","custom_fields":[{"id":1,"name":"Subdivision","value":"EC"},{"id":4,"name":"Milepost","value":"23.3359"},{"id":17,"name":"Train ID","value":"123-24"},{"id":16,"name":"Locomotive ID","value":"4016"},{"id":130,"name":"Impact","value":""},{"id":150,"name":"Time of Event (Mountain Time)","value":"07:19:14"},{"id":151,"name":"Denver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4016 --day 2017-03-24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"%USERPROFILE%\AppData\Local\Temp\OnboardLogs"\RTDC4016\*4016*20170324* | grep -SE "(Enforcement Action)|(\[TIMEOUT)|(CHR.+\|PRM\|1\|D.+(SWITCH|SIGNAL).+UNKNOWN)" - &gt;&gt; 2017-03-24-UncaughtWiMAX.txt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670</v>
      </c>
      <c r="B28" s="7">
        <v>4039</v>
      </c>
      <c r="C28" s="21" t="s">
        <v>219</v>
      </c>
      <c r="D28" s="21" t="s">
        <v>851</v>
      </c>
      <c r="E28" s="13">
        <v>42818.300358796296</v>
      </c>
      <c r="F28" s="13">
        <v>42818.310127314813</v>
      </c>
      <c r="G28" s="7">
        <v>1</v>
      </c>
      <c r="H28" s="21" t="s">
        <v>456</v>
      </c>
      <c r="I28" s="13">
        <v>42818.347060185188</v>
      </c>
      <c r="J28" s="7">
        <v>0</v>
      </c>
      <c r="K28" s="98" t="str">
        <f t="shared" si="0"/>
        <v>4039/4040</v>
      </c>
      <c r="L28" s="21" t="str">
        <f>VLOOKUP(A28,'Trips&amp;Operators'!$C$1:$G$99999,5,FALSE)</f>
        <v>COOLAHAN JOHN</v>
      </c>
      <c r="M28" s="6">
        <f t="shared" si="1"/>
        <v>3.6932870374585036E-2</v>
      </c>
      <c r="N28" s="7">
        <f t="shared" si="20"/>
        <v>53.183333339402452</v>
      </c>
      <c r="O28" s="7"/>
      <c r="P28" s="7"/>
      <c r="Q28" s="22"/>
      <c r="R28" s="22"/>
      <c r="S28" s="31">
        <f t="shared" si="21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-24T06:12:31-0600',mode:absolute,to:'2017-03-24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87" t="str">
        <f t="shared" si="5"/>
        <v>N</v>
      </c>
      <c r="X28" s="187">
        <f t="shared" si="22"/>
        <v>1</v>
      </c>
      <c r="Y28" s="62">
        <f t="shared" si="6"/>
        <v>23.264399999999998</v>
      </c>
      <c r="Z28" s="62">
        <f t="shared" si="7"/>
        <v>1.61E-2</v>
      </c>
      <c r="AA28" s="62">
        <f t="shared" si="8"/>
        <v>23.248299999999997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0124-24</v>
      </c>
      <c r="AE28" s="85" t="str">
        <f t="shared" si="10"/>
        <v>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 &amp; 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</v>
      </c>
      <c r="AF28" s="82" t="str">
        <f t="shared" si="11"/>
        <v>"C:\Program Files (x86)\AstroGrep\AstroGrep.exe" /e /r /s /spath="%USERPROFILE%\AppData\Local\Temp\OnboardLogs" /stypes="app*4039*20170324*" /stext=" 14:.+((SYSTEM_STATE.+slice.+state.+changed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6"/>
        <v>"%USERPROFILE%\Documents\GitHub\eaglep3\Utilities\RefineRTDCRunTimes.py" --tripid 124-24 --locoid 4039 --swversion DE.1.0.9.0 --startMP 204:232644 --initTime 2017-03-24T07:12:31 --startdatetime 2017-03-24T07:26:35 --delay 1 --endMP 204:161 --enddatetime 2017-03-24T08:19:46 --enforcementcount 0 &gt;&gt;C:\Users\stu\Documents\GitHub\eaglep3-reporting\EC\2017-03-24-refined-times.txt</v>
      </c>
      <c r="AI2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{"issue":{"subject":"","project_id":79,"tracker_id":40,"status_id":1,"priority_id":2,"assigned_to_id":23,"start_date":"2017-03-24","description":"","custom_fields":[{"id":1,"name":"Subdivision","value":"EC"},{"id":4,"name":"Milepost","value":"0.0161"},{"id":17,"name":"Train ID","value":"124-24"},{"id":16,"name":"Locomotive ID","value":"4039"},{"id":130,"name":"Impact","value":""},{"id":150,"name":"Time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4039 --day 2017-03-24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"%USERPROFILE%\AppData\Local\Temp\OnboardLogs"\RTDC4039\*4039*20170324* | grep -SE "(Enforcement Action)|(\[TIMEOUT)|(CHR.+\|PRM\|1\|D.+(SWITCH|SIGNAL).+UNKNOWN)" - &gt;&gt; 2017-03-24-UncaughtWiMAX.txt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665</v>
      </c>
      <c r="B29" s="7">
        <v>4020</v>
      </c>
      <c r="C29" s="21" t="s">
        <v>219</v>
      </c>
      <c r="D29" s="21" t="s">
        <v>207</v>
      </c>
      <c r="E29" s="13">
        <v>42818.287870370368</v>
      </c>
      <c r="F29" s="13">
        <v>42818.291886574072</v>
      </c>
      <c r="G29" s="7">
        <v>1</v>
      </c>
      <c r="H29" s="21" t="s">
        <v>385</v>
      </c>
      <c r="I29" s="13">
        <v>42818.326516203706</v>
      </c>
      <c r="J29" s="7">
        <v>0</v>
      </c>
      <c r="K29" s="98" t="str">
        <f t="shared" si="0"/>
        <v>4019/4020</v>
      </c>
      <c r="L29" s="21" t="str">
        <f>VLOOKUP(A29,'Trips&amp;Operators'!$C$1:$G$99999,5,FALSE)</f>
        <v>STARKS ANGELINA</v>
      </c>
      <c r="M29" s="6">
        <f t="shared" si="1"/>
        <v>3.4629629633855075E-2</v>
      </c>
      <c r="N29" s="7">
        <f t="shared" si="20"/>
        <v>49.866666672751307</v>
      </c>
      <c r="O29" s="7"/>
      <c r="P29" s="7"/>
      <c r="Q29" s="22"/>
      <c r="R29" s="22"/>
      <c r="S29" s="31">
        <f t="shared" si="21"/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-24T05:54:32-0600',mode:absolute,to:'2017-03-24T08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87" t="str">
        <f t="shared" si="5"/>
        <v>N</v>
      </c>
      <c r="X29" s="187">
        <f t="shared" si="22"/>
        <v>3</v>
      </c>
      <c r="Y29" s="62">
        <f t="shared" si="6"/>
        <v>4.5100000000000001E-2</v>
      </c>
      <c r="Z29" s="62">
        <f t="shared" si="7"/>
        <v>23.3293</v>
      </c>
      <c r="AA29" s="62">
        <f t="shared" si="8"/>
        <v>23.284199999999998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0127-24</v>
      </c>
      <c r="AE29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29" s="82" t="str">
        <f t="shared" si="11"/>
        <v>"C:\Program Files (x86)\AstroGrep\AstroGrep.exe" /e /r /s /spath="%USERPROFILE%\AppData\Local\Temp\OnboardLogs" /stypes="app*4020*20170324*" /stext=" 13:.+((SYSTEM_STATE.+slice.+state.+changed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6"/>
        <v>"%USERPROFILE%\Documents\GitHub\eaglep3\Utilities\RefineRTDCRunTimes.py" --tripid 127-24 --locoid 4020 --swversion DE.1.0.9.0 --startMP 204:451 --initTime 2017-03-24T06:54:32 --startdatetime 2017-03-24T07:00:19 --delay 1 --endMP 204:233293 --enddatetime 2017-03-24T07:50:11 --enforcementcount 0 &gt;&gt;C:\Users\stu\Documents\GitHub\eaglep3-reporting\EC\2017-03-24-refined-times.txt</v>
      </c>
      <c r="AI2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{"issue":{"subject":"","project_id":79,"tracker_id":40,"status_id":1,"priority_id":2,"assigned_to_id":23,"start_date":"2017-03-24","description":"","custom_fields":[{"id":1,"name":"Subdivision","value":"EC"},{"id":4,"name":"Milepost","value":"23.3293"},{"id":17,"name":"Train ID","value":"127-24"},{"id":16,"name":"Locomotive ID","value":"4020"},{"id":130,"name":"Impact","value":""},{"id":150,"name":"Time of Event (Mountain Time)","value":"07:50:11"},{"id":151,"name":"Denver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4020 --day 2017-03-24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606</v>
      </c>
      <c r="B30" s="7">
        <v>4012</v>
      </c>
      <c r="C30" s="21" t="s">
        <v>219</v>
      </c>
      <c r="D30" s="21" t="s">
        <v>852</v>
      </c>
      <c r="E30" s="13">
        <v>42818.316550925927</v>
      </c>
      <c r="F30" s="13">
        <v>42818.330925925926</v>
      </c>
      <c r="G30" s="7">
        <v>5</v>
      </c>
      <c r="H30" s="21" t="s">
        <v>519</v>
      </c>
      <c r="I30" s="13">
        <v>42818.366643518515</v>
      </c>
      <c r="J30" s="7">
        <v>0</v>
      </c>
      <c r="K30" s="98" t="str">
        <f t="shared" si="0"/>
        <v>4011/4012</v>
      </c>
      <c r="L30" s="21" t="str">
        <f>VLOOKUP(A30,'Trips&amp;Operators'!$C$1:$G$99999,5,FALSE)</f>
        <v>LOZA FIDEL</v>
      </c>
      <c r="M30" s="6">
        <f t="shared" si="1"/>
        <v>3.5717592589207925E-2</v>
      </c>
      <c r="N30" s="7">
        <f t="shared" si="20"/>
        <v>51.433333328459412</v>
      </c>
      <c r="O30" s="7"/>
      <c r="P30" s="7"/>
      <c r="Q30" s="22"/>
      <c r="R30" s="22"/>
      <c r="S30" s="31">
        <f t="shared" si="21"/>
        <v>1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-24T06:35:50-0600',mode:absolute,to:'2017-03-24T09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187" t="str">
        <f t="shared" si="5"/>
        <v>N</v>
      </c>
      <c r="X30" s="187">
        <f t="shared" si="22"/>
        <v>1</v>
      </c>
      <c r="Y30" s="62">
        <f t="shared" si="6"/>
        <v>23.276199999999999</v>
      </c>
      <c r="Z30" s="62">
        <f t="shared" si="7"/>
        <v>1.3899999999999999E-2</v>
      </c>
      <c r="AA30" s="62">
        <f t="shared" si="8"/>
        <v>23.2623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9"/>
        <v>0128-24</v>
      </c>
      <c r="AE30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30" s="82" t="str">
        <f t="shared" si="11"/>
        <v>"C:\Program Files (x86)\AstroGrep\AstroGrep.exe" /e /r /s /spath="%USERPROFILE%\AppData\Local\Temp\OnboardLogs" /stypes="app*4012*20170324*" /stext=" 14:.+((SYSTEM_STATE.+slice.+state.+changed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6"/>
        <v>"%USERPROFILE%\Documents\GitHub\eaglep3\Utilities\RefineRTDCRunTimes.py" --tripid 128-24 --locoid 4012 --swversion DE.1.0.9.0 --startMP 204:232762 --initTime 2017-03-24T07:35:50 --startdatetime 2017-03-24T07:56:32 --delay 5 --endMP 204:139 --enddatetime 2017-03-24T08:47:58 --enforcementcount 0 &gt;&gt;C:\Users\stu\Documents\GitHub\eaglep3-reporting\EC\2017-03-24-refined-times.txt</v>
      </c>
      <c r="AI3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ID","value":"128-24"},{"id":16,"name":"Locomotive ID","value":"4012"},{"id":130,"name":"Impact","value":""},{"id":150,"name":"Time of Event (Mountain Time)","value":"08:47:58"},{"id":151,"name":"Denver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4012 --day 2017-03-24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4046</v>
      </c>
      <c r="C31" s="21" t="s">
        <v>219</v>
      </c>
      <c r="D31" s="21" t="s">
        <v>853</v>
      </c>
      <c r="E31" s="13">
        <v>42818.308854166666</v>
      </c>
      <c r="F31" s="13">
        <v>42818.312685185185</v>
      </c>
      <c r="G31" s="7">
        <v>1</v>
      </c>
      <c r="H31" s="21" t="s">
        <v>491</v>
      </c>
      <c r="I31" s="13">
        <v>42818.34679398148</v>
      </c>
      <c r="J31" s="7">
        <v>0</v>
      </c>
      <c r="K31" s="98" t="str">
        <f t="shared" si="0"/>
        <v>4045/4046</v>
      </c>
      <c r="L31" s="21" t="str">
        <f>VLOOKUP(A31,'Trips&amp;Operators'!$C$1:$G$99999,5,FALSE)</f>
        <v>BONDS REYNALDO</v>
      </c>
      <c r="M31" s="6">
        <f t="shared" si="1"/>
        <v>3.4108796295186039E-2</v>
      </c>
      <c r="N31" s="7">
        <f t="shared" si="20"/>
        <v>49.116666665067896</v>
      </c>
      <c r="O31" s="7"/>
      <c r="P31" s="7"/>
      <c r="Q31" s="22"/>
      <c r="R31" s="22"/>
      <c r="S31" s="31">
        <f t="shared" si="21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-24T06:24:45-0600',mode:absolute,to:'2017-03-24T09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87" t="str">
        <f t="shared" si="5"/>
        <v>N</v>
      </c>
      <c r="X31" s="187">
        <f t="shared" si="22"/>
        <v>3</v>
      </c>
      <c r="Y31" s="62">
        <f t="shared" si="6"/>
        <v>7.5200000000000003E-2</v>
      </c>
      <c r="Z31" s="62">
        <f t="shared" si="7"/>
        <v>23.328900000000001</v>
      </c>
      <c r="AA31" s="62">
        <f t="shared" si="8"/>
        <v>23.253700000000002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0131-24</v>
      </c>
      <c r="AE31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31" s="82" t="str">
        <f t="shared" si="11"/>
        <v>"C:\Program Files (x86)\AstroGrep\AstroGrep.exe" /e /r /s /spath="%USERPROFILE%\AppData\Local\Temp\OnboardLogs" /stypes="app*4046*20170324*" /stext=" 14:.+((SYSTEM_STATE.+slice.+state.+changed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6"/>
        <v>"%USERPROFILE%\Documents\GitHub\eaglep3\Utilities\RefineRTDCRunTimes.py" --tripid 131-24 --locoid 4046 --swversion DE.1.0.9.0 --startMP 204:752 --initTime 2017-03-24T07:24:45 --startdatetime 2017-03-24T07:30:16 --delay 1 --endMP 204:233289 --enddatetime 2017-03-24T08:19:23 --enforcementcount 0 &gt;&gt;C:\Users\stu\Documents\GitHub\eaglep3-reporting\EC\2017-03-24-refined-times.txt</v>
      </c>
      <c r="AI3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ID","value":"131-24"},{"id":16,"name":"Locomotive ID","value":"4046"},{"id":130,"name":"Impact","value":""},{"id":150,"name":"Time of Event (Mountain Time)","value":"08:19:23"},{"id":151,"name":"Denver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4046 --day 2017-03-24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679</v>
      </c>
      <c r="B32" s="7">
        <v>4019</v>
      </c>
      <c r="C32" s="21" t="s">
        <v>219</v>
      </c>
      <c r="D32" s="21" t="s">
        <v>854</v>
      </c>
      <c r="E32" s="13">
        <v>42818.356990740744</v>
      </c>
      <c r="F32" s="13">
        <v>42818.359756944446</v>
      </c>
      <c r="G32" s="7">
        <v>1</v>
      </c>
      <c r="H32" s="21" t="s">
        <v>200</v>
      </c>
      <c r="I32" s="13">
        <v>42818.385578703703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STARKS ANGELINA</v>
      </c>
      <c r="M32" s="6">
        <f t="shared" si="1"/>
        <v>2.5821759256359655E-2</v>
      </c>
      <c r="N32" s="7"/>
      <c r="O32" s="7"/>
      <c r="P32" s="7">
        <f>24*60*SUM($M32:$M32)</f>
        <v>37.183333329157904</v>
      </c>
      <c r="Q32" s="22"/>
      <c r="R32" s="22" t="s">
        <v>463</v>
      </c>
      <c r="S32" s="31">
        <f t="shared" si="21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-24T07:34:04-0600',mode:absolute,to:'2017-03-24T10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5"/>
        <v>Y</v>
      </c>
      <c r="X32" s="187">
        <f t="shared" si="22"/>
        <v>1</v>
      </c>
      <c r="Y32" s="62">
        <f t="shared" si="6"/>
        <v>19.336400000000001</v>
      </c>
      <c r="Z32" s="62">
        <f t="shared" si="7"/>
        <v>1.5800000000000002E-2</v>
      </c>
      <c r="AA32" s="62">
        <f t="shared" si="8"/>
        <v>19.320600000000002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0132-24</v>
      </c>
      <c r="AE32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32" s="82" t="str">
        <f t="shared" si="11"/>
        <v>"C:\Program Files (x86)\AstroGrep\AstroGrep.exe" /e /r /s /spath="%USERPROFILE%\AppData\Local\Temp\OnboardLogs" /stypes="app*4019*20170324*" /stext=" 15:.+((SYSTEM_STATE.+slice.+state.+changed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6"/>
        <v>"%USERPROFILE%\Documents\GitHub\eaglep3\Utilities\RefineRTDCRunTimes.py" --tripid 132-24 --locoid 4019 --swversion DE.1.0.9.0 --startMP 204:193364 --initTime 2017-03-24T08:34:04 --startdatetime 2017-03-24T08:38:03 --delay 1 --endMP 204:158 --enddatetime 2017-03-24T09:15:14 --enforcementcount 0 &gt;&gt;C:\Users\stu\Documents\GitHub\eaglep3-reporting\EC\2017-03-24-refined-times.txt</v>
      </c>
      <c r="AI32" s="108" t="str">
        <f t="shared" si="17"/>
        <v>echo {"issue":{"subject":"Onboard in-route failure","project_id":79,"tracker_id":40,"status_id":1,"priority_id":2,"assigned_to_id":23,"start_date":"2017-03-24","description":"","custom_fields":[{"id":1,"name":"Subdivision","value":"EC"},{"id":4,"name":"Milepost","value":"0.0158"},{"id":17,"name":"Train ID","value":"132-24"},{"id":16,"name":"Locomotive ID","value":"4019"},{"id":130,"name":"Impact","value":""},{"id":150,"name":"Time of Event (Mountain Time)","value":"09:15:14"},{"id":151,"name":"Denver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4019 --day 2017-03-24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679</v>
      </c>
      <c r="B33" s="7">
        <v>4019</v>
      </c>
      <c r="C33" s="21" t="s">
        <v>219</v>
      </c>
      <c r="D33" s="21" t="s">
        <v>516</v>
      </c>
      <c r="E33" s="13">
        <v>42818.341539351852</v>
      </c>
      <c r="F33" s="13">
        <v>42818.359756944446</v>
      </c>
      <c r="G33" s="7">
        <v>1</v>
      </c>
      <c r="H33" s="21" t="s">
        <v>200</v>
      </c>
      <c r="I33" s="13">
        <v>42818.385578703703</v>
      </c>
      <c r="J33" s="7">
        <v>0</v>
      </c>
      <c r="K33" s="98" t="str">
        <f t="shared" si="0"/>
        <v>4019/4020</v>
      </c>
      <c r="L33" s="21" t="str">
        <f>VLOOKUP(A33,'Trips&amp;Operators'!$C$1:$G$99999,5,FALSE)</f>
        <v>STARKS ANGELINA</v>
      </c>
      <c r="M33" s="6">
        <f t="shared" si="1"/>
        <v>2.5821759256359655E-2</v>
      </c>
      <c r="N33" s="7"/>
      <c r="O33" s="7"/>
      <c r="P33" s="7"/>
      <c r="Q33" s="22"/>
      <c r="R33" s="22"/>
      <c r="S33" s="31">
        <f t="shared" si="21"/>
        <v>1</v>
      </c>
      <c r="T33" s="46" t="str">
        <f t="shared" si="3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-24T07:11:49-0600',mode:absolute,to:'2017-03-24T10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3" s="187" t="str">
        <f t="shared" si="5"/>
        <v>N</v>
      </c>
      <c r="X33" s="187">
        <f t="shared" si="22"/>
        <v>0</v>
      </c>
      <c r="Y33" s="62">
        <f t="shared" si="6"/>
        <v>23.298200000000001</v>
      </c>
      <c r="Z33" s="62">
        <f t="shared" si="7"/>
        <v>1.5800000000000002E-2</v>
      </c>
      <c r="AA33" s="62">
        <f t="shared" si="8"/>
        <v>23.282400000000003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0132-24</v>
      </c>
      <c r="AE33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33" s="82" t="str">
        <f t="shared" si="11"/>
        <v>"C:\Program Files (x86)\AstroGrep\AstroGrep.exe" /e /r /s /spath="%USERPROFILE%\AppData\Local\Temp\OnboardLogs" /stypes="app*4019*20170324*" /stext=" 15:.+((SYSTEM_STATE.+slice.+state.+changed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6"/>
        <v>"%USERPROFILE%\Documents\GitHub\eaglep3\Utilities\RefineRTDCRunTimes.py" --tripid 132-24 --locoid 4019 --swversion DE.1.0.9.0 --startMP 204:232982 --initTime 2017-03-24T08:11:49 --startdatetime 2017-03-24T08:38:03 --delay 1 --endMP 204:158 --enddatetime 2017-03-24T09:15:14 --enforcementcount 0 &gt;&gt;C:\Users\stu\Documents\GitHub\eaglep3-reporting\EC\2017-03-24-refined-times.txt</v>
      </c>
      <c r="AI3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ID","value":"132-24"},{"id":16,"name":"Locomotive ID","value":"4019"},{"id":130,"name":"Impact","value":""},{"id":150,"name":"Time of Event (Mountain Time)","value":"09:15:14"},{"id":151,"name":"Denver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4019 --day 2017-03-24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676</v>
      </c>
      <c r="B34" s="7">
        <v>4027</v>
      </c>
      <c r="C34" s="21" t="s">
        <v>219</v>
      </c>
      <c r="D34" s="21" t="s">
        <v>855</v>
      </c>
      <c r="E34" s="13">
        <v>42818.329039351855</v>
      </c>
      <c r="F34" s="13">
        <v>42818.333564814813</v>
      </c>
      <c r="G34" s="7">
        <v>1</v>
      </c>
      <c r="H34" s="21" t="s">
        <v>574</v>
      </c>
      <c r="I34" s="13">
        <v>42818.362986111111</v>
      </c>
      <c r="J34" s="7">
        <v>0</v>
      </c>
      <c r="K34" s="98" t="str">
        <f t="shared" si="0"/>
        <v>4027/4028</v>
      </c>
      <c r="L34" s="21" t="str">
        <f>VLOOKUP(A34,'Trips&amp;Operators'!$C$1:$G$99999,5,FALSE)</f>
        <v>ROCHA YAOTL</v>
      </c>
      <c r="M34" s="6">
        <f t="shared" si="1"/>
        <v>2.9421296298096422E-2</v>
      </c>
      <c r="N34" s="7">
        <f t="shared" ref="N34:N49" si="23">24*60*SUM($M34:$M34)</f>
        <v>42.366666669258848</v>
      </c>
      <c r="O34" s="7"/>
      <c r="P34" s="7"/>
      <c r="Q34" s="22"/>
      <c r="R34" s="22"/>
      <c r="S34" s="31">
        <f t="shared" si="21"/>
        <v>1</v>
      </c>
      <c r="T34" s="46" t="str">
        <f t="shared" si="3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-24T06:53:49-0600',mode:absolute,to:'2017-03-24T09:42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87" t="str">
        <f t="shared" si="5"/>
        <v>N</v>
      </c>
      <c r="X34" s="187">
        <f t="shared" si="22"/>
        <v>3</v>
      </c>
      <c r="Y34" s="62">
        <f t="shared" si="6"/>
        <v>8.0100000000000005E-2</v>
      </c>
      <c r="Z34" s="62">
        <f t="shared" si="7"/>
        <v>23.330500000000001</v>
      </c>
      <c r="AA34" s="62">
        <f t="shared" si="8"/>
        <v>23.250399999999999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0135-24</v>
      </c>
      <c r="AE34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34" s="82" t="str">
        <f t="shared" si="11"/>
        <v>"C:\Program Files (x86)\AstroGrep\AstroGrep.exe" /e /r /s /spath="%USERPROFILE%\AppData\Local\Temp\OnboardLogs" /stypes="app*4027*20170324*" /stext=" 14:.+((SYSTEM_STATE.+slice.+state.+changed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6"/>
        <v>"%USERPROFILE%\Documents\GitHub\eaglep3\Utilities\RefineRTDCRunTimes.py" --tripid 135-24 --locoid 4027 --swversion DE.1.0.9.0 --startMP 204:801 --initTime 2017-03-24T07:53:49 --startdatetime 2017-03-24T08:00:20 --delay 1 --endMP 204:233305 --enddatetime 2017-03-24T08:42:42 --enforcementcount 0 &gt;&gt;C:\Users\stu\Documents\GitHub\eaglep3-reporting\EC\2017-03-24-refined-times.txt</v>
      </c>
      <c r="AI3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ID","value":"135-24"},{"id":16,"name":"Locomotive ID","value":"4027"},{"id":130,"name":"Impact","value":""},{"id":150,"name":"Time of Event (Mountain Time)","value":"08:42:42"},{"id":151,"name":"Denver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4027 --day 2017-03-24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684</v>
      </c>
      <c r="B35" s="7">
        <v>4045</v>
      </c>
      <c r="C35" s="21" t="s">
        <v>219</v>
      </c>
      <c r="D35" s="21" t="s">
        <v>477</v>
      </c>
      <c r="E35" s="13">
        <v>42818.365023148152</v>
      </c>
      <c r="F35" s="13">
        <v>42818.372407407405</v>
      </c>
      <c r="G35" s="7">
        <v>1</v>
      </c>
      <c r="H35" s="21" t="s">
        <v>562</v>
      </c>
      <c r="I35" s="13">
        <v>42818.402673611112</v>
      </c>
      <c r="J35" s="7">
        <v>0</v>
      </c>
      <c r="K35" s="98" t="str">
        <f t="shared" si="0"/>
        <v>4045/4046</v>
      </c>
      <c r="L35" s="21" t="str">
        <f>VLOOKUP(A35,'Trips&amp;Operators'!$C$1:$G$99999,5,FALSE)</f>
        <v>BONDS REYNALDO</v>
      </c>
      <c r="M35" s="6">
        <f t="shared" si="1"/>
        <v>3.0266203706560191E-2</v>
      </c>
      <c r="N35" s="7">
        <f t="shared" si="23"/>
        <v>43.583333337446675</v>
      </c>
      <c r="O35" s="7"/>
      <c r="P35" s="7"/>
      <c r="Q35" s="22"/>
      <c r="R35" s="22"/>
      <c r="S35" s="31">
        <f t="shared" si="21"/>
        <v>1</v>
      </c>
      <c r="T35" s="46" t="str">
        <f t="shared" si="3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-24T07:45:38-0600',mode:absolute,to:'2017-03-24T10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5" s="187" t="str">
        <f t="shared" si="5"/>
        <v>N</v>
      </c>
      <c r="X35" s="187">
        <f t="shared" si="22"/>
        <v>1</v>
      </c>
      <c r="Y35" s="62">
        <f t="shared" si="6"/>
        <v>23.297899999999998</v>
      </c>
      <c r="Z35" s="62">
        <f t="shared" si="7"/>
        <v>1.41E-2</v>
      </c>
      <c r="AA35" s="62">
        <f t="shared" si="8"/>
        <v>23.283799999999999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0136-24</v>
      </c>
      <c r="AE35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35" s="82" t="str">
        <f t="shared" si="11"/>
        <v>"C:\Program Files (x86)\AstroGrep\AstroGrep.exe" /e /r /s /spath="%USERPROFILE%\AppData\Local\Temp\OnboardLogs" /stypes="app*4045*20170324*" /stext=" 15:.+((SYSTEM_STATE.+slice.+state.+changed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6"/>
        <v>"%USERPROFILE%\Documents\GitHub\eaglep3\Utilities\RefineRTDCRunTimes.py" --tripid 136-24 --locoid 4045 --swversion DE.1.0.9.0 --startMP 204:232979 --initTime 2017-03-24T08:45:38 --startdatetime 2017-03-24T08:56:16 --delay 1 --endMP 204:141 --enddatetime 2017-03-24T09:39:51 --enforcementcount 0 &gt;&gt;C:\Users\stu\Documents\GitHub\eaglep3-reporting\EC\2017-03-24-refined-times.txt</v>
      </c>
      <c r="AI3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{"issue":{"subject":"","project_id":79,"tracker_id":40,"status_id":1,"priority_id":2,"assigned_to_id":23,"start_date":"2017-03-24","description":"","custom_fields":[{"id":1,"name":"Subdivision","value":"EC"},{"id":4,"name":"Milepost","value":"0.0141"},{"id":17,"name":"Train ID","value":"136-24"},{"id":16,"name":"Locomotive ID","value":"4045"},{"id":130,"name":"Impact","value":""},{"id":150,"name":"Time of Event (Mountain Time)","value":"09:39:51"},{"id":151,"name":"Denver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4045 --day 2017-03-24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680</v>
      </c>
      <c r="B36" s="7">
        <v>4003</v>
      </c>
      <c r="C36" s="21" t="s">
        <v>219</v>
      </c>
      <c r="D36" s="21" t="s">
        <v>856</v>
      </c>
      <c r="E36" s="13">
        <v>42818.349039351851</v>
      </c>
      <c r="F36" s="13">
        <v>42818.354328703703</v>
      </c>
      <c r="G36" s="7">
        <v>1</v>
      </c>
      <c r="H36" s="21" t="s">
        <v>857</v>
      </c>
      <c r="I36" s="13">
        <v>42818.382118055553</v>
      </c>
      <c r="J36" s="7">
        <v>0</v>
      </c>
      <c r="K36" s="98" t="str">
        <f t="shared" si="0"/>
        <v>4003/4004</v>
      </c>
      <c r="L36" s="21" t="str">
        <f>VLOOKUP(A36,'Trips&amp;Operators'!$C$1:$G$99999,5,FALSE)</f>
        <v>YANAI IAN</v>
      </c>
      <c r="M36" s="6">
        <f t="shared" si="1"/>
        <v>2.7789351850515231E-2</v>
      </c>
      <c r="N36" s="7">
        <f t="shared" si="23"/>
        <v>40.016666664741933</v>
      </c>
      <c r="O36" s="7"/>
      <c r="P36" s="7"/>
      <c r="Q36" s="22"/>
      <c r="R36" s="22"/>
      <c r="S36" s="31">
        <f t="shared" si="21"/>
        <v>1</v>
      </c>
      <c r="T36" s="46" t="str">
        <f t="shared" si="3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-24T07:22:37-0600',mode:absolute,to:'2017-03-24T10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87" t="str">
        <f t="shared" si="5"/>
        <v>N</v>
      </c>
      <c r="X36" s="187">
        <f t="shared" si="22"/>
        <v>3</v>
      </c>
      <c r="Y36" s="62">
        <f t="shared" si="6"/>
        <v>7.7200000000000005E-2</v>
      </c>
      <c r="Z36" s="62">
        <f t="shared" si="7"/>
        <v>23.330200000000001</v>
      </c>
      <c r="AA36" s="62">
        <f t="shared" si="8"/>
        <v>23.253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0139-24</v>
      </c>
      <c r="AE36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36" s="82" t="str">
        <f t="shared" si="11"/>
        <v>"C:\Program Files (x86)\AstroGrep\AstroGrep.exe" /e /r /s /spath="%USERPROFILE%\AppData\Local\Temp\OnboardLogs" /stypes="app*4003*20170324*" /stext=" 15:.+((SYSTEM_STATE.+slice.+state.+changed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6"/>
        <v>"%USERPROFILE%\Documents\GitHub\eaglep3\Utilities\RefineRTDCRunTimes.py" --tripid 139-24 --locoid 4003 --swversion DE.1.0.9.0 --startMP 204:772 --initTime 2017-03-24T08:22:37 --startdatetime 2017-03-24T08:30:14 --delay 1 --endMP 204:233302 --enddatetime 2017-03-24T09:10:15 --enforcementcount 0 &gt;&gt;C:\Users\stu\Documents\GitHub\eaglep3-reporting\EC\2017-03-24-refined-times.txt</v>
      </c>
      <c r="AI3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{"issue":{"subject":"","project_id":79,"tracker_id":40,"status_id":1,"priority_id":2,"assigned_to_id":23,"start_date":"2017-03-24","description":"","custom_fields":[{"id":1,"name":"Subdivision","value":"EC"},{"id":4,"name":"Milepost","value":"23.3302"},{"id":17,"name":"Train ID","value":"139-24"},{"id":16,"name":"Locomotive ID","value":"4003"},{"id":130,"name":"Impact","value":""},{"id":150,"name":"Time of Event (Mountain Time)","value":"09:10:15"},{"id":151,"name":"Denver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4003 --day 2017-03-24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686</v>
      </c>
      <c r="B37" s="7">
        <v>4032</v>
      </c>
      <c r="C37" s="21" t="s">
        <v>219</v>
      </c>
      <c r="D37" s="21" t="s">
        <v>845</v>
      </c>
      <c r="E37" s="13">
        <v>42818.387592592589</v>
      </c>
      <c r="F37" s="13">
        <v>42818.393240740741</v>
      </c>
      <c r="G37" s="7">
        <v>1</v>
      </c>
      <c r="H37" s="21">
        <v>8.5326388888888882</v>
      </c>
      <c r="I37" s="13">
        <v>42818.421770833331</v>
      </c>
      <c r="J37" s="7">
        <v>0</v>
      </c>
      <c r="K37" s="98" t="str">
        <f t="shared" si="0"/>
        <v>4031/4032</v>
      </c>
      <c r="L37" s="21" t="str">
        <f>VLOOKUP(A37,'Trips&amp;Operators'!$C$1:$G$99999,5,FALSE)</f>
        <v>DAVIS WENDY</v>
      </c>
      <c r="M37" s="6">
        <f t="shared" si="1"/>
        <v>2.8530092589790002E-2</v>
      </c>
      <c r="N37" s="7">
        <f t="shared" si="23"/>
        <v>41.083333329297602</v>
      </c>
      <c r="O37" s="7"/>
      <c r="P37" s="7"/>
      <c r="Q37" s="22"/>
      <c r="R37" s="22"/>
      <c r="S37" s="31">
        <f t="shared" si="21"/>
        <v>0</v>
      </c>
      <c r="T37" s="46" t="str">
        <f t="shared" si="3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-24T08:18:08-0600',mode:absolute,to:'2017-03-24T11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87" t="str">
        <f t="shared" si="5"/>
        <v>N</v>
      </c>
      <c r="X37" s="187">
        <f t="shared" si="22"/>
        <v>1</v>
      </c>
      <c r="Y37" s="62">
        <f t="shared" si="6"/>
        <v>23.264099999999999</v>
      </c>
      <c r="Z37" s="62">
        <f t="shared" si="7"/>
        <v>26388888.888900001</v>
      </c>
      <c r="AA37" s="62">
        <f t="shared" si="8"/>
        <v>26388865.6248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0140-24</v>
      </c>
      <c r="AE37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37" s="82" t="str">
        <f t="shared" si="11"/>
        <v>"C:\Program Files (x86)\AstroGrep\AstroGrep.exe" /e /r /s /spath="%USERPROFILE%\AppData\Local\Temp\OnboardLogs" /stypes="app*4032*20170324*" /stext=" 16:.+((SYSTEM_STATE.+slice.+state.+changed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6"/>
        <v>"%USERPROFILE%\Documents\GitHub\eaglep3\Utilities\RefineRTDCRunTimes.py" --tripid 140-24 --locoid 4032 --swversion DE.1.0.9.0 --startMP 204:232641 --initTime 2017-03-24T09:18:08 --startdatetime 2017-03-24T09:26:16 --delay 1 --endMP 8.53263888888889 --enddatetime 2017-03-24T10:07:21 --enforcementcount 0 &gt;&gt;C:\Users\stu\Documents\GitHub\eaglep3-reporting\EC\2017-03-24-refined-times.txt</v>
      </c>
      <c r="AI3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26388888.8889"},{"id":17,"name":"Train ID","value":"140-24"},{"id":16,"name":"Locomotive ID","value":"4032"},{"id":130,"name":"Impact","value":""},{"id":150,"name":"Time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4032 --day 2017-03-24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688</v>
      </c>
      <c r="B38" s="7">
        <v>4039</v>
      </c>
      <c r="C38" s="21" t="s">
        <v>219</v>
      </c>
      <c r="D38" s="21" t="s">
        <v>858</v>
      </c>
      <c r="E38" s="13">
        <v>42818.394641203704</v>
      </c>
      <c r="F38" s="13">
        <v>42818.403761574074</v>
      </c>
      <c r="G38" s="7">
        <v>1</v>
      </c>
      <c r="H38" s="21" t="s">
        <v>859</v>
      </c>
      <c r="I38" s="13">
        <v>42818.431840277779</v>
      </c>
      <c r="J38" s="7">
        <v>0</v>
      </c>
      <c r="K38" s="98" t="str">
        <f t="shared" si="0"/>
        <v>4039/4040</v>
      </c>
      <c r="L38" s="21" t="str">
        <f>VLOOKUP(A38,'Trips&amp;Operators'!$C$1:$G$99999,5,FALSE)</f>
        <v>COOLAHAN JOHN</v>
      </c>
      <c r="M38" s="6">
        <f t="shared" si="1"/>
        <v>2.8078703704522923E-2</v>
      </c>
      <c r="N38" s="7">
        <f t="shared" si="23"/>
        <v>40.433333334513009</v>
      </c>
      <c r="O38" s="7"/>
      <c r="P38" s="7"/>
      <c r="Q38" s="22"/>
      <c r="R38" s="22"/>
      <c r="S38" s="31">
        <f t="shared" si="21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-24T08:28:17-0600',mode:absolute,to:'2017-03-24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187" t="str">
        <f t="shared" si="5"/>
        <v>N</v>
      </c>
      <c r="X38" s="187">
        <f t="shared" si="22"/>
        <v>2</v>
      </c>
      <c r="Y38" s="62">
        <f t="shared" si="6"/>
        <v>23.265799999999999</v>
      </c>
      <c r="Z38" s="62">
        <f t="shared" si="7"/>
        <v>0.221</v>
      </c>
      <c r="AA38" s="62">
        <f t="shared" si="8"/>
        <v>23.044799999999999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0142-24</v>
      </c>
      <c r="AE38" s="85" t="str">
        <f t="shared" si="10"/>
        <v>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 &amp; 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</v>
      </c>
      <c r="AF38" s="82" t="str">
        <f t="shared" si="11"/>
        <v>"C:\Program Files (x86)\AstroGrep\AstroGrep.exe" /e /r /s /spath="%USERPROFILE%\AppData\Local\Temp\OnboardLogs" /stypes="app*4039*20170324*" /stext=" 16:.+((SYSTEM_STATE.+slice.+state.+changed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6"/>
        <v>"%USERPROFILE%\Documents\GitHub\eaglep3\Utilities\RefineRTDCRunTimes.py" --tripid 142-24 --locoid 4039 --swversion DE.1.0.9.0 --startMP 204:232658 --initTime 2017-03-24T09:28:17 --startdatetime 2017-03-24T09:41:25 --delay 1 --endMP 204:2210 --enddatetime 2017-03-24T10:21:51 --enforcementcount 0 &gt;&gt;C:\Users\stu\Documents\GitHub\eaglep3-reporting\EC\2017-03-24-refined-times.txt</v>
      </c>
      <c r="AI3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{"issue":{"subject":"","project_id":79,"tracker_id":40,"status_id":1,"priority_id":2,"assigned_to_id":23,"start_date":"2017-03-24","description":"","custom_fields":[{"id":1,"name":"Subdivision","value":"EC"},{"id":4,"name":"Milepost","value":"0.221"},{"id":17,"name":"Train ID","value":"142-24"},{"id":16,"name":"Locomotive ID","value":"4039"},{"id":130,"name":"Impact","value":""},{"id":150,"name":"Time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4039 --day 2017-03-24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"%USERPROFILE%\AppData\Local\Temp\OnboardLogs"\RTDC4039\*4039*20170324* | grep -SE "(Enforcement Action)|(\[TIMEOUT)|(CHR.+\|PRM\|1\|D.+(SWITCH|SIGNAL).+UNKNOWN)" - &gt;&gt; 2017-03-24-UncaughtWiMAX.txt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607</v>
      </c>
      <c r="B39" s="7">
        <v>4016</v>
      </c>
      <c r="C39" s="21" t="s">
        <v>219</v>
      </c>
      <c r="D39" s="21" t="s">
        <v>849</v>
      </c>
      <c r="E39" s="13">
        <v>42818.367372685185</v>
      </c>
      <c r="F39" s="13">
        <v>42818.375381944446</v>
      </c>
      <c r="G39" s="7">
        <v>2</v>
      </c>
      <c r="H39" s="21" t="s">
        <v>574</v>
      </c>
      <c r="I39" s="13">
        <v>42818.407650462963</v>
      </c>
      <c r="J39" s="7">
        <v>0</v>
      </c>
      <c r="K39" s="98" t="str">
        <f t="shared" si="0"/>
        <v>4015/4016</v>
      </c>
      <c r="L39" s="21" t="str">
        <f>VLOOKUP(A39,'Trips&amp;Operators'!$C$1:$G$99999,5,FALSE)</f>
        <v>ROBINSON KADDIBA</v>
      </c>
      <c r="M39" s="6">
        <f t="shared" si="1"/>
        <v>3.2268518516502809E-2</v>
      </c>
      <c r="N39" s="7">
        <f t="shared" si="23"/>
        <v>46.466666663764045</v>
      </c>
      <c r="O39" s="7"/>
      <c r="P39" s="7"/>
      <c r="Q39" s="22"/>
      <c r="R39" s="22"/>
      <c r="S39" s="31">
        <f t="shared" si="21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-24T07:49:01-0600',mode:absolute,to:'2017-03-24T10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7" t="str">
        <f t="shared" si="5"/>
        <v>N</v>
      </c>
      <c r="X39" s="187">
        <f t="shared" si="22"/>
        <v>1</v>
      </c>
      <c r="Y39" s="62">
        <f t="shared" si="6"/>
        <v>7.7399999999999997E-2</v>
      </c>
      <c r="Z39" s="62">
        <f t="shared" si="7"/>
        <v>23.330500000000001</v>
      </c>
      <c r="AA39" s="62">
        <f t="shared" si="8"/>
        <v>23.2531</v>
      </c>
      <c r="AB39" s="59" t="str">
        <f>VLOOKUP(A39,Enforcements!$C$7:$K$13,8,0)</f>
        <v>Bulletin (2)</v>
      </c>
      <c r="AC39" s="55" t="str">
        <f>VLOOKUP(A39,Enforcements!$C$7:$E$13,3,0)</f>
        <v>GRADE CROSSING</v>
      </c>
      <c r="AD39" s="56" t="str">
        <f t="shared" si="9"/>
        <v>0143-24</v>
      </c>
      <c r="AE39" s="85" t="str">
        <f t="shared" si="10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39" s="82" t="str">
        <f t="shared" si="11"/>
        <v>"C:\Program Files (x86)\AstroGrep\AstroGrep.exe" /e /r /s /spath="%USERPROFILE%\AppData\Local\Temp\OnboardLogs" /stypes="app*4016*20170324*" /stext=" 15:.+((SYSTEM_STATE.+slice.+state.+changed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6"/>
        <v>"%USERPROFILE%\Documents\GitHub\eaglep3\Utilities\RefineRTDCRunTimes.py" --tripid 143-24 --locoid 4016 --swversion DE.1.0.9.0 --startMP 204:774 --initTime 2017-03-24T08:49:01 --startdatetime 2017-03-24T09:00:33 --delay 2 --endMP 204:233305 --enddatetime 2017-03-24T09:47:01 --enforcementcount 0 &gt;&gt;C:\Users\stu\Documents\GitHub\eaglep3-reporting\EC\2017-03-24-refined-times.txt</v>
      </c>
      <c r="AI3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ID","value":"143-24"},{"id":16,"name":"Locomotive ID","value":"4016"},{"id":130,"name":"Impact","value":""},{"id":150,"name":"Time of Event (Mountain Time)","value":"09:47:01"},{"id":151,"name":"Denver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4016 --day 2017-03-24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"%USERPROFILE%\AppData\Local\Temp\OnboardLogs"\RTDC4016\*4016*20170324* | grep -SE "(Enforcement Action)|(\[TIMEOUT)|(CHR.+\|PRM\|1\|D.+(SWITCH|SIGNAL).+UNKNOWN)" - &gt;&gt; 2017-03-24-UncaughtWiMAX.txt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689</v>
      </c>
      <c r="B40" s="7">
        <v>4004</v>
      </c>
      <c r="C40" s="21" t="s">
        <v>219</v>
      </c>
      <c r="D40" s="21" t="s">
        <v>523</v>
      </c>
      <c r="E40" s="13">
        <v>42818.395543981482</v>
      </c>
      <c r="F40" s="13">
        <v>42818.414050925923</v>
      </c>
      <c r="G40" s="7">
        <v>2</v>
      </c>
      <c r="H40" s="21" t="s">
        <v>410</v>
      </c>
      <c r="I40" s="13">
        <v>42818.441631944443</v>
      </c>
      <c r="J40" s="7">
        <v>0</v>
      </c>
      <c r="K40" s="98" t="str">
        <f t="shared" si="0"/>
        <v>4003/4004</v>
      </c>
      <c r="L40" s="21" t="str">
        <f>VLOOKUP(A40,'Trips&amp;Operators'!$C$1:$G$99999,5,FALSE)</f>
        <v>YANAI IAN</v>
      </c>
      <c r="M40" s="6">
        <f t="shared" si="1"/>
        <v>2.7581018519413192E-2</v>
      </c>
      <c r="N40" s="7">
        <f t="shared" si="23"/>
        <v>39.716666667954996</v>
      </c>
      <c r="O40" s="7"/>
      <c r="P40" s="7"/>
      <c r="Q40" s="22"/>
      <c r="R40" s="22"/>
      <c r="S40" s="31">
        <f t="shared" si="21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-24T08:29:35-0600',mode:absolute,to:'2017-03-24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0" s="187" t="str">
        <f t="shared" si="5"/>
        <v>N</v>
      </c>
      <c r="X40" s="187">
        <f t="shared" si="22"/>
        <v>1</v>
      </c>
      <c r="Y40" s="62">
        <f t="shared" si="6"/>
        <v>23.2989</v>
      </c>
      <c r="Z40" s="62">
        <f t="shared" si="7"/>
        <v>1.6E-2</v>
      </c>
      <c r="AA40" s="62">
        <f t="shared" si="8"/>
        <v>23.282900000000001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0144-24</v>
      </c>
      <c r="AE40" s="85" t="str">
        <f t="shared" si="10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40" s="82" t="str">
        <f t="shared" si="11"/>
        <v>"C:\Program Files (x86)\AstroGrep\AstroGrep.exe" /e /r /s /spath="%USERPROFILE%\AppData\Local\Temp\OnboardLogs" /stypes="app*4004*20170324*" /stext=" 16:.+((SYSTEM_STATE.+slice.+state.+changed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6"/>
        <v>"%USERPROFILE%\Documents\GitHub\eaglep3\Utilities\RefineRTDCRunTimes.py" --tripid 144-24 --locoid 4004 --swversion DE.1.0.9.0 --startMP 204:232989 --initTime 2017-03-24T09:29:35 --startdatetime 2017-03-24T09:56:14 --delay 2 --endMP 204:160 --enddatetime 2017-03-24T10:35:57 --enforcementcount 0 &gt;&gt;C:\Users\stu\Documents\GitHub\eaglep3-reporting\EC\2017-03-24-refined-times.txt</v>
      </c>
      <c r="AI4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ID","value":"144-24"},{"id":16,"name":"Locomotive ID","value":"4004"},{"id":130,"name":"Impact","value":""},{"id":150,"name":"Time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4004 --day 2017-03-24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694</v>
      </c>
      <c r="B41" s="7">
        <v>4012</v>
      </c>
      <c r="C41" s="21" t="s">
        <v>219</v>
      </c>
      <c r="D41" s="21" t="s">
        <v>860</v>
      </c>
      <c r="E41" s="13">
        <v>42818.426018518519</v>
      </c>
      <c r="F41" s="13">
        <v>42818.42763888889</v>
      </c>
      <c r="G41" s="7">
        <v>1</v>
      </c>
      <c r="H41" s="21" t="s">
        <v>395</v>
      </c>
      <c r="I41" s="13">
        <v>42818.456307870372</v>
      </c>
      <c r="J41" s="7">
        <v>0</v>
      </c>
      <c r="K41" s="98" t="str">
        <f t="shared" si="0"/>
        <v>4011/4012</v>
      </c>
      <c r="L41" s="21" t="str">
        <f>VLOOKUP(A41,'Trips&amp;Operators'!$C$1:$G$99999,5,FALSE)</f>
        <v>LOZA FIDEL</v>
      </c>
      <c r="M41" s="6">
        <f t="shared" si="1"/>
        <v>2.8668981482042E-2</v>
      </c>
      <c r="N41" s="7">
        <f t="shared" si="23"/>
        <v>41.28333333414048</v>
      </c>
      <c r="O41" s="7"/>
      <c r="P41" s="7"/>
      <c r="Q41" s="22"/>
      <c r="R41" s="22"/>
      <c r="S41" s="31">
        <f t="shared" si="21"/>
        <v>1</v>
      </c>
      <c r="T41" s="46" t="str">
        <f t="shared" si="3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-24T09:13:28-0600',mode:absolute,to:'2017-03-24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87" t="str">
        <f t="shared" si="5"/>
        <v>N</v>
      </c>
      <c r="X41" s="187">
        <f t="shared" si="22"/>
        <v>2</v>
      </c>
      <c r="Y41" s="62">
        <f t="shared" si="6"/>
        <v>23.2654</v>
      </c>
      <c r="Z41" s="62">
        <f t="shared" si="7"/>
        <v>1.43E-2</v>
      </c>
      <c r="AA41" s="62">
        <f t="shared" si="8"/>
        <v>23.251100000000001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0146-24</v>
      </c>
      <c r="AE41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41" s="82" t="str">
        <f t="shared" si="11"/>
        <v>"C:\Program Files (x86)\AstroGrep\AstroGrep.exe" /e /r /s /spath="%USERPROFILE%\AppData\Local\Temp\OnboardLogs" /stypes="app*4012*20170324*" /stext=" 16:.+((SYSTEM_STATE.+slice.+state.+changed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6"/>
        <v>"%USERPROFILE%\Documents\GitHub\eaglep3\Utilities\RefineRTDCRunTimes.py" --tripid 146-24 --locoid 4012 --swversion DE.1.0.9.0 --startMP 204:232654 --initTime 2017-03-24T10:13:28 --startdatetime 2017-03-24T10:15:48 --delay 1 --endMP 204:143 --enddatetime 2017-03-24T10:57:05 --enforcementcount 0 &gt;&gt;C:\Users\stu\Documents\GitHub\eaglep3-reporting\EC\2017-03-24-refined-times.txt</v>
      </c>
      <c r="AI4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{"issue":{"subject":"","project_id":79,"tracker_id":40,"status_id":1,"priority_id":2,"assigned_to_id":23,"start_date":"2017-03-24","description":"","custom_fields":[{"id":1,"name":"Subdivision","value":"EC"},{"id":4,"name":"Milepost","value":"0.0143"},{"id":17,"name":"Train ID","value":"146-24"},{"id":16,"name":"Locomotive ID","value":"4012"},{"id":130,"name":"Impact","value":""},{"id":150,"name":"Time of Event (Mountain Time)","value":"10:57:05"},{"id":151,"name":"Denver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4012 --day 2017-03-24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687</v>
      </c>
      <c r="B42" s="7">
        <v>4020</v>
      </c>
      <c r="C42" s="21" t="s">
        <v>219</v>
      </c>
      <c r="D42" s="21" t="s">
        <v>521</v>
      </c>
      <c r="E42" s="13">
        <v>42818.391574074078</v>
      </c>
      <c r="F42" s="13">
        <v>42818.435624999998</v>
      </c>
      <c r="G42" s="7">
        <v>1</v>
      </c>
      <c r="H42" s="21" t="s">
        <v>479</v>
      </c>
      <c r="I42" s="13">
        <v>42818.466921296298</v>
      </c>
      <c r="J42" s="7">
        <v>0</v>
      </c>
      <c r="K42" s="98" t="str">
        <f t="shared" si="0"/>
        <v>4019/4020</v>
      </c>
      <c r="L42" s="21" t="str">
        <f>VLOOKUP(A42,'Trips&amp;Operators'!$C$1:$G$99999,5,FALSE)</f>
        <v>STARKS ANGELINA</v>
      </c>
      <c r="M42" s="6">
        <f t="shared" si="1"/>
        <v>3.1296296299842652E-2</v>
      </c>
      <c r="N42" s="7">
        <f t="shared" si="23"/>
        <v>45.066666671773419</v>
      </c>
      <c r="O42" s="7"/>
      <c r="P42" s="7"/>
      <c r="Q42" s="22"/>
      <c r="R42" s="22"/>
      <c r="S42" s="31">
        <f t="shared" si="21"/>
        <v>1</v>
      </c>
      <c r="T42" s="46" t="str">
        <f t="shared" si="3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-24T08:23:52-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2" s="187" t="str">
        <f t="shared" si="5"/>
        <v>N</v>
      </c>
      <c r="X42" s="187">
        <f t="shared" si="22"/>
        <v>1</v>
      </c>
      <c r="Y42" s="62">
        <f t="shared" si="6"/>
        <v>4.8000000000000001E-2</v>
      </c>
      <c r="Z42" s="62">
        <f t="shared" si="7"/>
        <v>23.33</v>
      </c>
      <c r="AA42" s="62">
        <f t="shared" si="8"/>
        <v>23.282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0147-24</v>
      </c>
      <c r="AE42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42" s="82" t="str">
        <f t="shared" si="11"/>
        <v>"C:\Program Files (x86)\AstroGrep\AstroGrep.exe" /e /r /s /spath="%USERPROFILE%\AppData\Local\Temp\OnboardLogs" /stypes="app*4020*20170324*" /stext=" 17:.+((SYSTEM_STATE.+slice.+state.+changed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6"/>
        <v>"%USERPROFILE%\Documents\GitHub\eaglep3\Utilities\RefineRTDCRunTimes.py" --tripid 147-24 --locoid 4020 --swversion DE.1.0.9.0 --startMP 204:480 --initTime 2017-03-24T09:23:52 --startdatetime 2017-03-24T10:27:18 --delay 1 --endMP 204:233300 --enddatetime 2017-03-24T11:12:22 --enforcementcount 0 &gt;&gt;C:\Users\stu\Documents\GitHub\eaglep3-reporting\EC\2017-03-24-refined-times.txt</v>
      </c>
      <c r="AI42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{"issue":{"subject":"","project_id":79,"tracker_id":40,"status_id":1,"priority_id":2,"assigned_to_id":23,"start_date":"2017-03-24","description":"","custom_fields":[{"id":1,"name":"Subdivision","value":"EC"},{"id":4,"name":"Milepost","value":"23.33"},{"id":17,"name":"Train ID","value":"147-24"},{"id":16,"name":"Locomotive ID","value":"4020"},{"id":130,"name":"Impact","value":""},{"id":150,"name":"Time of Event (Mountain Time)","value":"11:12:22"},{"id":151,"name":"Denver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4020 --day 2017-03-24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608</v>
      </c>
      <c r="B43" s="7">
        <v>4019</v>
      </c>
      <c r="C43" s="21" t="s">
        <v>219</v>
      </c>
      <c r="D43" s="21" t="s">
        <v>477</v>
      </c>
      <c r="E43" s="13">
        <v>42818.427187499998</v>
      </c>
      <c r="F43" s="13">
        <v>42818.435624999998</v>
      </c>
      <c r="G43" s="7">
        <v>1</v>
      </c>
      <c r="H43" s="21" t="s">
        <v>562</v>
      </c>
      <c r="I43" s="13">
        <v>42818.466921296298</v>
      </c>
      <c r="J43" s="7">
        <v>0</v>
      </c>
      <c r="K43" s="98" t="str">
        <f t="shared" si="0"/>
        <v>4019/4020</v>
      </c>
      <c r="L43" s="21" t="str">
        <f>VLOOKUP(A43,'Trips&amp;Operators'!$C$1:$G$99999,5,FALSE)</f>
        <v>STARKS ANGELINA</v>
      </c>
      <c r="M43" s="6">
        <f t="shared" si="1"/>
        <v>3.1296296299842652E-2</v>
      </c>
      <c r="N43" s="7">
        <f t="shared" si="23"/>
        <v>45.066666671773419</v>
      </c>
      <c r="O43" s="7"/>
      <c r="P43" s="7"/>
      <c r="Q43" s="22"/>
      <c r="R43" s="22"/>
      <c r="S43" s="31">
        <f t="shared" si="21"/>
        <v>1</v>
      </c>
      <c r="T43" s="46" t="str">
        <f t="shared" si="3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-24T09:15:09-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3" s="187" t="str">
        <f t="shared" si="5"/>
        <v>N</v>
      </c>
      <c r="X43" s="187">
        <f t="shared" si="22"/>
        <v>1</v>
      </c>
      <c r="Y43" s="62">
        <f t="shared" si="6"/>
        <v>23.297899999999998</v>
      </c>
      <c r="Z43" s="62">
        <f t="shared" si="7"/>
        <v>1.41E-2</v>
      </c>
      <c r="AA43" s="62">
        <f t="shared" si="8"/>
        <v>23.283799999999999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0148-24</v>
      </c>
      <c r="AE43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43" s="82" t="str">
        <f t="shared" si="11"/>
        <v>"C:\Program Files (x86)\AstroGrep\AstroGrep.exe" /e /r /s /spath="%USERPROFILE%\AppData\Local\Temp\OnboardLogs" /stypes="app*4019*20170324*" /stext=" 17:.+((SYSTEM_STATE.+slice.+state.+changed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6"/>
        <v>"%USERPROFILE%\Documents\GitHub\eaglep3\Utilities\RefineRTDCRunTimes.py" --tripid 148-24 --locoid 4019 --swversion DE.1.0.9.0 --startMP 204:232979 --initTime 2017-03-24T10:15:09 --startdatetime 2017-03-24T10:27:18 --delay 1 --endMP 204:141 --enddatetime 2017-03-24T11:12:22 --enforcementcount 0 &gt;&gt;C:\Users\stu\Documents\GitHub\eaglep3-reporting\EC\2017-03-24-refined-times.txt</v>
      </c>
      <c r="AI4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{"issue":{"subject":"","project_id":79,"tracker_id":40,"status_id":1,"priority_id":2,"assigned_to_id":23,"start_date":"2017-03-24","description":"","custom_fields":[{"id":1,"name":"Subdivision","value":"EC"},{"id":4,"name":"Milepost","value":"0.0141"},{"id":17,"name":"Train ID","value":"148-24"},{"id":16,"name":"Locomotive ID","value":"4019"},{"id":130,"name":"Impact","value":""},{"id":150,"name":"Time of Event (Mountain Time)","value":"11:12:22"},{"id":151,"name":"Denver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4019 --day 2017-03-24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691</v>
      </c>
      <c r="B44" s="7">
        <v>4046</v>
      </c>
      <c r="C44" s="21" t="s">
        <v>219</v>
      </c>
      <c r="D44" s="21" t="s">
        <v>441</v>
      </c>
      <c r="E44" s="13">
        <v>42818.403854166667</v>
      </c>
      <c r="F44" s="13">
        <v>42818.406469907408</v>
      </c>
      <c r="G44" s="7">
        <v>1</v>
      </c>
      <c r="H44" s="21" t="s">
        <v>516</v>
      </c>
      <c r="I44" s="13">
        <v>42818.433449074073</v>
      </c>
      <c r="J44" s="7">
        <v>0</v>
      </c>
      <c r="K44" s="98" t="str">
        <f t="shared" si="0"/>
        <v>4045/4046</v>
      </c>
      <c r="L44" s="21" t="str">
        <f>VLOOKUP(A44,'Trips&amp;Operators'!$C$1:$G$99999,5,FALSE)</f>
        <v>BONDS REYNALDO</v>
      </c>
      <c r="M44" s="6">
        <f t="shared" si="1"/>
        <v>2.6979166665114462E-2</v>
      </c>
      <c r="N44" s="7">
        <f t="shared" si="23"/>
        <v>38.849999997764826</v>
      </c>
      <c r="O44" s="7"/>
      <c r="P44" s="7"/>
      <c r="Q44" s="22"/>
      <c r="R44" s="22"/>
      <c r="S44" s="31">
        <f t="shared" si="21"/>
        <v>1</v>
      </c>
      <c r="T44" s="46" t="str">
        <f t="shared" si="3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-24T08:41:33-0600',mode:absolute,to:'2017-03-24T11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4" s="187" t="str">
        <f t="shared" si="5"/>
        <v>N</v>
      </c>
      <c r="X44" s="187">
        <f t="shared" si="22"/>
        <v>1</v>
      </c>
      <c r="Y44" s="62">
        <f t="shared" si="6"/>
        <v>4.4900000000000002E-2</v>
      </c>
      <c r="Z44" s="62">
        <f t="shared" si="7"/>
        <v>23.298200000000001</v>
      </c>
      <c r="AA44" s="62">
        <f t="shared" si="8"/>
        <v>23.253300000000003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0149-24</v>
      </c>
      <c r="AE44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44" s="82" t="str">
        <f t="shared" si="11"/>
        <v>"C:\Program Files (x86)\AstroGrep\AstroGrep.exe" /e /r /s /spath="%USERPROFILE%\AppData\Local\Temp\OnboardLogs" /stypes="app*4046*20170324*" /stext=" 16:.+((SYSTEM_STATE.+slice.+state.+changed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6"/>
        <v>"%USERPROFILE%\Documents\GitHub\eaglep3\Utilities\RefineRTDCRunTimes.py" --tripid 149-24 --locoid 4046 --swversion DE.1.0.9.0 --startMP 204:449 --initTime 2017-03-24T09:41:33 --startdatetime 2017-03-24T09:45:19 --delay 1 --endMP 204:232982 --enddatetime 2017-03-24T10:24:10 --enforcementcount 0 &gt;&gt;C:\Users\stu\Documents\GitHub\eaglep3-reporting\EC\2017-03-24-refined-times.txt</v>
      </c>
      <c r="AI4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{"issue":{"subject":"","project_id":79,"tracker_id":40,"status_id":1,"priority_id":2,"assigned_to_id":23,"start_date":"2017-03-24","description":"","custom_fields":[{"id":1,"name":"Subdivision","value":"EC"},{"id":4,"name":"Milepost","value":"23.2982"},{"id":17,"name":"Train ID","value":"149-24"},{"id":16,"name":"Locomotive ID","value":"4046"},{"id":130,"name":"Impact","value":""},{"id":150,"name":"Time of Event (Mountain Time)","value":"10:24:10"},{"id":151,"name":"Denver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4046 --day 2017-03-24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699</v>
      </c>
      <c r="B45" s="7">
        <v>4045</v>
      </c>
      <c r="C45" s="21" t="s">
        <v>219</v>
      </c>
      <c r="D45" s="21" t="s">
        <v>861</v>
      </c>
      <c r="E45" s="13">
        <v>42818.437407407408</v>
      </c>
      <c r="F45" s="13">
        <v>42818.445763888885</v>
      </c>
      <c r="G45" s="7">
        <v>1</v>
      </c>
      <c r="H45" s="21" t="s">
        <v>562</v>
      </c>
      <c r="I45" s="13">
        <v>42818.476990740739</v>
      </c>
      <c r="J45" s="7">
        <v>0</v>
      </c>
      <c r="K45" s="98" t="str">
        <f t="shared" si="0"/>
        <v>4045/4046</v>
      </c>
      <c r="L45" s="21" t="str">
        <f>VLOOKUP(A45,'Trips&amp;Operators'!$C$1:$G$99999,5,FALSE)</f>
        <v>BONDS REYNALDO</v>
      </c>
      <c r="M45" s="6">
        <f t="shared" si="1"/>
        <v>3.1226851853716653E-2</v>
      </c>
      <c r="N45" s="7">
        <f t="shared" si="23"/>
        <v>44.96666666935198</v>
      </c>
      <c r="O45" s="7"/>
      <c r="P45" s="7"/>
      <c r="Q45" s="22"/>
      <c r="R45" s="22"/>
      <c r="S45" s="31">
        <f t="shared" si="21"/>
        <v>1</v>
      </c>
      <c r="T45" s="46" t="str">
        <f t="shared" si="3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-24T09:29:52-0600',mode:absolute,to:'2017-03-24T12:26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5" s="187" t="str">
        <f t="shared" si="5"/>
        <v>N</v>
      </c>
      <c r="X45" s="187">
        <f t="shared" si="22"/>
        <v>1</v>
      </c>
      <c r="Y45" s="62">
        <f t="shared" ref="Y45:Y76" si="24">RIGHT(D45,LEN(D45)-4)/10000</f>
        <v>23.265000000000001</v>
      </c>
      <c r="Z45" s="62">
        <f t="shared" si="7"/>
        <v>1.41E-2</v>
      </c>
      <c r="AA45" s="62">
        <f t="shared" si="8"/>
        <v>23.250900000000001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0150-24</v>
      </c>
      <c r="AE45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45" s="82" t="str">
        <f t="shared" si="11"/>
        <v>"C:\Program Files (x86)\AstroGrep\AstroGrep.exe" /e /r /s /spath="%USERPROFILE%\AppData\Local\Temp\OnboardLogs" /stypes="app*4045*20170324*" /stext=" 17:.+((SYSTEM_STATE.+slice.+state.+changed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6"/>
        <v>"%USERPROFILE%\Documents\GitHub\eaglep3\Utilities\RefineRTDCRunTimes.py" --tripid 150-24 --locoid 4045 --swversion DE.1.0.9.0 --startMP 204:232650 --initTime 2017-03-24T10:29:52 --startdatetime 2017-03-24T10:41:54 --delay 1 --endMP 204:141 --enddatetime 2017-03-24T11:26:52 --enforcementcount 0 &gt;&gt;C:\Users\stu\Documents\GitHub\eaglep3-reporting\EC\2017-03-24-refined-times.txt</v>
      </c>
      <c r="AI4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{"issue":{"subject":"","project_id":79,"tracker_id":40,"status_id":1,"priority_id":2,"assigned_to_id":23,"start_date":"2017-03-24","description":"","custom_fields":[{"id":1,"name":"Subdivision","value":"EC"},{"id":4,"name":"Milepost","value":"0.0141"},{"id":17,"name":"Train ID","value":"150-24"},{"id":16,"name":"Locomotive ID","value":"4045"},{"id":130,"name":"Impact","value":""},{"id":150,"name":"Time of Event (Mountain Time)","value":"11:26:52"},{"id":151,"name":"Denver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4045 --day 2017-03-24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693</v>
      </c>
      <c r="B46" s="7">
        <v>4018</v>
      </c>
      <c r="C46" s="21" t="s">
        <v>219</v>
      </c>
      <c r="D46" s="21" t="s">
        <v>528</v>
      </c>
      <c r="E46" s="13">
        <v>42818.418680555558</v>
      </c>
      <c r="F46" s="13">
        <v>42818.420532407406</v>
      </c>
      <c r="G46" s="7">
        <v>1</v>
      </c>
      <c r="H46" s="21" t="s">
        <v>526</v>
      </c>
      <c r="I46" s="13">
        <v>42818.450648148151</v>
      </c>
      <c r="J46" s="7">
        <v>0</v>
      </c>
      <c r="K46" s="98" t="str">
        <f t="shared" si="0"/>
        <v>4017/4018</v>
      </c>
      <c r="L46" s="21" t="str">
        <f>VLOOKUP(A46,'Trips&amp;Operators'!$C$1:$G$99999,5,FALSE)</f>
        <v>BADERTSCHER DIANE</v>
      </c>
      <c r="M46" s="6">
        <f t="shared" si="1"/>
        <v>3.0115740744804498E-2</v>
      </c>
      <c r="N46" s="7">
        <f t="shared" si="23"/>
        <v>43.366666672518477</v>
      </c>
      <c r="O46" s="7"/>
      <c r="P46" s="7"/>
      <c r="Q46" s="22"/>
      <c r="R46" s="22"/>
      <c r="S46" s="31">
        <f t="shared" si="21"/>
        <v>1</v>
      </c>
      <c r="T46" s="46" t="str">
        <f t="shared" si="3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-24T09:02:54-0600',mode:absolute,to:'2017-03-24T11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187" t="str">
        <f t="shared" si="5"/>
        <v>N</v>
      </c>
      <c r="X46" s="187">
        <f t="shared" si="22"/>
        <v>1</v>
      </c>
      <c r="Y46" s="62">
        <f t="shared" si="24"/>
        <v>4.58E-2</v>
      </c>
      <c r="Z46" s="62">
        <f t="shared" si="7"/>
        <v>23.328700000000001</v>
      </c>
      <c r="AA46" s="62">
        <f t="shared" si="8"/>
        <v>23.282900000000001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0151-24</v>
      </c>
      <c r="AE46" s="85" t="str">
        <f t="shared" si="10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46" s="82" t="str">
        <f t="shared" si="11"/>
        <v>"C:\Program Files (x86)\AstroGrep\AstroGrep.exe" /e /r /s /spath="%USERPROFILE%\AppData\Local\Temp\OnboardLogs" /stypes="app*4018*20170324*" /stext=" 16:.+((SYSTEM_STATE.+slice.+state.+changed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6"/>
        <v>"%USERPROFILE%\Documents\GitHub\eaglep3\Utilities\RefineRTDCRunTimes.py" --tripid 151-24 --locoid 4018 --swversion DE.1.0.9.0 --startMP 204:458 --initTime 2017-03-24T10:02:54 --startdatetime 2017-03-24T10:05:34 --delay 1 --endMP 204:233287 --enddatetime 2017-03-24T10:48:56 --enforcementcount 0 &gt;&gt;C:\Users\stu\Documents\GitHub\eaglep3-reporting\EC\2017-03-24-refined-times.txt</v>
      </c>
      <c r="AI4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{"issue":{"subject":"","project_id":79,"tracker_id":40,"status_id":1,"priority_id":2,"assigned_to_id":23,"start_date":"2017-03-24","description":"","custom_fields":[{"id":1,"name":"Subdivision","value":"EC"},{"id":4,"name":"Milepost","value":"23.3287"},{"id":17,"name":"Train ID","value":"151-24"},{"id":16,"name":"Locomotive ID","value":"4018"},{"id":130,"name":"Impact","value":""},{"id":150,"name":"Time of Event (Mountain Time)","value":"10:48:56"},{"id":151,"name":"Denver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4018 --day 2017-03-24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703</v>
      </c>
      <c r="B47" s="7">
        <v>4017</v>
      </c>
      <c r="C47" s="21" t="s">
        <v>219</v>
      </c>
      <c r="D47" s="21" t="s">
        <v>527</v>
      </c>
      <c r="E47" s="13">
        <v>42818.452685185184</v>
      </c>
      <c r="F47" s="13">
        <v>42818.455914351849</v>
      </c>
      <c r="G47" s="7">
        <v>1</v>
      </c>
      <c r="H47" s="21" t="s">
        <v>519</v>
      </c>
      <c r="I47" s="13">
        <v>42818.488634259258</v>
      </c>
      <c r="J47" s="7">
        <v>0</v>
      </c>
      <c r="K47" s="98" t="str">
        <f t="shared" si="0"/>
        <v>4017/4018</v>
      </c>
      <c r="L47" s="21" t="str">
        <f>VLOOKUP(A47,'Trips&amp;Operators'!$C$1:$G$99999,5,FALSE)</f>
        <v>BADERTSCHER DIANE</v>
      </c>
      <c r="M47" s="6">
        <f t="shared" si="1"/>
        <v>3.2719907409045845E-2</v>
      </c>
      <c r="N47" s="7">
        <f t="shared" si="23"/>
        <v>47.116666669026017</v>
      </c>
      <c r="O47" s="7"/>
      <c r="P47" s="7"/>
      <c r="Q47" s="22"/>
      <c r="R47" s="22"/>
      <c r="S47" s="31">
        <f t="shared" si="21"/>
        <v>1</v>
      </c>
      <c r="T47" s="46" t="str">
        <f t="shared" si="3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-24T09:51:52-0600',mode:absolute,to:'2017-03-24T12:43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187" t="str">
        <f t="shared" si="5"/>
        <v>N</v>
      </c>
      <c r="X47" s="187">
        <f t="shared" si="22"/>
        <v>1</v>
      </c>
      <c r="Y47" s="62">
        <f t="shared" si="24"/>
        <v>23.298500000000001</v>
      </c>
      <c r="Z47" s="62">
        <f t="shared" si="7"/>
        <v>1.3899999999999999E-2</v>
      </c>
      <c r="AA47" s="62">
        <f t="shared" si="8"/>
        <v>23.284600000000001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0152-24</v>
      </c>
      <c r="AE47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47" s="82" t="str">
        <f t="shared" si="11"/>
        <v>"C:\Program Files (x86)\AstroGrep\AstroGrep.exe" /e /r /s /spath="%USERPROFILE%\AppData\Local\Temp\OnboardLogs" /stypes="app*4017*20170324*" /stext=" 17:.+((SYSTEM_STATE.+slice.+state.+changed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6"/>
        <v>"%USERPROFILE%\Documents\GitHub\eaglep3\Utilities\RefineRTDCRunTimes.py" --tripid 152-24 --locoid 4017 --swversion DE.1.0.9.0 --startMP 204:232985 --initTime 2017-03-24T10:51:52 --startdatetime 2017-03-24T10:56:31 --delay 1 --endMP 204:139 --enddatetime 2017-03-24T11:43:38 --enforcementcount 0 &gt;&gt;C:\Users\stu\Documents\GitHub\eaglep3-reporting\EC\2017-03-24-refined-times.txt</v>
      </c>
      <c r="AI4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ID","value":"152-24"},{"id":16,"name":"Locomotive ID","value":"4017"},{"id":130,"name":"Impact","value":""},{"id":150,"name":"Time of Event (Mountain Time)","value":"11:43:38"},{"id":151,"name":"Denver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4017 --day 2017-03-24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695</v>
      </c>
      <c r="B48" s="7">
        <v>4027</v>
      </c>
      <c r="C48" s="21" t="s">
        <v>219</v>
      </c>
      <c r="D48" s="21" t="s">
        <v>862</v>
      </c>
      <c r="E48" s="13">
        <v>42818.426562499997</v>
      </c>
      <c r="F48" s="13">
        <v>42818.428263888891</v>
      </c>
      <c r="G48" s="7">
        <v>1</v>
      </c>
      <c r="H48" s="21" t="s">
        <v>863</v>
      </c>
      <c r="I48" s="13">
        <v>42818.455763888887</v>
      </c>
      <c r="J48" s="7">
        <v>0</v>
      </c>
      <c r="K48" s="98" t="str">
        <f t="shared" si="0"/>
        <v>4027/4028</v>
      </c>
      <c r="L48" s="21" t="str">
        <f>VLOOKUP(A48,'Trips&amp;Operators'!$C$1:$G$99999,5,FALSE)</f>
        <v>DELGADO DIANAH</v>
      </c>
      <c r="M48" s="6">
        <f t="shared" si="1"/>
        <v>2.749999999650754E-2</v>
      </c>
      <c r="N48" s="7">
        <f t="shared" si="23"/>
        <v>39.599999994970858</v>
      </c>
      <c r="O48" s="7"/>
      <c r="P48" s="7"/>
      <c r="Q48" s="22"/>
      <c r="R48" s="22"/>
      <c r="S48" s="31">
        <f t="shared" si="21"/>
        <v>1</v>
      </c>
      <c r="T48" s="46" t="str">
        <f t="shared" si="3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-24T09:14:15-0600',mode:absolute,to:'2017-03-24T11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87" t="str">
        <f t="shared" si="5"/>
        <v>N</v>
      </c>
      <c r="X48" s="187">
        <f t="shared" si="22"/>
        <v>1</v>
      </c>
      <c r="Y48" s="62">
        <f t="shared" si="24"/>
        <v>6.4600000000000005E-2</v>
      </c>
      <c r="Z48" s="62">
        <f t="shared" si="7"/>
        <v>23.3337</v>
      </c>
      <c r="AA48" s="62">
        <f t="shared" si="8"/>
        <v>23.269100000000002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0153-24</v>
      </c>
      <c r="AE48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48" s="82" t="str">
        <f t="shared" si="11"/>
        <v>"C:\Program Files (x86)\AstroGrep\AstroGrep.exe" /e /r /s /spath="%USERPROFILE%\AppData\Local\Temp\OnboardLogs" /stypes="app*4027*20170324*" /stext=" 16:.+((SYSTEM_STATE.+slice.+state.+changed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6"/>
        <v>"%USERPROFILE%\Documents\GitHub\eaglep3\Utilities\RefineRTDCRunTimes.py" --tripid 153-24 --locoid 4027 --swversion DE.1.0.9.0 --startMP 204:646 --initTime 2017-03-24T10:14:15 --startdatetime 2017-03-24T10:16:42 --delay 1 --endMP 204:233337 --enddatetime 2017-03-24T10:56:18 --enforcementcount 0 &gt;&gt;C:\Users\stu\Documents\GitHub\eaglep3-reporting\EC\2017-03-24-refined-times.txt</v>
      </c>
      <c r="AI4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{"issue":{"subject":"","project_id":79,"tracker_id":40,"status_id":1,"priority_id":2,"assigned_to_id":23,"start_date":"2017-03-24","description":"","custom_fields":[{"id":1,"name":"Subdivision","value":"EC"},{"id":4,"name":"Milepost","value":"23.3337"},{"id":17,"name":"Train ID","value":"153-24"},{"id":16,"name":"Locomotive ID","value":"4027"},{"id":130,"name":"Impact","value":""},{"id":150,"name":"Time of Event (Mountain Time)","value":"10:56:18"},{"id":151,"name":"Denver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4027 --day 2017-03-24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611</v>
      </c>
      <c r="B49" s="7">
        <v>4028</v>
      </c>
      <c r="C49" s="21" t="s">
        <v>219</v>
      </c>
      <c r="D49" s="21" t="s">
        <v>864</v>
      </c>
      <c r="E49" s="13">
        <v>42818.463125000002</v>
      </c>
      <c r="F49" s="13">
        <v>42818.466134259259</v>
      </c>
      <c r="G49" s="7">
        <v>1</v>
      </c>
      <c r="H49" s="21" t="s">
        <v>199</v>
      </c>
      <c r="I49" s="13">
        <v>42818.493101851855</v>
      </c>
      <c r="J49" s="7">
        <v>0</v>
      </c>
      <c r="K49" s="98" t="str">
        <f t="shared" si="0"/>
        <v>4027/4028</v>
      </c>
      <c r="L49" s="21" t="str">
        <f>VLOOKUP(A49,'Trips&amp;Operators'!$C$1:$G$99999,5,FALSE)</f>
        <v>DELGADO DIANAH</v>
      </c>
      <c r="M49" s="6">
        <f t="shared" si="1"/>
        <v>2.6967592595610768E-2</v>
      </c>
      <c r="N49" s="7">
        <f t="shared" si="23"/>
        <v>38.833333337679505</v>
      </c>
      <c r="O49" s="7"/>
      <c r="P49" s="7"/>
      <c r="Q49" s="22"/>
      <c r="R49" s="22"/>
      <c r="S49" s="31">
        <f t="shared" si="21"/>
        <v>1</v>
      </c>
      <c r="T49" s="46" t="str">
        <f t="shared" si="3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-24T10:06:54-0600',mode:absolute,to:'2017-03-24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187" t="str">
        <f t="shared" si="5"/>
        <v>N</v>
      </c>
      <c r="X49" s="187">
        <f t="shared" si="22"/>
        <v>1</v>
      </c>
      <c r="Y49" s="62">
        <f t="shared" si="24"/>
        <v>23.3019</v>
      </c>
      <c r="Z49" s="62">
        <f t="shared" si="7"/>
        <v>1.52E-2</v>
      </c>
      <c r="AA49" s="62">
        <f t="shared" si="8"/>
        <v>23.2867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0154-24</v>
      </c>
      <c r="AE49" s="85" t="str">
        <f t="shared" si="10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49" s="82" t="str">
        <f t="shared" si="11"/>
        <v>"C:\Program Files (x86)\AstroGrep\AstroGrep.exe" /e /r /s /spath="%USERPROFILE%\AppData\Local\Temp\OnboardLogs" /stypes="app*4028*20170324*" /stext=" 17:.+((SYSTEM_STATE.+slice.+state.+changed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6"/>
        <v>"%USERPROFILE%\Documents\GitHub\eaglep3\Utilities\RefineRTDCRunTimes.py" --tripid 154-24 --locoid 4028 --swversion DE.1.0.9.0 --startMP 204:233019 --initTime 2017-03-24T11:06:54 --startdatetime 2017-03-24T11:11:14 --delay 1 --endMP 204:152 --enddatetime 2017-03-24T11:50:04 --enforcementcount 0 &gt;&gt;C:\Users\stu\Documents\GitHub\eaglep3-reporting\EC\2017-03-24-refined-times.txt</v>
      </c>
      <c r="AI4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ID","value":"154-24"},{"id":16,"name":"Locomotive ID","value":"4028"},{"id":130,"name":"Impact","value":""},{"id":150,"name":"Time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4028 --day 2017-03-24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696</v>
      </c>
      <c r="B50" s="7">
        <v>4031</v>
      </c>
      <c r="C50" s="21" t="s">
        <v>219</v>
      </c>
      <c r="D50" s="21" t="s">
        <v>865</v>
      </c>
      <c r="E50" s="13">
        <v>42818.431747685187</v>
      </c>
      <c r="F50" s="13">
        <v>42818.437685185185</v>
      </c>
      <c r="G50" s="7">
        <v>1</v>
      </c>
      <c r="H50" s="21" t="s">
        <v>866</v>
      </c>
      <c r="I50" s="13">
        <v>42818.44054398148</v>
      </c>
      <c r="J50" s="7">
        <v>0</v>
      </c>
      <c r="K50" s="98" t="str">
        <f t="shared" si="0"/>
        <v>4031/4032</v>
      </c>
      <c r="L50" s="21" t="str">
        <f>VLOOKUP(A50,'Trips&amp;Operators'!$C$1:$G$99999,5,FALSE)</f>
        <v>GEBRETEKLE DAGNEW</v>
      </c>
      <c r="M50" s="6">
        <f t="shared" si="1"/>
        <v>2.8587962951860391E-3</v>
      </c>
      <c r="N50" s="7"/>
      <c r="O50" s="7"/>
      <c r="P50" s="7">
        <f>24*60*SUM($M50:$M50)</f>
        <v>4.1166666650678962</v>
      </c>
      <c r="Q50" s="22"/>
      <c r="R50" s="22" t="s">
        <v>463</v>
      </c>
      <c r="S50" s="31">
        <f t="shared" si="21"/>
        <v>0</v>
      </c>
      <c r="T50" s="46" t="str">
        <f t="shared" si="3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-24T09:21:43-0600',mode:absolute,to:'2017-03-24T11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87" t="str">
        <f t="shared" si="5"/>
        <v>Y</v>
      </c>
      <c r="X50" s="187">
        <f t="shared" si="22"/>
        <v>1</v>
      </c>
      <c r="Y50" s="62">
        <f t="shared" si="24"/>
        <v>3.5799999999999998E-2</v>
      </c>
      <c r="Z50" s="62">
        <f t="shared" si="7"/>
        <v>1.9149</v>
      </c>
      <c r="AA50" s="62">
        <f t="shared" si="8"/>
        <v>1.8791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0155-24</v>
      </c>
      <c r="AE50" s="85" t="str">
        <f t="shared" si="10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50" s="82" t="str">
        <f t="shared" si="11"/>
        <v>"C:\Program Files (x86)\AstroGrep\AstroGrep.exe" /e /r /s /spath="%USERPROFILE%\AppData\Local\Temp\OnboardLogs" /stypes="app*4031*20170324*" /stext=" 16:.+((SYSTEM_STATE.+slice.+state.+changed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6"/>
        <v>"%USERPROFILE%\Documents\GitHub\eaglep3\Utilities\RefineRTDCRunTimes.py" --tripid 155-24 --locoid 4031 --swversion DE.1.0.9.0 --startMP 204:358 --initTime 2017-03-24T10:21:43 --startdatetime 2017-03-24T10:30:16 --delay 1 --endMP 204:19149 --enddatetime 2017-03-24T10:34:23 --enforcementcount 0 &gt;&gt;C:\Users\stu\Documents\GitHub\eaglep3-reporting\EC\2017-03-24-refined-times.txt</v>
      </c>
      <c r="AI50" s="108" t="str">
        <f t="shared" si="17"/>
        <v>echo {"issue":{"subject":"Onboard in-route failure","project_id":79,"tracker_id":40,"status_id":1,"priority_id":2,"assigned_to_id":23,"start_date":"2017-03-24","description":"","custom_fields":[{"id":1,"name":"Subdivision","value":"EC"},{"id":4,"name":"Milepost","value":"1.9149"},{"id":17,"name":"Train ID","value":"155-24"},{"id":16,"name":"Locomotive ID","value":"4031"},{"id":130,"name":"Impact","value":""},{"id":150,"name":"Time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4031 --day 2017-03-24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709</v>
      </c>
      <c r="B51" s="7">
        <v>4032</v>
      </c>
      <c r="C51" s="21" t="s">
        <v>219</v>
      </c>
      <c r="D51" s="21" t="s">
        <v>867</v>
      </c>
      <c r="E51" s="13">
        <v>42818.473217592589</v>
      </c>
      <c r="F51" s="13">
        <v>42818.476574074077</v>
      </c>
      <c r="G51" s="7">
        <v>2</v>
      </c>
      <c r="H51" s="21" t="s">
        <v>458</v>
      </c>
      <c r="I51" s="13">
        <v>42818.505254629628</v>
      </c>
      <c r="J51" s="7">
        <v>0</v>
      </c>
      <c r="K51" s="98" t="str">
        <f t="shared" si="0"/>
        <v>4031/4032</v>
      </c>
      <c r="L51" s="21" t="str">
        <f>VLOOKUP(A51,'Trips&amp;Operators'!$C$1:$G$99999,5,FALSE)</f>
        <v>GEBRETEKLE DAGNEW</v>
      </c>
      <c r="M51" s="6">
        <f t="shared" si="1"/>
        <v>2.8680555551545694E-2</v>
      </c>
      <c r="N51" s="7">
        <f>24*60*SUM($M51:$M51)</f>
        <v>41.2999999942258</v>
      </c>
      <c r="O51" s="7"/>
      <c r="P51" s="7"/>
      <c r="Q51" s="22"/>
      <c r="R51" s="22"/>
      <c r="S51" s="31">
        <f t="shared" si="21"/>
        <v>1</v>
      </c>
      <c r="T51" s="46" t="str">
        <f t="shared" si="3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-24T10:21:26-0600',mode:absolute,to:'2017-03-24T13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87" t="str">
        <f t="shared" si="5"/>
        <v>N</v>
      </c>
      <c r="X51" s="187">
        <f t="shared" si="22"/>
        <v>1</v>
      </c>
      <c r="Y51" s="62">
        <f t="shared" si="24"/>
        <v>23.3034</v>
      </c>
      <c r="Z51" s="62">
        <f t="shared" si="7"/>
        <v>1.6500000000000001E-2</v>
      </c>
      <c r="AA51" s="62">
        <f t="shared" si="8"/>
        <v>23.286899999999999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0156-24</v>
      </c>
      <c r="AE51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51" s="82" t="str">
        <f t="shared" si="11"/>
        <v>"C:\Program Files (x86)\AstroGrep\AstroGrep.exe" /e /r /s /spath="%USERPROFILE%\AppData\Local\Temp\OnboardLogs" /stypes="app*4032*20170324*" /stext=" 18:.+((SYSTEM_STATE.+slice.+state.+changed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6"/>
        <v>"%USERPROFILE%\Documents\GitHub\eaglep3\Utilities\RefineRTDCRunTimes.py" --tripid 156-24 --locoid 4032 --swversion DE.1.0.9.0 --startMP 204:233034 --initTime 2017-03-24T11:21:26 --startdatetime 2017-03-24T11:26:16 --delay 2 --endMP 204:165 --enddatetime 2017-03-24T12:07:34 --enforcementcount 0 &gt;&gt;C:\Users\stu\Documents\GitHub\eaglep3-reporting\EC\2017-03-24-refined-times.txt</v>
      </c>
      <c r="AI5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{"issue":{"subject":"","project_id":79,"tracker_id":40,"status_id":1,"priority_id":2,"assigned_to_id":23,"start_date":"2017-03-24","description":"","custom_fields":[{"id":1,"name":"Subdivision","value":"EC"},{"id":4,"name":"Milepost","value":"0.0165"},{"id":17,"name":"Train ID","value":"156-24"},{"id":16,"name":"Locomotive ID","value":"4032"},{"id":130,"name":"Impact","value":""},{"id":150,"name":"Time of Event (Mountain Time)","value":"12:07:34"},{"id":151,"name":"Denver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4032 --day 2017-03-24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610</v>
      </c>
      <c r="B52" s="7">
        <v>4003</v>
      </c>
      <c r="C52" s="21" t="s">
        <v>219</v>
      </c>
      <c r="D52" s="21" t="s">
        <v>221</v>
      </c>
      <c r="E52" s="13">
        <v>42818.444004629629</v>
      </c>
      <c r="F52" s="13">
        <v>42818.450046296297</v>
      </c>
      <c r="G52" s="7">
        <v>1</v>
      </c>
      <c r="H52" s="21" t="s">
        <v>868</v>
      </c>
      <c r="I52" s="13">
        <v>42818.460474537038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LOPES KIMBERLY</v>
      </c>
      <c r="M52" s="6">
        <f t="shared" si="1"/>
        <v>1.0428240741021E-2</v>
      </c>
      <c r="N52" s="7"/>
      <c r="O52" s="7"/>
      <c r="P52" s="7">
        <f>24*60*SUM($M52:$M52)</f>
        <v>15.01666666707024</v>
      </c>
      <c r="Q52" s="22"/>
      <c r="R52" s="22" t="s">
        <v>1055</v>
      </c>
      <c r="S52" s="31">
        <f t="shared" si="21"/>
        <v>0.75</v>
      </c>
      <c r="T52" s="46" t="str">
        <f t="shared" si="3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9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-24T09:39:22-0600',mode:absolute,to:'2017-03-24T12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187" t="str">
        <f t="shared" si="5"/>
        <v>Y</v>
      </c>
      <c r="X52" s="187">
        <f t="shared" si="22"/>
        <v>1</v>
      </c>
      <c r="Y52" s="62">
        <f t="shared" si="24"/>
        <v>4.6699999999999998E-2</v>
      </c>
      <c r="Z52" s="62">
        <f t="shared" si="7"/>
        <v>7.07</v>
      </c>
      <c r="AA52" s="62">
        <f t="shared" si="8"/>
        <v>7.0232999999999999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0157-24</v>
      </c>
      <c r="AE52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52" s="82" t="str">
        <f t="shared" si="11"/>
        <v>"C:\Program Files (x86)\AstroGrep\AstroGrep.exe" /e /r /s /spath="%USERPROFILE%\AppData\Local\Temp\OnboardLogs" /stypes="app*4003*20170324*" /stext=" 17:.+((SYSTEM_STATE.+slice.+state.+changed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6"/>
        <v>"%USERPROFILE%\Documents\GitHub\eaglep3\Utilities\RefineRTDCRunTimes.py" --tripid 157-24 --locoid 4003 --swversion DE.1.0.9.0 --startMP 204:467 --initTime 2017-03-24T10:39:22 --startdatetime 2017-03-24T10:48:04 --delay 1 --endMP 204:70700 --enddatetime 2017-03-24T11:03:05 --enforcementcount 0 &gt;&gt;C:\Users\stu\Documents\GitHub\eaglep3-reporting\EC\2017-03-24-refined-times.txt</v>
      </c>
      <c r="AI52" s="108" t="str">
        <f t="shared" si="17"/>
        <v>echo {"issue":{"subject":"Premature downgrade at Sand Creek 2N","project_id":79,"tracker_id":40,"status_id":1,"priority_id":2,"assigned_to_id":23,"start_date":"2017-03-24","description":"","custom_fields":[{"id":1,"name":"Subdivision","value":"EC"},{"id":4,"name":"Milepost","value":"7.07"},{"id":17,"name":"Train ID","value":"157-24"},{"id":16,"name":"Locomotive ID","value":"4003"},{"id":130,"name":"Impact","value":""},{"id":150,"name":"Time of Event (Mountain Time)","value":"11:03:05"},{"id":151,"name":"Denver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4003 --day 2017-03-24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713</v>
      </c>
      <c r="B53" s="7">
        <v>4004</v>
      </c>
      <c r="C53" s="21" t="s">
        <v>219</v>
      </c>
      <c r="D53" s="21" t="s">
        <v>869</v>
      </c>
      <c r="E53" s="13">
        <v>42818.481874999998</v>
      </c>
      <c r="F53" s="13">
        <v>42818.486967592595</v>
      </c>
      <c r="G53" s="7">
        <v>1</v>
      </c>
      <c r="H53" s="21" t="s">
        <v>410</v>
      </c>
      <c r="I53" s="13">
        <v>42818.515439814815</v>
      </c>
      <c r="J53" s="7">
        <v>0</v>
      </c>
      <c r="K53" s="98" t="str">
        <f t="shared" si="0"/>
        <v>4003/4004</v>
      </c>
      <c r="L53" s="21" t="str">
        <f>VLOOKUP(A53,'Trips&amp;Operators'!$C$1:$G$99999,5,FALSE)</f>
        <v>LOPES KIMBERLY</v>
      </c>
      <c r="M53" s="6">
        <f t="shared" si="1"/>
        <v>2.8472222220443655E-2</v>
      </c>
      <c r="N53" s="7">
        <f t="shared" ref="N53:N61" si="25">24*60*SUM($M53:$M53)</f>
        <v>40.999999997438863</v>
      </c>
      <c r="O53" s="7"/>
      <c r="P53" s="7"/>
      <c r="Q53" s="22"/>
      <c r="R53" s="22"/>
      <c r="S53" s="31">
        <f t="shared" si="21"/>
        <v>1</v>
      </c>
      <c r="T53" s="46" t="str">
        <f t="shared" si="3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-24T10:33:54-0600',mode:absolute,to:'2017-03-24T13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87" t="str">
        <f t="shared" si="5"/>
        <v>N</v>
      </c>
      <c r="X53" s="187">
        <f t="shared" si="22"/>
        <v>1</v>
      </c>
      <c r="Y53" s="62">
        <f t="shared" si="24"/>
        <v>23.297499999999999</v>
      </c>
      <c r="Z53" s="62">
        <f t="shared" si="7"/>
        <v>1.6E-2</v>
      </c>
      <c r="AA53" s="62">
        <f t="shared" si="8"/>
        <v>23.281500000000001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0158-24</v>
      </c>
      <c r="AE53" s="85" t="str">
        <f t="shared" si="10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53" s="82" t="str">
        <f t="shared" si="11"/>
        <v>"C:\Program Files (x86)\AstroGrep\AstroGrep.exe" /e /r /s /spath="%USERPROFILE%\AppData\Local\Temp\OnboardLogs" /stypes="app*4004*20170324*" /stext=" 18:.+((SYSTEM_STATE.+slice.+state.+changed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6"/>
        <v>"%USERPROFILE%\Documents\GitHub\eaglep3\Utilities\RefineRTDCRunTimes.py" --tripid 158-24 --locoid 4004 --swversion DE.1.0.9.0 --startMP 204:232975 --initTime 2017-03-24T11:33:54 --startdatetime 2017-03-24T11:41:14 --delay 1 --endMP 204:160 --enddatetime 2017-03-24T12:22:14 --enforcementcount 0 &gt;&gt;C:\Users\stu\Documents\GitHub\eaglep3-reporting\EC\2017-03-24-refined-times.txt</v>
      </c>
      <c r="AI5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ID","value":"158-24"},{"id":16,"name":"Locomotive ID","value":"4004"},{"id":130,"name":"Impact","value":""},{"id":150,"name":"Time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4004 --day 2017-03-24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705</v>
      </c>
      <c r="B54" s="7">
        <v>4011</v>
      </c>
      <c r="C54" s="21" t="s">
        <v>219</v>
      </c>
      <c r="D54" s="21" t="s">
        <v>870</v>
      </c>
      <c r="E54" s="13">
        <v>42818.45820601852</v>
      </c>
      <c r="F54" s="13">
        <v>42818.460486111115</v>
      </c>
      <c r="G54" s="7">
        <v>2</v>
      </c>
      <c r="H54" s="21" t="s">
        <v>220</v>
      </c>
      <c r="I54" s="13">
        <v>42818.486238425925</v>
      </c>
      <c r="J54" s="7">
        <v>0</v>
      </c>
      <c r="K54" s="98" t="str">
        <f t="shared" si="0"/>
        <v>4011/4012</v>
      </c>
      <c r="L54" s="21" t="str">
        <f>VLOOKUP(A54,'Trips&amp;Operators'!$C$1:$G$99999,5,FALSE)</f>
        <v>STEWART MICHAEL</v>
      </c>
      <c r="M54" s="6">
        <f t="shared" si="1"/>
        <v>2.5752314810233656E-2</v>
      </c>
      <c r="N54" s="7">
        <f t="shared" si="25"/>
        <v>37.083333326736465</v>
      </c>
      <c r="O54" s="7"/>
      <c r="P54" s="7"/>
      <c r="Q54" s="22"/>
      <c r="R54" s="22"/>
      <c r="S54" s="31">
        <f t="shared" si="21"/>
        <v>1</v>
      </c>
      <c r="T54" s="46" t="str">
        <f t="shared" si="3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-24T09:59:49-0600',mode:absolute,to:'2017-03-24T12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87" t="str">
        <f t="shared" si="5"/>
        <v>N</v>
      </c>
      <c r="X54" s="187">
        <f t="shared" si="22"/>
        <v>1</v>
      </c>
      <c r="Y54" s="62">
        <f t="shared" si="24"/>
        <v>4.2000000000000003E-2</v>
      </c>
      <c r="Z54" s="62">
        <f t="shared" si="7"/>
        <v>23.329699999999999</v>
      </c>
      <c r="AA54" s="62">
        <f t="shared" si="8"/>
        <v>23.287699999999997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0159-24</v>
      </c>
      <c r="AE54" s="85" t="str">
        <f t="shared" si="10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54" s="82" t="str">
        <f t="shared" si="11"/>
        <v>"C:\Program Files (x86)\AstroGrep\AstroGrep.exe" /e /r /s /spath="%USERPROFILE%\AppData\Local\Temp\OnboardLogs" /stypes="app*4011*20170324*" /stext=" 17:.+((SYSTEM_STATE.+slice.+state.+changed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6"/>
        <v>"%USERPROFILE%\Documents\GitHub\eaglep3\Utilities\RefineRTDCRunTimes.py" --tripid 159-24 --locoid 4011 --swversion DE.1.0.9.0 --startMP 204:420 --initTime 2017-03-24T10:59:49 --startdatetime 2017-03-24T11:03:06 --delay 2 --endMP 204:233297 --enddatetime 2017-03-24T11:40:11 --enforcementcount 0 &gt;&gt;C:\Users\stu\Documents\GitHub\eaglep3-reporting\EC\2017-03-24-refined-times.txt</v>
      </c>
      <c r="AI5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{"issue":{"subject":"","project_id":79,"tracker_id":40,"status_id":1,"priority_id":2,"assigned_to_id":23,"start_date":"2017-03-24","description":"","custom_fields":[{"id":1,"name":"Subdivision","value":"EC"},{"id":4,"name":"Milepost","value":"23.3297"},{"id":17,"name":"Train ID","value":"159-24"},{"id":16,"name":"Locomotive ID","value":"4011"},{"id":130,"name":"Impact","value":""},{"id":150,"name":"Time of Event (Mountain Time)","value":"11:40:11"},{"id":151,"name":"Denver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4011 --day 2017-03-24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716</v>
      </c>
      <c r="B55" s="7">
        <v>4012</v>
      </c>
      <c r="C55" s="21" t="s">
        <v>219</v>
      </c>
      <c r="D55" s="21" t="s">
        <v>442</v>
      </c>
      <c r="E55" s="13">
        <v>42818.495000000003</v>
      </c>
      <c r="F55" s="13">
        <v>42818.497430555559</v>
      </c>
      <c r="G55" s="7">
        <v>2</v>
      </c>
      <c r="H55" s="21" t="s">
        <v>871</v>
      </c>
      <c r="I55" s="13">
        <v>42818.527465277781</v>
      </c>
      <c r="J55" s="7">
        <v>0</v>
      </c>
      <c r="K55" s="98" t="str">
        <f t="shared" si="0"/>
        <v>4011/4012</v>
      </c>
      <c r="L55" s="21" t="str">
        <f>VLOOKUP(A55,'Trips&amp;Operators'!$C$1:$G$99999,5,FALSE)</f>
        <v>STEWART MICHAEL</v>
      </c>
      <c r="M55" s="6">
        <f t="shared" si="1"/>
        <v>3.0034722221898846E-2</v>
      </c>
      <c r="N55" s="7">
        <f t="shared" si="25"/>
        <v>43.249999999534339</v>
      </c>
      <c r="O55" s="7"/>
      <c r="P55" s="7"/>
      <c r="Q55" s="22"/>
      <c r="R55" s="22"/>
      <c r="S55" s="31">
        <f t="shared" si="21"/>
        <v>1</v>
      </c>
      <c r="T55" s="46" t="str">
        <f t="shared" si="3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-24T10:52:48-0600',mode:absolute,to:'2017-03-24T13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187" t="str">
        <f t="shared" si="5"/>
        <v>N</v>
      </c>
      <c r="X55" s="187">
        <f t="shared" si="22"/>
        <v>1</v>
      </c>
      <c r="Y55" s="62">
        <f t="shared" si="24"/>
        <v>23.298100000000002</v>
      </c>
      <c r="Z55" s="62">
        <f t="shared" si="7"/>
        <v>1.7000000000000001E-2</v>
      </c>
      <c r="AA55" s="62">
        <f t="shared" si="8"/>
        <v>23.281100000000002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0160-24</v>
      </c>
      <c r="AE55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55" s="82" t="str">
        <f t="shared" si="11"/>
        <v>"C:\Program Files (x86)\AstroGrep\AstroGrep.exe" /e /r /s /spath="%USERPROFILE%\AppData\Local\Temp\OnboardLogs" /stypes="app*4012*20170324*" /stext=" 18:.+((SYSTEM_STATE.+slice.+state.+changed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6"/>
        <v>"%USERPROFILE%\Documents\GitHub\eaglep3\Utilities\RefineRTDCRunTimes.py" --tripid 160-24 --locoid 4012 --swversion DE.1.0.9.0 --startMP 204:232981 --initTime 2017-03-24T11:52:48 --startdatetime 2017-03-24T11:56:18 --delay 2 --endMP 204:170 --enddatetime 2017-03-24T12:39:33 --enforcementcount 0 &gt;&gt;C:\Users\stu\Documents\GitHub\eaglep3-reporting\EC\2017-03-24-refined-times.txt</v>
      </c>
      <c r="AI5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{"issue":{"subject":"","project_id":79,"tracker_id":40,"status_id":1,"priority_id":2,"assigned_to_id":23,"start_date":"2017-03-24","description":"","custom_fields":[{"id":1,"name":"Subdivision","value":"EC"},{"id":4,"name":"Milepost","value":"0.017"},{"id":17,"name":"Train ID","value":"160-24"},{"id":16,"name":"Locomotive ID","value":"4012"},{"id":130,"name":"Impact","value":""},{"id":150,"name":"Time of Event (Mountain Time)","value":"12:39:33"},{"id":151,"name":"Denver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4012 --day 2017-03-24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706</v>
      </c>
      <c r="B56" s="7">
        <v>4020</v>
      </c>
      <c r="C56" s="21" t="s">
        <v>219</v>
      </c>
      <c r="D56" s="21" t="s">
        <v>872</v>
      </c>
      <c r="E56" s="13">
        <v>42818.468275462961</v>
      </c>
      <c r="F56" s="13">
        <v>42818.469976851855</v>
      </c>
      <c r="G56" s="7">
        <v>1</v>
      </c>
      <c r="H56" s="21" t="s">
        <v>873</v>
      </c>
      <c r="I56" s="13">
        <v>42818.494050925925</v>
      </c>
      <c r="J56" s="7">
        <v>0</v>
      </c>
      <c r="K56" s="98" t="str">
        <f t="shared" si="0"/>
        <v>4019/4020</v>
      </c>
      <c r="L56" s="21" t="str">
        <f>VLOOKUP(A56,'Trips&amp;Operators'!$C$1:$G$99999,5,FALSE)</f>
        <v>ROMERO CHAD</v>
      </c>
      <c r="M56" s="6">
        <f t="shared" si="1"/>
        <v>2.4074074070085771E-2</v>
      </c>
      <c r="N56" s="7">
        <f t="shared" si="25"/>
        <v>34.666666660923511</v>
      </c>
      <c r="O56" s="7"/>
      <c r="P56" s="7"/>
      <c r="Q56" s="22"/>
      <c r="R56" s="22"/>
      <c r="S56" s="31">
        <f t="shared" si="21"/>
        <v>1</v>
      </c>
      <c r="T56" s="46" t="str">
        <f t="shared" si="3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-24T10:14:19-0600',mode:absolute,to:'2017-03-24T12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187" t="str">
        <f t="shared" si="5"/>
        <v>N</v>
      </c>
      <c r="X56" s="187">
        <f t="shared" si="22"/>
        <v>1</v>
      </c>
      <c r="Y56" s="62">
        <f t="shared" si="24"/>
        <v>4.7800000000000002E-2</v>
      </c>
      <c r="Z56" s="62">
        <f t="shared" si="7"/>
        <v>23.338899999999999</v>
      </c>
      <c r="AA56" s="62">
        <f t="shared" si="8"/>
        <v>23.2911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0161-24</v>
      </c>
      <c r="AE56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56" s="82" t="str">
        <f t="shared" si="11"/>
        <v>"C:\Program Files (x86)\AstroGrep\AstroGrep.exe" /e /r /s /spath="%USERPROFILE%\AppData\Local\Temp\OnboardLogs" /stypes="app*4020*20170324*" /stext=" 17:.+((SYSTEM_STATE.+slice.+state.+changed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6"/>
        <v>"%USERPROFILE%\Documents\GitHub\eaglep3\Utilities\RefineRTDCRunTimes.py" --tripid 161-24 --locoid 4020 --swversion DE.1.0.9.0 --startMP 204:478 --initTime 2017-03-24T11:14:19 --startdatetime 2017-03-24T11:16:46 --delay 1 --endMP 204:233389 --enddatetime 2017-03-24T11:51:26 --enforcementcount 0 &gt;&gt;C:\Users\stu\Documents\GitHub\eaglep3-reporting\EC\2017-03-24-refined-times.txt</v>
      </c>
      <c r="AI5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{"issue":{"subject":"","project_id":79,"tracker_id":40,"status_id":1,"priority_id":2,"assigned_to_id":23,"start_date":"2017-03-24","description":"","custom_fields":[{"id":1,"name":"Subdivision","value":"EC"},{"id":4,"name":"Milepost","value":"23.3389"},{"id":17,"name":"Train ID","value":"161-24"},{"id":16,"name":"Locomotive ID","value":"4020"},{"id":130,"name":"Impact","value":""},{"id":150,"name":"Time of Event (Mountain Time)","value":"11:51:26"},{"id":151,"name":"Denver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4020 --day 2017-03-24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615</v>
      </c>
      <c r="B57" s="7">
        <v>4019</v>
      </c>
      <c r="C57" s="21" t="s">
        <v>219</v>
      </c>
      <c r="D57" s="21" t="s">
        <v>874</v>
      </c>
      <c r="E57" s="13">
        <v>42818.497442129628</v>
      </c>
      <c r="F57" s="13">
        <v>42818.5078125</v>
      </c>
      <c r="G57" s="7">
        <v>2</v>
      </c>
      <c r="H57" s="21" t="s">
        <v>572</v>
      </c>
      <c r="I57" s="13">
        <v>42818.536805555559</v>
      </c>
      <c r="J57" s="7">
        <v>0</v>
      </c>
      <c r="K57" s="98" t="str">
        <f t="shared" si="0"/>
        <v>4019/4020</v>
      </c>
      <c r="L57" s="21" t="str">
        <f>VLOOKUP(A57,'Trips&amp;Operators'!$C$1:$G$99999,5,FALSE)</f>
        <v>ROMERO CHAD</v>
      </c>
      <c r="M57" s="6">
        <f t="shared" si="1"/>
        <v>2.899305555911269E-2</v>
      </c>
      <c r="N57" s="7">
        <f t="shared" si="25"/>
        <v>41.750000005122274</v>
      </c>
      <c r="O57" s="7"/>
      <c r="P57" s="7"/>
      <c r="Q57" s="22"/>
      <c r="R57" s="22"/>
      <c r="S57" s="31">
        <f t="shared" si="21"/>
        <v>1</v>
      </c>
      <c r="T57" s="46" t="str">
        <f t="shared" si="3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-24T10:56:19-0600',mode:absolute,to:'2017-03-24T13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87" t="str">
        <f t="shared" si="5"/>
        <v>N</v>
      </c>
      <c r="X57" s="187">
        <f t="shared" si="22"/>
        <v>1</v>
      </c>
      <c r="Y57" s="62">
        <f t="shared" si="24"/>
        <v>23.305499999999999</v>
      </c>
      <c r="Z57" s="62">
        <f t="shared" si="7"/>
        <v>1.3599999999999999E-2</v>
      </c>
      <c r="AA57" s="62">
        <f t="shared" si="8"/>
        <v>23.291899999999998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0162-24</v>
      </c>
      <c r="AE57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57" s="82" t="str">
        <f t="shared" si="11"/>
        <v>"C:\Program Files (x86)\AstroGrep\AstroGrep.exe" /e /r /s /spath="%USERPROFILE%\AppData\Local\Temp\OnboardLogs" /stypes="app*4019*20170324*" /stext=" 18:.+((SYSTEM_STATE.+slice.+state.+changed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6"/>
        <v>"%USERPROFILE%\Documents\GitHub\eaglep3\Utilities\RefineRTDCRunTimes.py" --tripid 162-24 --locoid 4019 --swversion DE.1.0.9.0 --startMP 204:233055 --initTime 2017-03-24T11:56:19 --startdatetime 2017-03-24T12:11:15 --delay 2 --endMP 204:136 --enddatetime 2017-03-24T12:53:00 --enforcementcount 0 &gt;&gt;C:\Users\stu\Documents\GitHub\eaglep3-reporting\EC\2017-03-24-refined-times.txt</v>
      </c>
      <c r="AI5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{"issue":{"subject":"","project_id":79,"tracker_id":40,"status_id":1,"priority_id":2,"assigned_to_id":23,"start_date":"2017-03-24","description":"","custom_fields":[{"id":1,"name":"Subdivision","value":"EC"},{"id":4,"name":"Milepost","value":"0.0136"},{"id":17,"name":"Train ID","value":"162-24"},{"id":16,"name":"Locomotive ID","value":"4019"},{"id":130,"name":"Impact","value":""},{"id":150,"name":"Time of Event (Mountain Time)","value":"12:53:00"},{"id":151,"name":"Denver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4019 --day 2017-03-24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712</v>
      </c>
      <c r="B58" s="7">
        <v>4046</v>
      </c>
      <c r="C58" s="21" t="s">
        <v>219</v>
      </c>
      <c r="D58" s="21" t="s">
        <v>875</v>
      </c>
      <c r="E58" s="13">
        <v>42818.478541666664</v>
      </c>
      <c r="F58" s="13">
        <v>42818.481527777774</v>
      </c>
      <c r="G58" s="7">
        <v>1</v>
      </c>
      <c r="H58" s="21" t="s">
        <v>517</v>
      </c>
      <c r="I58" s="13">
        <v>42818.507870370369</v>
      </c>
      <c r="J58" s="7">
        <v>0</v>
      </c>
      <c r="K58" s="98" t="str">
        <f t="shared" si="0"/>
        <v>4045/4046</v>
      </c>
      <c r="L58" s="21" t="str">
        <f>VLOOKUP(A58,'Trips&amp;Operators'!$C$1:$G$99999,5,FALSE)</f>
        <v>CLARK KATHLEEN</v>
      </c>
      <c r="M58" s="6">
        <f t="shared" si="1"/>
        <v>2.6342592595028691E-2</v>
      </c>
      <c r="N58" s="7">
        <f t="shared" si="25"/>
        <v>37.933333336841315</v>
      </c>
      <c r="O58" s="7"/>
      <c r="P58" s="7"/>
      <c r="Q58" s="22"/>
      <c r="R58" s="22"/>
      <c r="S58" s="31">
        <f t="shared" si="21"/>
        <v>1</v>
      </c>
      <c r="T58" s="46" t="str">
        <f t="shared" si="3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-24T10:29:06-0600',mode:absolute,to:'2017-03-24T13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8" s="187" t="str">
        <f t="shared" si="5"/>
        <v>N</v>
      </c>
      <c r="X58" s="187">
        <f t="shared" si="22"/>
        <v>1</v>
      </c>
      <c r="Y58" s="62">
        <f t="shared" si="24"/>
        <v>4.7100000000000003E-2</v>
      </c>
      <c r="Z58" s="62">
        <f t="shared" si="7"/>
        <v>23.329499999999999</v>
      </c>
      <c r="AA58" s="62">
        <f t="shared" si="8"/>
        <v>23.282399999999999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0163-24</v>
      </c>
      <c r="AE58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58" s="82" t="str">
        <f t="shared" si="11"/>
        <v>"C:\Program Files (x86)\AstroGrep\AstroGrep.exe" /e /r /s /spath="%USERPROFILE%\AppData\Local\Temp\OnboardLogs" /stypes="app*4046*20170324*" /stext=" 18:.+((SYSTEM_STATE.+slice.+state.+changed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6"/>
        <v>"%USERPROFILE%\Documents\GitHub\eaglep3\Utilities\RefineRTDCRunTimes.py" --tripid 163-24 --locoid 4046 --swversion DE.1.0.9.0 --startMP 204:471 --initTime 2017-03-24T11:29:06 --startdatetime 2017-03-24T11:33:24 --delay 1 --endMP 204:233295 --enddatetime 2017-03-24T12:11:20 --enforcementcount 0 &gt;&gt;C:\Users\stu\Documents\GitHub\eaglep3-reporting\EC\2017-03-24-refined-times.txt</v>
      </c>
      <c r="AI5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{"issue":{"subject":"","project_id":79,"tracker_id":40,"status_id":1,"priority_id":2,"assigned_to_id":23,"start_date":"2017-03-24","description":"","custom_fields":[{"id":1,"name":"Subdivision","value":"EC"},{"id":4,"name":"Milepost","value":"23.3295"},{"id":17,"name":"Train ID","value":"163-24"},{"id":16,"name":"Locomotive ID","value":"4046"},{"id":130,"name":"Impact","value":""},{"id":150,"name":"Time of Event (Mountain Time)","value":"12:11:20"},{"id":151,"name":"Denver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4046 --day 2017-03-24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719</v>
      </c>
      <c r="B59" s="7">
        <v>4045</v>
      </c>
      <c r="C59" s="21" t="s">
        <v>219</v>
      </c>
      <c r="D59" s="21" t="s">
        <v>876</v>
      </c>
      <c r="E59" s="13">
        <v>42818.513773148145</v>
      </c>
      <c r="F59" s="13">
        <v>42818.518206018518</v>
      </c>
      <c r="G59" s="7">
        <v>1</v>
      </c>
      <c r="H59" s="21" t="s">
        <v>877</v>
      </c>
      <c r="I59" s="13">
        <v>42818.545902777776</v>
      </c>
      <c r="J59" s="7">
        <v>0</v>
      </c>
      <c r="K59" s="98" t="str">
        <f t="shared" si="0"/>
        <v>4045/4046</v>
      </c>
      <c r="L59" s="21" t="str">
        <f>VLOOKUP(A59,'Trips&amp;Operators'!$C$1:$G$99999,5,FALSE)</f>
        <v>CLARK KATHLEEN</v>
      </c>
      <c r="M59" s="6">
        <f t="shared" si="1"/>
        <v>2.7696759258105885E-2</v>
      </c>
      <c r="N59" s="7">
        <f t="shared" si="25"/>
        <v>39.883333331672475</v>
      </c>
      <c r="O59" s="7"/>
      <c r="P59" s="7"/>
      <c r="Q59" s="22"/>
      <c r="R59" s="22"/>
      <c r="S59" s="31">
        <f t="shared" si="21"/>
        <v>1</v>
      </c>
      <c r="T59" s="46" t="str">
        <f t="shared" si="3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-24T11:19:50-0600',mode:absolute,to:'2017-03-24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9" s="187" t="str">
        <f t="shared" si="5"/>
        <v>N</v>
      </c>
      <c r="X59" s="187">
        <f t="shared" si="22"/>
        <v>1</v>
      </c>
      <c r="Y59" s="62">
        <f t="shared" si="24"/>
        <v>23.297599999999999</v>
      </c>
      <c r="Z59" s="62">
        <f t="shared" si="7"/>
        <v>2.01E-2</v>
      </c>
      <c r="AA59" s="62">
        <f t="shared" si="8"/>
        <v>23.2775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0164-24</v>
      </c>
      <c r="AE59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59" s="82" t="str">
        <f t="shared" si="11"/>
        <v>"C:\Program Files (x86)\AstroGrep\AstroGrep.exe" /e /r /s /spath="%USERPROFILE%\AppData\Local\Temp\OnboardLogs" /stypes="app*4045*20170324*" /stext=" 19:.+((SYSTEM_STATE.+slice.+state.+changed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6"/>
        <v>"%USERPROFILE%\Documents\GitHub\eaglep3\Utilities\RefineRTDCRunTimes.py" --tripid 164-24 --locoid 4045 --swversion DE.1.0.9.0 --startMP 204:232976 --initTime 2017-03-24T12:19:50 --startdatetime 2017-03-24T12:26:13 --delay 1 --endMP 204:201 --enddatetime 2017-03-24T13:06:06 --enforcementcount 0 &gt;&gt;C:\Users\stu\Documents\GitHub\eaglep3-reporting\EC\2017-03-24-refined-times.txt</v>
      </c>
      <c r="AI5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{"issue":{"subject":"","project_id":79,"tracker_id":40,"status_id":1,"priority_id":2,"assigned_to_id":23,"start_date":"2017-03-24","description":"","custom_fields":[{"id":1,"name":"Subdivision","value":"EC"},{"id":4,"name":"Milepost","value":"0.0201"},{"id":17,"name":"Train ID","value":"164-24"},{"id":16,"name":"Locomotive ID","value":"4045"},{"id":130,"name":"Impact","value":""},{"id":150,"name":"Time of Event (Mountain Time)","value":"13:06:06"},{"id":151,"name":"Denver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4045 --day 2017-03-24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715</v>
      </c>
      <c r="B60" s="7">
        <v>4018</v>
      </c>
      <c r="C60" s="21" t="s">
        <v>219</v>
      </c>
      <c r="D60" s="21" t="s">
        <v>441</v>
      </c>
      <c r="E60" s="13">
        <v>42818.491053240738</v>
      </c>
      <c r="F60" s="13">
        <v>42818.493391203701</v>
      </c>
      <c r="G60" s="7">
        <v>2</v>
      </c>
      <c r="H60" s="21" t="s">
        <v>385</v>
      </c>
      <c r="I60" s="13">
        <v>42818.518379629626</v>
      </c>
      <c r="J60" s="7">
        <v>0</v>
      </c>
      <c r="K60" s="98" t="str">
        <f t="shared" si="0"/>
        <v>4017/4018</v>
      </c>
      <c r="L60" s="21" t="str">
        <f>VLOOKUP(A60,'Trips&amp;Operators'!$C$1:$G$99999,5,FALSE)</f>
        <v>BRUDER RICHARD</v>
      </c>
      <c r="M60" s="6">
        <f t="shared" si="1"/>
        <v>2.4988425924675539E-2</v>
      </c>
      <c r="N60" s="7">
        <f t="shared" si="25"/>
        <v>35.983333331532776</v>
      </c>
      <c r="O60" s="7"/>
      <c r="P60" s="7"/>
      <c r="Q60" s="22"/>
      <c r="R60" s="22"/>
      <c r="S60" s="31">
        <f t="shared" si="21"/>
        <v>1</v>
      </c>
      <c r="T60" s="46" t="str">
        <f t="shared" si="3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-24T10:47:07-0600',mode:absolute,to:'2017-03-24T13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187" t="str">
        <f t="shared" si="5"/>
        <v>N</v>
      </c>
      <c r="X60" s="187">
        <f t="shared" si="22"/>
        <v>1</v>
      </c>
      <c r="Y60" s="62">
        <f t="shared" si="24"/>
        <v>4.4900000000000002E-2</v>
      </c>
      <c r="Z60" s="62">
        <f t="shared" si="7"/>
        <v>23.3293</v>
      </c>
      <c r="AA60" s="62">
        <f t="shared" si="8"/>
        <v>23.284400000000002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0165-24</v>
      </c>
      <c r="AE60" s="85" t="str">
        <f t="shared" si="10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60" s="82" t="str">
        <f t="shared" si="11"/>
        <v>"C:\Program Files (x86)\AstroGrep\AstroGrep.exe" /e /r /s /spath="%USERPROFILE%\AppData\Local\Temp\OnboardLogs" /stypes="app*4018*20170324*" /stext=" 18:.+((SYSTEM_STATE.+slice.+state.+changed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6"/>
        <v>"%USERPROFILE%\Documents\GitHub\eaglep3\Utilities\RefineRTDCRunTimes.py" --tripid 165-24 --locoid 4018 --swversion DE.1.0.9.0 --startMP 204:449 --initTime 2017-03-24T11:47:07 --startdatetime 2017-03-24T11:50:29 --delay 2 --endMP 204:233293 --enddatetime 2017-03-24T12:26:28 --enforcementcount 0 &gt;&gt;C:\Users\stu\Documents\GitHub\eaglep3-reporting\EC\2017-03-24-refined-times.txt</v>
      </c>
      <c r="AI6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{"issue":{"subject":"","project_id":79,"tracker_id":40,"status_id":1,"priority_id":2,"assigned_to_id":23,"start_date":"2017-03-24","description":"","custom_fields":[{"id":1,"name":"Subdivision","value":"EC"},{"id":4,"name":"Milepost","value":"23.3293"},{"id":17,"name":"Train ID","value":"165-24"},{"id":16,"name":"Locomotive ID","value":"4018"},{"id":130,"name":"Impact","value":""},{"id":150,"name":"Time of Event (Mountain Time)","value":"12:26:28"},{"id":151,"name":"Denver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4018 --day 2017-03-24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720</v>
      </c>
      <c r="B61" s="7">
        <v>4017</v>
      </c>
      <c r="C61" s="21" t="s">
        <v>219</v>
      </c>
      <c r="D61" s="21" t="s">
        <v>869</v>
      </c>
      <c r="E61" s="13">
        <v>42818.521469907406</v>
      </c>
      <c r="F61" s="13">
        <v>42818.528668981482</v>
      </c>
      <c r="G61" s="7">
        <v>1</v>
      </c>
      <c r="H61" s="21" t="s">
        <v>184</v>
      </c>
      <c r="I61" s="13">
        <v>42818.55736111111</v>
      </c>
      <c r="J61" s="7">
        <v>0</v>
      </c>
      <c r="K61" s="98" t="str">
        <f t="shared" si="0"/>
        <v>4017/4018</v>
      </c>
      <c r="L61" s="21" t="str">
        <f>VLOOKUP(A61,'Trips&amp;Operators'!$C$1:$G$99999,5,FALSE)</f>
        <v>FORTUNATO FRANK</v>
      </c>
      <c r="M61" s="6">
        <f t="shared" si="1"/>
        <v>2.8692129628325347E-2</v>
      </c>
      <c r="N61" s="7">
        <f t="shared" si="25"/>
        <v>41.316666664788499</v>
      </c>
      <c r="O61" s="7"/>
      <c r="P61" s="7"/>
      <c r="Q61" s="22"/>
      <c r="R61" s="22"/>
      <c r="S61" s="31">
        <f t="shared" si="21"/>
        <v>1</v>
      </c>
      <c r="T61" s="46" t="str">
        <f t="shared" si="3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-24T11:30:55-0600',mode:absolute,to:'2017-03-24T14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187" t="str">
        <f t="shared" si="5"/>
        <v>N</v>
      </c>
      <c r="X61" s="187">
        <f t="shared" si="22"/>
        <v>1</v>
      </c>
      <c r="Y61" s="62">
        <f t="shared" si="24"/>
        <v>23.297499999999999</v>
      </c>
      <c r="Z61" s="62">
        <f t="shared" si="7"/>
        <v>1.49E-2</v>
      </c>
      <c r="AA61" s="62">
        <f t="shared" si="8"/>
        <v>23.282599999999999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0166-24</v>
      </c>
      <c r="AE61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61" s="82" t="str">
        <f t="shared" si="11"/>
        <v>"C:\Program Files (x86)\AstroGrep\AstroGrep.exe" /e /r /s /spath="%USERPROFILE%\AppData\Local\Temp\OnboardLogs" /stypes="app*4017*20170324*" /stext=" 19:.+((SYSTEM_STATE.+slice.+state.+changed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6"/>
        <v>"%USERPROFILE%\Documents\GitHub\eaglep3\Utilities\RefineRTDCRunTimes.py" --tripid 166-24 --locoid 4017 --swversion DE.1.0.9.0 --startMP 204:232975 --initTime 2017-03-24T12:30:55 --startdatetime 2017-03-24T12:41:17 --delay 1 --endMP 204:149 --enddatetime 2017-03-24T13:22:36 --enforcementcount 0 &gt;&gt;C:\Users\stu\Documents\GitHub\eaglep3-reporting\EC\2017-03-24-refined-times.txt</v>
      </c>
      <c r="AI6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ID","value":"166-24"},{"id":16,"name":"Locomotive ID","value":"4017"},{"id":130,"name":"Impact","value":""},{"id":150,"name":"Time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4017 --day 2017-03-24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614</v>
      </c>
      <c r="B62" s="7">
        <v>4027</v>
      </c>
      <c r="C62" s="21" t="s">
        <v>219</v>
      </c>
      <c r="D62" s="21" t="s">
        <v>221</v>
      </c>
      <c r="E62" s="13">
        <v>42818.496388888889</v>
      </c>
      <c r="F62" s="13">
        <v>42818.500289351854</v>
      </c>
      <c r="G62" s="7">
        <v>1</v>
      </c>
      <c r="H62" s="21" t="s">
        <v>878</v>
      </c>
      <c r="I62" s="13">
        <v>42818.521504629629</v>
      </c>
      <c r="J62" s="7">
        <v>0</v>
      </c>
      <c r="K62" s="98" t="str">
        <f t="shared" si="0"/>
        <v>4027/4028</v>
      </c>
      <c r="L62" s="21" t="str">
        <f>VLOOKUP(A62,'Trips&amp;Operators'!$C$1:$G$99999,5,FALSE)</f>
        <v>HELVIE ADAM</v>
      </c>
      <c r="M62" s="6">
        <f t="shared" si="1"/>
        <v>2.1215277774899732E-2</v>
      </c>
      <c r="N62" s="7"/>
      <c r="O62" s="7"/>
      <c r="P62" s="7">
        <f>24*60*SUM($M62:$M62)</f>
        <v>30.549999995855615</v>
      </c>
      <c r="Q62" s="22"/>
      <c r="R62" s="22" t="s">
        <v>1057</v>
      </c>
      <c r="S62" s="31">
        <f t="shared" si="21"/>
        <v>1</v>
      </c>
      <c r="T62" s="46" t="str">
        <f t="shared" si="3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-24T10:54:48-0600',mode:absolute,to:'2017-03-24T13:30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187" t="str">
        <f t="shared" si="5"/>
        <v>Y</v>
      </c>
      <c r="X62" s="187">
        <f t="shared" si="22"/>
        <v>1</v>
      </c>
      <c r="Y62" s="62">
        <f t="shared" si="24"/>
        <v>4.6699999999999998E-2</v>
      </c>
      <c r="Z62" s="62">
        <f t="shared" si="7"/>
        <v>19.394300000000001</v>
      </c>
      <c r="AA62" s="62">
        <f t="shared" si="8"/>
        <v>19.3476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0167-24</v>
      </c>
      <c r="AE62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62" s="82" t="str">
        <f t="shared" si="11"/>
        <v>"C:\Program Files (x86)\AstroGrep\AstroGrep.exe" /e /r /s /spath="%USERPROFILE%\AppData\Local\Temp\OnboardLogs" /stypes="app*4027*20170324*" /stext=" 18:.+((SYSTEM_STATE.+slice.+state.+changed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6"/>
        <v>"%USERPROFILE%\Documents\GitHub\eaglep3\Utilities\RefineRTDCRunTimes.py" --tripid 167-24 --locoid 4027 --swversion DE.1.0.9.0 --startMP 204:467 --initTime 2017-03-24T11:54:48 --startdatetime 2017-03-24T12:00:25 --delay 1 --endMP 204:193943 --enddatetime 2017-03-24T12:30:58 --enforcementcount 0 &gt;&gt;C:\Users\stu\Documents\GitHub\eaglep3-reporting\EC\2017-03-24-refined-times.txt</v>
      </c>
      <c r="AI62" s="108" t="str">
        <f t="shared" si="17"/>
        <v>echo {"issue":{"subject":"Premature downgrade at Pena 2N","project_id":79,"tracker_id":40,"status_id":1,"priority_id":2,"assigned_to_id":23,"start_date":"2017-03-24","description":"","custom_fields":[{"id":1,"name":"Subdivision","value":"EC"},{"id":4,"name":"Milepost","value":"19.3943"},{"id":17,"name":"Train ID","value":"167-24"},{"id":16,"name":"Locomotive ID","value":"4027"},{"id":130,"name":"Impact","value":""},{"id":150,"name":"Time of Event (Mountain Time)","value":"12:30:58"},{"id":151,"name":"Denver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4027 --day 2017-03-24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723</v>
      </c>
      <c r="B63" s="7">
        <v>4028</v>
      </c>
      <c r="C63" s="21" t="s">
        <v>219</v>
      </c>
      <c r="D63" s="21" t="s">
        <v>879</v>
      </c>
      <c r="E63" s="13">
        <v>42818.535902777781</v>
      </c>
      <c r="F63" s="13">
        <v>42818.539097222223</v>
      </c>
      <c r="G63" s="7">
        <v>1</v>
      </c>
      <c r="H63" s="21" t="s">
        <v>200</v>
      </c>
      <c r="I63" s="13">
        <v>42818.572476851848</v>
      </c>
      <c r="J63" s="7">
        <v>0</v>
      </c>
      <c r="K63" s="98" t="str">
        <f t="shared" si="0"/>
        <v>4027/4028</v>
      </c>
      <c r="L63" s="21" t="str">
        <f>VLOOKUP(A63,'Trips&amp;Operators'!$C$1:$G$99999,5,FALSE)</f>
        <v>HELVIE ADAM</v>
      </c>
      <c r="M63" s="6">
        <f t="shared" si="1"/>
        <v>3.3379629625414964E-2</v>
      </c>
      <c r="N63" s="7">
        <f t="shared" ref="N63:N93" si="26">24*60*SUM($M63:$M63)</f>
        <v>48.066666660597548</v>
      </c>
      <c r="O63" s="7"/>
      <c r="P63" s="7"/>
      <c r="Q63" s="22"/>
      <c r="R63" s="22"/>
      <c r="S63" s="31">
        <f t="shared" si="21"/>
        <v>1</v>
      </c>
      <c r="T63" s="46" t="str">
        <f t="shared" si="3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-24T11:51:42-0600',mode:absolute,to:'2017-03-24T14:44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187" t="str">
        <f t="shared" si="5"/>
        <v>N</v>
      </c>
      <c r="X63" s="187">
        <f t="shared" si="22"/>
        <v>1</v>
      </c>
      <c r="Y63" s="62">
        <f t="shared" si="24"/>
        <v>23.300799999999999</v>
      </c>
      <c r="Z63" s="62">
        <f t="shared" si="7"/>
        <v>1.5800000000000002E-2</v>
      </c>
      <c r="AA63" s="62">
        <f t="shared" si="8"/>
        <v>23.285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0168-24</v>
      </c>
      <c r="AE63" s="85" t="str">
        <f t="shared" si="10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63" s="82" t="str">
        <f t="shared" si="11"/>
        <v>"C:\Program Files (x86)\AstroGrep\AstroGrep.exe" /e /r /s /spath="%USERPROFILE%\AppData\Local\Temp\OnboardLogs" /stypes="app*4028*20170324*" /stext=" 19:.+((SYSTEM_STATE.+slice.+state.+changed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6"/>
        <v>"%USERPROFILE%\Documents\GitHub\eaglep3\Utilities\RefineRTDCRunTimes.py" --tripid 168-24 --locoid 4028 --swversion DE.1.0.9.0 --startMP 204:233008 --initTime 2017-03-24T12:51:42 --startdatetime 2017-03-24T12:56:18 --delay 1 --endMP 204:158 --enddatetime 2017-03-24T13:44:22 --enforcementcount 0 &gt;&gt;C:\Users\stu\Documents\GitHub\eaglep3-reporting\EC\2017-03-24-refined-times.txt</v>
      </c>
      <c r="AI6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ID","value":"168-24"},{"id":16,"name":"Locomotive ID","value":"4028"},{"id":130,"name":"Impact","value":""},{"id":150,"name":"Time of Event (Mountain Time)","value":"13:44:22"},{"id":151,"name":"Denver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4028 --day 2017-03-24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718</v>
      </c>
      <c r="B64" s="7">
        <v>4031</v>
      </c>
      <c r="C64" s="21" t="s">
        <v>219</v>
      </c>
      <c r="D64" s="21" t="s">
        <v>212</v>
      </c>
      <c r="E64" s="13">
        <v>42818.508009259262</v>
      </c>
      <c r="F64" s="13">
        <v>42818.511076388888</v>
      </c>
      <c r="G64" s="7">
        <v>3</v>
      </c>
      <c r="H64" s="21" t="s">
        <v>491</v>
      </c>
      <c r="I64" s="13">
        <v>42818.536631944444</v>
      </c>
      <c r="J64" s="7">
        <v>0</v>
      </c>
      <c r="K64" s="98" t="str">
        <f t="shared" si="0"/>
        <v>4031/4032</v>
      </c>
      <c r="L64" s="21" t="str">
        <f>VLOOKUP(A64,'Trips&amp;Operators'!$C$1:$G$99999,5,FALSE)</f>
        <v>BRANDNER MELINDA</v>
      </c>
      <c r="M64" s="6">
        <f t="shared" si="1"/>
        <v>2.5555555555911269E-2</v>
      </c>
      <c r="N64" s="7">
        <f t="shared" si="26"/>
        <v>36.800000000512227</v>
      </c>
      <c r="O64" s="7"/>
      <c r="P64" s="7"/>
      <c r="Q64" s="22"/>
      <c r="R64" s="22"/>
      <c r="S64" s="31">
        <f t="shared" si="21"/>
        <v>1</v>
      </c>
      <c r="T64" s="46" t="str">
        <f t="shared" si="3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-24T11:11:32-0600',mode:absolute,to:'2017-03-24T13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87" t="str">
        <f t="shared" si="5"/>
        <v>N</v>
      </c>
      <c r="X64" s="187">
        <f t="shared" si="22"/>
        <v>1</v>
      </c>
      <c r="Y64" s="62">
        <f t="shared" si="24"/>
        <v>4.53E-2</v>
      </c>
      <c r="Z64" s="62">
        <f t="shared" si="7"/>
        <v>23.328900000000001</v>
      </c>
      <c r="AA64" s="62">
        <f t="shared" si="8"/>
        <v>23.2836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0169-24</v>
      </c>
      <c r="AE64" s="85" t="str">
        <f t="shared" si="10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64" s="82" t="str">
        <f t="shared" si="11"/>
        <v>"C:\Program Files (x86)\AstroGrep\AstroGrep.exe" /e /r /s /spath="%USERPROFILE%\AppData\Local\Temp\OnboardLogs" /stypes="app*4031*20170324*" /stext=" 18:.+((SYSTEM_STATE.+slice.+state.+changed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6"/>
        <v>"%USERPROFILE%\Documents\GitHub\eaglep3\Utilities\RefineRTDCRunTimes.py" --tripid 169-24 --locoid 4031 --swversion DE.1.0.9.0 --startMP 204:453 --initTime 2017-03-24T12:11:32 --startdatetime 2017-03-24T12:15:57 --delay 3 --endMP 204:233289 --enddatetime 2017-03-24T12:52:45 --enforcementcount 0 &gt;&gt;C:\Users\stu\Documents\GitHub\eaglep3-reporting\EC\2017-03-24-refined-times.txt</v>
      </c>
      <c r="AI6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ID","value":"169-24"},{"id":16,"name":"Locomotive ID","value":"4031"},{"id":130,"name":"Impact","value":""},{"id":150,"name":"Time of Event (Mountain Time)","value":"12:52:45"},{"id":151,"name":"Denver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4031 --day 2017-03-24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619</v>
      </c>
      <c r="B65" s="7">
        <v>4032</v>
      </c>
      <c r="C65" s="21" t="s">
        <v>219</v>
      </c>
      <c r="D65" s="21" t="s">
        <v>478</v>
      </c>
      <c r="E65" s="13">
        <v>42818.544456018521</v>
      </c>
      <c r="F65" s="13">
        <v>42818.549490740741</v>
      </c>
      <c r="G65" s="7">
        <v>3</v>
      </c>
      <c r="H65" s="21" t="s">
        <v>515</v>
      </c>
      <c r="I65" s="13">
        <v>42818.579988425925</v>
      </c>
      <c r="J65" s="7">
        <v>0</v>
      </c>
      <c r="K65" s="98" t="str">
        <f t="shared" si="0"/>
        <v>4031/4032</v>
      </c>
      <c r="L65" s="21" t="str">
        <f>VLOOKUP(A65,'Trips&amp;Operators'!$C$1:$G$99999,5,FALSE)</f>
        <v>BRANDNER MELINDA</v>
      </c>
      <c r="M65" s="6">
        <f t="shared" si="1"/>
        <v>3.0497685183945578E-2</v>
      </c>
      <c r="N65" s="7">
        <f t="shared" si="26"/>
        <v>43.916666664881632</v>
      </c>
      <c r="O65" s="7"/>
      <c r="P65" s="7"/>
      <c r="Q65" s="22"/>
      <c r="R65" s="22"/>
      <c r="S65" s="31">
        <f t="shared" si="21"/>
        <v>1</v>
      </c>
      <c r="T65" s="46" t="str">
        <f t="shared" si="3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-24T12:04:01-0600',mode:absolute,to:'2017-03-24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87" t="str">
        <f t="shared" si="5"/>
        <v>N</v>
      </c>
      <c r="X65" s="187">
        <f t="shared" si="22"/>
        <v>1</v>
      </c>
      <c r="Y65" s="62">
        <f t="shared" si="24"/>
        <v>23.297699999999999</v>
      </c>
      <c r="Z65" s="62">
        <f t="shared" si="7"/>
        <v>1.7399999999999999E-2</v>
      </c>
      <c r="AA65" s="62">
        <f t="shared" si="8"/>
        <v>23.2803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0170-24</v>
      </c>
      <c r="AE65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65" s="82" t="str">
        <f t="shared" si="11"/>
        <v>"C:\Program Files (x86)\AstroGrep\AstroGrep.exe" /e /r /s /spath="%USERPROFILE%\AppData\Local\Temp\OnboardLogs" /stypes="app*4032*20170324*" /stext=" 19:.+((SYSTEM_STATE.+slice.+state.+changed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6"/>
        <v>"%USERPROFILE%\Documents\GitHub\eaglep3\Utilities\RefineRTDCRunTimes.py" --tripid 170-24 --locoid 4032 --swversion DE.1.0.9.0 --startMP 204:232977 --initTime 2017-03-24T13:04:01 --startdatetime 2017-03-24T13:11:16 --delay 3 --endMP 204:174 --enddatetime 2017-03-24T13:55:11 --enforcementcount 0 &gt;&gt;C:\Users\stu\Documents\GitHub\eaglep3-reporting\EC\2017-03-24-refined-times.txt</v>
      </c>
      <c r="AI6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{"issue":{"subject":"","project_id":79,"tracker_id":40,"status_id":1,"priority_id":2,"assigned_to_id":23,"start_date":"2017-03-24","description":"","custom_fields":[{"id":1,"name":"Subdivision","value":"EC"},{"id":4,"name":"Milepost","value":"0.0174"},{"id":17,"name":"Train ID","value":"170-24"},{"id":16,"name":"Locomotive ID","value":"4032"},{"id":130,"name":"Impact","value":""},{"id":150,"name":"Time of Event (Mountain Time)","value":"13:55:11"},{"id":151,"name":"Denver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4032 --day 2017-03-24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616</v>
      </c>
      <c r="B66" s="7">
        <v>4003</v>
      </c>
      <c r="C66" s="21" t="s">
        <v>219</v>
      </c>
      <c r="D66" s="21" t="s">
        <v>212</v>
      </c>
      <c r="E66" s="13">
        <v>42818.517013888886</v>
      </c>
      <c r="F66" s="13">
        <v>42818.521111111113</v>
      </c>
      <c r="G66" s="7">
        <v>1</v>
      </c>
      <c r="H66" s="21" t="s">
        <v>560</v>
      </c>
      <c r="I66" s="13">
        <v>42818.548148148147</v>
      </c>
      <c r="J66" s="7">
        <v>0</v>
      </c>
      <c r="K66" s="98" t="str">
        <f t="shared" si="0"/>
        <v>4003/4004</v>
      </c>
      <c r="L66" s="21" t="str">
        <f>VLOOKUP(A66,'Trips&amp;Operators'!$C$1:$G$99999,5,FALSE)</f>
        <v>STRICKLAND EVAN</v>
      </c>
      <c r="M66" s="6">
        <f t="shared" si="1"/>
        <v>2.7037037034460809E-2</v>
      </c>
      <c r="N66" s="7">
        <f t="shared" si="26"/>
        <v>38.933333329623565</v>
      </c>
      <c r="O66" s="7"/>
      <c r="P66" s="7"/>
      <c r="Q66" s="22"/>
      <c r="R66" s="22"/>
      <c r="S66" s="31">
        <f t="shared" si="21"/>
        <v>1</v>
      </c>
      <c r="T66" s="46" t="str">
        <f t="shared" si="3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-24T11:24:30-0600',mode:absolute,to:'2017-03-24T14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187" t="str">
        <f t="shared" si="5"/>
        <v>N</v>
      </c>
      <c r="X66" s="187">
        <f t="shared" si="22"/>
        <v>1</v>
      </c>
      <c r="Y66" s="62">
        <f t="shared" si="24"/>
        <v>4.53E-2</v>
      </c>
      <c r="Z66" s="62">
        <f t="shared" si="7"/>
        <v>23.3306</v>
      </c>
      <c r="AA66" s="62">
        <f t="shared" si="8"/>
        <v>23.285299999999999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0171-24</v>
      </c>
      <c r="AE66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66" s="82" t="str">
        <f t="shared" si="11"/>
        <v>"C:\Program Files (x86)\AstroGrep\AstroGrep.exe" /e /r /s /spath="%USERPROFILE%\AppData\Local\Temp\OnboardLogs" /stypes="app*4003*20170324*" /stext=" 19:.+((SYSTEM_STATE.+slice.+state.+changed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6"/>
        <v>"%USERPROFILE%\Documents\GitHub\eaglep3\Utilities\RefineRTDCRunTimes.py" --tripid 171-24 --locoid 4003 --swversion DE.1.0.9.0 --startMP 204:453 --initTime 2017-03-24T12:24:30 --startdatetime 2017-03-24T12:30:24 --delay 1 --endMP 204:233306 --enddatetime 2017-03-24T13:09:20 --enforcementcount 0 &gt;&gt;C:\Users\stu\Documents\GitHub\eaglep3-reporting\EC\2017-03-24-refined-times.txt</v>
      </c>
      <c r="AI6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{"issue":{"subject":"","project_id":79,"tracker_id":40,"status_id":1,"priority_id":2,"assigned_to_id":23,"start_date":"2017-03-24","description":"","custom_fields":[{"id":1,"name":"Subdivision","value":"EC"},{"id":4,"name":"Milepost","value":"23.3306"},{"id":17,"name":"Train ID","value":"171-24"},{"id":16,"name":"Locomotive ID","value":"4003"},{"id":130,"name":"Impact","value":""},{"id":150,"name":"Time of Event (Mountain Time)","value":"13:09:20"},{"id":151,"name":"Denver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4003 --day 2017-03-24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618</v>
      </c>
      <c r="B67" s="7">
        <v>4004</v>
      </c>
      <c r="C67" s="21" t="s">
        <v>219</v>
      </c>
      <c r="D67" s="21" t="s">
        <v>880</v>
      </c>
      <c r="E67" s="13">
        <v>42818.550057870372</v>
      </c>
      <c r="F67" s="13">
        <v>42818.560185185182</v>
      </c>
      <c r="G67" s="7">
        <v>2</v>
      </c>
      <c r="H67" s="21" t="s">
        <v>871</v>
      </c>
      <c r="I67" s="13">
        <v>42818.589317129627</v>
      </c>
      <c r="J67" s="7">
        <v>0</v>
      </c>
      <c r="K67" s="98" t="str">
        <f t="shared" si="0"/>
        <v>4003/4004</v>
      </c>
      <c r="L67" s="21" t="str">
        <f>VLOOKUP(A67,'Trips&amp;Operators'!$C$1:$G$99999,5,FALSE)</f>
        <v>STRICKLAND EVAN</v>
      </c>
      <c r="M67" s="6">
        <f t="shared" si="1"/>
        <v>2.9131944444088731E-2</v>
      </c>
      <c r="N67" s="7">
        <f t="shared" si="26"/>
        <v>41.949999999487773</v>
      </c>
      <c r="O67" s="7"/>
      <c r="P67" s="7"/>
      <c r="Q67" s="22"/>
      <c r="R67" s="22"/>
      <c r="S67" s="31">
        <f t="shared" si="21"/>
        <v>1</v>
      </c>
      <c r="T67" s="46" t="str">
        <f t="shared" si="3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-24T12:12:05-0600',mode:absolute,to:'2017-03-24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87" t="str">
        <f t="shared" si="5"/>
        <v>N</v>
      </c>
      <c r="X67" s="187">
        <f t="shared" si="22"/>
        <v>1</v>
      </c>
      <c r="Y67" s="62">
        <f t="shared" si="24"/>
        <v>23.2974</v>
      </c>
      <c r="Z67" s="62">
        <f t="shared" si="7"/>
        <v>1.7000000000000001E-2</v>
      </c>
      <c r="AA67" s="62">
        <f t="shared" si="8"/>
        <v>23.2804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0172-24</v>
      </c>
      <c r="AE67" s="85" t="str">
        <f t="shared" si="10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67" s="82" t="str">
        <f t="shared" si="11"/>
        <v>"C:\Program Files (x86)\AstroGrep\AstroGrep.exe" /e /r /s /spath="%USERPROFILE%\AppData\Local\Temp\OnboardLogs" /stypes="app*4004*20170324*" /stext=" 20:.+((SYSTEM_STATE.+slice.+state.+changed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6"/>
        <v>"%USERPROFILE%\Documents\GitHub\eaglep3\Utilities\RefineRTDCRunTimes.py" --tripid 172-24 --locoid 4004 --swversion DE.1.0.9.0 --startMP 204:232974 --initTime 2017-03-24T13:12:05 --startdatetime 2017-03-24T13:26:40 --delay 2 --endMP 204:170 --enddatetime 2017-03-24T14:08:37 --enforcementcount 0 &gt;&gt;C:\Users\stu\Documents\GitHub\eaglep3-reporting\EC\2017-03-24-refined-times.txt</v>
      </c>
      <c r="AI6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{"issue":{"subject":"","project_id":79,"tracker_id":40,"status_id":1,"priority_id":2,"assigned_to_id":23,"start_date":"2017-03-24","description":"","custom_fields":[{"id":1,"name":"Subdivision","value":"EC"},{"id":4,"name":"Milepost","value":"0.017"},{"id":17,"name":"Train ID","value":"172-24"},{"id":16,"name":"Locomotive ID","value":"4004"},{"id":130,"name":"Impact","value":""},{"id":150,"name":"Time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4004 --day 2017-03-24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617</v>
      </c>
      <c r="B68" s="7">
        <v>4011</v>
      </c>
      <c r="C68" s="21" t="s">
        <v>219</v>
      </c>
      <c r="D68" s="21" t="s">
        <v>561</v>
      </c>
      <c r="E68" s="13">
        <v>42818.529907407406</v>
      </c>
      <c r="F68" s="13">
        <v>42818.531898148147</v>
      </c>
      <c r="G68" s="7">
        <v>2</v>
      </c>
      <c r="H68" s="21" t="s">
        <v>409</v>
      </c>
      <c r="I68" s="13">
        <v>42818.558113425926</v>
      </c>
      <c r="J68" s="7">
        <v>0</v>
      </c>
      <c r="K68" s="98" t="str">
        <f t="shared" si="0"/>
        <v>4011/4012</v>
      </c>
      <c r="L68" s="21" t="str">
        <f>VLOOKUP(A68,'Trips&amp;Operators'!$C$1:$G$99999,5,FALSE)</f>
        <v>STEWART MICHAEL</v>
      </c>
      <c r="M68" s="6">
        <f t="shared" si="1"/>
        <v>2.6215277779556345E-2</v>
      </c>
      <c r="N68" s="7">
        <f t="shared" si="26"/>
        <v>37.750000002561137</v>
      </c>
      <c r="O68" s="7"/>
      <c r="P68" s="7"/>
      <c r="Q68" s="22"/>
      <c r="R68" s="22"/>
      <c r="S68" s="31">
        <f t="shared" si="21"/>
        <v>1</v>
      </c>
      <c r="T68" s="46" t="str">
        <f t="shared" si="3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-24T11:43:04-0600',mode:absolute,to:'2017-03-24T14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87" t="str">
        <f t="shared" si="5"/>
        <v>N</v>
      </c>
      <c r="X68" s="187">
        <f t="shared" si="22"/>
        <v>1</v>
      </c>
      <c r="Y68" s="62">
        <f t="shared" si="24"/>
        <v>4.4699999999999997E-2</v>
      </c>
      <c r="Z68" s="62">
        <f t="shared" si="7"/>
        <v>23.3278</v>
      </c>
      <c r="AA68" s="62">
        <f t="shared" si="8"/>
        <v>23.283100000000001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0173-24</v>
      </c>
      <c r="AE68" s="85" t="str">
        <f t="shared" si="10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68" s="82" t="str">
        <f t="shared" si="11"/>
        <v>"C:\Program Files (x86)\AstroGrep\AstroGrep.exe" /e /r /s /spath="%USERPROFILE%\AppData\Local\Temp\OnboardLogs" /stypes="app*4011*20170324*" /stext=" 19:.+((SYSTEM_STATE.+slice.+state.+changed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6"/>
        <v>"%USERPROFILE%\Documents\GitHub\eaglep3\Utilities\RefineRTDCRunTimes.py" --tripid 173-24 --locoid 4011 --swversion DE.1.0.9.0 --startMP 204:447 --initTime 2017-03-24T12:43:04 --startdatetime 2017-03-24T12:45:56 --delay 2 --endMP 204:233278 --enddatetime 2017-03-24T13:23:41 --enforcementcount 0 &gt;&gt;C:\Users\stu\Documents\GitHub\eaglep3-reporting\EC\2017-03-24-refined-times.txt</v>
      </c>
      <c r="AI6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{"issue":{"subject":"","project_id":79,"tracker_id":40,"status_id":1,"priority_id":2,"assigned_to_id":23,"start_date":"2017-03-24","description":"","custom_fields":[{"id":1,"name":"Subdivision","value":"EC"},{"id":4,"name":"Milepost","value":"23.3278"},{"id":17,"name":"Train ID","value":"173-24"},{"id":16,"name":"Locomotive ID","value":"4011"},{"id":130,"name":"Impact","value":""},{"id":150,"name":"Time of Event (Mountain Time)","value":"13:23:41"},{"id":151,"name":"Denver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4011 --day 2017-03-24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728</v>
      </c>
      <c r="B69" s="7">
        <v>4012</v>
      </c>
      <c r="C69" s="21" t="s">
        <v>219</v>
      </c>
      <c r="D69" s="21" t="s">
        <v>563</v>
      </c>
      <c r="E69" s="13">
        <v>42818.567488425928</v>
      </c>
      <c r="F69" s="13">
        <v>42818.570393518516</v>
      </c>
      <c r="G69" s="7">
        <v>1</v>
      </c>
      <c r="H69" s="21" t="s">
        <v>191</v>
      </c>
      <c r="I69" s="13">
        <v>42818.602256944447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STEWART MICHAEL</v>
      </c>
      <c r="M69" s="6">
        <f t="shared" si="1"/>
        <v>3.1863425931078382E-2</v>
      </c>
      <c r="N69" s="7">
        <f t="shared" si="26"/>
        <v>45.88333334075287</v>
      </c>
      <c r="O69" s="7"/>
      <c r="P69" s="7"/>
      <c r="Q69" s="22"/>
      <c r="R69" s="22"/>
      <c r="S69" s="31">
        <f t="shared" si="21"/>
        <v>1</v>
      </c>
      <c r="T69" s="46" t="str">
        <f t="shared" si="3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-24T12:37:11-0600',mode:absolute,to:'2017-03-24T15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87" t="str">
        <f t="shared" si="5"/>
        <v>N</v>
      </c>
      <c r="X69" s="187">
        <f t="shared" si="22"/>
        <v>1</v>
      </c>
      <c r="Y69" s="62">
        <f t="shared" si="24"/>
        <v>23.296099999999999</v>
      </c>
      <c r="Z69" s="62">
        <f t="shared" si="7"/>
        <v>1.4999999999999999E-2</v>
      </c>
      <c r="AA69" s="62">
        <f t="shared" si="8"/>
        <v>23.281099999999999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0174-24</v>
      </c>
      <c r="AE69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69" s="82" t="str">
        <f t="shared" si="11"/>
        <v>"C:\Program Files (x86)\AstroGrep\AstroGrep.exe" /e /r /s /spath="%USERPROFILE%\AppData\Local\Temp\OnboardLogs" /stypes="app*4012*20170324*" /stext=" 20:.+((SYSTEM_STATE.+slice.+state.+changed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6"/>
        <v>"%USERPROFILE%\Documents\GitHub\eaglep3\Utilities\RefineRTDCRunTimes.py" --tripid 174-24 --locoid 4012 --swversion DE.1.0.9.0 --startMP 204:232961 --initTime 2017-03-24T13:37:11 --startdatetime 2017-03-24T13:41:22 --delay 1 --endMP 204:150 --enddatetime 2017-03-24T14:27:15 --enforcementcount 0 &gt;&gt;C:\Users\stu\Documents\GitHub\eaglep3-reporting\EC\2017-03-24-refined-times.txt</v>
      </c>
      <c r="AI6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{"issue":{"subject":"","project_id":79,"tracker_id":40,"status_id":1,"priority_id":2,"assigned_to_id":23,"start_date":"2017-03-24","description":"","custom_fields":[{"id":1,"name":"Subdivision","value":"EC"},{"id":4,"name":"Milepost","value":"0.015"},{"id":17,"name":"Train ID","value":"174-24"},{"id":16,"name":"Locomotive ID","value":"4012"},{"id":130,"name":"Impact","value":""},{"id":150,"name":"Time of Event (Mountain Time)","value":"14:27:15"},{"id":151,"name":"Denver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4012 --day 2017-03-24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724</v>
      </c>
      <c r="B70" s="7">
        <v>4020</v>
      </c>
      <c r="C70" s="21" t="s">
        <v>219</v>
      </c>
      <c r="D70" s="21" t="s">
        <v>441</v>
      </c>
      <c r="E70" s="13">
        <v>42818.5387962963</v>
      </c>
      <c r="F70" s="13">
        <v>42818.541956018518</v>
      </c>
      <c r="G70" s="7">
        <v>1</v>
      </c>
      <c r="H70" s="21" t="s">
        <v>881</v>
      </c>
      <c r="I70" s="13">
        <v>42818.568287037036</v>
      </c>
      <c r="J70" s="7">
        <v>0</v>
      </c>
      <c r="K70" s="98" t="str">
        <f t="shared" si="0"/>
        <v>4019/4020</v>
      </c>
      <c r="L70" s="21" t="str">
        <f>VLOOKUP(A70,'Trips&amp;Operators'!$C$1:$G$99999,5,FALSE)</f>
        <v>ROMERO CHAD</v>
      </c>
      <c r="M70" s="6">
        <f t="shared" si="1"/>
        <v>2.6331018518249039E-2</v>
      </c>
      <c r="N70" s="7">
        <f t="shared" si="26"/>
        <v>37.916666666278616</v>
      </c>
      <c r="O70" s="7"/>
      <c r="P70" s="7"/>
      <c r="Q70" s="22"/>
      <c r="R70" s="22"/>
      <c r="S70" s="31">
        <f t="shared" si="21"/>
        <v>1</v>
      </c>
      <c r="T70" s="46" t="str">
        <f t="shared" si="3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-24T11:55:52-0600',mode:absolute,to:'2017-03-24T14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187" t="str">
        <f t="shared" si="5"/>
        <v>N</v>
      </c>
      <c r="X70" s="187">
        <f t="shared" si="22"/>
        <v>1</v>
      </c>
      <c r="Y70" s="62">
        <f t="shared" si="24"/>
        <v>4.4900000000000002E-2</v>
      </c>
      <c r="Z70" s="62">
        <f t="shared" si="7"/>
        <v>23.3431</v>
      </c>
      <c r="AA70" s="62">
        <f t="shared" si="8"/>
        <v>23.298200000000001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0175-24</v>
      </c>
      <c r="AE70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70" s="82" t="str">
        <f t="shared" si="11"/>
        <v>"C:\Program Files (x86)\AstroGrep\AstroGrep.exe" /e /r /s /spath="%USERPROFILE%\AppData\Local\Temp\OnboardLogs" /stypes="app*4020*20170324*" /stext=" 19:.+((SYSTEM_STATE.+slice.+state.+changed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6"/>
        <v>"%USERPROFILE%\Documents\GitHub\eaglep3\Utilities\RefineRTDCRunTimes.py" --tripid 175-24 --locoid 4020 --swversion DE.1.0.9.0 --startMP 204:449 --initTime 2017-03-24T12:55:52 --startdatetime 2017-03-24T13:00:25 --delay 1 --endMP 204:233431 --enddatetime 2017-03-24T13:38:20 --enforcementcount 0 &gt;&gt;C:\Users\stu\Documents\GitHub\eaglep3-reporting\EC\2017-03-24-refined-times.txt</v>
      </c>
      <c r="AI7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{"issue":{"subject":"","project_id":79,"tracker_id":40,"status_id":1,"priority_id":2,"assigned_to_id":23,"start_date":"2017-03-24","description":"","custom_fields":[{"id":1,"name":"Subdivision","value":"EC"},{"id":4,"name":"Milepost","value":"23.3431"},{"id":17,"name":"Train ID","value":"175-24"},{"id":16,"name":"Locomotive ID","value":"4020"},{"id":130,"name":"Impact","value":""},{"id":150,"name":"Time of Event (Mountain Time)","value":"13:38:20"},{"id":151,"name":"Denver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4020 --day 2017-03-24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730</v>
      </c>
      <c r="B71" s="7">
        <v>4019</v>
      </c>
      <c r="C71" s="21" t="s">
        <v>219</v>
      </c>
      <c r="D71" s="21" t="s">
        <v>882</v>
      </c>
      <c r="E71" s="13">
        <v>42818.571006944447</v>
      </c>
      <c r="F71" s="13">
        <v>42818.580775462964</v>
      </c>
      <c r="G71" s="7">
        <v>6</v>
      </c>
      <c r="H71" s="21" t="s">
        <v>519</v>
      </c>
      <c r="I71" s="13">
        <v>42818.608171296299</v>
      </c>
      <c r="J71" s="7">
        <v>0</v>
      </c>
      <c r="K71" s="98" t="str">
        <f t="shared" si="0"/>
        <v>4019/4020</v>
      </c>
      <c r="L71" s="21" t="str">
        <f>VLOOKUP(A71,'Trips&amp;Operators'!$C$1:$G$99999,5,FALSE)</f>
        <v>ROMERO CHAD</v>
      </c>
      <c r="M71" s="6">
        <f t="shared" si="1"/>
        <v>2.7395833334594499E-2</v>
      </c>
      <c r="N71" s="7">
        <f t="shared" si="26"/>
        <v>39.450000001816079</v>
      </c>
      <c r="O71" s="7"/>
      <c r="P71" s="7"/>
      <c r="Q71" s="22"/>
      <c r="R71" s="22"/>
      <c r="S71" s="31">
        <f t="shared" si="21"/>
        <v>1</v>
      </c>
      <c r="T71" s="46" t="str">
        <f t="shared" si="3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-24T12:42:15-0600',mode:absolute,to:'2017-03-24T15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187" t="str">
        <f t="shared" si="5"/>
        <v>N</v>
      </c>
      <c r="X71" s="187">
        <f t="shared" si="22"/>
        <v>1</v>
      </c>
      <c r="Y71" s="62">
        <f t="shared" si="24"/>
        <v>23.307400000000001</v>
      </c>
      <c r="Z71" s="62">
        <f t="shared" si="7"/>
        <v>1.3899999999999999E-2</v>
      </c>
      <c r="AA71" s="62">
        <f t="shared" si="8"/>
        <v>23.293500000000002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0176-24</v>
      </c>
      <c r="AE71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71" s="82" t="str">
        <f t="shared" si="11"/>
        <v>"C:\Program Files (x86)\AstroGrep\AstroGrep.exe" /e /r /s /spath="%USERPROFILE%\AppData\Local\Temp\OnboardLogs" /stypes="app*4019*20170324*" /stext=" 20:.+((SYSTEM_STATE.+slice.+state.+changed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6"/>
        <v>"%USERPROFILE%\Documents\GitHub\eaglep3\Utilities\RefineRTDCRunTimes.py" --tripid 176-24 --locoid 4019 --swversion DE.1.0.9.0 --startMP 204:233074 --initTime 2017-03-24T13:42:15 --startdatetime 2017-03-24T13:56:19 --delay 6 --endMP 204:139 --enddatetime 2017-03-24T14:35:46 --enforcementcount 0 &gt;&gt;C:\Users\stu\Documents\GitHub\eaglep3-reporting\EC\2017-03-24-refined-times.txt</v>
      </c>
      <c r="AI7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ID","value":"176-24"},{"id":16,"name":"Locomotive ID","value":"4019"},{"id":130,"name":"Impact","value":""},{"id":150,"name":"Time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4019 --day 2017-03-24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726</v>
      </c>
      <c r="B72" s="7">
        <v>4046</v>
      </c>
      <c r="C72" s="21" t="s">
        <v>219</v>
      </c>
      <c r="D72" s="21" t="s">
        <v>883</v>
      </c>
      <c r="E72" s="13">
        <v>42818.547488425924</v>
      </c>
      <c r="F72" s="13">
        <v>42818.552268518521</v>
      </c>
      <c r="G72" s="7">
        <v>1</v>
      </c>
      <c r="H72" s="21" t="s">
        <v>884</v>
      </c>
      <c r="I72" s="13">
        <v>42818.578217592592</v>
      </c>
      <c r="J72" s="7">
        <v>0</v>
      </c>
      <c r="K72" s="98" t="str">
        <f t="shared" si="0"/>
        <v>4045/4046</v>
      </c>
      <c r="L72" s="21" t="str">
        <f>VLOOKUP(A72,'Trips&amp;Operators'!$C$1:$G$99999,5,FALSE)</f>
        <v>CLARK KATHLEEN</v>
      </c>
      <c r="M72" s="6">
        <f t="shared" si="1"/>
        <v>2.5949074071832001E-2</v>
      </c>
      <c r="N72" s="7">
        <f t="shared" si="26"/>
        <v>37.366666663438082</v>
      </c>
      <c r="O72" s="7"/>
      <c r="P72" s="7"/>
      <c r="Q72" s="22"/>
      <c r="R72" s="22"/>
      <c r="S72" s="31">
        <f t="shared" si="21"/>
        <v>1</v>
      </c>
      <c r="T72" s="46" t="str">
        <f t="shared" si="3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-24T12:08:23-0600',mode:absolute,to:'2017-03-24T14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2" s="187" t="str">
        <f t="shared" si="5"/>
        <v>N</v>
      </c>
      <c r="X72" s="187">
        <f t="shared" si="22"/>
        <v>1</v>
      </c>
      <c r="Y72" s="62">
        <f t="shared" si="24"/>
        <v>5.1299999999999998E-2</v>
      </c>
      <c r="Z72" s="62">
        <f t="shared" si="7"/>
        <v>23.337199999999999</v>
      </c>
      <c r="AA72" s="62">
        <f t="shared" si="8"/>
        <v>23.285899999999998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0177-24</v>
      </c>
      <c r="AE72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72" s="82" t="str">
        <f t="shared" si="11"/>
        <v>"C:\Program Files (x86)\AstroGrep\AstroGrep.exe" /e /r /s /spath="%USERPROFILE%\AppData\Local\Temp\OnboardLogs" /stypes="app*4046*20170324*" /stext=" 19:.+((SYSTEM_STATE.+slice.+state.+changed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6"/>
        <v>"%USERPROFILE%\Documents\GitHub\eaglep3\Utilities\RefineRTDCRunTimes.py" --tripid 177-24 --locoid 4046 --swversion DE.1.0.9.0 --startMP 204:513 --initTime 2017-03-24T13:08:23 --startdatetime 2017-03-24T13:15:16 --delay 1 --endMP 204:233372 --enddatetime 2017-03-24T13:52:38 --enforcementcount 0 &gt;&gt;C:\Users\stu\Documents\GitHub\eaglep3-reporting\EC\2017-03-24-refined-times.txt</v>
      </c>
      <c r="AI72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{"issue":{"subject":"","project_id":79,"tracker_id":40,"status_id":1,"priority_id":2,"assigned_to_id":23,"start_date":"2017-03-24","description":"","custom_fields":[{"id":1,"name":"Subdivision","value":"EC"},{"id":4,"name":"Milepost","value":"23.3372"},{"id":17,"name":"Train ID","value":"177-24"},{"id":16,"name":"Locomotive ID","value":"4046"},{"id":130,"name":"Impact","value":""},{"id":150,"name":"Time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4046 --day 2017-03-24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621</v>
      </c>
      <c r="B73" s="7">
        <v>4045</v>
      </c>
      <c r="C73" s="21" t="s">
        <v>219</v>
      </c>
      <c r="D73" s="21" t="s">
        <v>885</v>
      </c>
      <c r="E73" s="13">
        <v>42818.586273148147</v>
      </c>
      <c r="F73" s="13">
        <v>42818.591134259259</v>
      </c>
      <c r="G73" s="7">
        <v>1</v>
      </c>
      <c r="H73" s="21" t="s">
        <v>886</v>
      </c>
      <c r="I73" s="13">
        <v>42818.623101851852</v>
      </c>
      <c r="J73" s="7">
        <v>0</v>
      </c>
      <c r="K73" s="98" t="str">
        <f t="shared" si="0"/>
        <v>4045/4046</v>
      </c>
      <c r="L73" s="21" t="str">
        <f>VLOOKUP(A73,'Trips&amp;Operators'!$C$1:$G$99999,5,FALSE)</f>
        <v>CLARK KATHLEEN</v>
      </c>
      <c r="M73" s="6">
        <f t="shared" si="1"/>
        <v>3.1967592592991423E-2</v>
      </c>
      <c r="N73" s="7">
        <f t="shared" si="26"/>
        <v>46.033333333907649</v>
      </c>
      <c r="O73" s="7"/>
      <c r="P73" s="7"/>
      <c r="Q73" s="22"/>
      <c r="R73" s="22"/>
      <c r="S73" s="31">
        <f t="shared" si="21"/>
        <v>1</v>
      </c>
      <c r="T73" s="46" t="str">
        <f t="shared" si="3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-24T13:04:14-0600',mode:absolute,to:'2017-03-24T15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3" s="187" t="str">
        <f t="shared" si="5"/>
        <v>N</v>
      </c>
      <c r="X73" s="187">
        <f t="shared" si="22"/>
        <v>1</v>
      </c>
      <c r="Y73" s="62">
        <f t="shared" si="24"/>
        <v>23.308399999999999</v>
      </c>
      <c r="Z73" s="62">
        <f t="shared" si="7"/>
        <v>1.83E-2</v>
      </c>
      <c r="AA73" s="62">
        <f t="shared" si="8"/>
        <v>23.290099999999999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0178-24</v>
      </c>
      <c r="AE73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73" s="82" t="str">
        <f t="shared" si="11"/>
        <v>"C:\Program Files (x86)\AstroGrep\AstroGrep.exe" /e /r /s /spath="%USERPROFILE%\AppData\Local\Temp\OnboardLogs" /stypes="app*4045*20170324*" /stext=" 20:.+((SYSTEM_STATE.+slice.+state.+changed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6"/>
        <v>"%USERPROFILE%\Documents\GitHub\eaglep3\Utilities\RefineRTDCRunTimes.py" --tripid 178-24 --locoid 4045 --swversion DE.1.0.9.0 --startMP 204:233084 --initTime 2017-03-24T14:04:14 --startdatetime 2017-03-24T14:11:14 --delay 1 --endMP 204:183 --enddatetime 2017-03-24T14:57:16 --enforcementcount 0 &gt;&gt;C:\Users\stu\Documents\GitHub\eaglep3-reporting\EC\2017-03-24-refined-times.txt</v>
      </c>
      <c r="AI7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{"issue":{"subject":"","project_id":79,"tracker_id":40,"status_id":1,"priority_id":2,"assigned_to_id":23,"start_date":"2017-03-24","description":"","custom_fields":[{"id":1,"name":"Subdivision","value":"EC"},{"id":4,"name":"Milepost","value":"0.0183"},{"id":17,"name":"Train ID","value":"178-24"},{"id":16,"name":"Locomotive ID","value":"4045"},{"id":130,"name":"Impact","value":""},{"id":150,"name":"Time of Event (Mountain Time)","value":"14:57:16"},{"id":151,"name":"Denver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4045 --day 2017-03-24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727</v>
      </c>
      <c r="B74" s="7">
        <v>4018</v>
      </c>
      <c r="C74" s="21" t="s">
        <v>219</v>
      </c>
      <c r="D74" s="21" t="s">
        <v>530</v>
      </c>
      <c r="E74" s="13">
        <v>42818.560879629629</v>
      </c>
      <c r="F74" s="13">
        <v>42818.56355324074</v>
      </c>
      <c r="G74" s="7">
        <v>3</v>
      </c>
      <c r="H74" s="21" t="s">
        <v>887</v>
      </c>
      <c r="I74" s="13">
        <v>42818.598333333335</v>
      </c>
      <c r="J74" s="7">
        <v>0</v>
      </c>
      <c r="K74" s="98" t="str">
        <f t="shared" si="0"/>
        <v>4017/4018</v>
      </c>
      <c r="L74" s="21" t="str">
        <f>VLOOKUP(A74,'Trips&amp;Operators'!$C$1:$G$99999,5,FALSE)</f>
        <v>FORTUNATO FRANK</v>
      </c>
      <c r="M74" s="6">
        <f t="shared" si="1"/>
        <v>3.4780092595610768E-2</v>
      </c>
      <c r="N74" s="7">
        <f t="shared" si="26"/>
        <v>50.083333337679505</v>
      </c>
      <c r="O74" s="7"/>
      <c r="P74" s="7"/>
      <c r="Q74" s="22"/>
      <c r="R74" s="22"/>
      <c r="S74" s="31">
        <f t="shared" si="21"/>
        <v>1</v>
      </c>
      <c r="T74" s="46" t="str">
        <f t="shared" si="3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-24T12:27:40-0600',mode:absolute,to:'2017-03-24T15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4" s="187" t="str">
        <f t="shared" si="5"/>
        <v>N</v>
      </c>
      <c r="X74" s="187">
        <f t="shared" si="22"/>
        <v>1</v>
      </c>
      <c r="Y74" s="62">
        <f t="shared" si="24"/>
        <v>4.3999999999999997E-2</v>
      </c>
      <c r="Z74" s="62">
        <f t="shared" si="7"/>
        <v>23.332100000000001</v>
      </c>
      <c r="AA74" s="62">
        <f t="shared" si="8"/>
        <v>23.2881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0179-24</v>
      </c>
      <c r="AE74" s="85" t="str">
        <f t="shared" si="10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74" s="82" t="str">
        <f t="shared" si="11"/>
        <v>"C:\Program Files (x86)\AstroGrep\AstroGrep.exe" /e /r /s /spath="%USERPROFILE%\AppData\Local\Temp\OnboardLogs" /stypes="app*4018*20170324*" /stext=" 20:.+((SYSTEM_STATE.+slice.+state.+changed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6"/>
        <v>"%USERPROFILE%\Documents\GitHub\eaglep3\Utilities\RefineRTDCRunTimes.py" --tripid 179-24 --locoid 4018 --swversion DE.1.0.9.0 --startMP 204:440 --initTime 2017-03-24T13:27:40 --startdatetime 2017-03-24T13:31:31 --delay 3 --endMP 204:233321 --enddatetime 2017-03-24T14:21:36 --enforcementcount 0 &gt;&gt;C:\Users\stu\Documents\GitHub\eaglep3-reporting\EC\2017-03-24-refined-times.txt</v>
      </c>
      <c r="AI7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{"issue":{"subject":"","project_id":79,"tracker_id":40,"status_id":1,"priority_id":2,"assigned_to_id":23,"start_date":"2017-03-24","description":"","custom_fields":[{"id":1,"name":"Subdivision","value":"EC"},{"id":4,"name":"Milepost","value":"23.3321"},{"id":17,"name":"Train ID","value":"179-24"},{"id":16,"name":"Locomotive ID","value":"4018"},{"id":130,"name":"Impact","value":""},{"id":150,"name":"Time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4018 --day 2017-03-24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734</v>
      </c>
      <c r="B75" s="7">
        <v>4017</v>
      </c>
      <c r="C75" s="21" t="s">
        <v>219</v>
      </c>
      <c r="D75" s="21" t="s">
        <v>222</v>
      </c>
      <c r="E75" s="13">
        <v>42818.599224537036</v>
      </c>
      <c r="F75" s="13">
        <v>42818.6015625</v>
      </c>
      <c r="G75" s="7">
        <v>1</v>
      </c>
      <c r="H75" s="21" t="s">
        <v>199</v>
      </c>
      <c r="I75" s="13">
        <v>42818.632233796299</v>
      </c>
      <c r="J75" s="7">
        <v>0</v>
      </c>
      <c r="K75" s="98" t="str">
        <f t="shared" si="0"/>
        <v>4017/4018</v>
      </c>
      <c r="L75" s="21" t="str">
        <f>VLOOKUP(A75,'Trips&amp;Operators'!$C$1:$G$99999,5,FALSE)</f>
        <v>FORTUNATO FRANK</v>
      </c>
      <c r="M75" s="6">
        <f t="shared" si="1"/>
        <v>3.0671296299260575E-2</v>
      </c>
      <c r="N75" s="7">
        <f t="shared" si="26"/>
        <v>44.166666670935228</v>
      </c>
      <c r="O75" s="7"/>
      <c r="P75" s="7"/>
      <c r="Q75" s="22"/>
      <c r="R75" s="22"/>
      <c r="S75" s="31">
        <f t="shared" si="21"/>
        <v>1</v>
      </c>
      <c r="T75" s="46" t="str">
        <f t="shared" si="3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-24T13:22:53-0600',mode:absolute,to:'2017-03-24T16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5" s="187" t="str">
        <f t="shared" si="5"/>
        <v>N</v>
      </c>
      <c r="X75" s="187">
        <f t="shared" si="22"/>
        <v>1</v>
      </c>
      <c r="Y75" s="62">
        <f t="shared" si="24"/>
        <v>23.3</v>
      </c>
      <c r="Z75" s="62">
        <f t="shared" si="7"/>
        <v>1.52E-2</v>
      </c>
      <c r="AA75" s="62">
        <f t="shared" si="8"/>
        <v>23.284800000000001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0180-24</v>
      </c>
      <c r="AE75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75" s="82" t="str">
        <f t="shared" si="11"/>
        <v>"C:\Program Files (x86)\AstroGrep\AstroGrep.exe" /e /r /s /spath="%USERPROFILE%\AppData\Local\Temp\OnboardLogs" /stypes="app*4017*20170324*" /stext=" 21:.+((SYSTEM_STATE.+slice.+state.+changed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6"/>
        <v>"%USERPROFILE%\Documents\GitHub\eaglep3\Utilities\RefineRTDCRunTimes.py" --tripid 180-24 --locoid 4017 --swversion DE.1.0.9.0 --startMP 204:233000 --initTime 2017-03-24T14:22:53 --startdatetime 2017-03-24T14:26:15 --delay 1 --endMP 204:152 --enddatetime 2017-03-24T15:10:25 --enforcementcount 0 &gt;&gt;C:\Users\stu\Documents\GitHub\eaglep3-reporting\EC\2017-03-24-refined-times.txt</v>
      </c>
      <c r="AI7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ID","value":"180-24"},{"id":16,"name":"Locomotive ID","value":"4017"},{"id":130,"name":"Impact","value":""},{"id":150,"name":"Time of Event (Mountain Time)","value":"15:10:25"},{"id":151,"name":"Denver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4017 --day 2017-03-24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731</v>
      </c>
      <c r="B76" s="7">
        <v>4027</v>
      </c>
      <c r="C76" s="21" t="s">
        <v>219</v>
      </c>
      <c r="D76" s="21" t="s">
        <v>386</v>
      </c>
      <c r="E76" s="13">
        <v>42818.574525462966</v>
      </c>
      <c r="F76" s="13">
        <v>42818.575891203705</v>
      </c>
      <c r="G76" s="7">
        <v>1</v>
      </c>
      <c r="H76" s="21" t="s">
        <v>492</v>
      </c>
      <c r="I76" s="13">
        <v>42818.605324074073</v>
      </c>
      <c r="J76" s="7">
        <v>0</v>
      </c>
      <c r="K76" s="98" t="str">
        <f t="shared" si="0"/>
        <v>4027/4028</v>
      </c>
      <c r="L76" s="21" t="str">
        <f>VLOOKUP(A76,'Trips&amp;Operators'!$C$1:$G$99999,5,FALSE)</f>
        <v>HELVIE ADAM</v>
      </c>
      <c r="M76" s="6">
        <f t="shared" si="1"/>
        <v>2.9432870367600117E-2</v>
      </c>
      <c r="N76" s="7">
        <f t="shared" si="26"/>
        <v>42.383333329344168</v>
      </c>
      <c r="O76" s="7"/>
      <c r="P76" s="7"/>
      <c r="Q76" s="22"/>
      <c r="R76" s="22"/>
      <c r="S76" s="31">
        <f t="shared" si="21"/>
        <v>1</v>
      </c>
      <c r="T76" s="46" t="str">
        <f t="shared" si="3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-24T12:47:19-0600',mode:absolute,to:'2017-03-24T15:31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87" t="str">
        <f t="shared" si="5"/>
        <v>N</v>
      </c>
      <c r="X76" s="187">
        <f t="shared" si="22"/>
        <v>1</v>
      </c>
      <c r="Y76" s="62">
        <f t="shared" si="24"/>
        <v>4.6199999999999998E-2</v>
      </c>
      <c r="Z76" s="62">
        <f t="shared" si="7"/>
        <v>23.3291</v>
      </c>
      <c r="AA76" s="62">
        <f t="shared" si="8"/>
        <v>23.282900000000001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0181-24</v>
      </c>
      <c r="AE76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76" s="82" t="str">
        <f t="shared" si="11"/>
        <v>"C:\Program Files (x86)\AstroGrep\AstroGrep.exe" /e /r /s /spath="%USERPROFILE%\AppData\Local\Temp\OnboardLogs" /stypes="app*4027*20170324*" /stext=" 20:.+((SYSTEM_STATE.+slice.+state.+changed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16"/>
        <v>"%USERPROFILE%\Documents\GitHub\eaglep3\Utilities\RefineRTDCRunTimes.py" --tripid 181-24 --locoid 4027 --swversion DE.1.0.9.0 --startMP 204:462 --initTime 2017-03-24T13:47:19 --startdatetime 2017-03-24T13:49:17 --delay 1 --endMP 204:233291 --enddatetime 2017-03-24T14:31:40 --enforcementcount 0 &gt;&gt;C:\Users\stu\Documents\GitHub\eaglep3-reporting\EC\2017-03-24-refined-times.txt</v>
      </c>
      <c r="AI7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{"issue":{"subject":"","project_id":79,"tracker_id":40,"status_id":1,"priority_id":2,"assigned_to_id":23,"start_date":"2017-03-24","description":"","custom_fields":[{"id":1,"name":"Subdivision","value":"EC"},{"id":4,"name":"Milepost","value":"23.3291"},{"id":17,"name":"Train ID","value":"181-24"},{"id":16,"name":"Locomotive ID","value":"4027"},{"id":130,"name":"Impact","value":""},{"id":150,"name":"Time of Event (Mountain Time)","value":"14:31:40"},{"id":151,"name":"Denver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4027 --day 2017-03-24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737</v>
      </c>
      <c r="B77" s="7">
        <v>4028</v>
      </c>
      <c r="C77" s="21" t="s">
        <v>219</v>
      </c>
      <c r="D77" s="21" t="s">
        <v>443</v>
      </c>
      <c r="E77" s="13">
        <v>42818.610300925924</v>
      </c>
      <c r="F77" s="13">
        <v>42818.612071759257</v>
      </c>
      <c r="G77" s="7">
        <v>1</v>
      </c>
      <c r="H77" s="21" t="s">
        <v>205</v>
      </c>
      <c r="I77" s="13">
        <v>42818.641435185185</v>
      </c>
      <c r="J77" s="7">
        <v>0</v>
      </c>
      <c r="K77" s="98" t="str">
        <f t="shared" ref="K77:K140" si="27">IF(ISEVEN(B77),(B77-1)&amp;"/"&amp;B77,B77&amp;"/"&amp;(B77+1))</f>
        <v>4027/4028</v>
      </c>
      <c r="L77" s="21" t="str">
        <f>VLOOKUP(A77,'Trips&amp;Operators'!$C$1:$G$99999,5,FALSE)</f>
        <v>HELVIE ADAM</v>
      </c>
      <c r="M77" s="6">
        <f t="shared" ref="M77:M140" si="28">I77-F77</f>
        <v>2.9363425928750075E-2</v>
      </c>
      <c r="N77" s="7">
        <f t="shared" si="26"/>
        <v>42.283333337400109</v>
      </c>
      <c r="O77" s="7"/>
      <c r="P77" s="7"/>
      <c r="Q77" s="22"/>
      <c r="R77" s="22"/>
      <c r="S77" s="31">
        <f t="shared" si="21"/>
        <v>1</v>
      </c>
      <c r="T77" s="46" t="str">
        <f t="shared" ref="T77:T140" si="29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-24T13:38:50-0600',mode:absolute,to:'2017-03-24T16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87" t="str">
        <f t="shared" ref="W77:W140" si="31">IF(AA77&lt;IF(AG77="EC",23,5.65),"Y","N")</f>
        <v>N</v>
      </c>
      <c r="X77" s="187">
        <f t="shared" si="22"/>
        <v>1</v>
      </c>
      <c r="Y77" s="62">
        <f t="shared" ref="Y77:Y93" si="32">RIGHT(D77,LEN(D77)-4)/10000</f>
        <v>23.2973</v>
      </c>
      <c r="Z77" s="62">
        <f t="shared" ref="Z77:Z140" si="33">RIGHT(H77,LEN(H77)-4)/10000</f>
        <v>1.54E-2</v>
      </c>
      <c r="AA77" s="62">
        <f t="shared" ref="AA77:AA140" si="34">ABS(Z77-Y77)</f>
        <v>23.2819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0182-24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/stypes="app*4028*20170324*" /stext=" 21:.+((SYSTEM_STATE.+slice.+state.+changed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6"/>
        <v>"%USERPROFILE%\Documents\GitHub\eaglep3\Utilities\RefineRTDCRunTimes.py" --tripid 182-24 --locoid 4028 --swversion DE.1.0.9.0 --startMP 204:232973 --initTime 2017-03-24T14:38:50 --startdatetime 2017-03-24T14:41:23 --delay 1 --endMP 204:154 --enddatetime 2017-03-24T15:23:40 --enforcementcount 0 &gt;&gt;C:\Users\stu\Documents\GitHub\eaglep3-reporting\EC\2017-03-24-refined-times.txt</v>
      </c>
      <c r="AI7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ID","value":"182-24"},{"id":16,"name":"Locomotive ID","value":"4028"},{"id":130,"name":"Impact","value":""},{"id":150,"name":"Time of Event (Mountain Time)","value":"15:23:40"},{"id":151,"name":"Denver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8"/>
        <v>start /low /b %USERPROFILE%\Documents\GitHub\eaglep3\Utilities\DownloadLogsFromS3.py --loco 4028 --day 2017-03-24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620</v>
      </c>
      <c r="B78" s="7">
        <v>4031</v>
      </c>
      <c r="C78" s="21" t="s">
        <v>219</v>
      </c>
      <c r="D78" s="21" t="s">
        <v>571</v>
      </c>
      <c r="E78" s="13">
        <v>42818.581620370373</v>
      </c>
      <c r="F78" s="13">
        <v>42818.583692129629</v>
      </c>
      <c r="G78" s="7">
        <v>1</v>
      </c>
      <c r="H78" s="21" t="s">
        <v>493</v>
      </c>
      <c r="I78" s="13">
        <v>42818.612118055556</v>
      </c>
      <c r="J78" s="7">
        <v>0</v>
      </c>
      <c r="K78" s="98" t="str">
        <f t="shared" si="27"/>
        <v>4031/4032</v>
      </c>
      <c r="L78" s="21" t="str">
        <f>VLOOKUP(A78,'Trips&amp;Operators'!$C$1:$G$99999,5,FALSE)</f>
        <v>BRANDNER MELINDA</v>
      </c>
      <c r="M78" s="6">
        <f t="shared" si="28"/>
        <v>2.842592592787696E-2</v>
      </c>
      <c r="N78" s="7">
        <f t="shared" si="26"/>
        <v>40.933333336142823</v>
      </c>
      <c r="O78" s="7"/>
      <c r="P78" s="7"/>
      <c r="Q78" s="22"/>
      <c r="R78" s="22"/>
      <c r="S78" s="31">
        <f t="shared" si="21"/>
        <v>1</v>
      </c>
      <c r="T78" s="46" t="str">
        <f t="shared" si="29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0"/>
        <v>https://d0f6bd738d7f1b3e5a7ca70fe4ff75f0.us-east-1.aws.found.io/app/kibana#/discover/Steve-Slow-Train-Analysis-(2080s-and-2083s)?_g=(refreshInterval:(display:Off,pause:!f,section:0,value:0),time:(from:'2017-03-24T12:57:32-0600',mode:absolute,to:'2017-03-24T15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87" t="str">
        <f t="shared" si="31"/>
        <v>N</v>
      </c>
      <c r="X78" s="187">
        <f t="shared" si="22"/>
        <v>1</v>
      </c>
      <c r="Y78" s="62">
        <f t="shared" si="32"/>
        <v>5.0900000000000001E-2</v>
      </c>
      <c r="Z78" s="62">
        <f t="shared" si="33"/>
        <v>23.3325</v>
      </c>
      <c r="AA78" s="62">
        <f t="shared" si="34"/>
        <v>23.281600000000001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0183-24</v>
      </c>
      <c r="AE78" s="85" t="str">
        <f t="shared" si="3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78" s="82" t="str">
        <f t="shared" si="37"/>
        <v>"C:\Program Files (x86)\AstroGrep\AstroGrep.exe" /e /r /s /spath="%USERPROFILE%\AppData\Local\Temp\OnboardLogs" /stypes="app*4031*20170324*" /stext=" 20:.+((SYSTEM_STATE.+slice.+state.+changed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183-24 --locoid 4031 --swversion DE.1.0.9.0 --startMP 204:509 --initTime 2017-03-24T13:57:32 --startdatetime 2017-03-24T14:00:31 --delay 1 --endMP 204:233325 --enddatetime 2017-03-24T14:41:27 --enforcementcount 0 &gt;&gt;C:\Users\stu\Documents\GitHub\eaglep3-reporting\EC\2017-03-24-refined-times.txt</v>
      </c>
      <c r="AI78" s="108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{"issue":{"subject":"","project_id":79,"tracker_id":40,"status_id":1,"priority_id":2,"assigned_to_id":23,"start_date":"2017-03-24","description":"","custom_fields":[{"id":1,"name":"Subdivision","value":"EC"},{"id":4,"name":"Milepost","value":"23.3325"},{"id":17,"name":"Train ID","value":"183-24"},{"id":16,"name":"Locomotive ID","value":"4031"},{"id":130,"name":"Impact","value":""},{"id":150,"name":"Time of Event (Mountain Time)","value":"14:41:27"},{"id":151,"name":"Denver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1">"start /low /b "&amp;dls3logs&amp;" --loco "&amp;B78&amp;" --day "&amp;TEXT(F78,"YYYY-MM-DD")</f>
        <v>start /low /b %USERPROFILE%\Documents\GitHub\eaglep3\Utilities\DownloadLogsFromS3.py --loco 4031 --day 2017-03-24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738</v>
      </c>
      <c r="B79" s="7">
        <v>4032</v>
      </c>
      <c r="C79" s="21" t="s">
        <v>219</v>
      </c>
      <c r="D79" s="21" t="s">
        <v>480</v>
      </c>
      <c r="E79" s="13">
        <v>42818.617349537039</v>
      </c>
      <c r="F79" s="13">
        <v>42818.622361111113</v>
      </c>
      <c r="G79" s="7">
        <v>1</v>
      </c>
      <c r="H79" s="21" t="s">
        <v>497</v>
      </c>
      <c r="I79" s="13">
        <v>42818.650717592594</v>
      </c>
      <c r="J79" s="7">
        <v>0</v>
      </c>
      <c r="K79" s="98" t="str">
        <f t="shared" si="27"/>
        <v>4031/4032</v>
      </c>
      <c r="L79" s="21" t="str">
        <f>VLOOKUP(A79,'Trips&amp;Operators'!$C$1:$G$99999,5,FALSE)</f>
        <v>BRANDNER MELINDA</v>
      </c>
      <c r="M79" s="6">
        <f t="shared" si="28"/>
        <v>2.8356481481750961E-2</v>
      </c>
      <c r="N79" s="7">
        <f t="shared" si="26"/>
        <v>40.833333333721384</v>
      </c>
      <c r="O79" s="7"/>
      <c r="P79" s="7"/>
      <c r="Q79" s="22"/>
      <c r="R79" s="22"/>
      <c r="S79" s="31">
        <f t="shared" si="21"/>
        <v>1</v>
      </c>
      <c r="T79" s="46" t="str">
        <f t="shared" si="29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0"/>
        <v>https://d0f6bd738d7f1b3e5a7ca70fe4ff75f0.us-east-1.aws.found.io/app/kibana#/discover/Steve-Slow-Train-Analysis-(2080s-and-2083s)?_g=(refreshInterval:(display:Off,pause:!f,section:0,value:0),time:(from:'2017-03-24T13:48:59-0600',mode:absolute,to:'2017-03-24T16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87" t="str">
        <f t="shared" si="31"/>
        <v>N</v>
      </c>
      <c r="X79" s="187">
        <f t="shared" si="22"/>
        <v>1</v>
      </c>
      <c r="Y79" s="62">
        <f t="shared" si="32"/>
        <v>23.299399999999999</v>
      </c>
      <c r="Z79" s="62">
        <f t="shared" si="33"/>
        <v>1.2999999999999999E-2</v>
      </c>
      <c r="AA79" s="62">
        <f t="shared" si="34"/>
        <v>23.286399999999997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0184-24</v>
      </c>
      <c r="AE79" s="85" t="str">
        <f t="shared" si="3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79" s="82" t="str">
        <f t="shared" si="37"/>
        <v>"C:\Program Files (x86)\AstroGrep\AstroGrep.exe" /e /r /s /spath="%USERPROFILE%\AppData\Local\Temp\OnboardLogs" /stypes="app*4032*20170324*" /stext=" 21:.+((SYSTEM_STATE.+slice.+state.+changed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184-24 --locoid 4032 --swversion DE.1.0.9.0 --startMP 204:232994 --initTime 2017-03-24T14:48:59 --startdatetime 2017-03-24T14:56:12 --delay 1 --endMP 204:130 --enddatetime 2017-03-24T15:37:02 --enforcementcount 0 &gt;&gt;C:\Users\stu\Documents\GitHub\eaglep3-reporting\EC\2017-03-24-refined-times.txt</v>
      </c>
      <c r="AI7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{"issue":{"subject":"","project_id":79,"tracker_id":40,"status_id":1,"priority_id":2,"assigned_to_id":23,"start_date":"2017-03-24","description":"","custom_fields":[{"id":1,"name":"Subdivision","value":"EC"},{"id":4,"name":"Milepost","value":"0.013"},{"id":17,"name":"Train ID","value":"184-24"},{"id":16,"name":"Locomotive ID","value":"4032"},{"id":130,"name":"Impact","value":""},{"id":150,"name":"Time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4032 --day 2017-03-24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733</v>
      </c>
      <c r="B80" s="7">
        <v>4003</v>
      </c>
      <c r="C80" s="21" t="s">
        <v>219</v>
      </c>
      <c r="D80" s="21" t="s">
        <v>872</v>
      </c>
      <c r="E80" s="13">
        <v>42818.590775462966</v>
      </c>
      <c r="F80" s="13">
        <v>42818.593935185185</v>
      </c>
      <c r="G80" s="7">
        <v>2</v>
      </c>
      <c r="H80" s="21" t="s">
        <v>888</v>
      </c>
      <c r="I80" s="13">
        <v>42818.62537037037</v>
      </c>
      <c r="J80" s="7">
        <v>0</v>
      </c>
      <c r="K80" s="98" t="str">
        <f t="shared" si="27"/>
        <v>4003/4004</v>
      </c>
      <c r="L80" s="21" t="str">
        <f>VLOOKUP(A80,'Trips&amp;Operators'!$C$1:$G$99999,5,FALSE)</f>
        <v>STRICKLAND EVAN</v>
      </c>
      <c r="M80" s="6">
        <f t="shared" si="28"/>
        <v>3.1435185184818693E-2</v>
      </c>
      <c r="N80" s="7">
        <f t="shared" si="26"/>
        <v>45.266666666138917</v>
      </c>
      <c r="O80" s="7"/>
      <c r="P80" s="7"/>
      <c r="Q80" s="22"/>
      <c r="R80" s="22"/>
      <c r="S80" s="31">
        <f t="shared" si="21"/>
        <v>1</v>
      </c>
      <c r="T80" s="46" t="str">
        <f t="shared" si="29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0"/>
        <v>https://d0f6bd738d7f1b3e5a7ca70fe4ff75f0.us-east-1.aws.found.io/app/kibana#/discover/Steve-Slow-Train-Analysis-(2080s-and-2083s)?_g=(refreshInterval:(display:Off,pause:!f,section:0,value:0),time:(from:'2017-03-24T13:10:43-0600',mode:absolute,to:'2017-03-24T16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187" t="str">
        <f t="shared" si="31"/>
        <v>N</v>
      </c>
      <c r="X80" s="187">
        <f t="shared" si="22"/>
        <v>1</v>
      </c>
      <c r="Y80" s="62">
        <f t="shared" si="32"/>
        <v>4.7800000000000002E-2</v>
      </c>
      <c r="Z80" s="62">
        <f t="shared" si="33"/>
        <v>23.337399999999999</v>
      </c>
      <c r="AA80" s="62">
        <f t="shared" si="34"/>
        <v>23.2896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0185-24</v>
      </c>
      <c r="AE80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80" s="82" t="str">
        <f t="shared" si="37"/>
        <v>"C:\Program Files (x86)\AstroGrep\AstroGrep.exe" /e /r /s /spath="%USERPROFILE%\AppData\Local\Temp\OnboardLogs" /stypes="app*4003*20170324*" /stext=" 21:.+((SYSTEM_STATE.+slice.+state.+changed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185-24 --locoid 4003 --swversion DE.1.0.9.0 --startMP 204:478 --initTime 2017-03-24T14:10:43 --startdatetime 2017-03-24T14:15:16 --delay 2 --endMP 204:233374 --enddatetime 2017-03-24T15:00:32 --enforcementcount 0 &gt;&gt;C:\Users\stu\Documents\GitHub\eaglep3-reporting\EC\2017-03-24-refined-times.txt</v>
      </c>
      <c r="AI8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{"issue":{"subject":"","project_id":79,"tracker_id":40,"status_id":1,"priority_id":2,"assigned_to_id":23,"start_date":"2017-03-24","description":"","custom_fields":[{"id":1,"name":"Subdivision","value":"EC"},{"id":4,"name":"Milepost","value":"23.3374"},{"id":17,"name":"Train ID","value":"185-24"},{"id":16,"name":"Locomotive ID","value":"4003"},{"id":130,"name":"Impact","value":""},{"id":150,"name":"Time of Event (Mountain Time)","value":"15:00:32"},{"id":151,"name":"Denver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4003 --day 2017-03-24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741</v>
      </c>
      <c r="B81" s="7">
        <v>4004</v>
      </c>
      <c r="C81" s="21" t="s">
        <v>219</v>
      </c>
      <c r="D81" s="21" t="s">
        <v>867</v>
      </c>
      <c r="E81" s="13">
        <v>42818.62667824074</v>
      </c>
      <c r="F81" s="13">
        <v>42818.632951388892</v>
      </c>
      <c r="G81" s="7">
        <v>1</v>
      </c>
      <c r="H81" s="21" t="s">
        <v>200</v>
      </c>
      <c r="I81" s="13">
        <v>42818.661828703705</v>
      </c>
      <c r="J81" s="7">
        <v>0</v>
      </c>
      <c r="K81" s="98" t="str">
        <f t="shared" si="27"/>
        <v>4003/4004</v>
      </c>
      <c r="L81" s="21" t="str">
        <f>VLOOKUP(A81,'Trips&amp;Operators'!$C$1:$G$99999,5,FALSE)</f>
        <v>STRICKLAND EVAN</v>
      </c>
      <c r="M81" s="6">
        <f t="shared" si="28"/>
        <v>2.8877314813144039E-2</v>
      </c>
      <c r="N81" s="7">
        <f t="shared" si="26"/>
        <v>41.583333330927417</v>
      </c>
      <c r="O81" s="7"/>
      <c r="P81" s="7"/>
      <c r="Q81" s="22"/>
      <c r="R81" s="22"/>
      <c r="S81" s="31">
        <f t="shared" si="21"/>
        <v>1</v>
      </c>
      <c r="T81" s="46" t="str">
        <f t="shared" si="29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0"/>
        <v>https://d0f6bd738d7f1b3e5a7ca70fe4ff75f0.us-east-1.aws.found.io/app/kibana#/discover/Steve-Slow-Train-Analysis-(2080s-and-2083s)?_g=(refreshInterval:(display:Off,pause:!f,section:0,value:0),time:(from:'2017-03-24T14:02:25-0600',mode:absolute,to:'2017-03-24T16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7" t="str">
        <f t="shared" si="31"/>
        <v>N</v>
      </c>
      <c r="X81" s="187">
        <f t="shared" si="22"/>
        <v>1</v>
      </c>
      <c r="Y81" s="62">
        <f t="shared" si="32"/>
        <v>23.3034</v>
      </c>
      <c r="Z81" s="62">
        <f t="shared" si="33"/>
        <v>1.5800000000000002E-2</v>
      </c>
      <c r="AA81" s="62">
        <f t="shared" si="34"/>
        <v>23.287600000000001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0186-24</v>
      </c>
      <c r="AE81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81" s="82" t="str">
        <f t="shared" si="37"/>
        <v>"C:\Program Files (x86)\AstroGrep\AstroGrep.exe" /e /r /s /spath="%USERPROFILE%\AppData\Local\Temp\OnboardLogs" /stypes="app*4004*20170324*" /stext=" 21:.+((SYSTEM_STATE.+slice.+state.+changed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186-24 --locoid 4004 --swversion DE.1.0.9.0 --startMP 204:233034 --initTime 2017-03-24T15:02:25 --startdatetime 2017-03-24T15:11:27 --delay 1 --endMP 204:158 --enddatetime 2017-03-24T15:53:02 --enforcementcount 0 &gt;&gt;C:\Users\stu\Documents\GitHub\eaglep3-reporting\EC\2017-03-24-refined-times.txt</v>
      </c>
      <c r="AI8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ID","value":"186-24"},{"id":16,"name":"Locomotive ID","value":"4004"},{"id":130,"name":"Impact","value":""},{"id":150,"name":"Time of Event (Mountain Time)","value":"15:53:02"},{"id":151,"name":"Denver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4004 --day 2017-03-24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735</v>
      </c>
      <c r="B82" s="7">
        <v>4011</v>
      </c>
      <c r="C82" s="21" t="s">
        <v>219</v>
      </c>
      <c r="D82" s="21" t="s">
        <v>212</v>
      </c>
      <c r="E82" s="13">
        <v>42818.604027777779</v>
      </c>
      <c r="F82" s="13">
        <v>42818.606006944443</v>
      </c>
      <c r="G82" s="7">
        <v>1</v>
      </c>
      <c r="H82" s="21" t="s">
        <v>558</v>
      </c>
      <c r="I82" s="13">
        <v>42818.636076388888</v>
      </c>
      <c r="J82" s="7">
        <v>0</v>
      </c>
      <c r="K82" s="98" t="str">
        <f t="shared" si="27"/>
        <v>4011/4012</v>
      </c>
      <c r="L82" s="21" t="str">
        <f>VLOOKUP(A82,'Trips&amp;Operators'!$C$1:$G$99999,5,FALSE)</f>
        <v>STEWART MICHAEL</v>
      </c>
      <c r="M82" s="6">
        <f t="shared" si="28"/>
        <v>3.0069444444961846E-2</v>
      </c>
      <c r="N82" s="7">
        <f t="shared" si="26"/>
        <v>43.300000000745058</v>
      </c>
      <c r="O82" s="7"/>
      <c r="P82" s="7"/>
      <c r="Q82" s="22"/>
      <c r="R82" s="22"/>
      <c r="S82" s="31">
        <f t="shared" si="21"/>
        <v>1</v>
      </c>
      <c r="T82" s="46" t="str">
        <f t="shared" si="29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0"/>
        <v>https://d0f6bd738d7f1b3e5a7ca70fe4ff75f0.us-east-1.aws.found.io/app/kibana#/discover/Steve-Slow-Train-Analysis-(2080s-and-2083s)?_g=(refreshInterval:(display:Off,pause:!f,section:0,value:0),time:(from:'2017-03-24T13:29:48-0600',mode:absolute,to:'2017-03-24T16:15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87" t="str">
        <f t="shared" si="31"/>
        <v>N</v>
      </c>
      <c r="X82" s="187">
        <f t="shared" si="22"/>
        <v>1</v>
      </c>
      <c r="Y82" s="62">
        <f t="shared" si="32"/>
        <v>4.53E-2</v>
      </c>
      <c r="Z82" s="62">
        <f t="shared" si="33"/>
        <v>23.326799999999999</v>
      </c>
      <c r="AA82" s="62">
        <f t="shared" si="34"/>
        <v>23.281499999999998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0187-24</v>
      </c>
      <c r="AE82" s="85" t="str">
        <f t="shared" si="3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82" s="82" t="str">
        <f t="shared" si="37"/>
        <v>"C:\Program Files (x86)\AstroGrep\AstroGrep.exe" /e /r /s /spath="%USERPROFILE%\AppData\Local\Temp\OnboardLogs" /stypes="app*4011*20170324*" /stext=" 21:.+((SYSTEM_STATE.+slice.+state.+changed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187-24 --locoid 4011 --swversion DE.1.0.9.0 --startMP 204:453 --initTime 2017-03-24T14:29:48 --startdatetime 2017-03-24T14:32:39 --delay 1 --endMP 204:233268 --enddatetime 2017-03-24T15:15:57 --enforcementcount 0 &gt;&gt;C:\Users\stu\Documents\GitHub\eaglep3-reporting\EC\2017-03-24-refined-times.txt</v>
      </c>
      <c r="AI8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{"issue":{"subject":"","project_id":79,"tracker_id":40,"status_id":1,"priority_id":2,"assigned_to_id":23,"start_date":"2017-03-24","description":"","custom_fields":[{"id":1,"name":"Subdivision","value":"EC"},{"id":4,"name":"Milepost","value":"23.3268"},{"id":17,"name":"Train ID","value":"187-24"},{"id":16,"name":"Locomotive ID","value":"4011"},{"id":130,"name":"Impact","value":""},{"id":150,"name":"Time of Event (Mountain Time)","value":"15:15:57"},{"id":151,"name":"Denver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4011 --day 2017-03-24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744</v>
      </c>
      <c r="B83" s="7">
        <v>4012</v>
      </c>
      <c r="C83" s="21" t="s">
        <v>219</v>
      </c>
      <c r="D83" s="21" t="s">
        <v>889</v>
      </c>
      <c r="E83" s="13">
        <v>42818.642500000002</v>
      </c>
      <c r="F83" s="13">
        <v>42818.644293981481</v>
      </c>
      <c r="G83" s="7">
        <v>1</v>
      </c>
      <c r="H83" s="21" t="s">
        <v>184</v>
      </c>
      <c r="I83" s="13">
        <v>42818.67459490741</v>
      </c>
      <c r="J83" s="7">
        <v>0</v>
      </c>
      <c r="K83" s="98" t="str">
        <f t="shared" si="27"/>
        <v>4011/4012</v>
      </c>
      <c r="L83" s="21" t="str">
        <f>VLOOKUP(A83,'Trips&amp;Operators'!$C$1:$G$99999,5,FALSE)</f>
        <v>STEWART MICHAEL</v>
      </c>
      <c r="M83" s="6">
        <f t="shared" si="28"/>
        <v>3.030092592962319E-2</v>
      </c>
      <c r="N83" s="7">
        <f t="shared" si="26"/>
        <v>43.633333338657394</v>
      </c>
      <c r="O83" s="7"/>
      <c r="P83" s="7"/>
      <c r="Q83" s="22"/>
      <c r="R83" s="22"/>
      <c r="S83" s="31">
        <f t="shared" si="21"/>
        <v>1</v>
      </c>
      <c r="T83" s="46" t="str">
        <f t="shared" si="29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0"/>
        <v>https://d0f6bd738d7f1b3e5a7ca70fe4ff75f0.us-east-1.aws.found.io/app/kibana#/discover/Steve-Slow-Train-Analysis-(2080s-and-2083s)?_g=(refreshInterval:(display:Off,pause:!f,section:0,value:0),time:(from:'2017-03-24T14:25:12-0600',mode:absolute,to:'2017-03-24T17:11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87" t="str">
        <f t="shared" si="31"/>
        <v>N</v>
      </c>
      <c r="X83" s="187">
        <f t="shared" si="22"/>
        <v>1</v>
      </c>
      <c r="Y83" s="62">
        <f t="shared" si="32"/>
        <v>23.299099999999999</v>
      </c>
      <c r="Z83" s="62">
        <f t="shared" si="33"/>
        <v>1.49E-2</v>
      </c>
      <c r="AA83" s="62">
        <f t="shared" si="34"/>
        <v>23.284199999999998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0188-24</v>
      </c>
      <c r="AE83" s="85" t="str">
        <f t="shared" si="3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83" s="82" t="str">
        <f t="shared" si="37"/>
        <v>"C:\Program Files (x86)\AstroGrep\AstroGrep.exe" /e /r /s /spath="%USERPROFILE%\AppData\Local\Temp\OnboardLogs" /stypes="app*4012*20170324*" /stext=" 22:.+((SYSTEM_STATE.+slice.+state.+changed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188-24 --locoid 4012 --swversion DE.1.0.9.0 --startMP 204:232991 --initTime 2017-03-24T15:25:12 --startdatetime 2017-03-24T15:27:47 --delay 1 --endMP 204:149 --enddatetime 2017-03-24T16:11:25 --enforcementcount 0 &gt;&gt;C:\Users\stu\Documents\GitHub\eaglep3-reporting\EC\2017-03-24-refined-times.txt</v>
      </c>
      <c r="AI8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ID","value":"188-24"},{"id":16,"name":"Locomotive ID","value":"4012"},{"id":130,"name":"Impact","value":""},{"id":150,"name":"Time of Event (Mountain Time)","value":"16:11:25"},{"id":151,"name":"Denver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4012 --day 2017-03-24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623</v>
      </c>
      <c r="B84" s="7">
        <v>4020</v>
      </c>
      <c r="C84" s="21" t="s">
        <v>219</v>
      </c>
      <c r="D84" s="21" t="s">
        <v>890</v>
      </c>
      <c r="E84" s="13">
        <v>42818.610949074071</v>
      </c>
      <c r="F84" s="13">
        <v>42818.615648148145</v>
      </c>
      <c r="G84" s="7">
        <v>2</v>
      </c>
      <c r="H84" s="21" t="s">
        <v>891</v>
      </c>
      <c r="I84" s="13">
        <v>42818.639953703707</v>
      </c>
      <c r="J84" s="7">
        <v>0</v>
      </c>
      <c r="K84" s="98" t="str">
        <f t="shared" si="27"/>
        <v>4019/4020</v>
      </c>
      <c r="L84" s="21" t="str">
        <f>VLOOKUP(A84,'Trips&amp;Operators'!$C$1:$G$99999,5,FALSE)</f>
        <v>ROMERO CHAD</v>
      </c>
      <c r="M84" s="6">
        <f t="shared" si="28"/>
        <v>2.4305555562023073E-2</v>
      </c>
      <c r="N84" s="7">
        <f t="shared" si="26"/>
        <v>35.000000009313226</v>
      </c>
      <c r="O84" s="7"/>
      <c r="P84" s="7"/>
      <c r="Q84" s="22"/>
      <c r="R84" s="22"/>
      <c r="S84" s="31">
        <f t="shared" ref="S84:S147" si="42">SUM(U84:U84)/IF(AG84="EC",12,1)</f>
        <v>1</v>
      </c>
      <c r="T84" s="46" t="str">
        <f t="shared" si="29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0"/>
        <v>https://d0f6bd738d7f1b3e5a7ca70fe4ff75f0.us-east-1.aws.found.io/app/kibana#/discover/Steve-Slow-Train-Analysis-(2080s-and-2083s)?_g=(refreshInterval:(display:Off,pause:!f,section:0,value:0),time:(from:'2017-03-24T13:39:46-0600',mode:absolute,to:'2017-03-24T16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187" t="str">
        <f t="shared" si="31"/>
        <v>N</v>
      </c>
      <c r="X84" s="187">
        <f t="shared" si="22"/>
        <v>1</v>
      </c>
      <c r="Y84" s="62">
        <f t="shared" si="32"/>
        <v>4.3799999999999999E-2</v>
      </c>
      <c r="Z84" s="62">
        <f t="shared" si="33"/>
        <v>23.3416</v>
      </c>
      <c r="AA84" s="62">
        <f t="shared" si="34"/>
        <v>23.297799999999999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0189-24</v>
      </c>
      <c r="AE84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84" s="82" t="str">
        <f t="shared" si="37"/>
        <v>"C:\Program Files (x86)\AstroGrep\AstroGrep.exe" /e /r /s /spath="%USERPROFILE%\AppData\Local\Temp\OnboardLogs" /stypes="app*4020*20170324*" /stext=" 21:.+((SYSTEM_STATE.+slice.+state.+changed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189-24 --locoid 4020 --swversion DE.1.0.9.0 --startMP 204:438 --initTime 2017-03-24T14:39:46 --startdatetime 2017-03-24T14:46:32 --delay 2 --endMP 204:233416 --enddatetime 2017-03-24T15:21:32 --enforcementcount 0 &gt;&gt;C:\Users\stu\Documents\GitHub\eaglep3-reporting\EC\2017-03-24-refined-times.txt</v>
      </c>
      <c r="AI8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{"issue":{"subject":"","project_id":79,"tracker_id":40,"status_id":1,"priority_id":2,"assigned_to_id":23,"start_date":"2017-03-24","description":"","custom_fields":[{"id":1,"name":"Subdivision","value":"EC"},{"id":4,"name":"Milepost","value":"23.3416"},{"id":17,"name":"Train ID","value":"189-24"},{"id":16,"name":"Locomotive ID","value":"4020"},{"id":130,"name":"Impact","value":""},{"id":150,"name":"Time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4020 --day 2017-03-24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624</v>
      </c>
      <c r="B85" s="7">
        <v>4019</v>
      </c>
      <c r="C85" s="21" t="s">
        <v>219</v>
      </c>
      <c r="D85" s="21" t="s">
        <v>892</v>
      </c>
      <c r="E85" s="13">
        <v>42818.642256944448</v>
      </c>
      <c r="F85" s="13">
        <v>42818.653796296298</v>
      </c>
      <c r="G85" s="7">
        <v>1</v>
      </c>
      <c r="H85" s="21" t="s">
        <v>518</v>
      </c>
      <c r="I85" s="13">
        <v>42818.680428240739</v>
      </c>
      <c r="J85" s="7">
        <v>0</v>
      </c>
      <c r="K85" s="98" t="str">
        <f t="shared" si="27"/>
        <v>4019/4020</v>
      </c>
      <c r="L85" s="21" t="str">
        <f>VLOOKUP(A85,'Trips&amp;Operators'!$C$1:$G$99999,5,FALSE)</f>
        <v>ROMERO CHAD</v>
      </c>
      <c r="M85" s="6">
        <f t="shared" si="28"/>
        <v>2.6631944441760425E-2</v>
      </c>
      <c r="N85" s="7">
        <f t="shared" si="26"/>
        <v>38.349999996135011</v>
      </c>
      <c r="O85" s="7"/>
      <c r="P85" s="7"/>
      <c r="Q85" s="22"/>
      <c r="R85" s="22"/>
      <c r="S85" s="31">
        <f t="shared" si="42"/>
        <v>1</v>
      </c>
      <c r="T85" s="46" t="str">
        <f t="shared" si="29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0"/>
        <v>https://d0f6bd738d7f1b3e5a7ca70fe4ff75f0.us-east-1.aws.found.io/app/kibana#/discover/Steve-Slow-Train-Analysis-(2080s-and-2083s)?_g=(refreshInterval:(display:Off,pause:!f,section:0,value:0),time:(from:'2017-03-24T14:24:51-0600',mode:absolute,to:'2017-03-24T17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187" t="str">
        <f t="shared" si="31"/>
        <v>N</v>
      </c>
      <c r="X85" s="187">
        <f t="shared" si="22"/>
        <v>1</v>
      </c>
      <c r="Y85" s="62">
        <f t="shared" si="32"/>
        <v>23.308599999999998</v>
      </c>
      <c r="Z85" s="62">
        <f t="shared" si="33"/>
        <v>1.38E-2</v>
      </c>
      <c r="AA85" s="62">
        <f t="shared" si="34"/>
        <v>23.294799999999999</v>
      </c>
      <c r="AB85" s="59" t="str">
        <f>VLOOKUP(A85,Enforcements!$C$7:$K$13,8,0)</f>
        <v>Bulletin (2)</v>
      </c>
      <c r="AC85" s="55" t="str">
        <f>VLOOKUP(A85,Enforcements!$C$7:$E$13,3,0)</f>
        <v>GRADE CROSSING</v>
      </c>
      <c r="AD85" s="56" t="str">
        <f t="shared" si="35"/>
        <v>0190-24</v>
      </c>
      <c r="AE85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85" s="82" t="str">
        <f t="shared" si="37"/>
        <v>"C:\Program Files (x86)\AstroGrep\AstroGrep.exe" /e /r /s /spath="%USERPROFILE%\AppData\Local\Temp\OnboardLogs" /stypes="app*4019*20170324*" /stext=" 22:.+((SYSTEM_STATE.+slice.+state.+changed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190-24 --locoid 4019 --swversion DE.1.0.9.0 --startMP 204:233086 --initTime 2017-03-24T15:24:51 --startdatetime 2017-03-24T15:41:28 --delay 1 --endMP 204:138 --enddatetime 2017-03-24T16:19:49 --enforcementcount 0 &gt;&gt;C:\Users\stu\Documents\GitHub\eaglep3-reporting\EC\2017-03-24-refined-times.txt</v>
      </c>
      <c r="AI8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{"issue":{"subject":"","project_id":79,"tracker_id":40,"status_id":1,"priority_id":2,"assigned_to_id":23,"start_date":"2017-03-24","description":"","custom_fields":[{"id":1,"name":"Subdivision","value":"EC"},{"id":4,"name":"Milepost","value":"0.0138"},{"id":17,"name":"Train ID","value":"190-24"},{"id":16,"name":"Locomotive ID","value":"4019"},{"id":130,"name":"Impact","value":""},{"id":150,"name":"Time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4019 --day 2017-03-24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</row>
    <row r="86" spans="1:91" s="20" customFormat="1" x14ac:dyDescent="0.25">
      <c r="A86" s="33" t="s">
        <v>739</v>
      </c>
      <c r="B86" s="7">
        <v>4046</v>
      </c>
      <c r="C86" s="21" t="s">
        <v>219</v>
      </c>
      <c r="D86" s="21" t="s">
        <v>893</v>
      </c>
      <c r="E86" s="13">
        <v>42818.625069444446</v>
      </c>
      <c r="F86" s="13">
        <v>42818.626793981479</v>
      </c>
      <c r="G86" s="7">
        <v>1</v>
      </c>
      <c r="H86" s="21" t="s">
        <v>558</v>
      </c>
      <c r="I86" s="13">
        <v>42818.654143518521</v>
      </c>
      <c r="J86" s="7">
        <v>0</v>
      </c>
      <c r="K86" s="98" t="str">
        <f t="shared" si="27"/>
        <v>4045/4046</v>
      </c>
      <c r="L86" s="21" t="str">
        <f>VLOOKUP(A86,'Trips&amp;Operators'!$C$1:$G$99999,5,FALSE)</f>
        <v>CLARK KATHLEEN</v>
      </c>
      <c r="M86" s="6">
        <f t="shared" si="28"/>
        <v>2.7349537042027805E-2</v>
      </c>
      <c r="N86" s="7">
        <f t="shared" si="26"/>
        <v>39.383333340520039</v>
      </c>
      <c r="O86" s="7"/>
      <c r="P86" s="7"/>
      <c r="Q86" s="22"/>
      <c r="R86" s="22"/>
      <c r="S86" s="31">
        <f t="shared" si="42"/>
        <v>1</v>
      </c>
      <c r="T86" s="46" t="str">
        <f t="shared" si="29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0"/>
        <v>https://d0f6bd738d7f1b3e5a7ca70fe4ff75f0.us-east-1.aws.found.io/app/kibana#/discover/Steve-Slow-Train-Analysis-(2080s-and-2083s)?_g=(refreshInterval:(display:Off,pause:!f,section:0,value:0),time:(from:'2017-03-24T14:00:06-0600',mode:absolute,to:'2017-03-24T16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6" s="187" t="str">
        <f t="shared" si="31"/>
        <v>N</v>
      </c>
      <c r="X86" s="187">
        <f t="shared" si="22"/>
        <v>1</v>
      </c>
      <c r="Y86" s="62">
        <f t="shared" si="32"/>
        <v>4.6899999999999997E-2</v>
      </c>
      <c r="Z86" s="62">
        <f t="shared" si="33"/>
        <v>23.326799999999999</v>
      </c>
      <c r="AA86" s="62">
        <f t="shared" si="34"/>
        <v>23.279899999999998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0191-24</v>
      </c>
      <c r="AE86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86" s="82" t="str">
        <f t="shared" si="37"/>
        <v>"C:\Program Files (x86)\AstroGrep\AstroGrep.exe" /e /r /s /spath="%USERPROFILE%\AppData\Local\Temp\OnboardLogs" /stypes="app*4046*20170324*" /stext=" 21:.+((SYSTEM_STATE.+slice.+state.+changed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191-24 --locoid 4046 --swversion DE.1.0.9.0 --startMP 204:469 --initTime 2017-03-24T15:00:06 --startdatetime 2017-03-24T15:02:35 --delay 1 --endMP 204:233268 --enddatetime 2017-03-24T15:41:58 --enforcementcount 0 &gt;&gt;C:\Users\stu\Documents\GitHub\eaglep3-reporting\EC\2017-03-24-refined-times.txt</v>
      </c>
      <c r="AI8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{"issue":{"subject":"","project_id":79,"tracker_id":40,"status_id":1,"priority_id":2,"assigned_to_id":23,"start_date":"2017-03-24","description":"","custom_fields":[{"id":1,"name":"Subdivision","value":"EC"},{"id":4,"name":"Milepost","value":"23.3268"},{"id":17,"name":"Train ID","value":"191-24"},{"id":16,"name":"Locomotive ID","value":"4046"},{"id":130,"name":"Impact","value":""},{"id":150,"name":"Time of Event (Mountain Time)","value":"15:41:58"},{"id":151,"name":"Denver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4046 --day 2017-03-24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749</v>
      </c>
      <c r="B87" s="7">
        <v>4045</v>
      </c>
      <c r="C87" s="21" t="s">
        <v>219</v>
      </c>
      <c r="D87" s="21" t="s">
        <v>894</v>
      </c>
      <c r="E87" s="13">
        <v>42818.65892361111</v>
      </c>
      <c r="F87" s="13">
        <v>42818.664074074077</v>
      </c>
      <c r="G87" s="7">
        <v>1</v>
      </c>
      <c r="H87" s="21" t="s">
        <v>568</v>
      </c>
      <c r="I87" s="13">
        <v>42818.69222222222</v>
      </c>
      <c r="J87" s="7">
        <v>0</v>
      </c>
      <c r="K87" s="98" t="str">
        <f t="shared" si="27"/>
        <v>4045/4046</v>
      </c>
      <c r="L87" s="21" t="str">
        <f>VLOOKUP(A87,'Trips&amp;Operators'!$C$1:$G$99999,5,FALSE)</f>
        <v>CLARK KATHLEEN</v>
      </c>
      <c r="M87" s="6">
        <f t="shared" si="28"/>
        <v>2.8148148143372964E-2</v>
      </c>
      <c r="N87" s="7">
        <f t="shared" si="26"/>
        <v>40.533333326457068</v>
      </c>
      <c r="O87" s="7"/>
      <c r="P87" s="7"/>
      <c r="Q87" s="22"/>
      <c r="R87" s="22"/>
      <c r="S87" s="31">
        <f t="shared" si="42"/>
        <v>1</v>
      </c>
      <c r="T87" s="46" t="str">
        <f t="shared" si="29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0"/>
        <v>https://d0f6bd738d7f1b3e5a7ca70fe4ff75f0.us-east-1.aws.found.io/app/kibana#/discover/Steve-Slow-Train-Analysis-(2080s-and-2083s)?_g=(refreshInterval:(display:Off,pause:!f,section:0,value:0),time:(from:'2017-03-24T14:48:51-0600',mode:absolute,to:'2017-03-24T17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7" s="187" t="str">
        <f t="shared" si="31"/>
        <v>N</v>
      </c>
      <c r="X87" s="187">
        <f t="shared" si="22"/>
        <v>1</v>
      </c>
      <c r="Y87" s="62">
        <f t="shared" si="32"/>
        <v>23.294899999999998</v>
      </c>
      <c r="Z87" s="62">
        <f t="shared" si="33"/>
        <v>1.8700000000000001E-2</v>
      </c>
      <c r="AA87" s="62">
        <f t="shared" si="34"/>
        <v>23.276199999999999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0192-24</v>
      </c>
      <c r="AE87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87" s="82" t="str">
        <f t="shared" si="37"/>
        <v>"C:\Program Files (x86)\AstroGrep\AstroGrep.exe" /e /r /s /spath="%USERPROFILE%\AppData\Local\Temp\OnboardLogs" /stypes="app*4045*20170324*" /stext=" 22:.+((SYSTEM_STATE.+slice.+state.+changed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192-24 --locoid 4045 --swversion DE.1.0.9.0 --startMP 204:232949 --initTime 2017-03-24T15:48:51 --startdatetime 2017-03-24T15:56:16 --delay 1 --endMP 204:187 --enddatetime 2017-03-24T16:36:48 --enforcementcount 0 &gt;&gt;C:\Users\stu\Documents\GitHub\eaglep3-reporting\EC\2017-03-24-refined-times.txt</v>
      </c>
      <c r="AI8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{"issue":{"subject":"","project_id":79,"tracker_id":40,"status_id":1,"priority_id":2,"assigned_to_id":23,"start_date":"2017-03-24","description":"","custom_fields":[{"id":1,"name":"Subdivision","value":"EC"},{"id":4,"name":"Milepost","value":"0.0187"},{"id":17,"name":"Train ID","value":"192-24"},{"id":16,"name":"Locomotive ID","value":"4045"},{"id":130,"name":"Impact","value":""},{"id":150,"name":"Time of Event (Mountain Time)","value":"16:36:48"},{"id":151,"name":"Denver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4045 --day 2017-03-24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742</v>
      </c>
      <c r="B88" s="7">
        <v>4018</v>
      </c>
      <c r="C88" s="21" t="s">
        <v>219</v>
      </c>
      <c r="D88" s="21" t="s">
        <v>213</v>
      </c>
      <c r="E88" s="13">
        <v>42818.633935185186</v>
      </c>
      <c r="F88" s="13">
        <v>42818.636307870373</v>
      </c>
      <c r="G88" s="7">
        <v>1</v>
      </c>
      <c r="H88" s="21" t="s">
        <v>570</v>
      </c>
      <c r="I88" s="13">
        <v>42818.661122685182</v>
      </c>
      <c r="J88" s="7">
        <v>0</v>
      </c>
      <c r="K88" s="98" t="str">
        <f t="shared" si="27"/>
        <v>4017/4018</v>
      </c>
      <c r="L88" s="21" t="str">
        <f>VLOOKUP(A88,'Trips&amp;Operators'!$C$1:$G$99999,5,FALSE)</f>
        <v>FORTUNATO FRANK</v>
      </c>
      <c r="M88" s="6">
        <f t="shared" si="28"/>
        <v>2.4814814809360541E-2</v>
      </c>
      <c r="N88" s="7">
        <f t="shared" si="26"/>
        <v>35.73333332547918</v>
      </c>
      <c r="O88" s="7"/>
      <c r="P88" s="7"/>
      <c r="Q88" s="22"/>
      <c r="R88" s="22"/>
      <c r="S88" s="31">
        <f t="shared" si="42"/>
        <v>1</v>
      </c>
      <c r="T88" s="46" t="str">
        <f t="shared" si="29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0"/>
        <v>https://d0f6bd738d7f1b3e5a7ca70fe4ff75f0.us-east-1.aws.found.io/app/kibana#/discover/Steve-Slow-Train-Analysis-(2080s-and-2083s)?_g=(refreshInterval:(display:Off,pause:!f,section:0,value:0),time:(from:'2017-03-24T14:12:52-0600',mode:absolute,to:'2017-03-24T16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187" t="str">
        <f t="shared" si="31"/>
        <v>N</v>
      </c>
      <c r="X88" s="187">
        <f t="shared" si="22"/>
        <v>1</v>
      </c>
      <c r="Y88" s="62">
        <f t="shared" si="32"/>
        <v>4.5499999999999999E-2</v>
      </c>
      <c r="Z88" s="62">
        <f t="shared" si="33"/>
        <v>23.333400000000001</v>
      </c>
      <c r="AA88" s="62">
        <f t="shared" si="34"/>
        <v>23.2879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0193-24</v>
      </c>
      <c r="AE88" s="85" t="str">
        <f t="shared" si="3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88" s="82" t="str">
        <f t="shared" si="37"/>
        <v>"C:\Program Files (x86)\AstroGrep\AstroGrep.exe" /e /r /s /spath="%USERPROFILE%\AppData\Local\Temp\OnboardLogs" /stypes="app*4018*20170324*" /stext=" 21:.+((SYSTEM_STATE.+slice.+state.+changed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193-24 --locoid 4018 --swversion DE.1.0.9.0 --startMP 204:455 --initTime 2017-03-24T15:12:52 --startdatetime 2017-03-24T15:16:17 --delay 1 --endMP 204:233334 --enddatetime 2017-03-24T15:52:01 --enforcementcount 0 &gt;&gt;C:\Users\stu\Documents\GitHub\eaglep3-reporting\EC\2017-03-24-refined-times.txt</v>
      </c>
      <c r="AI8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{"issue":{"subject":"","project_id":79,"tracker_id":40,"status_id":1,"priority_id":2,"assigned_to_id":23,"start_date":"2017-03-24","description":"","custom_fields":[{"id":1,"name":"Subdivision","value":"EC"},{"id":4,"name":"Milepost","value":"23.3334"},{"id":17,"name":"Train ID","value":"193-24"},{"id":16,"name":"Locomotive ID","value":"4018"},{"id":130,"name":"Impact","value":""},{"id":150,"name":"Time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4018 --day 2017-03-24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625</v>
      </c>
      <c r="B89" s="7">
        <v>4017</v>
      </c>
      <c r="C89" s="21" t="s">
        <v>219</v>
      </c>
      <c r="D89" s="21" t="s">
        <v>522</v>
      </c>
      <c r="E89" s="13">
        <v>42818.664490740739</v>
      </c>
      <c r="F89" s="13">
        <v>42818.67454861111</v>
      </c>
      <c r="G89" s="7">
        <v>1</v>
      </c>
      <c r="H89" s="21" t="s">
        <v>184</v>
      </c>
      <c r="I89" s="13">
        <v>42818.705312500002</v>
      </c>
      <c r="J89" s="7">
        <v>0</v>
      </c>
      <c r="K89" s="98" t="str">
        <f t="shared" si="27"/>
        <v>4017/4018</v>
      </c>
      <c r="L89" s="21" t="str">
        <f>VLOOKUP(A89,'Trips&amp;Operators'!$C$1:$G$99999,5,FALSE)</f>
        <v>FORTUNATO FRANK</v>
      </c>
      <c r="M89" s="6">
        <f t="shared" si="28"/>
        <v>3.0763888891669922E-2</v>
      </c>
      <c r="N89" s="7">
        <f t="shared" si="26"/>
        <v>44.300000004004687</v>
      </c>
      <c r="O89" s="7"/>
      <c r="P89" s="7"/>
      <c r="Q89" s="22"/>
      <c r="R89" s="22"/>
      <c r="S89" s="31">
        <f t="shared" si="42"/>
        <v>1</v>
      </c>
      <c r="T89" s="46" t="str">
        <f t="shared" si="29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0"/>
        <v>https://d0f6bd738d7f1b3e5a7ca70fe4ff75f0.us-east-1.aws.found.io/app/kibana#/discover/Steve-Slow-Train-Analysis-(2080s-and-2083s)?_g=(refreshInterval:(display:Off,pause:!f,section:0,value:0),time:(from:'2017-03-24T14:56:52-0600',mode:absolute,to:'2017-03-24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187" t="str">
        <f t="shared" si="31"/>
        <v>N</v>
      </c>
      <c r="X89" s="187">
        <f t="shared" ref="X89:X152" si="43">VALUE(LEFT(AD89,4))-VALUE(LEFT(AD88,4))</f>
        <v>1</v>
      </c>
      <c r="Y89" s="62">
        <f t="shared" si="32"/>
        <v>23.2986</v>
      </c>
      <c r="Z89" s="62">
        <f t="shared" si="33"/>
        <v>1.49E-2</v>
      </c>
      <c r="AA89" s="62">
        <f t="shared" si="34"/>
        <v>23.2837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0194-24</v>
      </c>
      <c r="AE89" s="85" t="str">
        <f t="shared" si="3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89" s="82" t="str">
        <f t="shared" si="37"/>
        <v>"C:\Program Files (x86)\AstroGrep\AstroGrep.exe" /e /r /s /spath="%USERPROFILE%\AppData\Local\Temp\OnboardLogs" /stypes="app*4017*20170324*" /stext=" 22:.+((SYSTEM_STATE.+slice.+state.+changed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194-24 --locoid 4017 --swversion DE.1.0.9.0 --startMP 204:232986 --initTime 2017-03-24T15:56:52 --startdatetime 2017-03-24T16:11:21 --delay 1 --endMP 204:149 --enddatetime 2017-03-24T16:55:39 --enforcementcount 0 &gt;&gt;C:\Users\stu\Documents\GitHub\eaglep3-reporting\EC\2017-03-24-refined-times.txt</v>
      </c>
      <c r="AI8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ID","value":"194-24"},{"id":16,"name":"Locomotive ID","value":"4017"},{"id":130,"name":"Impact","value":""},{"id":150,"name":"Time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4017 --day 2017-03-24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90" spans="1:91" s="20" customFormat="1" x14ac:dyDescent="0.25">
      <c r="A90" s="33" t="s">
        <v>745</v>
      </c>
      <c r="B90" s="7">
        <v>4027</v>
      </c>
      <c r="C90" s="21" t="s">
        <v>219</v>
      </c>
      <c r="D90" s="21" t="s">
        <v>209</v>
      </c>
      <c r="E90" s="13">
        <v>42818.644513888888</v>
      </c>
      <c r="F90" s="13">
        <v>42818.64603009259</v>
      </c>
      <c r="G90" s="7">
        <v>1</v>
      </c>
      <c r="H90" s="21" t="s">
        <v>491</v>
      </c>
      <c r="I90" s="13">
        <v>42818.670798611114</v>
      </c>
      <c r="J90" s="7">
        <v>0</v>
      </c>
      <c r="K90" s="98" t="str">
        <f t="shared" si="27"/>
        <v>4027/4028</v>
      </c>
      <c r="L90" s="21" t="str">
        <f>VLOOKUP(A90,'Trips&amp;Operators'!$C$1:$G$99999,5,FALSE)</f>
        <v>HELVIE ADAM</v>
      </c>
      <c r="M90" s="6">
        <f t="shared" si="28"/>
        <v>2.4768518524069805E-2</v>
      </c>
      <c r="N90" s="7">
        <f t="shared" si="26"/>
        <v>35.666666674660519</v>
      </c>
      <c r="O90" s="7"/>
      <c r="P90" s="7"/>
      <c r="Q90" s="22"/>
      <c r="R90" s="22"/>
      <c r="S90" s="31">
        <f t="shared" si="42"/>
        <v>1</v>
      </c>
      <c r="T90" s="46" t="str">
        <f t="shared" si="29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0"/>
        <v>https://d0f6bd738d7f1b3e5a7ca70fe4ff75f0.us-east-1.aws.found.io/app/kibana#/discover/Steve-Slow-Train-Analysis-(2080s-and-2083s)?_g=(refreshInterval:(display:Off,pause:!f,section:0,value:0),time:(from:'2017-03-24T14:28:06-0600',mode:absolute,to:'2017-03-24T17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87" t="str">
        <f t="shared" si="31"/>
        <v>N</v>
      </c>
      <c r="X90" s="187">
        <f t="shared" si="43"/>
        <v>1</v>
      </c>
      <c r="Y90" s="62">
        <f t="shared" si="32"/>
        <v>4.5999999999999999E-2</v>
      </c>
      <c r="Z90" s="62">
        <f t="shared" si="33"/>
        <v>23.328900000000001</v>
      </c>
      <c r="AA90" s="62">
        <f t="shared" si="34"/>
        <v>23.282900000000001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0195-24</v>
      </c>
      <c r="AE90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90" s="82" t="str">
        <f t="shared" si="37"/>
        <v>"C:\Program Files (x86)\AstroGrep\AstroGrep.exe" /e /r /s /spath="%USERPROFILE%\AppData\Local\Temp\OnboardLogs" /stypes="app*4027*20170324*" /stext=" 22:.+((SYSTEM_STATE.+slice.+state.+changed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195-24 --locoid 4027 --swversion DE.1.0.9.0 --startMP 204:460 --initTime 2017-03-24T15:28:06 --startdatetime 2017-03-24T15:30:17 --delay 1 --endMP 204:233289 --enddatetime 2017-03-24T16:05:57 --enforcementcount 0 &gt;&gt;C:\Users\stu\Documents\GitHub\eaglep3-reporting\EC\2017-03-24-refined-times.txt</v>
      </c>
      <c r="AI9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ID","value":"195-24"},{"id":16,"name":"Locomotive ID","value":"4027"},{"id":130,"name":"Impact","value":""},{"id":150,"name":"Time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4027 --day 2017-03-24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627</v>
      </c>
      <c r="B91" s="7">
        <v>4028</v>
      </c>
      <c r="C91" s="21" t="s">
        <v>219</v>
      </c>
      <c r="D91" s="21" t="s">
        <v>478</v>
      </c>
      <c r="E91" s="13">
        <v>42818.683171296296</v>
      </c>
      <c r="F91" s="13">
        <v>42818.684918981482</v>
      </c>
      <c r="G91" s="7">
        <v>1</v>
      </c>
      <c r="H91" s="21" t="s">
        <v>895</v>
      </c>
      <c r="I91" s="13">
        <v>42818.71298611111</v>
      </c>
      <c r="J91" s="7">
        <v>0</v>
      </c>
      <c r="K91" s="98" t="str">
        <f t="shared" si="27"/>
        <v>4027/4028</v>
      </c>
      <c r="L91" s="21" t="str">
        <f>VLOOKUP(A91,'Trips&amp;Operators'!$C$1:$G$99999,5,FALSE)</f>
        <v>HELVIE ADAM</v>
      </c>
      <c r="M91" s="6">
        <f t="shared" si="28"/>
        <v>2.806712962774327E-2</v>
      </c>
      <c r="N91" s="7">
        <f t="shared" si="26"/>
        <v>40.416666663950309</v>
      </c>
      <c r="O91" s="7"/>
      <c r="P91" s="7"/>
      <c r="Q91" s="22"/>
      <c r="R91" s="22"/>
      <c r="S91" s="31">
        <f t="shared" si="42"/>
        <v>1</v>
      </c>
      <c r="T91" s="46" t="str">
        <f t="shared" si="29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0"/>
        <v>https://d0f6bd738d7f1b3e5a7ca70fe4ff75f0.us-east-1.aws.found.io/app/kibana#/discover/Steve-Slow-Train-Analysis-(2080s-and-2083s)?_g=(refreshInterval:(display:Off,pause:!f,section:0,value:0),time:(from:'2017-03-24T15:23:46-0600',mode:absolute,to:'2017-03-24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87" t="str">
        <f t="shared" si="31"/>
        <v>N</v>
      </c>
      <c r="X91" s="187">
        <f t="shared" si="43"/>
        <v>1</v>
      </c>
      <c r="Y91" s="62">
        <f t="shared" si="32"/>
        <v>23.297699999999999</v>
      </c>
      <c r="Z91" s="62">
        <f t="shared" si="33"/>
        <v>2.0500000000000001E-2</v>
      </c>
      <c r="AA91" s="62">
        <f t="shared" si="34"/>
        <v>23.277200000000001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0196-24</v>
      </c>
      <c r="AE91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91" s="82" t="str">
        <f t="shared" si="37"/>
        <v>"C:\Program Files (x86)\AstroGrep\AstroGrep.exe" /e /r /s /spath="%USERPROFILE%\AppData\Local\Temp\OnboardLogs" /stypes="app*4028*20170324*" /stext=" 23:.+((SYSTEM_STATE.+slice.+state.+changed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196-24 --locoid 4028 --swversion DE.1.0.9.0 --startMP 204:232977 --initTime 2017-03-24T16:23:46 --startdatetime 2017-03-24T16:26:17 --delay 1 --endMP 204:205 --enddatetime 2017-03-24T17:06:42 --enforcementcount 0 &gt;&gt;C:\Users\stu\Documents\GitHub\eaglep3-reporting\EC\2017-03-24-refined-times.txt</v>
      </c>
      <c r="AI9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{"issue":{"subject":"","project_id":79,"tracker_id":40,"status_id":1,"priority_id":2,"assigned_to_id":23,"start_date":"2017-03-24","description":"","custom_fields":[{"id":1,"name":"Subdivision","value":"EC"},{"id":4,"name":"Milepost","value":"0.0205"},{"id":17,"name":"Train ID","value":"196-24"},{"id":16,"name":"Locomotive ID","value":"4028"},{"id":130,"name":"Impact","value":""},{"id":150,"name":"Time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4028 --day 2017-03-24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747</v>
      </c>
      <c r="B92" s="7">
        <v>4031</v>
      </c>
      <c r="C92" s="21" t="s">
        <v>219</v>
      </c>
      <c r="D92" s="21" t="s">
        <v>441</v>
      </c>
      <c r="E92" s="13">
        <v>42818.652939814812</v>
      </c>
      <c r="F92" s="13">
        <v>42818.656666666669</v>
      </c>
      <c r="G92" s="7">
        <v>1</v>
      </c>
      <c r="H92" s="21" t="s">
        <v>896</v>
      </c>
      <c r="I92" s="13">
        <v>42818.682766203703</v>
      </c>
      <c r="J92" s="7">
        <v>0</v>
      </c>
      <c r="K92" s="98" t="str">
        <f t="shared" si="27"/>
        <v>4031/4032</v>
      </c>
      <c r="L92" s="21" t="str">
        <f>VLOOKUP(A92,'Trips&amp;Operators'!$C$1:$G$99999,5,FALSE)</f>
        <v>BRANDNER MELINDA</v>
      </c>
      <c r="M92" s="6">
        <f t="shared" si="28"/>
        <v>2.6099537033587694E-2</v>
      </c>
      <c r="N92" s="7">
        <f t="shared" si="26"/>
        <v>37.58333332836628</v>
      </c>
      <c r="O92" s="7"/>
      <c r="P92" s="7"/>
      <c r="Q92" s="22"/>
      <c r="R92" s="22"/>
      <c r="S92" s="31">
        <f t="shared" si="42"/>
        <v>1</v>
      </c>
      <c r="T92" s="46" t="str">
        <f t="shared" si="29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0"/>
        <v>https://d0f6bd738d7f1b3e5a7ca70fe4ff75f0.us-east-1.aws.found.io/app/kibana#/discover/Steve-Slow-Train-Analysis-(2080s-and-2083s)?_g=(refreshInterval:(display:Off,pause:!f,section:0,value:0),time:(from:'2017-03-24T14:40:14-0600',mode:absolute,to:'2017-03-24T17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87" t="str">
        <f t="shared" si="31"/>
        <v>N</v>
      </c>
      <c r="X92" s="187">
        <f t="shared" si="43"/>
        <v>1</v>
      </c>
      <c r="Y92" s="62">
        <f t="shared" si="32"/>
        <v>4.4900000000000002E-2</v>
      </c>
      <c r="Z92" s="62">
        <f t="shared" si="33"/>
        <v>23.3309</v>
      </c>
      <c r="AA92" s="62">
        <f t="shared" si="34"/>
        <v>23.286000000000001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0197-24</v>
      </c>
      <c r="AE92" s="85" t="str">
        <f t="shared" si="3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92" s="82" t="str">
        <f t="shared" si="37"/>
        <v>"C:\Program Files (x86)\AstroGrep\AstroGrep.exe" /e /r /s /spath="%USERPROFILE%\AppData\Local\Temp\OnboardLogs" /stypes="app*4031*20170324*" /stext=" 22:.+((SYSTEM_STATE.+slice.+state.+changed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197-24 --locoid 4031 --swversion DE.1.0.9.0 --startMP 204:449 --initTime 2017-03-24T15:40:14 --startdatetime 2017-03-24T15:45:36 --delay 1 --endMP 204:233309 --enddatetime 2017-03-24T16:23:11 --enforcementcount 0 &gt;&gt;C:\Users\stu\Documents\GitHub\eaglep3-reporting\EC\2017-03-24-refined-times.txt</v>
      </c>
      <c r="AI9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{"issue":{"subject":"","project_id":79,"tracker_id":40,"status_id":1,"priority_id":2,"assigned_to_id":23,"start_date":"2017-03-24","description":"","custom_fields":[{"id":1,"name":"Subdivision","value":"EC"},{"id":4,"name":"Milepost","value":"23.3309"},{"id":17,"name":"Train ID","value":"197-24"},{"id":16,"name":"Locomotive ID","value":"4031"},{"id":130,"name":"Impact","value":""},{"id":150,"name":"Time of Event (Mountain Time)","value":"16:23:11"},{"id":151,"name":"Denver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4031 --day 2017-03-24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756</v>
      </c>
      <c r="B93" s="7">
        <v>4032</v>
      </c>
      <c r="C93" s="21" t="s">
        <v>219</v>
      </c>
      <c r="D93" s="21" t="s">
        <v>516</v>
      </c>
      <c r="E93" s="13">
        <v>42818.690787037034</v>
      </c>
      <c r="F93" s="13">
        <v>42818.695347222223</v>
      </c>
      <c r="G93" s="7">
        <v>1</v>
      </c>
      <c r="H93" s="21" t="s">
        <v>191</v>
      </c>
      <c r="I93" s="13">
        <v>42818.723564814813</v>
      </c>
      <c r="J93" s="7">
        <v>0</v>
      </c>
      <c r="K93" s="98" t="str">
        <f t="shared" si="27"/>
        <v>4031/4032</v>
      </c>
      <c r="L93" s="21" t="str">
        <f>VLOOKUP(A93,'Trips&amp;Operators'!$C$1:$G$99999,5,FALSE)</f>
        <v>BRANDNER MELINDA</v>
      </c>
      <c r="M93" s="6">
        <f t="shared" si="28"/>
        <v>2.8217592589498963E-2</v>
      </c>
      <c r="N93" s="7">
        <f t="shared" si="26"/>
        <v>40.633333328878507</v>
      </c>
      <c r="O93" s="7"/>
      <c r="P93" s="7"/>
      <c r="Q93" s="22"/>
      <c r="R93" s="22"/>
      <c r="S93" s="31">
        <f t="shared" si="42"/>
        <v>1</v>
      </c>
      <c r="T93" s="46" t="str">
        <f t="shared" si="29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0"/>
        <v>https://d0f6bd738d7f1b3e5a7ca70fe4ff75f0.us-east-1.aws.found.io/app/kibana#/discover/Steve-Slow-Train-Analysis-(2080s-and-2083s)?_g=(refreshInterval:(display:Off,pause:!f,section:0,value:0),time:(from:'2017-03-24T15:34:44-0600',mode:absolute,to:'2017-03-24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87" t="str">
        <f t="shared" si="31"/>
        <v>N</v>
      </c>
      <c r="X93" s="187">
        <f t="shared" si="43"/>
        <v>1</v>
      </c>
      <c r="Y93" s="62">
        <f t="shared" si="32"/>
        <v>23.298200000000001</v>
      </c>
      <c r="Z93" s="62">
        <f t="shared" si="33"/>
        <v>1.4999999999999999E-2</v>
      </c>
      <c r="AA93" s="62">
        <f t="shared" si="34"/>
        <v>23.283200000000001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0198-24</v>
      </c>
      <c r="AE93" s="85" t="str">
        <f t="shared" si="3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93" s="82" t="str">
        <f t="shared" si="37"/>
        <v>"C:\Program Files (x86)\AstroGrep\AstroGrep.exe" /e /r /s /spath="%USERPROFILE%\AppData\Local\Temp\OnboardLogs" /stypes="app*4032*20170324*" /stext=" 23:.+((SYSTEM_STATE.+slice.+state.+changed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198-24 --locoid 4032 --swversion DE.1.0.9.0 --startMP 204:232982 --initTime 2017-03-24T16:34:44 --startdatetime 2017-03-24T16:41:18 --delay 1 --endMP 204:150 --enddatetime 2017-03-24T17:21:56 --enforcementcount 0 &gt;&gt;C:\Users\stu\Documents\GitHub\eaglep3-reporting\EC\2017-03-24-refined-times.txt</v>
      </c>
      <c r="AI9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{"issue":{"subject":"","project_id":79,"tracker_id":40,"status_id":1,"priority_id":2,"assigned_to_id":23,"start_date":"2017-03-24","description":"","custom_fields":[{"id":1,"name":"Subdivision","value":"EC"},{"id":4,"name":"Milepost","value":"0.015"},{"id":17,"name":"Train ID","value":"198-24"},{"id":16,"name":"Locomotive ID","value":"4032"},{"id":130,"name":"Impact","value":""},{"id":150,"name":"Time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4032 --day 2017-03-24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750</v>
      </c>
      <c r="B94" s="7">
        <v>4003</v>
      </c>
      <c r="C94" s="21" t="s">
        <v>219</v>
      </c>
      <c r="D94" s="21" t="s">
        <v>400</v>
      </c>
      <c r="E94" s="13">
        <v>42818.663506944446</v>
      </c>
      <c r="F94" s="13">
        <v>42818.671909722223</v>
      </c>
      <c r="G94" s="7">
        <v>1</v>
      </c>
      <c r="H94" s="21" t="s">
        <v>491</v>
      </c>
      <c r="I94" s="13">
        <v>42818.694675925923</v>
      </c>
      <c r="J94" s="7">
        <v>0</v>
      </c>
      <c r="K94" s="98" t="str">
        <f t="shared" si="27"/>
        <v>4003/4004</v>
      </c>
      <c r="L94" s="21" t="str">
        <f>VLOOKUP(A94,'Trips&amp;Operators'!$C$1:$G$99999,5,FALSE)</f>
        <v>STRICKLAND EVAN</v>
      </c>
      <c r="M94" s="6">
        <f t="shared" si="28"/>
        <v>2.2766203699575271E-2</v>
      </c>
      <c r="N94" s="7"/>
      <c r="O94" s="7"/>
      <c r="P94" s="7">
        <f>24*60*SUM($M94:$M94)</f>
        <v>32.783333327388391</v>
      </c>
      <c r="Q94" s="22"/>
      <c r="R94" s="22" t="s">
        <v>599</v>
      </c>
      <c r="S94" s="31">
        <f t="shared" si="42"/>
        <v>1</v>
      </c>
      <c r="T94" s="46" t="str">
        <f t="shared" si="29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0"/>
        <v>https://d0f6bd738d7f1b3e5a7ca70fe4ff75f0.us-east-1.aws.found.io/app/kibana#/discover/Steve-Slow-Train-Analysis-(2080s-and-2083s)?_g=(refreshInterval:(display:Off,pause:!f,section:0,value:0),time:(from:'2017-03-24T14:55:27-0600',mode:absolute,to:'2017-03-24T17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187" t="str">
        <f t="shared" si="31"/>
        <v>Y</v>
      </c>
      <c r="X94" s="187">
        <f t="shared" si="43"/>
        <v>1</v>
      </c>
      <c r="Y94" s="62">
        <v>1.9394</v>
      </c>
      <c r="Z94" s="62">
        <f t="shared" si="33"/>
        <v>23.328900000000001</v>
      </c>
      <c r="AA94" s="62">
        <f t="shared" si="34"/>
        <v>21.389500000000002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0199-24</v>
      </c>
      <c r="AE94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94" s="82" t="str">
        <f t="shared" si="37"/>
        <v>"C:\Program Files (x86)\AstroGrep\AstroGrep.exe" /e /r /s /spath="%USERPROFILE%\AppData\Local\Temp\OnboardLogs" /stypes="app*4003*20170324*" /stext=" 22:.+((SYSTEM_STATE.+slice.+state.+changed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199-24 --locoid 4003 --swversion DE.1.0.9.0 --startMP 204:473 --initTime 2017-03-24T15:55:27 --startdatetime 2017-03-24T16:07:33 --delay 1 --endMP 204:233289 --enddatetime 2017-03-24T16:40:20 --enforcementcount 0 &gt;&gt;C:\Users\stu\Documents\GitHub\eaglep3-reporting\EC\2017-03-24-refined-times.txt</v>
      </c>
      <c r="AI94" s="108" t="str">
        <f t="shared" si="40"/>
        <v>echo {"issue":{"subject":"Selected wrong track","project_id":79,"tracker_id":40,"status_id":1,"priority_id":2,"assigned_to_id":23,"start_date":"2017-03-24","description":"","custom_fields":[{"id":1,"name":"Subdivision","value":"EC"},{"id":4,"name":"Milepost","value":"23.3289"},{"id":17,"name":"Train ID","value":"199-24"},{"id":16,"name":"Locomotive ID","value":"4003"},{"id":130,"name":"Impact","value":""},{"id":150,"name":"Time of Event (Mountain Time)","value":"16:40:20"},{"id":151,"name":"Denver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4003 --day 2017-03-24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759</v>
      </c>
      <c r="B95" s="7">
        <v>4004</v>
      </c>
      <c r="C95" s="21" t="s">
        <v>219</v>
      </c>
      <c r="D95" s="21" t="s">
        <v>444</v>
      </c>
      <c r="E95" s="13">
        <v>42818.696631944447</v>
      </c>
      <c r="F95" s="13">
        <v>42818.705879629626</v>
      </c>
      <c r="G95" s="7">
        <v>2</v>
      </c>
      <c r="H95" s="21" t="s">
        <v>456</v>
      </c>
      <c r="I95" s="13">
        <v>42818.734178240738</v>
      </c>
      <c r="J95" s="7">
        <v>0</v>
      </c>
      <c r="K95" s="98" t="str">
        <f t="shared" si="27"/>
        <v>4003/4004</v>
      </c>
      <c r="L95" s="21" t="str">
        <f>VLOOKUP(A95,'Trips&amp;Operators'!$C$1:$G$99999,5,FALSE)</f>
        <v>STRICKLAND EVAN</v>
      </c>
      <c r="M95" s="6">
        <f t="shared" si="28"/>
        <v>2.8298611112404615E-2</v>
      </c>
      <c r="N95" s="7">
        <f t="shared" ref="N95:N126" si="44">24*60*SUM($M95:$M95)</f>
        <v>40.750000001862645</v>
      </c>
      <c r="O95" s="7"/>
      <c r="P95" s="7"/>
      <c r="Q95" s="22"/>
      <c r="R95" s="22"/>
      <c r="S95" s="31">
        <f t="shared" si="42"/>
        <v>1</v>
      </c>
      <c r="T95" s="46" t="str">
        <f t="shared" si="29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0"/>
        <v>https://d0f6bd738d7f1b3e5a7ca70fe4ff75f0.us-east-1.aws.found.io/app/kibana#/discover/Steve-Slow-Train-Analysis-(2080s-and-2083s)?_g=(refreshInterval:(display:Off,pause:!f,section:0,value:0),time:(from:'2017-03-24T15:43:09-0600',mode:absolute,to:'2017-03-24T18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87" t="str">
        <f t="shared" si="31"/>
        <v>N</v>
      </c>
      <c r="X95" s="187">
        <f t="shared" si="43"/>
        <v>1</v>
      </c>
      <c r="Y95" s="62">
        <f t="shared" ref="Y95:Y126" si="45">RIGHT(D95,LEN(D95)-4)/10000</f>
        <v>23.299600000000002</v>
      </c>
      <c r="Z95" s="62">
        <f t="shared" si="33"/>
        <v>1.61E-2</v>
      </c>
      <c r="AA95" s="62">
        <f t="shared" si="34"/>
        <v>23.2835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0200-24</v>
      </c>
      <c r="AE95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95" s="82" t="str">
        <f t="shared" si="37"/>
        <v>"C:\Program Files (x86)\AstroGrep\AstroGrep.exe" /e /r /s /spath="%USERPROFILE%\AppData\Local\Temp\OnboardLogs" /stypes="app*4004*20170324*" /stext=" 23:.+((SYSTEM_STATE.+slice.+state.+changed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200-24 --locoid 4004 --swversion DE.1.0.9.0 --startMP 204:232996 --initTime 2017-03-24T16:43:09 --startdatetime 2017-03-24T16:56:28 --delay 2 --endMP 204:161 --enddatetime 2017-03-24T17:37:13 --enforcementcount 0 &gt;&gt;C:\Users\stu\Documents\GitHub\eaglep3-reporting\EC\2017-03-24-refined-times.txt</v>
      </c>
      <c r="AI9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{"issue":{"subject":"","project_id":79,"tracker_id":40,"status_id":1,"priority_id":2,"assigned_to_id":23,"start_date":"2017-03-24","description":"","custom_fields":[{"id":1,"name":"Subdivision","value":"EC"},{"id":4,"name":"Milepost","value":"0.0161"},{"id":17,"name":"Train ID","value":"200-24"},{"id":16,"name":"Locomotive ID","value":"4004"},{"id":130,"name":"Impact","value":""},{"id":150,"name":"Time of Event (Mountain Time)","value":"17:37:13"},{"id":151,"name":"Denver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4004 --day 2017-03-24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753</v>
      </c>
      <c r="B96" s="7">
        <v>4011</v>
      </c>
      <c r="C96" s="21" t="s">
        <v>219</v>
      </c>
      <c r="D96" s="21" t="s">
        <v>890</v>
      </c>
      <c r="E96" s="13">
        <v>42818.676446759258</v>
      </c>
      <c r="F96" s="13">
        <v>42818.678078703706</v>
      </c>
      <c r="G96" s="7">
        <v>1</v>
      </c>
      <c r="H96" s="21" t="s">
        <v>897</v>
      </c>
      <c r="I96" s="13">
        <v>42818.703553240739</v>
      </c>
      <c r="J96" s="7">
        <v>0</v>
      </c>
      <c r="K96" s="98" t="str">
        <f t="shared" si="27"/>
        <v>4011/4012</v>
      </c>
      <c r="L96" s="21" t="str">
        <f>VLOOKUP(A96,'Trips&amp;Operators'!$C$1:$G$99999,5,FALSE)</f>
        <v>STEWART MICHAEL</v>
      </c>
      <c r="M96" s="6">
        <f t="shared" si="28"/>
        <v>2.5474537033005618E-2</v>
      </c>
      <c r="N96" s="7">
        <f t="shared" si="44"/>
        <v>36.683333327528089</v>
      </c>
      <c r="O96" s="7"/>
      <c r="P96" s="7"/>
      <c r="Q96" s="22"/>
      <c r="R96" s="22"/>
      <c r="S96" s="31">
        <f t="shared" si="42"/>
        <v>1</v>
      </c>
      <c r="T96" s="46" t="str">
        <f t="shared" si="29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0"/>
        <v>https://d0f6bd738d7f1b3e5a7ca70fe4ff75f0.us-east-1.aws.found.io/app/kibana#/discover/Steve-Slow-Train-Analysis-(2080s-and-2083s)?_g=(refreshInterval:(display:Off,pause:!f,section:0,value:0),time:(from:'2017-03-24T15:14:05-0600',mode:absolute,to:'2017-03-24T17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87" t="str">
        <f t="shared" si="31"/>
        <v>N</v>
      </c>
      <c r="X96" s="187">
        <f t="shared" si="43"/>
        <v>1</v>
      </c>
      <c r="Y96" s="62">
        <f t="shared" si="45"/>
        <v>4.3799999999999999E-2</v>
      </c>
      <c r="Z96" s="62">
        <f t="shared" si="33"/>
        <v>23.328399999999998</v>
      </c>
      <c r="AA96" s="62">
        <f t="shared" si="34"/>
        <v>23.284599999999998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0201-24</v>
      </c>
      <c r="AE96" s="85" t="str">
        <f t="shared" si="3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96" s="82" t="str">
        <f t="shared" si="37"/>
        <v>"C:\Program Files (x86)\AstroGrep\AstroGrep.exe" /e /r /s /spath="%USERPROFILE%\AppData\Local\Temp\OnboardLogs" /stypes="app*4011*20170324*" /stext=" 22:.+((SYSTEM_STATE.+slice.+state.+changed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201-24 --locoid 4011 --swversion DE.1.0.9.0 --startMP 204:438 --initTime 2017-03-24T16:14:05 --startdatetime 2017-03-24T16:16:26 --delay 1 --endMP 204:233284 --enddatetime 2017-03-24T16:53:07 --enforcementcount 0 &gt;&gt;C:\Users\stu\Documents\GitHub\eaglep3-reporting\EC\2017-03-24-refined-times.txt</v>
      </c>
      <c r="AI9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{"issue":{"subject":"","project_id":79,"tracker_id":40,"status_id":1,"priority_id":2,"assigned_to_id":23,"start_date":"2017-03-24","description":"","custom_fields":[{"id":1,"name":"Subdivision","value":"EC"},{"id":4,"name":"Milepost","value":"23.3284"},{"id":17,"name":"Train ID","value":"201-24"},{"id":16,"name":"Locomotive ID","value":"4011"},{"id":130,"name":"Impact","value":""},{"id":150,"name":"Time of Event (Mountain Time)","value":"16:53:07"},{"id":151,"name":"Denver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4011 --day 2017-03-24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764</v>
      </c>
      <c r="B97" s="7">
        <v>4012</v>
      </c>
      <c r="C97" s="21" t="s">
        <v>219</v>
      </c>
      <c r="D97" s="21" t="s">
        <v>445</v>
      </c>
      <c r="E97" s="13">
        <v>42818.714733796296</v>
      </c>
      <c r="F97" s="13">
        <v>42818.716307870367</v>
      </c>
      <c r="G97" s="7">
        <v>1</v>
      </c>
      <c r="H97" s="21" t="s">
        <v>410</v>
      </c>
      <c r="I97" s="13">
        <v>42818.744212962964</v>
      </c>
      <c r="J97" s="7">
        <v>0</v>
      </c>
      <c r="K97" s="98" t="str">
        <f t="shared" si="27"/>
        <v>4011/4012</v>
      </c>
      <c r="L97" s="21" t="str">
        <f>VLOOKUP(A97,'Trips&amp;Operators'!$C$1:$G$99999,5,FALSE)</f>
        <v>STEWART MICHAEL</v>
      </c>
      <c r="M97" s="6">
        <f t="shared" si="28"/>
        <v>2.7905092596483883E-2</v>
      </c>
      <c r="N97" s="7">
        <f t="shared" si="44"/>
        <v>40.183333338936791</v>
      </c>
      <c r="O97" s="7"/>
      <c r="P97" s="7"/>
      <c r="Q97" s="22"/>
      <c r="R97" s="22"/>
      <c r="S97" s="31">
        <f t="shared" si="42"/>
        <v>1</v>
      </c>
      <c r="T97" s="46" t="str">
        <f t="shared" si="29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0"/>
        <v>https://d0f6bd738d7f1b3e5a7ca70fe4ff75f0.us-east-1.aws.found.io/app/kibana#/discover/Steve-Slow-Train-Analysis-(2080s-and-2083s)?_g=(refreshInterval:(display:Off,pause:!f,section:0,value:0),time:(from:'2017-03-24T16:09:13-0600',mode:absolute,to:'2017-03-24T18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87" t="str">
        <f t="shared" si="31"/>
        <v>N</v>
      </c>
      <c r="X97" s="187">
        <f t="shared" si="43"/>
        <v>1</v>
      </c>
      <c r="Y97" s="62">
        <f t="shared" si="45"/>
        <v>23.297999999999998</v>
      </c>
      <c r="Z97" s="62">
        <f t="shared" si="33"/>
        <v>1.6E-2</v>
      </c>
      <c r="AA97" s="62">
        <f t="shared" si="34"/>
        <v>23.282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0202-24</v>
      </c>
      <c r="AE97" s="85" t="str">
        <f t="shared" si="3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97" s="82" t="str">
        <f t="shared" si="37"/>
        <v>"C:\Program Files (x86)\AstroGrep\AstroGrep.exe" /e /r /s /spath="%USERPROFILE%\AppData\Local\Temp\OnboardLogs" /stypes="app*4012*20170324*" /stext=" 23:.+((SYSTEM_STATE.+slice.+state.+changed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202-24 --locoid 4012 --swversion DE.1.0.9.0 --startMP 204:232980 --initTime 2017-03-24T17:09:13 --startdatetime 2017-03-24T17:11:29 --delay 1 --endMP 204:160 --enddatetime 2017-03-24T17:51:40 --enforcementcount 0 &gt;&gt;C:\Users\stu\Documents\GitHub\eaglep3-reporting\EC\2017-03-24-refined-times.txt</v>
      </c>
      <c r="AI9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ID","value":"202-24"},{"id":16,"name":"Locomotive ID","value":"4012"},{"id":130,"name":"Impact","value":""},{"id":150,"name":"Time of Event (Mountain Time)","value":"17:51:40"},{"id":151,"name":"Denver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4012 --day 2017-03-24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</row>
    <row r="98" spans="1:91" s="20" customFormat="1" x14ac:dyDescent="0.25">
      <c r="A98" s="33" t="s">
        <v>754</v>
      </c>
      <c r="B98" s="7">
        <v>4020</v>
      </c>
      <c r="C98" s="21" t="s">
        <v>219</v>
      </c>
      <c r="D98" s="21" t="s">
        <v>564</v>
      </c>
      <c r="E98" s="13">
        <v>42818.682314814818</v>
      </c>
      <c r="F98" s="13">
        <v>42818.687650462962</v>
      </c>
      <c r="G98" s="7">
        <v>2</v>
      </c>
      <c r="H98" s="21" t="s">
        <v>898</v>
      </c>
      <c r="I98" s="13">
        <v>42818.711875000001</v>
      </c>
      <c r="J98" s="7">
        <v>0</v>
      </c>
      <c r="K98" s="98" t="str">
        <f t="shared" si="27"/>
        <v>4019/4020</v>
      </c>
      <c r="L98" s="21" t="str">
        <f>VLOOKUP(A98,'Trips&amp;Operators'!$C$1:$G$99999,5,FALSE)</f>
        <v>ROMERO CHAD</v>
      </c>
      <c r="M98" s="6">
        <f t="shared" si="28"/>
        <v>2.4224537039117422E-2</v>
      </c>
      <c r="N98" s="7">
        <f t="shared" si="44"/>
        <v>34.883333336329088</v>
      </c>
      <c r="O98" s="7"/>
      <c r="P98" s="7"/>
      <c r="Q98" s="22"/>
      <c r="R98" s="22"/>
      <c r="S98" s="31">
        <f t="shared" si="42"/>
        <v>1</v>
      </c>
      <c r="T98" s="46" t="str">
        <f t="shared" si="29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0"/>
        <v>https://d0f6bd738d7f1b3e5a7ca70fe4ff75f0.us-east-1.aws.found.io/app/kibana#/discover/Steve-Slow-Train-Analysis-(2080s-and-2083s)?_g=(refreshInterval:(display:Off,pause:!f,section:0,value:0),time:(from:'2017-03-24T15:22:32-0600',mode:absolute,to:'2017-03-24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187" t="str">
        <f t="shared" si="31"/>
        <v>N</v>
      </c>
      <c r="X98" s="187">
        <f t="shared" si="43"/>
        <v>1</v>
      </c>
      <c r="Y98" s="62">
        <f t="shared" si="45"/>
        <v>4.3099999999999999E-2</v>
      </c>
      <c r="Z98" s="62">
        <f t="shared" si="33"/>
        <v>23.339300000000001</v>
      </c>
      <c r="AA98" s="62">
        <f t="shared" si="34"/>
        <v>23.296200000000002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5"/>
        <v>0203-24</v>
      </c>
      <c r="AE98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98" s="82" t="str">
        <f t="shared" si="37"/>
        <v>"C:\Program Files (x86)\AstroGrep\AstroGrep.exe" /e /r /s /spath="%USERPROFILE%\AppData\Local\Temp\OnboardLogs" /stypes="app*4020*20170324*" /stext=" 23:.+((SYSTEM_STATE.+slice.+state.+changed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203-24 --locoid 4020 --swversion DE.1.0.9.0 --startMP 204:431 --initTime 2017-03-24T16:22:32 --startdatetime 2017-03-24T16:30:13 --delay 2 --endMP 204:233393 --enddatetime 2017-03-24T17:05:06 --enforcementcount 0 &gt;&gt;C:\Users\stu\Documents\GitHub\eaglep3-reporting\EC\2017-03-24-refined-times.txt</v>
      </c>
      <c r="AI9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{"issue":{"subject":"","project_id":79,"tracker_id":40,"status_id":1,"priority_id":2,"assigned_to_id":23,"start_date":"2017-03-24","description":"","custom_fields":[{"id":1,"name":"Subdivision","value":"EC"},{"id":4,"name":"Milepost","value":"23.3393"},{"id":17,"name":"Train ID","value":"203-24"},{"id":16,"name":"Locomotive ID","value":"4020"},{"id":130,"name":"Impact","value":""},{"id":150,"name":"Time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4020 --day 2017-03-24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762</v>
      </c>
      <c r="B99" s="7">
        <v>4019</v>
      </c>
      <c r="C99" s="21" t="s">
        <v>219</v>
      </c>
      <c r="D99" s="21" t="s">
        <v>899</v>
      </c>
      <c r="E99" s="13">
        <v>42818.714398148149</v>
      </c>
      <c r="F99" s="13">
        <v>42818.726689814815</v>
      </c>
      <c r="G99" s="7">
        <v>1</v>
      </c>
      <c r="H99" s="21" t="s">
        <v>519</v>
      </c>
      <c r="I99" s="13">
        <v>42818.752604166664</v>
      </c>
      <c r="J99" s="7">
        <v>0</v>
      </c>
      <c r="K99" s="98" t="str">
        <f t="shared" si="27"/>
        <v>4019/4020</v>
      </c>
      <c r="L99" s="21" t="str">
        <f>VLOOKUP(A99,'Trips&amp;Operators'!$C$1:$G$99999,5,FALSE)</f>
        <v>ROMERO CHAD</v>
      </c>
      <c r="M99" s="6">
        <f t="shared" si="28"/>
        <v>2.5914351848769002E-2</v>
      </c>
      <c r="N99" s="7">
        <f t="shared" si="44"/>
        <v>37.316666662227362</v>
      </c>
      <c r="O99" s="7"/>
      <c r="P99" s="7"/>
      <c r="Q99" s="22"/>
      <c r="R99" s="22"/>
      <c r="S99" s="31">
        <f t="shared" si="42"/>
        <v>1</v>
      </c>
      <c r="T99" s="46" t="str">
        <f t="shared" si="29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0"/>
        <v>https://d0f6bd738d7f1b3e5a7ca70fe4ff75f0.us-east-1.aws.found.io/app/kibana#/discover/Steve-Slow-Train-Analysis-(2080s-and-2083s)?_g=(refreshInterval:(display:Off,pause:!f,section:0,value:0),time:(from:'2017-03-24T16:08:44-0600',mode:absolute,to:'2017-03-24T19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187" t="str">
        <f t="shared" si="31"/>
        <v>N</v>
      </c>
      <c r="X99" s="187">
        <f t="shared" si="43"/>
        <v>1</v>
      </c>
      <c r="Y99" s="62">
        <f t="shared" si="45"/>
        <v>23.306000000000001</v>
      </c>
      <c r="Z99" s="62">
        <f t="shared" si="33"/>
        <v>1.3899999999999999E-2</v>
      </c>
      <c r="AA99" s="62">
        <f t="shared" si="34"/>
        <v>23.292100000000001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0204-24</v>
      </c>
      <c r="AE99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99" s="82" t="str">
        <f t="shared" si="37"/>
        <v>"C:\Program Files (x86)\AstroGrep\AstroGrep.exe" /e /r /s /spath="%USERPROFILE%\AppData\Local\Temp\OnboardLogs" /stypes="app*4019*20170325*" /stext=" 00:.+((SYSTEM_STATE.+slice.+state.+changed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204-24 --locoid 4019 --swversion DE.1.0.9.0 --startMP 204:233060 --initTime 2017-03-24T17:08:44 --startdatetime 2017-03-24T17:26:26 --delay 1 --endMP 204:139 --enddatetime 2017-03-24T18:03:45 --enforcementcount 0 &gt;&gt;C:\Users\stu\Documents\GitHub\eaglep3-reporting\EC\2017-03-24-refined-times.txt</v>
      </c>
      <c r="AI9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ID","value":"204-24"},{"id":16,"name":"Locomotive ID","value":"4019"},{"id":130,"name":"Impact","value":""},{"id":150,"name":"Time of Event (Mountain Time)","value":"18:03:45"},{"id":151,"name":"Denver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4019 --day 2017-03-24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4046</v>
      </c>
      <c r="C100" s="21" t="s">
        <v>219</v>
      </c>
      <c r="D100" s="21" t="s">
        <v>900</v>
      </c>
      <c r="E100" s="13">
        <v>42818.694988425923</v>
      </c>
      <c r="F100" s="13">
        <v>42818.69809027778</v>
      </c>
      <c r="G100" s="7">
        <v>1</v>
      </c>
      <c r="H100" s="21" t="s">
        <v>901</v>
      </c>
      <c r="I100" s="13">
        <v>42818.723634259259</v>
      </c>
      <c r="J100" s="7">
        <v>0</v>
      </c>
      <c r="K100" s="98" t="str">
        <f t="shared" si="27"/>
        <v>4045/4046</v>
      </c>
      <c r="L100" s="21" t="str">
        <f>VLOOKUP(A100,'Trips&amp;Operators'!$C$1:$G$99999,5,FALSE)</f>
        <v>CLARK KATHLEEN</v>
      </c>
      <c r="M100" s="6">
        <f t="shared" si="28"/>
        <v>2.5543981479131617E-2</v>
      </c>
      <c r="N100" s="7">
        <f t="shared" si="44"/>
        <v>36.783333329949528</v>
      </c>
      <c r="O100" s="7"/>
      <c r="P100" s="7"/>
      <c r="Q100" s="22"/>
      <c r="R100" s="22"/>
      <c r="S100" s="31">
        <f t="shared" si="42"/>
        <v>1</v>
      </c>
      <c r="T100" s="46" t="str">
        <f t="shared" si="29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0"/>
        <v>https://d0f6bd738d7f1b3e5a7ca70fe4ff75f0.us-east-1.aws.found.io/app/kibana#/discover/Steve-Slow-Train-Analysis-(2080s-and-2083s)?_g=(refreshInterval:(display:Off,pause:!f,section:0,value:0),time:(from:'2017-03-24T15:40:47-0600',mode:absolute,to:'2017-03-24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187" t="str">
        <f t="shared" si="31"/>
        <v>N</v>
      </c>
      <c r="X100" s="187">
        <f t="shared" si="43"/>
        <v>1</v>
      </c>
      <c r="Y100" s="62">
        <f t="shared" si="45"/>
        <v>4.7699999999999999E-2</v>
      </c>
      <c r="Z100" s="62">
        <f t="shared" si="33"/>
        <v>23.310700000000001</v>
      </c>
      <c r="AA100" s="62">
        <f t="shared" si="34"/>
        <v>23.263000000000002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0205-24</v>
      </c>
      <c r="AE100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00" s="82" t="str">
        <f t="shared" si="37"/>
        <v>"C:\Program Files (x86)\AstroGrep\AstroGrep.exe" /e /r /s /spath="%USERPROFILE%\AppData\Local\Temp\OnboardLogs" /stypes="app*4046*20170324*" /stext=" 23:.+((SYSTEM_STATE.+slice.+state.+changed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205-24 --locoid 4046 --swversion DE.1.0.9.0 --startMP 204:477 --initTime 2017-03-24T16:40:47 --startdatetime 2017-03-24T16:45:15 --delay 1 --endMP 204:233107 --enddatetime 2017-03-24T17:22:02 --enforcementcount 0 &gt;&gt;C:\Users\stu\Documents\GitHub\eaglep3-reporting\EC\2017-03-24-refined-times.txt</v>
      </c>
      <c r="AI10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{"issue":{"subject":"","project_id":79,"tracker_id":40,"status_id":1,"priority_id":2,"assigned_to_id":23,"start_date":"2017-03-24","description":"","custom_fields":[{"id":1,"name":"Subdivision","value":"EC"},{"id":4,"name":"Milepost","value":"23.3107"},{"id":17,"name":"Train ID","value":"205-24"},{"id":16,"name":"Locomotive ID","value":"4046"},{"id":130,"name":"Impact","value":""},{"id":150,"name":"Time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4046 --day 2017-03-24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767</v>
      </c>
      <c r="B101" s="7">
        <v>4045</v>
      </c>
      <c r="C101" s="21" t="s">
        <v>219</v>
      </c>
      <c r="D101" s="21" t="s">
        <v>902</v>
      </c>
      <c r="E101" s="13">
        <v>42818.733252314814</v>
      </c>
      <c r="F101" s="13">
        <v>42818.736967592595</v>
      </c>
      <c r="G101" s="7">
        <v>0</v>
      </c>
      <c r="H101" s="21" t="s">
        <v>184</v>
      </c>
      <c r="I101" s="13">
        <v>42818.764837962961</v>
      </c>
      <c r="J101" s="7">
        <v>0</v>
      </c>
      <c r="K101" s="98" t="str">
        <f t="shared" si="27"/>
        <v>4045/4046</v>
      </c>
      <c r="L101" s="21" t="str">
        <f>VLOOKUP(A101,'Trips&amp;Operators'!$C$1:$G$99999,5,FALSE)</f>
        <v>CLARK KATHLEEN</v>
      </c>
      <c r="M101" s="6">
        <f t="shared" si="28"/>
        <v>2.7870370366144925E-2</v>
      </c>
      <c r="N101" s="7">
        <f t="shared" si="44"/>
        <v>40.133333327248693</v>
      </c>
      <c r="O101" s="7"/>
      <c r="P101" s="7"/>
      <c r="Q101" s="22"/>
      <c r="R101" s="22"/>
      <c r="S101" s="31">
        <f t="shared" si="42"/>
        <v>1</v>
      </c>
      <c r="T101" s="46" t="str">
        <f t="shared" si="29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0"/>
        <v>https://d0f6bd738d7f1b3e5a7ca70fe4ff75f0.us-east-1.aws.found.io/app/kibana#/discover/Steve-Slow-Train-Analysis-(2080s-and-2083s)?_g=(refreshInterval:(display:Off,pause:!f,section:0,value:0),time:(from:'2017-03-24T16:35:53-0600',mode:absolute,to:'2017-03-24T19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187" t="str">
        <f t="shared" si="31"/>
        <v>N</v>
      </c>
      <c r="X101" s="187">
        <f t="shared" si="43"/>
        <v>1</v>
      </c>
      <c r="Y101" s="62">
        <f t="shared" si="45"/>
        <v>23.278099999999998</v>
      </c>
      <c r="Z101" s="62">
        <f t="shared" si="33"/>
        <v>1.49E-2</v>
      </c>
      <c r="AA101" s="62">
        <f t="shared" si="34"/>
        <v>23.263199999999998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0206-24</v>
      </c>
      <c r="AE101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01" s="82" t="str">
        <f t="shared" si="37"/>
        <v>"C:\Program Files (x86)\AstroGrep\AstroGrep.exe" /e /r /s /spath="%USERPROFILE%\AppData\Local\Temp\OnboardLogs" /stypes="app*4045*20170325*" /stext=" 00:.+((SYSTEM_STATE.+slice.+state.+changed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206-24 --locoid 4045 --swversion DE.1.0.9.0 --startMP 204:232781 --initTime 2017-03-24T17:35:53 --startdatetime 2017-03-24T17:41:14 --delay 0 --endMP 204:149 --enddatetime 2017-03-24T18:21:22 --enforcementcount 0 &gt;&gt;C:\Users\stu\Documents\GitHub\eaglep3-reporting\EC\2017-03-24-refined-times.txt</v>
      </c>
      <c r="AI10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ID","value":"206-24"},{"id":16,"name":"Locomotive ID","value":"4045"},{"id":130,"name":"Impact","value":""},{"id":150,"name":"Time of Event (Mountain Time)","value":"18:21:22"},{"id":151,"name":"Denver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4045 --day 2017-03-24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626</v>
      </c>
      <c r="B102" s="7">
        <v>4018</v>
      </c>
      <c r="C102" s="21" t="s">
        <v>219</v>
      </c>
      <c r="D102" s="21" t="s">
        <v>208</v>
      </c>
      <c r="E102" s="13">
        <v>42818.706365740742</v>
      </c>
      <c r="F102" s="13">
        <v>42818.708495370367</v>
      </c>
      <c r="G102" s="7">
        <v>1</v>
      </c>
      <c r="H102" s="21" t="s">
        <v>396</v>
      </c>
      <c r="I102" s="13">
        <v>42818.734201388892</v>
      </c>
      <c r="J102" s="7">
        <v>0</v>
      </c>
      <c r="K102" s="98" t="str">
        <f t="shared" si="27"/>
        <v>4017/4018</v>
      </c>
      <c r="L102" s="21" t="str">
        <f>VLOOKUP(A102,'Trips&amp;Operators'!$C$1:$G$99999,5,FALSE)</f>
        <v>FORTUNATO FRANK</v>
      </c>
      <c r="M102" s="6">
        <f t="shared" si="28"/>
        <v>2.570601852494292E-2</v>
      </c>
      <c r="N102" s="7">
        <f t="shared" si="44"/>
        <v>37.016666675917804</v>
      </c>
      <c r="O102" s="7"/>
      <c r="P102" s="7"/>
      <c r="Q102" s="22"/>
      <c r="R102" s="22"/>
      <c r="S102" s="31">
        <f t="shared" si="42"/>
        <v>1</v>
      </c>
      <c r="T102" s="46" t="str">
        <f t="shared" si="29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0"/>
        <v>https://d0f6bd738d7f1b3e5a7ca70fe4ff75f0.us-east-1.aws.found.io/app/kibana#/discover/Steve-Slow-Train-Analysis-(2080s-and-2083s)?_g=(refreshInterval:(display:Off,pause:!f,section:0,value:0),time:(from:'2017-03-24T15:57:10-0600',mode:absolute,to:'2017-03-24T18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187" t="str">
        <f t="shared" si="31"/>
        <v>N</v>
      </c>
      <c r="X102" s="187">
        <f t="shared" si="43"/>
        <v>1</v>
      </c>
      <c r="Y102" s="62">
        <f t="shared" si="45"/>
        <v>4.5699999999999998E-2</v>
      </c>
      <c r="Z102" s="62">
        <f t="shared" si="33"/>
        <v>23.3308</v>
      </c>
      <c r="AA102" s="62">
        <f t="shared" si="34"/>
        <v>23.2851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0207-24</v>
      </c>
      <c r="AE102" s="85" t="str">
        <f t="shared" si="3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102" s="82" t="str">
        <f t="shared" si="37"/>
        <v>"C:\Program Files (x86)\AstroGrep\AstroGrep.exe" /e /r /s /spath="%USERPROFILE%\AppData\Local\Temp\OnboardLogs" /stypes="app*4018*20170324*" /stext=" 23:.+((SYSTEM_STATE.+slice.+state.+changed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207-24 --locoid 4018 --swversion DE.1.0.9.0 --startMP 204:457 --initTime 2017-03-24T16:57:10 --startdatetime 2017-03-24T17:00:14 --delay 1 --endMP 204:233308 --enddatetime 2017-03-24T17:37:15 --enforcementcount 0 &gt;&gt;C:\Users\stu\Documents\GitHub\eaglep3-reporting\EC\2017-03-24-refined-times.txt</v>
      </c>
      <c r="AI10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{"issue":{"subject":"","project_id":79,"tracker_id":40,"status_id":1,"priority_id":2,"assigned_to_id":23,"start_date":"2017-03-24","description":"","custom_fields":[{"id":1,"name":"Subdivision","value":"EC"},{"id":4,"name":"Milepost","value":"23.3308"},{"id":17,"name":"Train ID","value":"207-24"},{"id":16,"name":"Locomotive ID","value":"4018"},{"id":130,"name":"Impact","value":""},{"id":150,"name":"Time of Event (Mountain Time)","value":"17:37:15"},{"id":151,"name":"Denver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4018 --day 2017-03-24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769</v>
      </c>
      <c r="B103" s="7">
        <v>4017</v>
      </c>
      <c r="C103" s="21" t="s">
        <v>219</v>
      </c>
      <c r="D103" s="21" t="s">
        <v>480</v>
      </c>
      <c r="E103" s="13">
        <v>42818.735567129632</v>
      </c>
      <c r="F103" s="13">
        <v>42818.747395833336</v>
      </c>
      <c r="G103" s="7">
        <v>1</v>
      </c>
      <c r="H103" s="21" t="s">
        <v>903</v>
      </c>
      <c r="I103" s="13">
        <v>42818.774652777778</v>
      </c>
      <c r="J103" s="7">
        <v>0</v>
      </c>
      <c r="K103" s="98" t="str">
        <f t="shared" si="27"/>
        <v>4017/4018</v>
      </c>
      <c r="L103" s="21" t="str">
        <f>VLOOKUP(A103,'Trips&amp;Operators'!$C$1:$G$99999,5,FALSE)</f>
        <v>FORTUNATO FRANK</v>
      </c>
      <c r="M103" s="6">
        <f t="shared" si="28"/>
        <v>2.7256944442342501E-2</v>
      </c>
      <c r="N103" s="7">
        <f t="shared" si="44"/>
        <v>39.249999996973202</v>
      </c>
      <c r="O103" s="7"/>
      <c r="P103" s="7"/>
      <c r="Q103" s="22"/>
      <c r="R103" s="22"/>
      <c r="S103" s="31">
        <f t="shared" si="42"/>
        <v>1</v>
      </c>
      <c r="T103" s="46" t="str">
        <f t="shared" si="29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0"/>
        <v>https://d0f6bd738d7f1b3e5a7ca70fe4ff75f0.us-east-1.aws.found.io/app/kibana#/discover/Steve-Slow-Train-Analysis-(2080s-and-2083s)?_g=(refreshInterval:(display:Off,pause:!f,section:0,value:0),time:(from:'2017-03-24T16:39:13-0600',mode:absolute,to:'2017-03-24T19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187" t="str">
        <f t="shared" si="31"/>
        <v>N</v>
      </c>
      <c r="X103" s="187">
        <f t="shared" si="43"/>
        <v>1</v>
      </c>
      <c r="Y103" s="62">
        <f t="shared" si="45"/>
        <v>23.299399999999999</v>
      </c>
      <c r="Z103" s="62">
        <f t="shared" si="33"/>
        <v>1.34E-2</v>
      </c>
      <c r="AA103" s="62">
        <f t="shared" si="34"/>
        <v>23.285999999999998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0208-24</v>
      </c>
      <c r="AE103" s="85" t="str">
        <f t="shared" si="3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103" s="82" t="str">
        <f t="shared" si="37"/>
        <v>"C:\Program Files (x86)\AstroGrep\AstroGrep.exe" /e /r /s /spath="%USERPROFILE%\AppData\Local\Temp\OnboardLogs" /stypes="app*4017*20170325*" /stext=" 00:.+((SYSTEM_STATE.+slice.+state.+changed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208-24 --locoid 4017 --swversion DE.1.0.9.0 --startMP 204:232994 --initTime 2017-03-24T17:39:13 --startdatetime 2017-03-24T17:56:15 --delay 1 --endMP 204:134 --enddatetime 2017-03-24T18:35:30 --enforcementcount 0 &gt;&gt;C:\Users\stu\Documents\GitHub\eaglep3-reporting\EC\2017-03-24-refined-times.txt</v>
      </c>
      <c r="AI10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{"issue":{"subject":"","project_id":79,"tracker_id":40,"status_id":1,"priority_id":2,"assigned_to_id":23,"start_date":"2017-03-24","description":"","custom_fields":[{"id":1,"name":"Subdivision","value":"EC"},{"id":4,"name":"Milepost","value":"0.0134"},{"id":17,"name":"Train ID","value":"208-24"},{"id":16,"name":"Locomotive ID","value":"4017"},{"id":130,"name":"Impact","value":""},{"id":150,"name":"Time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4017 --day 2017-03-24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765</v>
      </c>
      <c r="B104" s="7">
        <v>4027</v>
      </c>
      <c r="C104" s="21" t="s">
        <v>219</v>
      </c>
      <c r="D104" s="21" t="s">
        <v>904</v>
      </c>
      <c r="E104" s="13">
        <v>42818.71738425926</v>
      </c>
      <c r="F104" s="13">
        <v>42818.719571759262</v>
      </c>
      <c r="G104" s="7">
        <v>1</v>
      </c>
      <c r="H104" s="21" t="s">
        <v>905</v>
      </c>
      <c r="I104" s="13">
        <v>42818.743136574078</v>
      </c>
      <c r="J104" s="7">
        <v>0</v>
      </c>
      <c r="K104" s="98" t="str">
        <f t="shared" si="27"/>
        <v>4027/4028</v>
      </c>
      <c r="L104" s="21" t="str">
        <f>VLOOKUP(A104,'Trips&amp;Operators'!$C$1:$G$99999,5,FALSE)</f>
        <v>HELVIE ADAM</v>
      </c>
      <c r="M104" s="6">
        <f t="shared" si="28"/>
        <v>2.3564814815472346E-2</v>
      </c>
      <c r="N104" s="7">
        <f t="shared" si="44"/>
        <v>33.933333334280178</v>
      </c>
      <c r="O104" s="7"/>
      <c r="P104" s="7"/>
      <c r="Q104" s="22"/>
      <c r="R104" s="22"/>
      <c r="S104" s="31">
        <f t="shared" si="42"/>
        <v>1</v>
      </c>
      <c r="T104" s="46" t="str">
        <f t="shared" si="29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0"/>
        <v>https://d0f6bd738d7f1b3e5a7ca70fe4ff75f0.us-east-1.aws.found.io/app/kibana#/discover/Steve-Slow-Train-Analysis-(2080s-and-2083s)?_g=(refreshInterval:(display:Off,pause:!f,section:0,value:0),time:(from:'2017-03-24T16:13:02-0600',mode:absolute,to:'2017-03-24T18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87" t="str">
        <f t="shared" si="31"/>
        <v>N</v>
      </c>
      <c r="X104" s="187">
        <f t="shared" si="43"/>
        <v>1</v>
      </c>
      <c r="Y104" s="62">
        <f t="shared" si="45"/>
        <v>5.0599999999999999E-2</v>
      </c>
      <c r="Z104" s="62">
        <f t="shared" si="33"/>
        <v>23.327999999999999</v>
      </c>
      <c r="AA104" s="62">
        <f t="shared" si="34"/>
        <v>23.2774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0209-24</v>
      </c>
      <c r="AE104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04" s="82" t="str">
        <f t="shared" si="37"/>
        <v>"C:\Program Files (x86)\AstroGrep\AstroGrep.exe" /e /r /s /spath="%USERPROFILE%\AppData\Local\Temp\OnboardLogs" /stypes="app*4027*20170324*" /stext=" 23:.+((SYSTEM_STATE.+slice.+state.+changed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209-24 --locoid 4027 --swversion DE.1.0.9.0 --startMP 204:506 --initTime 2017-03-24T17:13:02 --startdatetime 2017-03-24T17:16:11 --delay 1 --endMP 204:233280 --enddatetime 2017-03-24T17:50:07 --enforcementcount 0 &gt;&gt;C:\Users\stu\Documents\GitHub\eaglep3-reporting\EC\2017-03-24-refined-times.txt</v>
      </c>
      <c r="AI10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{"issue":{"subject":"","project_id":79,"tracker_id":40,"status_id":1,"priority_id":2,"assigned_to_id":23,"start_date":"2017-03-24","description":"","custom_fields":[{"id":1,"name":"Subdivision","value":"EC"},{"id":4,"name":"Milepost","value":"23.328"},{"id":17,"name":"Train ID","value":"209-24"},{"id":16,"name":"Locomotive ID","value":"4027"},{"id":130,"name":"Impact","value":""},{"id":150,"name":"Time of Event (Mountain Time)","value":"17:50:07"},{"id":151,"name":"Denver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4027 --day 2017-03-24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775</v>
      </c>
      <c r="B105" s="7">
        <v>4028</v>
      </c>
      <c r="C105" s="21" t="s">
        <v>219</v>
      </c>
      <c r="D105" s="21" t="s">
        <v>520</v>
      </c>
      <c r="E105" s="13">
        <v>42818.754374999997</v>
      </c>
      <c r="F105" s="13">
        <v>42818.757905092592</v>
      </c>
      <c r="G105" s="7">
        <v>1</v>
      </c>
      <c r="H105" s="21" t="s">
        <v>199</v>
      </c>
      <c r="I105" s="13">
        <v>42818.784282407411</v>
      </c>
      <c r="J105" s="7">
        <v>0</v>
      </c>
      <c r="K105" s="98" t="str">
        <f t="shared" si="27"/>
        <v>4027/4028</v>
      </c>
      <c r="L105" s="21" t="str">
        <f>VLOOKUP(A105,'Trips&amp;Operators'!$C$1:$G$99999,5,FALSE)</f>
        <v>HELVIE ADAM</v>
      </c>
      <c r="M105" s="6">
        <f t="shared" si="28"/>
        <v>2.6377314818091691E-2</v>
      </c>
      <c r="N105" s="7">
        <f t="shared" si="44"/>
        <v>37.983333338052034</v>
      </c>
      <c r="O105" s="7"/>
      <c r="P105" s="7"/>
      <c r="Q105" s="22"/>
      <c r="R105" s="22"/>
      <c r="S105" s="31">
        <f t="shared" si="42"/>
        <v>1</v>
      </c>
      <c r="T105" s="46" t="str">
        <f t="shared" si="29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0"/>
        <v>https://d0f6bd738d7f1b3e5a7ca70fe4ff75f0.us-east-1.aws.found.io/app/kibana#/discover/Steve-Slow-Train-Analysis-(2080s-and-2083s)?_g=(refreshInterval:(display:Off,pause:!f,section:0,value:0),time:(from:'2017-03-24T17:06:18-0600',mode:absolute,to:'2017-03-24T19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87" t="str">
        <f t="shared" si="31"/>
        <v>N</v>
      </c>
      <c r="X105" s="187">
        <f t="shared" si="43"/>
        <v>1</v>
      </c>
      <c r="Y105" s="62">
        <f t="shared" si="45"/>
        <v>23.296700000000001</v>
      </c>
      <c r="Z105" s="62">
        <f t="shared" si="33"/>
        <v>1.52E-2</v>
      </c>
      <c r="AA105" s="62">
        <f t="shared" si="34"/>
        <v>23.281500000000001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0210-24</v>
      </c>
      <c r="AE105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105" s="82" t="str">
        <f t="shared" si="37"/>
        <v>"C:\Program Files (x86)\AstroGrep\AstroGrep.exe" /e /r /s /spath="%USERPROFILE%\AppData\Local\Temp\OnboardLogs" /stypes="app*4028*20170325*" /stext=" 00:.+((SYSTEM_STATE.+slice.+state.+changed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210-24 --locoid 4028 --swversion DE.1.0.9.0 --startMP 204:232967 --initTime 2017-03-24T18:06:18 --startdatetime 2017-03-24T18:11:23 --delay 1 --endMP 204:152 --enddatetime 2017-03-24T18:49:22 --enforcementcount 0 &gt;&gt;C:\Users\stu\Documents\GitHub\eaglep3-reporting\EC\2017-03-24-refined-times.txt</v>
      </c>
      <c r="AI10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ID","value":"210-24"},{"id":16,"name":"Locomotive ID","value":"4028"},{"id":130,"name":"Impact","value":""},{"id":150,"name":"Time of Event (Mountain Time)","value":"18:49:22"},{"id":151,"name":"Denver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4028 --day 2017-03-24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766</v>
      </c>
      <c r="B106" s="7">
        <v>4031</v>
      </c>
      <c r="C106" s="21" t="s">
        <v>219</v>
      </c>
      <c r="D106" s="21" t="s">
        <v>461</v>
      </c>
      <c r="E106" s="13">
        <v>42818.72550925926</v>
      </c>
      <c r="F106" s="13">
        <v>42818.72934027778</v>
      </c>
      <c r="G106" s="7">
        <v>1</v>
      </c>
      <c r="H106" s="21" t="s">
        <v>479</v>
      </c>
      <c r="I106" s="13">
        <v>42818.755173611113</v>
      </c>
      <c r="J106" s="7">
        <v>0</v>
      </c>
      <c r="K106" s="98" t="str">
        <f t="shared" si="27"/>
        <v>4031/4032</v>
      </c>
      <c r="L106" s="21" t="str">
        <f>VLOOKUP(A106,'Trips&amp;Operators'!$C$1:$G$99999,5,FALSE)</f>
        <v>BRANDNER MELINDA</v>
      </c>
      <c r="M106" s="6">
        <f t="shared" si="28"/>
        <v>2.5833333333139308E-2</v>
      </c>
      <c r="N106" s="7">
        <f t="shared" si="44"/>
        <v>37.199999999720603</v>
      </c>
      <c r="O106" s="7"/>
      <c r="P106" s="7"/>
      <c r="Q106" s="22"/>
      <c r="R106" s="22"/>
      <c r="S106" s="31">
        <f t="shared" si="42"/>
        <v>1</v>
      </c>
      <c r="T106" s="46" t="str">
        <f t="shared" si="29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0"/>
        <v>https://d0f6bd738d7f1b3e5a7ca70fe4ff75f0.us-east-1.aws.found.io/app/kibana#/discover/Steve-Slow-Train-Analysis-(2080s-and-2083s)?_g=(refreshInterval:(display:Off,pause:!f,section:0,value:0),time:(from:'2017-03-24T16:24:44-0600',mode:absolute,to:'2017-03-24T19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87" t="str">
        <f t="shared" si="31"/>
        <v>N</v>
      </c>
      <c r="X106" s="187">
        <f t="shared" si="43"/>
        <v>1</v>
      </c>
      <c r="Y106" s="62">
        <f t="shared" si="45"/>
        <v>4.3700000000000003E-2</v>
      </c>
      <c r="Z106" s="62">
        <f t="shared" si="33"/>
        <v>23.33</v>
      </c>
      <c r="AA106" s="62">
        <f t="shared" si="34"/>
        <v>23.286299999999997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0211-24</v>
      </c>
      <c r="AE106" s="85" t="str">
        <f t="shared" si="3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106" s="82" t="str">
        <f t="shared" si="37"/>
        <v>"C:\Program Files (x86)\AstroGrep\AstroGrep.exe" /e /r /s /spath="%USERPROFILE%\AppData\Local\Temp\OnboardLogs" /stypes="app*4031*20170325*" /stext=" 00:.+((SYSTEM_STATE.+slice.+state.+changed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211-24 --locoid 4031 --swversion DE.1.0.9.0 --startMP 204:437 --initTime 2017-03-24T17:24:44 --startdatetime 2017-03-24T17:30:15 --delay 1 --endMP 204:233300 --enddatetime 2017-03-24T18:07:27 --enforcementcount 0 &gt;&gt;C:\Users\stu\Documents\GitHub\eaglep3-reporting\EC\2017-03-24-refined-times.txt</v>
      </c>
      <c r="AI10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{"issue":{"subject":"","project_id":79,"tracker_id":40,"status_id":1,"priority_id":2,"assigned_to_id":23,"start_date":"2017-03-24","description":"","custom_fields":[{"id":1,"name":"Subdivision","value":"EC"},{"id":4,"name":"Milepost","value":"23.33"},{"id":17,"name":"Train ID","value":"211-24"},{"id":16,"name":"Locomotive ID","value":"4031"},{"id":130,"name":"Impact","value":""},{"id":150,"name":"Time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4031 --day 2017-03-24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780</v>
      </c>
      <c r="B107" s="7">
        <v>4032</v>
      </c>
      <c r="C107" s="21" t="s">
        <v>219</v>
      </c>
      <c r="D107" s="21" t="s">
        <v>527</v>
      </c>
      <c r="E107" s="13">
        <v>42818.76357638889</v>
      </c>
      <c r="F107" s="13">
        <v>42818.76829861111</v>
      </c>
      <c r="G107" s="7">
        <v>1</v>
      </c>
      <c r="H107" s="21" t="s">
        <v>906</v>
      </c>
      <c r="I107" s="13">
        <v>42818.796643518515</v>
      </c>
      <c r="J107" s="7">
        <v>0</v>
      </c>
      <c r="K107" s="98" t="str">
        <f t="shared" si="27"/>
        <v>4031/4032</v>
      </c>
      <c r="L107" s="21" t="str">
        <f>VLOOKUP(A107,'Trips&amp;Operators'!$C$1:$G$99999,5,FALSE)</f>
        <v>BRANDNER MELINDA</v>
      </c>
      <c r="M107" s="6">
        <f t="shared" si="28"/>
        <v>2.8344907404971309E-2</v>
      </c>
      <c r="N107" s="7">
        <f t="shared" si="44"/>
        <v>40.816666663158685</v>
      </c>
      <c r="O107" s="7"/>
      <c r="P107" s="7"/>
      <c r="Q107" s="22"/>
      <c r="R107" s="22"/>
      <c r="S107" s="31">
        <f t="shared" si="42"/>
        <v>1</v>
      </c>
      <c r="T107" s="46" t="str">
        <f t="shared" si="29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0"/>
        <v>https://d0f6bd738d7f1b3e5a7ca70fe4ff75f0.us-east-1.aws.found.io/app/kibana#/discover/Steve-Slow-Train-Analysis-(2080s-and-2083s)?_g=(refreshInterval:(display:Off,pause:!f,section:0,value:0),time:(from:'2017-03-24T17:19:33-0600',mode:absolute,to:'2017-03-24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87" t="str">
        <f t="shared" si="31"/>
        <v>N</v>
      </c>
      <c r="X107" s="187">
        <f t="shared" si="43"/>
        <v>1</v>
      </c>
      <c r="Y107" s="62">
        <f t="shared" si="45"/>
        <v>23.298500000000001</v>
      </c>
      <c r="Z107" s="62">
        <f t="shared" si="33"/>
        <v>1.1900000000000001E-2</v>
      </c>
      <c r="AA107" s="62">
        <f t="shared" si="34"/>
        <v>23.2866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0212-24</v>
      </c>
      <c r="AE107" s="85" t="str">
        <f t="shared" si="3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107" s="82" t="str">
        <f t="shared" si="37"/>
        <v>"C:\Program Files (x86)\AstroGrep\AstroGrep.exe" /e /r /s /spath="%USERPROFILE%\AppData\Local\Temp\OnboardLogs" /stypes="app*4032*20170325*" /stext=" 01:.+((SYSTEM_STATE.+slice.+state.+changed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212-24 --locoid 4032 --swversion DE.1.0.9.0 --startMP 204:232985 --initTime 2017-03-24T18:19:33 --startdatetime 2017-03-24T18:26:21 --delay 1 --endMP 204:119 --enddatetime 2017-03-24T19:07:10 --enforcementcount 0 &gt;&gt;C:\Users\stu\Documents\GitHub\eaglep3-reporting\EC\2017-03-24-refined-times.txt</v>
      </c>
      <c r="AI10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{"issue":{"subject":"","project_id":79,"tracker_id":40,"status_id":1,"priority_id":2,"assigned_to_id":23,"start_date":"2017-03-24","description":"","custom_fields":[{"id":1,"name":"Subdivision","value":"EC"},{"id":4,"name":"Milepost","value":"0.0119"},{"id":17,"name":"Train ID","value":"212-24"},{"id":16,"name":"Locomotive ID","value":"4032"},{"id":130,"name":"Impact","value":""},{"id":150,"name":"Time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4032 --day 2017-03-24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771</v>
      </c>
      <c r="B108" s="7">
        <v>4003</v>
      </c>
      <c r="C108" s="21" t="s">
        <v>219</v>
      </c>
      <c r="D108" s="21" t="s">
        <v>907</v>
      </c>
      <c r="E108" s="13">
        <v>42818.737500000003</v>
      </c>
      <c r="F108" s="13">
        <v>42818.739791666667</v>
      </c>
      <c r="G108" s="7">
        <v>2</v>
      </c>
      <c r="H108" s="21" t="s">
        <v>524</v>
      </c>
      <c r="I108" s="13">
        <v>42818.76457175926</v>
      </c>
      <c r="J108" s="7">
        <v>0</v>
      </c>
      <c r="K108" s="98" t="str">
        <f t="shared" si="27"/>
        <v>4003/4004</v>
      </c>
      <c r="L108" s="21" t="str">
        <f>VLOOKUP(A108,'Trips&amp;Operators'!$C$1:$G$99999,5,FALSE)</f>
        <v>STORY SAMANTHA</v>
      </c>
      <c r="M108" s="6">
        <f t="shared" si="28"/>
        <v>2.4780092593573499E-2</v>
      </c>
      <c r="N108" s="7">
        <f t="shared" si="44"/>
        <v>35.683333334745839</v>
      </c>
      <c r="O108" s="7"/>
      <c r="P108" s="7"/>
      <c r="Q108" s="22"/>
      <c r="R108" s="22"/>
      <c r="S108" s="31">
        <f t="shared" si="42"/>
        <v>1</v>
      </c>
      <c r="T108" s="46" t="str">
        <f t="shared" si="29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0"/>
        <v>https://d0f6bd738d7f1b3e5a7ca70fe4ff75f0.us-east-1.aws.found.io/app/kibana#/discover/Steve-Slow-Train-Analysis-(2080s-and-2083s)?_g=(refreshInterval:(display:Off,pause:!f,section:0,value:0),time:(from:'2017-03-24T16:42:00-0600',mode:absolute,to:'2017-03-24T19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187" t="str">
        <f t="shared" si="31"/>
        <v>N</v>
      </c>
      <c r="X108" s="187">
        <f t="shared" si="43"/>
        <v>1</v>
      </c>
      <c r="Y108" s="62">
        <f t="shared" si="45"/>
        <v>4.4200000000000003E-2</v>
      </c>
      <c r="Z108" s="62">
        <f t="shared" si="33"/>
        <v>23.329899999999999</v>
      </c>
      <c r="AA108" s="62">
        <f t="shared" si="34"/>
        <v>23.285699999999999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0213-24</v>
      </c>
      <c r="AE108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08" s="82" t="str">
        <f t="shared" si="37"/>
        <v>"C:\Program Files (x86)\AstroGrep\AstroGrep.exe" /e /r /s /spath="%USERPROFILE%\AppData\Local\Temp\OnboardLogs" /stypes="app*4003*20170325*" /stext=" 00:.+((SYSTEM_STATE.+slice.+state.+changed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213-24 --locoid 4003 --swversion DE.1.0.9.0 --startMP 204:442 --initTime 2017-03-24T17:42:00 --startdatetime 2017-03-24T17:45:18 --delay 2 --endMP 204:233299 --enddatetime 2017-03-24T18:20:59 --enforcementcount 0 &gt;&gt;C:\Users\stu\Documents\GitHub\eaglep3-reporting\EC\2017-03-24-refined-times.txt</v>
      </c>
      <c r="AI10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{"issue":{"subject":"","project_id":79,"tracker_id":40,"status_id":1,"priority_id":2,"assigned_to_id":23,"start_date":"2017-03-24","description":"","custom_fields":[{"id":1,"name":"Subdivision","value":"EC"},{"id":4,"name":"Milepost","value":"23.3299"},{"id":17,"name":"Train ID","value":"213-24"},{"id":16,"name":"Locomotive ID","value":"4003"},{"id":130,"name":"Impact","value":""},{"id":150,"name":"Time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4003 --day 2017-03-24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783</v>
      </c>
      <c r="B109" s="7">
        <v>4004</v>
      </c>
      <c r="C109" s="21" t="s">
        <v>219</v>
      </c>
      <c r="D109" s="21" t="s">
        <v>567</v>
      </c>
      <c r="E109" s="13">
        <v>42818.772291666668</v>
      </c>
      <c r="F109" s="13">
        <v>42818.778657407405</v>
      </c>
      <c r="G109" s="7">
        <v>3</v>
      </c>
      <c r="H109" s="21" t="s">
        <v>908</v>
      </c>
      <c r="I109" s="13">
        <v>42818.806921296295</v>
      </c>
      <c r="J109" s="7">
        <v>0</v>
      </c>
      <c r="K109" s="98" t="str">
        <f t="shared" si="27"/>
        <v>4003/4004</v>
      </c>
      <c r="L109" s="21" t="str">
        <f>VLOOKUP(A109,'Trips&amp;Operators'!$C$1:$G$99999,5,FALSE)</f>
        <v>STORY SAMANTHA</v>
      </c>
      <c r="M109" s="6">
        <f t="shared" si="28"/>
        <v>2.8263888889341615E-2</v>
      </c>
      <c r="N109" s="7">
        <f t="shared" si="44"/>
        <v>40.700000000651926</v>
      </c>
      <c r="O109" s="7"/>
      <c r="P109" s="7"/>
      <c r="Q109" s="22"/>
      <c r="R109" s="22"/>
      <c r="S109" s="31">
        <f t="shared" si="42"/>
        <v>1</v>
      </c>
      <c r="T109" s="46" t="str">
        <f t="shared" si="29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0"/>
        <v>https://d0f6bd738d7f1b3e5a7ca70fe4ff75f0.us-east-1.aws.found.io/app/kibana#/discover/Steve-Slow-Train-Analysis-(2080s-and-2083s)?_g=(refreshInterval:(display:Off,pause:!f,section:0,value:0),time:(from:'2017-03-24T17:32:06-0600',mode:absolute,to:'2017-03-24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87" t="str">
        <f t="shared" si="31"/>
        <v>N</v>
      </c>
      <c r="X109" s="187">
        <f t="shared" si="43"/>
        <v>1</v>
      </c>
      <c r="Y109" s="62">
        <f t="shared" si="45"/>
        <v>23.298999999999999</v>
      </c>
      <c r="Z109" s="62">
        <f t="shared" si="33"/>
        <v>1.8100000000000002E-2</v>
      </c>
      <c r="AA109" s="62">
        <f t="shared" si="34"/>
        <v>23.280899999999999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0214-24</v>
      </c>
      <c r="AE109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109" s="82" t="str">
        <f t="shared" si="37"/>
        <v>"C:\Program Files (x86)\AstroGrep\AstroGrep.exe" /e /r /s /spath="%USERPROFILE%\AppData\Local\Temp\OnboardLogs" /stypes="app*4004*20170325*" /stext=" 01:.+((SYSTEM_STATE.+slice.+state.+changed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214-24 --locoid 4004 --swversion DE.1.0.9.0 --startMP 204:232990 --initTime 2017-03-24T18:32:06 --startdatetime 2017-03-24T18:41:16 --delay 3 --endMP 204:181 --enddatetime 2017-03-24T19:21:58 --enforcementcount 0 &gt;&gt;C:\Users\stu\Documents\GitHub\eaglep3-reporting\EC\2017-03-24-refined-times.txt</v>
      </c>
      <c r="AI10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{"issue":{"subject":"","project_id":79,"tracker_id":40,"status_id":1,"priority_id":2,"assigned_to_id":23,"start_date":"2017-03-24","description":"","custom_fields":[{"id":1,"name":"Subdivision","value":"EC"},{"id":4,"name":"Milepost","value":"0.0181"},{"id":17,"name":"Train ID","value":"214-24"},{"id":16,"name":"Locomotive ID","value":"4004"},{"id":130,"name":"Impact","value":""},{"id":150,"name":"Time of Event (Mountain Time)","value":"19:21:58"},{"id":151,"name":"Denver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4004 --day 2017-03-24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772</v>
      </c>
      <c r="B110" s="7">
        <v>4011</v>
      </c>
      <c r="C110" s="21" t="s">
        <v>219</v>
      </c>
      <c r="D110" s="21" t="s">
        <v>208</v>
      </c>
      <c r="E110" s="13">
        <v>42818.745879629627</v>
      </c>
      <c r="F110" s="13">
        <v>42818.750347222223</v>
      </c>
      <c r="G110" s="7">
        <v>2</v>
      </c>
      <c r="H110" s="21" t="s">
        <v>909</v>
      </c>
      <c r="I110" s="13">
        <v>42818.77611111111</v>
      </c>
      <c r="J110" s="7">
        <v>0</v>
      </c>
      <c r="K110" s="98" t="str">
        <f t="shared" si="27"/>
        <v>4011/4012</v>
      </c>
      <c r="L110" s="21" t="str">
        <f>VLOOKUP(A110,'Trips&amp;Operators'!$C$1:$G$99999,5,FALSE)</f>
        <v>STRICKLAND EVAN</v>
      </c>
      <c r="M110" s="6">
        <f t="shared" si="28"/>
        <v>2.5763888887013309E-2</v>
      </c>
      <c r="N110" s="7">
        <f t="shared" si="44"/>
        <v>37.099999997299165</v>
      </c>
      <c r="O110" s="7"/>
      <c r="P110" s="7"/>
      <c r="Q110" s="22"/>
      <c r="R110" s="22"/>
      <c r="S110" s="31">
        <f t="shared" si="42"/>
        <v>1</v>
      </c>
      <c r="T110" s="46" t="str">
        <f t="shared" si="29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0"/>
        <v>https://d0f6bd738d7f1b3e5a7ca70fe4ff75f0.us-east-1.aws.found.io/app/kibana#/discover/Steve-Slow-Train-Analysis-(2080s-and-2083s)?_g=(refreshInterval:(display:Off,pause:!f,section:0,value:0),time:(from:'2017-03-24T16:54:04-0600',mode:absolute,to:'2017-03-24T19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187" t="str">
        <f t="shared" si="31"/>
        <v>N</v>
      </c>
      <c r="X110" s="187">
        <f t="shared" si="43"/>
        <v>1</v>
      </c>
      <c r="Y110" s="62">
        <f t="shared" si="45"/>
        <v>4.5699999999999998E-2</v>
      </c>
      <c r="Z110" s="62">
        <f t="shared" si="33"/>
        <v>23.335100000000001</v>
      </c>
      <c r="AA110" s="62">
        <f t="shared" si="34"/>
        <v>23.289400000000001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0215-24</v>
      </c>
      <c r="AE110" s="85" t="str">
        <f t="shared" si="3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110" s="82" t="str">
        <f t="shared" si="37"/>
        <v>"C:\Program Files (x86)\AstroGrep\AstroGrep.exe" /e /r /s /spath="%USERPROFILE%\AppData\Local\Temp\OnboardLogs" /stypes="app*4011*20170325*" /stext=" 00:.+((SYSTEM_STATE.+slice.+state.+changed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215-24 --locoid 4011 --swversion DE.1.0.9.0 --startMP 204:457 --initTime 2017-03-24T17:54:04 --startdatetime 2017-03-24T18:00:30 --delay 2 --endMP 204:233351 --enddatetime 2017-03-24T18:37:36 --enforcementcount 0 &gt;&gt;C:\Users\stu\Documents\GitHub\eaglep3-reporting\EC\2017-03-24-refined-times.txt</v>
      </c>
      <c r="AI11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{"issue":{"subject":"","project_id":79,"tracker_id":40,"status_id":1,"priority_id":2,"assigned_to_id":23,"start_date":"2017-03-24","description":"","custom_fields":[{"id":1,"name":"Subdivision","value":"EC"},{"id":4,"name":"Milepost","value":"23.3351"},{"id":17,"name":"Train ID","value":"215-24"},{"id":16,"name":"Locomotive ID","value":"4011"},{"id":130,"name":"Impact","value":""},{"id":150,"name":"Time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4011 --day 2017-03-24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"%USERPROFILE%\AppData\Local\Temp\OnboardLogs"\RTDC4011\*4011*20170325* | grep -SE "(Enforcement Action)|(\[TIMEOUT)|(CHR.+\|PRM\|1\|D.+(SWITCH|SIGNAL).+UNKNOWN)" - &gt;&gt; 2017-03-24-UncaughtWiMAX.txt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786</v>
      </c>
      <c r="B111" s="7">
        <v>4012</v>
      </c>
      <c r="C111" s="21" t="s">
        <v>219</v>
      </c>
      <c r="D111" s="21" t="s">
        <v>222</v>
      </c>
      <c r="E111" s="13">
        <v>42818.779479166667</v>
      </c>
      <c r="F111" s="13">
        <v>42818.789155092592</v>
      </c>
      <c r="G111" s="7">
        <v>2</v>
      </c>
      <c r="H111" s="21" t="s">
        <v>205</v>
      </c>
      <c r="I111" s="13">
        <v>42818.816990740743</v>
      </c>
      <c r="J111" s="7">
        <v>0</v>
      </c>
      <c r="K111" s="98" t="str">
        <f t="shared" si="27"/>
        <v>4011/4012</v>
      </c>
      <c r="L111" s="21" t="str">
        <f>VLOOKUP(A111,'Trips&amp;Operators'!$C$1:$G$99999,5,FALSE)</f>
        <v>STRICKLAND EVAN</v>
      </c>
      <c r="M111" s="6">
        <f t="shared" si="28"/>
        <v>2.7835648150357883E-2</v>
      </c>
      <c r="N111" s="7">
        <f t="shared" si="44"/>
        <v>40.083333336515352</v>
      </c>
      <c r="O111" s="7"/>
      <c r="P111" s="7"/>
      <c r="Q111" s="22"/>
      <c r="R111" s="22"/>
      <c r="S111" s="31">
        <f t="shared" si="42"/>
        <v>1</v>
      </c>
      <c r="T111" s="46" t="str">
        <f t="shared" si="29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0"/>
        <v>https://d0f6bd738d7f1b3e5a7ca70fe4ff75f0.us-east-1.aws.found.io/app/kibana#/discover/Steve-Slow-Train-Analysis-(2080s-and-2083s)?_g=(refreshInterval:(display:Off,pause:!f,section:0,value:0),time:(from:'2017-03-24T17:42:27-0600',mode:absolute,to:'2017-03-24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87" t="str">
        <f t="shared" si="31"/>
        <v>N</v>
      </c>
      <c r="X111" s="187">
        <f t="shared" si="43"/>
        <v>1</v>
      </c>
      <c r="Y111" s="62">
        <f t="shared" si="45"/>
        <v>23.3</v>
      </c>
      <c r="Z111" s="62">
        <f t="shared" si="33"/>
        <v>1.54E-2</v>
      </c>
      <c r="AA111" s="62">
        <f t="shared" si="34"/>
        <v>23.284600000000001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0216-24</v>
      </c>
      <c r="AE111" s="85" t="str">
        <f t="shared" si="3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111" s="82" t="str">
        <f t="shared" si="37"/>
        <v>"C:\Program Files (x86)\AstroGrep\AstroGrep.exe" /e /r /s /spath="%USERPROFILE%\AppData\Local\Temp\OnboardLogs" /stypes="app*4012*20170325*" /stext=" 01:.+((SYSTEM_STATE.+slice.+state.+changed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216-24 --locoid 4012 --swversion DE.1.0.9.0 --startMP 204:233000 --initTime 2017-03-24T18:42:27 --startdatetime 2017-03-24T18:56:23 --delay 2 --endMP 204:154 --enddatetime 2017-03-24T19:36:28 --enforcementcount 0 &gt;&gt;C:\Users\stu\Documents\GitHub\eaglep3-reporting\EC\2017-03-24-refined-times.txt</v>
      </c>
      <c r="AI11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ID","value":"216-24"},{"id":16,"name":"Locomotive ID","value":"4012"},{"id":130,"name":"Impact","value":""},{"id":150,"name":"Time of Event (Mountain Time)","value":"19:36:28"},{"id":151,"name":"Denver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4012 --day 2017-03-24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"%USERPROFILE%\AppData\Local\Temp\OnboardLogs"\RTDC4012\*4012*20170325* | grep -SE "(Enforcement Action)|(\[TIMEOUT)|(CHR.+\|PRM\|1\|D.+(SWITCH|SIGNAL).+UNKNOWN)" - &gt;&gt; 2017-03-24-UncaughtWiMAX.txt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774</v>
      </c>
      <c r="B112" s="7">
        <v>4020</v>
      </c>
      <c r="C112" s="21" t="s">
        <v>219</v>
      </c>
      <c r="D112" s="21" t="s">
        <v>212</v>
      </c>
      <c r="E112" s="13">
        <v>42818.75439814815</v>
      </c>
      <c r="F112" s="13">
        <v>42818.760833333334</v>
      </c>
      <c r="G112" s="7">
        <v>1</v>
      </c>
      <c r="H112" s="21" t="s">
        <v>910</v>
      </c>
      <c r="I112" s="13">
        <v>42818.785138888888</v>
      </c>
      <c r="J112" s="7">
        <v>0</v>
      </c>
      <c r="K112" s="98" t="str">
        <f t="shared" si="27"/>
        <v>4019/4020</v>
      </c>
      <c r="L112" s="21" t="str">
        <f>VLOOKUP(A112,'Trips&amp;Operators'!$C$1:$G$99999,5,FALSE)</f>
        <v>STAMBAUGH JAMES</v>
      </c>
      <c r="M112" s="6">
        <f t="shared" si="28"/>
        <v>2.4305555554747116E-2</v>
      </c>
      <c r="N112" s="7">
        <f t="shared" si="44"/>
        <v>34.999999998835847</v>
      </c>
      <c r="O112" s="7"/>
      <c r="P112" s="7"/>
      <c r="Q112" s="22"/>
      <c r="R112" s="22"/>
      <c r="S112" s="31">
        <f t="shared" si="42"/>
        <v>1</v>
      </c>
      <c r="T112" s="46" t="str">
        <f t="shared" si="29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0"/>
        <v>https://d0f6bd738d7f1b3e5a7ca70fe4ff75f0.us-east-1.aws.found.io/app/kibana#/discover/Steve-Slow-Train-Analysis-(2080s-and-2083s)?_g=(refreshInterval:(display:Off,pause:!f,section:0,value:0),time:(from:'2017-03-24T17:06:20-0600',mode:absolute,to:'2017-03-24T19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187" t="str">
        <f t="shared" si="31"/>
        <v>N</v>
      </c>
      <c r="X112" s="187">
        <f t="shared" si="43"/>
        <v>1</v>
      </c>
      <c r="Y112" s="62">
        <f t="shared" si="45"/>
        <v>4.53E-2</v>
      </c>
      <c r="Z112" s="62">
        <f t="shared" si="33"/>
        <v>23.339099999999998</v>
      </c>
      <c r="AA112" s="62">
        <f t="shared" si="34"/>
        <v>23.293799999999997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0217-24</v>
      </c>
      <c r="AE112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12" s="82" t="str">
        <f t="shared" si="37"/>
        <v>"C:\Program Files (x86)\AstroGrep\AstroGrep.exe" /e /r /s /spath="%USERPROFILE%\AppData\Local\Temp\OnboardLogs" /stypes="app*4020*20170325*" /stext=" 00:.+((SYSTEM_STATE.+slice.+state.+changed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217-24 --locoid 4020 --swversion DE.1.0.9.0 --startMP 204:453 --initTime 2017-03-24T18:06:20 --startdatetime 2017-03-24T18:15:36 --delay 1 --endMP 204:233391 --enddatetime 2017-03-24T18:50:36 --enforcementcount 0 &gt;&gt;C:\Users\stu\Documents\GitHub\eaglep3-reporting\EC\2017-03-24-refined-times.txt</v>
      </c>
      <c r="AI11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{"issue":{"subject":"","project_id":79,"tracker_id":40,"status_id":1,"priority_id":2,"assigned_to_id":23,"start_date":"2017-03-24","description":"","custom_fields":[{"id":1,"name":"Subdivision","value":"EC"},{"id":4,"name":"Milepost","value":"23.3391"},{"id":17,"name":"Train ID","value":"217-24"},{"id":16,"name":"Locomotive ID","value":"4020"},{"id":130,"name":"Impact","value":""},{"id":150,"name":"Time of Event (Mountain Time)","value":"18:50:36"},{"id":151,"name":"Denver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4020 --day 2017-03-24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788</v>
      </c>
      <c r="B113" s="7">
        <v>4019</v>
      </c>
      <c r="C113" s="21" t="s">
        <v>219</v>
      </c>
      <c r="D113" s="21" t="s">
        <v>911</v>
      </c>
      <c r="E113" s="13">
        <v>42818.794016203705</v>
      </c>
      <c r="F113" s="13">
        <v>42818.799895833334</v>
      </c>
      <c r="G113" s="7">
        <v>1</v>
      </c>
      <c r="H113" s="21" t="s">
        <v>205</v>
      </c>
      <c r="I113" s="13">
        <v>42818.82603009259</v>
      </c>
      <c r="J113" s="7">
        <v>0</v>
      </c>
      <c r="K113" s="98" t="str">
        <f t="shared" si="27"/>
        <v>4019/4020</v>
      </c>
      <c r="L113" s="21" t="str">
        <f>VLOOKUP(A113,'Trips&amp;Operators'!$C$1:$G$99999,5,FALSE)</f>
        <v>STAMBAUGH JAMES</v>
      </c>
      <c r="M113" s="6">
        <f t="shared" si="28"/>
        <v>2.6134259256650694E-2</v>
      </c>
      <c r="N113" s="7">
        <f t="shared" si="44"/>
        <v>37.633333329576999</v>
      </c>
      <c r="O113" s="7"/>
      <c r="P113" s="7"/>
      <c r="Q113" s="22"/>
      <c r="R113" s="22"/>
      <c r="S113" s="31">
        <f t="shared" si="42"/>
        <v>1</v>
      </c>
      <c r="T113" s="46" t="str">
        <f t="shared" si="29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0"/>
        <v>https://d0f6bd738d7f1b3e5a7ca70fe4ff75f0.us-east-1.aws.found.io/app/kibana#/discover/Steve-Slow-Train-Analysis-(2080s-and-2083s)?_g=(refreshInterval:(display:Off,pause:!f,section:0,value:0),time:(from:'2017-03-24T18:03:23-0600',mode:absolute,to:'2017-03-24T20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187" t="str">
        <f t="shared" si="31"/>
        <v>N</v>
      </c>
      <c r="X113" s="187">
        <f t="shared" si="43"/>
        <v>1</v>
      </c>
      <c r="Y113" s="62">
        <f t="shared" si="45"/>
        <v>23.308</v>
      </c>
      <c r="Z113" s="62">
        <f t="shared" si="33"/>
        <v>1.54E-2</v>
      </c>
      <c r="AA113" s="62">
        <f t="shared" si="34"/>
        <v>23.2926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0218-24</v>
      </c>
      <c r="AE113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113" s="82" t="str">
        <f t="shared" si="37"/>
        <v>"C:\Program Files (x86)\AstroGrep\AstroGrep.exe" /e /r /s /spath="%USERPROFILE%\AppData\Local\Temp\OnboardLogs" /stypes="app*4019*20170325*" /stext=" 01:.+((SYSTEM_STATE.+slice.+state.+changed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218-24 --locoid 4019 --swversion DE.1.0.9.0 --startMP 204:233080 --initTime 2017-03-24T19:03:23 --startdatetime 2017-03-24T19:11:51 --delay 1 --endMP 204:154 --enddatetime 2017-03-24T19:49:29 --enforcementcount 0 &gt;&gt;C:\Users\stu\Documents\GitHub\eaglep3-reporting\EC\2017-03-24-refined-times.txt</v>
      </c>
      <c r="AI11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ID","value":"218-24"},{"id":16,"name":"Locomotive ID","value":"4019"},{"id":130,"name":"Impact","value":""},{"id":150,"name":"Time of Event (Mountain Time)","value":"19:49:29"},{"id":151,"name":"Denver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4019 --day 2017-03-24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</row>
    <row r="114" spans="1:91" s="20" customFormat="1" x14ac:dyDescent="0.25">
      <c r="A114" s="33" t="s">
        <v>781</v>
      </c>
      <c r="B114" s="7">
        <v>4046</v>
      </c>
      <c r="C114" s="21" t="s">
        <v>219</v>
      </c>
      <c r="D114" s="21" t="s">
        <v>521</v>
      </c>
      <c r="E114" s="13">
        <v>42818.76766203704</v>
      </c>
      <c r="F114" s="13">
        <v>42818.771006944444</v>
      </c>
      <c r="G114" s="7">
        <v>1</v>
      </c>
      <c r="H114" s="21" t="s">
        <v>496</v>
      </c>
      <c r="I114" s="13">
        <v>42818.796759259261</v>
      </c>
      <c r="J114" s="7">
        <v>0</v>
      </c>
      <c r="K114" s="98" t="str">
        <f t="shared" si="27"/>
        <v>4045/4046</v>
      </c>
      <c r="L114" s="21" t="str">
        <f>VLOOKUP(A114,'Trips&amp;Operators'!$C$1:$G$99999,5,FALSE)</f>
        <v>SWANSON BRYCE</v>
      </c>
      <c r="M114" s="6">
        <f t="shared" si="28"/>
        <v>2.5752314817509614E-2</v>
      </c>
      <c r="N114" s="7">
        <f t="shared" si="44"/>
        <v>37.083333337213844</v>
      </c>
      <c r="O114" s="7"/>
      <c r="P114" s="7"/>
      <c r="Q114" s="22"/>
      <c r="R114" s="22"/>
      <c r="S114" s="31">
        <f t="shared" si="42"/>
        <v>1</v>
      </c>
      <c r="T114" s="46" t="str">
        <f t="shared" si="29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0"/>
        <v>https://d0f6bd738d7f1b3e5a7ca70fe4ff75f0.us-east-1.aws.found.io/app/kibana#/discover/Steve-Slow-Train-Analysis-(2080s-and-2083s)?_g=(refreshInterval:(display:Off,pause:!f,section:0,value:0),time:(from:'2017-03-24T17:25:26-0600',mode:absolute,to:'2017-03-24T20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87" t="str">
        <f t="shared" si="31"/>
        <v>N</v>
      </c>
      <c r="X114" s="187">
        <f t="shared" si="43"/>
        <v>1</v>
      </c>
      <c r="Y114" s="62">
        <f t="shared" si="45"/>
        <v>4.8000000000000001E-2</v>
      </c>
      <c r="Z114" s="62">
        <f t="shared" si="33"/>
        <v>23.326599999999999</v>
      </c>
      <c r="AA114" s="62">
        <f t="shared" si="34"/>
        <v>23.278600000000001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0219-24</v>
      </c>
      <c r="AE114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14" s="82" t="str">
        <f t="shared" si="37"/>
        <v>"C:\Program Files (x86)\AstroGrep\AstroGrep.exe" /e /r /s /spath="%USERPROFILE%\AppData\Local\Temp\OnboardLogs" /stypes="app*4046*20170325*" /stext=" 01:.+((SYSTEM_STATE.+slice.+state.+changed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219-24 --locoid 4046 --swversion DE.1.0.9.0 --startMP 204:480 --initTime 2017-03-24T18:25:26 --startdatetime 2017-03-24T18:30:15 --delay 1 --endMP 204:233266 --enddatetime 2017-03-24T19:07:20 --enforcementcount 0 &gt;&gt;C:\Users\stu\Documents\GitHub\eaglep3-reporting\EC\2017-03-24-refined-times.txt</v>
      </c>
      <c r="AI11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{"issue":{"subject":"","project_id":79,"tracker_id":40,"status_id":1,"priority_id":2,"assigned_to_id":23,"start_date":"2017-03-24","description":"","custom_fields":[{"id":1,"name":"Subdivision","value":"EC"},{"id":4,"name":"Milepost","value":"23.3266"},{"id":17,"name":"Train ID","value":"219-24"},{"id":16,"name":"Locomotive ID","value":"4046"},{"id":130,"name":"Impact","value":""},{"id":150,"name":"Time of Event (Mountain Time)","value":"19:07:20"},{"id":151,"name":"Denver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4046 --day 2017-03-24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792</v>
      </c>
      <c r="B115" s="7">
        <v>4045</v>
      </c>
      <c r="C115" s="21" t="s">
        <v>219</v>
      </c>
      <c r="D115" s="21" t="s">
        <v>912</v>
      </c>
      <c r="E115" s="13">
        <v>42818.800324074073</v>
      </c>
      <c r="F115" s="13">
        <v>42818.809976851851</v>
      </c>
      <c r="G115" s="7">
        <v>1</v>
      </c>
      <c r="H115" s="21" t="s">
        <v>515</v>
      </c>
      <c r="I115" s="13">
        <v>42818.838425925926</v>
      </c>
      <c r="J115" s="7">
        <v>0</v>
      </c>
      <c r="K115" s="98" t="str">
        <f t="shared" si="27"/>
        <v>4045/4046</v>
      </c>
      <c r="L115" s="21" t="str">
        <f>VLOOKUP(A115,'Trips&amp;Operators'!$C$1:$G$99999,5,FALSE)</f>
        <v>SWANSON BRYCE</v>
      </c>
      <c r="M115" s="6">
        <f t="shared" si="28"/>
        <v>2.8449074074160308E-2</v>
      </c>
      <c r="N115" s="7">
        <f t="shared" si="44"/>
        <v>40.966666666790843</v>
      </c>
      <c r="O115" s="7"/>
      <c r="P115" s="7"/>
      <c r="Q115" s="22"/>
      <c r="R115" s="22"/>
      <c r="S115" s="31">
        <f t="shared" si="42"/>
        <v>1</v>
      </c>
      <c r="T115" s="46" t="str">
        <f t="shared" si="29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0"/>
        <v>https://d0f6bd738d7f1b3e5a7ca70fe4ff75f0.us-east-1.aws.found.io/app/kibana#/discover/Steve-Slow-Train-Analysis-(2080s-and-2083s)?_g=(refreshInterval:(display:Off,pause:!f,section:0,value:0),time:(from:'2017-03-24T18:12:28-0600',mode:absolute,to:'2017-03-24T21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87" t="str">
        <f t="shared" si="31"/>
        <v>N</v>
      </c>
      <c r="X115" s="187">
        <f t="shared" si="43"/>
        <v>1</v>
      </c>
      <c r="Y115" s="62">
        <f t="shared" si="45"/>
        <v>23.2972</v>
      </c>
      <c r="Z115" s="62">
        <f t="shared" si="33"/>
        <v>1.7399999999999999E-2</v>
      </c>
      <c r="AA115" s="62">
        <f t="shared" si="34"/>
        <v>23.279800000000002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0220-24</v>
      </c>
      <c r="AE115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15" s="82" t="str">
        <f t="shared" si="37"/>
        <v>"C:\Program Files (x86)\AstroGrep\AstroGrep.exe" /e /r /s /spath="%USERPROFILE%\AppData\Local\Temp\OnboardLogs" /stypes="app*4045*20170325*" /stext=" 02:.+((SYSTEM_STATE.+slice.+state.+changed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220-24 --locoid 4045 --swversion DE.1.0.9.0 --startMP 204:232972 --initTime 2017-03-24T19:12:28 --startdatetime 2017-03-24T19:26:22 --delay 1 --endMP 204:174 --enddatetime 2017-03-24T20:07:20 --enforcementcount 0 &gt;&gt;C:\Users\stu\Documents\GitHub\eaglep3-reporting\EC\2017-03-24-refined-times.txt</v>
      </c>
      <c r="AI11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{"issue":{"subject":"","project_id":79,"tracker_id":40,"status_id":1,"priority_id":2,"assigned_to_id":23,"start_date":"2017-03-24","description":"","custom_fields":[{"id":1,"name":"Subdivision","value":"EC"},{"id":4,"name":"Milepost","value":"0.0174"},{"id":17,"name":"Train ID","value":"220-24"},{"id":16,"name":"Locomotive ID","value":"4045"},{"id":130,"name":"Impact","value":""},{"id":150,"name":"Time of Event (Mountain Time)","value":"20:07:20"},{"id":151,"name":"Denver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4045 --day 2017-03-24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</row>
    <row r="116" spans="1:91" s="20" customFormat="1" x14ac:dyDescent="0.25">
      <c r="A116" s="33" t="s">
        <v>787</v>
      </c>
      <c r="B116" s="7">
        <v>4027</v>
      </c>
      <c r="C116" s="21" t="s">
        <v>219</v>
      </c>
      <c r="D116" s="21" t="s">
        <v>460</v>
      </c>
      <c r="E116" s="13">
        <v>42818.788564814815</v>
      </c>
      <c r="F116" s="13">
        <v>42818.791828703703</v>
      </c>
      <c r="G116" s="7">
        <v>2</v>
      </c>
      <c r="H116" s="21" t="s">
        <v>574</v>
      </c>
      <c r="I116" s="13">
        <v>42818.816689814812</v>
      </c>
      <c r="J116" s="7">
        <v>0</v>
      </c>
      <c r="K116" s="98" t="str">
        <f t="shared" si="27"/>
        <v>4027/4028</v>
      </c>
      <c r="L116" s="21" t="str">
        <f>VLOOKUP(A116,'Trips&amp;Operators'!$C$1:$G$99999,5,FALSE)</f>
        <v>BROWN JACOB</v>
      </c>
      <c r="M116" s="6">
        <f t="shared" si="28"/>
        <v>2.4861111109203193E-2</v>
      </c>
      <c r="N116" s="7">
        <f t="shared" si="44"/>
        <v>35.799999997252598</v>
      </c>
      <c r="O116" s="7"/>
      <c r="P116" s="7"/>
      <c r="Q116" s="22"/>
      <c r="R116" s="22"/>
      <c r="S116" s="31">
        <f t="shared" si="42"/>
        <v>1</v>
      </c>
      <c r="T116" s="46" t="str">
        <f t="shared" si="29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0"/>
        <v>https://d0f6bd738d7f1b3e5a7ca70fe4ff75f0.us-east-1.aws.found.io/app/kibana#/discover/Steve-Slow-Train-Analysis-(2080s-and-2083s)?_g=(refreshInterval:(display:Off,pause:!f,section:0,value:0),time:(from:'2017-03-24T17:55:32-0600',mode:absolute,to:'2017-03-24T20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87" t="str">
        <f t="shared" si="31"/>
        <v>N</v>
      </c>
      <c r="X116" s="187">
        <f t="shared" si="43"/>
        <v>1</v>
      </c>
      <c r="Y116" s="62">
        <f t="shared" si="45"/>
        <v>4.6399999999999997E-2</v>
      </c>
      <c r="Z116" s="62">
        <f t="shared" si="33"/>
        <v>23.330500000000001</v>
      </c>
      <c r="AA116" s="62">
        <f t="shared" si="34"/>
        <v>23.284100000000002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0221-24</v>
      </c>
      <c r="AE116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16" s="82" t="str">
        <f t="shared" si="37"/>
        <v>"C:\Program Files (x86)\AstroGrep\AstroGrep.exe" /e /r /s /spath="%USERPROFILE%\AppData\Local\Temp\OnboardLogs" /stypes="app*4027*20170325*" /stext=" 01:.+((SYSTEM_STATE.+slice.+state.+changed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221-24 --locoid 4027 --swversion DE.1.0.9.0 --startMP 204:464 --initTime 2017-03-24T18:55:32 --startdatetime 2017-03-24T19:00:14 --delay 2 --endMP 204:233305 --enddatetime 2017-03-24T19:36:02 --enforcementcount 0 &gt;&gt;C:\Users\stu\Documents\GitHub\eaglep3-reporting\EC\2017-03-24-refined-times.txt</v>
      </c>
      <c r="AI11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ID","value":"221-24"},{"id":16,"name":"Locomotive ID","value":"4027"},{"id":130,"name":"Impact","value":""},{"id":150,"name":"Time of Event (Mountain Time)","value":"19:36:02"},{"id":151,"name":"Denver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4027 --day 2017-03-24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795</v>
      </c>
      <c r="B117" s="7">
        <v>4028</v>
      </c>
      <c r="C117" s="21" t="s">
        <v>219</v>
      </c>
      <c r="D117" s="21" t="s">
        <v>913</v>
      </c>
      <c r="E117" s="13">
        <v>42818.828298611108</v>
      </c>
      <c r="F117" s="13">
        <v>42818.830868055556</v>
      </c>
      <c r="G117" s="7">
        <v>1</v>
      </c>
      <c r="H117" s="21" t="s">
        <v>410</v>
      </c>
      <c r="I117" s="13">
        <v>42818.859155092592</v>
      </c>
      <c r="J117" s="7">
        <v>0</v>
      </c>
      <c r="K117" s="98" t="str">
        <f t="shared" si="27"/>
        <v>4027/4028</v>
      </c>
      <c r="L117" s="21" t="str">
        <f>VLOOKUP(A117,'Trips&amp;Operators'!$C$1:$G$99999,5,FALSE)</f>
        <v>BROWN JACOB</v>
      </c>
      <c r="M117" s="6">
        <f t="shared" si="28"/>
        <v>2.8287037035624962E-2</v>
      </c>
      <c r="N117" s="7">
        <f t="shared" si="44"/>
        <v>40.733333331299946</v>
      </c>
      <c r="O117" s="7"/>
      <c r="P117" s="7"/>
      <c r="Q117" s="22"/>
      <c r="R117" s="22"/>
      <c r="S117" s="31">
        <f t="shared" si="42"/>
        <v>1</v>
      </c>
      <c r="T117" s="46" t="str">
        <f t="shared" si="29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0"/>
        <v>https://d0f6bd738d7f1b3e5a7ca70fe4ff75f0.us-east-1.aws.found.io/app/kibana#/discover/Steve-Slow-Train-Analysis-(2080s-and-2083s)?_g=(refreshInterval:(display:Off,pause:!f,section:0,value:0),time:(from:'2017-03-24T18:52:45-0600',mode:absolute,to:'2017-03-24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7" t="str">
        <f t="shared" si="31"/>
        <v>N</v>
      </c>
      <c r="X117" s="187">
        <f t="shared" si="43"/>
        <v>1</v>
      </c>
      <c r="Y117" s="62">
        <f t="shared" si="45"/>
        <v>23.3001</v>
      </c>
      <c r="Z117" s="62">
        <f t="shared" si="33"/>
        <v>1.6E-2</v>
      </c>
      <c r="AA117" s="62">
        <f t="shared" si="34"/>
        <v>23.284100000000002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0222-24</v>
      </c>
      <c r="AE117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117" s="82" t="str">
        <f t="shared" si="37"/>
        <v>"C:\Program Files (x86)\AstroGrep\AstroGrep.exe" /e /r /s /spath="%USERPROFILE%\AppData\Local\Temp\OnboardLogs" /stypes="app*4028*20170325*" /stext=" 02:.+((SYSTEM_STATE.+slice.+state.+changed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222-24 --locoid 4028 --swversion DE.1.0.9.0 --startMP 204:233001 --initTime 2017-03-24T19:52:45 --startdatetime 2017-03-24T19:56:27 --delay 1 --endMP 204:160 --enddatetime 2017-03-24T20:37:11 --enforcementcount 0 &gt;&gt;C:\Users\stu\Documents\GitHub\eaglep3-reporting\EC\2017-03-24-refined-times.txt</v>
      </c>
      <c r="AI11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ID","value":"222-24"},{"id":16,"name":"Locomotive ID","value":"4028"},{"id":130,"name":"Impact","value":""},{"id":150,"name":"Time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4028 --day 2017-03-24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628</v>
      </c>
      <c r="B118" s="7">
        <v>4003</v>
      </c>
      <c r="C118" s="21" t="s">
        <v>219</v>
      </c>
      <c r="D118" s="21" t="s">
        <v>457</v>
      </c>
      <c r="E118" s="13">
        <v>42818.808078703703</v>
      </c>
      <c r="F118" s="13">
        <v>42818.812974537039</v>
      </c>
      <c r="G118" s="7">
        <v>3</v>
      </c>
      <c r="H118" s="21" t="s">
        <v>914</v>
      </c>
      <c r="I118" s="13">
        <v>42818.839722222219</v>
      </c>
      <c r="J118" s="7">
        <v>0</v>
      </c>
      <c r="K118" s="98" t="str">
        <f t="shared" si="27"/>
        <v>4003/4004</v>
      </c>
      <c r="L118" s="21" t="str">
        <f>VLOOKUP(A118,'Trips&amp;Operators'!$C$1:$G$99999,5,FALSE)</f>
        <v>STORY SAMANTHA</v>
      </c>
      <c r="M118" s="6">
        <f t="shared" si="28"/>
        <v>2.6747685180453118E-2</v>
      </c>
      <c r="N118" s="7">
        <f t="shared" si="44"/>
        <v>38.51666665985249</v>
      </c>
      <c r="O118" s="7"/>
      <c r="P118" s="7"/>
      <c r="Q118" s="22"/>
      <c r="R118" s="22"/>
      <c r="S118" s="31">
        <f t="shared" si="42"/>
        <v>1</v>
      </c>
      <c r="T118" s="46" t="str">
        <f t="shared" si="29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0"/>
        <v>https://d0f6bd738d7f1b3e5a7ca70fe4ff75f0.us-east-1.aws.found.io/app/kibana#/discover/Steve-Slow-Train-Analysis-(2080s-and-2083s)?_g=(refreshInterval:(display:Off,pause:!f,section:0,value:0),time:(from:'2017-03-24T18:23:38-0600',mode:absolute,to:'2017-03-24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87" t="str">
        <f t="shared" si="31"/>
        <v>N</v>
      </c>
      <c r="X118" s="187">
        <f t="shared" si="43"/>
        <v>1</v>
      </c>
      <c r="Y118" s="62">
        <f t="shared" si="45"/>
        <v>4.7500000000000001E-2</v>
      </c>
      <c r="Z118" s="62">
        <f t="shared" si="33"/>
        <v>23.3338</v>
      </c>
      <c r="AA118" s="62">
        <f t="shared" si="34"/>
        <v>23.286300000000001</v>
      </c>
      <c r="AB118" s="59" t="str">
        <f>VLOOKUP(A118,Enforcements!$C$7:$K$13,8,0)</f>
        <v>Bulletin (2)</v>
      </c>
      <c r="AC118" s="55" t="str">
        <f>VLOOKUP(A118,Enforcements!$C$7:$E$13,3,0)</f>
        <v>GRADE CROSSING</v>
      </c>
      <c r="AD118" s="56" t="str">
        <f t="shared" si="35"/>
        <v>0223-24</v>
      </c>
      <c r="AE118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18" s="82" t="str">
        <f t="shared" si="37"/>
        <v>"C:\Program Files (x86)\AstroGrep\AstroGrep.exe" /e /r /s /spath="%USERPROFILE%\AppData\Local\Temp\OnboardLogs" /stypes="app*4003*20170325*" /stext=" 02:.+((SYSTEM_STATE.+slice.+state.+changed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223-24 --locoid 4003 --swversion DE.1.0.9.0 --startMP 204:475 --initTime 2017-03-24T19:23:38 --startdatetime 2017-03-24T19:30:41 --delay 3 --endMP 204:233338 --enddatetime 2017-03-24T20:09:12 --enforcementcount 0 &gt;&gt;C:\Users\stu\Documents\GitHub\eaglep3-reporting\EC\2017-03-24-refined-times.txt</v>
      </c>
      <c r="AI11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{"issue":{"subject":"","project_id":79,"tracker_id":40,"status_id":1,"priority_id":2,"assigned_to_id":23,"start_date":"2017-03-24","description":"","custom_fields":[{"id":1,"name":"Subdivision","value":"EC"},{"id":4,"name":"Milepost","value":"23.3338"},{"id":17,"name":"Train ID","value":"223-24"},{"id":16,"name":"Locomotive ID","value":"4003"},{"id":130,"name":"Impact","value":""},{"id":150,"name":"Time of Event (Mountain Time)","value":"20:09:12"},{"id":151,"name":"Denver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4003 --day 2017-03-24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800</v>
      </c>
      <c r="B119" s="7">
        <v>4004</v>
      </c>
      <c r="C119" s="21" t="s">
        <v>219</v>
      </c>
      <c r="D119" s="21" t="s">
        <v>915</v>
      </c>
      <c r="E119" s="13">
        <v>42818.847916666666</v>
      </c>
      <c r="F119" s="13">
        <v>42818.851736111108</v>
      </c>
      <c r="G119" s="7">
        <v>1</v>
      </c>
      <c r="H119" s="21" t="s">
        <v>916</v>
      </c>
      <c r="I119" s="13">
        <v>42818.880208333336</v>
      </c>
      <c r="J119" s="7">
        <v>0</v>
      </c>
      <c r="K119" s="98" t="str">
        <f t="shared" si="27"/>
        <v>4003/4004</v>
      </c>
      <c r="L119" s="21" t="str">
        <f>VLOOKUP(A119,'Trips&amp;Operators'!$C$1:$G$99999,5,FALSE)</f>
        <v>STORY SAMANTHA</v>
      </c>
      <c r="M119" s="6">
        <f t="shared" si="28"/>
        <v>2.8472222227719612E-2</v>
      </c>
      <c r="N119" s="7">
        <f t="shared" si="44"/>
        <v>41.000000007916242</v>
      </c>
      <c r="O119" s="7"/>
      <c r="P119" s="7"/>
      <c r="Q119" s="22"/>
      <c r="R119" s="22"/>
      <c r="S119" s="31">
        <f t="shared" si="42"/>
        <v>1</v>
      </c>
      <c r="T119" s="46" t="str">
        <f t="shared" si="29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0"/>
        <v>https://d0f6bd738d7f1b3e5a7ca70fe4ff75f0.us-east-1.aws.found.io/app/kibana#/discover/Steve-Slow-Train-Analysis-(2080s-and-2083s)?_g=(refreshInterval:(display:Off,pause:!f,section:0,value:0),time:(from:'2017-03-24T19:21:00-0600',mode:absolute,to:'2017-03-24T22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87" t="str">
        <f t="shared" si="31"/>
        <v>N</v>
      </c>
      <c r="X119" s="187">
        <f t="shared" si="43"/>
        <v>1</v>
      </c>
      <c r="Y119" s="62">
        <f t="shared" si="45"/>
        <v>23.305299999999999</v>
      </c>
      <c r="Z119" s="62">
        <f t="shared" si="33"/>
        <v>1.6299999999999999E-2</v>
      </c>
      <c r="AA119" s="62">
        <f t="shared" si="34"/>
        <v>23.288999999999998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0224-24</v>
      </c>
      <c r="AE119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119" s="82" t="str">
        <f t="shared" si="37"/>
        <v>"C:\Program Files (x86)\AstroGrep\AstroGrep.exe" /e /r /s /spath="%USERPROFILE%\AppData\Local\Temp\OnboardLogs" /stypes="app*4004*20170325*" /stext=" 03:.+((SYSTEM_STATE.+slice.+state.+changed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224-24 --locoid 4004 --swversion DE.1.0.9.0 --startMP 204:233053 --initTime 2017-03-24T20:21:00 --startdatetime 2017-03-24T20:26:30 --delay 1 --endMP 204:163 --enddatetime 2017-03-24T21:07:30 --enforcementcount 0 &gt;&gt;C:\Users\stu\Documents\GitHub\eaglep3-reporting\EC\2017-03-24-refined-times.txt</v>
      </c>
      <c r="AI11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{"issue":{"subject":"","project_id":79,"tracker_id":40,"status_id":1,"priority_id":2,"assigned_to_id":23,"start_date":"2017-03-24","description":"","custom_fields":[{"id":1,"name":"Subdivision","value":"EC"},{"id":4,"name":"Milepost","value":"0.0163"},{"id":17,"name":"Train ID","value":"224-24"},{"id":16,"name":"Locomotive ID","value":"4004"},{"id":130,"name":"Impact","value":""},{"id":150,"name":"Time of Event (Mountain Time)","value":"21:07:30"},{"id":151,"name":"Denver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4004 --day 2017-03-24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4020</v>
      </c>
      <c r="C120" s="21" t="s">
        <v>219</v>
      </c>
      <c r="D120" s="21" t="s">
        <v>917</v>
      </c>
      <c r="E120" s="13">
        <v>42818.828194444446</v>
      </c>
      <c r="F120" s="13">
        <v>42818.834490740737</v>
      </c>
      <c r="G120" s="7">
        <v>1</v>
      </c>
      <c r="H120" s="21" t="s">
        <v>873</v>
      </c>
      <c r="I120" s="13">
        <v>42818.858877314815</v>
      </c>
      <c r="J120" s="7">
        <v>0</v>
      </c>
      <c r="K120" s="98" t="str">
        <f t="shared" si="27"/>
        <v>4019/4020</v>
      </c>
      <c r="L120" s="21" t="str">
        <f>VLOOKUP(A120,'Trips&amp;Operators'!$C$1:$G$99999,5,FALSE)</f>
        <v>STAMBAUGH JAMES</v>
      </c>
      <c r="M120" s="6">
        <f t="shared" si="28"/>
        <v>2.4386574077652767E-2</v>
      </c>
      <c r="N120" s="7">
        <f t="shared" si="44"/>
        <v>35.116666671819985</v>
      </c>
      <c r="O120" s="7"/>
      <c r="P120" s="7"/>
      <c r="Q120" s="22"/>
      <c r="R120" s="22"/>
      <c r="S120" s="31">
        <f t="shared" si="42"/>
        <v>1</v>
      </c>
      <c r="T120" s="46" t="str">
        <f t="shared" si="29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0"/>
        <v>https://d0f6bd738d7f1b3e5a7ca70fe4ff75f0.us-east-1.aws.found.io/app/kibana#/discover/Steve-Slow-Train-Analysis-(2080s-and-2083s)?_g=(refreshInterval:(display:Off,pause:!f,section:0,value:0),time:(from:'2017-03-24T18:52:36-0600',mode:absolute,to:'2017-03-24T21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0" s="187" t="str">
        <f t="shared" si="31"/>
        <v>N</v>
      </c>
      <c r="X120" s="187">
        <f t="shared" si="43"/>
        <v>1</v>
      </c>
      <c r="Y120" s="62">
        <f t="shared" si="45"/>
        <v>4.0599999999999997E-2</v>
      </c>
      <c r="Z120" s="62">
        <f t="shared" si="33"/>
        <v>23.338899999999999</v>
      </c>
      <c r="AA120" s="62">
        <f t="shared" si="34"/>
        <v>23.298299999999998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0225-24</v>
      </c>
      <c r="AE120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20" s="82" t="str">
        <f t="shared" si="37"/>
        <v>"C:\Program Files (x86)\AstroGrep\AstroGrep.exe" /e /r /s /spath="%USERPROFILE%\AppData\Local\Temp\OnboardLogs" /stypes="app*4020*20170325*" /stext=" 02:.+((SYSTEM_STATE.+slice.+state.+changed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225-24 --locoid 4020 --swversion DE.1.0.9.0 --startMP 204:406 --initTime 2017-03-24T19:52:36 --startdatetime 2017-03-24T20:01:40 --delay 1 --endMP 204:233389 --enddatetime 2017-03-24T20:36:47 --enforcementcount 0 &gt;&gt;C:\Users\stu\Documents\GitHub\eaglep3-reporting\EC\2017-03-24-refined-times.txt</v>
      </c>
      <c r="AI12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{"issue":{"subject":"","project_id":79,"tracker_id":40,"status_id":1,"priority_id":2,"assigned_to_id":23,"start_date":"2017-03-24","description":"","custom_fields":[{"id":1,"name":"Subdivision","value":"EC"},{"id":4,"name":"Milepost","value":"23.3389"},{"id":17,"name":"Train ID","value":"225-24"},{"id":16,"name":"Locomotive ID","value":"4020"},{"id":130,"name":"Impact","value":""},{"id":150,"name":"Time of Event (Mountain Time)","value":"20:36:47"},{"id":151,"name":"Denver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4020 --day 2017-03-24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804</v>
      </c>
      <c r="B121" s="7">
        <v>4019</v>
      </c>
      <c r="C121" s="21" t="s">
        <v>219</v>
      </c>
      <c r="D121" s="21" t="s">
        <v>918</v>
      </c>
      <c r="E121" s="13">
        <v>42818.869155092594</v>
      </c>
      <c r="F121" s="13">
        <v>42818.872650462959</v>
      </c>
      <c r="G121" s="7">
        <v>1</v>
      </c>
      <c r="H121" s="21" t="s">
        <v>214</v>
      </c>
      <c r="I121" s="13">
        <v>42818.899317129632</v>
      </c>
      <c r="J121" s="7">
        <v>0</v>
      </c>
      <c r="K121" s="98" t="str">
        <f t="shared" si="27"/>
        <v>4019/4020</v>
      </c>
      <c r="L121" s="21" t="str">
        <f>VLOOKUP(A121,'Trips&amp;Operators'!$C$1:$G$99999,5,FALSE)</f>
        <v>STAMBAUGH JAMES</v>
      </c>
      <c r="M121" s="6">
        <f t="shared" si="28"/>
        <v>2.6666666672099382E-2</v>
      </c>
      <c r="N121" s="7">
        <f t="shared" si="44"/>
        <v>38.40000000782311</v>
      </c>
      <c r="O121" s="7"/>
      <c r="P121" s="7"/>
      <c r="Q121" s="22"/>
      <c r="R121" s="22"/>
      <c r="S121" s="31">
        <f t="shared" si="42"/>
        <v>1</v>
      </c>
      <c r="T121" s="46" t="str">
        <f t="shared" si="29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0"/>
        <v>https://d0f6bd738d7f1b3e5a7ca70fe4ff75f0.us-east-1.aws.found.io/app/kibana#/discover/Steve-Slow-Train-Analysis-(2080s-and-2083s)?_g=(refreshInterval:(display:Off,pause:!f,section:0,value:0),time:(from:'2017-03-24T19:51:35-0600',mode:absolute,to:'2017-03-24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1" s="187" t="str">
        <f t="shared" si="31"/>
        <v>N</v>
      </c>
      <c r="X121" s="187">
        <f t="shared" si="43"/>
        <v>1</v>
      </c>
      <c r="Y121" s="62">
        <f t="shared" si="45"/>
        <v>23.307600000000001</v>
      </c>
      <c r="Z121" s="62">
        <f t="shared" si="33"/>
        <v>1.5599999999999999E-2</v>
      </c>
      <c r="AA121" s="62">
        <f t="shared" si="34"/>
        <v>23.292000000000002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0226-24</v>
      </c>
      <c r="AE121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121" s="82" t="str">
        <f t="shared" si="37"/>
        <v>"C:\Program Files (x86)\AstroGrep\AstroGrep.exe" /e /r /s /spath="%USERPROFILE%\AppData\Local\Temp\OnboardLogs" /stypes="app*4019*20170325*" /stext=" 03:.+((SYSTEM_STATE.+slice.+state.+changed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226-24 --locoid 4019 --swversion DE.1.0.9.0 --startMP 204:233076 --initTime 2017-03-24T20:51:35 --startdatetime 2017-03-24T20:56:37 --delay 1 --endMP 204:156 --enddatetime 2017-03-24T21:35:01 --enforcementcount 0 &gt;&gt;C:\Users\stu\Documents\GitHub\eaglep3-reporting\EC\2017-03-24-refined-times.txt</v>
      </c>
      <c r="AI12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{"issue":{"subject":"","project_id":79,"tracker_id":40,"status_id":1,"priority_id":2,"assigned_to_id":23,"start_date":"2017-03-24","description":"","custom_fields":[{"id":1,"name":"Subdivision","value":"EC"},{"id":4,"name":"Milepost","value":"0.0156"},{"id":17,"name":"Train ID","value":"226-24"},{"id":16,"name":"Locomotive ID","value":"4019"},{"id":130,"name":"Impact","value":""},{"id":150,"name":"Time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4019 --day 2017-03-24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802</v>
      </c>
      <c r="B122" s="7">
        <v>4046</v>
      </c>
      <c r="C122" s="21" t="s">
        <v>219</v>
      </c>
      <c r="D122" s="21" t="s">
        <v>216</v>
      </c>
      <c r="E122" s="13">
        <v>42818.851469907408</v>
      </c>
      <c r="F122" s="13">
        <v>42818.854363425926</v>
      </c>
      <c r="G122" s="7">
        <v>1</v>
      </c>
      <c r="H122" s="21" t="s">
        <v>566</v>
      </c>
      <c r="I122" s="13">
        <v>42818.880682870367</v>
      </c>
      <c r="J122" s="7">
        <v>0</v>
      </c>
      <c r="K122" s="98" t="str">
        <f t="shared" si="27"/>
        <v>4045/4046</v>
      </c>
      <c r="L122" s="21" t="str">
        <f>VLOOKUP(A122,'Trips&amp;Operators'!$C$1:$G$99999,5,FALSE)</f>
        <v>SWANSON BRYCE</v>
      </c>
      <c r="M122" s="6">
        <f t="shared" si="28"/>
        <v>2.6319444441469386E-2</v>
      </c>
      <c r="N122" s="7">
        <f t="shared" si="44"/>
        <v>37.899999995715916</v>
      </c>
      <c r="O122" s="7"/>
      <c r="P122" s="7"/>
      <c r="Q122" s="22"/>
      <c r="R122" s="22"/>
      <c r="S122" s="31">
        <f t="shared" si="42"/>
        <v>1</v>
      </c>
      <c r="T122" s="46" t="str">
        <f t="shared" si="29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0"/>
        <v>https://d0f6bd738d7f1b3e5a7ca70fe4ff75f0.us-east-1.aws.found.io/app/kibana#/discover/Steve-Slow-Train-Analysis-(2080s-and-2083s)?_g=(refreshInterval:(display:Off,pause:!f,section:0,value:0),time:(from:'2017-03-24T19:26:07-0600',mode:absolute,to:'2017-03-24T22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2" s="187" t="str">
        <f t="shared" si="31"/>
        <v>N</v>
      </c>
      <c r="X122" s="187">
        <f t="shared" si="43"/>
        <v>1</v>
      </c>
      <c r="Y122" s="62">
        <f t="shared" si="45"/>
        <v>4.6600000000000003E-2</v>
      </c>
      <c r="Z122" s="62">
        <f t="shared" si="33"/>
        <v>23.328499999999998</v>
      </c>
      <c r="AA122" s="62">
        <f t="shared" si="34"/>
        <v>23.281899999999997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0227-24</v>
      </c>
      <c r="AE122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22" s="82" t="str">
        <f t="shared" si="37"/>
        <v>"C:\Program Files (x86)\AstroGrep\AstroGrep.exe" /e /r /s /spath="%USERPROFILE%\AppData\Local\Temp\OnboardLogs" /stypes="app*4046*20170325*" /stext=" 03:.+((SYSTEM_STATE.+slice.+state.+changed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227-24 --locoid 4046 --swversion DE.1.0.9.0 --startMP 204:466 --initTime 2017-03-24T20:26:07 --startdatetime 2017-03-24T20:30:17 --delay 1 --endMP 204:233285 --enddatetime 2017-03-24T21:08:11 --enforcementcount 0 &gt;&gt;C:\Users\stu\Documents\GitHub\eaglep3-reporting\EC\2017-03-24-refined-times.txt</v>
      </c>
      <c r="AI12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{"issue":{"subject":"","project_id":79,"tracker_id":40,"status_id":1,"priority_id":2,"assigned_to_id":23,"start_date":"2017-03-24","description":"","custom_fields":[{"id":1,"name":"Subdivision","value":"EC"},{"id":4,"name":"Milepost","value":"23.3285"},{"id":17,"name":"Train ID","value":"227-24"},{"id":16,"name":"Locomotive ID","value":"4046"},{"id":130,"name":"Impact","value":""},{"id":150,"name":"Time of Event (Mountain Time)","value":"21:08:11"},{"id":151,"name":"Denver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4046 --day 2017-03-24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807</v>
      </c>
      <c r="B123" s="7">
        <v>4045</v>
      </c>
      <c r="C123" s="21" t="s">
        <v>219</v>
      </c>
      <c r="D123" s="21" t="s">
        <v>919</v>
      </c>
      <c r="E123" s="13">
        <v>42818.882893518516</v>
      </c>
      <c r="F123" s="13">
        <v>42818.893275462964</v>
      </c>
      <c r="G123" s="7">
        <v>1</v>
      </c>
      <c r="H123" s="21" t="s">
        <v>200</v>
      </c>
      <c r="I123" s="13">
        <v>42818.922754629632</v>
      </c>
      <c r="J123" s="7">
        <v>0</v>
      </c>
      <c r="K123" s="98" t="str">
        <f t="shared" si="27"/>
        <v>4045/4046</v>
      </c>
      <c r="L123" s="21" t="str">
        <f>VLOOKUP(A123,'Trips&amp;Operators'!$C$1:$G$99999,5,FALSE)</f>
        <v>SWANSON BRYCE</v>
      </c>
      <c r="M123" s="6">
        <f t="shared" si="28"/>
        <v>2.9479166667442769E-2</v>
      </c>
      <c r="N123" s="7">
        <f t="shared" si="44"/>
        <v>42.450000001117587</v>
      </c>
      <c r="O123" s="7"/>
      <c r="P123" s="7"/>
      <c r="Q123" s="22"/>
      <c r="R123" s="22"/>
      <c r="S123" s="31">
        <f t="shared" si="42"/>
        <v>1</v>
      </c>
      <c r="T123" s="46" t="str">
        <f t="shared" si="29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0"/>
        <v>https://d0f6bd738d7f1b3e5a7ca70fe4ff75f0.us-east-1.aws.found.io/app/kibana#/discover/Steve-Slow-Train-Analysis-(2080s-and-2083s)?_g=(refreshInterval:(display:Off,pause:!f,section:0,value:0),time:(from:'2017-03-24T20:11:22-0600',mode:absolute,to:'2017-03-24T23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3" s="187" t="str">
        <f t="shared" si="31"/>
        <v>N</v>
      </c>
      <c r="X123" s="187">
        <f t="shared" si="43"/>
        <v>1</v>
      </c>
      <c r="Y123" s="62">
        <f t="shared" si="45"/>
        <v>23.296399999999998</v>
      </c>
      <c r="Z123" s="62">
        <f t="shared" si="33"/>
        <v>1.5800000000000002E-2</v>
      </c>
      <c r="AA123" s="62">
        <f t="shared" si="34"/>
        <v>23.2806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0228-24</v>
      </c>
      <c r="AE123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23" s="82" t="str">
        <f t="shared" si="37"/>
        <v>"C:\Program Files (x86)\AstroGrep\AstroGrep.exe" /e /r /s /spath="%USERPROFILE%\AppData\Local\Temp\OnboardLogs" /stypes="app*4045*20170325*" /stext=" 04:.+((SYSTEM_STATE.+slice.+state.+changed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228-24 --locoid 4045 --swversion DE.1.0.9.0 --startMP 204:232964 --initTime 2017-03-24T21:11:22 --startdatetime 2017-03-24T21:26:19 --delay 1 --endMP 204:158 --enddatetime 2017-03-24T22:08:46 --enforcementcount 0 &gt;&gt;C:\Users\stu\Documents\GitHub\eaglep3-reporting\EC\2017-03-24-refined-times.txt</v>
      </c>
      <c r="AI12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ID","value":"228-24"},{"id":16,"name":"Locomotive ID","value":"4045"},{"id":130,"name":"Impact","value":""},{"id":150,"name":"Time of Event (Mountain Time)","value":"22:08:46"},{"id":151,"name":"Denver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4045 --day 2017-03-24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805</v>
      </c>
      <c r="B124" s="7">
        <v>4027</v>
      </c>
      <c r="C124" s="21" t="s">
        <v>219</v>
      </c>
      <c r="D124" s="21" t="s">
        <v>460</v>
      </c>
      <c r="E124" s="13">
        <v>42818.869351851848</v>
      </c>
      <c r="F124" s="13">
        <v>42818.875162037039</v>
      </c>
      <c r="G124" s="7">
        <v>1</v>
      </c>
      <c r="H124" s="21" t="s">
        <v>495</v>
      </c>
      <c r="I124" s="13">
        <v>42818.90152777778</v>
      </c>
      <c r="J124" s="7">
        <v>0</v>
      </c>
      <c r="K124" s="98" t="str">
        <f t="shared" si="27"/>
        <v>4027/4028</v>
      </c>
      <c r="L124" s="21" t="str">
        <f>VLOOKUP(A124,'Trips&amp;Operators'!$C$1:$G$99999,5,FALSE)</f>
        <v>BROWN JACOB</v>
      </c>
      <c r="M124" s="6">
        <f t="shared" si="28"/>
        <v>2.6365740741312038E-2</v>
      </c>
      <c r="N124" s="7">
        <f t="shared" si="44"/>
        <v>37.966666667489335</v>
      </c>
      <c r="O124" s="7"/>
      <c r="P124" s="7"/>
      <c r="Q124" s="22"/>
      <c r="R124" s="22"/>
      <c r="S124" s="31">
        <f t="shared" si="42"/>
        <v>1</v>
      </c>
      <c r="T124" s="46" t="str">
        <f t="shared" si="29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0"/>
        <v>https://d0f6bd738d7f1b3e5a7ca70fe4ff75f0.us-east-1.aws.found.io/app/kibana#/discover/Steve-Slow-Train-Analysis-(2080s-and-2083s)?_g=(refreshInterval:(display:Off,pause:!f,section:0,value:0),time:(from:'2017-03-24T19:51:52-0600',mode:absolute,to:'2017-03-24T22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87" t="str">
        <f t="shared" si="31"/>
        <v>N</v>
      </c>
      <c r="X124" s="187">
        <f t="shared" si="43"/>
        <v>1</v>
      </c>
      <c r="Y124" s="62">
        <f t="shared" si="45"/>
        <v>4.6399999999999997E-2</v>
      </c>
      <c r="Z124" s="62">
        <f t="shared" si="33"/>
        <v>23.330100000000002</v>
      </c>
      <c r="AA124" s="62">
        <f t="shared" si="34"/>
        <v>23.283700000000003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0229-24</v>
      </c>
      <c r="AE124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24" s="82" t="str">
        <f t="shared" si="37"/>
        <v>"C:\Program Files (x86)\AstroGrep\AstroGrep.exe" /e /r /s /spath="%USERPROFILE%\AppData\Local\Temp\OnboardLogs" /stypes="app*4027*20170325*" /stext=" 03:.+((SYSTEM_STATE.+slice.+state.+changed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229-24 --locoid 4027 --swversion DE.1.0.9.0 --startMP 204:464 --initTime 2017-03-24T20:51:52 --startdatetime 2017-03-24T21:00:14 --delay 1 --endMP 204:233301 --enddatetime 2017-03-24T21:38:12 --enforcementcount 0 &gt;&gt;C:\Users\stu\Documents\GitHub\eaglep3-reporting\EC\2017-03-24-refined-times.txt</v>
      </c>
      <c r="AI12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{"issue":{"subject":"","project_id":79,"tracker_id":40,"status_id":1,"priority_id":2,"assigned_to_id":23,"start_date":"2017-03-24","description":"","custom_fields":[{"id":1,"name":"Subdivision","value":"EC"},{"id":4,"name":"Milepost","value":"23.3301"},{"id":17,"name":"Train ID","value":"229-24"},{"id":16,"name":"Locomotive ID","value":"4027"},{"id":130,"name":"Impact","value":""},{"id":150,"name":"Time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4027 --day 2017-03-24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630</v>
      </c>
      <c r="B125" s="7">
        <v>4028</v>
      </c>
      <c r="C125" s="21" t="s">
        <v>219</v>
      </c>
      <c r="D125" s="21" t="s">
        <v>480</v>
      </c>
      <c r="E125" s="13">
        <v>42818.913726851853</v>
      </c>
      <c r="F125" s="13">
        <v>42818.914710648147</v>
      </c>
      <c r="G125" s="7">
        <v>1</v>
      </c>
      <c r="H125" s="21" t="s">
        <v>215</v>
      </c>
      <c r="I125" s="13">
        <v>42818.942152777781</v>
      </c>
      <c r="J125" s="7">
        <v>0</v>
      </c>
      <c r="K125" s="98" t="str">
        <f t="shared" si="27"/>
        <v>4027/4028</v>
      </c>
      <c r="L125" s="21" t="str">
        <f>VLOOKUP(A125,'Trips&amp;Operators'!$C$1:$G$99999,5,FALSE)</f>
        <v>BROWN JACOB</v>
      </c>
      <c r="M125" s="6">
        <f t="shared" si="28"/>
        <v>2.7442129634437151E-2</v>
      </c>
      <c r="N125" s="7">
        <f t="shared" si="44"/>
        <v>39.516666673589498</v>
      </c>
      <c r="O125" s="7"/>
      <c r="P125" s="7"/>
      <c r="Q125" s="22"/>
      <c r="R125" s="22"/>
      <c r="S125" s="31">
        <f t="shared" si="42"/>
        <v>1</v>
      </c>
      <c r="T125" s="46" t="str">
        <f t="shared" si="29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0"/>
        <v>https://d0f6bd738d7f1b3e5a7ca70fe4ff75f0.us-east-1.aws.found.io/app/kibana#/discover/Steve-Slow-Train-Analysis-(2080s-and-2083s)?_g=(refreshInterval:(display:Off,pause:!f,section:0,value:0),time:(from:'2017-03-24T20:55:46-0600',mode:absolute,to:'2017-03-24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87" t="str">
        <f t="shared" si="31"/>
        <v>N</v>
      </c>
      <c r="X125" s="187">
        <f t="shared" si="43"/>
        <v>1</v>
      </c>
      <c r="Y125" s="62">
        <f t="shared" si="45"/>
        <v>23.299399999999999</v>
      </c>
      <c r="Z125" s="62">
        <f t="shared" si="33"/>
        <v>1.47E-2</v>
      </c>
      <c r="AA125" s="62">
        <f t="shared" si="34"/>
        <v>23.284699999999997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0230-24</v>
      </c>
      <c r="AE125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125" s="82" t="str">
        <f t="shared" si="37"/>
        <v>"C:\Program Files (x86)\AstroGrep\AstroGrep.exe" /e /r /s /spath="%USERPROFILE%\AppData\Local\Temp\OnboardLogs" /stypes="app*4028*20170325*" /stext=" 04:.+((SYSTEM_STATE.+slice.+state.+changed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230-24 --locoid 4028 --swversion DE.1.0.9.0 --startMP 204:232994 --initTime 2017-03-24T21:55:46 --startdatetime 2017-03-24T21:57:11 --delay 1 --endMP 204:147 --enddatetime 2017-03-24T22:36:42 --enforcementcount 0 &gt;&gt;C:\Users\stu\Documents\GitHub\eaglep3-reporting\EC\2017-03-24-refined-times.txt</v>
      </c>
      <c r="AI12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{"issue":{"subject":"","project_id":79,"tracker_id":40,"status_id":1,"priority_id":2,"assigned_to_id":23,"start_date":"2017-03-24","description":"","custom_fields":[{"id":1,"name":"Subdivision","value":"EC"},{"id":4,"name":"Milepost","value":"0.0147"},{"id":17,"name":"Train ID","value":"230-24"},{"id":16,"name":"Locomotive ID","value":"4028"},{"id":130,"name":"Impact","value":""},{"id":150,"name":"Time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4028 --day 2017-03-24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808</v>
      </c>
      <c r="B126" s="7">
        <v>4003</v>
      </c>
      <c r="C126" s="21" t="s">
        <v>219</v>
      </c>
      <c r="D126" s="21" t="s">
        <v>460</v>
      </c>
      <c r="E126" s="13">
        <v>42818.892685185187</v>
      </c>
      <c r="F126" s="13">
        <v>42818.896122685182</v>
      </c>
      <c r="G126" s="7">
        <v>1</v>
      </c>
      <c r="H126" s="21" t="s">
        <v>396</v>
      </c>
      <c r="I126" s="13">
        <v>42818.922233796293</v>
      </c>
      <c r="J126" s="7">
        <v>0</v>
      </c>
      <c r="K126" s="98" t="str">
        <f t="shared" si="27"/>
        <v>4003/4004</v>
      </c>
      <c r="L126" s="21" t="str">
        <f>VLOOKUP(A126,'Trips&amp;Operators'!$C$1:$G$99999,5,FALSE)</f>
        <v>STORY SAMANTHA</v>
      </c>
      <c r="M126" s="6">
        <f t="shared" si="28"/>
        <v>2.6111111110367347E-2</v>
      </c>
      <c r="N126" s="7">
        <f t="shared" si="44"/>
        <v>37.599999998928979</v>
      </c>
      <c r="O126" s="7"/>
      <c r="P126" s="7"/>
      <c r="Q126" s="22"/>
      <c r="R126" s="22"/>
      <c r="S126" s="31">
        <f t="shared" si="42"/>
        <v>1</v>
      </c>
      <c r="T126" s="46" t="str">
        <f t="shared" si="29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0"/>
        <v>https://d0f6bd738d7f1b3e5a7ca70fe4ff75f0.us-east-1.aws.found.io/app/kibana#/discover/Steve-Slow-Train-Analysis-(2080s-and-2083s)?_g=(refreshInterval:(display:Off,pause:!f,section:0,value:0),time:(from:'2017-03-24T20:25:28-0600',mode:absolute,to:'2017-03-24T23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87" t="str">
        <f t="shared" si="31"/>
        <v>N</v>
      </c>
      <c r="X126" s="187">
        <f t="shared" si="43"/>
        <v>1</v>
      </c>
      <c r="Y126" s="62">
        <f t="shared" si="45"/>
        <v>4.6399999999999997E-2</v>
      </c>
      <c r="Z126" s="62">
        <f t="shared" si="33"/>
        <v>23.3308</v>
      </c>
      <c r="AA126" s="62">
        <f t="shared" si="34"/>
        <v>23.284400000000002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0231-24</v>
      </c>
      <c r="AE126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26" s="82" t="str">
        <f t="shared" si="37"/>
        <v>"C:\Program Files (x86)\AstroGrep\AstroGrep.exe" /e /r /s /spath="%USERPROFILE%\AppData\Local\Temp\OnboardLogs" /stypes="app*4003*20170325*" /stext=" 04:.+((SYSTEM_STATE.+slice.+state.+changed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231-24 --locoid 4003 --swversion DE.1.0.9.0 --startMP 204:464 --initTime 2017-03-24T21:25:28 --startdatetime 2017-03-24T21:30:25 --delay 1 --endMP 204:233308 --enddatetime 2017-03-24T22:08:01 --enforcementcount 0 &gt;&gt;C:\Users\stu\Documents\GitHub\eaglep3-reporting\EC\2017-03-24-refined-times.txt</v>
      </c>
      <c r="AI12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{"issue":{"subject":"","project_id":79,"tracker_id":40,"status_id":1,"priority_id":2,"assigned_to_id":23,"start_date":"2017-03-24","description":"","custom_fields":[{"id":1,"name":"Subdivision","value":"EC"},{"id":4,"name":"Milepost","value":"23.3308"},{"id":17,"name":"Train ID","value":"231-24"},{"id":16,"name":"Locomotive ID","value":"4003"},{"id":130,"name":"Impact","value":""},{"id":150,"name":"Time of Event (Mountain Time)","value":"22:08:01"},{"id":151,"name":"Denver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4003 --day 2017-03-24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814</v>
      </c>
      <c r="B127" s="7">
        <v>4004</v>
      </c>
      <c r="C127" s="21" t="s">
        <v>219</v>
      </c>
      <c r="D127" s="21" t="s">
        <v>525</v>
      </c>
      <c r="E127" s="13">
        <v>42818.930486111109</v>
      </c>
      <c r="F127" s="13">
        <v>42818.934965277775</v>
      </c>
      <c r="G127" s="7">
        <v>1</v>
      </c>
      <c r="H127" s="21" t="s">
        <v>199</v>
      </c>
      <c r="I127" s="13">
        <v>42818.964733796296</v>
      </c>
      <c r="J127" s="7">
        <v>0</v>
      </c>
      <c r="K127" s="98" t="str">
        <f t="shared" si="27"/>
        <v>4003/4004</v>
      </c>
      <c r="L127" s="21" t="str">
        <f>VLOOKUP(A127,'Trips&amp;Operators'!$C$1:$G$99999,5,FALSE)</f>
        <v>STORY SAMANTHA</v>
      </c>
      <c r="M127" s="6">
        <f t="shared" si="28"/>
        <v>2.976851852145046E-2</v>
      </c>
      <c r="N127" s="7">
        <f t="shared" ref="N127:N158" si="46">24*60*SUM($M127:$M127)</f>
        <v>42.866666670888662</v>
      </c>
      <c r="O127" s="7"/>
      <c r="P127" s="7"/>
      <c r="Q127" s="22"/>
      <c r="R127" s="22"/>
      <c r="S127" s="31">
        <f t="shared" si="42"/>
        <v>1</v>
      </c>
      <c r="T127" s="46" t="str">
        <f t="shared" si="29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0"/>
        <v>https://d0f6bd738d7f1b3e5a7ca70fe4ff75f0.us-east-1.aws.found.io/app/kibana#/discover/Steve-Slow-Train-Analysis-(2080s-and-2083s)?_g=(refreshInterval:(display:Off,pause:!f,section:0,value:0),time:(from:'2017-03-24T21:19:54-0600',mode:absolute,to:'2017-03-25T00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87" t="str">
        <f t="shared" si="31"/>
        <v>N</v>
      </c>
      <c r="X127" s="187">
        <f t="shared" si="43"/>
        <v>1</v>
      </c>
      <c r="Y127" s="62">
        <f t="shared" ref="Y127:Y158" si="47">RIGHT(D127,LEN(D127)-4)/10000</f>
        <v>23.301300000000001</v>
      </c>
      <c r="Z127" s="62">
        <f t="shared" si="33"/>
        <v>1.52E-2</v>
      </c>
      <c r="AA127" s="62">
        <f t="shared" si="34"/>
        <v>23.286100000000001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0232-24</v>
      </c>
      <c r="AE127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127" s="82" t="str">
        <f t="shared" si="37"/>
        <v>"C:\Program Files (x86)\AstroGrep\AstroGrep.exe" /e /r /s /spath="%USERPROFILE%\AppData\Local\Temp\OnboardLogs" /stypes="app*4004*20170325*" /stext=" 05:.+((SYSTEM_STATE.+slice.+state.+changed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232-24 --locoid 4004 --swversion DE.1.0.9.0 --startMP 204:233013 --initTime 2017-03-24T22:19:54 --startdatetime 2017-03-24T22:26:21 --delay 1 --endMP 204:152 --enddatetime 2017-03-24T23:09:13 --enforcementcount 0 &gt;&gt;C:\Users\stu\Documents\GitHub\eaglep3-reporting\EC\2017-03-24-refined-times.txt</v>
      </c>
      <c r="AI12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ID","value":"232-24"},{"id":16,"name":"Locomotive ID","value":"4004"},{"id":130,"name":"Impact","value":""},{"id":150,"name":"Time of Event (Mountain Time)","value":"23:09:13"},{"id":151,"name":"Denver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4004 --day 2017-03-24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810</v>
      </c>
      <c r="B128" s="7">
        <v>4020</v>
      </c>
      <c r="C128" s="21" t="s">
        <v>219</v>
      </c>
      <c r="D128" s="21" t="s">
        <v>207</v>
      </c>
      <c r="E128" s="13">
        <v>42818.900995370372</v>
      </c>
      <c r="F128" s="13">
        <v>42818.917118055557</v>
      </c>
      <c r="G128" s="7">
        <v>1</v>
      </c>
      <c r="H128" s="21" t="s">
        <v>873</v>
      </c>
      <c r="I128" s="13">
        <v>42818.943518518521</v>
      </c>
      <c r="J128" s="7">
        <v>0</v>
      </c>
      <c r="K128" s="98" t="str">
        <f t="shared" si="27"/>
        <v>4019/4020</v>
      </c>
      <c r="L128" s="21" t="str">
        <f>VLOOKUP(A128,'Trips&amp;Operators'!$C$1:$G$99999,5,FALSE)</f>
        <v>STAMBAUGH JAMES</v>
      </c>
      <c r="M128" s="6">
        <f t="shared" si="28"/>
        <v>2.6400462964375038E-2</v>
      </c>
      <c r="N128" s="7">
        <f t="shared" si="46"/>
        <v>38.016666668700054</v>
      </c>
      <c r="O128" s="7"/>
      <c r="P128" s="7"/>
      <c r="Q128" s="22"/>
      <c r="R128" s="22" t="s">
        <v>1062</v>
      </c>
      <c r="S128" s="31">
        <f t="shared" si="42"/>
        <v>1</v>
      </c>
      <c r="T128" s="46" t="str">
        <f t="shared" si="29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0"/>
        <v>https://d0f6bd738d7f1b3e5a7ca70fe4ff75f0.us-east-1.aws.found.io/app/kibana#/discover/Steve-Slow-Train-Analysis-(2080s-and-2083s)?_g=(refreshInterval:(display:Off,pause:!f,section:0,value:0),time:(from:'2017-03-24T20:37:26-0600',mode:absolute,to:'2017-03-24T23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187" t="str">
        <f t="shared" si="31"/>
        <v>N</v>
      </c>
      <c r="X128" s="187">
        <f t="shared" si="43"/>
        <v>1</v>
      </c>
      <c r="Y128" s="62">
        <f t="shared" si="47"/>
        <v>4.5100000000000001E-2</v>
      </c>
      <c r="Z128" s="62">
        <f t="shared" si="33"/>
        <v>23.338899999999999</v>
      </c>
      <c r="AA128" s="62">
        <f t="shared" si="34"/>
        <v>23.293799999999997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0233-24</v>
      </c>
      <c r="AE128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28" s="82" t="str">
        <f t="shared" si="37"/>
        <v>"C:\Program Files (x86)\AstroGrep\AstroGrep.exe" /e /r /s /spath="%USERPROFILE%\AppData\Local\Temp\OnboardLogs" /stypes="app*4020*20170325*" /stext=" 04:.+((SYSTEM_STATE.+slice.+state.+changed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233-24 --locoid 4020 --swversion DE.1.0.9.0 --startMP 204:451 --initTime 2017-03-24T21:37:26 --startdatetime 2017-03-24T22:00:39 --delay 1 --endMP 204:233389 --enddatetime 2017-03-24T22:38:40 --enforcementcount 0 &gt;&gt;C:\Users\stu\Documents\GitHub\eaglep3-reporting\EC\2017-03-24-refined-times.txt</v>
      </c>
      <c r="AI128" s="108" t="str">
        <f t="shared" si="40"/>
        <v>echo {"issue":{"subject":"No issues found with CP 40th signals","project_id":79,"tracker_id":40,"status_id":1,"priority_id":2,"assigned_to_id":23,"start_date":"2017-03-24","description":"","custom_fields":[{"id":1,"name":"Subdivision","value":"EC"},{"id":4,"name":"Milepost","value":"23.3389"},{"id":17,"name":"Train ID","value":"233-24"},{"id":16,"name":"Locomotive ID","value":"4020"},{"id":130,"name":"Impact","value":""},{"id":150,"name":"Time of Event (Mountain Time)","value":"22:38:40"},{"id":151,"name":"Denver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4020 --day 2017-03-24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816</v>
      </c>
      <c r="B129" s="7">
        <v>4019</v>
      </c>
      <c r="C129" s="21" t="s">
        <v>219</v>
      </c>
      <c r="D129" s="21" t="s">
        <v>911</v>
      </c>
      <c r="E129" s="13">
        <v>42818.951909722222</v>
      </c>
      <c r="F129" s="13">
        <v>42818.955925925926</v>
      </c>
      <c r="G129" s="7">
        <v>2</v>
      </c>
      <c r="H129" s="21" t="s">
        <v>572</v>
      </c>
      <c r="I129" s="13">
        <v>42818.984143518515</v>
      </c>
      <c r="J129" s="7">
        <v>0</v>
      </c>
      <c r="K129" s="98" t="str">
        <f t="shared" si="27"/>
        <v>4019/4020</v>
      </c>
      <c r="L129" s="21" t="str">
        <f>VLOOKUP(A129,'Trips&amp;Operators'!$C$1:$G$99999,5,FALSE)</f>
        <v>STAMBAUGH JAMES</v>
      </c>
      <c r="M129" s="6">
        <f t="shared" si="28"/>
        <v>2.8217592589498963E-2</v>
      </c>
      <c r="N129" s="7">
        <f t="shared" si="46"/>
        <v>40.633333328878507</v>
      </c>
      <c r="O129" s="7"/>
      <c r="P129" s="7"/>
      <c r="Q129" s="22"/>
      <c r="R129" s="22"/>
      <c r="S129" s="31">
        <f t="shared" si="42"/>
        <v>1</v>
      </c>
      <c r="T129" s="46" t="str">
        <f t="shared" si="29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0"/>
        <v>https://d0f6bd738d7f1b3e5a7ca70fe4ff75f0.us-east-1.aws.found.io/app/kibana#/discover/Steve-Slow-Train-Analysis-(2080s-and-2083s)?_g=(refreshInterval:(display:Off,pause:!f,section:0,value:0),time:(from:'2017-03-24T21:50:45-0600',mode:absolute,to:'2017-03-25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187" t="str">
        <f t="shared" si="31"/>
        <v>N</v>
      </c>
      <c r="X129" s="187">
        <f t="shared" si="43"/>
        <v>1</v>
      </c>
      <c r="Y129" s="62">
        <f t="shared" si="47"/>
        <v>23.308</v>
      </c>
      <c r="Z129" s="62">
        <f t="shared" si="33"/>
        <v>1.3599999999999999E-2</v>
      </c>
      <c r="AA129" s="62">
        <f t="shared" si="34"/>
        <v>23.2944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0234-24</v>
      </c>
      <c r="AE129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129" s="82" t="str">
        <f t="shared" si="37"/>
        <v>"C:\Program Files (x86)\AstroGrep\AstroGrep.exe" /e /r /s /spath="%USERPROFILE%\AppData\Local\Temp\OnboardLogs" /stypes="app*4019*20170325*" /stext=" 05:.+((SYSTEM_STATE.+slice.+state.+changed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39"/>
        <v>"%USERPROFILE%\Documents\GitHub\eaglep3\Utilities\RefineRTDCRunTimes.py" --tripid 234-24 --locoid 4019 --swversion DE.1.0.9.0 --startMP 204:233080 --initTime 2017-03-24T22:50:45 --startdatetime 2017-03-24T22:56:32 --delay 2 --endMP 204:136 --enddatetime 2017-03-24T23:37:10 --enforcementcount 0 &gt;&gt;C:\Users\stu\Documents\GitHub\eaglep3-reporting\EC\2017-03-24-refined-times.txt</v>
      </c>
      <c r="AI12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{"issue":{"subject":"","project_id":79,"tracker_id":40,"status_id":1,"priority_id":2,"assigned_to_id":23,"start_date":"2017-03-24","description":"","custom_fields":[{"id":1,"name":"Subdivision","value":"EC"},{"id":4,"name":"Milepost","value":"0.0136"},{"id":17,"name":"Train ID","value":"234-24"},{"id":16,"name":"Locomotive ID","value":"4019"},{"id":130,"name":"Impact","value":""},{"id":150,"name":"Time of Event (Mountain Time)","value":"23:37:10"},{"id":151,"name":"Denver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4019 --day 2017-03-24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812</v>
      </c>
      <c r="B130" s="7">
        <v>4046</v>
      </c>
      <c r="C130" s="21" t="s">
        <v>219</v>
      </c>
      <c r="D130" s="21" t="s">
        <v>441</v>
      </c>
      <c r="E130" s="13">
        <v>42818.925462962965</v>
      </c>
      <c r="F130" s="13">
        <v>42818.937754629631</v>
      </c>
      <c r="G130" s="7">
        <v>1</v>
      </c>
      <c r="H130" s="21" t="s">
        <v>494</v>
      </c>
      <c r="I130" s="13">
        <v>42818.964988425927</v>
      </c>
      <c r="J130" s="7">
        <v>0</v>
      </c>
      <c r="K130" s="98" t="str">
        <f t="shared" si="27"/>
        <v>4045/4046</v>
      </c>
      <c r="L130" s="21" t="str">
        <f>VLOOKUP(A130,'Trips&amp;Operators'!$C$1:$G$99999,5,FALSE)</f>
        <v>SWANSON BRYCE</v>
      </c>
      <c r="M130" s="6">
        <f t="shared" si="28"/>
        <v>2.7233796296059154E-2</v>
      </c>
      <c r="N130" s="7">
        <f t="shared" si="46"/>
        <v>39.216666666325182</v>
      </c>
      <c r="O130" s="7"/>
      <c r="P130" s="7"/>
      <c r="Q130" s="22"/>
      <c r="R130" s="22"/>
      <c r="S130" s="31">
        <f t="shared" si="42"/>
        <v>1</v>
      </c>
      <c r="T130" s="46" t="str">
        <f t="shared" si="29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0"/>
        <v>https://d0f6bd738d7f1b3e5a7ca70fe4ff75f0.us-east-1.aws.found.io/app/kibana#/discover/Steve-Slow-Train-Analysis-(2080s-and-2083s)?_g=(refreshInterval:(display:Off,pause:!f,section:0,value:0),time:(from:'2017-03-24T21:12:40-0600',mode:absolute,to:'2017-03-25T00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187" t="str">
        <f t="shared" si="31"/>
        <v>N</v>
      </c>
      <c r="X130" s="187">
        <f t="shared" si="43"/>
        <v>1</v>
      </c>
      <c r="Y130" s="62">
        <f t="shared" si="47"/>
        <v>4.4900000000000002E-2</v>
      </c>
      <c r="Z130" s="62">
        <f t="shared" si="33"/>
        <v>23.329799999999999</v>
      </c>
      <c r="AA130" s="62">
        <f t="shared" si="34"/>
        <v>23.2849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5"/>
        <v>0235-24</v>
      </c>
      <c r="AE130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30" s="82" t="str">
        <f t="shared" si="37"/>
        <v>"C:\Program Files (x86)\AstroGrep\AstroGrep.exe" /e /r /s /spath="%USERPROFILE%\AppData\Local\Temp\OnboardLogs" /stypes="app*4046*20170325*" /stext=" 05:.+((SYSTEM_STATE.+slice.+state.+changed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235-24 --locoid 4046 --swversion DE.1.0.9.0 --startMP 204:449 --initTime 2017-03-24T22:12:40 --startdatetime 2017-03-24T22:30:22 --delay 1 --endMP 204:233298 --enddatetime 2017-03-24T23:09:35 --enforcementcount 0 &gt;&gt;C:\Users\stu\Documents\GitHub\eaglep3-reporting\EC\2017-03-24-refined-times.txt</v>
      </c>
      <c r="AI13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{"issue":{"subject":"","project_id":79,"tracker_id":40,"status_id":1,"priority_id":2,"assigned_to_id":23,"start_date":"2017-03-24","description":"","custom_fields":[{"id":1,"name":"Subdivision","value":"EC"},{"id":4,"name":"Milepost","value":"23.3298"},{"id":17,"name":"Train ID","value":"235-24"},{"id":16,"name":"Locomotive ID","value":"4046"},{"id":130,"name":"Impact","value":""},{"id":150,"name":"Time of Event (Mountain Time)","value":"23:09:35"},{"id":151,"name":"Denver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4046 --day 2017-03-24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818</v>
      </c>
      <c r="B131" s="7">
        <v>4045</v>
      </c>
      <c r="C131" s="21" t="s">
        <v>219</v>
      </c>
      <c r="D131" s="21" t="s">
        <v>478</v>
      </c>
      <c r="E131" s="13">
        <v>42818.968831018516</v>
      </c>
      <c r="F131" s="13">
        <v>42818.976631944446</v>
      </c>
      <c r="G131" s="7">
        <v>1</v>
      </c>
      <c r="H131" s="21" t="s">
        <v>199</v>
      </c>
      <c r="I131" s="13">
        <v>42819.005914351852</v>
      </c>
      <c r="J131" s="7">
        <v>0</v>
      </c>
      <c r="K131" s="98" t="str">
        <f t="shared" si="27"/>
        <v>4045/4046</v>
      </c>
      <c r="L131" s="21" t="str">
        <f>VLOOKUP(A131,'Trips&amp;Operators'!$C$1:$G$99999,5,FALSE)</f>
        <v>SWANSON BRYCE</v>
      </c>
      <c r="M131" s="6">
        <f t="shared" si="28"/>
        <v>2.9282407405844424E-2</v>
      </c>
      <c r="N131" s="7">
        <f t="shared" si="46"/>
        <v>42.16666666441597</v>
      </c>
      <c r="O131" s="7"/>
      <c r="P131" s="7"/>
      <c r="Q131" s="22"/>
      <c r="R131" s="22"/>
      <c r="S131" s="31">
        <f t="shared" si="42"/>
        <v>1</v>
      </c>
      <c r="T131" s="46" t="str">
        <f t="shared" si="29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0"/>
        <v>https://d0f6bd738d7f1b3e5a7ca70fe4ff75f0.us-east-1.aws.found.io/app/kibana#/discover/Steve-Slow-Train-Analysis-(2080s-and-2083s)?_g=(refreshInterval:(display:Off,pause:!f,section:0,value:0),time:(from:'2017-03-24T22:15:07-0600',mode:absolute,to:'2017-03-25T01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187" t="str">
        <f t="shared" si="31"/>
        <v>N</v>
      </c>
      <c r="X131" s="187">
        <f t="shared" si="43"/>
        <v>1</v>
      </c>
      <c r="Y131" s="62">
        <f t="shared" si="47"/>
        <v>23.297699999999999</v>
      </c>
      <c r="Z131" s="62">
        <f t="shared" si="33"/>
        <v>1.52E-2</v>
      </c>
      <c r="AA131" s="62">
        <f t="shared" si="34"/>
        <v>23.282499999999999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0236-24</v>
      </c>
      <c r="AE131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31" s="82" t="str">
        <f t="shared" si="37"/>
        <v>"C:\Program Files (x86)\AstroGrep\AstroGrep.exe" /e /r /s /spath="%USERPROFILE%\AppData\Local\Temp\OnboardLogs" /stypes="app*4045*20170325*" /stext=" 06:.+((SYSTEM_STATE.+slice.+state.+changed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236-24 --locoid 4045 --swversion DE.1.0.9.0 --startMP 204:232977 --initTime 2017-03-24T23:15:07 --startdatetime 2017-03-24T23:26:21 --delay 1 --endMP 204:152 --enddatetime 2017-03-25T00:08:31 --enforcementcount 0 &gt;&gt;C:\Users\stu\Documents\GitHub\eaglep3-reporting\EC\2017-03-24-refined-times.txt</v>
      </c>
      <c r="AI131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ID","value":"236-24"},{"id":16,"name":"Locomotive ID","value":"4045"},{"id":130,"name":"Impact","value":""},{"id":150,"name":"Time of Event (Mountain Time)","value":"00:08:31"},{"id":151,"name":"Denver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4045 --day 2017-03-24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817</v>
      </c>
      <c r="B132" s="7">
        <v>4027</v>
      </c>
      <c r="C132" s="21" t="s">
        <v>219</v>
      </c>
      <c r="D132" s="21" t="s">
        <v>216</v>
      </c>
      <c r="E132" s="13">
        <v>42818.951851851853</v>
      </c>
      <c r="F132" s="13">
        <v>42818.958495370367</v>
      </c>
      <c r="G132" s="7">
        <v>1</v>
      </c>
      <c r="H132" s="21" t="s">
        <v>220</v>
      </c>
      <c r="I132" s="13">
        <v>42818.984259259261</v>
      </c>
      <c r="J132" s="7">
        <v>0</v>
      </c>
      <c r="K132" s="98" t="str">
        <f t="shared" si="27"/>
        <v>4027/4028</v>
      </c>
      <c r="L132" s="21" t="str">
        <f>VLOOKUP(A132,'Trips&amp;Operators'!$C$1:$G$99999,5,FALSE)</f>
        <v>BROWN JACOB</v>
      </c>
      <c r="M132" s="6">
        <f t="shared" si="28"/>
        <v>2.5763888894289266E-2</v>
      </c>
      <c r="N132" s="7">
        <f t="shared" si="46"/>
        <v>37.100000007776543</v>
      </c>
      <c r="O132" s="7"/>
      <c r="P132" s="7"/>
      <c r="Q132" s="22"/>
      <c r="R132" s="22"/>
      <c r="S132" s="31">
        <f t="shared" si="42"/>
        <v>1</v>
      </c>
      <c r="T132" s="46" t="str">
        <f t="shared" si="29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0"/>
        <v>https://d0f6bd738d7f1b3e5a7ca70fe4ff75f0.us-east-1.aws.found.io/app/kibana#/discover/Steve-Slow-Train-Analysis-(2080s-and-2083s)?_g=(refreshInterval:(display:Off,pause:!f,section:0,value:0),time:(from:'2017-03-24T21:50:40-0600',mode:absolute,to:'2017-03-25T00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7" t="str">
        <f t="shared" si="31"/>
        <v>N</v>
      </c>
      <c r="X132" s="187">
        <f t="shared" si="43"/>
        <v>1</v>
      </c>
      <c r="Y132" s="62">
        <f t="shared" si="47"/>
        <v>4.6600000000000003E-2</v>
      </c>
      <c r="Z132" s="62">
        <f t="shared" si="33"/>
        <v>23.329699999999999</v>
      </c>
      <c r="AA132" s="62">
        <f t="shared" si="34"/>
        <v>23.283099999999997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0237-24</v>
      </c>
      <c r="AE132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32" s="82" t="str">
        <f t="shared" si="37"/>
        <v>"C:\Program Files (x86)\AstroGrep\AstroGrep.exe" /e /r /s /spath="%USERPROFILE%\AppData\Local\Temp\OnboardLogs" /stypes="app*4027*20170325*" /stext=" 05:.+((SYSTEM_STATE.+slice.+state.+changed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237-24 --locoid 4027 --swversion DE.1.0.9.0 --startMP 204:466 --initTime 2017-03-24T22:50:40 --startdatetime 2017-03-24T23:00:14 --delay 1 --endMP 204:233297 --enddatetime 2017-03-24T23:37:20 --enforcementcount 0 &gt;&gt;C:\Users\stu\Documents\GitHub\eaglep3-reporting\EC\2017-03-24-refined-times.txt</v>
      </c>
      <c r="AI13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{"issue":{"subject":"","project_id":79,"tracker_id":40,"status_id":1,"priority_id":2,"assigned_to_id":23,"start_date":"2017-03-24","description":"","custom_fields":[{"id":1,"name":"Subdivision","value":"EC"},{"id":4,"name":"Milepost","value":"23.3297"},{"id":17,"name":"Train ID","value":"237-24"},{"id":16,"name":"Locomotive ID","value":"4027"},{"id":130,"name":"Impact","value":""},{"id":150,"name":"Time of Event (Mountain Time)","value":"23:37:20"},{"id":151,"name":"Denver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4027 --day 2017-03-24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631</v>
      </c>
      <c r="B133" s="7">
        <v>4028</v>
      </c>
      <c r="C133" s="21" t="s">
        <v>219</v>
      </c>
      <c r="D133" s="21" t="s">
        <v>920</v>
      </c>
      <c r="E133" s="13">
        <v>42818.993379629632</v>
      </c>
      <c r="F133" s="13">
        <v>42819.000115740739</v>
      </c>
      <c r="G133" s="7">
        <v>2</v>
      </c>
      <c r="H133" s="21" t="s">
        <v>199</v>
      </c>
      <c r="I133" s="13">
        <v>42819.027175925927</v>
      </c>
      <c r="J133" s="7">
        <v>0</v>
      </c>
      <c r="K133" s="98" t="str">
        <f t="shared" si="27"/>
        <v>4027/4028</v>
      </c>
      <c r="L133" s="21" t="str">
        <f>VLOOKUP(A133,'Trips&amp;Operators'!$C$1:$G$99999,5,FALSE)</f>
        <v>BROWN JACOB</v>
      </c>
      <c r="M133" s="6">
        <f t="shared" si="28"/>
        <v>2.7060185188020114E-2</v>
      </c>
      <c r="N133" s="7">
        <f t="shared" si="46"/>
        <v>38.966666670748964</v>
      </c>
      <c r="O133" s="7"/>
      <c r="P133" s="7"/>
      <c r="Q133" s="22"/>
      <c r="R133" s="22"/>
      <c r="S133" s="31">
        <f t="shared" si="42"/>
        <v>1</v>
      </c>
      <c r="T133" s="46" t="str">
        <f t="shared" si="29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0"/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187" t="str">
        <f t="shared" si="31"/>
        <v>N</v>
      </c>
      <c r="X133" s="187">
        <f t="shared" si="43"/>
        <v>1</v>
      </c>
      <c r="Y133" s="62">
        <f t="shared" si="47"/>
        <v>23.297799999999999</v>
      </c>
      <c r="Z133" s="62">
        <f t="shared" si="33"/>
        <v>1.52E-2</v>
      </c>
      <c r="AA133" s="62">
        <f t="shared" si="34"/>
        <v>23.282599999999999</v>
      </c>
      <c r="AB133" s="59" t="str">
        <f>VLOOKUP(A133,Enforcements!$C$7:$K$13,8,0)</f>
        <v>Bulletin (2)</v>
      </c>
      <c r="AC133" s="55" t="str">
        <f>VLOOKUP(A133,Enforcements!$C$7:$E$13,3,0)</f>
        <v>GRADE CROSSING</v>
      </c>
      <c r="AD133" s="56" t="str">
        <f t="shared" si="35"/>
        <v>0238-24</v>
      </c>
      <c r="AE133" s="85" t="str">
        <f t="shared" si="36"/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AF133" s="82" t="str">
        <f t="shared" si="37"/>
        <v>"C:\Program Files (x86)\AstroGrep\AstroGrep.exe" /e /r /s /spath="%USERPROFILE%\AppData\Local\Temp\OnboardLogs" /stypes="app*4028*20170325*" /stext=" 06:.+((SYSTEM_STATE.+slice.+state.+changed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238-24 --locoid 4028 --swversion DE.1.0.9.0 --startMP 204:232978 --initTime 2017-03-24T23:50:28 --startdatetime 2017-03-25T00:00:10 --delay 2 --endMP 204:152 --enddatetime 2017-03-25T00:39:08 --enforcementcount 0 &gt;&gt;C:\Users\stu\Documents\GitHub\eaglep3-reporting\EC\2017-03-24-refined-times.txt</v>
      </c>
      <c r="AI133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ID","value":"238-24"},{"id":16,"name":"Locomotive ID","value":"4028"},{"id":130,"name":"Impact","value":""},{"id":150,"name":"Time of Event (Mountain Time)","value":"00:39:08"},{"id":151,"name":"Denver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4028 --day 2017-03-25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819</v>
      </c>
      <c r="B134" s="7">
        <v>4003</v>
      </c>
      <c r="C134" s="21" t="s">
        <v>219</v>
      </c>
      <c r="D134" s="21" t="s">
        <v>460</v>
      </c>
      <c r="E134" s="13">
        <v>42818.972974537035</v>
      </c>
      <c r="F134" s="13">
        <v>42818.97960648148</v>
      </c>
      <c r="G134" s="7">
        <v>1</v>
      </c>
      <c r="H134" s="21" t="s">
        <v>491</v>
      </c>
      <c r="I134" s="13">
        <v>42819.004814814813</v>
      </c>
      <c r="J134" s="7">
        <v>0</v>
      </c>
      <c r="K134" s="98" t="str">
        <f t="shared" si="27"/>
        <v>4003/4004</v>
      </c>
      <c r="L134" s="21" t="str">
        <f>VLOOKUP(A134,'Trips&amp;Operators'!$C$1:$G$99999,5,FALSE)</f>
        <v>STORY SAMANTHA</v>
      </c>
      <c r="M134" s="6">
        <f t="shared" si="28"/>
        <v>2.5208333332557231E-2</v>
      </c>
      <c r="N134" s="7">
        <f t="shared" si="46"/>
        <v>36.299999998882413</v>
      </c>
      <c r="O134" s="7"/>
      <c r="P134" s="7"/>
      <c r="Q134" s="22"/>
      <c r="R134" s="22"/>
      <c r="S134" s="31">
        <f t="shared" si="42"/>
        <v>1</v>
      </c>
      <c r="T134" s="46" t="str">
        <f t="shared" si="29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0"/>
        <v>https://d0f6bd738d7f1b3e5a7ca70fe4ff75f0.us-east-1.aws.found.io/app/kibana#/discover/Steve-Slow-Train-Analysis-(2080s-and-2083s)?_g=(refreshInterval:(display:Off,pause:!f,section:0,value:0),time:(from:'2017-03-24T22:21:05-0600',mode:absolute,to:'2017-03-25T01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187" t="str">
        <f t="shared" si="31"/>
        <v>N</v>
      </c>
      <c r="X134" s="187">
        <f t="shared" si="43"/>
        <v>1</v>
      </c>
      <c r="Y134" s="62">
        <f t="shared" si="47"/>
        <v>4.6399999999999997E-2</v>
      </c>
      <c r="Z134" s="62">
        <f t="shared" si="33"/>
        <v>23.328900000000001</v>
      </c>
      <c r="AA134" s="62">
        <f t="shared" si="34"/>
        <v>23.282500000000002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5"/>
        <v>0239-24</v>
      </c>
      <c r="AE134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34" s="82" t="str">
        <f t="shared" si="37"/>
        <v>"C:\Program Files (x86)\AstroGrep\AstroGrep.exe" /e /r /s /spath="%USERPROFILE%\AppData\Local\Temp\OnboardLogs" /stypes="app*4003*20170325*" /stext=" 06:.+((SYSTEM_STATE.+slice.+state.+changed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239-24 --locoid 4003 --swversion DE.1.0.9.0 --startMP 204:464 --initTime 2017-03-24T23:21:05 --startdatetime 2017-03-24T23:30:38 --delay 1 --endMP 204:233289 --enddatetime 2017-03-25T00:06:56 --enforcementcount 0 &gt;&gt;C:\Users\stu\Documents\GitHub\eaglep3-reporting\EC\2017-03-24-refined-times.txt</v>
      </c>
      <c r="AI134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{"issue":{"subject":"","project_id":79,"tracker_id":40,"status_id":1,"priority_id":2,"assigned_to_id":23,"start_date":"2017-03-25","description":"","custom_fields":[{"id":1,"name":"Subdivision","value":"EC"},{"id":4,"name":"Milepost","value":"23.3289"},{"id":17,"name":"Train ID","value":"239-24"},{"id":16,"name":"Locomotive ID","value":"4003"},{"id":130,"name":"Impact","value":""},{"id":150,"name":"Time of Event (Mountain Time)","value":"00:06:56"},{"id":151,"name":"Denver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4003 --day 2017-03-24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822</v>
      </c>
      <c r="B135" s="7">
        <v>4004</v>
      </c>
      <c r="C135" s="21" t="s">
        <v>219</v>
      </c>
      <c r="D135" s="21" t="s">
        <v>442</v>
      </c>
      <c r="E135" s="13">
        <v>42819.016099537039</v>
      </c>
      <c r="F135" s="13">
        <v>42819.01829861111</v>
      </c>
      <c r="G135" s="7">
        <v>1</v>
      </c>
      <c r="H135" s="21" t="s">
        <v>215</v>
      </c>
      <c r="I135" s="13">
        <v>42819.047222222223</v>
      </c>
      <c r="J135" s="7">
        <v>0</v>
      </c>
      <c r="K135" s="98" t="str">
        <f t="shared" si="27"/>
        <v>4003/4004</v>
      </c>
      <c r="L135" s="21" t="str">
        <f>VLOOKUP(A135,'Trips&amp;Operators'!$C$1:$G$99999,5,FALSE)</f>
        <v>STORY SAMANTHA</v>
      </c>
      <c r="M135" s="6">
        <f t="shared" si="28"/>
        <v>2.8923611112986691E-2</v>
      </c>
      <c r="N135" s="7">
        <f t="shared" si="46"/>
        <v>41.650000002700835</v>
      </c>
      <c r="O135" s="7"/>
      <c r="P135" s="7"/>
      <c r="Q135" s="22"/>
      <c r="R135" s="22"/>
      <c r="S135" s="31">
        <f t="shared" si="42"/>
        <v>1</v>
      </c>
      <c r="T135" s="46" t="str">
        <f t="shared" si="29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0"/>
        <v>https://d0f6bd738d7f1b3e5a7ca70fe4ff75f0.us-east-1.aws.found.io/app/kibana#/discover/Steve-Slow-Train-Analysis-(2080s-and-2083s)?_g=(refreshInterval:(display:Off,pause:!f,section:0,value:0),time:(from:'2017-03-24T23:23:11-0600',mode:absolute,to:'2017-03-25T02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87" t="str">
        <f t="shared" si="31"/>
        <v>N</v>
      </c>
      <c r="X135" s="187">
        <f t="shared" si="43"/>
        <v>1</v>
      </c>
      <c r="Y135" s="62">
        <f t="shared" si="47"/>
        <v>23.298100000000002</v>
      </c>
      <c r="Z135" s="62">
        <f t="shared" si="33"/>
        <v>1.47E-2</v>
      </c>
      <c r="AA135" s="62">
        <f t="shared" si="34"/>
        <v>23.2834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0240-24</v>
      </c>
      <c r="AE135" s="85" t="str">
        <f t="shared" si="36"/>
        <v>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 &amp; 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</v>
      </c>
      <c r="AF135" s="82" t="str">
        <f t="shared" si="37"/>
        <v>"C:\Program Files (x86)\AstroGrep\AstroGrep.exe" /e /r /s /spath="%USERPROFILE%\AppData\Local\Temp\OnboardLogs" /stypes="app*4004*20170325*" /stext=" 07:.+((SYSTEM_STATE.+slice.+state.+changed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240-24 --locoid 4004 --swversion DE.1.0.9.0 --startMP 204:232981 --initTime 2017-03-25T00:23:11 --startdatetime 2017-03-25T00:26:21 --delay 1 --endMP 204:147 --enddatetime 2017-03-25T01:08:00 --enforcementcount 0 &gt;&gt;C:\Users\stu\Documents\GitHub\eaglep3-reporting\EC\2017-03-24-refined-times.txt</v>
      </c>
      <c r="AI135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{"issue":{"subject":"","project_id":79,"tracker_id":40,"status_id":1,"priority_id":2,"assigned_to_id":23,"start_date":"2017-03-25","description":"","custom_fields":[{"id":1,"name":"Subdivision","value":"EC"},{"id":4,"name":"Milepost","value":"0.0147"},{"id":17,"name":"Train ID","value":"240-24"},{"id":16,"name":"Locomotive ID","value":"4004"},{"id":130,"name":"Impact","value":""},{"id":150,"name":"Time of Event (Mountain Time)","value":"01:08:00"},{"id":151,"name":"Denver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4004 --day 2017-03-25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820</v>
      </c>
      <c r="B136" s="7">
        <v>4020</v>
      </c>
      <c r="C136" s="21" t="s">
        <v>219</v>
      </c>
      <c r="D136" s="21" t="s">
        <v>559</v>
      </c>
      <c r="E136" s="13">
        <v>42818.985694444447</v>
      </c>
      <c r="F136" s="13">
        <v>42819.000486111108</v>
      </c>
      <c r="G136" s="7">
        <v>1</v>
      </c>
      <c r="H136" s="21" t="s">
        <v>921</v>
      </c>
      <c r="I136" s="13">
        <v>42819.024768518517</v>
      </c>
      <c r="J136" s="7">
        <v>0</v>
      </c>
      <c r="K136" s="98" t="str">
        <f t="shared" si="27"/>
        <v>4019/4020</v>
      </c>
      <c r="L136" s="21" t="str">
        <f>VLOOKUP(A136,'Trips&amp;Operators'!$C$1:$G$99999,5,FALSE)</f>
        <v>STAMBAUGH JAMES</v>
      </c>
      <c r="M136" s="6">
        <f t="shared" si="28"/>
        <v>2.4282407408463769E-2</v>
      </c>
      <c r="N136" s="7">
        <f t="shared" si="46"/>
        <v>34.966666668187827</v>
      </c>
      <c r="O136" s="7"/>
      <c r="P136" s="7"/>
      <c r="Q136" s="22"/>
      <c r="R136" s="22"/>
      <c r="S136" s="31">
        <f t="shared" si="42"/>
        <v>1</v>
      </c>
      <c r="T136" s="46" t="str">
        <f t="shared" si="29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0"/>
        <v>https://d0f6bd738d7f1b3e5a7ca70fe4ff75f0.us-east-1.aws.found.io/app/kibana#/discover/Steve-Slow-Train-Analysis-(2080s-and-2083s)?_g=(refreshInterval:(display:Off,pause:!f,section:0,value:0),time:(from:'2017-03-24T22:39:24-0600',mode:absolute,to:'2017-03-25T01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187" t="str">
        <f t="shared" si="31"/>
        <v>N</v>
      </c>
      <c r="X136" s="187">
        <f t="shared" si="43"/>
        <v>1</v>
      </c>
      <c r="Y136" s="62">
        <f t="shared" si="47"/>
        <v>4.4400000000000002E-2</v>
      </c>
      <c r="Z136" s="62">
        <f t="shared" si="33"/>
        <v>23.337800000000001</v>
      </c>
      <c r="AA136" s="62">
        <f t="shared" si="34"/>
        <v>23.293400000000002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0241-24</v>
      </c>
      <c r="AE136" s="85" t="str">
        <f t="shared" si="36"/>
        <v>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 &amp; aws s3 cp s3://rtdc.mdm.uploadarchive.raw/RTDC4020/ "%USERPROFILE%\AppData\Local\Temp\OnboardLogs"\RTDC4020\2017-03-26 --exclude "*" --recursive --include "*20170326*" &amp; "%USERPROFILE%\Documents\GitHub\mrs-test-scripts\Headless Mode &amp; Sideloading\WalkAndUnGZ.bat" "%USERPROFILE%\AppData\Local\Temp\OnboardLogs"\RTDC4020\2017-03-26</v>
      </c>
      <c r="AF136" s="82" t="str">
        <f t="shared" si="37"/>
        <v>"C:\Program Files (x86)\AstroGrep\AstroGrep.exe" /e /r /s /spath="%USERPROFILE%\AppData\Local\Temp\OnboardLogs" /stypes="app*4020*20170325*" /stext=" 06:.+((SYSTEM_STATE.+slice.+state.+changed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241-24 --locoid 4020 --swversion DE.1.0.9.0 --startMP 204:444 --initTime 2017-03-24T23:39:24 --startdatetime 2017-03-25T00:00:42 --delay 1 --endMP 204:233378 --enddatetime 2017-03-25T00:35:40 --enforcementcount 0 &gt;&gt;C:\Users\stu\Documents\GitHub\eaglep3-reporting\EC\2017-03-24-refined-times.txt</v>
      </c>
      <c r="AI136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{"issue":{"subject":"","project_id":79,"tracker_id":40,"status_id":1,"priority_id":2,"assigned_to_id":23,"start_date":"2017-03-25","description":"","custom_fields":[{"id":1,"name":"Subdivision","value":"EC"},{"id":4,"name":"Milepost","value":"23.3378"},{"id":17,"name":"Train ID","value":"241-24"},{"id":16,"name":"Locomotive ID","value":"4020"},{"id":130,"name":"Impact","value":""},{"id":150,"name":"Time of Event (Mountain Time)","value":"00:35:40"},{"id":151,"name":"Denver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4020 --day 2017-03-25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823</v>
      </c>
      <c r="B137" s="7">
        <v>4019</v>
      </c>
      <c r="C137" s="21" t="s">
        <v>219</v>
      </c>
      <c r="D137" s="21" t="s">
        <v>922</v>
      </c>
      <c r="E137" s="13">
        <v>42819.03334490741</v>
      </c>
      <c r="F137" s="13">
        <v>42819.039525462962</v>
      </c>
      <c r="G137" s="7">
        <v>1</v>
      </c>
      <c r="H137" s="21" t="s">
        <v>184</v>
      </c>
      <c r="I137" s="13">
        <v>42819.06659722222</v>
      </c>
      <c r="J137" s="7">
        <v>0</v>
      </c>
      <c r="K137" s="98" t="str">
        <f t="shared" si="27"/>
        <v>4019/4020</v>
      </c>
      <c r="L137" s="21" t="str">
        <f>VLOOKUP(A137,'Trips&amp;Operators'!$C$1:$G$99999,5,FALSE)</f>
        <v>STAMBAUGH JAMES</v>
      </c>
      <c r="M137" s="6">
        <f t="shared" si="28"/>
        <v>2.7071759257523809E-2</v>
      </c>
      <c r="N137" s="7">
        <f t="shared" si="46"/>
        <v>38.983333330834284</v>
      </c>
      <c r="O137" s="7"/>
      <c r="P137" s="7"/>
      <c r="Q137" s="22"/>
      <c r="R137" s="22"/>
      <c r="S137" s="31">
        <f t="shared" si="42"/>
        <v>1</v>
      </c>
      <c r="T137" s="46" t="str">
        <f t="shared" si="29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0"/>
        <v>https://d0f6bd738d7f1b3e5a7ca70fe4ff75f0.us-east-1.aws.found.io/app/kibana#/discover/Steve-Slow-Train-Analysis-(2080s-and-2083s)?_g=(refreshInterval:(display:Off,pause:!f,section:0,value:0),time:(from:'2017-03-24T23:48:01-0600',mode:absolute,to:'2017-03-25T02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187" t="str">
        <f t="shared" si="31"/>
        <v>N</v>
      </c>
      <c r="X137" s="187">
        <f t="shared" si="43"/>
        <v>1</v>
      </c>
      <c r="Y137" s="62">
        <f t="shared" si="47"/>
        <v>23.307099999999998</v>
      </c>
      <c r="Z137" s="62">
        <f t="shared" si="33"/>
        <v>1.49E-2</v>
      </c>
      <c r="AA137" s="62">
        <f t="shared" si="34"/>
        <v>23.292199999999998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0242-24</v>
      </c>
      <c r="AE137" s="85" t="str">
        <f t="shared" si="36"/>
        <v>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 &amp; 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</v>
      </c>
      <c r="AF137" s="82" t="str">
        <f t="shared" si="37"/>
        <v>"C:\Program Files (x86)\AstroGrep\AstroGrep.exe" /e /r /s /spath="%USERPROFILE%\AppData\Local\Temp\OnboardLogs" /stypes="app*4019*20170325*" /stext=" 07:.+((SYSTEM_STATE.+slice.+state.+changed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242-24 --locoid 4019 --swversion DE.1.0.9.0 --startMP 204:233071 --initTime 2017-03-25T00:48:01 --startdatetime 2017-03-25T00:56:55 --delay 1 --endMP 204:149 --enddatetime 2017-03-25T01:35:54 --enforcementcount 0 &gt;&gt;C:\Users\stu\Documents\GitHub\eaglep3-reporting\EC\2017-03-24-refined-times.txt</v>
      </c>
      <c r="AI137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ID","value":"242-24"},{"id":16,"name":"Locomotive ID","value":"4019"},{"id":130,"name":"Impact","value":""},{"id":150,"name":"Time of Event (Mountain Time)","value":"01:35:54"},{"id":151,"name":"Denver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4019 --day 2017-03-25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821</v>
      </c>
      <c r="B138" s="7">
        <v>4046</v>
      </c>
      <c r="C138" s="21" t="s">
        <v>219</v>
      </c>
      <c r="D138" s="21" t="s">
        <v>386</v>
      </c>
      <c r="E138" s="13">
        <v>42819.011203703703</v>
      </c>
      <c r="F138" s="13">
        <v>42819.021284722221</v>
      </c>
      <c r="G138" s="7">
        <v>1</v>
      </c>
      <c r="H138" s="21" t="s">
        <v>873</v>
      </c>
      <c r="I138" s="13">
        <v>42819.047546296293</v>
      </c>
      <c r="J138" s="7">
        <v>0</v>
      </c>
      <c r="K138" s="98" t="str">
        <f t="shared" si="27"/>
        <v>4045/4046</v>
      </c>
      <c r="L138" s="21" t="str">
        <f>VLOOKUP(A138,'Trips&amp;Operators'!$C$1:$G$99999,5,FALSE)</f>
        <v>SWANSON BRYCE</v>
      </c>
      <c r="M138" s="6">
        <f t="shared" si="28"/>
        <v>2.626157407212304E-2</v>
      </c>
      <c r="N138" s="7">
        <f t="shared" si="46"/>
        <v>37.816666663857177</v>
      </c>
      <c r="O138" s="7"/>
      <c r="P138" s="7"/>
      <c r="Q138" s="22"/>
      <c r="R138" s="22"/>
      <c r="S138" s="31">
        <f t="shared" si="42"/>
        <v>1</v>
      </c>
      <c r="T138" s="46" t="str">
        <f t="shared" si="29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0"/>
        <v>https://d0f6bd738d7f1b3e5a7ca70fe4ff75f0.us-east-1.aws.found.io/app/kibana#/discover/Steve-Slow-Train-Analysis-(2080s-and-2083s)?_g=(refreshInterval:(display:Off,pause:!f,section:0,value:0),time:(from:'2017-03-24T23:16:08-0600',mode:absolute,to:'2017-03-25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187" t="str">
        <f t="shared" si="31"/>
        <v>N</v>
      </c>
      <c r="X138" s="187">
        <f t="shared" si="43"/>
        <v>1</v>
      </c>
      <c r="Y138" s="62">
        <f t="shared" si="47"/>
        <v>4.6199999999999998E-2</v>
      </c>
      <c r="Z138" s="62">
        <f t="shared" si="33"/>
        <v>23.338899999999999</v>
      </c>
      <c r="AA138" s="62">
        <f t="shared" si="34"/>
        <v>23.2927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0243-24</v>
      </c>
      <c r="AE138" s="85" t="str">
        <f t="shared" si="36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138" s="82" t="str">
        <f t="shared" si="37"/>
        <v>"C:\Program Files (x86)\AstroGrep\AstroGrep.exe" /e /r /s /spath="%USERPROFILE%\AppData\Local\Temp\OnboardLogs" /stypes="app*4046*20170325*" /stext=" 07:.+((SYSTEM_STATE.+slice.+state.+changed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243-24 --locoid 4046 --swversion DE.1.0.9.0 --startMP 204:462 --initTime 2017-03-25T00:16:08 --startdatetime 2017-03-25T00:30:39 --delay 1 --endMP 204:233389 --enddatetime 2017-03-25T01:08:28 --enforcementcount 0 &gt;&gt;C:\Users\stu\Documents\GitHub\eaglep3-reporting\EC\2017-03-24-refined-times.txt</v>
      </c>
      <c r="AI138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{"issue":{"subject":"","project_id":79,"tracker_id":40,"status_id":1,"priority_id":2,"assigned_to_id":23,"start_date":"2017-03-25","description":"","custom_fields":[{"id":1,"name":"Subdivision","value":"EC"},{"id":4,"name":"Milepost","value":"23.3389"},{"id":17,"name":"Train ID","value":"243-24"},{"id":16,"name":"Locomotive ID","value":"4046"},{"id":130,"name":"Impact","value":""},{"id":150,"name":"Time of Event (Mountain Time)","value":"01:08:28"},{"id":151,"name":"Denver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4046 --day 2017-03-25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826</v>
      </c>
      <c r="B139" s="7">
        <v>4045</v>
      </c>
      <c r="C139" s="21" t="s">
        <v>219</v>
      </c>
      <c r="D139" s="21" t="s">
        <v>874</v>
      </c>
      <c r="E139" s="13">
        <v>42819.057372685187</v>
      </c>
      <c r="F139" s="13">
        <v>42819.059907407405</v>
      </c>
      <c r="G139" s="7">
        <v>1</v>
      </c>
      <c r="H139" s="21" t="s">
        <v>573</v>
      </c>
      <c r="I139" s="13">
        <v>42819.089108796295</v>
      </c>
      <c r="J139" s="7">
        <v>0</v>
      </c>
      <c r="K139" s="98" t="str">
        <f t="shared" si="27"/>
        <v>4045/4046</v>
      </c>
      <c r="L139" s="21" t="str">
        <f>VLOOKUP(A139,'Trips&amp;Operators'!$C$1:$G$99999,5,FALSE)</f>
        <v>SWANSON BRYCE</v>
      </c>
      <c r="M139" s="6">
        <f t="shared" si="28"/>
        <v>2.920138889021473E-2</v>
      </c>
      <c r="N139" s="7">
        <f t="shared" si="46"/>
        <v>42.050000001909211</v>
      </c>
      <c r="O139" s="7"/>
      <c r="P139" s="7"/>
      <c r="Q139" s="22"/>
      <c r="R139" s="22"/>
      <c r="S139" s="31">
        <f t="shared" si="42"/>
        <v>1</v>
      </c>
      <c r="T139" s="46" t="str">
        <f t="shared" si="29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0"/>
        <v>https://d0f6bd738d7f1b3e5a7ca70fe4ff75f0.us-east-1.aws.found.io/app/kibana#/discover/Steve-Slow-Train-Analysis-(2080s-and-2083s)?_g=(refreshInterval:(display:Off,pause:!f,section:0,value:0),time:(from:'2017-03-25T00:22:37-0600',mode:absolute,to:'2017-03-25T03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187" t="str">
        <f t="shared" si="31"/>
        <v>N</v>
      </c>
      <c r="X139" s="187">
        <f t="shared" si="43"/>
        <v>1</v>
      </c>
      <c r="Y139" s="62">
        <f t="shared" si="47"/>
        <v>23.305499999999999</v>
      </c>
      <c r="Z139" s="62">
        <f t="shared" si="33"/>
        <v>1.67E-2</v>
      </c>
      <c r="AA139" s="62">
        <f t="shared" si="34"/>
        <v>23.288799999999998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0244-24</v>
      </c>
      <c r="AE139" s="85" t="str">
        <f t="shared" si="36"/>
        <v>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 &amp; 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</v>
      </c>
      <c r="AF139" s="82" t="str">
        <f t="shared" si="37"/>
        <v>"C:\Program Files (x86)\AstroGrep\AstroGrep.exe" /e /r /s /spath="%USERPROFILE%\AppData\Local\Temp\OnboardLogs" /stypes="app*4045*20170325*" /stext=" 08:.+((SYSTEM_STATE.+slice.+state.+changed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244-24 --locoid 4045 --swversion DE.1.0.9.0 --startMP 204:233055 --initTime 2017-03-25T01:22:37 --startdatetime 2017-03-25T01:26:16 --delay 1 --endMP 204:167 --enddatetime 2017-03-25T02:08:19 --enforcementcount 0 &gt;&gt;C:\Users\stu\Documents\GitHub\eaglep3-reporting\EC\2017-03-24-refined-times.txt</v>
      </c>
      <c r="AI139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{"issue":{"subject":"","project_id":79,"tracker_id":40,"status_id":1,"priority_id":2,"assigned_to_id":23,"start_date":"2017-03-25","description":"","custom_fields":[{"id":1,"name":"Subdivision","value":"EC"},{"id":4,"name":"Milepost","value":"0.0167"},{"id":17,"name":"Train ID","value":"244-24"},{"id":16,"name":"Locomotive ID","value":"4045"},{"id":130,"name":"Impact","value":""},{"id":150,"name":"Time of Event (Mountain Time)","value":"02:08:19"},{"id":151,"name":"Denver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4045 --day 2017-03-25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824</v>
      </c>
      <c r="B140" s="7">
        <v>4027</v>
      </c>
      <c r="C140" s="21" t="s">
        <v>219</v>
      </c>
      <c r="D140" s="21" t="s">
        <v>565</v>
      </c>
      <c r="E140" s="13">
        <v>42819.033668981479</v>
      </c>
      <c r="F140" s="13">
        <v>42819.041886574072</v>
      </c>
      <c r="G140" s="7">
        <v>1</v>
      </c>
      <c r="H140" s="21" t="s">
        <v>923</v>
      </c>
      <c r="I140" s="13">
        <v>42819.066886574074</v>
      </c>
      <c r="J140" s="7">
        <v>0</v>
      </c>
      <c r="K140" s="98" t="str">
        <f t="shared" si="27"/>
        <v>4027/4028</v>
      </c>
      <c r="L140" s="21" t="str">
        <f>VLOOKUP(A140,'Trips&amp;Operators'!$C$1:$G$99999,5,FALSE)</f>
        <v>BROWN JACOB</v>
      </c>
      <c r="M140" s="6">
        <f t="shared" si="28"/>
        <v>2.5000000001455192E-2</v>
      </c>
      <c r="N140" s="7">
        <f t="shared" si="46"/>
        <v>36.000000002095476</v>
      </c>
      <c r="O140" s="7"/>
      <c r="P140" s="7"/>
      <c r="Q140" s="22"/>
      <c r="R140" s="22"/>
      <c r="S140" s="31">
        <f t="shared" si="42"/>
        <v>1</v>
      </c>
      <c r="T140" s="46" t="str">
        <f t="shared" si="29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0"/>
        <v>https://d0f6bd738d7f1b3e5a7ca70fe4ff75f0.us-east-1.aws.found.io/app/kibana#/discover/Steve-Slow-Train-Analysis-(2080s-and-2083s)?_g=(refreshInterval:(display:Off,pause:!f,section:0,value:0),time:(from:'2017-03-24T23:48:29-0600',mode:absolute,to:'2017-03-25T02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7" t="str">
        <f t="shared" si="31"/>
        <v>N</v>
      </c>
      <c r="X140" s="187">
        <f t="shared" si="43"/>
        <v>1</v>
      </c>
      <c r="Y140" s="62">
        <f t="shared" si="47"/>
        <v>4.2200000000000001E-2</v>
      </c>
      <c r="Z140" s="62">
        <f t="shared" si="33"/>
        <v>23.330300000000001</v>
      </c>
      <c r="AA140" s="62">
        <f t="shared" si="34"/>
        <v>23.2881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0245-24</v>
      </c>
      <c r="AE140" s="85" t="str">
        <f t="shared" si="36"/>
        <v>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 &amp; 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</v>
      </c>
      <c r="AF140" s="82" t="str">
        <f t="shared" si="37"/>
        <v>"C:\Program Files (x86)\AstroGrep\AstroGrep.exe" /e /r /s /spath="%USERPROFILE%\AppData\Local\Temp\OnboardLogs" /stypes="app*4027*20170325*" /stext=" 07:.+((SYSTEM_STATE.+slice.+state.+changed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245-24 --locoid 4027 --swversion DE.1.0.9.0 --startMP 204:422 --initTime 2017-03-25T00:48:29 --startdatetime 2017-03-25T01:00:19 --delay 1 --endMP 204:233303 --enddatetime 2017-03-25T01:36:19 --enforcementcount 0 &gt;&gt;C:\Users\stu\Documents\GitHub\eaglep3-reporting\EC\2017-03-24-refined-times.txt</v>
      </c>
      <c r="AI140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{"issue":{"subject":"","project_id":79,"tracker_id":40,"status_id":1,"priority_id":2,"assigned_to_id":23,"start_date":"2017-03-25","description":"","custom_fields":[{"id":1,"name":"Subdivision","value":"EC"},{"id":4,"name":"Milepost","value":"23.3303"},{"id":17,"name":"Train ID","value":"245-24"},{"id":16,"name":"Locomotive ID","value":"4027"},{"id":130,"name":"Impact","value":""},{"id":150,"name":"Time of Event (Mountain Time)","value":"01:36:19"},{"id":151,"name":"Denver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4027 --day 2017-03-25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828</v>
      </c>
      <c r="B141" s="7">
        <v>4028</v>
      </c>
      <c r="C141" s="21" t="s">
        <v>219</v>
      </c>
      <c r="D141" s="21" t="s">
        <v>567</v>
      </c>
      <c r="E141" s="13">
        <v>42819.077951388892</v>
      </c>
      <c r="F141" s="13">
        <v>42819.080694444441</v>
      </c>
      <c r="G141" s="7">
        <v>2</v>
      </c>
      <c r="H141" s="21" t="s">
        <v>924</v>
      </c>
      <c r="I141" s="13">
        <v>42819.107557870368</v>
      </c>
      <c r="J141" s="7">
        <v>0</v>
      </c>
      <c r="K141" s="98" t="str">
        <f t="shared" ref="K141:K204" si="48">IF(ISEVEN(B141),(B141-1)&amp;"/"&amp;B141,B141&amp;"/"&amp;(B141+1))</f>
        <v>4027/4028</v>
      </c>
      <c r="L141" s="21" t="str">
        <f>VLOOKUP(A141,'Trips&amp;Operators'!$C$1:$G$99999,5,FALSE)</f>
        <v>BROWN JACOB</v>
      </c>
      <c r="M141" s="6">
        <f t="shared" ref="M141:M204" si="49">I141-F141</f>
        <v>2.6863425926421769E-2</v>
      </c>
      <c r="N141" s="7">
        <f t="shared" si="46"/>
        <v>38.683333334047347</v>
      </c>
      <c r="O141" s="7"/>
      <c r="P141" s="7"/>
      <c r="Q141" s="22"/>
      <c r="R141" s="22"/>
      <c r="S141" s="31">
        <f t="shared" si="42"/>
        <v>1</v>
      </c>
      <c r="T141" s="46" t="str">
        <f t="shared" ref="T141:T204" si="50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-25T00:52:15-0600',mode:absolute,to:'2017-03-25T03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187" t="str">
        <f t="shared" ref="W141:W204" si="52">IF(AA141&lt;IF(AG141="EC",23,5.65),"Y","N")</f>
        <v>N</v>
      </c>
      <c r="X141" s="187">
        <f t="shared" si="43"/>
        <v>1</v>
      </c>
      <c r="Y141" s="62">
        <f t="shared" si="47"/>
        <v>23.298999999999999</v>
      </c>
      <c r="Z141" s="62">
        <f t="shared" ref="Z141:Z204" si="53">RIGHT(H141,LEN(H141)-4)/10000</f>
        <v>2.2499999999999999E-2</v>
      </c>
      <c r="AA141" s="62">
        <f t="shared" ref="AA141:AA204" si="54">ABS(Z141-Y141)</f>
        <v>23.276499999999999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5">IF(LEN(A141)=6,"0"&amp;A141,A141)</f>
        <v>0246-24</v>
      </c>
      <c r="AE141" s="8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AF141" s="82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/stypes="app*4028*20170325*" /stext=" 08:.+((SYSTEM_STATE.+slice.+state.+changed )|(ment ac)|(multiple cpu faults)|(system.+state.+changed )|(\[timeout)|(PRM\|1\|D)|(kpr)|(kdp)|(\|lc)|(penalty))"</v>
      </c>
      <c r="AG141" s="1" t="str">
        <f t="shared" ref="AG141:AG204" si="58">IFERROR(IF(VALUE(LEFT(AD141,2))&lt;=2,"EC",IF(OR(VALUE(LEFT(AD141,2))=8,VALUE(LEFT(AD141,2))=18),"NW","Other")),"Other")</f>
        <v>EC</v>
      </c>
      <c r="AH141" s="86" t="str">
        <f t="shared" si="39"/>
        <v>"%USERPROFILE%\Documents\GitHub\eaglep3\Utilities\RefineRTDCRunTimes.py" --tripid 246-24 --locoid 4028 --swversion DE.1.0.9.0 --startMP 204:232990 --initTime 2017-03-25T01:52:15 --startdatetime 2017-03-25T01:56:12 --delay 2 --endMP 204:225 --enddatetime 2017-03-25T02:34:53 --enforcementcount 0 &gt;&gt;C:\Users\stu\Documents\GitHub\eaglep3-reporting\EC\2017-03-24-refined-times.txt</v>
      </c>
      <c r="AI141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{"issue":{"subject":"","project_id":79,"tracker_id":40,"status_id":1,"priority_id":2,"assigned_to_id":23,"start_date":"2017-03-25","description":"","custom_fields":[{"id":1,"name":"Subdivision","value":"EC"},{"id":4,"name":"Milepost","value":"0.0225"},{"id":17,"name":"Train ID","value":"246-24"},{"id":16,"name":"Locomotive ID","value":"4028"},{"id":130,"name":"Impact","value":""},{"id":150,"name":"Time of Event (Mountain Time)","value":"02:34:53"},{"id":151,"name":"Denver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1"/>
        <v>start /low /b %USERPROFILE%\Documents\GitHub\eaglep3\Utilities\DownloadLogsFromS3.py --loco 4028 --day 2017-03-25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648</v>
      </c>
      <c r="B142" s="7">
        <v>4052</v>
      </c>
      <c r="C142" s="21" t="s">
        <v>219</v>
      </c>
      <c r="D142" s="21" t="s">
        <v>579</v>
      </c>
      <c r="E142" s="13">
        <v>42818.209953703707</v>
      </c>
      <c r="F142" s="13">
        <v>42818.211585648147</v>
      </c>
      <c r="G142" s="7">
        <v>1</v>
      </c>
      <c r="H142" s="21" t="s">
        <v>976</v>
      </c>
      <c r="I142" s="13">
        <v>42818.225439814814</v>
      </c>
      <c r="J142" s="7">
        <v>0</v>
      </c>
      <c r="K142" s="98" t="str">
        <f t="shared" si="48"/>
        <v>4051/4052</v>
      </c>
      <c r="L142" s="21" t="str">
        <f>VLOOKUP(A142,'Trips&amp;Operators'!$C$1:$G$99999,5,FALSE)</f>
        <v>GEBRETEKLE DAGNEW</v>
      </c>
      <c r="M142" s="6">
        <f t="shared" si="49"/>
        <v>1.3854166667442769E-2</v>
      </c>
      <c r="N142" s="7">
        <f t="shared" si="46"/>
        <v>19.950000001117587</v>
      </c>
      <c r="O142" s="7"/>
      <c r="P142" s="7"/>
      <c r="Q142" s="22"/>
      <c r="R142" s="22"/>
      <c r="S142" s="31">
        <f t="shared" si="42"/>
        <v>1</v>
      </c>
      <c r="T142" s="46" t="str">
        <f t="shared" si="50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186" t="str">
        <f t="shared" si="51"/>
        <v>https://d0f6bd738d7f1b3e5a7ca70fe4ff75f0.us-east-1.aws.found.io/app/kibana#/discover/Steve-Slow-Train-Analysis-(2080s-and-2083s)?_g=(refreshInterval:(display:Off,pause:!f,section:0,value:0),time:(from:'2017-03-24T04:02:20-0600',mode:absolute,to:'2017-03-24T06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187" t="str">
        <f t="shared" si="52"/>
        <v>N</v>
      </c>
      <c r="X142" s="187">
        <f t="shared" si="43"/>
        <v>554</v>
      </c>
      <c r="Y142" s="62">
        <f t="shared" si="47"/>
        <v>5.8672000000000004</v>
      </c>
      <c r="Z142" s="62">
        <f t="shared" si="53"/>
        <v>7.0800000000000002E-2</v>
      </c>
      <c r="AA142" s="62">
        <f t="shared" si="54"/>
        <v>5.7964000000000002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5"/>
        <v>0800-24</v>
      </c>
      <c r="AE142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42" s="82" t="str">
        <f t="shared" si="57"/>
        <v>"C:\Program Files (x86)\AstroGrep\AstroGrep.exe" /e /r /s /spath="%USERPROFILE%\AppData\Local\Temp\OnboardLogs" /stypes="app*4052*20170324*" /stext=" 11:.+((SYSTEM_STATE.+slice.+state.+changed )|(ment ac)|(multiple cpu faults)|(system.+state.+changed )|(\[timeout)|(PRM\|1\|D)|(kpr)|(kdp)|(\|lc)|(penalty))"</v>
      </c>
      <c r="AG142" s="1" t="str">
        <f t="shared" si="58"/>
        <v>NW</v>
      </c>
      <c r="AH142" s="86" t="str">
        <f t="shared" ref="AH142:AH205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800-24 --locoid 4052 --swversion DE.1.0.9.0 --startMP 300:58672 --initTime 2017-03-24T05:02:20 --startdatetime 2017-03-24T05:04:41 --delay 1 --endMP 204:708 --enddatetime 2017-03-24T05:24:38 --enforcementcount 0 &gt;&gt;C:\Users\stu\Documents\GitHub\eaglep3-reporting\EC\2017-03-24-refined-times.txt</v>
      </c>
      <c r="AI142" s="108" t="str">
        <f t="shared" ref="AI142:AI205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{"issue":{"subject":"","project_id":79,"tracker_id":40,"status_id":1,"priority_id":2,"assigned_to_id":23,"start_date":"2017-03-24","description":"","custom_fields":[{"id":1,"name":"Subdivision","value":"NW"},{"id":4,"name":"Milepost","value":"0.0708"},{"id":17,"name":"Train ID","value":"800-24"},{"id":16,"name":"Locomotive ID","value":"4052"},{"id":130,"name":"Impact","value":""},{"id":150,"name":"Time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1">"start /low /b "&amp;dls3logs&amp;" --loco "&amp;B142&amp;" --day "&amp;TEXT(F142,"YYYY-MM-DD")</f>
        <v>start /low /b %USERPROFILE%\Documents\GitHub\eaglep3\Utilities\DownloadLogsFromS3.py --loco 4052 --day 2017-03-24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650</v>
      </c>
      <c r="B143" s="7">
        <v>4051</v>
      </c>
      <c r="C143" s="21" t="s">
        <v>219</v>
      </c>
      <c r="D143" s="21" t="s">
        <v>531</v>
      </c>
      <c r="E143" s="13">
        <v>42818.227164351854</v>
      </c>
      <c r="F143" s="13">
        <v>42818.244120370371</v>
      </c>
      <c r="G143" s="7">
        <v>1</v>
      </c>
      <c r="H143" s="21" t="s">
        <v>587</v>
      </c>
      <c r="I143" s="13">
        <v>42818.253136574072</v>
      </c>
      <c r="J143" s="7">
        <v>0</v>
      </c>
      <c r="K143" s="98" t="str">
        <f t="shared" si="48"/>
        <v>4051/4052</v>
      </c>
      <c r="L143" s="21" t="str">
        <f>VLOOKUP(A143,'Trips&amp;Operators'!$C$1:$G$99999,5,FALSE)</f>
        <v>GEBRETEKLE DAGNEW</v>
      </c>
      <c r="M143" s="6">
        <f t="shared" si="49"/>
        <v>9.0162037013215013E-3</v>
      </c>
      <c r="N143" s="7">
        <f t="shared" si="46"/>
        <v>12.983333329902962</v>
      </c>
      <c r="O143" s="7"/>
      <c r="P143" s="7"/>
      <c r="Q143" s="22"/>
      <c r="R143" s="22"/>
      <c r="S143" s="31">
        <f t="shared" si="42"/>
        <v>1</v>
      </c>
      <c r="T143" s="46" t="str">
        <f t="shared" si="50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186" t="str">
        <f t="shared" si="51"/>
        <v>https://d0f6bd738d7f1b3e5a7ca70fe4ff75f0.us-east-1.aws.found.io/app/kibana#/discover/Steve-Slow-Train-Analysis-(2080s-and-2083s)?_g=(refreshInterval:(display:Off,pause:!f,section:0,value:0),time:(from:'2017-03-24T04:27:07-0600',mode:absolute,to:'2017-03-24T07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87" t="str">
        <f t="shared" si="52"/>
        <v>N</v>
      </c>
      <c r="X143" s="187">
        <f t="shared" si="43"/>
        <v>1</v>
      </c>
      <c r="Y143" s="62">
        <f t="shared" si="47"/>
        <v>9.7900000000000001E-2</v>
      </c>
      <c r="Z143" s="62">
        <f t="shared" si="53"/>
        <v>5.8987999999999996</v>
      </c>
      <c r="AA143" s="62">
        <f t="shared" si="54"/>
        <v>5.8008999999999995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5"/>
        <v>0801-24</v>
      </c>
      <c r="AE143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43" s="82" t="str">
        <f t="shared" si="57"/>
        <v>"C:\Program Files (x86)\AstroGrep\AstroGrep.exe" /e /r /s /spath="%USERPROFILE%\AppData\Local\Temp\OnboardLogs" /stypes="app*4051*20170324*" /stext=" 12:.+((SYSTEM_STATE.+slice.+state.+changed )|(ment ac)|(multiple cpu faults)|(system.+state.+changed )|(\[timeout)|(PRM\|1\|D)|(kpr)|(kdp)|(\|lc)|(penalty))"</v>
      </c>
      <c r="AG143" s="1" t="str">
        <f t="shared" si="58"/>
        <v>NW</v>
      </c>
      <c r="AH143" s="86" t="str">
        <f t="shared" si="59"/>
        <v>"%USERPROFILE%\Documents\GitHub\eaglep3\Utilities\RefineRTDCRunTimes.py" --tripid 801-24 --locoid 4051 --swversion DE.1.0.9.0 --startMP 204:979 --initTime 2017-03-24T05:27:07 --startdatetime 2017-03-24T05:51:32 --delay 1 --endMP 300:58988 --enddatetime 2017-03-24T06:04:31 --enforcementcount 0 &gt;&gt;C:\Users\stu\Documents\GitHub\eaglep3-reporting\EC\2017-03-24-refined-times.txt</v>
      </c>
      <c r="AI14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ID","value":"801-24"},{"id":16,"name":"Locomotive ID","value":"4051"},{"id":130,"name":"Impact","value":""},{"id":150,"name":"Time of Event (Mountain Time)","value":"06:04:31"},{"id":151,"name":"Denver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1"/>
        <v>start /low /b %USERPROFILE%\Documents\GitHub\eaglep3\Utilities\DownloadLogsFromS3.py --loco 4051 --day 2017-03-24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605</v>
      </c>
      <c r="B144" s="7">
        <v>4052</v>
      </c>
      <c r="C144" s="21" t="s">
        <v>219</v>
      </c>
      <c r="D144" s="21" t="s">
        <v>977</v>
      </c>
      <c r="E144" s="13">
        <v>42818.25476851852</v>
      </c>
      <c r="F144" s="13">
        <v>42818.256701388891</v>
      </c>
      <c r="G144" s="7">
        <v>1</v>
      </c>
      <c r="H144" s="21" t="s">
        <v>590</v>
      </c>
      <c r="I144" s="13">
        <v>42818.26834490741</v>
      </c>
      <c r="J144" s="7">
        <v>0</v>
      </c>
      <c r="K144" s="98" t="str">
        <f t="shared" si="48"/>
        <v>4051/4052</v>
      </c>
      <c r="L144" s="21" t="str">
        <f>VLOOKUP(A144,'Trips&amp;Operators'!$C$1:$G$99999,5,FALSE)</f>
        <v>GEBRETEKLE DAGNEW</v>
      </c>
      <c r="M144" s="6">
        <f t="shared" si="49"/>
        <v>1.1643518519122154E-2</v>
      </c>
      <c r="N144" s="7">
        <f t="shared" si="46"/>
        <v>16.766666667535901</v>
      </c>
      <c r="O144" s="7"/>
      <c r="P144" s="7"/>
      <c r="Q144" s="22"/>
      <c r="R144" s="22"/>
      <c r="S144" s="31">
        <f t="shared" si="42"/>
        <v>1</v>
      </c>
      <c r="T144" s="46" t="str">
        <f t="shared" si="50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186" t="str">
        <f t="shared" si="51"/>
        <v>https://d0f6bd738d7f1b3e5a7ca70fe4ff75f0.us-east-1.aws.found.io/app/kibana#/discover/Steve-Slow-Train-Analysis-(2080s-and-2083s)?_g=(refreshInterval:(display:Off,pause:!f,section:0,value:0),time:(from:'2017-03-24T05:06:52-0600',mode:absolute,to:'2017-03-24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87" t="str">
        <f t="shared" si="52"/>
        <v>N</v>
      </c>
      <c r="X144" s="187">
        <f t="shared" si="43"/>
        <v>1</v>
      </c>
      <c r="Y144" s="62">
        <f t="shared" si="47"/>
        <v>5.8663999999999996</v>
      </c>
      <c r="Z144" s="62">
        <f t="shared" si="53"/>
        <v>7.2599999999999998E-2</v>
      </c>
      <c r="AA144" s="62">
        <f t="shared" si="54"/>
        <v>5.7937999999999992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5"/>
        <v>0802-24</v>
      </c>
      <c r="AE144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44" s="82" t="str">
        <f t="shared" si="57"/>
        <v>"C:\Program Files (x86)\AstroGrep\AstroGrep.exe" /e /r /s /spath="%USERPROFILE%\AppData\Local\Temp\OnboardLogs" /stypes="app*4052*20170324*" /stext=" 12:.+((SYSTEM_STATE.+slice.+state.+changed )|(ment ac)|(multiple cpu faults)|(system.+state.+changed )|(\[timeout)|(PRM\|1\|D)|(kpr)|(kdp)|(\|lc)|(penalty))"</v>
      </c>
      <c r="AG144" s="1" t="str">
        <f t="shared" si="58"/>
        <v>NW</v>
      </c>
      <c r="AH144" s="86" t="str">
        <f t="shared" si="59"/>
        <v>"%USERPROFILE%\Documents\GitHub\eaglep3\Utilities\RefineRTDCRunTimes.py" --tripid 802-24 --locoid 4052 --swversion DE.1.0.9.0 --startMP 300:58664 --initTime 2017-03-24T06:06:52 --startdatetime 2017-03-24T06:09:39 --delay 1 --endMP 204:726 --enddatetime 2017-03-24T06:26:25 --enforcementcount 0 &gt;&gt;C:\Users\stu\Documents\GitHub\eaglep3-reporting\EC\2017-03-24-refined-times.txt</v>
      </c>
      <c r="AI14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{"issue":{"subject":"","project_id":79,"tracker_id":40,"status_id":1,"priority_id":2,"assigned_to_id":23,"start_date":"2017-03-24","description":"","custom_fields":[{"id":1,"name":"Subdivision","value":"NW"},{"id":4,"name":"Milepost","value":"0.0726"},{"id":17,"name":"Train ID","value":"802-24"},{"id":16,"name":"Locomotive ID","value":"4052"},{"id":130,"name":"Impact","value":""},{"id":150,"name":"Time of Event (Mountain Time)","value":"06:26:25"},{"id":151,"name":"Denver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1"/>
        <v>start /low /b %USERPROFILE%\Documents\GitHub\eaglep3\Utilities\DownloadLogsFromS3.py --loco 4052 --day 2017-03-24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660</v>
      </c>
      <c r="B145" s="7">
        <v>4044</v>
      </c>
      <c r="C145" s="21" t="s">
        <v>219</v>
      </c>
      <c r="D145" s="21" t="s">
        <v>583</v>
      </c>
      <c r="E145" s="13">
        <v>42818.260127314818</v>
      </c>
      <c r="F145" s="13">
        <v>42818.264768518522</v>
      </c>
      <c r="G145" s="7">
        <v>1</v>
      </c>
      <c r="H145" s="21" t="s">
        <v>584</v>
      </c>
      <c r="I145" s="13">
        <v>42818.27416666667</v>
      </c>
      <c r="J145" s="7">
        <v>0</v>
      </c>
      <c r="K145" s="98" t="str">
        <f t="shared" si="48"/>
        <v>4043/4044</v>
      </c>
      <c r="L145" s="21" t="str">
        <f>VLOOKUP(A145,'Trips&amp;Operators'!$C$1:$G$99999,5,FALSE)</f>
        <v>SHOOK JOHN</v>
      </c>
      <c r="M145" s="6">
        <f t="shared" si="49"/>
        <v>9.3981481477385387E-3</v>
      </c>
      <c r="N145" s="7">
        <f t="shared" si="46"/>
        <v>13.533333332743496</v>
      </c>
      <c r="O145" s="7"/>
      <c r="P145" s="7"/>
      <c r="Q145" s="22"/>
      <c r="R145" s="22"/>
      <c r="S145" s="31">
        <f t="shared" si="42"/>
        <v>1</v>
      </c>
      <c r="T145" s="46" t="str">
        <f t="shared" si="50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186" t="str">
        <f t="shared" si="51"/>
        <v>https://d0f6bd738d7f1b3e5a7ca70fe4ff75f0.us-east-1.aws.found.io/app/kibana#/discover/Steve-Slow-Train-Analysis-(2080s-and-2083s)?_g=(refreshInterval:(display:Off,pause:!f,section:0,value:0),time:(from:'2017-03-24T05:14:35-0600',mode:absolute,to:'2017-03-24T07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7" t="str">
        <f t="shared" si="52"/>
        <v>N</v>
      </c>
      <c r="X145" s="187">
        <f t="shared" si="43"/>
        <v>1</v>
      </c>
      <c r="Y145" s="62">
        <f t="shared" si="47"/>
        <v>0.1028</v>
      </c>
      <c r="Z145" s="62">
        <f t="shared" si="53"/>
        <v>5.8992000000000004</v>
      </c>
      <c r="AA145" s="62">
        <f t="shared" si="54"/>
        <v>5.7964000000000002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5"/>
        <v>0803-24</v>
      </c>
      <c r="AE14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45" s="82" t="str">
        <f t="shared" si="57"/>
        <v>"C:\Program Files (x86)\AstroGrep\AstroGrep.exe" /e /r /s /spath="%USERPROFILE%\AppData\Local\Temp\OnboardLogs" /stypes="app*4044*20170324*" /stext=" 12:.+((SYSTEM_STATE.+slice.+state.+changed )|(ment ac)|(multiple cpu faults)|(system.+state.+changed )|(\[timeout)|(PRM\|1\|D)|(kpr)|(kdp)|(\|lc)|(penalty))"</v>
      </c>
      <c r="AG145" s="1" t="str">
        <f t="shared" si="58"/>
        <v>NW</v>
      </c>
      <c r="AH145" s="86" t="str">
        <f t="shared" si="59"/>
        <v>"%USERPROFILE%\Documents\GitHub\eaglep3\Utilities\RefineRTDCRunTimes.py" --tripid 803-24 --locoid 4044 --swversion DE.1.0.9.0 --startMP 204:1028 --initTime 2017-03-24T06:14:35 --startdatetime 2017-03-24T06:21:16 --delay 1 --endMP 300:58992 --enddatetime 2017-03-24T06:34:48 --enforcementcount 0 &gt;&gt;C:\Users\stu\Documents\GitHub\eaglep3-reporting\EC\2017-03-24-refined-times.txt</v>
      </c>
      <c r="AI14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{"issue":{"subject":"","project_id":79,"tracker_id":40,"status_id":1,"priority_id":2,"assigned_to_id":23,"start_date":"2017-03-24","description":"","custom_fields":[{"id":1,"name":"Subdivision","value":"NW"},{"id":4,"name":"Milepost","value":"5.8992"},{"id":17,"name":"Train ID","value":"803-24"},{"id":16,"name":"Locomotive ID","value":"4044"},{"id":130,"name":"Impact","value":""},{"id":150,"name":"Time of Event (Mountain Time)","value":"06:34:48"},{"id":151,"name":"Denver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1"/>
        <v>start /low /b %USERPROFILE%\Documents\GitHub\eaglep3\Utilities\DownloadLogsFromS3.py --loco 4044 --day 2017-03-24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663</v>
      </c>
      <c r="B146" s="7">
        <v>4043</v>
      </c>
      <c r="C146" s="21" t="s">
        <v>219</v>
      </c>
      <c r="D146" s="21" t="s">
        <v>978</v>
      </c>
      <c r="E146" s="13">
        <v>42818.27584490741</v>
      </c>
      <c r="F146" s="13">
        <v>42818.306435185186</v>
      </c>
      <c r="G146" s="7">
        <v>1</v>
      </c>
      <c r="H146" s="21" t="s">
        <v>979</v>
      </c>
      <c r="I146" s="13">
        <v>42818.31590277778</v>
      </c>
      <c r="J146" s="7">
        <v>0</v>
      </c>
      <c r="K146" s="98" t="str">
        <f t="shared" si="48"/>
        <v>4043/4044</v>
      </c>
      <c r="L146" s="21" t="str">
        <f>VLOOKUP(A146,'Trips&amp;Operators'!$C$1:$G$99999,5,FALSE)</f>
        <v>SHOOK JOHN</v>
      </c>
      <c r="M146" s="6">
        <f t="shared" si="49"/>
        <v>9.4675925938645378E-3</v>
      </c>
      <c r="N146" s="7">
        <f t="shared" si="46"/>
        <v>13.633333335164934</v>
      </c>
      <c r="O146" s="7"/>
      <c r="P146" s="7"/>
      <c r="Q146" s="22"/>
      <c r="R146" s="22"/>
      <c r="S146" s="31">
        <f t="shared" si="42"/>
        <v>1</v>
      </c>
      <c r="T146" s="46" t="str">
        <f t="shared" si="50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186" t="str">
        <f t="shared" si="51"/>
        <v>https://d0f6bd738d7f1b3e5a7ca70fe4ff75f0.us-east-1.aws.found.io/app/kibana#/discover/Steve-Slow-Train-Analysis-(2080s-and-2083s)?_g=(refreshInterval:(display:Off,pause:!f,section:0,value:0),time:(from:'2017-03-24T05:37:13-0600',mode:absolute,to:'2017-03-24T08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87" t="str">
        <f t="shared" si="52"/>
        <v>N</v>
      </c>
      <c r="X146" s="187">
        <f t="shared" si="43"/>
        <v>1</v>
      </c>
      <c r="Y146" s="62">
        <f t="shared" si="47"/>
        <v>5.8681000000000001</v>
      </c>
      <c r="Z146" s="62">
        <f t="shared" si="53"/>
        <v>7.4099999999999999E-2</v>
      </c>
      <c r="AA146" s="62">
        <f t="shared" si="54"/>
        <v>5.7940000000000005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5"/>
        <v>0804-24</v>
      </c>
      <c r="AE14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46" s="82" t="str">
        <f t="shared" si="57"/>
        <v>"C:\Program Files (x86)\AstroGrep\AstroGrep.exe" /e /r /s /spath="%USERPROFILE%\AppData\Local\Temp\OnboardLogs" /stypes="app*4043*20170324*" /stext=" 13:.+((SYSTEM_STATE.+slice.+state.+changed )|(ment ac)|(multiple cpu faults)|(system.+state.+changed )|(\[timeout)|(PRM\|1\|D)|(kpr)|(kdp)|(\|lc)|(penalty))"</v>
      </c>
      <c r="AG146" s="1" t="str">
        <f t="shared" si="58"/>
        <v>NW</v>
      </c>
      <c r="AH146" s="86" t="str">
        <f t="shared" si="59"/>
        <v>"%USERPROFILE%\Documents\GitHub\eaglep3\Utilities\RefineRTDCRunTimes.py" --tripid 804-24 --locoid 4043 --swversion DE.1.0.9.0 --startMP 300:58681 --initTime 2017-03-24T06:37:13 --startdatetime 2017-03-24T07:21:16 --delay 1 --endMP 204:741 --enddatetime 2017-03-24T07:34:54 --enforcementcount 0 &gt;&gt;C:\Users\stu\Documents\GitHub\eaglep3-reporting\EC\2017-03-24-refined-times.txt</v>
      </c>
      <c r="AI14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{"issue":{"subject":"","project_id":79,"tracker_id":40,"status_id":1,"priority_id":2,"assigned_to_id":23,"start_date":"2017-03-24","description":"","custom_fields":[{"id":1,"name":"Subdivision","value":"NW"},{"id":4,"name":"Milepost","value":"0.0741"},{"id":17,"name":"Train ID","value":"804-24"},{"id":16,"name":"Locomotive ID","value":"4043"},{"id":130,"name":"Impact","value":""},{"id":150,"name":"Time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1"/>
        <v>start /low /b %USERPROFILE%\Documents\GitHub\eaglep3\Utilities\DownloadLogsFromS3.py --loco 4043 --day 2017-03-24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661</v>
      </c>
      <c r="B147" s="7">
        <v>4051</v>
      </c>
      <c r="C147" s="21" t="s">
        <v>219</v>
      </c>
      <c r="D147" s="21" t="s">
        <v>980</v>
      </c>
      <c r="E147" s="13">
        <v>42818.270138888889</v>
      </c>
      <c r="F147" s="13">
        <v>42818.285578703704</v>
      </c>
      <c r="G147" s="7">
        <v>1</v>
      </c>
      <c r="H147" s="21" t="s">
        <v>981</v>
      </c>
      <c r="I147" s="13">
        <v>42818.294548611113</v>
      </c>
      <c r="J147" s="7">
        <v>0</v>
      </c>
      <c r="K147" s="98" t="str">
        <f t="shared" si="48"/>
        <v>4051/4052</v>
      </c>
      <c r="L147" s="21" t="str">
        <f>VLOOKUP(A147,'Trips&amp;Operators'!$C$1:$G$99999,5,FALSE)</f>
        <v>GEBRETEKLE DAGNEW</v>
      </c>
      <c r="M147" s="6">
        <f t="shared" si="49"/>
        <v>8.969907408754807E-3</v>
      </c>
      <c r="N147" s="7">
        <f t="shared" si="46"/>
        <v>12.916666668606922</v>
      </c>
      <c r="O147" s="7"/>
      <c r="P147" s="7"/>
      <c r="Q147" s="22"/>
      <c r="R147" s="22"/>
      <c r="S147" s="31">
        <f t="shared" si="42"/>
        <v>1</v>
      </c>
      <c r="T147" s="46" t="str">
        <f t="shared" si="50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186" t="str">
        <f t="shared" si="51"/>
        <v>https://d0f6bd738d7f1b3e5a7ca70fe4ff75f0.us-east-1.aws.found.io/app/kibana#/discover/Steve-Slow-Train-Analysis-(2080s-and-2083s)?_g=(refreshInterval:(display:Off,pause:!f,section:0,value:0),time:(from:'2017-03-24T05:29:00-0600',mode:absolute,to:'2017-03-24T08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187" t="str">
        <f t="shared" si="52"/>
        <v>N</v>
      </c>
      <c r="X147" s="187">
        <f t="shared" si="43"/>
        <v>1</v>
      </c>
      <c r="Y147" s="62">
        <f t="shared" si="47"/>
        <v>0.10199999999999999</v>
      </c>
      <c r="Z147" s="62">
        <f t="shared" si="53"/>
        <v>5.8986000000000001</v>
      </c>
      <c r="AA147" s="62">
        <f t="shared" si="54"/>
        <v>5.7965999999999998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5"/>
        <v>0805-24</v>
      </c>
      <c r="AE147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47" s="82" t="str">
        <f t="shared" si="57"/>
        <v>"C:\Program Files (x86)\AstroGrep\AstroGrep.exe" /e /r /s /spath="%USERPROFILE%\AppData\Local\Temp\OnboardLogs" /stypes="app*4051*20170324*" /stext=" 13:.+((SYSTEM_STATE.+slice.+state.+changed )|(ment ac)|(multiple cpu faults)|(system.+state.+changed )|(\[timeout)|(PRM\|1\|D)|(kpr)|(kdp)|(\|lc)|(penalty))"</v>
      </c>
      <c r="AG147" s="1" t="str">
        <f t="shared" si="58"/>
        <v>NW</v>
      </c>
      <c r="AH147" s="86" t="str">
        <f t="shared" si="59"/>
        <v>"%USERPROFILE%\Documents\GitHub\eaglep3\Utilities\RefineRTDCRunTimes.py" --tripid 805-24 --locoid 4051 --swversion DE.1.0.9.0 --startMP 204:1020 --initTime 2017-03-24T06:29:00 --startdatetime 2017-03-24T06:51:14 --delay 1 --endMP 300:58986 --enddatetime 2017-03-24T07:04:09 --enforcementcount 0 &gt;&gt;C:\Users\stu\Documents\GitHub\eaglep3-reporting\EC\2017-03-24-refined-times.txt</v>
      </c>
      <c r="AI14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{"issue":{"subject":"","project_id":79,"tracker_id":40,"status_id":1,"priority_id":2,"assigned_to_id":23,"start_date":"2017-03-24","description":"","custom_fields":[{"id":1,"name":"Subdivision","value":"NW"},{"id":4,"name":"Milepost","value":"5.8986"},{"id":17,"name":"Train ID","value":"805-24"},{"id":16,"name":"Locomotive ID","value":"4051"},{"id":130,"name":"Impact","value":""},{"id":150,"name":"Time of Event (Mountain Time)","value":"07:04:09"},{"id":151,"name":"Denver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1"/>
        <v>start /low /b %USERPROFILE%\Documents\GitHub\eaglep3\Utilities\DownloadLogsFromS3.py --loco 4051 --day 2017-03-24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667</v>
      </c>
      <c r="B148" s="7">
        <v>4052</v>
      </c>
      <c r="C148" s="21" t="s">
        <v>219</v>
      </c>
      <c r="D148" s="21" t="s">
        <v>585</v>
      </c>
      <c r="E148" s="13">
        <v>42818.29619212963</v>
      </c>
      <c r="F148" s="13">
        <v>42818.297824074078</v>
      </c>
      <c r="G148" s="7">
        <v>1</v>
      </c>
      <c r="H148" s="21" t="s">
        <v>982</v>
      </c>
      <c r="I148" s="13">
        <v>42818.308842592596</v>
      </c>
      <c r="J148" s="7">
        <v>0</v>
      </c>
      <c r="K148" s="98" t="str">
        <f t="shared" si="48"/>
        <v>4051/4052</v>
      </c>
      <c r="L148" s="21" t="str">
        <f>VLOOKUP(A148,'Trips&amp;Operators'!$C$1:$G$99999,5,FALSE)</f>
        <v>GEBRETEKLE DAGNEW</v>
      </c>
      <c r="M148" s="6">
        <f t="shared" si="49"/>
        <v>1.1018518518540077E-2</v>
      </c>
      <c r="N148" s="7">
        <f t="shared" si="46"/>
        <v>15.866666666697711</v>
      </c>
      <c r="O148" s="7"/>
      <c r="P148" s="7"/>
      <c r="Q148" s="22"/>
      <c r="R148" s="22"/>
      <c r="S148" s="31">
        <f t="shared" ref="S148:S211" si="62">SUM(U148:U148)/IF(AG148="EC",12,1)</f>
        <v>1</v>
      </c>
      <c r="T148" s="46" t="str">
        <f t="shared" si="50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186" t="str">
        <f t="shared" si="51"/>
        <v>https://d0f6bd738d7f1b3e5a7ca70fe4ff75f0.us-east-1.aws.found.io/app/kibana#/discover/Steve-Slow-Train-Analysis-(2080s-and-2083s)?_g=(refreshInterval:(display:Off,pause:!f,section:0,value:0),time:(from:'2017-03-24T06:06:31-0600',mode:absolute,to:'2017-03-24T08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187" t="str">
        <f t="shared" si="52"/>
        <v>N</v>
      </c>
      <c r="X148" s="187">
        <f t="shared" si="43"/>
        <v>1</v>
      </c>
      <c r="Y148" s="62">
        <f t="shared" si="47"/>
        <v>5.8673000000000002</v>
      </c>
      <c r="Z148" s="62">
        <f t="shared" si="53"/>
        <v>6.9599999999999995E-2</v>
      </c>
      <c r="AA148" s="62">
        <f t="shared" si="54"/>
        <v>5.7976999999999999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5"/>
        <v>0806-24</v>
      </c>
      <c r="AE148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48" s="82" t="str">
        <f t="shared" si="57"/>
        <v>"C:\Program Files (x86)\AstroGrep\AstroGrep.exe" /e /r /s /spath="%USERPROFILE%\AppData\Local\Temp\OnboardLogs" /stypes="app*4052*20170324*" /stext=" 13:.+((SYSTEM_STATE.+slice.+state.+changed )|(ment ac)|(multiple cpu faults)|(system.+state.+changed )|(\[timeout)|(PRM\|1\|D)|(kpr)|(kdp)|(\|lc)|(penalty))"</v>
      </c>
      <c r="AG148" s="1" t="str">
        <f t="shared" si="58"/>
        <v>NW</v>
      </c>
      <c r="AH148" s="86" t="str">
        <f t="shared" si="59"/>
        <v>"%USERPROFILE%\Documents\GitHub\eaglep3\Utilities\RefineRTDCRunTimes.py" --tripid 806-24 --locoid 4052 --swversion DE.1.0.9.0 --startMP 300:58673 --initTime 2017-03-24T07:06:31 --startdatetime 2017-03-24T07:08:52 --delay 1 --endMP 204:696 --enddatetime 2017-03-24T07:24:44 --enforcementcount 0 &gt;&gt;C:\Users\stu\Documents\GitHub\eaglep3-reporting\EC\2017-03-24-refined-times.txt</v>
      </c>
      <c r="AI14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{"issue":{"subject":"","project_id":79,"tracker_id":40,"status_id":1,"priority_id":2,"assigned_to_id":23,"start_date":"2017-03-24","description":"","custom_fields":[{"id":1,"name":"Subdivision","value":"NW"},{"id":4,"name":"Milepost","value":"0.0696"},{"id":17,"name":"Train ID","value":"806-24"},{"id":16,"name":"Locomotive ID","value":"4052"},{"id":130,"name":"Impact","value":""},{"id":150,"name":"Time of Event (Mountain Time)","value":"07:24:44"},{"id":151,"name":"Denver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1"/>
        <v>start /low /b %USERPROFILE%\Documents\GitHub\eaglep3\Utilities\DownloadLogsFromS3.py --loco 4052 --day 2017-03-24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</row>
    <row r="149" spans="1:91" s="20" customFormat="1" x14ac:dyDescent="0.25">
      <c r="A149" s="33" t="s">
        <v>666</v>
      </c>
      <c r="B149" s="7">
        <v>4044</v>
      </c>
      <c r="C149" s="21" t="s">
        <v>219</v>
      </c>
      <c r="D149" s="21" t="s">
        <v>983</v>
      </c>
      <c r="E149" s="13">
        <v>42818.290949074071</v>
      </c>
      <c r="F149" s="13">
        <v>42818.306435185186</v>
      </c>
      <c r="G149" s="7">
        <v>1</v>
      </c>
      <c r="H149" s="21" t="s">
        <v>587</v>
      </c>
      <c r="I149" s="13">
        <v>42818.31590277778</v>
      </c>
      <c r="J149" s="7">
        <v>0</v>
      </c>
      <c r="K149" s="98" t="str">
        <f t="shared" si="48"/>
        <v>4043/4044</v>
      </c>
      <c r="L149" s="21" t="str">
        <f>VLOOKUP(A149,'Trips&amp;Operators'!$C$1:$G$99999,5,FALSE)</f>
        <v>SHOOK JOHN</v>
      </c>
      <c r="M149" s="6">
        <f t="shared" si="49"/>
        <v>9.4675925938645378E-3</v>
      </c>
      <c r="N149" s="7">
        <f t="shared" si="46"/>
        <v>13.633333335164934</v>
      </c>
      <c r="O149" s="7"/>
      <c r="P149" s="7"/>
      <c r="Q149" s="22"/>
      <c r="R149" s="22"/>
      <c r="S149" s="31">
        <f t="shared" si="62"/>
        <v>1</v>
      </c>
      <c r="T149" s="46" t="str">
        <f t="shared" si="50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186" t="str">
        <f t="shared" si="51"/>
        <v>https://d0f6bd738d7f1b3e5a7ca70fe4ff75f0.us-east-1.aws.found.io/app/kibana#/discover/Steve-Slow-Train-Analysis-(2080s-and-2083s)?_g=(refreshInterval:(display:Off,pause:!f,section:0,value:0),time:(from:'2017-03-24T05:58:58-0600',mode:absolute,to:'2017-03-24T08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87" t="str">
        <f t="shared" si="52"/>
        <v>N</v>
      </c>
      <c r="X149" s="187">
        <f t="shared" si="43"/>
        <v>1</v>
      </c>
      <c r="Y149" s="62">
        <f t="shared" si="47"/>
        <v>0.1023</v>
      </c>
      <c r="Z149" s="62">
        <f t="shared" si="53"/>
        <v>5.8987999999999996</v>
      </c>
      <c r="AA149" s="62">
        <f t="shared" si="54"/>
        <v>5.7965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5"/>
        <v>0807-24</v>
      </c>
      <c r="AE149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49" s="82" t="str">
        <f t="shared" si="57"/>
        <v>"C:\Program Files (x86)\AstroGrep\AstroGrep.exe" /e /r /s /spath="%USERPROFILE%\AppData\Local\Temp\OnboardLogs" /stypes="app*4044*20170324*" /stext=" 13:.+((SYSTEM_STATE.+slice.+state.+changed )|(ment ac)|(multiple cpu faults)|(system.+state.+changed )|(\[timeout)|(PRM\|1\|D)|(kpr)|(kdp)|(\|lc)|(penalty))"</v>
      </c>
      <c r="AG149" s="1" t="str">
        <f t="shared" si="58"/>
        <v>NW</v>
      </c>
      <c r="AH149" s="86" t="str">
        <f t="shared" si="59"/>
        <v>"%USERPROFILE%\Documents\GitHub\eaglep3\Utilities\RefineRTDCRunTimes.py" --tripid 807-24 --locoid 4044 --swversion DE.1.0.9.0 --startMP 204:1023 --initTime 2017-03-24T06:58:58 --startdatetime 2017-03-24T07:21:16 --delay 1 --endMP 300:58988 --enddatetime 2017-03-24T07:34:54 --enforcementcount 0 &gt;&gt;C:\Users\stu\Documents\GitHub\eaglep3-reporting\EC\2017-03-24-refined-times.txt</v>
      </c>
      <c r="AI14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ID","value":"807-24"},{"id":16,"name":"Locomotive ID","value":"4044"},{"id":130,"name":"Impact","value":""},{"id":150,"name":"Time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1"/>
        <v>start /low /b %USERPROFILE%\Documents\GitHub\eaglep3\Utilities\DownloadLogsFromS3.py --loco 4044 --day 2017-03-24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675</v>
      </c>
      <c r="B150" s="7">
        <v>4043</v>
      </c>
      <c r="C150" s="21" t="s">
        <v>219</v>
      </c>
      <c r="D150" s="21" t="s">
        <v>978</v>
      </c>
      <c r="E150" s="13">
        <v>42818.317789351851</v>
      </c>
      <c r="F150" s="13">
        <v>42818.32</v>
      </c>
      <c r="G150" s="7">
        <v>1</v>
      </c>
      <c r="H150" s="21" t="s">
        <v>984</v>
      </c>
      <c r="I150" s="13">
        <v>42818.329976851855</v>
      </c>
      <c r="J150" s="7">
        <v>0</v>
      </c>
      <c r="K150" s="98" t="str">
        <f t="shared" si="48"/>
        <v>4043/4044</v>
      </c>
      <c r="L150" s="21" t="str">
        <f>VLOOKUP(A150,'Trips&amp;Operators'!$C$1:$G$99999,5,FALSE)</f>
        <v>SHOOK JOHN</v>
      </c>
      <c r="M150" s="6">
        <f t="shared" si="49"/>
        <v>9.976851855753921E-3</v>
      </c>
      <c r="N150" s="7">
        <f t="shared" si="46"/>
        <v>14.366666672285646</v>
      </c>
      <c r="O150" s="7"/>
      <c r="P150" s="7"/>
      <c r="Q150" s="22"/>
      <c r="R150" s="22"/>
      <c r="S150" s="31">
        <f t="shared" si="62"/>
        <v>1</v>
      </c>
      <c r="T150" s="46" t="str">
        <f t="shared" si="50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186" t="str">
        <f t="shared" si="51"/>
        <v>https://d0f6bd738d7f1b3e5a7ca70fe4ff75f0.us-east-1.aws.found.io/app/kibana#/discover/Steve-Slow-Train-Analysis-(2080s-and-2083s)?_g=(refreshInterval:(display:Off,pause:!f,section:0,value:0),time:(from:'2017-03-24T06:37:37-0600',mode:absolute,to:'2017-03-24T08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87" t="str">
        <f t="shared" si="52"/>
        <v>N</v>
      </c>
      <c r="X150" s="187">
        <f t="shared" si="43"/>
        <v>1</v>
      </c>
      <c r="Y150" s="62">
        <f t="shared" si="47"/>
        <v>5.8681000000000001</v>
      </c>
      <c r="Z150" s="62">
        <f t="shared" si="53"/>
        <v>7.0499999999999993E-2</v>
      </c>
      <c r="AA150" s="62">
        <f t="shared" si="54"/>
        <v>5.7976000000000001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5"/>
        <v>0808-24</v>
      </c>
      <c r="AE150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0" s="82" t="str">
        <f t="shared" si="57"/>
        <v>"C:\Program Files (x86)\AstroGrep\AstroGrep.exe" /e /r /s /spath="%USERPROFILE%\AppData\Local\Temp\OnboardLogs" /stypes="app*4043*20170324*" /stext=" 13:.+((SYSTEM_STATE.+slice.+state.+changed )|(ment ac)|(multiple cpu faults)|(system.+state.+changed )|(\[timeout)|(PRM\|1\|D)|(kpr)|(kdp)|(\|lc)|(penalty))"</v>
      </c>
      <c r="AG150" s="1" t="str">
        <f t="shared" si="58"/>
        <v>NW</v>
      </c>
      <c r="AH150" s="86" t="str">
        <f t="shared" si="59"/>
        <v>"%USERPROFILE%\Documents\GitHub\eaglep3\Utilities\RefineRTDCRunTimes.py" --tripid 808-24 --locoid 4043 --swversion DE.1.0.9.0 --startMP 300:58681 --initTime 2017-03-24T07:37:37 --startdatetime 2017-03-24T07:40:48 --delay 1 --endMP 204:705 --enddatetime 2017-03-24T07:55:10 --enforcementcount 0 &gt;&gt;C:\Users\stu\Documents\GitHub\eaglep3-reporting\EC\2017-03-24-refined-times.txt</v>
      </c>
      <c r="AI15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{"issue":{"subject":"","project_id":79,"tracker_id":40,"status_id":1,"priority_id":2,"assigned_to_id":23,"start_date":"2017-03-24","description":"","custom_fields":[{"id":1,"name":"Subdivision","value":"NW"},{"id":4,"name":"Milepost","value":"0.0705"},{"id":17,"name":"Train ID","value":"808-24"},{"id":16,"name":"Locomotive ID","value":"4043"},{"id":130,"name":"Impact","value":""},{"id":150,"name":"Time of Event (Mountain Time)","value":"07:55:10"},{"id":151,"name":"Denver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1"/>
        <v>start /low /b %USERPROFILE%\Documents\GitHub\eaglep3\Utilities\DownloadLogsFromS3.py --loco 4043 --day 2017-03-24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674</v>
      </c>
      <c r="B151" s="7">
        <v>4051</v>
      </c>
      <c r="C151" s="21" t="s">
        <v>219</v>
      </c>
      <c r="D151" s="21" t="s">
        <v>966</v>
      </c>
      <c r="E151" s="13">
        <v>42818.310694444444</v>
      </c>
      <c r="F151" s="13">
        <v>42818.327256944445</v>
      </c>
      <c r="G151" s="7">
        <v>1</v>
      </c>
      <c r="H151" s="21" t="s">
        <v>587</v>
      </c>
      <c r="I151" s="13">
        <v>42818.335821759261</v>
      </c>
      <c r="J151" s="7">
        <v>0</v>
      </c>
      <c r="K151" s="98" t="str">
        <f t="shared" si="48"/>
        <v>4051/4052</v>
      </c>
      <c r="L151" s="21" t="str">
        <f>VLOOKUP(A151,'Trips&amp;Operators'!$C$1:$G$99999,5,FALSE)</f>
        <v>GEBRETEKLE DAGNEW</v>
      </c>
      <c r="M151" s="6">
        <f t="shared" si="49"/>
        <v>8.5648148160544224E-3</v>
      </c>
      <c r="N151" s="7">
        <f t="shared" si="46"/>
        <v>12.333333335118368</v>
      </c>
      <c r="O151" s="7"/>
      <c r="P151" s="7"/>
      <c r="Q151" s="22"/>
      <c r="R151" s="22"/>
      <c r="S151" s="31">
        <f t="shared" si="62"/>
        <v>1</v>
      </c>
      <c r="T151" s="46" t="str">
        <f t="shared" si="50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86" t="str">
        <f t="shared" si="51"/>
        <v>https://d0f6bd738d7f1b3e5a7ca70fe4ff75f0.us-east-1.aws.found.io/app/kibana#/discover/Steve-Slow-Train-Analysis-(2080s-and-2083s)?_g=(refreshInterval:(display:Off,pause:!f,section:0,value:0),time:(from:'2017-03-24T06:27:24-0600',mode:absolute,to:'2017-03-24T09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87" t="str">
        <f t="shared" si="52"/>
        <v>N</v>
      </c>
      <c r="X151" s="187">
        <f t="shared" si="43"/>
        <v>1</v>
      </c>
      <c r="Y151" s="62">
        <f t="shared" si="47"/>
        <v>9.6699999999999994E-2</v>
      </c>
      <c r="Z151" s="62">
        <f t="shared" si="53"/>
        <v>5.8987999999999996</v>
      </c>
      <c r="AA151" s="62">
        <f t="shared" si="54"/>
        <v>5.8020999999999994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5"/>
        <v>0809-24</v>
      </c>
      <c r="AE151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51" s="82" t="str">
        <f t="shared" si="57"/>
        <v>"C:\Program Files (x86)\AstroGrep\AstroGrep.exe" /e /r /s /spath="%USERPROFILE%\AppData\Local\Temp\OnboardLogs" /stypes="app*4051*20170324*" /stext=" 14:.+((SYSTEM_STATE.+slice.+state.+changed )|(ment ac)|(multiple cpu faults)|(system.+state.+changed )|(\[timeout)|(PRM\|1\|D)|(kpr)|(kdp)|(\|lc)|(penalty))"</v>
      </c>
      <c r="AG151" s="1" t="str">
        <f t="shared" si="58"/>
        <v>NW</v>
      </c>
      <c r="AH151" s="86" t="str">
        <f t="shared" si="59"/>
        <v>"%USERPROFILE%\Documents\GitHub\eaglep3\Utilities\RefineRTDCRunTimes.py" --tripid 809-24 --locoid 4051 --swversion DE.1.0.9.0 --startMP 204:967 --initTime 2017-03-24T07:27:24 --startdatetime 2017-03-24T07:51:15 --delay 1 --endMP 300:58988 --enddatetime 2017-03-24T08:03:35 --enforcementcount 0 &gt;&gt;C:\Users\stu\Documents\GitHub\eaglep3-reporting\EC\2017-03-24-refined-times.txt</v>
      </c>
      <c r="AI15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ID","value":"809-24"},{"id":16,"name":"Locomotive ID","value":"4051"},{"id":130,"name":"Impact","value":""},{"id":150,"name":"Time of Event (Mountain Time)","value":"08:03:35"},{"id":151,"name":"Denver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1"/>
        <v>start /low /b %USERPROFILE%\Documents\GitHub\eaglep3\Utilities\DownloadLogsFromS3.py --loco 4051 --day 2017-03-24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678</v>
      </c>
      <c r="B152" s="7">
        <v>4052</v>
      </c>
      <c r="C152" s="21" t="s">
        <v>219</v>
      </c>
      <c r="D152" s="21" t="s">
        <v>996</v>
      </c>
      <c r="E152" s="13">
        <v>42818.337025462963</v>
      </c>
      <c r="F152" s="13">
        <v>42818.338888888888</v>
      </c>
      <c r="G152" s="7">
        <v>1</v>
      </c>
      <c r="H152" s="21" t="s">
        <v>997</v>
      </c>
      <c r="I152" s="13">
        <v>42818.350358796299</v>
      </c>
      <c r="J152" s="7">
        <v>0</v>
      </c>
      <c r="K152" s="98" t="str">
        <f t="shared" si="48"/>
        <v>4051/4052</v>
      </c>
      <c r="L152" s="21" t="str">
        <f>VLOOKUP(A152,'Trips&amp;Operators'!$C$1:$G$99999,5,FALSE)</f>
        <v>GEBRETEKLE DAGNEW</v>
      </c>
      <c r="M152" s="6">
        <f t="shared" si="49"/>
        <v>1.1469907411083113E-2</v>
      </c>
      <c r="N152" s="7">
        <f t="shared" si="46"/>
        <v>16.516666671959683</v>
      </c>
      <c r="O152" s="7"/>
      <c r="P152" s="7"/>
      <c r="Q152" s="22"/>
      <c r="R152" s="22"/>
      <c r="S152" s="31">
        <f t="shared" si="62"/>
        <v>1</v>
      </c>
      <c r="T152" s="46" t="str">
        <f t="shared" si="50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86" t="str">
        <f t="shared" si="51"/>
        <v>https://d0f6bd738d7f1b3e5a7ca70fe4ff75f0.us-east-1.aws.found.io/app/kibana#/discover/Steve-Slow-Train-Analysis-(2080s-and-2083s)?_g=(refreshInterval:(display:Off,pause:!f,section:0,value:0),time:(from:'2017-03-24T07:05:19-0600',mode:absolute,to:'2017-03-24T09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2" s="187" t="str">
        <f t="shared" si="52"/>
        <v>N</v>
      </c>
      <c r="X152" s="187">
        <f t="shared" si="43"/>
        <v>1</v>
      </c>
      <c r="Y152" s="62">
        <f t="shared" si="47"/>
        <v>5.8667999999999996</v>
      </c>
      <c r="Z152" s="62">
        <f t="shared" si="53"/>
        <v>1.5299999999999999E-2</v>
      </c>
      <c r="AA152" s="62">
        <f t="shared" si="54"/>
        <v>5.8514999999999997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5"/>
        <v>0810-24</v>
      </c>
      <c r="AE152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52" s="82" t="str">
        <f t="shared" si="57"/>
        <v>"C:\Program Files (x86)\AstroGrep\AstroGrep.exe" /e /r /s /spath="%USERPROFILE%\AppData\Local\Temp\OnboardLogs" /stypes="app*4052*20170324*" /stext=" 14:.+((SYSTEM_STATE.+slice.+state.+changed )|(ment ac)|(multiple cpu faults)|(system.+state.+changed )|(\[timeout)|(PRM\|1\|D)|(kpr)|(kdp)|(\|lc)|(penalty))"</v>
      </c>
      <c r="AG152" s="1" t="str">
        <f t="shared" si="58"/>
        <v>NW</v>
      </c>
      <c r="AH152" s="86" t="str">
        <f t="shared" si="59"/>
        <v>"%USERPROFILE%\Documents\GitHub\eaglep3\Utilities\RefineRTDCRunTimes.py" --tripid 810-24 --locoid 4052 --swversion DE.1.0.9.0 --startMP 300:58668 --initTime 2017-03-24T08:05:19 --startdatetime 2017-03-24T08:08:00 --delay 1 --endMP 204:153 --enddatetime 2017-03-24T08:24:31 --enforcementcount 0 &gt;&gt;C:\Users\stu\Documents\GitHub\eaglep3-reporting\EC\2017-03-24-refined-times.txt</v>
      </c>
      <c r="AI15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{"issue":{"subject":"","project_id":79,"tracker_id":40,"status_id":1,"priority_id":2,"assigned_to_id":23,"start_date":"2017-03-24","description":"","custom_fields":[{"id":1,"name":"Subdivision","value":"NW"},{"id":4,"name":"Milepost","value":"0.0153"},{"id":17,"name":"Train ID","value":"810-24"},{"id":16,"name":"Locomotive ID","value":"4052"},{"id":130,"name":"Impact","value":""},{"id":150,"name":"Time of Event (Mountain Time)","value":"08:24:31"},{"id":151,"name":"Denver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1"/>
        <v>start /low /b %USERPROFILE%\Documents\GitHub\eaglep3\Utilities\DownloadLogsFromS3.py --loco 4052 --day 2017-03-24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677</v>
      </c>
      <c r="B153" s="7">
        <v>4044</v>
      </c>
      <c r="C153" s="21" t="s">
        <v>219</v>
      </c>
      <c r="D153" s="21" t="s">
        <v>583</v>
      </c>
      <c r="E153" s="13">
        <v>42818.331666666665</v>
      </c>
      <c r="F153" s="13">
        <v>42818.348113425927</v>
      </c>
      <c r="G153" s="7">
        <v>1</v>
      </c>
      <c r="H153" s="21" t="s">
        <v>580</v>
      </c>
      <c r="I153" s="13">
        <v>42818.357812499999</v>
      </c>
      <c r="J153" s="7">
        <v>0</v>
      </c>
      <c r="K153" s="98" t="str">
        <f t="shared" si="48"/>
        <v>4043/4044</v>
      </c>
      <c r="L153" s="21" t="str">
        <f>VLOOKUP(A153,'Trips&amp;Operators'!$C$1:$G$99999,5,FALSE)</f>
        <v>SHOOK JOHN</v>
      </c>
      <c r="M153" s="6">
        <f t="shared" si="49"/>
        <v>9.6990740712499246E-3</v>
      </c>
      <c r="N153" s="7">
        <f t="shared" si="46"/>
        <v>13.966666662599891</v>
      </c>
      <c r="O153" s="7"/>
      <c r="P153" s="7"/>
      <c r="Q153" s="22"/>
      <c r="R153" s="22"/>
      <c r="S153" s="31">
        <f t="shared" si="62"/>
        <v>1</v>
      </c>
      <c r="T153" s="46" t="str">
        <f t="shared" si="50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86" t="str">
        <f t="shared" si="51"/>
        <v>https://d0f6bd738d7f1b3e5a7ca70fe4ff75f0.us-east-1.aws.found.io/app/kibana#/discover/Steve-Slow-Train-Analysis-(2080s-and-2083s)?_g=(refreshInterval:(display:Off,pause:!f,section:0,value:0),time:(from:'2017-03-24T06:57:36-0600',mode:absolute,to:'2017-03-24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87" t="str">
        <f t="shared" si="52"/>
        <v>N</v>
      </c>
      <c r="X153" s="187">
        <f t="shared" ref="X153:X216" si="63">VALUE(LEFT(AD153,4))-VALUE(LEFT(AD152,4))</f>
        <v>1</v>
      </c>
      <c r="Y153" s="62">
        <f t="shared" si="47"/>
        <v>0.1028</v>
      </c>
      <c r="Z153" s="62">
        <f t="shared" si="53"/>
        <v>5.8993000000000002</v>
      </c>
      <c r="AA153" s="62">
        <f t="shared" si="54"/>
        <v>5.7965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5"/>
        <v>0811-24</v>
      </c>
      <c r="AE153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3" s="82" t="str">
        <f t="shared" si="57"/>
        <v>"C:\Program Files (x86)\AstroGrep\AstroGrep.exe" /e /r /s /spath="%USERPROFILE%\AppData\Local\Temp\OnboardLogs" /stypes="app*4044*20170324*" /stext=" 14:.+((SYSTEM_STATE.+slice.+state.+changed )|(ment ac)|(multiple cpu faults)|(system.+state.+changed )|(\[timeout)|(PRM\|1\|D)|(kpr)|(kdp)|(\|lc)|(penalty))"</v>
      </c>
      <c r="AG153" s="1" t="str">
        <f t="shared" si="58"/>
        <v>NW</v>
      </c>
      <c r="AH153" s="86" t="str">
        <f t="shared" si="59"/>
        <v>"%USERPROFILE%\Documents\GitHub\eaglep3\Utilities\RefineRTDCRunTimes.py" --tripid 811-24 --locoid 4044 --swversion DE.1.0.9.0 --startMP 204:1028 --initTime 2017-03-24T07:57:36 --startdatetime 2017-03-24T08:21:17 --delay 1 --endMP 300:58993 --enddatetime 2017-03-24T08:35:15 --enforcementcount 0 &gt;&gt;C:\Users\stu\Documents\GitHub\eaglep3-reporting\EC\2017-03-24-refined-times.txt</v>
      </c>
      <c r="AI15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{"issue":{"subject":"","project_id":79,"tracker_id":40,"status_id":1,"priority_id":2,"assigned_to_id":23,"start_date":"2017-03-24","description":"","custom_fields":[{"id":1,"name":"Subdivision","value":"NW"},{"id":4,"name":"Milepost","value":"5.8993"},{"id":17,"name":"Train ID","value":"811-24"},{"id":16,"name":"Locomotive ID","value":"4044"},{"id":130,"name":"Impact","value":""},{"id":150,"name":"Time of Event (Mountain Time)","value":"08:35:15"},{"id":151,"name":"Denver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1"/>
        <v>start /low /b %USERPROFILE%\Documents\GitHub\eaglep3\Utilities\DownloadLogsFromS3.py --loco 4044 --day 2017-03-24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683</v>
      </c>
      <c r="B154" s="7">
        <v>4043</v>
      </c>
      <c r="C154" s="21" t="s">
        <v>219</v>
      </c>
      <c r="D154" s="21" t="s">
        <v>998</v>
      </c>
      <c r="E154" s="13">
        <v>42818.359895833331</v>
      </c>
      <c r="F154" s="13">
        <v>42818.361655092594</v>
      </c>
      <c r="G154" s="7">
        <v>1</v>
      </c>
      <c r="H154" s="21" t="s">
        <v>999</v>
      </c>
      <c r="I154" s="13">
        <v>42818.371608796297</v>
      </c>
      <c r="J154" s="7">
        <v>0</v>
      </c>
      <c r="K154" s="98" t="str">
        <f t="shared" si="48"/>
        <v>4043/4044</v>
      </c>
      <c r="L154" s="21" t="str">
        <f>VLOOKUP(A154,'Trips&amp;Operators'!$C$1:$G$99999,5,FALSE)</f>
        <v>SHOOK JOHN</v>
      </c>
      <c r="M154" s="6">
        <f t="shared" si="49"/>
        <v>9.9537037021946162E-3</v>
      </c>
      <c r="N154" s="7">
        <f t="shared" si="46"/>
        <v>14.333333331160247</v>
      </c>
      <c r="O154" s="7"/>
      <c r="P154" s="7"/>
      <c r="Q154" s="22"/>
      <c r="R154" s="22"/>
      <c r="S154" s="31">
        <f t="shared" si="62"/>
        <v>1</v>
      </c>
      <c r="T154" s="46" t="str">
        <f t="shared" si="50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86" t="str">
        <f t="shared" si="51"/>
        <v>https://d0f6bd738d7f1b3e5a7ca70fe4ff75f0.us-east-1.aws.found.io/app/kibana#/discover/Steve-Slow-Train-Analysis-(2080s-and-2083s)?_g=(refreshInterval:(display:Off,pause:!f,section:0,value:0),time:(from:'2017-03-24T07:38:15-0600',mode:absolute,to:'2017-03-24T09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87" t="str">
        <f t="shared" si="52"/>
        <v>N</v>
      </c>
      <c r="X154" s="187">
        <f t="shared" si="63"/>
        <v>1</v>
      </c>
      <c r="Y154" s="62">
        <f t="shared" si="47"/>
        <v>5.8685</v>
      </c>
      <c r="Z154" s="62">
        <f t="shared" si="53"/>
        <v>7.3300000000000004E-2</v>
      </c>
      <c r="AA154" s="62">
        <f t="shared" si="54"/>
        <v>5.7952000000000004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5"/>
        <v>0812-24</v>
      </c>
      <c r="AE154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4" s="82" t="str">
        <f t="shared" si="57"/>
        <v>"C:\Program Files (x86)\AstroGrep\AstroGrep.exe" /e /r /s /spath="%USERPROFILE%\AppData\Local\Temp\OnboardLogs" /stypes="app*4043*20170324*" /stext=" 14:.+((SYSTEM_STATE.+slice.+state.+changed )|(ment ac)|(multiple cpu faults)|(system.+state.+changed )|(\[timeout)|(PRM\|1\|D)|(kpr)|(kdp)|(\|lc)|(penalty))"</v>
      </c>
      <c r="AG154" s="1" t="str">
        <f t="shared" si="58"/>
        <v>NW</v>
      </c>
      <c r="AH154" s="86" t="str">
        <f t="shared" si="59"/>
        <v>"%USERPROFILE%\Documents\GitHub\eaglep3\Utilities\RefineRTDCRunTimes.py" --tripid 812-24 --locoid 4043 --swversion DE.1.0.9.0 --startMP 300:58685 --initTime 2017-03-24T08:38:15 --startdatetime 2017-03-24T08:40:47 --delay 1 --endMP 204:733 --enddatetime 2017-03-24T08:55:07 --enforcementcount 0 &gt;&gt;C:\Users\stu\Documents\GitHub\eaglep3-reporting\EC\2017-03-24-refined-times.txt</v>
      </c>
      <c r="AI15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{"issue":{"subject":"","project_id":79,"tracker_id":40,"status_id":1,"priority_id":2,"assigned_to_id":23,"start_date":"2017-03-24","description":"","custom_fields":[{"id":1,"name":"Subdivision","value":"NW"},{"id":4,"name":"Milepost","value":"0.0733"},{"id":17,"name":"Train ID","value":"812-24"},{"id":16,"name":"Locomotive ID","value":"4043"},{"id":130,"name":"Impact","value":""},{"id":150,"name":"Time of Event (Mountain Time)","value":"08:55:07"},{"id":151,"name":"Denver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1"/>
        <v>start /low /b %USERPROFILE%\Documents\GitHub\eaglep3\Utilities\DownloadLogsFromS3.py --loco 4043 --day 2017-03-24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55" spans="1:91" s="20" customFormat="1" x14ac:dyDescent="0.25">
      <c r="A155" s="33" t="s">
        <v>685</v>
      </c>
      <c r="B155" s="7">
        <v>4044</v>
      </c>
      <c r="C155" s="21" t="s">
        <v>219</v>
      </c>
      <c r="D155" s="21" t="s">
        <v>1000</v>
      </c>
      <c r="E155" s="13">
        <v>42818.373229166667</v>
      </c>
      <c r="F155" s="13">
        <v>42818.389780092592</v>
      </c>
      <c r="G155" s="7">
        <v>1</v>
      </c>
      <c r="H155" s="21" t="s">
        <v>578</v>
      </c>
      <c r="I155" s="13">
        <v>42818.399085648147</v>
      </c>
      <c r="J155" s="7">
        <v>0</v>
      </c>
      <c r="K155" s="98" t="str">
        <f t="shared" si="48"/>
        <v>4043/4044</v>
      </c>
      <c r="L155" s="21" t="str">
        <f>VLOOKUP(A155,'Trips&amp;Operators'!$C$1:$G$99999,5,FALSE)</f>
        <v>SHOOK JOHN</v>
      </c>
      <c r="M155" s="6">
        <f t="shared" si="49"/>
        <v>9.3055555553291924E-3</v>
      </c>
      <c r="N155" s="7">
        <f t="shared" si="46"/>
        <v>13.399999999674037</v>
      </c>
      <c r="O155" s="7"/>
      <c r="P155" s="7"/>
      <c r="Q155" s="22"/>
      <c r="R155" s="22"/>
      <c r="S155" s="31">
        <f t="shared" si="62"/>
        <v>1</v>
      </c>
      <c r="T155" s="46" t="str">
        <f t="shared" si="50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6" t="str">
        <f t="shared" si="51"/>
        <v>https://d0f6bd738d7f1b3e5a7ca70fe4ff75f0.us-east-1.aws.found.io/app/kibana#/discover/Steve-Slow-Train-Analysis-(2080s-and-2083s)?_g=(refreshInterval:(display:Off,pause:!f,section:0,value:0),time:(from:'2017-03-24T07:57:27-0600',mode:absolute,to:'2017-03-24T10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87" t="str">
        <f t="shared" si="52"/>
        <v>N</v>
      </c>
      <c r="X155" s="187">
        <f t="shared" si="63"/>
        <v>1</v>
      </c>
      <c r="Y155" s="62">
        <f t="shared" si="47"/>
        <v>0.1027</v>
      </c>
      <c r="Z155" s="62">
        <f t="shared" si="53"/>
        <v>5.8997000000000002</v>
      </c>
      <c r="AA155" s="62">
        <f t="shared" si="54"/>
        <v>5.7970000000000006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5"/>
        <v>0813-24</v>
      </c>
      <c r="AE15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5" s="82" t="str">
        <f t="shared" si="57"/>
        <v>"C:\Program Files (x86)\AstroGrep\AstroGrep.exe" /e /r /s /spath="%USERPROFILE%\AppData\Local\Temp\OnboardLogs" /stypes="app*4044*20170324*" /stext=" 15:.+((SYSTEM_STATE.+slice.+state.+changed )|(ment ac)|(multiple cpu faults)|(system.+state.+changed )|(\[timeout)|(PRM\|1\|D)|(kpr)|(kdp)|(\|lc)|(penalty))"</v>
      </c>
      <c r="AG155" s="1" t="str">
        <f t="shared" si="58"/>
        <v>NW</v>
      </c>
      <c r="AH155" s="86" t="str">
        <f t="shared" si="59"/>
        <v>"%USERPROFILE%\Documents\GitHub\eaglep3\Utilities\RefineRTDCRunTimes.py" --tripid 813-24 --locoid 4044 --swversion DE.1.0.9.0 --startMP 204:1027 --initTime 2017-03-24T08:57:27 --startdatetime 2017-03-24T09:21:17 --delay 1 --endMP 300:58997 --enddatetime 2017-03-24T09:34:41 --enforcementcount 0 &gt;&gt;C:\Users\stu\Documents\GitHub\eaglep3-reporting\EC\2017-03-24-refined-times.txt</v>
      </c>
      <c r="AI15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{"issue":{"subject":"","project_id":79,"tracker_id":40,"status_id":1,"priority_id":2,"assigned_to_id":23,"start_date":"2017-03-24","description":"","custom_fields":[{"id":1,"name":"Subdivision","value":"NW"},{"id":4,"name":"Milepost","value":"5.8997"},{"id":17,"name":"Train ID","value":"813-24"},{"id":16,"name":"Locomotive ID","value":"4044"},{"id":130,"name":"Impact","value":""},{"id":150,"name":"Time of Event (Mountain Time)","value":"09:34:41"},{"id":151,"name":"Denver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1"/>
        <v>start /low /b %USERPROFILE%\Documents\GitHub\eaglep3\Utilities\DownloadLogsFromS3.py --loco 4044 --day 2017-03-24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690</v>
      </c>
      <c r="B156" s="7">
        <v>4043</v>
      </c>
      <c r="C156" s="21" t="s">
        <v>219</v>
      </c>
      <c r="D156" s="21" t="s">
        <v>581</v>
      </c>
      <c r="E156" s="13">
        <v>42818.400567129633</v>
      </c>
      <c r="F156" s="13">
        <v>42818.403298611112</v>
      </c>
      <c r="G156" s="7">
        <v>1</v>
      </c>
      <c r="H156" s="21" t="s">
        <v>1001</v>
      </c>
      <c r="I156" s="13">
        <v>42818.41306712963</v>
      </c>
      <c r="J156" s="7">
        <v>0</v>
      </c>
      <c r="K156" s="98" t="str">
        <f t="shared" si="48"/>
        <v>4043/4044</v>
      </c>
      <c r="L156" s="21" t="str">
        <f>VLOOKUP(A156,'Trips&amp;Operators'!$C$1:$G$99999,5,FALSE)</f>
        <v>SHOOK JOHN</v>
      </c>
      <c r="M156" s="6">
        <f t="shared" si="49"/>
        <v>9.7685185173759237E-3</v>
      </c>
      <c r="N156" s="7">
        <f t="shared" si="46"/>
        <v>14.06666666502133</v>
      </c>
      <c r="O156" s="7"/>
      <c r="P156" s="7"/>
      <c r="Q156" s="22"/>
      <c r="R156" s="22"/>
      <c r="S156" s="31">
        <f t="shared" si="62"/>
        <v>1</v>
      </c>
      <c r="T156" s="46" t="str">
        <f t="shared" si="50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6" t="str">
        <f t="shared" si="51"/>
        <v>https://d0f6bd738d7f1b3e5a7ca70fe4ff75f0.us-east-1.aws.found.io/app/kibana#/discover/Steve-Slow-Train-Analysis-(2080s-and-2083s)?_g=(refreshInterval:(display:Off,pause:!f,section:0,value:0),time:(from:'2017-03-24T08:36:49-0600',mode:absolute,to:'2017-03-24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87" t="str">
        <f t="shared" si="52"/>
        <v>N</v>
      </c>
      <c r="X156" s="187">
        <f t="shared" si="63"/>
        <v>1</v>
      </c>
      <c r="Y156" s="62">
        <f t="shared" si="47"/>
        <v>5.8674999999999997</v>
      </c>
      <c r="Z156" s="62">
        <f t="shared" si="53"/>
        <v>7.5399999999999995E-2</v>
      </c>
      <c r="AA156" s="62">
        <f t="shared" si="54"/>
        <v>5.7920999999999996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5"/>
        <v>0814-24</v>
      </c>
      <c r="AE15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6" s="82" t="str">
        <f t="shared" si="57"/>
        <v>"C:\Program Files (x86)\AstroGrep\AstroGrep.exe" /e /r /s /spath="%USERPROFILE%\AppData\Local\Temp\OnboardLogs" /stypes="app*4043*20170324*" /stext=" 15:.+((SYSTEM_STATE.+slice.+state.+changed )|(ment ac)|(multiple cpu faults)|(system.+state.+changed )|(\[timeout)|(PRM\|1\|D)|(kpr)|(kdp)|(\|lc)|(penalty))"</v>
      </c>
      <c r="AG156" s="1" t="str">
        <f t="shared" si="58"/>
        <v>NW</v>
      </c>
      <c r="AH156" s="86" t="str">
        <f t="shared" si="59"/>
        <v>"%USERPROFILE%\Documents\GitHub\eaglep3\Utilities\RefineRTDCRunTimes.py" --tripid 814-24 --locoid 4043 --swversion DE.1.0.9.0 --startMP 300:58675 --initTime 2017-03-24T09:36:49 --startdatetime 2017-03-24T09:40:45 --delay 1 --endMP 204:754 --enddatetime 2017-03-24T09:54:49 --enforcementcount 0 &gt;&gt;C:\Users\stu\Documents\GitHub\eaglep3-reporting\EC\2017-03-24-refined-times.txt</v>
      </c>
      <c r="AI15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{"issue":{"subject":"","project_id":79,"tracker_id":40,"status_id":1,"priority_id":2,"assigned_to_id":23,"start_date":"2017-03-24","description":"","custom_fields":[{"id":1,"name":"Subdivision","value":"NW"},{"id":4,"name":"Milepost","value":"0.0754"},{"id":17,"name":"Train ID","value":"814-24"},{"id":16,"name":"Locomotive ID","value":"4043"},{"id":130,"name":"Impact","value":""},{"id":150,"name":"Time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1"/>
        <v>start /low /b %USERPROFILE%\Documents\GitHub\eaglep3\Utilities\DownloadLogsFromS3.py --loco 4043 --day 2017-03-24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692</v>
      </c>
      <c r="B157" s="7">
        <v>4044</v>
      </c>
      <c r="C157" s="21" t="s">
        <v>219</v>
      </c>
      <c r="D157" s="21" t="s">
        <v>983</v>
      </c>
      <c r="E157" s="13">
        <v>42818.414768518516</v>
      </c>
      <c r="F157" s="13">
        <v>42818.431435185186</v>
      </c>
      <c r="G157" s="7">
        <v>1</v>
      </c>
      <c r="H157" s="21" t="s">
        <v>580</v>
      </c>
      <c r="I157" s="13">
        <v>42818.440694444442</v>
      </c>
      <c r="J157" s="7">
        <v>0</v>
      </c>
      <c r="K157" s="98" t="str">
        <f t="shared" si="48"/>
        <v>4043/4044</v>
      </c>
      <c r="L157" s="21" t="str">
        <f>VLOOKUP(A157,'Trips&amp;Operators'!$C$1:$G$99999,5,FALSE)</f>
        <v>SHOOK JOHN</v>
      </c>
      <c r="M157" s="6">
        <f t="shared" si="49"/>
        <v>9.2592592554865405E-3</v>
      </c>
      <c r="N157" s="7">
        <f t="shared" si="46"/>
        <v>13.333333327900618</v>
      </c>
      <c r="O157" s="7"/>
      <c r="P157" s="7"/>
      <c r="Q157" s="22"/>
      <c r="R157" s="22"/>
      <c r="S157" s="31">
        <f t="shared" si="62"/>
        <v>1</v>
      </c>
      <c r="T157" s="46" t="str">
        <f t="shared" si="50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51"/>
        <v>https://d0f6bd738d7f1b3e5a7ca70fe4ff75f0.us-east-1.aws.found.io/app/kibana#/discover/Steve-Slow-Train-Analysis-(2080s-and-2083s)?_g=(refreshInterval:(display:Off,pause:!f,section:0,value:0),time:(from:'2017-03-24T08:57:16-0600',mode:absolute,to:'2017-03-24T11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7" s="187" t="str">
        <f t="shared" si="52"/>
        <v>N</v>
      </c>
      <c r="X157" s="187">
        <f t="shared" si="63"/>
        <v>1</v>
      </c>
      <c r="Y157" s="62">
        <f t="shared" si="47"/>
        <v>0.1023</v>
      </c>
      <c r="Z157" s="62">
        <f t="shared" si="53"/>
        <v>5.8993000000000002</v>
      </c>
      <c r="AA157" s="62">
        <f t="shared" si="54"/>
        <v>5.7970000000000006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5"/>
        <v>0815-24</v>
      </c>
      <c r="AE157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7" s="82" t="str">
        <f t="shared" si="57"/>
        <v>"C:\Program Files (x86)\AstroGrep\AstroGrep.exe" /e /r /s /spath="%USERPROFILE%\AppData\Local\Temp\OnboardLogs" /stypes="app*4044*20170324*" /stext=" 16:.+((SYSTEM_STATE.+slice.+state.+changed )|(ment ac)|(multiple cpu faults)|(system.+state.+changed )|(\[timeout)|(PRM\|1\|D)|(kpr)|(kdp)|(\|lc)|(penalty))"</v>
      </c>
      <c r="AG157" s="1" t="str">
        <f t="shared" si="58"/>
        <v>NW</v>
      </c>
      <c r="AH157" s="86" t="str">
        <f t="shared" si="59"/>
        <v>"%USERPROFILE%\Documents\GitHub\eaglep3\Utilities\RefineRTDCRunTimes.py" --tripid 815-24 --locoid 4044 --swversion DE.1.0.9.0 --startMP 204:1023 --initTime 2017-03-24T09:57:16 --startdatetime 2017-03-24T10:21:16 --delay 1 --endMP 300:58993 --enddatetime 2017-03-24T10:34:36 --enforcementcount 0 &gt;&gt;C:\Users\stu\Documents\GitHub\eaglep3-reporting\EC\2017-03-24-refined-times.txt</v>
      </c>
      <c r="AI15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{"issue":{"subject":"","project_id":79,"tracker_id":40,"status_id":1,"priority_id":2,"assigned_to_id":23,"start_date":"2017-03-24","description":"","custom_fields":[{"id":1,"name":"Subdivision","value":"NW"},{"id":4,"name":"Milepost","value":"5.8993"},{"id":17,"name":"Train ID","value":"815-24"},{"id":16,"name":"Locomotive ID","value":"4044"},{"id":130,"name":"Impact","value":""},{"id":150,"name":"Time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1"/>
        <v>start /low /b %USERPROFILE%\Documents\GitHub\eaglep3\Utilities\DownloadLogsFromS3.py --loco 4044 --day 2017-03-24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609</v>
      </c>
      <c r="B158" s="7">
        <v>4043</v>
      </c>
      <c r="C158" s="21" t="s">
        <v>219</v>
      </c>
      <c r="D158" s="21" t="s">
        <v>581</v>
      </c>
      <c r="E158" s="13">
        <v>42818.442129629628</v>
      </c>
      <c r="F158" s="13">
        <v>42818.445011574076</v>
      </c>
      <c r="G158" s="7">
        <v>1</v>
      </c>
      <c r="H158" s="21" t="s">
        <v>1002</v>
      </c>
      <c r="I158" s="13">
        <v>42818.454814814817</v>
      </c>
      <c r="J158" s="7">
        <v>0</v>
      </c>
      <c r="K158" s="98" t="str">
        <f t="shared" si="48"/>
        <v>4043/4044</v>
      </c>
      <c r="L158" s="21" t="str">
        <f>VLOOKUP(A158,'Trips&amp;Operators'!$C$1:$G$99999,5,FALSE)</f>
        <v>SHOOK JOHN</v>
      </c>
      <c r="M158" s="6">
        <f t="shared" si="49"/>
        <v>9.8032407404389232E-3</v>
      </c>
      <c r="N158" s="7">
        <f t="shared" si="46"/>
        <v>14.116666666232049</v>
      </c>
      <c r="O158" s="7"/>
      <c r="P158" s="7"/>
      <c r="Q158" s="22"/>
      <c r="R158" s="22"/>
      <c r="S158" s="31">
        <f t="shared" si="62"/>
        <v>1</v>
      </c>
      <c r="T158" s="46" t="str">
        <f t="shared" si="50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1"/>
        <v>https://d0f6bd738d7f1b3e5a7ca70fe4ff75f0.us-east-1.aws.found.io/app/kibana#/discover/Steve-Slow-Train-Analysis-(2080s-and-2083s)?_g=(refreshInterval:(display:Off,pause:!f,section:0,value:0),time:(from:'2017-03-24T09:36:40-0600',mode:absolute,to:'2017-03-24T11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8" s="187" t="str">
        <f t="shared" si="52"/>
        <v>N</v>
      </c>
      <c r="X158" s="187">
        <f t="shared" si="63"/>
        <v>1</v>
      </c>
      <c r="Y158" s="62">
        <f t="shared" si="47"/>
        <v>5.8674999999999997</v>
      </c>
      <c r="Z158" s="62">
        <f t="shared" si="53"/>
        <v>7.5899999999999995E-2</v>
      </c>
      <c r="AA158" s="62">
        <f t="shared" si="54"/>
        <v>5.7915999999999999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5"/>
        <v>0816-24</v>
      </c>
      <c r="AE158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8" s="82" t="str">
        <f t="shared" si="57"/>
        <v>"C:\Program Files (x86)\AstroGrep\AstroGrep.exe" /e /r /s /spath="%USERPROFILE%\AppData\Local\Temp\OnboardLogs" /stypes="app*4043*20170324*" /stext=" 16:.+((SYSTEM_STATE.+slice.+state.+changed )|(ment ac)|(multiple cpu faults)|(system.+state.+changed )|(\[timeout)|(PRM\|1\|D)|(kpr)|(kdp)|(\|lc)|(penalty))"</v>
      </c>
      <c r="AG158" s="1" t="str">
        <f t="shared" si="58"/>
        <v>NW</v>
      </c>
      <c r="AH158" s="86" t="str">
        <f t="shared" si="59"/>
        <v>"%USERPROFILE%\Documents\GitHub\eaglep3\Utilities\RefineRTDCRunTimes.py" --tripid 816-24 --locoid 4043 --swversion DE.1.0.9.0 --startMP 300:58675 --initTime 2017-03-24T10:36:40 --startdatetime 2017-03-24T10:40:49 --delay 1 --endMP 204:759 --enddatetime 2017-03-24T10:54:56 --enforcementcount 0 &gt;&gt;C:\Users\stu\Documents\GitHub\eaglep3-reporting\EC\2017-03-24-refined-times.txt</v>
      </c>
      <c r="AI15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{"issue":{"subject":"","project_id":79,"tracker_id":40,"status_id":1,"priority_id":2,"assigned_to_id":23,"start_date":"2017-03-24","description":"","custom_fields":[{"id":1,"name":"Subdivision","value":"NW"},{"id":4,"name":"Milepost","value":"0.0759"},{"id":17,"name":"Train ID","value":"816-24"},{"id":16,"name":"Locomotive ID","value":"4043"},{"id":130,"name":"Impact","value":""},{"id":150,"name":"Time of Event (Mountain Time)","value":"10:54:56"},{"id":151,"name":"Denver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1"/>
        <v>start /low /b %USERPROFILE%\Documents\GitHub\eaglep3\Utilities\DownloadLogsFromS3.py --loco 4043 --day 2017-03-24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704</v>
      </c>
      <c r="B159" s="7">
        <v>4044</v>
      </c>
      <c r="C159" s="21" t="s">
        <v>219</v>
      </c>
      <c r="D159" s="21" t="s">
        <v>1003</v>
      </c>
      <c r="E159" s="13">
        <v>42818.456238425926</v>
      </c>
      <c r="F159" s="13">
        <v>42818.473090277781</v>
      </c>
      <c r="G159" s="7">
        <v>1</v>
      </c>
      <c r="H159" s="21" t="s">
        <v>584</v>
      </c>
      <c r="I159" s="13">
        <v>42818.482361111113</v>
      </c>
      <c r="J159" s="7">
        <v>0</v>
      </c>
      <c r="K159" s="98" t="str">
        <f t="shared" si="48"/>
        <v>4043/4044</v>
      </c>
      <c r="L159" s="21" t="str">
        <f>VLOOKUP(A159,'Trips&amp;Operators'!$C$1:$G$99999,5,FALSE)</f>
        <v>SHOOK JOHN</v>
      </c>
      <c r="M159" s="6">
        <f t="shared" si="49"/>
        <v>9.2708333322661929E-3</v>
      </c>
      <c r="N159" s="7">
        <f t="shared" ref="N159:N190" si="64">24*60*SUM($M159:$M159)</f>
        <v>13.349999998463318</v>
      </c>
      <c r="O159" s="7"/>
      <c r="P159" s="7"/>
      <c r="Q159" s="22"/>
      <c r="R159" s="22"/>
      <c r="S159" s="31">
        <f t="shared" si="62"/>
        <v>1</v>
      </c>
      <c r="T159" s="46" t="str">
        <f t="shared" si="50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1"/>
        <v>https://d0f6bd738d7f1b3e5a7ca70fe4ff75f0.us-east-1.aws.found.io/app/kibana#/discover/Steve-Slow-Train-Analysis-(2080s-and-2083s)?_g=(refreshInterval:(display:Off,pause:!f,section:0,value:0),time:(from:'2017-03-24T09:56:59-0600',mode:absolute,to:'2017-03-24T12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9" s="187" t="str">
        <f t="shared" si="52"/>
        <v>N</v>
      </c>
      <c r="X159" s="187">
        <f t="shared" si="63"/>
        <v>1</v>
      </c>
      <c r="Y159" s="62">
        <f t="shared" ref="Y159:Y190" si="65">RIGHT(D159,LEN(D159)-4)/10000</f>
        <v>0.10349999999999999</v>
      </c>
      <c r="Z159" s="62">
        <f t="shared" si="53"/>
        <v>5.8992000000000004</v>
      </c>
      <c r="AA159" s="62">
        <f t="shared" si="54"/>
        <v>5.7957000000000001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5"/>
        <v>0817-24</v>
      </c>
      <c r="AE159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9" s="82" t="str">
        <f t="shared" si="57"/>
        <v>"C:\Program Files (x86)\AstroGrep\AstroGrep.exe" /e /r /s /spath="%USERPROFILE%\AppData\Local\Temp\OnboardLogs" /stypes="app*4044*20170324*" /stext=" 17:.+((SYSTEM_STATE.+slice.+state.+changed )|(ment ac)|(multiple cpu faults)|(system.+state.+changed )|(\[timeout)|(PRM\|1\|D)|(kpr)|(kdp)|(\|lc)|(penalty))"</v>
      </c>
      <c r="AG159" s="1" t="str">
        <f t="shared" si="58"/>
        <v>NW</v>
      </c>
      <c r="AH159" s="86" t="str">
        <f t="shared" si="59"/>
        <v>"%USERPROFILE%\Documents\GitHub\eaglep3\Utilities\RefineRTDCRunTimes.py" --tripid 817-24 --locoid 4044 --swversion DE.1.0.9.0 --startMP 204:1035 --initTime 2017-03-24T10:56:59 --startdatetime 2017-03-24T11:21:15 --delay 1 --endMP 300:58992 --enddatetime 2017-03-24T11:34:36 --enforcementcount 0 &gt;&gt;C:\Users\stu\Documents\GitHub\eaglep3-reporting\EC\2017-03-24-refined-times.txt</v>
      </c>
      <c r="AI15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{"issue":{"subject":"","project_id":79,"tracker_id":40,"status_id":1,"priority_id":2,"assigned_to_id":23,"start_date":"2017-03-24","description":"","custom_fields":[{"id":1,"name":"Subdivision","value":"NW"},{"id":4,"name":"Milepost","value":"5.8992"},{"id":17,"name":"Train ID","value":"817-24"},{"id":16,"name":"Locomotive ID","value":"4044"},{"id":130,"name":"Impact","value":""},{"id":150,"name":"Time of Event (Mountain Time)","value":"11:34:36"},{"id":151,"name":"Denver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1"/>
        <v>start /low /b %USERPROFILE%\Documents\GitHub\eaglep3\Utilities\DownloadLogsFromS3.py --loco 4044 --day 2017-03-24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0" spans="1:91" s="20" customFormat="1" x14ac:dyDescent="0.25">
      <c r="A160" s="33" t="s">
        <v>714</v>
      </c>
      <c r="B160" s="7">
        <v>4043</v>
      </c>
      <c r="C160" s="21" t="s">
        <v>219</v>
      </c>
      <c r="D160" s="21" t="s">
        <v>577</v>
      </c>
      <c r="E160" s="13">
        <v>42818.484247685185</v>
      </c>
      <c r="F160" s="13">
        <v>42818.486643518518</v>
      </c>
      <c r="G160" s="7">
        <v>1</v>
      </c>
      <c r="H160" s="21" t="s">
        <v>1004</v>
      </c>
      <c r="I160" s="13">
        <v>42818.496747685182</v>
      </c>
      <c r="J160" s="7">
        <v>0</v>
      </c>
      <c r="K160" s="98" t="str">
        <f t="shared" si="48"/>
        <v>4043/4044</v>
      </c>
      <c r="L160" s="21" t="str">
        <f>VLOOKUP(A160,'Trips&amp;Operators'!$C$1:$G$99999,5,FALSE)</f>
        <v>SHOOK JOHN</v>
      </c>
      <c r="M160" s="6">
        <f t="shared" si="49"/>
        <v>1.0104166663950309E-2</v>
      </c>
      <c r="N160" s="7">
        <f t="shared" si="64"/>
        <v>14.549999996088445</v>
      </c>
      <c r="O160" s="7"/>
      <c r="P160" s="7"/>
      <c r="Q160" s="22"/>
      <c r="R160" s="22"/>
      <c r="S160" s="31">
        <f t="shared" si="62"/>
        <v>1</v>
      </c>
      <c r="T160" s="46" t="str">
        <f t="shared" si="50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1"/>
        <v>https://d0f6bd738d7f1b3e5a7ca70fe4ff75f0.us-east-1.aws.found.io/app/kibana#/discover/Steve-Slow-Train-Analysis-(2080s-and-2083s)?_g=(refreshInterval:(display:Off,pause:!f,section:0,value:0),time:(from:'2017-03-24T10:37:19-0600',mode:absolute,to:'2017-03-24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87" t="str">
        <f t="shared" si="52"/>
        <v>N</v>
      </c>
      <c r="X160" s="187">
        <f t="shared" si="63"/>
        <v>1</v>
      </c>
      <c r="Y160" s="62">
        <f t="shared" si="65"/>
        <v>5.8677000000000001</v>
      </c>
      <c r="Z160" s="62">
        <f t="shared" si="53"/>
        <v>6.7799999999999999E-2</v>
      </c>
      <c r="AA160" s="62">
        <f t="shared" si="54"/>
        <v>5.7999000000000001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5"/>
        <v>0818-24</v>
      </c>
      <c r="AE160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0" s="82" t="str">
        <f t="shared" si="57"/>
        <v>"C:\Program Files (x86)\AstroGrep\AstroGrep.exe" /e /r /s /spath="%USERPROFILE%\AppData\Local\Temp\OnboardLogs" /stypes="app*4043*20170324*" /stext=" 17:.+((SYSTEM_STATE.+slice.+state.+changed )|(ment ac)|(multiple cpu faults)|(system.+state.+changed )|(\[timeout)|(PRM\|1\|D)|(kpr)|(kdp)|(\|lc)|(penalty))"</v>
      </c>
      <c r="AG160" s="1" t="str">
        <f t="shared" si="58"/>
        <v>NW</v>
      </c>
      <c r="AH160" s="86" t="str">
        <f t="shared" si="59"/>
        <v>"%USERPROFILE%\Documents\GitHub\eaglep3\Utilities\RefineRTDCRunTimes.py" --tripid 818-24 --locoid 4043 --swversion DE.1.0.9.0 --startMP 300:58677 --initTime 2017-03-24T11:37:19 --startdatetime 2017-03-24T11:40:46 --delay 1 --endMP 204:678 --enddatetime 2017-03-24T11:55:19 --enforcementcount 0 &gt;&gt;C:\Users\stu\Documents\GitHub\eaglep3-reporting\EC\2017-03-24-refined-times.txt</v>
      </c>
      <c r="AI16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{"issue":{"subject":"","project_id":79,"tracker_id":40,"status_id":1,"priority_id":2,"assigned_to_id":23,"start_date":"2017-03-24","description":"","custom_fields":[{"id":1,"name":"Subdivision","value":"NW"},{"id":4,"name":"Milepost","value":"0.0678"},{"id":17,"name":"Train ID","value":"818-24"},{"id":16,"name":"Locomotive ID","value":"4043"},{"id":130,"name":"Impact","value":""},{"id":150,"name":"Time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1"/>
        <v>start /low /b %USERPROFILE%\Documents\GitHub\eaglep3\Utilities\DownloadLogsFromS3.py --loco 4043 --day 2017-03-24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717</v>
      </c>
      <c r="B161" s="7">
        <v>4044</v>
      </c>
      <c r="C161" s="21" t="s">
        <v>219</v>
      </c>
      <c r="D161" s="21" t="s">
        <v>1005</v>
      </c>
      <c r="E161" s="13">
        <v>42818.499027777776</v>
      </c>
      <c r="F161" s="13">
        <v>42818.514849537038</v>
      </c>
      <c r="G161" s="7">
        <v>1</v>
      </c>
      <c r="H161" s="21" t="s">
        <v>1006</v>
      </c>
      <c r="I161" s="13">
        <v>42818.524293981478</v>
      </c>
      <c r="J161" s="7">
        <v>0</v>
      </c>
      <c r="K161" s="98" t="str">
        <f t="shared" si="48"/>
        <v>4043/4044</v>
      </c>
      <c r="L161" s="21" t="str">
        <f>VLOOKUP(A161,'Trips&amp;Operators'!$C$1:$G$99999,5,FALSE)</f>
        <v>SHOOK JOHN</v>
      </c>
      <c r="M161" s="6">
        <f t="shared" si="49"/>
        <v>9.444444440305233E-3</v>
      </c>
      <c r="N161" s="7">
        <f t="shared" si="64"/>
        <v>13.599999994039536</v>
      </c>
      <c r="O161" s="7"/>
      <c r="P161" s="7"/>
      <c r="Q161" s="22"/>
      <c r="R161" s="22"/>
      <c r="S161" s="31">
        <f t="shared" si="62"/>
        <v>1</v>
      </c>
      <c r="T161" s="46" t="str">
        <f t="shared" si="50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1"/>
        <v>https://d0f6bd738d7f1b3e5a7ca70fe4ff75f0.us-east-1.aws.found.io/app/kibana#/discover/Steve-Slow-Train-Analysis-(2080s-and-2083s)?_g=(refreshInterval:(display:Off,pause:!f,section:0,value:0),time:(from:'2017-03-24T10:58:36-0600',mode:absolute,to:'2017-03-24T13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187" t="str">
        <f t="shared" si="52"/>
        <v>N</v>
      </c>
      <c r="X161" s="187">
        <f t="shared" si="63"/>
        <v>1</v>
      </c>
      <c r="Y161" s="62">
        <f t="shared" si="65"/>
        <v>9.8599999999999993E-2</v>
      </c>
      <c r="Z161" s="62">
        <f t="shared" si="53"/>
        <v>5.899</v>
      </c>
      <c r="AA161" s="62">
        <f t="shared" si="54"/>
        <v>5.8003999999999998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5"/>
        <v>0819-24</v>
      </c>
      <c r="AE161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1" s="82" t="str">
        <f t="shared" si="57"/>
        <v>"C:\Program Files (x86)\AstroGrep\AstroGrep.exe" /e /r /s /spath="%USERPROFILE%\AppData\Local\Temp\OnboardLogs" /stypes="app*4044*20170324*" /stext=" 18:.+((SYSTEM_STATE.+slice.+state.+changed )|(ment ac)|(multiple cpu faults)|(system.+state.+changed )|(\[timeout)|(PRM\|1\|D)|(kpr)|(kdp)|(\|lc)|(penalty))"</v>
      </c>
      <c r="AG161" s="1" t="str">
        <f t="shared" si="58"/>
        <v>NW</v>
      </c>
      <c r="AH161" s="86" t="str">
        <f t="shared" si="59"/>
        <v>"%USERPROFILE%\Documents\GitHub\eaglep3\Utilities\RefineRTDCRunTimes.py" --tripid 819-24 --locoid 4044 --swversion DE.1.0.9.0 --startMP 204:986 --initTime 2017-03-24T11:58:36 --startdatetime 2017-03-24T12:21:23 --delay 1 --endMP 300:58990 --enddatetime 2017-03-24T12:34:59 --enforcementcount 0 &gt;&gt;C:\Users\stu\Documents\GitHub\eaglep3-reporting\EC\2017-03-24-refined-times.txt</v>
      </c>
      <c r="AI16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{"issue":{"subject":"","project_id":79,"tracker_id":40,"status_id":1,"priority_id":2,"assigned_to_id":23,"start_date":"2017-03-24","description":"","custom_fields":[{"id":1,"name":"Subdivision","value":"NW"},{"id":4,"name":"Milepost","value":"5.899"},{"id":17,"name":"Train ID","value":"819-24"},{"id":16,"name":"Locomotive ID","value":"4044"},{"id":130,"name":"Impact","value":""},{"id":150,"name":"Time of Event (Mountain Time)","value":"12:34:59"},{"id":151,"name":"Denver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1"/>
        <v>start /low /b %USERPROFILE%\Documents\GitHub\eaglep3\Utilities\DownloadLogsFromS3.py --loco 4044 --day 2017-03-24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2" spans="1:91" x14ac:dyDescent="0.25">
      <c r="A162" s="33" t="s">
        <v>722</v>
      </c>
      <c r="B162" s="7">
        <v>4043</v>
      </c>
      <c r="C162" s="21" t="s">
        <v>219</v>
      </c>
      <c r="D162" s="21" t="s">
        <v>1008</v>
      </c>
      <c r="E162" s="13">
        <v>42818.525902777779</v>
      </c>
      <c r="F162" s="13">
        <v>42818.528321759259</v>
      </c>
      <c r="G162" s="7">
        <v>1</v>
      </c>
      <c r="H162" s="21" t="s">
        <v>1009</v>
      </c>
      <c r="I162" s="13">
        <v>42818.538252314815</v>
      </c>
      <c r="J162" s="7">
        <v>0</v>
      </c>
      <c r="K162" s="98" t="str">
        <f t="shared" si="48"/>
        <v>4043/4044</v>
      </c>
      <c r="L162" s="21" t="str">
        <f>VLOOKUP(A162,'Trips&amp;Operators'!$C$1:$G$99999,5,FALSE)</f>
        <v>SHOOK JOHN</v>
      </c>
      <c r="M162" s="6">
        <f t="shared" si="49"/>
        <v>9.930555555911269E-3</v>
      </c>
      <c r="N162" s="7">
        <f t="shared" si="64"/>
        <v>14.300000000512227</v>
      </c>
      <c r="O162" s="7"/>
      <c r="P162" s="7"/>
      <c r="Q162" s="22"/>
      <c r="R162" s="22"/>
      <c r="S162" s="31">
        <f t="shared" si="62"/>
        <v>1</v>
      </c>
      <c r="T162" s="46" t="str">
        <f t="shared" si="50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1"/>
        <v>https://d0f6bd738d7f1b3e5a7ca70fe4ff75f0.us-east-1.aws.found.io/app/kibana#/discover/Steve-Slow-Train-Analysis-(2080s-and-2083s)?_g=(refreshInterval:(display:Off,pause:!f,section:0,value:0),time:(from:'2017-03-24T11:37:18-0600',mode:absolute,to:'2017-03-24T13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187" t="str">
        <f t="shared" si="52"/>
        <v>N</v>
      </c>
      <c r="X162" s="187">
        <f t="shared" si="63"/>
        <v>1</v>
      </c>
      <c r="Y162" s="62">
        <f t="shared" si="65"/>
        <v>5.8678999999999997</v>
      </c>
      <c r="Z162" s="62">
        <f t="shared" si="53"/>
        <v>7.0999999999999994E-2</v>
      </c>
      <c r="AA162" s="62">
        <f t="shared" si="54"/>
        <v>5.7968999999999999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5"/>
        <v>0820-24</v>
      </c>
      <c r="AE162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2" s="82" t="str">
        <f t="shared" si="57"/>
        <v>"C:\Program Files (x86)\AstroGrep\AstroGrep.exe" /e /r /s /spath="%USERPROFILE%\AppData\Local\Temp\OnboardLogs" /stypes="app*4043*20170324*" /stext=" 18:.+((SYSTEM_STATE.+slice.+state.+changed )|(ment ac)|(multiple cpu faults)|(system.+state.+changed )|(\[timeout)|(PRM\|1\|D)|(kpr)|(kdp)|(\|lc)|(penalty))"</v>
      </c>
      <c r="AG162" s="1" t="str">
        <f t="shared" si="58"/>
        <v>NW</v>
      </c>
      <c r="AH162" s="86" t="str">
        <f t="shared" si="59"/>
        <v>"%USERPROFILE%\Documents\GitHub\eaglep3\Utilities\RefineRTDCRunTimes.py" --tripid 820-24 --locoid 4043 --swversion DE.1.0.9.0 --startMP 300:58679 --initTime 2017-03-24T12:37:18 --startdatetime 2017-03-24T12:40:47 --delay 1 --endMP 204:710 --enddatetime 2017-03-24T12:55:05 --enforcementcount 0 &gt;&gt;C:\Users\stu\Documents\GitHub\eaglep3-reporting\EC\2017-03-24-refined-times.txt</v>
      </c>
      <c r="AI16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{"issue":{"subject":"","project_id":79,"tracker_id":40,"status_id":1,"priority_id":2,"assigned_to_id":23,"start_date":"2017-03-24","description":"","custom_fields":[{"id":1,"name":"Subdivision","value":"NW"},{"id":4,"name":"Milepost","value":"0.071"},{"id":17,"name":"Train ID","value":"820-24"},{"id":16,"name":"Locomotive ID","value":"4043"},{"id":130,"name":"Impact","value":""},{"id":150,"name":"Time of Event (Mountain Time)","value":"12:55:05"},{"id":151,"name":"Denver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1"/>
        <v>start /low /b %USERPROFILE%\Documents\GitHub\eaglep3\Utilities\DownloadLogsFromS3.py --loco 4043 --day 2017-03-24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63" spans="1:91" x14ac:dyDescent="0.25">
      <c r="A163" s="33" t="s">
        <v>725</v>
      </c>
      <c r="B163" s="7">
        <v>4044</v>
      </c>
      <c r="C163" s="21" t="s">
        <v>219</v>
      </c>
      <c r="D163" s="21" t="s">
        <v>1000</v>
      </c>
      <c r="E163" s="13">
        <v>42818.545486111114</v>
      </c>
      <c r="F163" s="13">
        <v>42818.556527777779</v>
      </c>
      <c r="G163" s="7">
        <v>1</v>
      </c>
      <c r="H163" s="21" t="s">
        <v>591</v>
      </c>
      <c r="I163" s="13">
        <v>42818.566504629627</v>
      </c>
      <c r="J163" s="7">
        <v>0</v>
      </c>
      <c r="K163" s="98" t="str">
        <f t="shared" si="48"/>
        <v>4043/4044</v>
      </c>
      <c r="L163" s="21" t="str">
        <f>VLOOKUP(A163,'Trips&amp;Operators'!$C$1:$G$99999,5,FALSE)</f>
        <v>MENGES BRAD</v>
      </c>
      <c r="M163" s="6">
        <f t="shared" si="49"/>
        <v>9.9768518484779634E-3</v>
      </c>
      <c r="N163" s="7">
        <f t="shared" si="64"/>
        <v>14.366666661808267</v>
      </c>
      <c r="O163" s="7"/>
      <c r="P163" s="7"/>
      <c r="Q163" s="22"/>
      <c r="R163" s="22"/>
      <c r="S163" s="31">
        <f t="shared" si="62"/>
        <v>1</v>
      </c>
      <c r="T163" s="46" t="str">
        <f t="shared" si="50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1"/>
        <v>https://d0f6bd738d7f1b3e5a7ca70fe4ff75f0.us-east-1.aws.found.io/app/kibana#/discover/Steve-Slow-Train-Analysis-(2080s-and-2083s)?_g=(refreshInterval:(display:Off,pause:!f,section:0,value:0),time:(from:'2017-03-24T12:05:30-0600',mode:absolute,to:'2017-03-24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87" t="str">
        <f t="shared" si="52"/>
        <v>N</v>
      </c>
      <c r="X163" s="187">
        <f t="shared" si="63"/>
        <v>1</v>
      </c>
      <c r="Y163" s="62">
        <f t="shared" si="65"/>
        <v>0.1027</v>
      </c>
      <c r="Z163" s="62">
        <f t="shared" si="53"/>
        <v>5.8959999999999999</v>
      </c>
      <c r="AA163" s="62">
        <f t="shared" si="54"/>
        <v>5.7933000000000003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5"/>
        <v>0821-24</v>
      </c>
      <c r="AE163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3" s="82" t="str">
        <f t="shared" si="57"/>
        <v>"C:\Program Files (x86)\AstroGrep\AstroGrep.exe" /e /r /s /spath="%USERPROFILE%\AppData\Local\Temp\OnboardLogs" /stypes="app*4044*20170324*" /stext=" 19:.+((SYSTEM_STATE.+slice.+state.+changed )|(ment ac)|(multiple cpu faults)|(system.+state.+changed )|(\[timeout)|(PRM\|1\|D)|(kpr)|(kdp)|(\|lc)|(penalty))"</v>
      </c>
      <c r="AG163" s="1" t="str">
        <f t="shared" si="58"/>
        <v>NW</v>
      </c>
      <c r="AH163" s="86" t="str">
        <f t="shared" si="59"/>
        <v>"%USERPROFILE%\Documents\GitHub\eaglep3\Utilities\RefineRTDCRunTimes.py" --tripid 821-24 --locoid 4044 --swversion DE.1.0.9.0 --startMP 204:1027 --initTime 2017-03-24T13:05:30 --startdatetime 2017-03-24T13:21:24 --delay 1 --endMP 300:58960 --enddatetime 2017-03-24T13:35:46 --enforcementcount 0 &gt;&gt;C:\Users\stu\Documents\GitHub\eaglep3-reporting\EC\2017-03-24-refined-times.txt</v>
      </c>
      <c r="AI16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{"issue":{"subject":"","project_id":79,"tracker_id":40,"status_id":1,"priority_id":2,"assigned_to_id":23,"start_date":"2017-03-24","description":"","custom_fields":[{"id":1,"name":"Subdivision","value":"NW"},{"id":4,"name":"Milepost","value":"5.896"},{"id":17,"name":"Train ID","value":"821-24"},{"id":16,"name":"Locomotive ID","value":"4044"},{"id":130,"name":"Impact","value":""},{"id":150,"name":"Time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1"/>
        <v>start /low /b %USERPROFILE%\Documents\GitHub\eaglep3\Utilities\DownloadLogsFromS3.py --loco 4044 --day 2017-03-24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4" spans="1:91" x14ac:dyDescent="0.25">
      <c r="A164" s="33" t="s">
        <v>729</v>
      </c>
      <c r="B164" s="7">
        <v>4043</v>
      </c>
      <c r="C164" s="21" t="s">
        <v>219</v>
      </c>
      <c r="D164" s="21" t="s">
        <v>1010</v>
      </c>
      <c r="E164" s="13">
        <v>42818.567685185182</v>
      </c>
      <c r="F164" s="13">
        <v>42818.569641203707</v>
      </c>
      <c r="G164" s="7">
        <v>1</v>
      </c>
      <c r="H164" s="21" t="s">
        <v>1011</v>
      </c>
      <c r="I164" s="13">
        <v>42818.580914351849</v>
      </c>
      <c r="J164" s="7">
        <v>0</v>
      </c>
      <c r="K164" s="98" t="str">
        <f t="shared" si="48"/>
        <v>4043/4044</v>
      </c>
      <c r="L164" s="21" t="str">
        <f>VLOOKUP(A164,'Trips&amp;Operators'!$C$1:$G$99999,5,FALSE)</f>
        <v>MENGES BRAD</v>
      </c>
      <c r="M164" s="6">
        <f t="shared" si="49"/>
        <v>1.1273148142208811E-2</v>
      </c>
      <c r="N164" s="7">
        <f t="shared" si="64"/>
        <v>16.233333324780688</v>
      </c>
      <c r="O164" s="7"/>
      <c r="P164" s="7"/>
      <c r="Q164" s="22"/>
      <c r="R164" s="22"/>
      <c r="S164" s="31">
        <f t="shared" si="62"/>
        <v>1</v>
      </c>
      <c r="T164" s="46" t="str">
        <f t="shared" si="50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1"/>
        <v>https://d0f6bd738d7f1b3e5a7ca70fe4ff75f0.us-east-1.aws.found.io/app/kibana#/discover/Steve-Slow-Train-Analysis-(2080s-and-2083s)?_g=(refreshInterval:(display:Off,pause:!f,section:0,value:0),time:(from:'2017-03-24T12:37:28-0600',mode:absolute,to:'2017-03-24T14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87" t="str">
        <f t="shared" si="52"/>
        <v>N</v>
      </c>
      <c r="X164" s="187">
        <f t="shared" si="63"/>
        <v>1</v>
      </c>
      <c r="Y164" s="62">
        <f t="shared" si="65"/>
        <v>5.8640999999999996</v>
      </c>
      <c r="Z164" s="62">
        <f t="shared" si="53"/>
        <v>6.8199999999999997E-2</v>
      </c>
      <c r="AA164" s="62">
        <f t="shared" si="54"/>
        <v>5.7958999999999996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5"/>
        <v>0822-24</v>
      </c>
      <c r="AE164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4" s="82" t="str">
        <f t="shared" si="57"/>
        <v>"C:\Program Files (x86)\AstroGrep\AstroGrep.exe" /e /r /s /spath="%USERPROFILE%\AppData\Local\Temp\OnboardLogs" /stypes="app*4043*20170324*" /stext=" 19:.+((SYSTEM_STATE.+slice.+state.+changed )|(ment ac)|(multiple cpu faults)|(system.+state.+changed )|(\[timeout)|(PRM\|1\|D)|(kpr)|(kdp)|(\|lc)|(penalty))"</v>
      </c>
      <c r="AG164" s="1" t="str">
        <f t="shared" si="58"/>
        <v>NW</v>
      </c>
      <c r="AH164" s="86" t="str">
        <f t="shared" si="59"/>
        <v>"%USERPROFILE%\Documents\GitHub\eaglep3\Utilities\RefineRTDCRunTimes.py" --tripid 822-24 --locoid 4043 --swversion DE.1.0.9.0 --startMP 300:58641 --initTime 2017-03-24T13:37:28 --startdatetime 2017-03-24T13:40:17 --delay 1 --endMP 204:682 --enddatetime 2017-03-24T13:56:31 --enforcementcount 0 &gt;&gt;C:\Users\stu\Documents\GitHub\eaglep3-reporting\EC\2017-03-24-refined-times.txt</v>
      </c>
      <c r="AI16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{"issue":{"subject":"","project_id":79,"tracker_id":40,"status_id":1,"priority_id":2,"assigned_to_id":23,"start_date":"2017-03-24","description":"","custom_fields":[{"id":1,"name":"Subdivision","value":"NW"},{"id":4,"name":"Milepost","value":"0.0682"},{"id":17,"name":"Train ID","value":"822-24"},{"id":16,"name":"Locomotive ID","value":"4043"},{"id":130,"name":"Impact","value":""},{"id":150,"name":"Time of Event (Mountain Time)","value":"13:56:31"},{"id":151,"name":"Denver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1"/>
        <v>start /low /b %USERPROFILE%\Documents\GitHub\eaglep3\Utilities\DownloadLogsFromS3.py --loco 4043 --day 2017-03-24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65" spans="1:91" x14ac:dyDescent="0.25">
      <c r="A165" s="33" t="s">
        <v>732</v>
      </c>
      <c r="B165" s="7">
        <v>4044</v>
      </c>
      <c r="C165" s="21" t="s">
        <v>219</v>
      </c>
      <c r="D165" s="21" t="s">
        <v>597</v>
      </c>
      <c r="E165" s="13">
        <v>42818.589143518519</v>
      </c>
      <c r="F165" s="13">
        <v>42818.598217592589</v>
      </c>
      <c r="G165" s="7">
        <v>1</v>
      </c>
      <c r="H165" s="21" t="s">
        <v>1012</v>
      </c>
      <c r="I165" s="13">
        <v>42818.608055555553</v>
      </c>
      <c r="J165" s="7">
        <v>0</v>
      </c>
      <c r="K165" s="98" t="str">
        <f t="shared" si="48"/>
        <v>4043/4044</v>
      </c>
      <c r="L165" s="21" t="str">
        <f>VLOOKUP(A165,'Trips&amp;Operators'!$C$1:$G$99999,5,FALSE)</f>
        <v>MENGES BRAD</v>
      </c>
      <c r="M165" s="6">
        <f t="shared" si="49"/>
        <v>9.8379629635019228E-3</v>
      </c>
      <c r="N165" s="7">
        <f t="shared" si="64"/>
        <v>14.166666667442769</v>
      </c>
      <c r="O165" s="7"/>
      <c r="P165" s="7"/>
      <c r="Q165" s="22"/>
      <c r="R165" s="22"/>
      <c r="S165" s="31">
        <f t="shared" si="62"/>
        <v>1</v>
      </c>
      <c r="T165" s="46" t="str">
        <f t="shared" si="50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1"/>
        <v>https://d0f6bd738d7f1b3e5a7ca70fe4ff75f0.us-east-1.aws.found.io/app/kibana#/discover/Steve-Slow-Train-Analysis-(2080s-and-2083s)?_g=(refreshInterval:(display:Off,pause:!f,section:0,value:0),time:(from:'2017-03-24T13:08:22-0600',mode:absolute,to:'2017-03-24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187" t="str">
        <f t="shared" si="52"/>
        <v>N</v>
      </c>
      <c r="X165" s="187">
        <f t="shared" si="63"/>
        <v>1</v>
      </c>
      <c r="Y165" s="62">
        <f t="shared" si="65"/>
        <v>9.8500000000000004E-2</v>
      </c>
      <c r="Z165" s="62">
        <f t="shared" si="53"/>
        <v>5.8936999999999999</v>
      </c>
      <c r="AA165" s="62">
        <f t="shared" si="54"/>
        <v>5.7952000000000004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5"/>
        <v>0823-24</v>
      </c>
      <c r="AE16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5" s="82" t="str">
        <f t="shared" si="57"/>
        <v>"C:\Program Files (x86)\AstroGrep\AstroGrep.exe" /e /r /s /spath="%USERPROFILE%\AppData\Local\Temp\OnboardLogs" /stypes="app*4044*20170324*" /stext=" 20:.+((SYSTEM_STATE.+slice.+state.+changed )|(ment ac)|(multiple cpu faults)|(system.+state.+changed )|(\[timeout)|(PRM\|1\|D)|(kpr)|(kdp)|(\|lc)|(penalty))"</v>
      </c>
      <c r="AG165" s="1" t="str">
        <f t="shared" si="58"/>
        <v>NW</v>
      </c>
      <c r="AH165" s="86" t="str">
        <f t="shared" si="59"/>
        <v>"%USERPROFILE%\Documents\GitHub\eaglep3\Utilities\RefineRTDCRunTimes.py" --tripid 823-24 --locoid 4044 --swversion DE.1.0.9.0 --startMP 204:985 --initTime 2017-03-24T14:08:22 --startdatetime 2017-03-24T14:21:26 --delay 1 --endMP 300:58937 --enddatetime 2017-03-24T14:35:36 --enforcementcount 0 &gt;&gt;C:\Users\stu\Documents\GitHub\eaglep3-reporting\EC\2017-03-24-refined-times.txt</v>
      </c>
      <c r="AI16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{"issue":{"subject":"","project_id":79,"tracker_id":40,"status_id":1,"priority_id":2,"assigned_to_id":23,"start_date":"2017-03-24","description":"","custom_fields":[{"id":1,"name":"Subdivision","value":"NW"},{"id":4,"name":"Milepost","value":"5.8937"},{"id":17,"name":"Train ID","value":"823-24"},{"id":16,"name":"Locomotive ID","value":"4044"},{"id":130,"name":"Impact","value":""},{"id":150,"name":"Time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1"/>
        <v>start /low /b %USERPROFILE%\Documents\GitHub\eaglep3\Utilities\DownloadLogsFromS3.py --loco 4044 --day 2017-03-24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6" spans="1:91" x14ac:dyDescent="0.25">
      <c r="A166" s="33" t="s">
        <v>736</v>
      </c>
      <c r="B166" s="7">
        <v>4043</v>
      </c>
      <c r="C166" s="21" t="s">
        <v>219</v>
      </c>
      <c r="D166" s="21" t="s">
        <v>1013</v>
      </c>
      <c r="E166" s="13">
        <v>42818.609305555554</v>
      </c>
      <c r="F166" s="13">
        <v>42818.610821759263</v>
      </c>
      <c r="G166" s="7">
        <v>1</v>
      </c>
      <c r="H166" s="21" t="s">
        <v>1014</v>
      </c>
      <c r="I166" s="13">
        <v>42818.62232638889</v>
      </c>
      <c r="J166" s="7">
        <v>0</v>
      </c>
      <c r="K166" s="98" t="str">
        <f t="shared" si="48"/>
        <v>4043/4044</v>
      </c>
      <c r="L166" s="21" t="str">
        <f>VLOOKUP(A166,'Trips&amp;Operators'!$C$1:$G$99999,5,FALSE)</f>
        <v>MENGES BRAD</v>
      </c>
      <c r="M166" s="6">
        <f t="shared" si="49"/>
        <v>1.1504629626870155E-2</v>
      </c>
      <c r="N166" s="7">
        <f t="shared" si="64"/>
        <v>16.566666662693024</v>
      </c>
      <c r="O166" s="7"/>
      <c r="P166" s="7"/>
      <c r="Q166" s="22"/>
      <c r="R166" s="22"/>
      <c r="S166" s="31">
        <f t="shared" si="62"/>
        <v>1</v>
      </c>
      <c r="T166" s="46" t="str">
        <f t="shared" si="50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1"/>
        <v>https://d0f6bd738d7f1b3e5a7ca70fe4ff75f0.us-east-1.aws.found.io/app/kibana#/discover/Steve-Slow-Train-Analysis-(2080s-and-2083s)?_g=(refreshInterval:(display:Off,pause:!f,section:0,value:0),time:(from:'2017-03-24T13:37:24-0600',mode:absolute,to:'2017-03-24T15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187" t="str">
        <f t="shared" si="52"/>
        <v>N</v>
      </c>
      <c r="X166" s="187">
        <f t="shared" si="63"/>
        <v>1</v>
      </c>
      <c r="Y166" s="62">
        <f t="shared" si="65"/>
        <v>5.8628</v>
      </c>
      <c r="Z166" s="62">
        <f t="shared" si="53"/>
        <v>6.8400000000000002E-2</v>
      </c>
      <c r="AA166" s="62">
        <f t="shared" si="54"/>
        <v>5.7944000000000004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5"/>
        <v>0824-24</v>
      </c>
      <c r="AE16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6" s="82" t="str">
        <f t="shared" si="57"/>
        <v>"C:\Program Files (x86)\AstroGrep\AstroGrep.exe" /e /r /s /spath="%USERPROFILE%\AppData\Local\Temp\OnboardLogs" /stypes="app*4043*20170324*" /stext=" 20:.+((SYSTEM_STATE.+slice.+state.+changed )|(ment ac)|(multiple cpu faults)|(system.+state.+changed )|(\[timeout)|(PRM\|1\|D)|(kpr)|(kdp)|(\|lc)|(penalty))"</v>
      </c>
      <c r="AG166" s="1" t="str">
        <f t="shared" si="58"/>
        <v>NW</v>
      </c>
      <c r="AH166" s="86" t="str">
        <f t="shared" si="59"/>
        <v>"%USERPROFILE%\Documents\GitHub\eaglep3\Utilities\RefineRTDCRunTimes.py" --tripid 824-24 --locoid 4043 --swversion DE.1.0.9.0 --startMP 300:58628 --initTime 2017-03-24T14:37:24 --startdatetime 2017-03-24T14:39:35 --delay 1 --endMP 204:684 --enddatetime 2017-03-24T14:56:09 --enforcementcount 0 &gt;&gt;C:\Users\stu\Documents\GitHub\eaglep3-reporting\EC\2017-03-24-refined-times.txt</v>
      </c>
      <c r="AI16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{"issue":{"subject":"","project_id":79,"tracker_id":40,"status_id":1,"priority_id":2,"assigned_to_id":23,"start_date":"2017-03-24","description":"","custom_fields":[{"id":1,"name":"Subdivision","value":"NW"},{"id":4,"name":"Milepost","value":"0.0684"},{"id":17,"name":"Train ID","value":"824-24"},{"id":16,"name":"Locomotive ID","value":"4043"},{"id":130,"name":"Impact","value":""},{"id":150,"name":"Time of Event (Mountain Time)","value":"14:56:09"},{"id":151,"name":"Denver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1"/>
        <v>start /low /b %USERPROFILE%\Documents\GitHub\eaglep3\Utilities\DownloadLogsFromS3.py --loco 4043 --day 2017-03-24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67" spans="1:91" x14ac:dyDescent="0.25">
      <c r="A167" s="33" t="s">
        <v>740</v>
      </c>
      <c r="B167" s="7">
        <v>4044</v>
      </c>
      <c r="C167" s="21" t="s">
        <v>219</v>
      </c>
      <c r="D167" s="21" t="s">
        <v>596</v>
      </c>
      <c r="E167" s="13">
        <v>42818.626388888886</v>
      </c>
      <c r="F167" s="13">
        <v>42818.639826388891</v>
      </c>
      <c r="G167" s="7">
        <v>1</v>
      </c>
      <c r="H167" s="21" t="s">
        <v>1012</v>
      </c>
      <c r="I167" s="13">
        <v>42818.649826388886</v>
      </c>
      <c r="J167" s="7">
        <v>0</v>
      </c>
      <c r="K167" s="98" t="str">
        <f t="shared" si="48"/>
        <v>4043/4044</v>
      </c>
      <c r="L167" s="21" t="str">
        <f>VLOOKUP(A167,'Trips&amp;Operators'!$C$1:$G$99999,5,FALSE)</f>
        <v>MENGES BRAD</v>
      </c>
      <c r="M167" s="6">
        <f t="shared" si="49"/>
        <v>9.9999999947613105E-3</v>
      </c>
      <c r="N167" s="7">
        <f t="shared" si="64"/>
        <v>14.399999992456287</v>
      </c>
      <c r="O167" s="7"/>
      <c r="P167" s="7"/>
      <c r="Q167" s="22"/>
      <c r="R167" s="22"/>
      <c r="S167" s="31">
        <f t="shared" si="62"/>
        <v>1</v>
      </c>
      <c r="T167" s="46" t="str">
        <f t="shared" si="50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1"/>
        <v>https://d0f6bd738d7f1b3e5a7ca70fe4ff75f0.us-east-1.aws.found.io/app/kibana#/discover/Steve-Slow-Train-Analysis-(2080s-and-2083s)?_g=(refreshInterval:(display:Off,pause:!f,section:0,value:0),time:(from:'2017-03-24T14:02:00-0600',mode:absolute,to:'2017-03-24T16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87" t="str">
        <f t="shared" si="52"/>
        <v>N</v>
      </c>
      <c r="X167" s="187">
        <f t="shared" si="63"/>
        <v>1</v>
      </c>
      <c r="Y167" s="62">
        <f t="shared" si="65"/>
        <v>9.9199999999999997E-2</v>
      </c>
      <c r="Z167" s="62">
        <f t="shared" si="53"/>
        <v>5.8936999999999999</v>
      </c>
      <c r="AA167" s="62">
        <f t="shared" si="54"/>
        <v>5.7945000000000002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5"/>
        <v>0825-24</v>
      </c>
      <c r="AE167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7" s="82" t="str">
        <f t="shared" si="57"/>
        <v>"C:\Program Files (x86)\AstroGrep\AstroGrep.exe" /e /r /s /spath="%USERPROFILE%\AppData\Local\Temp\OnboardLogs" /stypes="app*4044*20170324*" /stext=" 21:.+((SYSTEM_STATE.+slice.+state.+changed )|(ment ac)|(multiple cpu faults)|(system.+state.+changed )|(\[timeout)|(PRM\|1\|D)|(kpr)|(kdp)|(\|lc)|(penalty))"</v>
      </c>
      <c r="AG167" s="1" t="str">
        <f t="shared" si="58"/>
        <v>NW</v>
      </c>
      <c r="AH167" s="86" t="str">
        <f t="shared" si="59"/>
        <v>"%USERPROFILE%\Documents\GitHub\eaglep3\Utilities\RefineRTDCRunTimes.py" --tripid 825-24 --locoid 4044 --swversion DE.1.0.9.0 --startMP 204:992 --initTime 2017-03-24T15:02:00 --startdatetime 2017-03-24T15:21:21 --delay 1 --endMP 300:58937 --enddatetime 2017-03-24T15:35:45 --enforcementcount 0 &gt;&gt;C:\Users\stu\Documents\GitHub\eaglep3-reporting\EC\2017-03-24-refined-times.txt</v>
      </c>
      <c r="AI16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{"issue":{"subject":"","project_id":79,"tracker_id":40,"status_id":1,"priority_id":2,"assigned_to_id":23,"start_date":"2017-03-24","description":"","custom_fields":[{"id":1,"name":"Subdivision","value":"NW"},{"id":4,"name":"Milepost","value":"5.8937"},{"id":17,"name":"Train ID","value":"825-24"},{"id":16,"name":"Locomotive ID","value":"4044"},{"id":130,"name":"Impact","value":""},{"id":150,"name":"Time of Event (Mountain Time)","value":"15:35:45"},{"id":151,"name":"Denver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1"/>
        <v>start /low /b %USERPROFILE%\Documents\GitHub\eaglep3\Utilities\DownloadLogsFromS3.py --loco 4044 --day 2017-03-24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8" spans="1:91" s="20" customFormat="1" x14ac:dyDescent="0.25">
      <c r="A168" s="33" t="s">
        <v>746</v>
      </c>
      <c r="B168" s="7">
        <v>4043</v>
      </c>
      <c r="C168" s="21" t="s">
        <v>219</v>
      </c>
      <c r="D168" s="21" t="s">
        <v>594</v>
      </c>
      <c r="E168" s="13">
        <v>42818.650949074072</v>
      </c>
      <c r="F168" s="13">
        <v>42818.652453703704</v>
      </c>
      <c r="G168" s="7">
        <v>1</v>
      </c>
      <c r="H168" s="21" t="s">
        <v>533</v>
      </c>
      <c r="I168" s="13">
        <v>42818.664351851854</v>
      </c>
      <c r="J168" s="7">
        <v>0</v>
      </c>
      <c r="K168" s="98" t="str">
        <f t="shared" si="48"/>
        <v>4043/4044</v>
      </c>
      <c r="L168" s="21" t="str">
        <f>VLOOKUP(A168,'Trips&amp;Operators'!$C$1:$G$99999,5,FALSE)</f>
        <v>MENGES BRAD</v>
      </c>
      <c r="M168" s="6">
        <f t="shared" si="49"/>
        <v>1.1898148150066845E-2</v>
      </c>
      <c r="N168" s="7">
        <f t="shared" si="64"/>
        <v>17.133333336096257</v>
      </c>
      <c r="O168" s="7"/>
      <c r="P168" s="7"/>
      <c r="Q168" s="22"/>
      <c r="R168" s="22"/>
      <c r="S168" s="31">
        <f t="shared" si="62"/>
        <v>1</v>
      </c>
      <c r="T168" s="46" t="str">
        <f t="shared" si="50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1"/>
        <v>https://d0f6bd738d7f1b3e5a7ca70fe4ff75f0.us-east-1.aws.found.io/app/kibana#/discover/Steve-Slow-Train-Analysis-(2080s-and-2083s)?_g=(refreshInterval:(display:Off,pause:!f,section:0,value:0),time:(from:'2017-03-24T14:37:22-0600',mode:absolute,to:'2017-03-24T16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87" t="str">
        <f t="shared" si="52"/>
        <v>N</v>
      </c>
      <c r="X168" s="187">
        <f t="shared" si="63"/>
        <v>1</v>
      </c>
      <c r="Y168" s="62">
        <f t="shared" si="65"/>
        <v>5.8620999999999999</v>
      </c>
      <c r="Z168" s="62">
        <f t="shared" si="53"/>
        <v>6.9099999999999995E-2</v>
      </c>
      <c r="AA168" s="62">
        <f t="shared" si="54"/>
        <v>5.7930000000000001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5"/>
        <v>0826-24</v>
      </c>
      <c r="AE168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8" s="82" t="str">
        <f t="shared" si="57"/>
        <v>"C:\Program Files (x86)\AstroGrep\AstroGrep.exe" /e /r /s /spath="%USERPROFILE%\AppData\Local\Temp\OnboardLogs" /stypes="app*4043*20170324*" /stext=" 21:.+((SYSTEM_STATE.+slice.+state.+changed )|(ment ac)|(multiple cpu faults)|(system.+state.+changed )|(\[timeout)|(PRM\|1\|D)|(kpr)|(kdp)|(\|lc)|(penalty))"</v>
      </c>
      <c r="AG168" s="1" t="str">
        <f t="shared" si="58"/>
        <v>NW</v>
      </c>
      <c r="AH168" s="86" t="str">
        <f t="shared" si="59"/>
        <v>"%USERPROFILE%\Documents\GitHub\eaglep3\Utilities\RefineRTDCRunTimes.py" --tripid 826-24 --locoid 4043 --swversion DE.1.0.9.0 --startMP 300:58621 --initTime 2017-03-24T15:37:22 --startdatetime 2017-03-24T15:39:32 --delay 1 --endMP 204:691 --enddatetime 2017-03-24T15:56:40 --enforcementcount 0 &gt;&gt;C:\Users\stu\Documents\GitHub\eaglep3-reporting\EC\2017-03-24-refined-times.txt</v>
      </c>
      <c r="AI16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{"issue":{"subject":"","project_id":79,"tracker_id":40,"status_id":1,"priority_id":2,"assigned_to_id":23,"start_date":"2017-03-24","description":"","custom_fields":[{"id":1,"name":"Subdivision","value":"NW"},{"id":4,"name":"Milepost","value":"0.0691"},{"id":17,"name":"Train ID","value":"826-24"},{"id":16,"name":"Locomotive ID","value":"4043"},{"id":130,"name":"Impact","value":""},{"id":150,"name":"Time of Event (Mountain Time)","value":"15:56:40"},{"id":151,"name":"Denver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1"/>
        <v>start /low /b %USERPROFILE%\Documents\GitHub\eaglep3\Utilities\DownloadLogsFromS3.py --loco 4043 --day 2017-03-24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748</v>
      </c>
      <c r="B169" s="7">
        <v>4051</v>
      </c>
      <c r="C169" s="21" t="s">
        <v>219</v>
      </c>
      <c r="D169" s="21" t="s">
        <v>586</v>
      </c>
      <c r="E169" s="13">
        <v>42818.653587962966</v>
      </c>
      <c r="F169" s="13">
        <v>42818.660752314812</v>
      </c>
      <c r="G169" s="7">
        <v>1</v>
      </c>
      <c r="H169" s="21" t="s">
        <v>1015</v>
      </c>
      <c r="I169" s="13">
        <v>42818.67046296296</v>
      </c>
      <c r="J169" s="7">
        <v>0</v>
      </c>
      <c r="K169" s="98" t="str">
        <f t="shared" si="48"/>
        <v>4051/4052</v>
      </c>
      <c r="L169" s="21" t="str">
        <f>VLOOKUP(A169,'Trips&amp;Operators'!$C$1:$G$99999,5,FALSE)</f>
        <v>SMITH MICHAEL</v>
      </c>
      <c r="M169" s="6">
        <f t="shared" si="49"/>
        <v>9.710648148029577E-3</v>
      </c>
      <c r="N169" s="7">
        <f t="shared" si="64"/>
        <v>13.983333333162591</v>
      </c>
      <c r="O169" s="7"/>
      <c r="P169" s="7"/>
      <c r="Q169" s="22"/>
      <c r="R169" s="22"/>
      <c r="S169" s="31">
        <f t="shared" si="62"/>
        <v>1</v>
      </c>
      <c r="T169" s="46" t="str">
        <f t="shared" si="50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1"/>
        <v>https://d0f6bd738d7f1b3e5a7ca70fe4ff75f0.us-east-1.aws.found.io/app/kibana#/discover/Steve-Slow-Train-Analysis-(2080s-and-2083s)?_g=(refreshInterval:(display:Off,pause:!f,section:0,value:0),time:(from:'2017-03-24T14:41:10-0600',mode:absolute,to:'2017-03-24T17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187" t="str">
        <f t="shared" si="52"/>
        <v>N</v>
      </c>
      <c r="X169" s="187">
        <f t="shared" si="63"/>
        <v>1</v>
      </c>
      <c r="Y169" s="62">
        <f t="shared" si="65"/>
        <v>9.74E-2</v>
      </c>
      <c r="Z169" s="62">
        <f t="shared" si="53"/>
        <v>5.8929</v>
      </c>
      <c r="AA169" s="62">
        <f t="shared" si="54"/>
        <v>5.7954999999999997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5"/>
        <v>0827-24</v>
      </c>
      <c r="AE169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69" s="82" t="str">
        <f t="shared" si="57"/>
        <v>"C:\Program Files (x86)\AstroGrep\AstroGrep.exe" /e /r /s /spath="%USERPROFILE%\AppData\Local\Temp\OnboardLogs" /stypes="app*4051*20170324*" /stext=" 22:.+((SYSTEM_STATE.+slice.+state.+changed )|(ment ac)|(multiple cpu faults)|(system.+state.+changed )|(\[timeout)|(PRM\|1\|D)|(kpr)|(kdp)|(\|lc)|(penalty))"</v>
      </c>
      <c r="AG169" s="1" t="str">
        <f t="shared" si="58"/>
        <v>NW</v>
      </c>
      <c r="AH169" s="86" t="str">
        <f t="shared" si="59"/>
        <v>"%USERPROFILE%\Documents\GitHub\eaglep3\Utilities\RefineRTDCRunTimes.py" --tripid 827-24 --locoid 4051 --swversion DE.1.0.9.0 --startMP 204:974 --initTime 2017-03-24T15:41:10 --startdatetime 2017-03-24T15:51:29 --delay 1 --endMP 300:58929 --enddatetime 2017-03-24T16:05:28 --enforcementcount 0 &gt;&gt;C:\Users\stu\Documents\GitHub\eaglep3-reporting\EC\2017-03-24-refined-times.txt</v>
      </c>
      <c r="AI16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{"issue":{"subject":"","project_id":79,"tracker_id":40,"status_id":1,"priority_id":2,"assigned_to_id":23,"start_date":"2017-03-24","description":"","custom_fields":[{"id":1,"name":"Subdivision","value":"NW"},{"id":4,"name":"Milepost","value":"5.8929"},{"id":17,"name":"Train ID","value":"827-24"},{"id":16,"name":"Locomotive ID","value":"4051"},{"id":130,"name":"Impact","value":""},{"id":150,"name":"Time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1"/>
        <v>start /low /b %USERPROFILE%\Documents\GitHub\eaglep3\Utilities\DownloadLogsFromS3.py --loco 4051 --day 2017-03-24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170" spans="1:91" x14ac:dyDescent="0.25">
      <c r="A170" s="33" t="s">
        <v>751</v>
      </c>
      <c r="B170" s="7">
        <v>4052</v>
      </c>
      <c r="C170" s="21" t="s">
        <v>219</v>
      </c>
      <c r="D170" s="21" t="s">
        <v>1016</v>
      </c>
      <c r="E170" s="13">
        <v>42818.671493055554</v>
      </c>
      <c r="F170" s="13">
        <v>42818.672743055555</v>
      </c>
      <c r="G170" s="7">
        <v>0</v>
      </c>
      <c r="H170" s="21" t="s">
        <v>1017</v>
      </c>
      <c r="I170" s="13">
        <v>42818.684571759259</v>
      </c>
      <c r="J170" s="7">
        <v>0</v>
      </c>
      <c r="K170" s="98" t="str">
        <f t="shared" si="48"/>
        <v>4051/4052</v>
      </c>
      <c r="L170" s="21" t="str">
        <f>VLOOKUP(A170,'Trips&amp;Operators'!$C$1:$G$99999,5,FALSE)</f>
        <v>SMITH MICHAEL</v>
      </c>
      <c r="M170" s="6">
        <f t="shared" si="49"/>
        <v>1.1828703703940846E-2</v>
      </c>
      <c r="N170" s="7">
        <f t="shared" si="64"/>
        <v>17.033333333674818</v>
      </c>
      <c r="O170" s="7"/>
      <c r="P170" s="7"/>
      <c r="Q170" s="22"/>
      <c r="R170" s="22"/>
      <c r="S170" s="31">
        <f t="shared" si="62"/>
        <v>1</v>
      </c>
      <c r="T170" s="46" t="str">
        <f t="shared" si="50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1"/>
        <v>https://d0f6bd738d7f1b3e5a7ca70fe4ff75f0.us-east-1.aws.found.io/app/kibana#/discover/Steve-Slow-Train-Analysis-(2080s-and-2083s)?_g=(refreshInterval:(display:Off,pause:!f,section:0,value:0),time:(from:'2017-03-24T15:06:57-0600',mode:absolute,to:'2017-03-24T17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187" t="str">
        <f t="shared" si="52"/>
        <v>N</v>
      </c>
      <c r="X170" s="187">
        <f t="shared" si="63"/>
        <v>1</v>
      </c>
      <c r="Y170" s="62">
        <f t="shared" si="65"/>
        <v>5.8609</v>
      </c>
      <c r="Z170" s="62">
        <f t="shared" si="53"/>
        <v>6.7500000000000004E-2</v>
      </c>
      <c r="AA170" s="62">
        <f t="shared" si="54"/>
        <v>5.7934000000000001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5"/>
        <v>0828-24</v>
      </c>
      <c r="AE170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70" s="82" t="str">
        <f t="shared" si="57"/>
        <v>"C:\Program Files (x86)\AstroGrep\AstroGrep.exe" /e /r /s /spath="%USERPROFILE%\AppData\Local\Temp\OnboardLogs" /stypes="app*4052*20170324*" /stext=" 22:.+((SYSTEM_STATE.+slice.+state.+changed )|(ment ac)|(multiple cpu faults)|(system.+state.+changed )|(\[timeout)|(PRM\|1\|D)|(kpr)|(kdp)|(\|lc)|(penalty))"</v>
      </c>
      <c r="AG170" s="1" t="str">
        <f t="shared" si="58"/>
        <v>NW</v>
      </c>
      <c r="AH170" s="86" t="str">
        <f t="shared" si="59"/>
        <v>"%USERPROFILE%\Documents\GitHub\eaglep3\Utilities\RefineRTDCRunTimes.py" --tripid 828-24 --locoid 4052 --swversion DE.1.0.9.0 --startMP 300:58609 --initTime 2017-03-24T16:06:57 --startdatetime 2017-03-24T16:08:45 --delay 0 --endMP 204:675 --enddatetime 2017-03-24T16:25:47 --enforcementcount 0 &gt;&gt;C:\Users\stu\Documents\GitHub\eaglep3-reporting\EC\2017-03-24-refined-times.txt</v>
      </c>
      <c r="AI17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{"issue":{"subject":"","project_id":79,"tracker_id":40,"status_id":1,"priority_id":2,"assigned_to_id":23,"start_date":"2017-03-24","description":"","custom_fields":[{"id":1,"name":"Subdivision","value":"NW"},{"id":4,"name":"Milepost","value":"0.0675"},{"id":17,"name":"Train ID","value":"828-24"},{"id":16,"name":"Locomotive ID","value":"4052"},{"id":130,"name":"Impact","value":""},{"id":150,"name":"Time of Event (Mountain Time)","value":"16:25:47"},{"id":151,"name":"Denver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1"/>
        <v>start /low /b %USERPROFILE%\Documents\GitHub\eaglep3\Utilities\DownloadLogsFromS3.py --loco 4052 --day 2017-03-24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</row>
    <row r="171" spans="1:91" x14ac:dyDescent="0.25">
      <c r="A171" s="33" t="s">
        <v>752</v>
      </c>
      <c r="B171" s="7">
        <v>4044</v>
      </c>
      <c r="C171" s="21" t="s">
        <v>219</v>
      </c>
      <c r="D171" s="21" t="s">
        <v>531</v>
      </c>
      <c r="E171" s="13">
        <v>42818.672662037039</v>
      </c>
      <c r="F171" s="13">
        <v>42818.681504629632</v>
      </c>
      <c r="G171" s="7">
        <v>1</v>
      </c>
      <c r="H171" s="21" t="s">
        <v>498</v>
      </c>
      <c r="I171" s="13">
        <v>42818.691412037035</v>
      </c>
      <c r="J171" s="7">
        <v>0</v>
      </c>
      <c r="K171" s="98" t="str">
        <f t="shared" si="48"/>
        <v>4043/4044</v>
      </c>
      <c r="L171" s="21" t="str">
        <f>VLOOKUP(A171,'Trips&amp;Operators'!$C$1:$G$99999,5,FALSE)</f>
        <v>MENGES BRAD</v>
      </c>
      <c r="M171" s="6">
        <f t="shared" si="49"/>
        <v>9.9074074023519643E-3</v>
      </c>
      <c r="N171" s="7">
        <f t="shared" si="64"/>
        <v>14.266666659386829</v>
      </c>
      <c r="O171" s="7"/>
      <c r="P171" s="7"/>
      <c r="Q171" s="22"/>
      <c r="R171" s="22"/>
      <c r="S171" s="31">
        <f t="shared" si="62"/>
        <v>1</v>
      </c>
      <c r="T171" s="46" t="str">
        <f t="shared" si="50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1"/>
        <v>https://d0f6bd738d7f1b3e5a7ca70fe4ff75f0.us-east-1.aws.found.io/app/kibana#/discover/Steve-Slow-Train-Analysis-(2080s-and-2083s)?_g=(refreshInterval:(display:Off,pause:!f,section:0,value:0),time:(from:'2017-03-24T15:08:38-0600',mode:absolute,to:'2017-03-24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87" t="str">
        <f t="shared" si="52"/>
        <v>N</v>
      </c>
      <c r="X171" s="187">
        <f t="shared" si="63"/>
        <v>1</v>
      </c>
      <c r="Y171" s="62">
        <f t="shared" si="65"/>
        <v>9.7900000000000001E-2</v>
      </c>
      <c r="Z171" s="62">
        <f t="shared" si="53"/>
        <v>5.8948</v>
      </c>
      <c r="AA171" s="62">
        <f t="shared" si="54"/>
        <v>5.7968999999999999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5"/>
        <v>0829-24</v>
      </c>
      <c r="AE171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71" s="82" t="str">
        <f t="shared" si="57"/>
        <v>"C:\Program Files (x86)\AstroGrep\AstroGrep.exe" /e /r /s /spath="%USERPROFILE%\AppData\Local\Temp\OnboardLogs" /stypes="app*4044*20170324*" /stext=" 22:.+((SYSTEM_STATE.+slice.+state.+changed )|(ment ac)|(multiple cpu faults)|(system.+state.+changed )|(\[timeout)|(PRM\|1\|D)|(kpr)|(kdp)|(\|lc)|(penalty))"</v>
      </c>
      <c r="AG171" s="1" t="str">
        <f t="shared" si="58"/>
        <v>NW</v>
      </c>
      <c r="AH171" s="86" t="str">
        <f t="shared" si="59"/>
        <v>"%USERPROFILE%\Documents\GitHub\eaglep3\Utilities\RefineRTDCRunTimes.py" --tripid 829-24 --locoid 4044 --swversion DE.1.0.9.0 --startMP 204:979 --initTime 2017-03-24T16:08:38 --startdatetime 2017-03-24T16:21:22 --delay 1 --endMP 300:58948 --enddatetime 2017-03-24T16:35:38 --enforcementcount 0 &gt;&gt;C:\Users\stu\Documents\GitHub\eaglep3-reporting\EC\2017-03-24-refined-times.txt</v>
      </c>
      <c r="AI17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{"issue":{"subject":"","project_id":79,"tracker_id":40,"status_id":1,"priority_id":2,"assigned_to_id":23,"start_date":"2017-03-24","description":"","custom_fields":[{"id":1,"name":"Subdivision","value":"NW"},{"id":4,"name":"Milepost","value":"5.8948"},{"id":17,"name":"Train ID","value":"829-24"},{"id":16,"name":"Locomotive ID","value":"4044"},{"id":130,"name":"Impact","value":""},{"id":150,"name":"Time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1"/>
        <v>start /low /b %USERPROFILE%\Documents\GitHub\eaglep3\Utilities\DownloadLogsFromS3.py --loco 4044 --day 2017-03-24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72" spans="1:91" s="20" customFormat="1" x14ac:dyDescent="0.25">
      <c r="A172" s="33" t="s">
        <v>757</v>
      </c>
      <c r="B172" s="7">
        <v>4043</v>
      </c>
      <c r="C172" s="21" t="s">
        <v>219</v>
      </c>
      <c r="D172" s="21" t="s">
        <v>1018</v>
      </c>
      <c r="E172" s="13">
        <v>42818.692627314813</v>
      </c>
      <c r="F172" s="13">
        <v>42818.694143518522</v>
      </c>
      <c r="G172" s="7">
        <v>1</v>
      </c>
      <c r="H172" s="21" t="s">
        <v>1019</v>
      </c>
      <c r="I172" s="13">
        <v>42818.705671296295</v>
      </c>
      <c r="J172" s="7">
        <v>0</v>
      </c>
      <c r="K172" s="98" t="str">
        <f t="shared" si="48"/>
        <v>4043/4044</v>
      </c>
      <c r="L172" s="21" t="str">
        <f>VLOOKUP(A172,'Trips&amp;Operators'!$C$1:$G$99999,5,FALSE)</f>
        <v>MENGES BRAD</v>
      </c>
      <c r="M172" s="6">
        <f t="shared" si="49"/>
        <v>1.1527777773153502E-2</v>
      </c>
      <c r="N172" s="7">
        <f t="shared" si="64"/>
        <v>16.599999993341044</v>
      </c>
      <c r="O172" s="7"/>
      <c r="P172" s="7"/>
      <c r="Q172" s="22"/>
      <c r="R172" s="22"/>
      <c r="S172" s="31">
        <f t="shared" si="62"/>
        <v>1</v>
      </c>
      <c r="T172" s="46" t="str">
        <f t="shared" si="50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1"/>
        <v>https://d0f6bd738d7f1b3e5a7ca70fe4ff75f0.us-east-1.aws.found.io/app/kibana#/discover/Steve-Slow-Train-Analysis-(2080s-and-2083s)?_g=(refreshInterval:(display:Off,pause:!f,section:0,value:0),time:(from:'2017-03-24T15:37:23-0600',mode:absolute,to:'2017-03-24T17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87" t="str">
        <f t="shared" si="52"/>
        <v>N</v>
      </c>
      <c r="X172" s="187">
        <f t="shared" si="63"/>
        <v>1</v>
      </c>
      <c r="Y172" s="62">
        <f t="shared" si="65"/>
        <v>5.8625999999999996</v>
      </c>
      <c r="Z172" s="62">
        <f t="shared" si="53"/>
        <v>7.1300000000000002E-2</v>
      </c>
      <c r="AA172" s="62">
        <f t="shared" si="54"/>
        <v>5.7912999999999997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5"/>
        <v>0830-24</v>
      </c>
      <c r="AE172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72" s="82" t="str">
        <f t="shared" si="57"/>
        <v>"C:\Program Files (x86)\AstroGrep\AstroGrep.exe" /e /r /s /spath="%USERPROFILE%\AppData\Local\Temp\OnboardLogs" /stypes="app*4043*20170324*" /stext=" 22:.+((SYSTEM_STATE.+slice.+state.+changed )|(ment ac)|(multiple cpu faults)|(system.+state.+changed )|(\[timeout)|(PRM\|1\|D)|(kpr)|(kdp)|(\|lc)|(penalty))"</v>
      </c>
      <c r="AG172" s="1" t="str">
        <f t="shared" si="58"/>
        <v>NW</v>
      </c>
      <c r="AH172" s="86" t="str">
        <f t="shared" si="59"/>
        <v>"%USERPROFILE%\Documents\GitHub\eaglep3\Utilities\RefineRTDCRunTimes.py" --tripid 830-24 --locoid 4043 --swversion DE.1.0.9.0 --startMP 300:58626 --initTime 2017-03-24T16:37:23 --startdatetime 2017-03-24T16:39:34 --delay 1 --endMP 204:713 --enddatetime 2017-03-24T16:56:10 --enforcementcount 0 &gt;&gt;C:\Users\stu\Documents\GitHub\eaglep3-reporting\EC\2017-03-24-refined-times.txt</v>
      </c>
      <c r="AI17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{"issue":{"subject":"","project_id":79,"tracker_id":40,"status_id":1,"priority_id":2,"assigned_to_id":23,"start_date":"2017-03-24","description":"","custom_fields":[{"id":1,"name":"Subdivision","value":"NW"},{"id":4,"name":"Milepost","value":"0.0713"},{"id":17,"name":"Train ID","value":"830-24"},{"id":16,"name":"Locomotive ID","value":"4043"},{"id":130,"name":"Impact","value":""},{"id":150,"name":"Time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1"/>
        <v>start /low /b %USERPROFILE%\Documents\GitHub\eaglep3\Utilities\DownloadLogsFromS3.py --loco 4043 --day 2017-03-24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755</v>
      </c>
      <c r="B173" s="7">
        <v>4051</v>
      </c>
      <c r="C173" s="21" t="s">
        <v>219</v>
      </c>
      <c r="D173" s="21" t="s">
        <v>532</v>
      </c>
      <c r="E173" s="13">
        <v>42818.686192129629</v>
      </c>
      <c r="F173" s="13">
        <v>42818.702280092592</v>
      </c>
      <c r="G173" s="7">
        <v>1</v>
      </c>
      <c r="H173" s="21" t="s">
        <v>1015</v>
      </c>
      <c r="I173" s="13">
        <v>42818.711643518516</v>
      </c>
      <c r="J173" s="7">
        <v>0</v>
      </c>
      <c r="K173" s="98" t="str">
        <f t="shared" si="48"/>
        <v>4051/4052</v>
      </c>
      <c r="L173" s="21" t="str">
        <f>VLOOKUP(A173,'Trips&amp;Operators'!$C$1:$G$99999,5,FALSE)</f>
        <v>SMITH MICHAEL</v>
      </c>
      <c r="M173" s="6">
        <f t="shared" si="49"/>
        <v>9.3634259246755391E-3</v>
      </c>
      <c r="N173" s="7">
        <f t="shared" si="64"/>
        <v>13.483333331532776</v>
      </c>
      <c r="O173" s="7"/>
      <c r="P173" s="7"/>
      <c r="Q173" s="22"/>
      <c r="R173" s="22"/>
      <c r="S173" s="31">
        <f t="shared" si="62"/>
        <v>1</v>
      </c>
      <c r="T173" s="46" t="str">
        <f t="shared" si="50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1"/>
        <v>https://d0f6bd738d7f1b3e5a7ca70fe4ff75f0.us-east-1.aws.found.io/app/kibana#/discover/Steve-Slow-Train-Analysis-(2080s-and-2083s)?_g=(refreshInterval:(display:Off,pause:!f,section:0,value:0),time:(from:'2017-03-24T15:28:07-0600',mode:absolute,to:'2017-03-24T18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187" t="str">
        <f t="shared" si="52"/>
        <v>N</v>
      </c>
      <c r="X173" s="187">
        <f t="shared" si="63"/>
        <v>1</v>
      </c>
      <c r="Y173" s="62">
        <f t="shared" si="65"/>
        <v>9.7100000000000006E-2</v>
      </c>
      <c r="Z173" s="62">
        <f t="shared" si="53"/>
        <v>5.8929</v>
      </c>
      <c r="AA173" s="62">
        <f t="shared" si="54"/>
        <v>5.7957999999999998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5"/>
        <v>0831-24</v>
      </c>
      <c r="AE173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73" s="82" t="str">
        <f t="shared" si="57"/>
        <v>"C:\Program Files (x86)\AstroGrep\AstroGrep.exe" /e /r /s /spath="%USERPROFILE%\AppData\Local\Temp\OnboardLogs" /stypes="app*4051*20170324*" /stext=" 23:.+((SYSTEM_STATE.+slice.+state.+changed )|(ment ac)|(multiple cpu faults)|(system.+state.+changed )|(\[timeout)|(PRM\|1\|D)|(kpr)|(kdp)|(\|lc)|(penalty))"</v>
      </c>
      <c r="AG173" s="1" t="str">
        <f t="shared" si="58"/>
        <v>NW</v>
      </c>
      <c r="AH173" s="86" t="str">
        <f t="shared" si="59"/>
        <v>"%USERPROFILE%\Documents\GitHub\eaglep3\Utilities\RefineRTDCRunTimes.py" --tripid 831-24 --locoid 4051 --swversion DE.1.0.9.0 --startMP 204:971 --initTime 2017-03-24T16:28:07 --startdatetime 2017-03-24T16:51:17 --delay 1 --endMP 300:58929 --enddatetime 2017-03-24T17:04:46 --enforcementcount 0 &gt;&gt;C:\Users\stu\Documents\GitHub\eaglep3-reporting\EC\2017-03-24-refined-times.txt</v>
      </c>
      <c r="AI17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{"issue":{"subject":"","project_id":79,"tracker_id":40,"status_id":1,"priority_id":2,"assigned_to_id":23,"start_date":"2017-03-24","description":"","custom_fields":[{"id":1,"name":"Subdivision","value":"NW"},{"id":4,"name":"Milepost","value":"5.8929"},{"id":17,"name":"Train ID","value":"831-24"},{"id":16,"name":"Locomotive ID","value":"4051"},{"id":130,"name":"Impact","value":""},{"id":150,"name":"Time of Event (Mountain Time)","value":"17:04:46"},{"id":151,"name":"Denver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1"/>
        <v>start /low /b %USERPROFILE%\Documents\GitHub\eaglep3\Utilities\DownloadLogsFromS3.py --loco 4051 --day 2017-03-24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760</v>
      </c>
      <c r="B174" s="7">
        <v>4052</v>
      </c>
      <c r="C174" s="21" t="s">
        <v>219</v>
      </c>
      <c r="D174" s="21" t="s">
        <v>499</v>
      </c>
      <c r="E174" s="13">
        <v>42818.712569444448</v>
      </c>
      <c r="F174" s="13">
        <v>42818.713958333334</v>
      </c>
      <c r="G174" s="7">
        <v>1</v>
      </c>
      <c r="H174" s="21" t="s">
        <v>593</v>
      </c>
      <c r="I174" s="13">
        <v>42818.725983796299</v>
      </c>
      <c r="J174" s="7">
        <v>0</v>
      </c>
      <c r="K174" s="98" t="str">
        <f t="shared" si="48"/>
        <v>4051/4052</v>
      </c>
      <c r="L174" s="21" t="str">
        <f>VLOOKUP(A174,'Trips&amp;Operators'!$C$1:$G$99999,5,FALSE)</f>
        <v>SMITH MICHAEL</v>
      </c>
      <c r="M174" s="6">
        <f t="shared" si="49"/>
        <v>1.2025462965539191E-2</v>
      </c>
      <c r="N174" s="7">
        <f t="shared" si="64"/>
        <v>17.316666670376435</v>
      </c>
      <c r="O174" s="7"/>
      <c r="P174" s="7"/>
      <c r="Q174" s="22"/>
      <c r="R174" s="22"/>
      <c r="S174" s="31">
        <f t="shared" si="62"/>
        <v>1</v>
      </c>
      <c r="T174" s="46" t="str">
        <f t="shared" si="50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1"/>
        <v>https://d0f6bd738d7f1b3e5a7ca70fe4ff75f0.us-east-1.aws.found.io/app/kibana#/discover/Steve-Slow-Train-Analysis-(2080s-and-2083s)?_g=(refreshInterval:(display:Off,pause:!f,section:0,value:0),time:(from:'2017-03-24T16:06:06-0600',mode:absolute,to:'2017-03-24T18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187" t="str">
        <f t="shared" si="52"/>
        <v>N</v>
      </c>
      <c r="X174" s="187">
        <f t="shared" si="63"/>
        <v>1</v>
      </c>
      <c r="Y174" s="62">
        <f t="shared" si="65"/>
        <v>5.8619000000000003</v>
      </c>
      <c r="Z174" s="62">
        <f t="shared" si="53"/>
        <v>6.9199999999999998E-2</v>
      </c>
      <c r="AA174" s="62">
        <f t="shared" si="54"/>
        <v>5.7927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5"/>
        <v>0832-24</v>
      </c>
      <c r="AE174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74" s="82" t="str">
        <f t="shared" si="57"/>
        <v>"C:\Program Files (x86)\AstroGrep\AstroGrep.exe" /e /r /s /spath="%USERPROFILE%\AppData\Local\Temp\OnboardLogs" /stypes="app*4052*20170324*" /stext=" 23:.+((SYSTEM_STATE.+slice.+state.+changed )|(ment ac)|(multiple cpu faults)|(system.+state.+changed )|(\[timeout)|(PRM\|1\|D)|(kpr)|(kdp)|(\|lc)|(penalty))"</v>
      </c>
      <c r="AG174" s="1" t="str">
        <f t="shared" si="58"/>
        <v>NW</v>
      </c>
      <c r="AH174" s="86" t="str">
        <f t="shared" si="59"/>
        <v>"%USERPROFILE%\Documents\GitHub\eaglep3\Utilities\RefineRTDCRunTimes.py" --tripid 832-24 --locoid 4052 --swversion DE.1.0.9.0 --startMP 300:58619 --initTime 2017-03-24T17:06:06 --startdatetime 2017-03-24T17:08:06 --delay 1 --endMP 204:692 --enddatetime 2017-03-24T17:25:25 --enforcementcount 0 &gt;&gt;C:\Users\stu\Documents\GitHub\eaglep3-reporting\EC\2017-03-24-refined-times.txt</v>
      </c>
      <c r="AI17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{"issue":{"subject":"","project_id":79,"tracker_id":40,"status_id":1,"priority_id":2,"assigned_to_id":23,"start_date":"2017-03-24","description":"","custom_fields":[{"id":1,"name":"Subdivision","value":"NW"},{"id":4,"name":"Milepost","value":"0.0692"},{"id":17,"name":"Train ID","value":"832-24"},{"id":16,"name":"Locomotive ID","value":"4052"},{"id":130,"name":"Impact","value":""},{"id":150,"name":"Time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1"/>
        <v>start /low /b %USERPROFILE%\Documents\GitHub\eaglep3\Utilities\DownloadLogsFromS3.py --loco 4052 --day 2017-03-24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761</v>
      </c>
      <c r="B175" s="7">
        <v>4044</v>
      </c>
      <c r="C175" s="21" t="s">
        <v>219</v>
      </c>
      <c r="D175" s="21" t="s">
        <v>1005</v>
      </c>
      <c r="E175" s="13">
        <v>42818.713900462964</v>
      </c>
      <c r="F175" s="13">
        <v>42818.72314814815</v>
      </c>
      <c r="G175" s="7">
        <v>1</v>
      </c>
      <c r="H175" s="21" t="s">
        <v>1020</v>
      </c>
      <c r="I175" s="13">
        <v>42818.732858796298</v>
      </c>
      <c r="J175" s="7">
        <v>0</v>
      </c>
      <c r="K175" s="98" t="str">
        <f t="shared" si="48"/>
        <v>4043/4044</v>
      </c>
      <c r="L175" s="21" t="str">
        <f>VLOOKUP(A175,'Trips&amp;Operators'!$C$1:$G$99999,5,FALSE)</f>
        <v>MENGES BRAD</v>
      </c>
      <c r="M175" s="6">
        <f t="shared" si="49"/>
        <v>9.710648148029577E-3</v>
      </c>
      <c r="N175" s="7">
        <f t="shared" si="64"/>
        <v>13.983333333162591</v>
      </c>
      <c r="O175" s="7"/>
      <c r="P175" s="7"/>
      <c r="Q175" s="22"/>
      <c r="R175" s="22"/>
      <c r="S175" s="31">
        <f t="shared" si="62"/>
        <v>1</v>
      </c>
      <c r="T175" s="46" t="str">
        <f t="shared" si="50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1"/>
        <v>https://d0f6bd738d7f1b3e5a7ca70fe4ff75f0.us-east-1.aws.found.io/app/kibana#/discover/Steve-Slow-Train-Analysis-(2080s-and-2083s)?_g=(refreshInterval:(display:Off,pause:!f,section:0,value:0),time:(from:'2017-03-24T16:08:01-0600',mode:absolute,to:'2017-03-24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87" t="str">
        <f t="shared" si="52"/>
        <v>N</v>
      </c>
      <c r="X175" s="187">
        <f t="shared" si="63"/>
        <v>1</v>
      </c>
      <c r="Y175" s="62">
        <f t="shared" si="65"/>
        <v>9.8599999999999993E-2</v>
      </c>
      <c r="Z175" s="62">
        <f t="shared" si="53"/>
        <v>5.8940999999999999</v>
      </c>
      <c r="AA175" s="62">
        <f t="shared" si="54"/>
        <v>5.7954999999999997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5"/>
        <v>0833-24</v>
      </c>
      <c r="AE17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75" s="82" t="str">
        <f t="shared" si="57"/>
        <v>"C:\Program Files (x86)\AstroGrep\AstroGrep.exe" /e /r /s /spath="%USERPROFILE%\AppData\Local\Temp\OnboardLogs" /stypes="app*4044*20170324*" /stext=" 23:.+((SYSTEM_STATE.+slice.+state.+changed )|(ment ac)|(multiple cpu faults)|(system.+state.+changed )|(\[timeout)|(PRM\|1\|D)|(kpr)|(kdp)|(\|lc)|(penalty))"</v>
      </c>
      <c r="AG175" s="1" t="str">
        <f t="shared" si="58"/>
        <v>NW</v>
      </c>
      <c r="AH175" s="86" t="str">
        <f t="shared" si="59"/>
        <v>"%USERPROFILE%\Documents\GitHub\eaglep3\Utilities\RefineRTDCRunTimes.py" --tripid 833-24 --locoid 4044 --swversion DE.1.0.9.0 --startMP 204:986 --initTime 2017-03-24T17:08:01 --startdatetime 2017-03-24T17:21:20 --delay 1 --endMP 300:58941 --enddatetime 2017-03-24T17:35:19 --enforcementcount 0 &gt;&gt;C:\Users\stu\Documents\GitHub\eaglep3-reporting\EC\2017-03-24-refined-times.txt</v>
      </c>
      <c r="AI17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{"issue":{"subject":"","project_id":79,"tracker_id":40,"status_id":1,"priority_id":2,"assigned_to_id":23,"start_date":"2017-03-24","description":"","custom_fields":[{"id":1,"name":"Subdivision","value":"NW"},{"id":4,"name":"Milepost","value":"5.8941"},{"id":17,"name":"Train ID","value":"833-24"},{"id":16,"name":"Locomotive ID","value":"4044"},{"id":130,"name":"Impact","value":""},{"id":150,"name":"Time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1"/>
        <v>start /low /b %USERPROFILE%\Documents\GitHub\eaglep3\Utilities\DownloadLogsFromS3.py --loco 4044 --day 2017-03-24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76" spans="1:91" s="20" customFormat="1" x14ac:dyDescent="0.25">
      <c r="A176" s="33" t="s">
        <v>768</v>
      </c>
      <c r="B176" s="7">
        <v>4043</v>
      </c>
      <c r="C176" s="21" t="s">
        <v>219</v>
      </c>
      <c r="D176" s="21" t="s">
        <v>534</v>
      </c>
      <c r="E176" s="13">
        <v>42818.733854166669</v>
      </c>
      <c r="F176" s="13">
        <v>42818.735497685186</v>
      </c>
      <c r="G176" s="7">
        <v>1</v>
      </c>
      <c r="H176" s="21" t="s">
        <v>582</v>
      </c>
      <c r="I176" s="13">
        <v>42818.748877314814</v>
      </c>
      <c r="J176" s="7">
        <v>0</v>
      </c>
      <c r="K176" s="98" t="str">
        <f t="shared" si="48"/>
        <v>4043/4044</v>
      </c>
      <c r="L176" s="21" t="str">
        <f>VLOOKUP(A176,'Trips&amp;Operators'!$C$1:$G$99999,5,FALSE)</f>
        <v>MENGES BRAD</v>
      </c>
      <c r="M176" s="6">
        <f t="shared" si="49"/>
        <v>1.3379629628616385E-2</v>
      </c>
      <c r="N176" s="7">
        <f t="shared" si="64"/>
        <v>19.266666665207595</v>
      </c>
      <c r="O176" s="7"/>
      <c r="P176" s="7"/>
      <c r="Q176" s="22"/>
      <c r="R176" s="22"/>
      <c r="S176" s="31">
        <f t="shared" si="62"/>
        <v>1</v>
      </c>
      <c r="T176" s="46" t="str">
        <f t="shared" si="50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1"/>
        <v>https://d0f6bd738d7f1b3e5a7ca70fe4ff75f0.us-east-1.aws.found.io/app/kibana#/discover/Steve-Slow-Train-Analysis-(2080s-and-2083s)?_g=(refreshInterval:(display:Off,pause:!f,section:0,value:0),time:(from:'2017-03-24T16:36:45-0600',mode:absolute,to:'2017-03-24T18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87" t="str">
        <f t="shared" si="52"/>
        <v>N</v>
      </c>
      <c r="X176" s="187">
        <f t="shared" si="63"/>
        <v>1</v>
      </c>
      <c r="Y176" s="62">
        <f t="shared" si="65"/>
        <v>5.8630000000000004</v>
      </c>
      <c r="Z176" s="62">
        <f t="shared" si="53"/>
        <v>6.7000000000000004E-2</v>
      </c>
      <c r="AA176" s="62">
        <f t="shared" si="54"/>
        <v>5.7960000000000003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5"/>
        <v>0834-24</v>
      </c>
      <c r="AE17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76" s="82" t="str">
        <f t="shared" si="57"/>
        <v>"C:\Program Files (x86)\AstroGrep\AstroGrep.exe" /e /r /s /spath="%USERPROFILE%\AppData\Local\Temp\OnboardLogs" /stypes="app*4043*20170324*" /stext=" 23:.+((SYSTEM_STATE.+slice.+state.+changed )|(ment ac)|(multiple cpu faults)|(system.+state.+changed )|(\[timeout)|(PRM\|1\|D)|(kpr)|(kdp)|(\|lc)|(penalty))"</v>
      </c>
      <c r="AG176" s="1" t="str">
        <f t="shared" si="58"/>
        <v>NW</v>
      </c>
      <c r="AH176" s="86" t="str">
        <f t="shared" si="59"/>
        <v>"%USERPROFILE%\Documents\GitHub\eaglep3\Utilities\RefineRTDCRunTimes.py" --tripid 834-24 --locoid 4043 --swversion DE.1.0.9.0 --startMP 300:58630 --initTime 2017-03-24T17:36:45 --startdatetime 2017-03-24T17:39:07 --delay 1 --endMP 204:670 --enddatetime 2017-03-24T17:58:23 --enforcementcount 0 &gt;&gt;C:\Users\stu\Documents\GitHub\eaglep3-reporting\EC\2017-03-24-refined-times.txt</v>
      </c>
      <c r="AI17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{"issue":{"subject":"","project_id":79,"tracker_id":40,"status_id":1,"priority_id":2,"assigned_to_id":23,"start_date":"2017-03-24","description":"","custom_fields":[{"id":1,"name":"Subdivision","value":"NW"},{"id":4,"name":"Milepost","value":"0.067"},{"id":17,"name":"Train ID","value":"834-24"},{"id":16,"name":"Locomotive ID","value":"4043"},{"id":130,"name":"Impact","value":""},{"id":150,"name":"Time of Event (Mountain Time)","value":"17:58:23"},{"id":151,"name":"Denver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1"/>
        <v>start /low /b %USERPROFILE%\Documents\GitHub\eaglep3\Utilities\DownloadLogsFromS3.py --loco 4043 --day 2017-03-24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770</v>
      </c>
      <c r="B177" s="7">
        <v>4051</v>
      </c>
      <c r="C177" s="21" t="s">
        <v>219</v>
      </c>
      <c r="D177" s="21" t="s">
        <v>966</v>
      </c>
      <c r="E177" s="13">
        <v>42818.736145833333</v>
      </c>
      <c r="F177" s="13">
        <v>42818.743923611109</v>
      </c>
      <c r="G177" s="7">
        <v>1</v>
      </c>
      <c r="H177" s="21" t="s">
        <v>592</v>
      </c>
      <c r="I177" s="13">
        <v>42818.753483796296</v>
      </c>
      <c r="J177" s="7">
        <v>0</v>
      </c>
      <c r="K177" s="98" t="str">
        <f t="shared" si="48"/>
        <v>4051/4052</v>
      </c>
      <c r="L177" s="21" t="str">
        <f>VLOOKUP(A177,'Trips&amp;Operators'!$C$1:$G$99999,5,FALSE)</f>
        <v>SMITH MICHAEL</v>
      </c>
      <c r="M177" s="6">
        <f t="shared" si="49"/>
        <v>9.560185186273884E-3</v>
      </c>
      <c r="N177" s="7">
        <f t="shared" si="64"/>
        <v>13.766666668234393</v>
      </c>
      <c r="O177" s="7"/>
      <c r="P177" s="7"/>
      <c r="Q177" s="22"/>
      <c r="R177" s="22"/>
      <c r="S177" s="31">
        <f t="shared" si="62"/>
        <v>1</v>
      </c>
      <c r="T177" s="46" t="str">
        <f t="shared" si="50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1"/>
        <v>https://d0f6bd738d7f1b3e5a7ca70fe4ff75f0.us-east-1.aws.found.io/app/kibana#/discover/Steve-Slow-Train-Analysis-(2080s-and-2083s)?_g=(refreshInterval:(display:Off,pause:!f,section:0,value:0),time:(from:'2017-03-24T16:40:03-0600',mode:absolute,to:'2017-03-24T19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187" t="str">
        <f t="shared" si="52"/>
        <v>N</v>
      </c>
      <c r="X177" s="187">
        <f t="shared" si="63"/>
        <v>1</v>
      </c>
      <c r="Y177" s="62">
        <f t="shared" si="65"/>
        <v>9.6699999999999994E-2</v>
      </c>
      <c r="Z177" s="62">
        <f t="shared" si="53"/>
        <v>5.8930999999999996</v>
      </c>
      <c r="AA177" s="62">
        <f t="shared" si="54"/>
        <v>5.7963999999999993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5"/>
        <v>0835-24</v>
      </c>
      <c r="AE177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77" s="82" t="str">
        <f t="shared" si="57"/>
        <v>"C:\Program Files (x86)\AstroGrep\AstroGrep.exe" /e /r /s /spath="%USERPROFILE%\AppData\Local\Temp\OnboardLogs" /stypes="app*4051*20170325*" /stext=" 00:.+((SYSTEM_STATE.+slice.+state.+changed )|(ment ac)|(multiple cpu faults)|(system.+state.+changed )|(\[timeout)|(PRM\|1\|D)|(kpr)|(kdp)|(\|lc)|(penalty))"</v>
      </c>
      <c r="AG177" s="1" t="str">
        <f t="shared" si="58"/>
        <v>NW</v>
      </c>
      <c r="AH177" s="86" t="str">
        <f t="shared" si="59"/>
        <v>"%USERPROFILE%\Documents\GitHub\eaglep3\Utilities\RefineRTDCRunTimes.py" --tripid 835-24 --locoid 4051 --swversion DE.1.0.9.0 --startMP 204:967 --initTime 2017-03-24T17:40:03 --startdatetime 2017-03-24T17:51:15 --delay 1 --endMP 300:58931 --enddatetime 2017-03-24T18:05:01 --enforcementcount 0 &gt;&gt;C:\Users\stu\Documents\GitHub\eaglep3-reporting\EC\2017-03-24-refined-times.txt</v>
      </c>
      <c r="AI17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{"issue":{"subject":"","project_id":79,"tracker_id":40,"status_id":1,"priority_id":2,"assigned_to_id":23,"start_date":"2017-03-24","description":"","custom_fields":[{"id":1,"name":"Subdivision","value":"NW"},{"id":4,"name":"Milepost","value":"5.8931"},{"id":17,"name":"Train ID","value":"835-24"},{"id":16,"name":"Locomotive ID","value":"4051"},{"id":130,"name":"Impact","value":""},{"id":150,"name":"Time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1"/>
        <v>start /low /b %USERPROFILE%\Documents\GitHub\eaglep3\Utilities\DownloadLogsFromS3.py --loco 4051 --day 2017-03-24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178" spans="1:91" s="20" customFormat="1" x14ac:dyDescent="0.25">
      <c r="A178" s="33" t="s">
        <v>776</v>
      </c>
      <c r="B178" s="7">
        <v>4052</v>
      </c>
      <c r="C178" s="21" t="s">
        <v>219</v>
      </c>
      <c r="D178" s="21" t="s">
        <v>594</v>
      </c>
      <c r="E178" s="13">
        <v>42818.754641203705</v>
      </c>
      <c r="F178" s="13">
        <v>42818.756412037037</v>
      </c>
      <c r="G178" s="7">
        <v>2</v>
      </c>
      <c r="H178" s="21" t="s">
        <v>582</v>
      </c>
      <c r="I178" s="13">
        <v>42818.768136574072</v>
      </c>
      <c r="J178" s="7">
        <v>0</v>
      </c>
      <c r="K178" s="98" t="str">
        <f t="shared" si="48"/>
        <v>4051/4052</v>
      </c>
      <c r="L178" s="21" t="str">
        <f>VLOOKUP(A178,'Trips&amp;Operators'!$C$1:$G$99999,5,FALSE)</f>
        <v>DAVIDSON DAVID</v>
      </c>
      <c r="M178" s="6">
        <f t="shared" si="49"/>
        <v>1.1724537034751847E-2</v>
      </c>
      <c r="N178" s="7">
        <f t="shared" si="64"/>
        <v>16.88333333004266</v>
      </c>
      <c r="O178" s="7"/>
      <c r="P178" s="7"/>
      <c r="Q178" s="22"/>
      <c r="R178" s="22"/>
      <c r="S178" s="31">
        <f t="shared" si="62"/>
        <v>1</v>
      </c>
      <c r="T178" s="46" t="str">
        <f t="shared" si="50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1"/>
        <v>https://d0f6bd738d7f1b3e5a7ca70fe4ff75f0.us-east-1.aws.found.io/app/kibana#/discover/Steve-Slow-Train-Analysis-(2080s-and-2083s)?_g=(refreshInterval:(display:Off,pause:!f,section:0,value:0),time:(from:'2017-03-24T17:06:41-0600',mode:absolute,to:'2017-03-24T19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8" s="187" t="str">
        <f t="shared" si="52"/>
        <v>N</v>
      </c>
      <c r="X178" s="187">
        <f t="shared" si="63"/>
        <v>1</v>
      </c>
      <c r="Y178" s="62">
        <f t="shared" si="65"/>
        <v>5.8620999999999999</v>
      </c>
      <c r="Z178" s="62">
        <f t="shared" si="53"/>
        <v>6.7000000000000004E-2</v>
      </c>
      <c r="AA178" s="62">
        <f t="shared" si="54"/>
        <v>5.7950999999999997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5"/>
        <v>0836-24</v>
      </c>
      <c r="AE178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78" s="82" t="str">
        <f t="shared" si="57"/>
        <v>"C:\Program Files (x86)\AstroGrep\AstroGrep.exe" /e /r /s /spath="%USERPROFILE%\AppData\Local\Temp\OnboardLogs" /stypes="app*4052*20170325*" /stext=" 00:.+((SYSTEM_STATE.+slice.+state.+changed )|(ment ac)|(multiple cpu faults)|(system.+state.+changed )|(\[timeout)|(PRM\|1\|D)|(kpr)|(kdp)|(\|lc)|(penalty))"</v>
      </c>
      <c r="AG178" s="1" t="str">
        <f t="shared" si="58"/>
        <v>NW</v>
      </c>
      <c r="AH178" s="86" t="str">
        <f t="shared" si="59"/>
        <v>"%USERPROFILE%\Documents\GitHub\eaglep3\Utilities\RefineRTDCRunTimes.py" --tripid 836-24 --locoid 4052 --swversion DE.1.0.9.0 --startMP 300:58621 --initTime 2017-03-24T18:06:41 --startdatetime 2017-03-24T18:09:14 --delay 2 --endMP 204:670 --enddatetime 2017-03-24T18:26:07 --enforcementcount 0 &gt;&gt;C:\Users\stu\Documents\GitHub\eaglep3-reporting\EC\2017-03-24-refined-times.txt</v>
      </c>
      <c r="AI17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{"issue":{"subject":"","project_id":79,"tracker_id":40,"status_id":1,"priority_id":2,"assigned_to_id":23,"start_date":"2017-03-24","description":"","custom_fields":[{"id":1,"name":"Subdivision","value":"NW"},{"id":4,"name":"Milepost","value":"0.067"},{"id":17,"name":"Train ID","value":"836-24"},{"id":16,"name":"Locomotive ID","value":"4052"},{"id":130,"name":"Impact","value":""},{"id":150,"name":"Time of Event (Mountain Time)","value":"18:26:07"},{"id":151,"name":"Denver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1"/>
        <v>start /low /b %USERPROFILE%\Documents\GitHub\eaglep3\Utilities\DownloadLogsFromS3.py --loco 4052 --day 2017-03-24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2017-03-24-UncaughtWiMAX.txt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779</v>
      </c>
      <c r="B179" s="7">
        <v>4044</v>
      </c>
      <c r="C179" s="21" t="s">
        <v>219</v>
      </c>
      <c r="D179" s="21" t="s">
        <v>586</v>
      </c>
      <c r="E179" s="13">
        <v>42818.759444444448</v>
      </c>
      <c r="F179" s="13">
        <v>42818.764791666668</v>
      </c>
      <c r="G179" s="7">
        <v>1</v>
      </c>
      <c r="H179" s="21" t="s">
        <v>1021</v>
      </c>
      <c r="I179" s="13">
        <v>42818.774456018517</v>
      </c>
      <c r="J179" s="7">
        <v>0</v>
      </c>
      <c r="K179" s="98" t="str">
        <f t="shared" si="48"/>
        <v>4043/4044</v>
      </c>
      <c r="L179" s="21" t="str">
        <f>VLOOKUP(A179,'Trips&amp;Operators'!$C$1:$G$99999,5,FALSE)</f>
        <v>MENGES BRAD</v>
      </c>
      <c r="M179" s="6">
        <f t="shared" si="49"/>
        <v>9.6643518481869251E-3</v>
      </c>
      <c r="N179" s="7">
        <f t="shared" si="64"/>
        <v>13.916666661389172</v>
      </c>
      <c r="O179" s="7"/>
      <c r="P179" s="7"/>
      <c r="Q179" s="22"/>
      <c r="R179" s="22"/>
      <c r="S179" s="31">
        <f t="shared" si="62"/>
        <v>1</v>
      </c>
      <c r="T179" s="46" t="str">
        <f t="shared" si="50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1"/>
        <v>https://d0f6bd738d7f1b3e5a7ca70fe4ff75f0.us-east-1.aws.found.io/app/kibana#/discover/Steve-Slow-Train-Analysis-(2080s-and-2083s)?_g=(refreshInterval:(display:Off,pause:!f,section:0,value:0),time:(from:'2017-03-24T17:13:36-0600',mode:absolute,to:'2017-03-24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87" t="str">
        <f t="shared" si="52"/>
        <v>N</v>
      </c>
      <c r="X179" s="187">
        <f t="shared" si="63"/>
        <v>1</v>
      </c>
      <c r="Y179" s="62">
        <f t="shared" si="65"/>
        <v>9.74E-2</v>
      </c>
      <c r="Z179" s="62">
        <f t="shared" si="53"/>
        <v>5.8949999999999996</v>
      </c>
      <c r="AA179" s="62">
        <f t="shared" si="54"/>
        <v>5.7975999999999992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5"/>
        <v>0837-24</v>
      </c>
      <c r="AE179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79" s="82" t="str">
        <f t="shared" si="57"/>
        <v>"C:\Program Files (x86)\AstroGrep\AstroGrep.exe" /e /r /s /spath="%USERPROFILE%\AppData\Local\Temp\OnboardLogs" /stypes="app*4044*20170325*" /stext=" 00:.+((SYSTEM_STATE.+slice.+state.+changed )|(ment ac)|(multiple cpu faults)|(system.+state.+changed )|(\[timeout)|(PRM\|1\|D)|(kpr)|(kdp)|(\|lc)|(penalty))"</v>
      </c>
      <c r="AG179" s="1" t="str">
        <f t="shared" si="58"/>
        <v>NW</v>
      </c>
      <c r="AH179" s="86" t="str">
        <f t="shared" si="59"/>
        <v>"%USERPROFILE%\Documents\GitHub\eaglep3\Utilities\RefineRTDCRunTimes.py" --tripid 837-24 --locoid 4044 --swversion DE.1.0.9.0 --startMP 204:974 --initTime 2017-03-24T18:13:36 --startdatetime 2017-03-24T18:21:18 --delay 1 --endMP 300:58950 --enddatetime 2017-03-24T18:35:13 --enforcementcount 0 &gt;&gt;C:\Users\stu\Documents\GitHub\eaglep3-reporting\EC\2017-03-24-refined-times.txt</v>
      </c>
      <c r="AI17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{"issue":{"subject":"","project_id":79,"tracker_id":40,"status_id":1,"priority_id":2,"assigned_to_id":23,"start_date":"2017-03-24","description":"","custom_fields":[{"id":1,"name":"Subdivision","value":"NW"},{"id":4,"name":"Milepost","value":"5.895"},{"id":17,"name":"Train ID","value":"837-24"},{"id":16,"name":"Locomotive ID","value":"4044"},{"id":130,"name":"Impact","value":""},{"id":150,"name":"Time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1"/>
        <v>start /low /b %USERPROFILE%\Documents\GitHub\eaglep3\Utilities\DownloadLogsFromS3.py --loco 4044 --day 2017-03-24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</row>
    <row r="180" spans="1:91" s="20" customFormat="1" x14ac:dyDescent="0.25">
      <c r="A180" s="33" t="s">
        <v>784</v>
      </c>
      <c r="B180" s="7">
        <v>4043</v>
      </c>
      <c r="C180" s="21" t="s">
        <v>219</v>
      </c>
      <c r="D180" s="21" t="s">
        <v>1022</v>
      </c>
      <c r="E180" s="13">
        <v>42818.775509259256</v>
      </c>
      <c r="F180" s="13">
        <v>42818.777002314811</v>
      </c>
      <c r="G180" s="7">
        <v>1</v>
      </c>
      <c r="H180" s="21" t="s">
        <v>1004</v>
      </c>
      <c r="I180" s="13">
        <v>42818.790613425925</v>
      </c>
      <c r="J180" s="7">
        <v>0</v>
      </c>
      <c r="K180" s="98" t="str">
        <f t="shared" si="48"/>
        <v>4043/4044</v>
      </c>
      <c r="L180" s="21" t="str">
        <f>VLOOKUP(A180,'Trips&amp;Operators'!$C$1:$G$99999,5,FALSE)</f>
        <v>MENGES BRAD</v>
      </c>
      <c r="M180" s="6">
        <f t="shared" si="49"/>
        <v>1.361111111327773E-2</v>
      </c>
      <c r="N180" s="7">
        <f t="shared" si="64"/>
        <v>19.600000003119931</v>
      </c>
      <c r="O180" s="7"/>
      <c r="P180" s="7"/>
      <c r="Q180" s="22"/>
      <c r="R180" s="22"/>
      <c r="S180" s="31">
        <f t="shared" si="62"/>
        <v>1</v>
      </c>
      <c r="T180" s="46" t="str">
        <f t="shared" si="50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1"/>
        <v>https://d0f6bd738d7f1b3e5a7ca70fe4ff75f0.us-east-1.aws.found.io/app/kibana#/discover/Steve-Slow-Train-Analysis-(2080s-and-2083s)?_g=(refreshInterval:(display:Off,pause:!f,section:0,value:0),time:(from:'2017-03-24T17:36:44-0600',mode:absolute,to:'2017-03-24T19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87" t="str">
        <f t="shared" si="52"/>
        <v>N</v>
      </c>
      <c r="X180" s="187">
        <f t="shared" si="63"/>
        <v>1</v>
      </c>
      <c r="Y180" s="62">
        <f t="shared" si="65"/>
        <v>5.8635999999999999</v>
      </c>
      <c r="Z180" s="62">
        <f t="shared" si="53"/>
        <v>6.7799999999999999E-2</v>
      </c>
      <c r="AA180" s="62">
        <f t="shared" si="54"/>
        <v>5.7957999999999998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5"/>
        <v>0838-24</v>
      </c>
      <c r="AE180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0" s="82" t="str">
        <f t="shared" si="57"/>
        <v>"C:\Program Files (x86)\AstroGrep\AstroGrep.exe" /e /r /s /spath="%USERPROFILE%\AppData\Local\Temp\OnboardLogs" /stypes="app*4043*20170325*" /stext=" 00:.+((SYSTEM_STATE.+slice.+state.+changed )|(ment ac)|(multiple cpu faults)|(system.+state.+changed )|(\[timeout)|(PRM\|1\|D)|(kpr)|(kdp)|(\|lc)|(penalty))"</v>
      </c>
      <c r="AG180" s="1" t="str">
        <f t="shared" si="58"/>
        <v>NW</v>
      </c>
      <c r="AH180" s="86" t="str">
        <f t="shared" si="59"/>
        <v>"%USERPROFILE%\Documents\GitHub\eaglep3\Utilities\RefineRTDCRunTimes.py" --tripid 838-24 --locoid 4043 --swversion DE.1.0.9.0 --startMP 300:58636 --initTime 2017-03-24T18:36:44 --startdatetime 2017-03-24T18:38:53 --delay 1 --endMP 204:678 --enddatetime 2017-03-24T18:58:29 --enforcementcount 0 &gt;&gt;C:\Users\stu\Documents\GitHub\eaglep3-reporting\EC\2017-03-24-refined-times.txt</v>
      </c>
      <c r="AI18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{"issue":{"subject":"","project_id":79,"tracker_id":40,"status_id":1,"priority_id":2,"assigned_to_id":23,"start_date":"2017-03-24","description":"","custom_fields":[{"id":1,"name":"Subdivision","value":"NW"},{"id":4,"name":"Milepost","value":"0.0678"},{"id":17,"name":"Train ID","value":"838-24"},{"id":16,"name":"Locomotive ID","value":"4043"},{"id":130,"name":"Impact","value":""},{"id":150,"name":"Time of Event (Mountain Time)","value":"18:58:29"},{"id":151,"name":"Denver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1"/>
        <v>start /low /b %USERPROFILE%\Documents\GitHub\eaglep3\Utilities\DownloadLogsFromS3.py --loco 4043 --day 2017-03-24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782</v>
      </c>
      <c r="B181" s="7">
        <v>4051</v>
      </c>
      <c r="C181" s="21" t="s">
        <v>219</v>
      </c>
      <c r="D181" s="21" t="s">
        <v>1023</v>
      </c>
      <c r="E181" s="13">
        <v>42818.770300925928</v>
      </c>
      <c r="F181" s="13">
        <v>42818.785636574074</v>
      </c>
      <c r="G181" s="7">
        <v>1</v>
      </c>
      <c r="H181" s="21" t="s">
        <v>588</v>
      </c>
      <c r="I181" s="13">
        <v>42818.794988425929</v>
      </c>
      <c r="J181" s="7">
        <v>0</v>
      </c>
      <c r="K181" s="98" t="str">
        <f t="shared" si="48"/>
        <v>4051/4052</v>
      </c>
      <c r="L181" s="21" t="str">
        <f>VLOOKUP(A181,'Trips&amp;Operators'!$C$1:$G$99999,5,FALSE)</f>
        <v>SMITH MICHAEL</v>
      </c>
      <c r="M181" s="6">
        <f t="shared" si="49"/>
        <v>9.3518518551718444E-3</v>
      </c>
      <c r="N181" s="7">
        <f t="shared" si="64"/>
        <v>13.466666671447456</v>
      </c>
      <c r="O181" s="7"/>
      <c r="P181" s="7"/>
      <c r="Q181" s="22"/>
      <c r="R181" s="22"/>
      <c r="S181" s="31">
        <f t="shared" si="62"/>
        <v>1</v>
      </c>
      <c r="T181" s="46" t="str">
        <f t="shared" si="50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1"/>
        <v>https://d0f6bd738d7f1b3e5a7ca70fe4ff75f0.us-east-1.aws.found.io/app/kibana#/discover/Steve-Slow-Train-Analysis-(2080s-and-2083s)?_g=(refreshInterval:(display:Off,pause:!f,section:0,value:0),time:(from:'2017-03-24T17:29:14-0600',mode:absolute,to:'2017-03-24T20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1" s="187" t="str">
        <f t="shared" si="52"/>
        <v>N</v>
      </c>
      <c r="X181" s="187">
        <f t="shared" si="63"/>
        <v>1</v>
      </c>
      <c r="Y181" s="62">
        <f t="shared" si="65"/>
        <v>9.6500000000000002E-2</v>
      </c>
      <c r="Z181" s="62">
        <f t="shared" si="53"/>
        <v>5.8943000000000003</v>
      </c>
      <c r="AA181" s="62">
        <f t="shared" si="54"/>
        <v>5.7978000000000005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5"/>
        <v>0839-24</v>
      </c>
      <c r="AE181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81" s="82" t="str">
        <f t="shared" si="57"/>
        <v>"C:\Program Files (x86)\AstroGrep\AstroGrep.exe" /e /r /s /spath="%USERPROFILE%\AppData\Local\Temp\OnboardLogs" /stypes="app*4051*20170325*" /stext=" 01:.+((SYSTEM_STATE.+slice.+state.+changed )|(ment ac)|(multiple cpu faults)|(system.+state.+changed )|(\[timeout)|(PRM\|1\|D)|(kpr)|(kdp)|(\|lc)|(penalty))"</v>
      </c>
      <c r="AG181" s="1" t="str">
        <f t="shared" si="58"/>
        <v>NW</v>
      </c>
      <c r="AH181" s="86" t="str">
        <f t="shared" si="59"/>
        <v>"%USERPROFILE%\Documents\GitHub\eaglep3\Utilities\RefineRTDCRunTimes.py" --tripid 839-24 --locoid 4051 --swversion DE.1.0.9.0 --startMP 204:965 --initTime 2017-03-24T18:29:14 --startdatetime 2017-03-24T18:51:19 --delay 1 --endMP 300:58943 --enddatetime 2017-03-24T19:04:47 --enforcementcount 0 &gt;&gt;C:\Users\stu\Documents\GitHub\eaglep3-reporting\EC\2017-03-24-refined-times.txt</v>
      </c>
      <c r="AI18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{"issue":{"subject":"","project_id":79,"tracker_id":40,"status_id":1,"priority_id":2,"assigned_to_id":23,"start_date":"2017-03-24","description":"","custom_fields":[{"id":1,"name":"Subdivision","value":"NW"},{"id":4,"name":"Milepost","value":"5.8943"},{"id":17,"name":"Train ID","value":"839-24"},{"id":16,"name":"Locomotive ID","value":"4051"},{"id":130,"name":"Impact","value":""},{"id":150,"name":"Time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1"/>
        <v>start /low /b %USERPROFILE%\Documents\GitHub\eaglep3\Utilities\DownloadLogsFromS3.py --loco 4051 --day 2017-03-24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2017-03-24-UncaughtWiMAX.txt</v>
      </c>
    </row>
    <row r="182" spans="1:91" x14ac:dyDescent="0.25">
      <c r="A182" s="33" t="s">
        <v>793</v>
      </c>
      <c r="B182" s="7">
        <v>4043</v>
      </c>
      <c r="C182" s="21" t="s">
        <v>219</v>
      </c>
      <c r="D182" s="21" t="s">
        <v>1024</v>
      </c>
      <c r="E182" s="13">
        <v>42818.817835648151</v>
      </c>
      <c r="F182" s="13">
        <v>42818.819594907407</v>
      </c>
      <c r="G182" s="7">
        <v>1</v>
      </c>
      <c r="H182" s="21" t="s">
        <v>1025</v>
      </c>
      <c r="I182" s="13">
        <v>42818.832280092596</v>
      </c>
      <c r="J182" s="7">
        <v>0</v>
      </c>
      <c r="K182" s="98" t="str">
        <f t="shared" si="48"/>
        <v>4043/4044</v>
      </c>
      <c r="L182" s="21" t="str">
        <f>VLOOKUP(A182,'Trips&amp;Operators'!$C$1:$G$99999,5,FALSE)</f>
        <v>MENGES BRAD</v>
      </c>
      <c r="M182" s="6">
        <f t="shared" si="49"/>
        <v>1.2685185189184267E-2</v>
      </c>
      <c r="N182" s="7">
        <f t="shared" si="64"/>
        <v>18.266666672425345</v>
      </c>
      <c r="O182" s="7"/>
      <c r="P182" s="7"/>
      <c r="Q182" s="22"/>
      <c r="R182" s="22"/>
      <c r="S182" s="31">
        <f t="shared" si="62"/>
        <v>1</v>
      </c>
      <c r="T182" s="46" t="str">
        <f t="shared" si="50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1"/>
        <v>https://d0f6bd738d7f1b3e5a7ca70fe4ff75f0.us-east-1.aws.found.io/app/kibana#/discover/Steve-Slow-Train-Analysis-(2080s-and-2083s)?_g=(refreshInterval:(display:Off,pause:!f,section:0,value:0),time:(from:'2017-03-24T18:37:41-0600',mode:absolute,to:'2017-03-24T20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87" t="str">
        <f t="shared" si="52"/>
        <v>N</v>
      </c>
      <c r="X182" s="187">
        <f t="shared" si="63"/>
        <v>1</v>
      </c>
      <c r="Y182" s="62">
        <f t="shared" si="65"/>
        <v>5.8634000000000004</v>
      </c>
      <c r="Z182" s="62">
        <f t="shared" si="53"/>
        <v>6.8500000000000005E-2</v>
      </c>
      <c r="AA182" s="62">
        <f t="shared" si="54"/>
        <v>5.7949000000000002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5"/>
        <v>0840-24</v>
      </c>
      <c r="AE182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2" s="82" t="str">
        <f t="shared" si="57"/>
        <v>"C:\Program Files (x86)\AstroGrep\AstroGrep.exe" /e /r /s /spath="%USERPROFILE%\AppData\Local\Temp\OnboardLogs" /stypes="app*4043*20170325*" /stext=" 01:.+((SYSTEM_STATE.+slice.+state.+changed )|(ment ac)|(multiple cpu faults)|(system.+state.+changed )|(\[timeout)|(PRM\|1\|D)|(kpr)|(kdp)|(\|lc)|(penalty))"</v>
      </c>
      <c r="AG182" s="1" t="str">
        <f t="shared" si="58"/>
        <v>NW</v>
      </c>
      <c r="AH182" s="86" t="str">
        <f t="shared" si="59"/>
        <v>"%USERPROFILE%\Documents\GitHub\eaglep3\Utilities\RefineRTDCRunTimes.py" --tripid 840-24 --locoid 4043 --swversion DE.1.0.9.0 --startMP 300:58634 --initTime 2017-03-24T19:37:41 --startdatetime 2017-03-24T19:40:13 --delay 1 --endMP 204:685 --enddatetime 2017-03-24T19:58:29 --enforcementcount 0 &gt;&gt;C:\Users\stu\Documents\GitHub\eaglep3-reporting\EC\2017-03-24-refined-times.txt</v>
      </c>
      <c r="AI18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{"issue":{"subject":"","project_id":79,"tracker_id":40,"status_id":1,"priority_id":2,"assigned_to_id":23,"start_date":"2017-03-24","description":"","custom_fields":[{"id":1,"name":"Subdivision","value":"NW"},{"id":4,"name":"Milepost","value":"0.0685"},{"id":17,"name":"Train ID","value":"840-24"},{"id":16,"name":"Locomotive ID","value":"4043"},{"id":130,"name":"Impact","value":""},{"id":150,"name":"Time of Event (Mountain Time)","value":"19:58:29"},{"id":151,"name":"Denver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1"/>
        <v>start /low /b %USERPROFILE%\Documents\GitHub\eaglep3\Utilities\DownloadLogsFromS3.py --loco 4043 --day 2017-03-24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183" spans="1:91" s="20" customFormat="1" x14ac:dyDescent="0.25">
      <c r="A183" s="33" t="s">
        <v>791</v>
      </c>
      <c r="B183" s="7">
        <v>4044</v>
      </c>
      <c r="C183" s="21" t="s">
        <v>219</v>
      </c>
      <c r="D183" s="21" t="s">
        <v>586</v>
      </c>
      <c r="E183" s="13">
        <v>42818.79996527778</v>
      </c>
      <c r="F183" s="13">
        <v>42818.806562500002</v>
      </c>
      <c r="G183" s="7">
        <v>1</v>
      </c>
      <c r="H183" s="21" t="s">
        <v>1026</v>
      </c>
      <c r="I183" s="13">
        <v>42818.816481481481</v>
      </c>
      <c r="J183" s="7">
        <v>0</v>
      </c>
      <c r="K183" s="98" t="str">
        <f t="shared" si="48"/>
        <v>4043/4044</v>
      </c>
      <c r="L183" s="21" t="str">
        <f>VLOOKUP(A183,'Trips&amp;Operators'!$C$1:$G$99999,5,FALSE)</f>
        <v>MENGES BRAD</v>
      </c>
      <c r="M183" s="6">
        <f t="shared" si="49"/>
        <v>9.9189814791316167E-3</v>
      </c>
      <c r="N183" s="7">
        <f t="shared" si="64"/>
        <v>14.283333329949528</v>
      </c>
      <c r="O183" s="7"/>
      <c r="P183" s="7"/>
      <c r="Q183" s="22"/>
      <c r="R183" s="22"/>
      <c r="S183" s="31">
        <f t="shared" si="62"/>
        <v>1</v>
      </c>
      <c r="T183" s="46" t="str">
        <f t="shared" si="50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1"/>
        <v>https://d0f6bd738d7f1b3e5a7ca70fe4ff75f0.us-east-1.aws.found.io/app/kibana#/discover/Steve-Slow-Train-Analysis-(2080s-and-2083s)?_g=(refreshInterval:(display:Off,pause:!f,section:0,value:0),time:(from:'2017-03-24T18:11:57-0600',mode:absolute,to:'2017-03-24T20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87" t="str">
        <f t="shared" si="52"/>
        <v>N</v>
      </c>
      <c r="X183" s="187">
        <f t="shared" si="63"/>
        <v>1</v>
      </c>
      <c r="Y183" s="62">
        <f t="shared" si="65"/>
        <v>9.74E-2</v>
      </c>
      <c r="Z183" s="62">
        <f t="shared" si="53"/>
        <v>5.8945999999999996</v>
      </c>
      <c r="AA183" s="62">
        <f t="shared" si="54"/>
        <v>5.7971999999999992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5"/>
        <v>0841-24</v>
      </c>
      <c r="AE183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3" s="82" t="str">
        <f t="shared" si="57"/>
        <v>"C:\Program Files (x86)\AstroGrep\AstroGrep.exe" /e /r /s /spath="%USERPROFILE%\AppData\Local\Temp\OnboardLogs" /stypes="app*4044*20170325*" /stext=" 01:.+((SYSTEM_STATE.+slice.+state.+changed )|(ment ac)|(multiple cpu faults)|(system.+state.+changed )|(\[timeout)|(PRM\|1\|D)|(kpr)|(kdp)|(\|lc)|(penalty))"</v>
      </c>
      <c r="AG183" s="1" t="str">
        <f t="shared" si="58"/>
        <v>NW</v>
      </c>
      <c r="AH183" s="86" t="str">
        <f t="shared" si="59"/>
        <v>"%USERPROFILE%\Documents\GitHub\eaglep3\Utilities\RefineRTDCRunTimes.py" --tripid 841-24 --locoid 4044 --swversion DE.1.0.9.0 --startMP 204:974 --initTime 2017-03-24T19:11:57 --startdatetime 2017-03-24T19:21:27 --delay 1 --endMP 300:58946 --enddatetime 2017-03-24T19:35:44 --enforcementcount 0 &gt;&gt;C:\Users\stu\Documents\GitHub\eaglep3-reporting\EC\2017-03-24-refined-times.txt</v>
      </c>
      <c r="AI18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{"issue":{"subject":"","project_id":79,"tracker_id":40,"status_id":1,"priority_id":2,"assigned_to_id":23,"start_date":"2017-03-24","description":"","custom_fields":[{"id":1,"name":"Subdivision","value":"NW"},{"id":4,"name":"Milepost","value":"5.8946"},{"id":17,"name":"Train ID","value":"841-24"},{"id":16,"name":"Locomotive ID","value":"4044"},{"id":130,"name":"Impact","value":""},{"id":150,"name":"Time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1"/>
        <v>start /low /b %USERPROFILE%\Documents\GitHub\eaglep3\Utilities\DownloadLogsFromS3.py --loco 4044 --day 2017-03-24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803</v>
      </c>
      <c r="B184" s="7">
        <v>4043</v>
      </c>
      <c r="C184" s="21" t="s">
        <v>219</v>
      </c>
      <c r="D184" s="21" t="s">
        <v>1010</v>
      </c>
      <c r="E184" s="13">
        <v>42818.859594907408</v>
      </c>
      <c r="F184" s="13">
        <v>42818.86136574074</v>
      </c>
      <c r="G184" s="7">
        <v>1</v>
      </c>
      <c r="H184" s="21" t="s">
        <v>979</v>
      </c>
      <c r="I184" s="13">
        <v>42818.872164351851</v>
      </c>
      <c r="J184" s="7">
        <v>0</v>
      </c>
      <c r="K184" s="98" t="str">
        <f t="shared" si="48"/>
        <v>4043/4044</v>
      </c>
      <c r="L184" s="21" t="str">
        <f>VLOOKUP(A184,'Trips&amp;Operators'!$C$1:$G$99999,5,FALSE)</f>
        <v>MENGES BRAD</v>
      </c>
      <c r="M184" s="6">
        <f t="shared" si="49"/>
        <v>1.0798611110658385E-2</v>
      </c>
      <c r="N184" s="7">
        <f t="shared" si="64"/>
        <v>15.549999999348074</v>
      </c>
      <c r="O184" s="7"/>
      <c r="P184" s="7"/>
      <c r="Q184" s="22"/>
      <c r="R184" s="22"/>
      <c r="S184" s="31">
        <f t="shared" si="62"/>
        <v>1</v>
      </c>
      <c r="T184" s="46" t="str">
        <f t="shared" si="50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1"/>
        <v>https://d0f6bd738d7f1b3e5a7ca70fe4ff75f0.us-east-1.aws.found.io/app/kibana#/discover/Steve-Slow-Train-Analysis-(2080s-and-2083s)?_g=(refreshInterval:(display:Off,pause:!f,section:0,value:0),time:(from:'2017-03-24T19:37:49-0600',mode:absolute,to:'2017-03-24T21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87" t="str">
        <f t="shared" si="52"/>
        <v>N</v>
      </c>
      <c r="X184" s="187">
        <f t="shared" si="63"/>
        <v>1</v>
      </c>
      <c r="Y184" s="62">
        <f t="shared" si="65"/>
        <v>5.8640999999999996</v>
      </c>
      <c r="Z184" s="62">
        <f t="shared" si="53"/>
        <v>7.4099999999999999E-2</v>
      </c>
      <c r="AA184" s="62">
        <f t="shared" si="54"/>
        <v>5.79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5"/>
        <v>0842-24</v>
      </c>
      <c r="AE184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4" s="82" t="str">
        <f t="shared" si="57"/>
        <v>"C:\Program Files (x86)\AstroGrep\AstroGrep.exe" /e /r /s /spath="%USERPROFILE%\AppData\Local\Temp\OnboardLogs" /stypes="app*4043*20170325*" /stext=" 02:.+((SYSTEM_STATE.+slice.+state.+changed )|(ment ac)|(multiple cpu faults)|(system.+state.+changed )|(\[timeout)|(PRM\|1\|D)|(kpr)|(kdp)|(\|lc)|(penalty))"</v>
      </c>
      <c r="AG184" s="1" t="str">
        <f t="shared" si="58"/>
        <v>NW</v>
      </c>
      <c r="AH184" s="86" t="str">
        <f t="shared" si="59"/>
        <v>"%USERPROFILE%\Documents\GitHub\eaglep3\Utilities\RefineRTDCRunTimes.py" --tripid 842-24 --locoid 4043 --swversion DE.1.0.9.0 --startMP 300:58641 --initTime 2017-03-24T20:37:49 --startdatetime 2017-03-24T20:40:22 --delay 1 --endMP 204:741 --enddatetime 2017-03-24T20:55:55 --enforcementcount 0 &gt;&gt;C:\Users\stu\Documents\GitHub\eaglep3-reporting\EC\2017-03-24-refined-times.txt</v>
      </c>
      <c r="AI18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{"issue":{"subject":"","project_id":79,"tracker_id":40,"status_id":1,"priority_id":2,"assigned_to_id":23,"start_date":"2017-03-24","description":"","custom_fields":[{"id":1,"name":"Subdivision","value":"NW"},{"id":4,"name":"Milepost","value":"0.0741"},{"id":17,"name":"Train ID","value":"842-24"},{"id":16,"name":"Locomotive ID","value":"4043"},{"id":130,"name":"Impact","value":""},{"id":150,"name":"Time of Event (Mountain Time)","value":"20:55:55"},{"id":151,"name":"Denver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1"/>
        <v>start /low /b %USERPROFILE%\Documents\GitHub\eaglep3\Utilities\DownloadLogsFromS3.py --loco 4043 --day 2017-03-24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185" spans="1:91" s="20" customFormat="1" x14ac:dyDescent="0.25">
      <c r="A185" s="33" t="s">
        <v>799</v>
      </c>
      <c r="B185" s="7">
        <v>4044</v>
      </c>
      <c r="C185" s="21" t="s">
        <v>219</v>
      </c>
      <c r="D185" s="21" t="s">
        <v>586</v>
      </c>
      <c r="E185" s="13">
        <v>42818.84103009259</v>
      </c>
      <c r="F185" s="13">
        <v>42818.84814814815</v>
      </c>
      <c r="G185" s="7">
        <v>1</v>
      </c>
      <c r="H185" s="21" t="s">
        <v>1026</v>
      </c>
      <c r="I185" s="13">
        <v>42818.857824074075</v>
      </c>
      <c r="J185" s="7">
        <v>0</v>
      </c>
      <c r="K185" s="98" t="str">
        <f t="shared" si="48"/>
        <v>4043/4044</v>
      </c>
      <c r="L185" s="21" t="str">
        <f>VLOOKUP(A185,'Trips&amp;Operators'!$C$1:$G$99999,5,FALSE)</f>
        <v>MENGES BRAD</v>
      </c>
      <c r="M185" s="6">
        <f t="shared" si="49"/>
        <v>9.6759259249665774E-3</v>
      </c>
      <c r="N185" s="7">
        <f t="shared" si="64"/>
        <v>13.933333331951872</v>
      </c>
      <c r="O185" s="7"/>
      <c r="P185" s="7"/>
      <c r="Q185" s="22"/>
      <c r="R185" s="22"/>
      <c r="S185" s="31">
        <f t="shared" si="62"/>
        <v>1</v>
      </c>
      <c r="T185" s="46" t="str">
        <f t="shared" si="50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1"/>
        <v>https://d0f6bd738d7f1b3e5a7ca70fe4ff75f0.us-east-1.aws.found.io/app/kibana#/discover/Steve-Slow-Train-Analysis-(2080s-and-2083s)?_g=(refreshInterval:(display:Off,pause:!f,section:0,value:0),time:(from:'2017-03-24T19:11:05-0600',mode:absolute,to:'2017-03-24T21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87" t="str">
        <f t="shared" si="52"/>
        <v>N</v>
      </c>
      <c r="X185" s="187">
        <f t="shared" si="63"/>
        <v>1</v>
      </c>
      <c r="Y185" s="62">
        <f t="shared" si="65"/>
        <v>9.74E-2</v>
      </c>
      <c r="Z185" s="62">
        <f t="shared" si="53"/>
        <v>5.8945999999999996</v>
      </c>
      <c r="AA185" s="62">
        <f t="shared" si="54"/>
        <v>5.7971999999999992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5"/>
        <v>0843-24</v>
      </c>
      <c r="AE18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5" s="82" t="str">
        <f t="shared" si="57"/>
        <v>"C:\Program Files (x86)\AstroGrep\AstroGrep.exe" /e /r /s /spath="%USERPROFILE%\AppData\Local\Temp\OnboardLogs" /stypes="app*4044*20170325*" /stext=" 02:.+((SYSTEM_STATE.+slice.+state.+changed )|(ment ac)|(multiple cpu faults)|(system.+state.+changed )|(\[timeout)|(PRM\|1\|D)|(kpr)|(kdp)|(\|lc)|(penalty))"</v>
      </c>
      <c r="AG185" s="1" t="str">
        <f t="shared" si="58"/>
        <v>NW</v>
      </c>
      <c r="AH185" s="86" t="str">
        <f t="shared" si="59"/>
        <v>"%USERPROFILE%\Documents\GitHub\eaglep3\Utilities\RefineRTDCRunTimes.py" --tripid 843-24 --locoid 4044 --swversion DE.1.0.9.0 --startMP 204:974 --initTime 2017-03-24T20:11:05 --startdatetime 2017-03-24T20:21:20 --delay 1 --endMP 300:58946 --enddatetime 2017-03-24T20:35:16 --enforcementcount 0 &gt;&gt;C:\Users\stu\Documents\GitHub\eaglep3-reporting\EC\2017-03-24-refined-times.txt</v>
      </c>
      <c r="AI18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{"issue":{"subject":"","project_id":79,"tracker_id":40,"status_id":1,"priority_id":2,"assigned_to_id":23,"start_date":"2017-03-24","description":"","custom_fields":[{"id":1,"name":"Subdivision","value":"NW"},{"id":4,"name":"Milepost","value":"5.8946"},{"id":17,"name":"Train ID","value":"843-24"},{"id":16,"name":"Locomotive ID","value":"4044"},{"id":130,"name":"Impact","value":""},{"id":150,"name":"Time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1"/>
        <v>start /low /b %USERPROFILE%\Documents\GitHub\eaglep3\Utilities\DownloadLogsFromS3.py --loco 4044 --day 2017-03-24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809</v>
      </c>
      <c r="B186" s="7">
        <v>4043</v>
      </c>
      <c r="C186" s="21" t="s">
        <v>219</v>
      </c>
      <c r="D186" s="21" t="s">
        <v>1024</v>
      </c>
      <c r="E186" s="13">
        <v>42818.900567129633</v>
      </c>
      <c r="F186" s="13">
        <v>42818.902013888888</v>
      </c>
      <c r="G186" s="7">
        <v>1</v>
      </c>
      <c r="H186" s="21" t="s">
        <v>1014</v>
      </c>
      <c r="I186" s="13">
        <v>42818.913194444445</v>
      </c>
      <c r="J186" s="7">
        <v>0</v>
      </c>
      <c r="K186" s="98" t="str">
        <f t="shared" si="48"/>
        <v>4043/4044</v>
      </c>
      <c r="L186" s="21" t="str">
        <f>VLOOKUP(A186,'Trips&amp;Operators'!$C$1:$G$99999,5,FALSE)</f>
        <v>SMITH MICHAEL</v>
      </c>
      <c r="M186" s="6">
        <f t="shared" si="49"/>
        <v>1.1180555557075422E-2</v>
      </c>
      <c r="N186" s="7">
        <f t="shared" si="64"/>
        <v>16.100000002188608</v>
      </c>
      <c r="O186" s="7"/>
      <c r="P186" s="7"/>
      <c r="Q186" s="22"/>
      <c r="R186" s="22"/>
      <c r="S186" s="31">
        <f t="shared" si="62"/>
        <v>1</v>
      </c>
      <c r="T186" s="46" t="str">
        <f t="shared" si="50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1"/>
        <v>https://d0f6bd738d7f1b3e5a7ca70fe4ff75f0.us-east-1.aws.found.io/app/kibana#/discover/Steve-Slow-Train-Analysis-(2080s-and-2083s)?_g=(refreshInterval:(display:Off,pause:!f,section:0,value:0),time:(from:'2017-03-24T20:36:49-0600',mode:absolute,to:'2017-03-24T22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87" t="str">
        <f t="shared" si="52"/>
        <v>N</v>
      </c>
      <c r="X186" s="187">
        <f t="shared" si="63"/>
        <v>1</v>
      </c>
      <c r="Y186" s="62">
        <f t="shared" si="65"/>
        <v>5.8634000000000004</v>
      </c>
      <c r="Z186" s="62">
        <f t="shared" si="53"/>
        <v>6.8400000000000002E-2</v>
      </c>
      <c r="AA186" s="62">
        <f t="shared" si="54"/>
        <v>5.7950000000000008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5"/>
        <v>0844-24</v>
      </c>
      <c r="AE18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6" s="82" t="str">
        <f t="shared" si="57"/>
        <v>"C:\Program Files (x86)\AstroGrep\AstroGrep.exe" /e /r /s /spath="%USERPROFILE%\AppData\Local\Temp\OnboardLogs" /stypes="app*4043*20170325*" /stext=" 03:.+((SYSTEM_STATE.+slice.+state.+changed )|(ment ac)|(multiple cpu faults)|(system.+state.+changed )|(\[timeout)|(PRM\|1\|D)|(kpr)|(kdp)|(\|lc)|(penalty))"</v>
      </c>
      <c r="AG186" s="1" t="str">
        <f t="shared" si="58"/>
        <v>NW</v>
      </c>
      <c r="AH186" s="86" t="str">
        <f t="shared" si="59"/>
        <v>"%USERPROFILE%\Documents\GitHub\eaglep3\Utilities\RefineRTDCRunTimes.py" --tripid 844-24 --locoid 4043 --swversion DE.1.0.9.0 --startMP 300:58634 --initTime 2017-03-24T21:36:49 --startdatetime 2017-03-24T21:38:54 --delay 1 --endMP 204:684 --enddatetime 2017-03-24T21:55:00 --enforcementcount 0 &gt;&gt;C:\Users\stu\Documents\GitHub\eaglep3-reporting\EC\2017-03-24-refined-times.txt</v>
      </c>
      <c r="AI18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{"issue":{"subject":"","project_id":79,"tracker_id":40,"status_id":1,"priority_id":2,"assigned_to_id":23,"start_date":"2017-03-24","description":"","custom_fields":[{"id":1,"name":"Subdivision","value":"NW"},{"id":4,"name":"Milepost","value":"0.0684"},{"id":17,"name":"Train ID","value":"844-24"},{"id":16,"name":"Locomotive ID","value":"4043"},{"id":130,"name":"Impact","value":""},{"id":150,"name":"Time of Event (Mountain Time)","value":"21:55:00"},{"id":151,"name":"Denver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1"/>
        <v>start /low /b %USERPROFILE%\Documents\GitHub\eaglep3\Utilities\DownloadLogsFromS3.py --loco 4043 --day 2017-03-24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187" spans="1:91" x14ac:dyDescent="0.25">
      <c r="A187" s="33" t="s">
        <v>806</v>
      </c>
      <c r="B187" s="7">
        <v>4044</v>
      </c>
      <c r="C187" s="21" t="s">
        <v>219</v>
      </c>
      <c r="D187" s="21" t="s">
        <v>1005</v>
      </c>
      <c r="E187" s="13">
        <v>42818.878032407411</v>
      </c>
      <c r="F187" s="13">
        <v>42818.889814814815</v>
      </c>
      <c r="G187" s="7">
        <v>1</v>
      </c>
      <c r="H187" s="21" t="s">
        <v>595</v>
      </c>
      <c r="I187" s="13">
        <v>42818.89947916667</v>
      </c>
      <c r="J187" s="7">
        <v>0</v>
      </c>
      <c r="K187" s="98" t="str">
        <f t="shared" si="48"/>
        <v>4043/4044</v>
      </c>
      <c r="L187" s="21" t="str">
        <f>VLOOKUP(A187,'Trips&amp;Operators'!$C$1:$G$99999,5,FALSE)</f>
        <v>SMITH MICHAEL</v>
      </c>
      <c r="M187" s="6">
        <f t="shared" si="49"/>
        <v>9.6643518554628827E-3</v>
      </c>
      <c r="N187" s="7">
        <f t="shared" si="64"/>
        <v>13.916666671866551</v>
      </c>
      <c r="O187" s="7"/>
      <c r="P187" s="7"/>
      <c r="Q187" s="22"/>
      <c r="R187" s="22"/>
      <c r="S187" s="31">
        <f t="shared" si="62"/>
        <v>1</v>
      </c>
      <c r="T187" s="46" t="str">
        <f t="shared" si="50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1"/>
        <v>https://d0f6bd738d7f1b3e5a7ca70fe4ff75f0.us-east-1.aws.found.io/app/kibana#/discover/Steve-Slow-Train-Analysis-(2080s-and-2083s)?_g=(refreshInterval:(display:Off,pause:!f,section:0,value:0),time:(from:'2017-03-24T20:04:22-0600',mode:absolute,to:'2017-03-24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87" t="str">
        <f t="shared" si="52"/>
        <v>N</v>
      </c>
      <c r="X187" s="187">
        <f t="shared" si="63"/>
        <v>1</v>
      </c>
      <c r="Y187" s="62">
        <f t="shared" si="65"/>
        <v>9.8599999999999993E-2</v>
      </c>
      <c r="Z187" s="62">
        <f t="shared" si="53"/>
        <v>5.8944000000000001</v>
      </c>
      <c r="AA187" s="62">
        <f t="shared" si="54"/>
        <v>5.7957999999999998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5"/>
        <v>0845-24</v>
      </c>
      <c r="AE187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7" s="82" t="str">
        <f t="shared" si="57"/>
        <v>"C:\Program Files (x86)\AstroGrep\AstroGrep.exe" /e /r /s /spath="%USERPROFILE%\AppData\Local\Temp\OnboardLogs" /stypes="app*4044*20170325*" /stext=" 03:.+((SYSTEM_STATE.+slice.+state.+changed )|(ment ac)|(multiple cpu faults)|(system.+state.+changed )|(\[timeout)|(PRM\|1\|D)|(kpr)|(kdp)|(\|lc)|(penalty))"</v>
      </c>
      <c r="AG187" s="1" t="str">
        <f t="shared" si="58"/>
        <v>NW</v>
      </c>
      <c r="AH187" s="86" t="str">
        <f t="shared" si="59"/>
        <v>"%USERPROFILE%\Documents\GitHub\eaglep3\Utilities\RefineRTDCRunTimes.py" --tripid 845-24 --locoid 4044 --swversion DE.1.0.9.0 --startMP 204:986 --initTime 2017-03-24T21:04:22 --startdatetime 2017-03-24T21:21:20 --delay 1 --endMP 300:58944 --enddatetime 2017-03-24T21:35:15 --enforcementcount 0 &gt;&gt;C:\Users\stu\Documents\GitHub\eaglep3-reporting\EC\2017-03-24-refined-times.txt</v>
      </c>
      <c r="AI18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{"issue":{"subject":"","project_id":79,"tracker_id":40,"status_id":1,"priority_id":2,"assigned_to_id":23,"start_date":"2017-03-24","description":"","custom_fields":[{"id":1,"name":"Subdivision","value":"NW"},{"id":4,"name":"Milepost","value":"5.8944"},{"id":17,"name":"Train ID","value":"845-24"},{"id":16,"name":"Locomotive ID","value":"4044"},{"id":130,"name":"Impact","value":""},{"id":150,"name":"Time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1"/>
        <v>start /low /b %USERPROFILE%\Documents\GitHub\eaglep3\Utilities\DownloadLogsFromS3.py --loco 4044 --day 2017-03-24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</row>
    <row r="188" spans="1:91" s="20" customFormat="1" x14ac:dyDescent="0.25">
      <c r="A188" s="33" t="s">
        <v>811</v>
      </c>
      <c r="B188" s="7">
        <v>4044</v>
      </c>
      <c r="C188" s="21" t="s">
        <v>219</v>
      </c>
      <c r="D188" s="21" t="s">
        <v>1023</v>
      </c>
      <c r="E188" s="13">
        <v>42818.916724537034</v>
      </c>
      <c r="F188" s="13">
        <v>42818.931493055556</v>
      </c>
      <c r="G188" s="7">
        <v>1</v>
      </c>
      <c r="H188" s="21" t="s">
        <v>587</v>
      </c>
      <c r="I188" s="13">
        <v>42818.940752314818</v>
      </c>
      <c r="J188" s="7">
        <v>0</v>
      </c>
      <c r="K188" s="98" t="str">
        <f t="shared" si="48"/>
        <v>4043/4044</v>
      </c>
      <c r="L188" s="21" t="str">
        <f>VLOOKUP(A188,'Trips&amp;Operators'!$C$1:$G$99999,5,FALSE)</f>
        <v>SMITH MICHAEL</v>
      </c>
      <c r="M188" s="6">
        <f t="shared" si="49"/>
        <v>9.2592592627624981E-3</v>
      </c>
      <c r="N188" s="7">
        <f t="shared" si="64"/>
        <v>13.333333338377997</v>
      </c>
      <c r="O188" s="7"/>
      <c r="P188" s="7"/>
      <c r="Q188" s="22"/>
      <c r="R188" s="22"/>
      <c r="S188" s="31">
        <f t="shared" si="62"/>
        <v>1</v>
      </c>
      <c r="T188" s="46" t="str">
        <f t="shared" si="50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1"/>
        <v>https://d0f6bd738d7f1b3e5a7ca70fe4ff75f0.us-east-1.aws.found.io/app/kibana#/discover/Steve-Slow-Train-Analysis-(2080s-and-2083s)?_g=(refreshInterval:(display:Off,pause:!f,section:0,value:0),time:(from:'2017-03-24T21:00:05-0600',mode:absolute,to:'2017-03-24T23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87" t="str">
        <f t="shared" si="52"/>
        <v>N</v>
      </c>
      <c r="X188" s="187">
        <f t="shared" si="63"/>
        <v>2</v>
      </c>
      <c r="Y188" s="62">
        <f t="shared" si="65"/>
        <v>9.6500000000000002E-2</v>
      </c>
      <c r="Z188" s="62">
        <f t="shared" si="53"/>
        <v>5.8987999999999996</v>
      </c>
      <c r="AA188" s="62">
        <f t="shared" si="54"/>
        <v>5.8022999999999998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5"/>
        <v>0847-24</v>
      </c>
      <c r="AE188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8" s="82" t="str">
        <f t="shared" si="57"/>
        <v>"C:\Program Files (x86)\AstroGrep\AstroGrep.exe" /e /r /s /spath="%USERPROFILE%\AppData\Local\Temp\OnboardLogs" /stypes="app*4044*20170325*" /stext=" 04:.+((SYSTEM_STATE.+slice.+state.+changed )|(ment ac)|(multiple cpu faults)|(system.+state.+changed )|(\[timeout)|(PRM\|1\|D)|(kpr)|(kdp)|(\|lc)|(penalty))"</v>
      </c>
      <c r="AG188" s="1" t="str">
        <f t="shared" si="58"/>
        <v>NW</v>
      </c>
      <c r="AH188" s="86" t="str">
        <f t="shared" si="59"/>
        <v>"%USERPROFILE%\Documents\GitHub\eaglep3\Utilities\RefineRTDCRunTimes.py" --tripid 847-24 --locoid 4044 --swversion DE.1.0.9.0 --startMP 204:965 --initTime 2017-03-24T22:00:05 --startdatetime 2017-03-24T22:21:21 --delay 1 --endMP 300:58988 --enddatetime 2017-03-24T22:34:41 --enforcementcount 0 &gt;&gt;C:\Users\stu\Documents\GitHub\eaglep3-reporting\EC\2017-03-24-refined-times.txt</v>
      </c>
      <c r="AI18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ID","value":"847-24"},{"id":16,"name":"Locomotive ID","value":"4044"},{"id":130,"name":"Impact","value":""},{"id":150,"name":"Time of Event (Mountain Time)","value":"22:34:41"},{"id":151,"name":"Denver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1"/>
        <v>start /low /b %USERPROFILE%\Documents\GitHub\eaglep3\Utilities\DownloadLogsFromS3.py --loco 4044 --day 2017-03-24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633</v>
      </c>
      <c r="B189" s="7">
        <v>4017</v>
      </c>
      <c r="C189" s="21" t="s">
        <v>219</v>
      </c>
      <c r="D189" s="21" t="s">
        <v>925</v>
      </c>
      <c r="E189" s="13">
        <v>42818.11482638889</v>
      </c>
      <c r="F189" s="13">
        <v>42818.124756944446</v>
      </c>
      <c r="G189" s="7">
        <v>14</v>
      </c>
      <c r="H189" s="21" t="s">
        <v>518</v>
      </c>
      <c r="I189" s="13">
        <v>42818.130740740744</v>
      </c>
      <c r="J189" s="7">
        <v>0</v>
      </c>
      <c r="K189" s="98" t="str">
        <f t="shared" si="48"/>
        <v>4017/4018</v>
      </c>
      <c r="L189" s="21" t="str">
        <f>VLOOKUP(A189,'Trips&amp;Operators'!$C$1:$G$99999,5,FALSE)</f>
        <v>BADERTSCHER DIANE</v>
      </c>
      <c r="M189" s="6">
        <f t="shared" si="49"/>
        <v>5.9837962980964221E-3</v>
      </c>
      <c r="N189" s="7">
        <f t="shared" si="64"/>
        <v>8.6166666692588478</v>
      </c>
      <c r="O189" s="7"/>
      <c r="P189" s="7"/>
      <c r="Q189" s="22"/>
      <c r="R189" s="22"/>
      <c r="S189" s="31">
        <f t="shared" si="62"/>
        <v>1</v>
      </c>
      <c r="T189" s="46" t="str">
        <f t="shared" si="50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1"/>
        <v>https://d0f6bd738d7f1b3e5a7ca70fe4ff75f0.us-east-1.aws.found.io/app/kibana#/discover/Steve-Slow-Train-Analysis-(2080s-and-2083s)?_g=(refreshInterval:(display:Off,pause:!f,section:0,value:0),time:(from:'2017-03-24T01:45:21-0600',mode:absolute,to:'2017-03-24T04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87" t="str">
        <f t="shared" si="52"/>
        <v>Y</v>
      </c>
      <c r="X189" s="187">
        <f t="shared" si="63"/>
        <v>-545</v>
      </c>
      <c r="Y189" s="62">
        <f t="shared" si="65"/>
        <v>2.2637</v>
      </c>
      <c r="Z189" s="62">
        <f t="shared" si="53"/>
        <v>1.38E-2</v>
      </c>
      <c r="AA189" s="62">
        <f t="shared" si="54"/>
        <v>2.2499000000000002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5"/>
        <v>0302-24</v>
      </c>
      <c r="AE189" s="85" t="str">
        <f t="shared" si="5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189" s="82" t="str">
        <f t="shared" si="57"/>
        <v>"C:\Program Files (x86)\AstroGrep\AstroGrep.exe" /e /r /s /spath="%USERPROFILE%\AppData\Local\Temp\OnboardLogs" /stypes="app*4017*20170324*" /stext=" 09:.+((SYSTEM_STATE.+slice.+state.+changed )|(ment ac)|(multiple cpu faults)|(system.+state.+changed )|(\[timeout)|(PRM\|1\|D)|(kpr)|(kdp)|(\|lc)|(penalty))"</v>
      </c>
      <c r="AG189" s="1" t="str">
        <f t="shared" si="58"/>
        <v>Other</v>
      </c>
      <c r="AH189" s="86" t="str">
        <f t="shared" si="59"/>
        <v>"%USERPROFILE%\Documents\GitHub\eaglep3\Utilities\RefineRTDCRunTimes.py" --tripid 302-24 --locoid 4017 --swversion DE.1.0.9.0 --startMP 300:22637 --initTime 2017-03-24T02:45:21 --startdatetime 2017-03-24T02:59:39 --delay 14 --endMP 204:138 --enddatetime 2017-03-24T03:08:16 --enforcementcount 0 &gt;&gt;C:\Users\stu\Documents\GitHub\eaglep3-reporting\EC\2017-03-24-refined-times.txt</v>
      </c>
      <c r="AI189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{"issue":{"subject":"","project_id":79,"tracker_id":40,"status_id":1,"priority_id":2,"assigned_to_id":23,"start_date":"2017-03-24","description":"","custom_fields":[{"id":1,"name":"Subdivision","value":"Other"},{"id":4,"name":"Milepost","value":"0.0138"},{"id":17,"name":"Train ID","value":"302-24"},{"id":16,"name":"Locomotive ID","value":"4017"},{"id":130,"name":"Impact","value":""},{"id":150,"name":"Time of Event (Mountain Time)","value":"03:08:16"},{"id":151,"name":"Denver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1"/>
        <v>start /low /b %USERPROFILE%\Documents\GitHub\eaglep3\Utilities\DownloadLogsFromS3.py --loco 4017 --day 2017-03-24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190" spans="1:91" x14ac:dyDescent="0.25">
      <c r="A190" s="33" t="s">
        <v>785</v>
      </c>
      <c r="B190" s="7">
        <v>4018</v>
      </c>
      <c r="C190" s="21" t="s">
        <v>219</v>
      </c>
      <c r="D190" s="21" t="s">
        <v>400</v>
      </c>
      <c r="E190" s="13">
        <v>42818.776909722219</v>
      </c>
      <c r="F190" s="13">
        <v>42818.779236111113</v>
      </c>
      <c r="G190" s="7">
        <v>1</v>
      </c>
      <c r="H190" s="21" t="s">
        <v>926</v>
      </c>
      <c r="I190" s="13">
        <v>42818.78429398148</v>
      </c>
      <c r="J190" s="7">
        <v>0</v>
      </c>
      <c r="K190" s="98" t="str">
        <f t="shared" si="48"/>
        <v>4017/4018</v>
      </c>
      <c r="L190" s="21" t="str">
        <f>VLOOKUP(A190,'Trips&amp;Operators'!$C$1:$G$99999,5,FALSE)</f>
        <v>FORTUNATO FRANK</v>
      </c>
      <c r="M190" s="6">
        <f t="shared" si="49"/>
        <v>5.057870366727002E-3</v>
      </c>
      <c r="N190" s="7">
        <f t="shared" si="64"/>
        <v>7.2833333280868828</v>
      </c>
      <c r="O190" s="7"/>
      <c r="P190" s="7"/>
      <c r="Q190" s="22"/>
      <c r="R190" s="22"/>
      <c r="S190" s="31">
        <f t="shared" si="62"/>
        <v>1</v>
      </c>
      <c r="T190" s="46" t="str">
        <f t="shared" si="50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1"/>
        <v>https://d0f6bd738d7f1b3e5a7ca70fe4ff75f0.us-east-1.aws.found.io/app/kibana#/discover/Steve-Slow-Train-Analysis-(2080s-and-2083s)?_g=(refreshInterval:(display:Off,pause:!f,section:0,value:0),time:(from:'2017-03-24T17:38:45-0600',mode:absolute,to:'2017-03-24T19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87" t="str">
        <f t="shared" si="52"/>
        <v>Y</v>
      </c>
      <c r="X190" s="187">
        <f t="shared" si="63"/>
        <v>1</v>
      </c>
      <c r="Y190" s="62">
        <f t="shared" si="65"/>
        <v>4.7300000000000002E-2</v>
      </c>
      <c r="Z190" s="62">
        <f t="shared" si="53"/>
        <v>2.3304</v>
      </c>
      <c r="AA190" s="62">
        <f t="shared" si="54"/>
        <v>2.2831000000000001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5"/>
        <v>0303-24</v>
      </c>
      <c r="AE190" s="85" t="str">
        <f t="shared" si="5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190" s="82" t="str">
        <f t="shared" si="57"/>
        <v>"C:\Program Files (x86)\AstroGrep\AstroGrep.exe" /e /r /s /spath="%USERPROFILE%\AppData\Local\Temp\OnboardLogs" /stypes="app*4018*20170325*" /stext=" 00:.+((SYSTEM_STATE.+slice.+state.+changed )|(ment ac)|(multiple cpu faults)|(system.+state.+changed )|(\[timeout)|(PRM\|1\|D)|(kpr)|(kdp)|(\|lc)|(penalty))"</v>
      </c>
      <c r="AG190" s="1" t="str">
        <f t="shared" si="58"/>
        <v>Other</v>
      </c>
      <c r="AH190" s="86" t="str">
        <f t="shared" si="59"/>
        <v>"%USERPROFILE%\Documents\GitHub\eaglep3\Utilities\RefineRTDCRunTimes.py" --tripid 303-24 --locoid 4018 --swversion DE.1.0.9.0 --startMP 204:473 --initTime 2017-03-24T18:38:45 --startdatetime 2017-03-24T18:42:06 --delay 1 --endMP 300:23304 --enddatetime 2017-03-24T18:49:23 --enforcementcount 0 &gt;&gt;C:\Users\stu\Documents\GitHub\eaglep3-reporting\EC\2017-03-24-refined-times.txt</v>
      </c>
      <c r="AI190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{"issue":{"subject":"","project_id":79,"tracker_id":40,"status_id":1,"priority_id":2,"assigned_to_id":23,"start_date":"2017-03-24","description":"","custom_fields":[{"id":1,"name":"Subdivision","value":"Other"},{"id":4,"name":"Milepost","value":"2.3304"},{"id":17,"name":"Train ID","value":"303-24"},{"id":16,"name":"Locomotive ID","value":"4018"},{"id":130,"name":"Impact","value":""},{"id":150,"name":"Time of Event (Mountain Time)","value":"18:49:23"},{"id":151,"name":"Denver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1"/>
        <v>start /low /b %USERPROFILE%\Documents\GitHub\eaglep3\Utilities\DownloadLogsFromS3.py --loco 4018 --day 2017-03-24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2017-03-24-UncaughtWiMAX.txt</v>
      </c>
    </row>
    <row r="191" spans="1:91" x14ac:dyDescent="0.25">
      <c r="A191" s="33" t="s">
        <v>635</v>
      </c>
      <c r="B191" s="7">
        <v>4032</v>
      </c>
      <c r="C191" s="21" t="s">
        <v>219</v>
      </c>
      <c r="D191" s="21" t="s">
        <v>927</v>
      </c>
      <c r="E191" s="13">
        <v>42818.13795138889</v>
      </c>
      <c r="F191" s="13">
        <v>42818.141030092593</v>
      </c>
      <c r="G191" s="7">
        <v>4</v>
      </c>
      <c r="H191" s="21" t="s">
        <v>928</v>
      </c>
      <c r="I191" s="13">
        <v>42818.14880787037</v>
      </c>
      <c r="J191" s="7">
        <v>0</v>
      </c>
      <c r="K191" s="98" t="str">
        <f t="shared" si="48"/>
        <v>4031/4032</v>
      </c>
      <c r="L191" s="21" t="str">
        <f>VLOOKUP(A191,'Trips&amp;Operators'!$C$1:$G$99999,5,FALSE)</f>
        <v>DAVIS WENDY</v>
      </c>
      <c r="M191" s="6">
        <f t="shared" si="49"/>
        <v>7.7777777769370005E-3</v>
      </c>
      <c r="N191" s="7">
        <f t="shared" ref="N191:N222" si="66">24*60*SUM($M191:$M191)</f>
        <v>11.199999998789281</v>
      </c>
      <c r="O191" s="7"/>
      <c r="P191" s="7"/>
      <c r="Q191" s="22"/>
      <c r="R191" s="22"/>
      <c r="S191" s="31">
        <f t="shared" si="62"/>
        <v>1</v>
      </c>
      <c r="T191" s="46" t="str">
        <f t="shared" si="50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1"/>
        <v>https://d0f6bd738d7f1b3e5a7ca70fe4ff75f0.us-east-1.aws.found.io/app/kibana#/discover/Steve-Slow-Train-Analysis-(2080s-and-2083s)?_g=(refreshInterval:(display:Off,pause:!f,section:0,value:0),time:(from:'2017-03-24T02:18:39-0600',mode:absolute,to:'2017-03-24T04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7" t="str">
        <f t="shared" si="52"/>
        <v>Y</v>
      </c>
      <c r="X191" s="187">
        <f t="shared" si="63"/>
        <v>1</v>
      </c>
      <c r="Y191" s="62">
        <f t="shared" ref="Y191:Y222" si="67">RIGHT(D191,LEN(D191)-4)/10000</f>
        <v>2.3616000000000001</v>
      </c>
      <c r="Z191" s="62">
        <f t="shared" si="53"/>
        <v>1.1599999999999999E-2</v>
      </c>
      <c r="AA191" s="62">
        <f t="shared" si="54"/>
        <v>2.35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5"/>
        <v>0304-24</v>
      </c>
      <c r="AE191" s="85" t="str">
        <f t="shared" si="5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191" s="82" t="str">
        <f t="shared" si="57"/>
        <v>"C:\Program Files (x86)\AstroGrep\AstroGrep.exe" /e /r /s /spath="%USERPROFILE%\AppData\Local\Temp\OnboardLogs" /stypes="app*4032*20170324*" /stext=" 09:.+((SYSTEM_STATE.+slice.+state.+changed )|(ment ac)|(multiple cpu faults)|(system.+state.+changed )|(\[timeout)|(PRM\|1\|D)|(kpr)|(kdp)|(\|lc)|(penalty))"</v>
      </c>
      <c r="AG191" s="1" t="str">
        <f t="shared" si="58"/>
        <v>Other</v>
      </c>
      <c r="AH191" s="86" t="str">
        <f t="shared" si="59"/>
        <v>"%USERPROFILE%\Documents\GitHub\eaglep3\Utilities\RefineRTDCRunTimes.py" --tripid 304-24 --locoid 4032 --swversion DE.1.0.9.0 --startMP 300:23616 --initTime 2017-03-24T03:18:39 --startdatetime 2017-03-24T03:23:05 --delay 4 --endMP 204:116 --enddatetime 2017-03-24T03:34:17 --enforcementcount 0 &gt;&gt;C:\Users\stu\Documents\GitHub\eaglep3-reporting\EC\2017-03-24-refined-times.txt</v>
      </c>
      <c r="AI191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{"issue":{"subject":"","project_id":79,"tracker_id":40,"status_id":1,"priority_id":2,"assigned_to_id":23,"start_date":"2017-03-24","description":"","custom_fields":[{"id":1,"name":"Subdivision","value":"Other"},{"id":4,"name":"Milepost","value":"0.0116"},{"id":17,"name":"Train ID","value":"304-24"},{"id":16,"name":"Locomotive ID","value":"4032"},{"id":130,"name":"Impact","value":""},{"id":150,"name":"Time of Event (Mountain Time)","value":"03:34:17"},{"id":151,"name":"Denver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1"/>
        <v>start /low /b %USERPROFILE%\Documents\GitHub\eaglep3\Utilities\DownloadLogsFromS3.py --loco 4032 --day 2017-03-24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</row>
    <row r="192" spans="1:91" x14ac:dyDescent="0.25">
      <c r="A192" s="33" t="s">
        <v>790</v>
      </c>
      <c r="B192" s="7">
        <v>4031</v>
      </c>
      <c r="C192" s="21" t="s">
        <v>219</v>
      </c>
      <c r="D192" s="21" t="s">
        <v>441</v>
      </c>
      <c r="E192" s="13">
        <v>42818.799722222226</v>
      </c>
      <c r="F192" s="13">
        <v>42818.801574074074</v>
      </c>
      <c r="G192" s="7">
        <v>1</v>
      </c>
      <c r="H192" s="21" t="s">
        <v>929</v>
      </c>
      <c r="I192" s="13">
        <v>42818.80641203704</v>
      </c>
      <c r="J192" s="7">
        <v>0</v>
      </c>
      <c r="K192" s="98" t="str">
        <f t="shared" si="48"/>
        <v>4031/4032</v>
      </c>
      <c r="L192" s="21" t="str">
        <f>VLOOKUP(A192,'Trips&amp;Operators'!$C$1:$G$99999,5,FALSE)</f>
        <v>BRANDNER MELINDA</v>
      </c>
      <c r="M192" s="6">
        <f t="shared" si="49"/>
        <v>4.8379629661212675E-3</v>
      </c>
      <c r="N192" s="7">
        <f t="shared" si="66"/>
        <v>6.9666666712146252</v>
      </c>
      <c r="O192" s="7"/>
      <c r="P192" s="7"/>
      <c r="Q192" s="22"/>
      <c r="R192" s="22"/>
      <c r="S192" s="31">
        <f t="shared" si="62"/>
        <v>1</v>
      </c>
      <c r="T192" s="46" t="str">
        <f t="shared" si="50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1"/>
        <v>https://d0f6bd738d7f1b3e5a7ca70fe4ff75f0.us-east-1.aws.found.io/app/kibana#/discover/Steve-Slow-Train-Analysis-(2080s-and-2083s)?_g=(refreshInterval:(display:Off,pause:!f,section:0,value:0),time:(from:'2017-03-24T18:11:36-0600',mode:absolute,to:'2017-03-24T20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 t="shared" si="52"/>
        <v>Y</v>
      </c>
      <c r="X192" s="187">
        <f t="shared" si="63"/>
        <v>1</v>
      </c>
      <c r="Y192" s="62">
        <f t="shared" si="67"/>
        <v>4.4900000000000002E-2</v>
      </c>
      <c r="Z192" s="62">
        <f t="shared" si="53"/>
        <v>2.3022</v>
      </c>
      <c r="AA192" s="62">
        <f t="shared" si="54"/>
        <v>2.2572999999999999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5"/>
        <v>0305-24</v>
      </c>
      <c r="AE192" s="85" t="str">
        <f t="shared" si="5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192" s="82" t="str">
        <f t="shared" si="57"/>
        <v>"C:\Program Files (x86)\AstroGrep\AstroGrep.exe" /e /r /s /spath="%USERPROFILE%\AppData\Local\Temp\OnboardLogs" /stypes="app*4031*20170325*" /stext=" 01:.+((SYSTEM_STATE.+slice.+state.+changed )|(ment ac)|(multiple cpu faults)|(system.+state.+changed )|(\[timeout)|(PRM\|1\|D)|(kpr)|(kdp)|(\|lc)|(penalty))"</v>
      </c>
      <c r="AG192" s="1" t="str">
        <f t="shared" si="58"/>
        <v>Other</v>
      </c>
      <c r="AH192" s="86" t="str">
        <f t="shared" si="59"/>
        <v>"%USERPROFILE%\Documents\GitHub\eaglep3\Utilities\RefineRTDCRunTimes.py" --tripid 305-24 --locoid 4031 --swversion DE.1.0.9.0 --startMP 204:449 --initTime 2017-03-24T19:11:36 --startdatetime 2017-03-24T19:14:16 --delay 1 --endMP 300:23022 --enddatetime 2017-03-24T19:21:14 --enforcementcount 0 &gt;&gt;C:\Users\stu\Documents\GitHub\eaglep3-reporting\EC\2017-03-24-refined-times.txt</v>
      </c>
      <c r="AI192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{"issue":{"subject":"","project_id":79,"tracker_id":40,"status_id":1,"priority_id":2,"assigned_to_id":23,"start_date":"2017-03-24","description":"","custom_fields":[{"id":1,"name":"Subdivision","value":"Other"},{"id":4,"name":"Milepost","value":"2.3022"},{"id":17,"name":"Train ID","value":"305-24"},{"id":16,"name":"Locomotive ID","value":"4031"},{"id":130,"name":"Impact","value":""},{"id":150,"name":"Time of Event (Mountain Time)","value":"19:21:14"},{"id":151,"name":"Denver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1"/>
        <v>start /low /b %USERPROFILE%\Documents\GitHub\eaglep3\Utilities\DownloadLogsFromS3.py --loco 4031 --day 2017-03-24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2017-03-24-UncaughtWiMAX.txt</v>
      </c>
    </row>
    <row r="193" spans="1:40" x14ac:dyDescent="0.25">
      <c r="A193" s="33" t="s">
        <v>601</v>
      </c>
      <c r="B193" s="7">
        <v>4012</v>
      </c>
      <c r="C193" s="21" t="s">
        <v>219</v>
      </c>
      <c r="D193" s="21" t="s">
        <v>930</v>
      </c>
      <c r="E193" s="13">
        <v>42818.161504629628</v>
      </c>
      <c r="F193" s="13">
        <v>42818.163194444445</v>
      </c>
      <c r="G193" s="7">
        <v>2</v>
      </c>
      <c r="H193" s="21" t="s">
        <v>214</v>
      </c>
      <c r="I193" s="13">
        <v>42818.170972222222</v>
      </c>
      <c r="J193" s="7">
        <v>0</v>
      </c>
      <c r="K193" s="98" t="str">
        <f t="shared" si="48"/>
        <v>4011/4012</v>
      </c>
      <c r="L193" s="21" t="str">
        <f>VLOOKUP(A193,'Trips&amp;Operators'!$C$1:$G$99999,5,FALSE)</f>
        <v>ROBINSON KADDIBA</v>
      </c>
      <c r="M193" s="6">
        <f t="shared" si="49"/>
        <v>7.7777777769370005E-3</v>
      </c>
      <c r="N193" s="7">
        <f t="shared" si="66"/>
        <v>11.199999998789281</v>
      </c>
      <c r="O193" s="7"/>
      <c r="P193" s="7"/>
      <c r="Q193" s="22"/>
      <c r="R193" s="22"/>
      <c r="S193" s="31">
        <f t="shared" si="62"/>
        <v>1</v>
      </c>
      <c r="T193" s="46" t="str">
        <f t="shared" si="50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1"/>
        <v>https://d0f6bd738d7f1b3e5a7ca70fe4ff75f0.us-east-1.aws.found.io/app/kibana#/discover/Steve-Slow-Train-Analysis-(2080s-and-2083s)?_g=(refreshInterval:(display:Off,pause:!f,section:0,value:0),time:(from:'2017-03-24T02:52:34-0600',mode:absolute,to:'2017-03-24T05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87" t="str">
        <f t="shared" si="52"/>
        <v>Y</v>
      </c>
      <c r="X193" s="187">
        <f t="shared" si="63"/>
        <v>1</v>
      </c>
      <c r="Y193" s="62">
        <f t="shared" si="67"/>
        <v>2.3601000000000001</v>
      </c>
      <c r="Z193" s="62">
        <f t="shared" si="53"/>
        <v>1.5599999999999999E-2</v>
      </c>
      <c r="AA193" s="62">
        <f t="shared" si="54"/>
        <v>2.3445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5"/>
        <v>0306-24</v>
      </c>
      <c r="AE193" s="85" t="str">
        <f t="shared" si="5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193" s="82" t="str">
        <f t="shared" si="57"/>
        <v>"C:\Program Files (x86)\AstroGrep\AstroGrep.exe" /e /r /s /spath="%USERPROFILE%\AppData\Local\Temp\OnboardLogs" /stypes="app*4012*20170324*" /stext=" 10:.+((SYSTEM_STATE.+slice.+state.+changed )|(ment ac)|(multiple cpu faults)|(system.+state.+changed )|(\[timeout)|(PRM\|1\|D)|(kpr)|(kdp)|(\|lc)|(penalty))"</v>
      </c>
      <c r="AG193" s="1" t="str">
        <f t="shared" si="58"/>
        <v>Other</v>
      </c>
      <c r="AH193" s="86" t="str">
        <f t="shared" si="59"/>
        <v>"%USERPROFILE%\Documents\GitHub\eaglep3\Utilities\RefineRTDCRunTimes.py" --tripid 306-24 --locoid 4012 --swversion DE.1.0.9.0 --startMP 300:23601 --initTime 2017-03-24T03:52:34 --startdatetime 2017-03-24T03:55:00 --delay 2 --endMP 204:156 --enddatetime 2017-03-24T04:06:12 --enforcementcount 0 &gt;&gt;C:\Users\stu\Documents\GitHub\eaglep3-reporting\EC\2017-03-24-refined-times.txt</v>
      </c>
      <c r="AI193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{"issue":{"subject":"","project_id":79,"tracker_id":40,"status_id":1,"priority_id":2,"assigned_to_id":23,"start_date":"2017-03-24","description":"","custom_fields":[{"id":1,"name":"Subdivision","value":"Other"},{"id":4,"name":"Milepost","value":"0.0156"},{"id":17,"name":"Train ID","value":"306-24"},{"id":16,"name":"Locomotive ID","value":"4012"},{"id":130,"name":"Impact","value":""},{"id":150,"name":"Time of Event (Mountain Time)","value":"04:06:12"},{"id":151,"name":"Denver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1"/>
        <v>start /low /b %USERPROFILE%\Documents\GitHub\eaglep3\Utilities\DownloadLogsFromS3.py --loco 4012 --day 2017-03-24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</row>
    <row r="194" spans="1:40" x14ac:dyDescent="0.25">
      <c r="A194" s="33" t="s">
        <v>794</v>
      </c>
      <c r="B194" s="7">
        <v>4011</v>
      </c>
      <c r="C194" s="21" t="s">
        <v>219</v>
      </c>
      <c r="D194" s="21" t="s">
        <v>208</v>
      </c>
      <c r="E194" s="13">
        <v>42818.819710648146</v>
      </c>
      <c r="F194" s="13">
        <v>42818.821111111109</v>
      </c>
      <c r="G194" s="7">
        <v>1</v>
      </c>
      <c r="H194" s="21" t="s">
        <v>931</v>
      </c>
      <c r="I194" s="13">
        <v>42818.829699074071</v>
      </c>
      <c r="J194" s="7">
        <v>0</v>
      </c>
      <c r="K194" s="98" t="str">
        <f t="shared" si="48"/>
        <v>4011/4012</v>
      </c>
      <c r="L194" s="21" t="str">
        <f>VLOOKUP(A194,'Trips&amp;Operators'!$C$1:$G$99999,5,FALSE)</f>
        <v>STRICKLAND EVAN</v>
      </c>
      <c r="M194" s="6">
        <f t="shared" si="49"/>
        <v>8.5879629623377696E-3</v>
      </c>
      <c r="N194" s="7">
        <f t="shared" si="66"/>
        <v>12.366666665766388</v>
      </c>
      <c r="O194" s="7"/>
      <c r="P194" s="7"/>
      <c r="Q194" s="22"/>
      <c r="R194" s="22"/>
      <c r="S194" s="31">
        <f t="shared" si="62"/>
        <v>1</v>
      </c>
      <c r="T194" s="46" t="str">
        <f t="shared" si="50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1"/>
        <v>https://d0f6bd738d7f1b3e5a7ca70fe4ff75f0.us-east-1.aws.found.io/app/kibana#/discover/Steve-Slow-Train-Analysis-(2080s-and-2083s)?_g=(refreshInterval:(display:Off,pause:!f,section:0,value:0),time:(from:'2017-03-24T18:40:23-0600',mode:absolute,to:'2017-03-24T20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87" t="str">
        <f t="shared" si="52"/>
        <v>Y</v>
      </c>
      <c r="X194" s="187">
        <f t="shared" si="63"/>
        <v>1</v>
      </c>
      <c r="Y194" s="62">
        <f t="shared" si="67"/>
        <v>4.5699999999999998E-2</v>
      </c>
      <c r="Z194" s="62">
        <f t="shared" si="53"/>
        <v>2.3346</v>
      </c>
      <c r="AA194" s="62">
        <f t="shared" si="54"/>
        <v>2.2888999999999999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5"/>
        <v>0307-24</v>
      </c>
      <c r="AE194" s="85" t="str">
        <f t="shared" si="5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194" s="82" t="str">
        <f t="shared" si="57"/>
        <v>"C:\Program Files (x86)\AstroGrep\AstroGrep.exe" /e /r /s /spath="%USERPROFILE%\AppData\Local\Temp\OnboardLogs" /stypes="app*4011*20170325*" /stext=" 01:.+((SYSTEM_STATE.+slice.+state.+changed )|(ment ac)|(multiple cpu faults)|(system.+state.+changed )|(\[timeout)|(PRM\|1\|D)|(kpr)|(kdp)|(\|lc)|(penalty))"</v>
      </c>
      <c r="AG194" s="1" t="str">
        <f t="shared" si="58"/>
        <v>Other</v>
      </c>
      <c r="AH194" s="86" t="str">
        <f t="shared" si="59"/>
        <v>"%USERPROFILE%\Documents\GitHub\eaglep3\Utilities\RefineRTDCRunTimes.py" --tripid 307-24 --locoid 4011 --swversion DE.1.0.9.0 --startMP 204:457 --initTime 2017-03-24T19:40:23 --startdatetime 2017-03-24T19:42:24 --delay 1 --endMP 300:23346 --enddatetime 2017-03-24T19:54:46 --enforcementcount 0 &gt;&gt;C:\Users\stu\Documents\GitHub\eaglep3-reporting\EC\2017-03-24-refined-times.txt</v>
      </c>
      <c r="AI194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{"issue":{"subject":"","project_id":79,"tracker_id":40,"status_id":1,"priority_id":2,"assigned_to_id":23,"start_date":"2017-03-24","description":"","custom_fields":[{"id":1,"name":"Subdivision","value":"Other"},{"id":4,"name":"Milepost","value":"2.3346"},{"id":17,"name":"Train ID","value":"307-24"},{"id":16,"name":"Locomotive ID","value":"4011"},{"id":130,"name":"Impact","value":""},{"id":150,"name":"Time of Event (Mountain Time)","value":"19:54:46"},{"id":151,"name":"Denver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1"/>
        <v>start /low /b %USERPROFILE%\Documents\GitHub\eaglep3\Utilities\DownloadLogsFromS3.py --loco 4011 --day 2017-03-24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"%USERPROFILE%\AppData\Local\Temp\OnboardLogs"\RTDC4011\*4011*20170325* | grep -SE "(Enforcement Action)|(\[TIMEOUT)|(CHR.+\|PRM\|1\|D.+(SWITCH|SIGNAL).+UNKNOWN)" - &gt;&gt; 2017-03-24-UncaughtWiMAX.txt</v>
      </c>
    </row>
    <row r="195" spans="1:40" x14ac:dyDescent="0.25">
      <c r="A195" s="33" t="s">
        <v>825</v>
      </c>
      <c r="B195" s="7">
        <v>4003</v>
      </c>
      <c r="C195" s="21" t="s">
        <v>219</v>
      </c>
      <c r="D195" s="21" t="s">
        <v>459</v>
      </c>
      <c r="E195" s="13">
        <v>42819.04896990741</v>
      </c>
      <c r="F195" s="13">
        <v>42819.050497685188</v>
      </c>
      <c r="G195" s="7">
        <v>1</v>
      </c>
      <c r="H195" s="21" t="s">
        <v>932</v>
      </c>
      <c r="I195" s="13">
        <v>42819.05908564815</v>
      </c>
      <c r="J195" s="7">
        <v>0</v>
      </c>
      <c r="K195" s="98" t="str">
        <f t="shared" si="48"/>
        <v>4003/4004</v>
      </c>
      <c r="L195" s="21" t="str">
        <f>VLOOKUP(A195,'Trips&amp;Operators'!$C$1:$G$99999,5,FALSE)</f>
        <v>STORY SAMANTHA</v>
      </c>
      <c r="M195" s="6">
        <f t="shared" si="49"/>
        <v>8.5879629623377696E-3</v>
      </c>
      <c r="N195" s="7">
        <f t="shared" si="66"/>
        <v>12.366666665766388</v>
      </c>
      <c r="O195" s="7"/>
      <c r="P195" s="7"/>
      <c r="Q195" s="22"/>
      <c r="R195" s="22"/>
      <c r="S195" s="31">
        <f t="shared" si="62"/>
        <v>1</v>
      </c>
      <c r="T195" s="46" t="str">
        <f t="shared" si="50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1"/>
        <v>https://d0f6bd738d7f1b3e5a7ca70fe4ff75f0.us-east-1.aws.found.io/app/kibana#/discover/Steve-Slow-Train-Analysis-(2080s-and-2083s)?_g=(refreshInterval:(display:Off,pause:!f,section:0,value:0),time:(from:'2017-03-25T00:10:31-0600',mode:absolute,to:'2017-03-25T02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187" t="str">
        <f t="shared" si="52"/>
        <v>Y</v>
      </c>
      <c r="X195" s="187">
        <f t="shared" si="63"/>
        <v>2</v>
      </c>
      <c r="Y195" s="62">
        <f t="shared" si="67"/>
        <v>4.8399999999999999E-2</v>
      </c>
      <c r="Z195" s="62">
        <f t="shared" si="53"/>
        <v>2.3306</v>
      </c>
      <c r="AA195" s="62">
        <f t="shared" si="54"/>
        <v>2.2822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5"/>
        <v>0309-24</v>
      </c>
      <c r="AE195" s="85" t="str">
        <f t="shared" si="56"/>
        <v>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 &amp; 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</v>
      </c>
      <c r="AF195" s="82" t="str">
        <f t="shared" si="57"/>
        <v>"C:\Program Files (x86)\AstroGrep\AstroGrep.exe" /e /r /s /spath="%USERPROFILE%\AppData\Local\Temp\OnboardLogs" /stypes="app*4003*20170325*" /stext=" 07:.+((SYSTEM_STATE.+slice.+state.+changed )|(ment ac)|(multiple cpu faults)|(system.+state.+changed )|(\[timeout)|(PRM\|1\|D)|(kpr)|(kdp)|(\|lc)|(penalty))"</v>
      </c>
      <c r="AG195" s="1" t="str">
        <f t="shared" si="58"/>
        <v>Other</v>
      </c>
      <c r="AH195" s="86" t="str">
        <f t="shared" si="59"/>
        <v>"%USERPROFILE%\Documents\GitHub\eaglep3\Utilities\RefineRTDCRunTimes.py" --tripid 309-24 --locoid 4003 --swversion DE.1.0.9.0 --startMP 204:484 --initTime 2017-03-25T01:10:31 --startdatetime 2017-03-25T01:12:43 --delay 1 --endMP 300:23306 --enddatetime 2017-03-25T01:25:05 --enforcementcount 0 &gt;&gt;C:\Users\stu\Documents\GitHub\eaglep3-reporting\EC\2017-03-24-refined-times.txt</v>
      </c>
      <c r="AI195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{"issue":{"subject":"","project_id":79,"tracker_id":40,"status_id":1,"priority_id":2,"assigned_to_id":23,"start_date":"2017-03-25","description":"","custom_fields":[{"id":1,"name":"Subdivision","value":"Other"},{"id":4,"name":"Milepost","value":"2.3306"},{"id":17,"name":"Train ID","value":"309-24"},{"id":16,"name":"Locomotive ID","value":"4003"},{"id":130,"name":"Impact","value":""},{"id":150,"name":"Time of Event (Mountain Time)","value":"01:25:05"},{"id":151,"name":"Denver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1"/>
        <v>start /low /b %USERPROFILE%\Documents\GitHub\eaglep3\Utilities\DownloadLogsFromS3.py --loco 4003 --day 2017-03-25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</row>
    <row r="196" spans="1:40" x14ac:dyDescent="0.25">
      <c r="A196" s="33" t="s">
        <v>644</v>
      </c>
      <c r="B196" s="7">
        <v>4039</v>
      </c>
      <c r="C196" s="21" t="s">
        <v>219</v>
      </c>
      <c r="D196" s="21" t="s">
        <v>933</v>
      </c>
      <c r="E196" s="13">
        <v>42818.188888888886</v>
      </c>
      <c r="F196" s="13">
        <v>42818.191828703704</v>
      </c>
      <c r="G196" s="7">
        <v>4</v>
      </c>
      <c r="H196" s="21" t="s">
        <v>519</v>
      </c>
      <c r="I196" s="13">
        <v>42818.196793981479</v>
      </c>
      <c r="J196" s="7">
        <v>0</v>
      </c>
      <c r="K196" s="98" t="str">
        <f t="shared" si="48"/>
        <v>4039/4040</v>
      </c>
      <c r="L196" s="21" t="str">
        <f>VLOOKUP(A196,'Trips&amp;Operators'!$C$1:$G$99999,5,FALSE)</f>
        <v>LOZA FIDEL</v>
      </c>
      <c r="M196" s="6">
        <f t="shared" si="49"/>
        <v>4.9652777743176557E-3</v>
      </c>
      <c r="N196" s="7">
        <f t="shared" si="66"/>
        <v>7.1499999950174242</v>
      </c>
      <c r="O196" s="7"/>
      <c r="P196" s="7"/>
      <c r="Q196" s="22"/>
      <c r="R196" s="22"/>
      <c r="S196" s="31">
        <f t="shared" si="62"/>
        <v>1</v>
      </c>
      <c r="T196" s="46" t="str">
        <f t="shared" si="50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1"/>
        <v>https://d0f6bd738d7f1b3e5a7ca70fe4ff75f0.us-east-1.aws.found.io/app/kibana#/discover/Steve-Slow-Train-Analysis-(2080s-and-2083s)?_g=(refreshInterval:(display:Off,pause:!f,section:0,value:0),time:(from:'2017-03-24T03:32:00-0600',mode:absolute,to:'2017-03-24T05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187" t="str">
        <f t="shared" si="52"/>
        <v>Y</v>
      </c>
      <c r="X196" s="187">
        <f t="shared" si="63"/>
        <v>1</v>
      </c>
      <c r="Y196" s="62">
        <f t="shared" si="67"/>
        <v>2.3445999999999998</v>
      </c>
      <c r="Z196" s="62">
        <f t="shared" si="53"/>
        <v>1.3899999999999999E-2</v>
      </c>
      <c r="AA196" s="62">
        <f t="shared" si="54"/>
        <v>2.3306999999999998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5"/>
        <v>0310-24</v>
      </c>
      <c r="AE196" s="85" t="str">
        <f t="shared" si="56"/>
        <v>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 &amp; 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</v>
      </c>
      <c r="AF196" s="82" t="str">
        <f t="shared" si="57"/>
        <v>"C:\Program Files (x86)\AstroGrep\AstroGrep.exe" /e /r /s /spath="%USERPROFILE%\AppData\Local\Temp\OnboardLogs" /stypes="app*4039*20170324*" /stext=" 10:.+((SYSTEM_STATE.+slice.+state.+changed )|(ment ac)|(multiple cpu faults)|(system.+state.+changed )|(\[timeout)|(PRM\|1\|D)|(kpr)|(kdp)|(\|lc)|(penalty))"</v>
      </c>
      <c r="AG196" s="1" t="str">
        <f t="shared" si="58"/>
        <v>Other</v>
      </c>
      <c r="AH196" s="86" t="str">
        <f t="shared" si="59"/>
        <v>"%USERPROFILE%\Documents\GitHub\eaglep3\Utilities\RefineRTDCRunTimes.py" --tripid 310-24 --locoid 4039 --swversion DE.1.0.9.0 --startMP 300:23446 --initTime 2017-03-24T04:32:00 --startdatetime 2017-03-24T04:36:14 --delay 4 --endMP 204:139 --enddatetime 2017-03-24T04:43:23 --enforcementcount 0 &gt;&gt;C:\Users\stu\Documents\GitHub\eaglep3-reporting\EC\2017-03-24-refined-times.txt</v>
      </c>
      <c r="AI196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{"issue":{"subject":"","project_id":79,"tracker_id":40,"status_id":1,"priority_id":2,"assigned_to_id":23,"start_date":"2017-03-24","description":"","custom_fields":[{"id":1,"name":"Subdivision","value":"Other"},{"id":4,"name":"Milepost","value":"0.0139"},{"id":17,"name":"Train ID","value":"310-24"},{"id":16,"name":"Locomotive ID","value":"4039"},{"id":130,"name":"Impact","value":""},{"id":150,"name":"Time of Event (Mountain Time)","value":"04:43:23"},{"id":151,"name":"Denver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1"/>
        <v>start /low /b %USERPROFILE%\Documents\GitHub\eaglep3\Utilities\DownloadLogsFromS3.py --loco 4039 --day 2017-03-24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"%USERPROFILE%\AppData\Local\Temp\OnboardLogs"\RTDC4039\*4039*20170324* | grep -SE "(Enforcement Action)|(\[TIMEOUT)|(CHR.+\|PRM\|1\|D.+(SWITCH|SIGNAL).+UNKNOWN)" - &gt;&gt; 2017-03-24-UncaughtWiMAX.txt</v>
      </c>
    </row>
    <row r="197" spans="1:40" x14ac:dyDescent="0.25">
      <c r="A197" s="33" t="s">
        <v>827</v>
      </c>
      <c r="B197" s="7">
        <v>4020</v>
      </c>
      <c r="C197" s="21" t="s">
        <v>219</v>
      </c>
      <c r="D197" s="21" t="s">
        <v>528</v>
      </c>
      <c r="E197" s="13">
        <v>42819.06790509259</v>
      </c>
      <c r="F197" s="13">
        <v>42819.069224537037</v>
      </c>
      <c r="G197" s="7">
        <v>1</v>
      </c>
      <c r="H197" s="21" t="s">
        <v>934</v>
      </c>
      <c r="I197" s="13">
        <v>42819.07576388889</v>
      </c>
      <c r="J197" s="7">
        <v>0</v>
      </c>
      <c r="K197" s="98" t="str">
        <f t="shared" si="48"/>
        <v>4019/4020</v>
      </c>
      <c r="L197" s="21" t="str">
        <f>VLOOKUP(A197,'Trips&amp;Operators'!$C$1:$G$99999,5,FALSE)</f>
        <v>STAMBAUGH JAMES</v>
      </c>
      <c r="M197" s="6">
        <f t="shared" si="49"/>
        <v>6.5393518525524996E-3</v>
      </c>
      <c r="N197" s="7">
        <f t="shared" si="66"/>
        <v>9.4166666676755995</v>
      </c>
      <c r="O197" s="7"/>
      <c r="P197" s="7"/>
      <c r="Q197" s="22"/>
      <c r="R197" s="22"/>
      <c r="S197" s="31">
        <f t="shared" si="62"/>
        <v>1</v>
      </c>
      <c r="T197" s="46" t="str">
        <f t="shared" si="50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1"/>
        <v>https://d0f6bd738d7f1b3e5a7ca70fe4ff75f0.us-east-1.aws.found.io/app/kibana#/discover/Steve-Slow-Train-Analysis-(2080s-and-2083s)?_g=(refreshInterval:(display:Off,pause:!f,section:0,value:0),time:(from:'2017-03-25T00:37:47-0600',mode:absolute,to:'2017-03-25T02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187" t="str">
        <f t="shared" si="52"/>
        <v>Y</v>
      </c>
      <c r="X197" s="187">
        <f t="shared" si="63"/>
        <v>1</v>
      </c>
      <c r="Y197" s="62">
        <f t="shared" si="67"/>
        <v>4.58E-2</v>
      </c>
      <c r="Z197" s="62">
        <f t="shared" si="53"/>
        <v>2.3302</v>
      </c>
      <c r="AA197" s="62">
        <f t="shared" si="54"/>
        <v>2.2844000000000002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5"/>
        <v>0311-24</v>
      </c>
      <c r="AE197" s="85" t="str">
        <f t="shared" si="56"/>
        <v>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 &amp; aws s3 cp s3://rtdc.mdm.uploadarchive.raw/RTDC4020/ "%USERPROFILE%\AppData\Local\Temp\OnboardLogs"\RTDC4020\2017-03-26 --exclude "*" --recursive --include "*20170326*" &amp; "%USERPROFILE%\Documents\GitHub\mrs-test-scripts\Headless Mode &amp; Sideloading\WalkAndUnGZ.bat" "%USERPROFILE%\AppData\Local\Temp\OnboardLogs"\RTDC4020\2017-03-26</v>
      </c>
      <c r="AF197" s="82" t="str">
        <f t="shared" si="57"/>
        <v>"C:\Program Files (x86)\AstroGrep\AstroGrep.exe" /e /r /s /spath="%USERPROFILE%\AppData\Local\Temp\OnboardLogs" /stypes="app*4020*20170325*" /stext=" 07:.+((SYSTEM_STATE.+slice.+state.+changed )|(ment ac)|(multiple cpu faults)|(system.+state.+changed )|(\[timeout)|(PRM\|1\|D)|(kpr)|(kdp)|(\|lc)|(penalty))"</v>
      </c>
      <c r="AG197" s="1" t="str">
        <f t="shared" si="58"/>
        <v>Other</v>
      </c>
      <c r="AH197" s="86" t="str">
        <f t="shared" si="59"/>
        <v>"%USERPROFILE%\Documents\GitHub\eaglep3\Utilities\RefineRTDCRunTimes.py" --tripid 311-24 --locoid 4020 --swversion DE.1.0.9.0 --startMP 204:458 --initTime 2017-03-25T01:37:47 --startdatetime 2017-03-25T01:39:41 --delay 1 --endMP 300:23302 --enddatetime 2017-03-25T01:49:06 --enforcementcount 0 &gt;&gt;C:\Users\stu\Documents\GitHub\eaglep3-reporting\EC\2017-03-24-refined-times.txt</v>
      </c>
      <c r="AI197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{"issue":{"subject":"","project_id":79,"tracker_id":40,"status_id":1,"priority_id":2,"assigned_to_id":23,"start_date":"2017-03-25","description":"","custom_fields":[{"id":1,"name":"Subdivision","value":"Other"},{"id":4,"name":"Milepost","value":"2.3302"},{"id":17,"name":"Train ID","value":"311-24"},{"id":16,"name":"Locomotive ID","value":"4020"},{"id":130,"name":"Impact","value":""},{"id":150,"name":"Time of Event (Mountain Time)","value":"01:49:06"},{"id":151,"name":"Denver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1"/>
        <v>start /low /b %USERPROFILE%\Documents\GitHub\eaglep3\Utilities\DownloadLogsFromS3.py --loco 4020 --day 2017-03-25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</row>
    <row r="198" spans="1:40" s="20" customFormat="1" x14ac:dyDescent="0.25">
      <c r="A198" s="33" t="s">
        <v>551</v>
      </c>
      <c r="B198" s="7">
        <v>4022</v>
      </c>
      <c r="C198" s="21" t="s">
        <v>219</v>
      </c>
      <c r="D198" s="21" t="s">
        <v>575</v>
      </c>
      <c r="E198" s="13">
        <v>42818.1094212963</v>
      </c>
      <c r="F198" s="13">
        <v>42818.110520833332</v>
      </c>
      <c r="G198" s="7">
        <v>0</v>
      </c>
      <c r="H198" s="21" t="s">
        <v>576</v>
      </c>
      <c r="I198" s="13">
        <v>42818.11886574074</v>
      </c>
      <c r="J198" s="7">
        <v>0</v>
      </c>
      <c r="K198" s="98" t="str">
        <f t="shared" si="48"/>
        <v>4021/4022</v>
      </c>
      <c r="L198" s="21" t="str">
        <f>VLOOKUP(A198,'Trips&amp;Operators'!$C$1:$G$99999,5,FALSE)</f>
        <v>NEWELL JAMES</v>
      </c>
      <c r="M198" s="6">
        <f t="shared" si="49"/>
        <v>8.3449074081727304E-3</v>
      </c>
      <c r="N198" s="7">
        <f t="shared" si="66"/>
        <v>12.016666667768732</v>
      </c>
      <c r="O198" s="7"/>
      <c r="P198" s="7"/>
      <c r="Q198" s="22"/>
      <c r="R198" s="22"/>
      <c r="S198" s="31">
        <f t="shared" si="62"/>
        <v>1</v>
      </c>
      <c r="T198" s="46" t="str">
        <f t="shared" si="50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1"/>
        <v>https://d0f6bd738d7f1b3e5a7ca70fe4ff75f0.us-east-1.aws.found.io/app/kibana#/discover/Steve-Slow-Train-Analysis-(2080s-and-2083s)?_g=(refreshInterval:(display:Off,pause:!f,section:0,value:0),time:(from:'2017-03-24T01:37:34-0600',mode:absolute,to:'2017-03-24T03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87" t="str">
        <f t="shared" si="52"/>
        <v>Y</v>
      </c>
      <c r="X198" s="187">
        <f t="shared" si="63"/>
        <v>2</v>
      </c>
      <c r="Y198" s="62">
        <f t="shared" si="67"/>
        <v>4.4999999999999998E-2</v>
      </c>
      <c r="Z198" s="62">
        <f t="shared" si="53"/>
        <v>2.3296999999999999</v>
      </c>
      <c r="AA198" s="62">
        <f t="shared" si="54"/>
        <v>2.2847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5"/>
        <v>0313-23</v>
      </c>
      <c r="AE198" s="85" t="str">
        <f t="shared" si="56"/>
        <v>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 &amp; 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</v>
      </c>
      <c r="AF198" s="82" t="str">
        <f t="shared" si="57"/>
        <v>"C:\Program Files (x86)\AstroGrep\AstroGrep.exe" /e /r /s /spath="%USERPROFILE%\AppData\Local\Temp\OnboardLogs" /stypes="app*4022*20170324*" /stext=" 08:.+((SYSTEM_STATE.+slice.+state.+changed )|(ment ac)|(multiple cpu faults)|(system.+state.+changed )|(\[timeout)|(PRM\|1\|D)|(kpr)|(kdp)|(\|lc)|(penalty))"</v>
      </c>
      <c r="AG198" s="1" t="str">
        <f t="shared" si="58"/>
        <v>Other</v>
      </c>
      <c r="AH198" s="86" t="str">
        <f t="shared" si="59"/>
        <v>"%USERPROFILE%\Documents\GitHub\eaglep3\Utilities\RefineRTDCRunTimes.py" --tripid 313-23 --locoid 4022 --swversion DE.1.0.9.0 --startMP 204:450 --initTime 2017-03-24T02:37:34 --startdatetime 2017-03-24T02:39:09 --delay 0 --endMP 300:23297 --enddatetime 2017-03-24T02:51:10 --enforcementcount 0 &gt;&gt;C:\Users\stu\Documents\GitHub\eaglep3-reporting\EC\2017-03-24-refined-times.txt</v>
      </c>
      <c r="AI198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{"issue":{"subject":"","project_id":79,"tracker_id":40,"status_id":1,"priority_id":2,"assigned_to_id":23,"start_date":"2017-03-24","description":"","custom_fields":[{"id":1,"name":"Subdivision","value":"Other"},{"id":4,"name":"Milepost","value":"2.3297"},{"id":17,"name":"Train ID","value":"313-23"},{"id":16,"name":"Locomotive ID","value":"4022"},{"id":130,"name":"Impact","value":""},{"id":150,"name":"Time of Event (Mountain Time)","value":"02:51:10"},{"id":151,"name":"Denver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1"/>
        <v>start /low /b %USERPROFILE%\Documents\GitHub\eaglep3\Utilities\DownloadLogsFromS3.py --loco 4022 --day 2017-03-24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"%USERPROFILE%\AppData\Local\Temp\OnboardLogs"\RTDC4022\*4022*20170324* | grep -SE "(Enforcement Action)|(\[TIMEOUT)|(CHR.+\|PRM\|1\|D.+(SWITCH|SIGNAL).+UNKNOWN)" - &gt;&gt; 2017-03-24-UncaughtWiMAX.txt</v>
      </c>
    </row>
    <row r="199" spans="1:40" x14ac:dyDescent="0.25">
      <c r="A199" s="33" t="s">
        <v>829</v>
      </c>
      <c r="B199" s="7">
        <v>4046</v>
      </c>
      <c r="C199" s="21" t="s">
        <v>219</v>
      </c>
      <c r="D199" s="21" t="s">
        <v>893</v>
      </c>
      <c r="E199" s="13">
        <v>42819.091828703706</v>
      </c>
      <c r="F199" s="13">
        <v>42819.0934375</v>
      </c>
      <c r="G199" s="7">
        <v>1</v>
      </c>
      <c r="H199" s="21" t="s">
        <v>935</v>
      </c>
      <c r="I199" s="13">
        <v>42819.100798611114</v>
      </c>
      <c r="J199" s="7">
        <v>0</v>
      </c>
      <c r="K199" s="98" t="str">
        <f t="shared" si="48"/>
        <v>4045/4046</v>
      </c>
      <c r="L199" s="21" t="str">
        <f>VLOOKUP(A199,'Trips&amp;Operators'!$C$1:$G$99999,5,FALSE)</f>
        <v>SWANSON BRYCE</v>
      </c>
      <c r="M199" s="6">
        <f t="shared" si="49"/>
        <v>7.3611111147329211E-3</v>
      </c>
      <c r="N199" s="7">
        <f t="shared" si="66"/>
        <v>10.600000005215406</v>
      </c>
      <c r="O199" s="7"/>
      <c r="P199" s="7"/>
      <c r="Q199" s="22"/>
      <c r="R199" s="22"/>
      <c r="S199" s="31">
        <f t="shared" si="62"/>
        <v>1</v>
      </c>
      <c r="T199" s="46" t="str">
        <f t="shared" si="50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1"/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9" s="187" t="str">
        <f t="shared" si="52"/>
        <v>Y</v>
      </c>
      <c r="X199" s="187">
        <f t="shared" si="63"/>
        <v>0</v>
      </c>
      <c r="Y199" s="62">
        <f t="shared" si="67"/>
        <v>4.6899999999999997E-2</v>
      </c>
      <c r="Z199" s="62">
        <f t="shared" si="53"/>
        <v>2.3298999999999999</v>
      </c>
      <c r="AA199" s="62">
        <f t="shared" si="54"/>
        <v>2.2829999999999999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5"/>
        <v>0313-24</v>
      </c>
      <c r="AE199" s="85" t="str">
        <f t="shared" si="56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199" s="82" t="str">
        <f t="shared" si="57"/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199" s="1" t="str">
        <f t="shared" si="58"/>
        <v>Other</v>
      </c>
      <c r="AH199" s="86" t="str">
        <f t="shared" si="59"/>
        <v>"%USERPROFILE%\Documents\GitHub\eaglep3\Utilities\RefineRTDCRunTimes.py" --tripid 313-24 --locoid 4046 --swversion DE.1.0.9.0 --startMP 204:469 --initTime 2017-03-25T02:12:14 --startdatetime 2017-03-25T02:14:33 --delay 1 --endMP 300:23299 --enddatetime 2017-03-25T02:25:09 --enforcementcount 0 &gt;&gt;C:\Users\stu\Documents\GitHub\eaglep3-reporting\EC\2017-03-24-refined-times.txt</v>
      </c>
      <c r="AI199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1"/>
        <v>start /low /b %USERPROFILE%\Documents\GitHub\eaglep3\Utilities\DownloadLogsFromS3.py --loco 4046 --day 2017-03-25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</row>
    <row r="200" spans="1:40" x14ac:dyDescent="0.25">
      <c r="A200" s="33" t="s">
        <v>829</v>
      </c>
      <c r="B200" s="7">
        <v>4046</v>
      </c>
      <c r="C200" s="21" t="s">
        <v>219</v>
      </c>
      <c r="D200" s="21" t="s">
        <v>936</v>
      </c>
      <c r="E200" s="13">
        <v>42819.091828703706</v>
      </c>
      <c r="F200" s="13">
        <v>42819.0934375</v>
      </c>
      <c r="G200" s="7">
        <v>4</v>
      </c>
      <c r="H200" s="21" t="s">
        <v>935</v>
      </c>
      <c r="I200" s="13">
        <v>42819.100798611114</v>
      </c>
      <c r="J200" s="7">
        <v>0</v>
      </c>
      <c r="K200" s="98" t="str">
        <f t="shared" si="48"/>
        <v>4045/4046</v>
      </c>
      <c r="L200" s="21" t="str">
        <f>VLOOKUP(A200,'Trips&amp;Operators'!$C$1:$G$99999,5,FALSE)</f>
        <v>SWANSON BRYCE</v>
      </c>
      <c r="M200" s="6">
        <f t="shared" si="49"/>
        <v>7.3611111147329211E-3</v>
      </c>
      <c r="N200" s="7">
        <f t="shared" si="66"/>
        <v>10.600000005215406</v>
      </c>
      <c r="O200" s="7"/>
      <c r="P200" s="7"/>
      <c r="Q200" s="22"/>
      <c r="R200" s="22"/>
      <c r="S200" s="31">
        <f t="shared" si="62"/>
        <v>1</v>
      </c>
      <c r="T200" s="46" t="str">
        <f t="shared" si="50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1"/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187" t="str">
        <f t="shared" si="52"/>
        <v>Y</v>
      </c>
      <c r="X200" s="187">
        <f t="shared" si="63"/>
        <v>0</v>
      </c>
      <c r="Y200" s="62">
        <f t="shared" si="67"/>
        <v>0.71240000000000003</v>
      </c>
      <c r="Z200" s="62">
        <f t="shared" si="53"/>
        <v>2.3298999999999999</v>
      </c>
      <c r="AA200" s="62">
        <f t="shared" si="54"/>
        <v>1.6174999999999997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5"/>
        <v>0313-24</v>
      </c>
      <c r="AE200" s="85" t="str">
        <f t="shared" si="56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200" s="82" t="str">
        <f t="shared" si="57"/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200" s="1" t="str">
        <f t="shared" si="58"/>
        <v>Other</v>
      </c>
      <c r="AH200" s="86" t="str">
        <f t="shared" si="59"/>
        <v>"%USERPROFILE%\Documents\GitHub\eaglep3\Utilities\RefineRTDCRunTimes.py" --tripid 313-24 --locoid 4046 --swversion DE.1.0.9.0 --startMP 300:7124 --initTime 2017-03-25T02:12:14 --startdatetime 2017-03-25T02:14:33 --delay 4 --endMP 300:23299 --enddatetime 2017-03-25T02:25:09 --enforcementcount 0 &gt;&gt;C:\Users\stu\Documents\GitHub\eaglep3-reporting\EC\2017-03-24-refined-times.txt</v>
      </c>
      <c r="AI200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1"/>
        <v>start /low /b %USERPROFILE%\Documents\GitHub\eaglep3\Utilities\DownloadLogsFromS3.py --loco 4046 --day 2017-03-25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</row>
    <row r="201" spans="1:40" x14ac:dyDescent="0.25">
      <c r="A201" s="33" t="s">
        <v>830</v>
      </c>
      <c r="B201" s="7">
        <v>4027</v>
      </c>
      <c r="C201" s="21" t="s">
        <v>219</v>
      </c>
      <c r="D201" s="21" t="s">
        <v>937</v>
      </c>
      <c r="E201" s="13">
        <v>42819.111724537041</v>
      </c>
      <c r="F201" s="13">
        <v>42819.112881944442</v>
      </c>
      <c r="G201" s="7">
        <v>1</v>
      </c>
      <c r="H201" s="21" t="s">
        <v>932</v>
      </c>
      <c r="I201" s="13">
        <v>42819.121620370373</v>
      </c>
      <c r="J201" s="7">
        <v>0</v>
      </c>
      <c r="K201" s="98" t="str">
        <f t="shared" si="48"/>
        <v>4027/4028</v>
      </c>
      <c r="L201" s="21" t="str">
        <f>VLOOKUP(A201,'Trips&amp;Operators'!$C$1:$G$99999,5,FALSE)</f>
        <v>BROWN JACOB</v>
      </c>
      <c r="M201" s="6">
        <f t="shared" si="49"/>
        <v>8.7384259313694201E-3</v>
      </c>
      <c r="N201" s="7">
        <f t="shared" si="66"/>
        <v>12.583333341171965</v>
      </c>
      <c r="O201" s="7"/>
      <c r="P201" s="7"/>
      <c r="Q201" s="22"/>
      <c r="R201" s="22"/>
      <c r="S201" s="31">
        <f t="shared" si="62"/>
        <v>1</v>
      </c>
      <c r="T201" s="46" t="str">
        <f t="shared" si="50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1"/>
        <v>https://d0f6bd738d7f1b3e5a7ca70fe4ff75f0.us-east-1.aws.found.io/app/kibana#/discover/Steve-Slow-Train-Analysis-(2080s-and-2083s)?_g=(refreshInterval:(display:Off,pause:!f,section:0,value:0),time:(from:'2017-03-25T01:40:53-0600',mode:absolute,to:'2017-03-25T03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187" t="str">
        <f t="shared" si="52"/>
        <v>Y</v>
      </c>
      <c r="X201" s="187">
        <f t="shared" si="63"/>
        <v>2</v>
      </c>
      <c r="Y201" s="62">
        <f t="shared" si="67"/>
        <v>5.3999999999999999E-2</v>
      </c>
      <c r="Z201" s="62">
        <f t="shared" si="53"/>
        <v>2.3306</v>
      </c>
      <c r="AA201" s="62">
        <f t="shared" si="54"/>
        <v>2.2766000000000002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5"/>
        <v>0315-24</v>
      </c>
      <c r="AE201" s="85" t="str">
        <f t="shared" si="56"/>
        <v>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 &amp; 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</v>
      </c>
      <c r="AF201" s="82" t="str">
        <f t="shared" si="57"/>
        <v>"C:\Program Files (x86)\AstroGrep\AstroGrep.exe" /e /r /s /spath="%USERPROFILE%\AppData\Local\Temp\OnboardLogs" /stypes="app*4027*20170325*" /stext=" 08:.+((SYSTEM_STATE.+slice.+state.+changed )|(ment ac)|(multiple cpu faults)|(system.+state.+changed )|(\[timeout)|(PRM\|1\|D)|(kpr)|(kdp)|(\|lc)|(penalty))"</v>
      </c>
      <c r="AG201" s="1" t="str">
        <f t="shared" si="58"/>
        <v>Other</v>
      </c>
      <c r="AH201" s="86" t="str">
        <f t="shared" si="59"/>
        <v>"%USERPROFILE%\Documents\GitHub\eaglep3\Utilities\RefineRTDCRunTimes.py" --tripid 315-24 --locoid 4027 --swversion DE.1.0.9.0 --startMP 204:540 --initTime 2017-03-25T02:40:53 --startdatetime 2017-03-25T02:42:33 --delay 1 --endMP 300:23306 --enddatetime 2017-03-25T02:55:08 --enforcementcount 0 &gt;&gt;C:\Users\stu\Documents\GitHub\eaglep3-reporting\EC\2017-03-24-refined-times.txt</v>
      </c>
      <c r="AI201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{"issue":{"subject":"","project_id":79,"tracker_id":40,"status_id":1,"priority_id":2,"assigned_to_id":23,"start_date":"2017-03-25","description":"","custom_fields":[{"id":1,"name":"Subdivision","value":"Other"},{"id":4,"name":"Milepost","value":"2.3306"},{"id":17,"name":"Train ID","value":"315-24"},{"id":16,"name":"Locomotive ID","value":"4027"},{"id":130,"name":"Impact","value":""},{"id":150,"name":"Time of Event (Mountain Time)","value":"02:55:08"},{"id":151,"name":"Denver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1"/>
        <v>start /low /b %USERPROFILE%\Documents\GitHub\eaglep3\Utilities\DownloadLogsFromS3.py --loco 4027 --day 2017-03-25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</row>
    <row r="202" spans="1:40" x14ac:dyDescent="0.25">
      <c r="A202" s="33" t="s">
        <v>647</v>
      </c>
      <c r="B202" s="7">
        <v>4051</v>
      </c>
      <c r="C202" s="21" t="s">
        <v>219</v>
      </c>
      <c r="D202" s="21" t="s">
        <v>1027</v>
      </c>
      <c r="E202" s="13">
        <v>42818.199583333335</v>
      </c>
      <c r="F202" s="13">
        <v>42818.203217592592</v>
      </c>
      <c r="G202" s="7">
        <v>5</v>
      </c>
      <c r="H202" s="21" t="s">
        <v>584</v>
      </c>
      <c r="I202" s="13">
        <v>42818.208553240744</v>
      </c>
      <c r="J202" s="7">
        <v>0</v>
      </c>
      <c r="K202" s="98" t="str">
        <f t="shared" si="48"/>
        <v>4051/4052</v>
      </c>
      <c r="L202" s="21" t="str">
        <f>VLOOKUP(A202,'Trips&amp;Operators'!$C$1:$G$99999,5,FALSE)</f>
        <v>GEBRETEKLE DAGNEW</v>
      </c>
      <c r="M202" s="6">
        <f t="shared" si="49"/>
        <v>5.3356481512309983E-3</v>
      </c>
      <c r="N202" s="7">
        <f t="shared" si="66"/>
        <v>7.6833333377726376</v>
      </c>
      <c r="O202" s="7"/>
      <c r="P202" s="7"/>
      <c r="Q202" s="22"/>
      <c r="R202" s="22"/>
      <c r="S202" s="31">
        <f t="shared" si="62"/>
        <v>0</v>
      </c>
      <c r="T202" s="46" t="str">
        <f t="shared" si="50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 t="shared" si="51"/>
        <v>https://d0f6bd738d7f1b3e5a7ca70fe4ff75f0.us-east-1.aws.found.io/app/kibana#/discover/Steve-Slow-Train-Analysis-(2080s-and-2083s)?_g=(refreshInterval:(display:Off,pause:!f,section:0,value:0),time:(from:'2017-03-24T03:47:24-0600',mode:absolute,to:'2017-03-24T06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187" t="str">
        <f t="shared" si="52"/>
        <v>Y</v>
      </c>
      <c r="X202" s="187">
        <f t="shared" si="63"/>
        <v>586</v>
      </c>
      <c r="Y202" s="62">
        <f t="shared" si="67"/>
        <v>2.9678</v>
      </c>
      <c r="Z202" s="62">
        <f t="shared" si="53"/>
        <v>5.8992000000000004</v>
      </c>
      <c r="AA202" s="62">
        <f t="shared" si="54"/>
        <v>2.9314000000000004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5"/>
        <v>0901-24</v>
      </c>
      <c r="AE202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202" s="82" t="str">
        <f t="shared" si="57"/>
        <v>"C:\Program Files (x86)\AstroGrep\AstroGrep.exe" /e /r /s /spath="%USERPROFILE%\AppData\Local\Temp\OnboardLogs" /stypes="app*4051*20170324*" /stext=" 11:.+((SYSTEM_STATE.+slice.+state.+changed )|(ment ac)|(multiple cpu faults)|(system.+state.+changed )|(\[timeout)|(PRM\|1\|D)|(kpr)|(kdp)|(\|lc)|(penalty))"</v>
      </c>
      <c r="AG202" s="1" t="str">
        <f t="shared" si="58"/>
        <v>Other</v>
      </c>
      <c r="AH202" s="86" t="str">
        <f t="shared" si="59"/>
        <v>"%USERPROFILE%\Documents\GitHub\eaglep3\Utilities\RefineRTDCRunTimes.py" --tripid 901-24 --locoid 4051 --swversion DE.1.0.9.0 --startMP 300:29678 --initTime 2017-03-24T04:47:24 --startdatetime 2017-03-24T04:52:38 --delay 5 --endMP 300:58992 --enddatetime 2017-03-24T05:00:19 --enforcementcount 0 &gt;&gt;C:\Users\stu\Documents\GitHub\eaglep3-reporting\EC\2017-03-24-refined-times.txt</v>
      </c>
      <c r="AI202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{"issue":{"subject":"","project_id":79,"tracker_id":40,"status_id":1,"priority_id":2,"assigned_to_id":23,"start_date":"2017-03-24","description":"","custom_fields":[{"id":1,"name":"Subdivision","value":"Other"},{"id":4,"name":"Milepost","value":"5.8992"},{"id":17,"name":"Train ID","value":"901-24"},{"id":16,"name":"Locomotive ID","value":"4051"},{"id":130,"name":"Impact","value":""},{"id":150,"name":"Time of Event (Mountain Time)","value":"05:00:19"},{"id":151,"name":"Denver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1"/>
        <v>start /low /b %USERPROFILE%\Documents\GitHub\eaglep3\Utilities\DownloadLogsFromS3.py --loco 4051 --day 2017-03-24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203" spans="1:40" x14ac:dyDescent="0.25">
      <c r="A203" s="33" t="s">
        <v>658</v>
      </c>
      <c r="B203" s="7">
        <v>4043</v>
      </c>
      <c r="C203" s="21" t="s">
        <v>219</v>
      </c>
      <c r="D203" s="21" t="s">
        <v>1028</v>
      </c>
      <c r="E203" s="13">
        <v>42818.246620370373</v>
      </c>
      <c r="F203" s="13">
        <v>42818.253368055557</v>
      </c>
      <c r="G203" s="7">
        <v>9</v>
      </c>
      <c r="H203" s="21" t="s">
        <v>1001</v>
      </c>
      <c r="I203" s="13">
        <v>42818.258587962962</v>
      </c>
      <c r="J203" s="7">
        <v>0</v>
      </c>
      <c r="K203" s="98" t="str">
        <f t="shared" si="48"/>
        <v>4043/4044</v>
      </c>
      <c r="L203" s="21" t="str">
        <f>VLOOKUP(A203,'Trips&amp;Operators'!$C$1:$G$99999,5,FALSE)</f>
        <v>SHOOK JOHN</v>
      </c>
      <c r="M203" s="6">
        <f t="shared" si="49"/>
        <v>5.2199074052623473E-3</v>
      </c>
      <c r="N203" s="7">
        <f t="shared" si="66"/>
        <v>7.5166666635777801</v>
      </c>
      <c r="O203" s="7"/>
      <c r="P203" s="7"/>
      <c r="Q203" s="22"/>
      <c r="R203" s="22"/>
      <c r="S203" s="31">
        <f t="shared" si="62"/>
        <v>1</v>
      </c>
      <c r="T203" s="46" t="str">
        <f t="shared" si="50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1"/>
        <v>https://d0f6bd738d7f1b3e5a7ca70fe4ff75f0.us-east-1.aws.found.io/app/kibana#/discover/Steve-Slow-Train-Analysis-(2080s-and-2083s)?_g=(refreshInterval:(display:Off,pause:!f,section:0,value:0),time:(from:'2017-03-24T04:55:08-0600',mode:absolute,to:'2017-03-24T07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87" t="str">
        <f t="shared" si="52"/>
        <v>Y</v>
      </c>
      <c r="X203" s="187">
        <f t="shared" si="63"/>
        <v>1</v>
      </c>
      <c r="Y203" s="62">
        <f t="shared" si="67"/>
        <v>2.2601</v>
      </c>
      <c r="Z203" s="62">
        <f t="shared" si="53"/>
        <v>7.5399999999999995E-2</v>
      </c>
      <c r="AA203" s="62">
        <f t="shared" si="54"/>
        <v>2.1846999999999999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5"/>
        <v>0902-24</v>
      </c>
      <c r="AE203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203" s="82" t="str">
        <f t="shared" si="57"/>
        <v>"C:\Program Files (x86)\AstroGrep\AstroGrep.exe" /e /r /s /spath="%USERPROFILE%\AppData\Local\Temp\OnboardLogs" /stypes="app*4043*20170324*" /stext=" 12:.+((SYSTEM_STATE.+slice.+state.+changed )|(ment ac)|(multiple cpu faults)|(system.+state.+changed )|(\[timeout)|(PRM\|1\|D)|(kpr)|(kdp)|(\|lc)|(penalty))"</v>
      </c>
      <c r="AG203" s="1" t="str">
        <f t="shared" si="58"/>
        <v>Other</v>
      </c>
      <c r="AH203" s="86" t="str">
        <f t="shared" si="59"/>
        <v>"%USERPROFILE%\Documents\GitHub\eaglep3\Utilities\RefineRTDCRunTimes.py" --tripid 902-24 --locoid 4043 --swversion DE.1.0.9.0 --startMP 300:22601 --initTime 2017-03-24T05:55:08 --startdatetime 2017-03-24T06:04:51 --delay 9 --endMP 204:754 --enddatetime 2017-03-24T06:12:22 --enforcementcount 0 &gt;&gt;C:\Users\stu\Documents\GitHub\eaglep3-reporting\EC\2017-03-24-refined-times.txt</v>
      </c>
      <c r="AI203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{"issue":{"subject":"","project_id":79,"tracker_id":40,"status_id":1,"priority_id":2,"assigned_to_id":23,"start_date":"2017-03-24","description":"","custom_fields":[{"id":1,"name":"Subdivision","value":"Other"},{"id":4,"name":"Milepost","value":"0.0754"},{"id":17,"name":"Train ID","value":"902-24"},{"id":16,"name":"Locomotive ID","value":"4043"},{"id":130,"name":"Impact","value":""},{"id":150,"name":"Time of Event (Mountain Time)","value":"06:12:22"},{"id":151,"name":"Denver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1"/>
        <v>start /low /b %USERPROFILE%\Documents\GitHub\eaglep3\Utilities\DownloadLogsFromS3.py --loco 4043 --day 2017-03-24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204" spans="1:40" x14ac:dyDescent="0.25">
      <c r="A204" s="33" t="s">
        <v>681</v>
      </c>
      <c r="B204" s="7">
        <v>4051</v>
      </c>
      <c r="C204" s="21" t="s">
        <v>219</v>
      </c>
      <c r="D204" s="21" t="s">
        <v>212</v>
      </c>
      <c r="E204" s="13">
        <v>42818.35224537037</v>
      </c>
      <c r="F204" s="13">
        <v>42818.353888888887</v>
      </c>
      <c r="G204" s="7">
        <v>1</v>
      </c>
      <c r="H204" s="21" t="s">
        <v>1029</v>
      </c>
      <c r="I204" s="13">
        <v>42818.359027777777</v>
      </c>
      <c r="J204" s="7">
        <v>0</v>
      </c>
      <c r="K204" s="98" t="str">
        <f t="shared" si="48"/>
        <v>4051/4052</v>
      </c>
      <c r="L204" s="21" t="str">
        <f>VLOOKUP(A204,'Trips&amp;Operators'!$C$1:$G$99999,5,FALSE)</f>
        <v>GEBRETEKLE DAGNEW</v>
      </c>
      <c r="M204" s="6">
        <f t="shared" si="49"/>
        <v>5.1388888896326534E-3</v>
      </c>
      <c r="N204" s="7">
        <f t="shared" si="66"/>
        <v>7.400000001071021</v>
      </c>
      <c r="O204" s="7"/>
      <c r="P204" s="7"/>
      <c r="Q204" s="22"/>
      <c r="R204" s="22"/>
      <c r="S204" s="31">
        <f t="shared" si="62"/>
        <v>1</v>
      </c>
      <c r="T204" s="46" t="str">
        <f t="shared" si="50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1"/>
        <v>https://d0f6bd738d7f1b3e5a7ca70fe4ff75f0.us-east-1.aws.found.io/app/kibana#/discover/Steve-Slow-Train-Analysis-(2080s-and-2083s)?_g=(refreshInterval:(display:Off,pause:!f,section:0,value:0),time:(from:'2017-03-24T07:27:14-0600',mode:absolute,to:'2017-03-24T09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4" s="187" t="str">
        <f t="shared" si="52"/>
        <v>Y</v>
      </c>
      <c r="X204" s="187">
        <f t="shared" si="63"/>
        <v>1</v>
      </c>
      <c r="Y204" s="62">
        <f t="shared" si="67"/>
        <v>4.53E-2</v>
      </c>
      <c r="Z204" s="62">
        <f t="shared" si="53"/>
        <v>2.4195000000000002</v>
      </c>
      <c r="AA204" s="62">
        <f t="shared" si="54"/>
        <v>2.3742000000000001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5"/>
        <v>0903-24</v>
      </c>
      <c r="AE204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204" s="82" t="str">
        <f t="shared" si="57"/>
        <v>"C:\Program Files (x86)\AstroGrep\AstroGrep.exe" /e /r /s /spath="%USERPROFILE%\AppData\Local\Temp\OnboardLogs" /stypes="app*4051*20170324*" /stext=" 14:.+((SYSTEM_STATE.+slice.+state.+changed )|(ment ac)|(multiple cpu faults)|(system.+state.+changed )|(\[timeout)|(PRM\|1\|D)|(kpr)|(kdp)|(\|lc)|(penalty))"</v>
      </c>
      <c r="AG204" s="1" t="str">
        <f t="shared" si="58"/>
        <v>Other</v>
      </c>
      <c r="AH204" s="86" t="str">
        <f t="shared" si="59"/>
        <v>"%USERPROFILE%\Documents\GitHub\eaglep3\Utilities\RefineRTDCRunTimes.py" --tripid 903-24 --locoid 4051 --swversion DE.1.0.9.0 --startMP 204:453 --initTime 2017-03-24T08:27:14 --startdatetime 2017-03-24T08:29:36 --delay 1 --endMP 300:24195 --enddatetime 2017-03-24T08:37:00 --enforcementcount 0 &gt;&gt;C:\Users\stu\Documents\GitHub\eaglep3-reporting\EC\2017-03-24-refined-times.txt</v>
      </c>
      <c r="AI204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{"issue":{"subject":"","project_id":79,"tracker_id":40,"status_id":1,"priority_id":2,"assigned_to_id":23,"start_date":"2017-03-24","description":"","custom_fields":[{"id":1,"name":"Subdivision","value":"Other"},{"id":4,"name":"Milepost","value":"2.4195"},{"id":17,"name":"Train ID","value":"903-24"},{"id":16,"name":"Locomotive ID","value":"4051"},{"id":130,"name":"Impact","value":""},{"id":150,"name":"Time of Event (Mountain Time)","value":"08:37:00"},{"id":151,"name":"Denver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1"/>
        <v>start /low /b %USERPROFILE%\Documents\GitHub\eaglep3\Utilities\DownloadLogsFromS3.py --loco 4051 --day 2017-03-24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205" spans="1:40" x14ac:dyDescent="0.25">
      <c r="A205" s="33" t="s">
        <v>743</v>
      </c>
      <c r="B205" s="7">
        <v>4052</v>
      </c>
      <c r="C205" s="21" t="s">
        <v>219</v>
      </c>
      <c r="D205" s="21" t="s">
        <v>1030</v>
      </c>
      <c r="E205" s="13">
        <v>42818.640844907408</v>
      </c>
      <c r="F205" s="13">
        <v>42818.642928240741</v>
      </c>
      <c r="G205" s="7">
        <v>2</v>
      </c>
      <c r="H205" s="21" t="s">
        <v>589</v>
      </c>
      <c r="I205" s="13">
        <v>42818.648356481484</v>
      </c>
      <c r="J205" s="7">
        <v>0</v>
      </c>
      <c r="K205" s="98" t="str">
        <f t="shared" ref="K205:K235" si="68">IF(ISEVEN(B205),(B205-1)&amp;"/"&amp;B205,B205&amp;"/"&amp;(B205+1))</f>
        <v>4051/4052</v>
      </c>
      <c r="L205" s="21" t="str">
        <f>VLOOKUP(A205,'Trips&amp;Operators'!$C$1:$G$99999,5,FALSE)</f>
        <v>SMITH MICHAEL</v>
      </c>
      <c r="M205" s="6">
        <f t="shared" ref="M205:M235" si="69">I205-F205</f>
        <v>5.4282407436403446E-3</v>
      </c>
      <c r="N205" s="7">
        <f t="shared" si="66"/>
        <v>7.8166666708420962</v>
      </c>
      <c r="O205" s="7"/>
      <c r="P205" s="7"/>
      <c r="Q205" s="22"/>
      <c r="R205" s="22"/>
      <c r="S205" s="31">
        <f t="shared" si="62"/>
        <v>1</v>
      </c>
      <c r="T205" s="46" t="str">
        <f t="shared" ref="T205:T235" si="70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5" si="7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-24T14:22:49-0600',mode:absolute,to:'2017-03-24T16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187" t="str">
        <f t="shared" ref="W205:W235" si="72">IF(AA205&lt;IF(AG205="EC",23,5.65),"Y","N")</f>
        <v>Y</v>
      </c>
      <c r="X205" s="187">
        <f t="shared" si="63"/>
        <v>1</v>
      </c>
      <c r="Y205" s="62">
        <f t="shared" si="67"/>
        <v>2.3508</v>
      </c>
      <c r="Z205" s="62">
        <f t="shared" ref="Z205:Z235" si="73">RIGHT(H205,LEN(H205)-4)/10000</f>
        <v>6.8900000000000003E-2</v>
      </c>
      <c r="AA205" s="62">
        <f t="shared" ref="AA205:AA268" si="74">ABS(Z205-Y205)</f>
        <v>2.2818999999999998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5" si="75">IF(LEN(A205)=6,"0"&amp;A205,A205)</f>
        <v>0904-24</v>
      </c>
      <c r="AE205" s="85" t="str">
        <f t="shared" ref="AE205:AE235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205" s="82" t="str">
        <f t="shared" ref="AF205:AF235" si="7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/stypes="app*4052*20170324*" /stext=" 21:.+((SYSTEM_STATE.+slice.+state.+changed )|(ment ac)|(multiple cpu faults)|(system.+state.+changed )|(\[timeout)|(PRM\|1\|D)|(kpr)|(kdp)|(\|lc)|(penalty))"</v>
      </c>
      <c r="AG205" s="1" t="str">
        <f t="shared" ref="AG205:AG235" si="78">IFERROR(IF(VALUE(LEFT(AD205,2))&lt;=2,"EC",IF(OR(VALUE(LEFT(AD205,2))=8,VALUE(LEFT(AD205,2))=18),"NW","Other")),"Other")</f>
        <v>Other</v>
      </c>
      <c r="AH205" s="86" t="str">
        <f t="shared" si="59"/>
        <v>"%USERPROFILE%\Documents\GitHub\eaglep3\Utilities\RefineRTDCRunTimes.py" --tripid 904-24 --locoid 4052 --swversion DE.1.0.9.0 --startMP 300:23508 --initTime 2017-03-24T15:22:49 --startdatetime 2017-03-24T15:25:49 --delay 2 --endMP 204:689 --enddatetime 2017-03-24T15:33:38 --enforcementcount 0 &gt;&gt;C:\Users\stu\Documents\GitHub\eaglep3-reporting\EC\2017-03-24-refined-times.txt</v>
      </c>
      <c r="AI205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{"issue":{"subject":"","project_id":79,"tracker_id":40,"status_id":1,"priority_id":2,"assigned_to_id":23,"start_date":"2017-03-24","description":"","custom_fields":[{"id":1,"name":"Subdivision","value":"Other"},{"id":4,"name":"Milepost","value":"0.0689"},{"id":17,"name":"Train ID","value":"904-24"},{"id":16,"name":"Locomotive ID","value":"4052"},{"id":130,"name":"Impact","value":""},{"id":150,"name":"Time of Event (Mountain Time)","value":"15:33:38"},{"id":151,"name":"Denver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1"/>
        <v>start /low /b %USERPROFILE%\Documents\GitHub\eaglep3\Utilities\DownloadLogsFromS3.py --loco 4052 --day 2017-03-24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</row>
    <row r="206" spans="1:40" x14ac:dyDescent="0.25">
      <c r="A206" s="33" t="s">
        <v>789</v>
      </c>
      <c r="B206" s="7">
        <v>4052</v>
      </c>
      <c r="C206" s="21" t="s">
        <v>219</v>
      </c>
      <c r="D206" s="21" t="s">
        <v>499</v>
      </c>
      <c r="E206" s="13">
        <v>42818.796365740738</v>
      </c>
      <c r="F206" s="13">
        <v>42818.79791666667</v>
      </c>
      <c r="G206" s="7">
        <v>1</v>
      </c>
      <c r="H206" s="21" t="s">
        <v>1031</v>
      </c>
      <c r="I206" s="13">
        <v>42818.804479166669</v>
      </c>
      <c r="J206" s="7">
        <v>0</v>
      </c>
      <c r="K206" s="98" t="str">
        <f t="shared" si="68"/>
        <v>4051/4052</v>
      </c>
      <c r="L206" s="21" t="str">
        <f>VLOOKUP(A206,'Trips&amp;Operators'!$C$1:$G$99999,5,FALSE)</f>
        <v>SMITH MICHAEL</v>
      </c>
      <c r="M206" s="6">
        <f t="shared" si="69"/>
        <v>6.5624999988358468E-3</v>
      </c>
      <c r="N206" s="7">
        <f t="shared" si="66"/>
        <v>9.4499999983236194</v>
      </c>
      <c r="O206" s="7"/>
      <c r="P206" s="7"/>
      <c r="Q206" s="22"/>
      <c r="R206" s="22"/>
      <c r="S206" s="31">
        <f t="shared" si="62"/>
        <v>0</v>
      </c>
      <c r="T206" s="46" t="str">
        <f t="shared" si="70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71"/>
        <v>https://d0f6bd738d7f1b3e5a7ca70fe4ff75f0.us-east-1.aws.found.io/app/kibana#/discover/Steve-Slow-Train-Analysis-(2080s-and-2083s)?_g=(refreshInterval:(display:Off,pause:!f,section:0,value:0),time:(from:'2017-03-24T18:06:46-0600',mode:absolute,to:'2017-03-24T20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187" t="str">
        <f t="shared" si="72"/>
        <v>Y</v>
      </c>
      <c r="X206" s="187">
        <f t="shared" si="63"/>
        <v>2</v>
      </c>
      <c r="Y206" s="62">
        <f t="shared" si="67"/>
        <v>5.8619000000000003</v>
      </c>
      <c r="Z206" s="62">
        <f t="shared" si="73"/>
        <v>2.8793000000000002</v>
      </c>
      <c r="AA206" s="62">
        <f t="shared" si="74"/>
        <v>2.9826000000000001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5"/>
        <v>0906-24</v>
      </c>
      <c r="AE206" s="85" t="str">
        <f t="shared" si="7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206" s="82" t="str">
        <f t="shared" si="77"/>
        <v>"C:\Program Files (x86)\AstroGrep\AstroGrep.exe" /e /r /s /spath="%USERPROFILE%\AppData\Local\Temp\OnboardLogs" /stypes="app*4052*20170325*" /stext=" 01:.+((SYSTEM_STATE.+slice.+state.+changed )|(ment ac)|(multiple cpu faults)|(system.+state.+changed )|(\[timeout)|(PRM\|1\|D)|(kpr)|(kdp)|(\|lc)|(penalty))"</v>
      </c>
      <c r="AG206" s="1" t="str">
        <f t="shared" si="78"/>
        <v>Other</v>
      </c>
      <c r="AH206" s="86" t="str">
        <f t="shared" ref="AH206:AH235" si="7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906-24 --locoid 4052 --swversion DE.1.0.9.0 --startMP 300:58619 --initTime 2017-03-24T19:06:46 --startdatetime 2017-03-24T19:09:00 --delay 1 --endMP 300:28793 --enddatetime 2017-03-24T19:18:27 --enforcementcount 0 &gt;&gt;C:\Users\stu\Documents\GitHub\eaglep3-reporting\EC\2017-03-24-refined-times.txt</v>
      </c>
      <c r="AI206" s="108" t="str">
        <f t="shared" ref="AI206:AI235" si="8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{"issue":{"subject":"","project_id":79,"tracker_id":40,"status_id":1,"priority_id":2,"assigned_to_id":23,"start_date":"2017-03-24","description":"","custom_fields":[{"id":1,"name":"Subdivision","value":"Other"},{"id":4,"name":"Milepost","value":"2.8793"},{"id":17,"name":"Train ID","value":"906-24"},{"id":16,"name":"Locomotive ID","value":"4052"},{"id":130,"name":"Impact","value":""},{"id":150,"name":"Time of Event (Mountain Time)","value":"19:18:27"},{"id":151,"name":"Denver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35" si="81">"start /low /b "&amp;dls3logs&amp;" --loco "&amp;B206&amp;" --day "&amp;TEXT(F206,"YYYY-MM-DD")</f>
        <v>start /low /b %USERPROFILE%\Documents\GitHub\eaglep3\Utilities\DownloadLogsFromS3.py --loco 4052 --day 2017-03-24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2017-03-24-UncaughtWiMAX.txt</v>
      </c>
    </row>
    <row r="207" spans="1:40" x14ac:dyDescent="0.25">
      <c r="A207" s="33" t="s">
        <v>815</v>
      </c>
      <c r="B207" s="7">
        <v>4043</v>
      </c>
      <c r="C207" s="21" t="s">
        <v>219</v>
      </c>
      <c r="D207" s="21" t="s">
        <v>1032</v>
      </c>
      <c r="E207" s="13">
        <v>42818.942129629628</v>
      </c>
      <c r="F207" s="13">
        <v>42818.943842592591</v>
      </c>
      <c r="G207" s="7">
        <v>1</v>
      </c>
      <c r="H207" s="21" t="s">
        <v>1033</v>
      </c>
      <c r="I207" s="13">
        <v>42818.948449074072</v>
      </c>
      <c r="J207" s="7">
        <v>0</v>
      </c>
      <c r="K207" s="98" t="str">
        <f t="shared" si="68"/>
        <v>4043/4044</v>
      </c>
      <c r="L207" s="21" t="str">
        <f>VLOOKUP(A207,'Trips&amp;Operators'!$C$1:$G$99999,5,FALSE)</f>
        <v>SMITH MICHAEL</v>
      </c>
      <c r="M207" s="6">
        <f t="shared" si="69"/>
        <v>4.6064814814599231E-3</v>
      </c>
      <c r="N207" s="7">
        <f t="shared" si="66"/>
        <v>6.6333333333022892</v>
      </c>
      <c r="O207" s="7"/>
      <c r="P207" s="7"/>
      <c r="Q207" s="22"/>
      <c r="R207" s="22"/>
      <c r="S207" s="31">
        <f t="shared" si="62"/>
        <v>0</v>
      </c>
      <c r="T207" s="46" t="str">
        <f t="shared" si="70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71"/>
        <v>https://d0f6bd738d7f1b3e5a7ca70fe4ff75f0.us-east-1.aws.found.io/app/kibana#/discover/Steve-Slow-Train-Analysis-(2080s-and-2083s)?_g=(refreshInterval:(display:Off,pause:!f,section:0,value:0),time:(from:'2017-03-24T21:36:40-0600',mode:absolute,to:'2017-03-24T23:45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187" t="str">
        <f t="shared" si="72"/>
        <v>Y</v>
      </c>
      <c r="X207" s="187">
        <f t="shared" si="63"/>
        <v>2</v>
      </c>
      <c r="Y207" s="62">
        <f t="shared" si="67"/>
        <v>5.867</v>
      </c>
      <c r="Z207" s="62">
        <f t="shared" si="73"/>
        <v>2.1655000000000002</v>
      </c>
      <c r="AA207" s="62">
        <f t="shared" si="74"/>
        <v>3.7014999999999998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5"/>
        <v>0908-24</v>
      </c>
      <c r="AE207" s="85" t="str">
        <f t="shared" si="7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207" s="82" t="str">
        <f t="shared" si="77"/>
        <v>"C:\Program Files (x86)\AstroGrep\AstroGrep.exe" /e /r /s /spath="%USERPROFILE%\AppData\Local\Temp\OnboardLogs" /stypes="app*4043*20170325*" /stext=" 04:.+((SYSTEM_STATE.+slice.+state.+changed )|(ment ac)|(multiple cpu faults)|(system.+state.+changed )|(\[timeout)|(PRM\|1\|D)|(kpr)|(kdp)|(\|lc)|(penalty))"</v>
      </c>
      <c r="AG207" s="1" t="str">
        <f t="shared" si="78"/>
        <v>Other</v>
      </c>
      <c r="AH207" s="86" t="str">
        <f t="shared" si="79"/>
        <v>"%USERPROFILE%\Documents\GitHub\eaglep3\Utilities\RefineRTDCRunTimes.py" --tripid 908-24 --locoid 4043 --swversion DE.1.0.9.0 --startMP 300:58670 --initTime 2017-03-24T22:36:40 --startdatetime 2017-03-24T22:39:08 --delay 1 --endMP 300:21655 --enddatetime 2017-03-24T22:45:46 --enforcementcount 0 &gt;&gt;C:\Users\stu\Documents\GitHub\eaglep3-reporting\EC\2017-03-24-refined-times.txt</v>
      </c>
      <c r="AI207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{"issue":{"subject":"","project_id":79,"tracker_id":40,"status_id":1,"priority_id":2,"assigned_to_id":23,"start_date":"2017-03-24","description":"","custom_fields":[{"id":1,"name":"Subdivision","value":"Other"},{"id":4,"name":"Milepost","value":"2.1655"},{"id":17,"name":"Train ID","value":"908-24"},{"id":16,"name":"Locomotive ID","value":"4043"},{"id":130,"name":"Impact","value":""},{"id":150,"name":"Time of Event (Mountain Time)","value":"22:45:46"},{"id":151,"name":"Denver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1"/>
        <v>start /low /b %USERPROFILE%\Documents\GitHub\eaglep3\Utilities\DownloadLogsFromS3.py --loco 4043 --day 2017-03-24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208" spans="1:40" x14ac:dyDescent="0.25">
      <c r="A208" s="33" t="s">
        <v>682</v>
      </c>
      <c r="B208" s="7">
        <v>4017</v>
      </c>
      <c r="C208" s="21" t="s">
        <v>219</v>
      </c>
      <c r="D208" s="21" t="s">
        <v>938</v>
      </c>
      <c r="E208" s="13">
        <v>42818.397418981483</v>
      </c>
      <c r="F208" s="13">
        <v>42818.3987037037</v>
      </c>
      <c r="G208" s="7">
        <v>1</v>
      </c>
      <c r="H208" s="21" t="s">
        <v>573</v>
      </c>
      <c r="I208" s="13">
        <v>42818.416620370372</v>
      </c>
      <c r="J208" s="7">
        <v>0</v>
      </c>
      <c r="K208" s="98" t="str">
        <f t="shared" si="68"/>
        <v>4017/4018</v>
      </c>
      <c r="L208" s="21" t="str">
        <f>VLOOKUP(A208,'Trips&amp;Operators'!$C$1:$G$99999,5,FALSE)</f>
        <v>BADERTSCHER DIANE</v>
      </c>
      <c r="M208" s="6">
        <f t="shared" si="69"/>
        <v>1.7916666671226267E-2</v>
      </c>
      <c r="N208" s="7">
        <f t="shared" si="66"/>
        <v>25.800000006565824</v>
      </c>
      <c r="O208" s="7"/>
      <c r="P208" s="7"/>
      <c r="Q208" s="22"/>
      <c r="R208" s="22"/>
      <c r="S208" s="31">
        <f t="shared" si="62"/>
        <v>0</v>
      </c>
      <c r="T208" s="46" t="e">
        <f t="shared" si="70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71"/>
        <v>https://d0f6bd738d7f1b3e5a7ca70fe4ff75f0.us-east-1.aws.found.io/app/kibana#/discover/Steve-Slow-Train-Analysis-(2080s-and-2083s)?_g=(refreshInterval:(display:Off,pause:!f,section:0,value:0),time:(from:'2017-03-24T08:32:17-0600',mode:absolute,to:'2017-03-24T10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87" t="str">
        <f t="shared" si="72"/>
        <v>N</v>
      </c>
      <c r="X208" s="187" t="e">
        <f t="shared" si="63"/>
        <v>#VALUE!</v>
      </c>
      <c r="Y208" s="62">
        <f t="shared" si="67"/>
        <v>12.788600000000001</v>
      </c>
      <c r="Z208" s="62">
        <f t="shared" si="73"/>
        <v>1.67E-2</v>
      </c>
      <c r="AA208" s="62">
        <f t="shared" si="74"/>
        <v>12.7719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5"/>
        <v>50-24</v>
      </c>
      <c r="AE208" s="85" t="str">
        <f t="shared" si="7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08" s="82" t="str">
        <f t="shared" si="77"/>
        <v>"C:\Program Files (x86)\AstroGrep\AstroGrep.exe" /e /r /s /spath="%USERPROFILE%\AppData\Local\Temp\OnboardLogs" /stypes="app*4017*20170324*" /stext=" 15:.+((SYSTEM_STATE.+slice.+state.+changed )|(ment ac)|(multiple cpu faults)|(system.+state.+changed )|(\[timeout)|(PRM\|1\|D)|(kpr)|(kdp)|(\|lc)|(penalty))"</v>
      </c>
      <c r="AG208" s="1" t="str">
        <f t="shared" si="78"/>
        <v>Other</v>
      </c>
      <c r="AH208" s="86" t="str">
        <f t="shared" si="79"/>
        <v>"%USERPROFILE%\Documents\GitHub\eaglep3\Utilities\RefineRTDCRunTimes.py" --tripid 50-24 --locoid 4017 --swversion DE.1.0.9.0 --startMP 204:127886 --initTime 2017-03-24T09:32:17 --startdatetime 2017-03-24T09:34:08 --delay 1 --endMP 204:167 --enddatetime 2017-03-24T09:59:56 --enforcementcount 0 &gt;&gt;C:\Users\stu\Documents\GitHub\eaglep3-reporting\EC\2017-03-24-refined-times.txt</v>
      </c>
      <c r="AI208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{"issue":{"subject":"","project_id":79,"tracker_id":40,"status_id":1,"priority_id":2,"assigned_to_id":23,"start_date":"2017-03-24","description":"","custom_fields":[{"id":1,"name":"Subdivision","value":"Other"},{"id":4,"name":"Milepost","value":"0.0167"},{"id":17,"name":"Train ID","value":"50-24"},{"id":16,"name":"Locomotive ID","value":"4017"},{"id":130,"name":"Impact","value":""},{"id":150,"name":"Time of Event (Mountain Time)","value":"09:59:56"},{"id":151,"name":"Denver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1"/>
        <v>start /low /b %USERPROFILE%\Documents\GitHub\eaglep3\Utilities\DownloadLogsFromS3.py --loco 4017 --day 2017-03-24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209" spans="1:40" x14ac:dyDescent="0.25">
      <c r="A209" s="33" t="s">
        <v>682</v>
      </c>
      <c r="B209" s="7">
        <v>4017</v>
      </c>
      <c r="C209" s="21" t="s">
        <v>219</v>
      </c>
      <c r="D209" s="21" t="s">
        <v>939</v>
      </c>
      <c r="E209" s="13">
        <v>42818.386469907404</v>
      </c>
      <c r="F209" s="13">
        <v>42818.3987037037</v>
      </c>
      <c r="G209" s="7">
        <v>1</v>
      </c>
      <c r="H209" s="21" t="s">
        <v>940</v>
      </c>
      <c r="I209" s="13">
        <v>42818.416620370372</v>
      </c>
      <c r="J209" s="7">
        <v>0</v>
      </c>
      <c r="K209" s="98" t="str">
        <f t="shared" si="68"/>
        <v>4017/4018</v>
      </c>
      <c r="L209" s="21" t="str">
        <f>VLOOKUP(A209,'Trips&amp;Operators'!$C$1:$G$99999,5,FALSE)</f>
        <v>BADERTSCHER DIANE</v>
      </c>
      <c r="M209" s="6">
        <f t="shared" si="69"/>
        <v>1.7916666671226267E-2</v>
      </c>
      <c r="N209" s="7">
        <f t="shared" si="66"/>
        <v>25.800000006565824</v>
      </c>
      <c r="O209" s="7"/>
      <c r="P209" s="7"/>
      <c r="Q209" s="22"/>
      <c r="R209" s="22"/>
      <c r="S209" s="31">
        <f t="shared" si="62"/>
        <v>0</v>
      </c>
      <c r="T209" s="46" t="e">
        <f t="shared" si="70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71"/>
        <v>https://d0f6bd738d7f1b3e5a7ca70fe4ff75f0.us-east-1.aws.found.io/app/kibana#/discover/Steve-Slow-Train-Analysis-(2080s-and-2083s)?_g=(refreshInterval:(display:Off,pause:!f,section:0,value:0),time:(from:'2017-03-24T08:16:31-0600',mode:absolute,to:'2017-03-24T10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87" t="str">
        <f t="shared" si="72"/>
        <v>Y</v>
      </c>
      <c r="X209" s="187" t="e">
        <f t="shared" si="63"/>
        <v>#VALUE!</v>
      </c>
      <c r="Y209" s="62">
        <f t="shared" si="67"/>
        <v>15.414400000000001</v>
      </c>
      <c r="Z209" s="62">
        <f t="shared" si="73"/>
        <v>14.985799999999999</v>
      </c>
      <c r="AA209" s="62">
        <f t="shared" si="74"/>
        <v>0.4286000000000012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5"/>
        <v>50-24</v>
      </c>
      <c r="AE209" s="85" t="str">
        <f t="shared" si="7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09" s="82" t="str">
        <f t="shared" si="77"/>
        <v>"C:\Program Files (x86)\AstroGrep\AstroGrep.exe" /e /r /s /spath="%USERPROFILE%\AppData\Local\Temp\OnboardLogs" /stypes="app*4017*20170324*" /stext=" 15:.+((SYSTEM_STATE.+slice.+state.+changed )|(ment ac)|(multiple cpu faults)|(system.+state.+changed )|(\[timeout)|(PRM\|1\|D)|(kpr)|(kdp)|(\|lc)|(penalty))"</v>
      </c>
      <c r="AG209" s="1" t="str">
        <f t="shared" si="78"/>
        <v>Other</v>
      </c>
      <c r="AH209" s="86" t="str">
        <f t="shared" si="79"/>
        <v>"%USERPROFILE%\Documents\GitHub\eaglep3\Utilities\RefineRTDCRunTimes.py" --tripid 50-24 --locoid 4017 --swversion DE.1.0.9.0 --startMP 204:154144 --initTime 2017-03-24T09:16:31 --startdatetime 2017-03-24T09:34:08 --delay 1 --endMP 204:149858 --enddatetime 2017-03-24T09:59:56 --enforcementcount 0 &gt;&gt;C:\Users\stu\Documents\GitHub\eaglep3-reporting\EC\2017-03-24-refined-times.txt</v>
      </c>
      <c r="AI209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{"issue":{"subject":"","project_id":79,"tracker_id":40,"status_id":1,"priority_id":2,"assigned_to_id":23,"start_date":"2017-03-24","description":"","custom_fields":[{"id":1,"name":"Subdivision","value":"Other"},{"id":4,"name":"Milepost","value":"14.9858"},{"id":17,"name":"Train ID","value":"50-24"},{"id":16,"name":"Locomotive ID","value":"4017"},{"id":130,"name":"Impact","value":""},{"id":150,"name":"Time of Event (Mountain Time)","value":"09:59:56"},{"id":151,"name":"Denver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1"/>
        <v>start /low /b %USERPROFILE%\Documents\GitHub\eaglep3\Utilities\DownloadLogsFromS3.py --loco 4017 --day 2017-03-24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210" spans="1:40" x14ac:dyDescent="0.25">
      <c r="A210" s="33" t="s">
        <v>682</v>
      </c>
      <c r="B210" s="7">
        <v>4017</v>
      </c>
      <c r="C210" s="21" t="s">
        <v>219</v>
      </c>
      <c r="D210" s="21" t="s">
        <v>941</v>
      </c>
      <c r="E210" s="13">
        <v>42818.355555555558</v>
      </c>
      <c r="F210" s="13">
        <v>42818.388055555559</v>
      </c>
      <c r="G210" s="7">
        <v>1</v>
      </c>
      <c r="H210" s="21" t="s">
        <v>942</v>
      </c>
      <c r="I210" s="13">
        <v>42818.390532407408</v>
      </c>
      <c r="J210" s="7">
        <v>0</v>
      </c>
      <c r="K210" s="98" t="str">
        <f t="shared" si="68"/>
        <v>4017/4018</v>
      </c>
      <c r="L210" s="21" t="str">
        <f>VLOOKUP(A210,'Trips&amp;Operators'!$C$1:$G$99999,5,FALSE)</f>
        <v>BADERTSCHER DIANE</v>
      </c>
      <c r="M210" s="6">
        <f t="shared" si="69"/>
        <v>2.4768518487690017E-3</v>
      </c>
      <c r="N210" s="7">
        <f t="shared" si="66"/>
        <v>3.5666666622273624</v>
      </c>
      <c r="O210" s="7"/>
      <c r="P210" s="7"/>
      <c r="Q210" s="22"/>
      <c r="R210" s="22"/>
      <c r="S210" s="31">
        <f t="shared" si="62"/>
        <v>0</v>
      </c>
      <c r="T210" s="46" t="e">
        <f t="shared" si="70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71"/>
        <v>https://d0f6bd738d7f1b3e5a7ca70fe4ff75f0.us-east-1.aws.found.io/app/kibana#/discover/Steve-Slow-Train-Analysis-(2080s-and-2083s)?_g=(refreshInterval:(display:Off,pause:!f,section:0,value:0),time:(from:'2017-03-24T07:32:00-0600',mode:absolute,to:'2017-03-24T10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87" t="str">
        <f t="shared" si="72"/>
        <v>N</v>
      </c>
      <c r="X210" s="187" t="e">
        <f t="shared" si="63"/>
        <v>#VALUE!</v>
      </c>
      <c r="Y210" s="62">
        <f t="shared" si="67"/>
        <v>23.2651</v>
      </c>
      <c r="Z210" s="62">
        <f t="shared" si="73"/>
        <v>12.789199999999999</v>
      </c>
      <c r="AA210" s="62">
        <f t="shared" si="74"/>
        <v>10.475900000000001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5"/>
        <v>50-24</v>
      </c>
      <c r="AE210" s="85" t="str">
        <f t="shared" si="7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10" s="82" t="str">
        <f t="shared" si="77"/>
        <v>"C:\Program Files (x86)\AstroGrep\AstroGrep.exe" /e /r /s /spath="%USERPROFILE%\AppData\Local\Temp\OnboardLogs" /stypes="app*4017*20170324*" /stext=" 15:.+((SYSTEM_STATE.+slice.+state.+changed )|(ment ac)|(multiple cpu faults)|(system.+state.+changed )|(\[timeout)|(PRM\|1\|D)|(kpr)|(kdp)|(\|lc)|(penalty))"</v>
      </c>
      <c r="AG210" s="1" t="str">
        <f t="shared" si="78"/>
        <v>Other</v>
      </c>
      <c r="AH210" s="86" t="str">
        <f t="shared" si="79"/>
        <v>"%USERPROFILE%\Documents\GitHub\eaglep3\Utilities\RefineRTDCRunTimes.py" --tripid 50-24 --locoid 4017 --swversion DE.1.0.9.0 --startMP 204:232651 --initTime 2017-03-24T08:32:00 --startdatetime 2017-03-24T09:18:48 --delay 1 --endMP 204:127892 --enddatetime 2017-03-24T09:22:22 --enforcementcount 0 &gt;&gt;C:\Users\stu\Documents\GitHub\eaglep3-reporting\EC\2017-03-24-refined-times.txt</v>
      </c>
      <c r="AI210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{"issue":{"subject":"","project_id":79,"tracker_id":40,"status_id":1,"priority_id":2,"assigned_to_id":23,"start_date":"2017-03-24","description":"","custom_fields":[{"id":1,"name":"Subdivision","value":"Other"},{"id":4,"name":"Milepost","value":"12.7892"},{"id":17,"name":"Train ID","value":"50-24"},{"id":16,"name":"Locomotive ID","value":"4017"},{"id":130,"name":"Impact","value":""},{"id":150,"name":"Time of Event (Mountain Time)","value":"09:22:22"},{"id":151,"name":"Denver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1"/>
        <v>start /low /b %USERPROFILE%\Documents\GitHub\eaglep3\Utilities\DownloadLogsFromS3.py --loco 4017 --day 2017-03-24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211" spans="1:40" x14ac:dyDescent="0.25">
      <c r="A211" s="33" t="s">
        <v>682</v>
      </c>
      <c r="B211" s="7">
        <v>4018</v>
      </c>
      <c r="C211" s="21" t="s">
        <v>219</v>
      </c>
      <c r="D211" s="21" t="s">
        <v>943</v>
      </c>
      <c r="E211" s="13">
        <v>42818.374479166669</v>
      </c>
      <c r="F211" s="13">
        <v>42818.3987037037</v>
      </c>
      <c r="G211" s="7">
        <v>1</v>
      </c>
      <c r="H211" s="21" t="s">
        <v>944</v>
      </c>
      <c r="I211" s="13">
        <v>42818.416620370372</v>
      </c>
      <c r="J211" s="7">
        <v>0</v>
      </c>
      <c r="K211" s="98" t="str">
        <f t="shared" si="68"/>
        <v>4017/4018</v>
      </c>
      <c r="L211" s="21" t="str">
        <f>VLOOKUP(A211,'Trips&amp;Operators'!$C$1:$G$99999,5,FALSE)</f>
        <v>BADERTSCHER DIANE</v>
      </c>
      <c r="M211" s="6">
        <f t="shared" si="69"/>
        <v>1.7916666671226267E-2</v>
      </c>
      <c r="N211" s="7">
        <f t="shared" si="66"/>
        <v>25.800000006565824</v>
      </c>
      <c r="O211" s="7"/>
      <c r="P211" s="7"/>
      <c r="Q211" s="22"/>
      <c r="R211" s="22"/>
      <c r="S211" s="31">
        <f t="shared" si="62"/>
        <v>0</v>
      </c>
      <c r="T211" s="46" t="e">
        <f t="shared" si="70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1"/>
        <v>https://d0f6bd738d7f1b3e5a7ca70fe4ff75f0.us-east-1.aws.found.io/app/kibana#/discover/Steve-Slow-Train-Analysis-(2080s-and-2083s)?_g=(refreshInterval:(display:Off,pause:!f,section:0,value:0),time:(from:'2017-03-24T07:59:15-0600',mode:absolute,to:'2017-03-24T10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187" t="str">
        <f t="shared" si="72"/>
        <v>Y</v>
      </c>
      <c r="X211" s="187" t="e">
        <f t="shared" si="63"/>
        <v>#VALUE!</v>
      </c>
      <c r="Y211" s="62">
        <f t="shared" si="67"/>
        <v>12.5932</v>
      </c>
      <c r="Z211" s="62">
        <f t="shared" si="73"/>
        <v>15.4413</v>
      </c>
      <c r="AA211" s="62">
        <f t="shared" si="74"/>
        <v>2.8481000000000005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5"/>
        <v>50-24</v>
      </c>
      <c r="AE211" s="85" t="str">
        <f t="shared" si="7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211" s="82" t="str">
        <f t="shared" si="77"/>
        <v>"C:\Program Files (x86)\AstroGrep\AstroGrep.exe" /e /r /s /spath="%USERPROFILE%\AppData\Local\Temp\OnboardLogs" /stypes="app*4018*20170324*" /stext=" 15:.+((SYSTEM_STATE.+slice.+state.+changed )|(ment ac)|(multiple cpu faults)|(system.+state.+changed )|(\[timeout)|(PRM\|1\|D)|(kpr)|(kdp)|(\|lc)|(penalty))"</v>
      </c>
      <c r="AG211" s="1" t="str">
        <f t="shared" si="78"/>
        <v>Other</v>
      </c>
      <c r="AH211" s="86" t="str">
        <f t="shared" si="79"/>
        <v>"%USERPROFILE%\Documents\GitHub\eaglep3\Utilities\RefineRTDCRunTimes.py" --tripid 50-24 --locoid 4018 --swversion DE.1.0.9.0 --startMP 204:125932 --initTime 2017-03-24T08:59:15 --startdatetime 2017-03-24T09:34:08 --delay 1 --endMP 204:154413 --enddatetime 2017-03-24T09:59:56 --enforcementcount 0 &gt;&gt;C:\Users\stu\Documents\GitHub\eaglep3-reporting\EC\2017-03-24-refined-times.txt</v>
      </c>
      <c r="AI211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{"issue":{"subject":"","project_id":79,"tracker_id":40,"status_id":1,"priority_id":2,"assigned_to_id":23,"start_date":"2017-03-24","description":"","custom_fields":[{"id":1,"name":"Subdivision","value":"Other"},{"id":4,"name":"Milepost","value":"15.4413"},{"id":17,"name":"Train ID","value":"50-24"},{"id":16,"name":"Locomotive ID","value":"4018"},{"id":130,"name":"Impact","value":""},{"id":150,"name":"Time of Event (Mountain Time)","value":"09:59:56"},{"id":151,"name":"Denver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1"/>
        <v>start /low /b %USERPROFILE%\Documents\GitHub\eaglep3\Utilities\DownloadLogsFromS3.py --loco 4018 --day 2017-03-24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</row>
    <row r="212" spans="1:40" x14ac:dyDescent="0.25">
      <c r="A212" s="33" t="s">
        <v>600</v>
      </c>
      <c r="B212" s="7">
        <v>4003</v>
      </c>
      <c r="C212" s="21" t="s">
        <v>219</v>
      </c>
      <c r="D212" s="21" t="s">
        <v>945</v>
      </c>
      <c r="E212" s="13">
        <v>42818.163032407407</v>
      </c>
      <c r="F212" s="13">
        <v>42818.165810185186</v>
      </c>
      <c r="G212" s="7">
        <v>1</v>
      </c>
      <c r="H212" s="21" t="s">
        <v>946</v>
      </c>
      <c r="I212" s="13">
        <v>42818.175833333335</v>
      </c>
      <c r="J212" s="7">
        <v>0</v>
      </c>
      <c r="K212" s="98" t="str">
        <f t="shared" si="68"/>
        <v>4003/4004</v>
      </c>
      <c r="L212" s="21" t="str">
        <f>VLOOKUP(A212,'Trips&amp;Operators'!$C$1:$G$99999,5,FALSE)</f>
        <v>SPECTOR MICHAEL</v>
      </c>
      <c r="M212" s="6">
        <f t="shared" si="69"/>
        <v>1.0023148148320615E-2</v>
      </c>
      <c r="N212" s="7">
        <f t="shared" si="66"/>
        <v>14.433333333581686</v>
      </c>
      <c r="O212" s="7"/>
      <c r="P212" s="7"/>
      <c r="Q212" s="22"/>
      <c r="R212" s="22"/>
      <c r="S212" s="31">
        <f t="shared" ref="S212:S235" si="82">SUM(U212:U212)/IF(AG212="EC",12,1)</f>
        <v>0</v>
      </c>
      <c r="T212" s="46" t="e">
        <f t="shared" si="70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71"/>
        <v>https://d0f6bd738d7f1b3e5a7ca70fe4ff75f0.us-east-1.aws.found.io/app/kibana#/discover/Steve-Slow-Train-Analysis-(2080s-and-2083s)?_g=(refreshInterval:(display:Off,pause:!f,section:0,value:0),time:(from:'2017-03-24T02:54:46-0600',mode:absolute,to:'2017-03-24T05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187" t="str">
        <f t="shared" si="72"/>
        <v>Y</v>
      </c>
      <c r="X212" s="187" t="e">
        <f t="shared" si="63"/>
        <v>#VALUE!</v>
      </c>
      <c r="Y212" s="62">
        <f t="shared" si="67"/>
        <v>10.7082</v>
      </c>
      <c r="Z212" s="62">
        <f t="shared" si="73"/>
        <v>15.8056</v>
      </c>
      <c r="AA212" s="62">
        <f t="shared" si="74"/>
        <v>5.0974000000000004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5"/>
        <v>51-24</v>
      </c>
      <c r="AE212" s="85" t="str">
        <f t="shared" si="7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212" s="82" t="str">
        <f t="shared" si="77"/>
        <v>"C:\Program Files (x86)\AstroGrep\AstroGrep.exe" /e /r /s /spath="%USERPROFILE%\AppData\Local\Temp\OnboardLogs" /stypes="app*4003*20170324*" /stext=" 10:.+((SYSTEM_STATE.+slice.+state.+changed )|(ment ac)|(multiple cpu faults)|(system.+state.+changed )|(\[timeout)|(PRM\|1\|D)|(kpr)|(kdp)|(\|lc)|(penalty))"</v>
      </c>
      <c r="AG212" s="1" t="str">
        <f t="shared" si="78"/>
        <v>Other</v>
      </c>
      <c r="AH212" s="86" t="str">
        <f t="shared" si="79"/>
        <v>"%USERPROFILE%\Documents\GitHub\eaglep3\Utilities\RefineRTDCRunTimes.py" --tripid 51-24 --locoid 4003 --swversion DE.1.0.9.0 --startMP 204:107082 --initTime 2017-03-24T03:54:46 --startdatetime 2017-03-24T03:58:46 --delay 1 --endMP 204:158056 --enddatetime 2017-03-24T04:13:12 --enforcementcount 0 &gt;&gt;C:\Users\stu\Documents\GitHub\eaglep3-reporting\EC\2017-03-24-refined-times.txt</v>
      </c>
      <c r="AI212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{"issue":{"subject":"","project_id":79,"tracker_id":40,"status_id":1,"priority_id":2,"assigned_to_id":23,"start_date":"2017-03-24","description":"","custom_fields":[{"id":1,"name":"Subdivision","value":"Other"},{"id":4,"name":"Milepost","value":"15.8056"},{"id":17,"name":"Train ID","value":"51-24"},{"id":16,"name":"Locomotive ID","value":"4003"},{"id":130,"name":"Impact","value":""},{"id":150,"name":"Time of Event (Mountain Time)","value":"04:13:12"},{"id":151,"name":"Denver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1"/>
        <v>start /low /b %USERPROFILE%\Documents\GitHub\eaglep3\Utilities\DownloadLogsFromS3.py --loco 4003 --day 2017-03-24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</row>
    <row r="213" spans="1:40" x14ac:dyDescent="0.25">
      <c r="A213" s="33" t="s">
        <v>600</v>
      </c>
      <c r="B213" s="7">
        <v>4003</v>
      </c>
      <c r="C213" s="21" t="s">
        <v>219</v>
      </c>
      <c r="D213" s="21" t="s">
        <v>947</v>
      </c>
      <c r="E213" s="13">
        <v>42818.113935185182</v>
      </c>
      <c r="F213" s="13">
        <v>42818.116400462961</v>
      </c>
      <c r="G213" s="7">
        <v>2</v>
      </c>
      <c r="H213" s="21" t="s">
        <v>948</v>
      </c>
      <c r="I213" s="13">
        <v>42818.138043981482</v>
      </c>
      <c r="J213" s="7">
        <v>0</v>
      </c>
      <c r="K213" s="98" t="str">
        <f t="shared" si="68"/>
        <v>4003/4004</v>
      </c>
      <c r="L213" s="21" t="str">
        <f>VLOOKUP(A213,'Trips&amp;Operators'!$C$1:$G$99999,5,FALSE)</f>
        <v>SPECTOR MICHAEL</v>
      </c>
      <c r="M213" s="6">
        <f t="shared" si="69"/>
        <v>2.1643518521159422E-2</v>
      </c>
      <c r="N213" s="7">
        <f t="shared" si="66"/>
        <v>31.166666670469567</v>
      </c>
      <c r="O213" s="7"/>
      <c r="P213" s="7"/>
      <c r="Q213" s="22"/>
      <c r="R213" s="22"/>
      <c r="S213" s="31">
        <f t="shared" si="82"/>
        <v>0</v>
      </c>
      <c r="T213" s="46" t="e">
        <f t="shared" si="70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71"/>
        <v>https://d0f6bd738d7f1b3e5a7ca70fe4ff75f0.us-east-1.aws.found.io/app/kibana#/discover/Steve-Slow-Train-Analysis-(2080s-and-2083s)?_g=(refreshInterval:(display:Off,pause:!f,section:0,value:0),time:(from:'2017-03-24T01:44:04-0600',mode:absolute,to:'2017-03-24T04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3" s="187" t="str">
        <f t="shared" si="72"/>
        <v>N</v>
      </c>
      <c r="X213" s="187" t="e">
        <f t="shared" si="63"/>
        <v>#VALUE!</v>
      </c>
      <c r="Y213" s="62">
        <f t="shared" si="67"/>
        <v>3.3399999999999999E-2</v>
      </c>
      <c r="Z213" s="62">
        <f t="shared" si="73"/>
        <v>15.811199999999999</v>
      </c>
      <c r="AA213" s="62">
        <f t="shared" si="74"/>
        <v>15.777799999999999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5"/>
        <v>51-24</v>
      </c>
      <c r="AE213" s="85" t="str">
        <f t="shared" si="7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213" s="82" t="str">
        <f t="shared" si="77"/>
        <v>"C:\Program Files (x86)\AstroGrep\AstroGrep.exe" /e /r /s /spath="%USERPROFILE%\AppData\Local\Temp\OnboardLogs" /stypes="app*4003*20170324*" /stext=" 09:.+((SYSTEM_STATE.+slice.+state.+changed )|(ment ac)|(multiple cpu faults)|(system.+state.+changed )|(\[timeout)|(PRM\|1\|D)|(kpr)|(kdp)|(\|lc)|(penalty))"</v>
      </c>
      <c r="AG213" s="1" t="str">
        <f t="shared" si="78"/>
        <v>Other</v>
      </c>
      <c r="AH213" s="86" t="str">
        <f t="shared" si="79"/>
        <v>"%USERPROFILE%\Documents\GitHub\eaglep3\Utilities\RefineRTDCRunTimes.py" --tripid 51-24 --locoid 4003 --swversion DE.1.0.9.0 --startMP 204:334 --initTime 2017-03-24T02:44:04 --startdatetime 2017-03-24T02:47:37 --delay 2 --endMP 204:158112 --enddatetime 2017-03-24T03:18:47 --enforcementcount 0 &gt;&gt;C:\Users\stu\Documents\GitHub\eaglep3-reporting\EC\2017-03-24-refined-times.txt</v>
      </c>
      <c r="AI213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{"issue":{"subject":"","project_id":79,"tracker_id":40,"status_id":1,"priority_id":2,"assigned_to_id":23,"start_date":"2017-03-24","description":"","custom_fields":[{"id":1,"name":"Subdivision","value":"Other"},{"id":4,"name":"Milepost","value":"15.8112"},{"id":17,"name":"Train ID","value":"51-24"},{"id":16,"name":"Locomotive ID","value":"4003"},{"id":130,"name":"Impact","value":""},{"id":150,"name":"Time of Event (Mountain Time)","value":"03:18:47"},{"id":151,"name":"Denver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1"/>
        <v>start /low /b %USERPROFILE%\Documents\GitHub\eaglep3\Utilities\DownloadLogsFromS3.py --loco 4003 --day 2017-03-24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</row>
    <row r="214" spans="1:40" x14ac:dyDescent="0.25">
      <c r="A214" s="33" t="s">
        <v>638</v>
      </c>
      <c r="B214" s="7">
        <v>4004</v>
      </c>
      <c r="C214" s="21" t="s">
        <v>219</v>
      </c>
      <c r="D214" s="21" t="s">
        <v>949</v>
      </c>
      <c r="E214" s="13">
        <v>42818.176655092589</v>
      </c>
      <c r="F214" s="13">
        <v>42818.178900462961</v>
      </c>
      <c r="G214" s="7">
        <v>1</v>
      </c>
      <c r="H214" s="21" t="s">
        <v>950</v>
      </c>
      <c r="I214" s="13">
        <v>42818.237222222226</v>
      </c>
      <c r="J214" s="7">
        <v>0</v>
      </c>
      <c r="K214" s="98" t="str">
        <f t="shared" si="68"/>
        <v>4003/4004</v>
      </c>
      <c r="L214" s="21" t="str">
        <f>VLOOKUP(A214,'Trips&amp;Operators'!$C$1:$G$99999,5,FALSE)</f>
        <v>SPECTOR MICHAEL</v>
      </c>
      <c r="M214" s="6">
        <f t="shared" si="69"/>
        <v>5.8321759264799766E-2</v>
      </c>
      <c r="N214" s="7">
        <f t="shared" si="66"/>
        <v>83.983333341311663</v>
      </c>
      <c r="O214" s="7"/>
      <c r="P214" s="7"/>
      <c r="Q214" s="22"/>
      <c r="R214" s="22"/>
      <c r="S214" s="31">
        <f t="shared" si="82"/>
        <v>0</v>
      </c>
      <c r="T214" s="46" t="e">
        <f t="shared" si="70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71"/>
        <v>https://d0f6bd738d7f1b3e5a7ca70fe4ff75f0.us-east-1.aws.found.io/app/kibana#/discover/Steve-Slow-Train-Analysis-(2080s-and-2083s)?_g=(refreshInterval:(display:Off,pause:!f,section:0,value:0),time:(from:'2017-03-24T03:14:23-0600',mode:absolute,to:'2017-03-24T06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4" s="187" t="str">
        <f t="shared" si="72"/>
        <v>N</v>
      </c>
      <c r="X214" s="187" t="e">
        <f t="shared" si="63"/>
        <v>#VALUE!</v>
      </c>
      <c r="Y214" s="62">
        <f t="shared" si="67"/>
        <v>15.7829</v>
      </c>
      <c r="Z214" s="62">
        <f t="shared" si="73"/>
        <v>0.13109999999999999</v>
      </c>
      <c r="AA214" s="62">
        <f t="shared" si="74"/>
        <v>15.6518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5"/>
        <v>52-24</v>
      </c>
      <c r="AE214" s="85" t="str">
        <f t="shared" si="7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214" s="82" t="str">
        <f t="shared" si="77"/>
        <v>"C:\Program Files (x86)\AstroGrep\AstroGrep.exe" /e /r /s /spath="%USERPROFILE%\AppData\Local\Temp\OnboardLogs" /stypes="app*4004*20170324*" /stext=" 11:.+((SYSTEM_STATE.+slice.+state.+changed )|(ment ac)|(multiple cpu faults)|(system.+state.+changed )|(\[timeout)|(PRM\|1\|D)|(kpr)|(kdp)|(\|lc)|(penalty))"</v>
      </c>
      <c r="AG214" s="1" t="str">
        <f t="shared" si="78"/>
        <v>Other</v>
      </c>
      <c r="AH214" s="86" t="str">
        <f t="shared" si="79"/>
        <v>"%USERPROFILE%\Documents\GitHub\eaglep3\Utilities\RefineRTDCRunTimes.py" --tripid 52-24 --locoid 4004 --swversion DE.1.0.9.0 --startMP 204:157829 --initTime 2017-03-24T04:14:23 --startdatetime 2017-03-24T04:17:37 --delay 1 --endMP 204:1311 --enddatetime 2017-03-24T05:41:36 --enforcementcount 0 &gt;&gt;C:\Users\stu\Documents\GitHub\eaglep3-reporting\EC\2017-03-24-refined-times.txt</v>
      </c>
      <c r="AI214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{"issue":{"subject":"","project_id":79,"tracker_id":40,"status_id":1,"priority_id":2,"assigned_to_id":23,"start_date":"2017-03-24","description":"","custom_fields":[{"id":1,"name":"Subdivision","value":"Other"},{"id":4,"name":"Milepost","value":"0.1311"},{"id":17,"name":"Train ID","value":"52-24"},{"id":16,"name":"Locomotive ID","value":"4004"},{"id":130,"name":"Impact","value":""},{"id":150,"name":"Time of Event (Mountain Time)","value":"05:41:36"},{"id":151,"name":"Denver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1"/>
        <v>start /low /b %USERPROFILE%\Documents\GitHub\eaglep3\Utilities\DownloadLogsFromS3.py --loco 4004 --day 2017-03-24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</row>
    <row r="215" spans="1:40" s="20" customFormat="1" x14ac:dyDescent="0.25">
      <c r="A215" s="33" t="s">
        <v>638</v>
      </c>
      <c r="B215" s="7">
        <v>4004</v>
      </c>
      <c r="C215" s="21" t="s">
        <v>219</v>
      </c>
      <c r="D215" s="21" t="s">
        <v>951</v>
      </c>
      <c r="E215" s="13">
        <v>42818.139131944445</v>
      </c>
      <c r="F215" s="13">
        <v>42818.178900462961</v>
      </c>
      <c r="G215" s="7">
        <v>1</v>
      </c>
      <c r="H215" s="21" t="s">
        <v>952</v>
      </c>
      <c r="I215" s="13">
        <v>42818.237222222226</v>
      </c>
      <c r="J215" s="7">
        <v>0</v>
      </c>
      <c r="K215" s="98" t="str">
        <f t="shared" si="68"/>
        <v>4003/4004</v>
      </c>
      <c r="L215" s="21" t="str">
        <f>VLOOKUP(A215,'Trips&amp;Operators'!$C$1:$G$99999,5,FALSE)</f>
        <v>SPECTOR MICHAEL</v>
      </c>
      <c r="M215" s="6">
        <f t="shared" si="69"/>
        <v>5.8321759264799766E-2</v>
      </c>
      <c r="N215" s="7">
        <f t="shared" si="66"/>
        <v>83.983333341311663</v>
      </c>
      <c r="O215" s="7"/>
      <c r="P215" s="7"/>
      <c r="Q215" s="22"/>
      <c r="R215" s="22"/>
      <c r="S215" s="31">
        <f t="shared" si="82"/>
        <v>0</v>
      </c>
      <c r="T215" s="46" t="e">
        <f t="shared" si="70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71"/>
        <v>https://d0f6bd738d7f1b3e5a7ca70fe4ff75f0.us-east-1.aws.found.io/app/kibana#/discover/Steve-Slow-Train-Analysis-(2080s-and-2083s)?_g=(refreshInterval:(display:Off,pause:!f,section:0,value:0),time:(from:'2017-03-24T02:20:21-0600',mode:absolute,to:'2017-03-24T06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5" s="187" t="str">
        <f t="shared" si="72"/>
        <v>Y</v>
      </c>
      <c r="X215" s="187" t="e">
        <f t="shared" si="63"/>
        <v>#VALUE!</v>
      </c>
      <c r="Y215" s="62">
        <f t="shared" si="67"/>
        <v>15.7879</v>
      </c>
      <c r="Z215" s="62">
        <f t="shared" si="73"/>
        <v>10.6752</v>
      </c>
      <c r="AA215" s="62">
        <f t="shared" si="74"/>
        <v>5.1127000000000002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5"/>
        <v>52-24</v>
      </c>
      <c r="AE215" s="85" t="str">
        <f t="shared" si="7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215" s="82" t="str">
        <f t="shared" si="77"/>
        <v>"C:\Program Files (x86)\AstroGrep\AstroGrep.exe" /e /r /s /spath="%USERPROFILE%\AppData\Local\Temp\OnboardLogs" /stypes="app*4004*20170324*" /stext=" 11:.+((SYSTEM_STATE.+slice.+state.+changed )|(ment ac)|(multiple cpu faults)|(system.+state.+changed )|(\[timeout)|(PRM\|1\|D)|(kpr)|(kdp)|(\|lc)|(penalty))"</v>
      </c>
      <c r="AG215" s="1" t="str">
        <f t="shared" si="78"/>
        <v>Other</v>
      </c>
      <c r="AH215" s="86" t="str">
        <f t="shared" si="79"/>
        <v>"%USERPROFILE%\Documents\GitHub\eaglep3\Utilities\RefineRTDCRunTimes.py" --tripid 52-24 --locoid 4004 --swversion DE.1.0.9.0 --startMP 204:157879 --initTime 2017-03-24T03:20:21 --startdatetime 2017-03-24T04:17:37 --delay 1 --endMP 204:106752 --enddatetime 2017-03-24T05:41:36 --enforcementcount 0 &gt;&gt;C:\Users\stu\Documents\GitHub\eaglep3-reporting\EC\2017-03-24-refined-times.txt</v>
      </c>
      <c r="AI215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{"issue":{"subject":"","project_id":79,"tracker_id":40,"status_id":1,"priority_id":2,"assigned_to_id":23,"start_date":"2017-03-24","description":"","custom_fields":[{"id":1,"name":"Subdivision","value":"Other"},{"id":4,"name":"Milepost","value":"10.6752"},{"id":17,"name":"Train ID","value":"52-24"},{"id":16,"name":"Locomotive ID","value":"4004"},{"id":130,"name":"Impact","value":""},{"id":150,"name":"Time of Event (Mountain Time)","value":"05:41:36"},{"id":151,"name":"Denver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1"/>
        <v>start /low /b %USERPROFILE%\Documents\GitHub\eaglep3\Utilities\DownloadLogsFromS3.py --loco 4004 --day 2017-03-24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</row>
    <row r="216" spans="1:40" x14ac:dyDescent="0.25">
      <c r="A216" s="33" t="s">
        <v>763</v>
      </c>
      <c r="B216" s="7">
        <v>4016</v>
      </c>
      <c r="C216" s="21" t="s">
        <v>219</v>
      </c>
      <c r="D216" s="21" t="s">
        <v>953</v>
      </c>
      <c r="E216" s="13">
        <v>42818.717615740738</v>
      </c>
      <c r="F216" s="13">
        <v>42818.737141203703</v>
      </c>
      <c r="G216" s="7">
        <v>1</v>
      </c>
      <c r="H216" s="21" t="s">
        <v>954</v>
      </c>
      <c r="I216" s="13">
        <v>42818.763229166667</v>
      </c>
      <c r="J216" s="7">
        <v>0</v>
      </c>
      <c r="K216" s="98" t="str">
        <f t="shared" si="68"/>
        <v>4015/4016</v>
      </c>
      <c r="L216" s="21" t="str">
        <f>VLOOKUP(A216,'Trips&amp;Operators'!$C$1:$G$99999,5,FALSE)</f>
        <v>MCREYNOLDS KYLE</v>
      </c>
      <c r="M216" s="6">
        <f t="shared" si="69"/>
        <v>2.6087962964083999E-2</v>
      </c>
      <c r="N216" s="7">
        <f t="shared" si="66"/>
        <v>37.566666668280959</v>
      </c>
      <c r="O216" s="7"/>
      <c r="P216" s="7"/>
      <c r="Q216" s="22"/>
      <c r="R216" s="22"/>
      <c r="S216" s="31">
        <f t="shared" si="82"/>
        <v>0</v>
      </c>
      <c r="T216" s="46" t="e">
        <f t="shared" si="70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1"/>
        <v>https://d0f6bd738d7f1b3e5a7ca70fe4ff75f0.us-east-1.aws.found.io/app/kibana#/discover/Steve-Slow-Train-Analysis-(2080s-and-2083s)?_g=(refreshInterval:(display:Off,pause:!f,section:0,value:0),time:(from:'2017-03-24T16:13:22-0600',mode:absolute,to:'2017-03-24T19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6" s="187" t="str">
        <f t="shared" si="72"/>
        <v>Y</v>
      </c>
      <c r="X216" s="187" t="e">
        <f t="shared" si="63"/>
        <v>#VALUE!</v>
      </c>
      <c r="Y216" s="62">
        <f t="shared" si="67"/>
        <v>0.1467</v>
      </c>
      <c r="Z216" s="62">
        <f t="shared" si="73"/>
        <v>2.3062</v>
      </c>
      <c r="AA216" s="62">
        <f t="shared" si="74"/>
        <v>2.1595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5"/>
        <v>53-24</v>
      </c>
      <c r="AE216" s="85" t="str">
        <f t="shared" si="76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216" s="82" t="str">
        <f t="shared" si="77"/>
        <v>"C:\Program Files (x86)\AstroGrep\AstroGrep.exe" /e /r /s /spath="%USERPROFILE%\AppData\Local\Temp\OnboardLogs" /stypes="app*4016*20170325*" /stext=" 00:.+((SYSTEM_STATE.+slice.+state.+changed )|(ment ac)|(multiple cpu faults)|(system.+state.+changed )|(\[timeout)|(PRM\|1\|D)|(kpr)|(kdp)|(\|lc)|(penalty))"</v>
      </c>
      <c r="AG216" s="1" t="str">
        <f t="shared" si="78"/>
        <v>Other</v>
      </c>
      <c r="AH216" s="86" t="str">
        <f t="shared" si="79"/>
        <v>"%USERPROFILE%\Documents\GitHub\eaglep3\Utilities\RefineRTDCRunTimes.py" --tripid 53-24 --locoid 4016 --swversion DE.1.0.9.0 --startMP 204:1467 --initTime 2017-03-24T17:13:22 --startdatetime 2017-03-24T17:41:29 --delay 1 --endMP 300:23062 --enddatetime 2017-03-24T18:19:03 --enforcementcount 0 &gt;&gt;C:\Users\stu\Documents\GitHub\eaglep3-reporting\EC\2017-03-24-refined-times.txt</v>
      </c>
      <c r="AI216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{"issue":{"subject":"","project_id":79,"tracker_id":40,"status_id":1,"priority_id":2,"assigned_to_id":23,"start_date":"2017-03-24","description":"","custom_fields":[{"id":1,"name":"Subdivision","value":"Other"},{"id":4,"name":"Milepost","value":"2.3062"},{"id":17,"name":"Train ID","value":"53-24"},{"id":16,"name":"Locomotive ID","value":"4016"},{"id":130,"name":"Impact","value":""},{"id":150,"name":"Time of Event (Mountain Time)","value":"18:19:03"},{"id":151,"name":"Denver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1"/>
        <v>start /low /b %USERPROFILE%\Documents\GitHub\eaglep3\Utilities\DownloadLogsFromS3.py --loco 4016 --day 2017-03-24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2017-03-24-UncaughtWiMAX.txt</v>
      </c>
    </row>
    <row r="217" spans="1:40" x14ac:dyDescent="0.25">
      <c r="A217" s="33" t="s">
        <v>697</v>
      </c>
      <c r="B217" s="7">
        <v>4008</v>
      </c>
      <c r="C217" s="21" t="s">
        <v>219</v>
      </c>
      <c r="D217" s="21" t="s">
        <v>955</v>
      </c>
      <c r="E217" s="13">
        <v>42818.432800925926</v>
      </c>
      <c r="F217" s="13">
        <v>42818.438078703701</v>
      </c>
      <c r="G217" s="7">
        <v>7</v>
      </c>
      <c r="H217" s="21" t="s">
        <v>956</v>
      </c>
      <c r="I217" s="13">
        <v>42818.443333333336</v>
      </c>
      <c r="J217" s="7">
        <v>0</v>
      </c>
      <c r="K217" s="98" t="str">
        <f t="shared" si="68"/>
        <v>4007/4008</v>
      </c>
      <c r="L217" s="21" t="str">
        <f>VLOOKUP(A217,'Trips&amp;Operators'!$C$1:$G$99999,5,FALSE)</f>
        <v>STEWART MICHAEL</v>
      </c>
      <c r="M217" s="6">
        <f t="shared" si="69"/>
        <v>5.2546296356013045E-3</v>
      </c>
      <c r="N217" s="7">
        <f t="shared" si="66"/>
        <v>7.5666666752658784</v>
      </c>
      <c r="O217" s="7"/>
      <c r="P217" s="7"/>
      <c r="Q217" s="22"/>
      <c r="R217" s="22"/>
      <c r="S217" s="31">
        <f t="shared" si="82"/>
        <v>0</v>
      </c>
      <c r="T217" s="46" t="e">
        <f t="shared" si="70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1"/>
        <v>https://d0f6bd738d7f1b3e5a7ca70fe4ff75f0.us-east-1.aws.found.io/app/kibana#/discover/Steve-Slow-Train-Analysis-(2080s-and-2083s)?_g=(refreshInterval:(display:Off,pause:!f,section:0,value:0),time:(from:'2017-03-24T09:23:14-0600',mode:absolute,to:'2017-03-24T11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87" t="str">
        <f t="shared" si="72"/>
        <v>Y</v>
      </c>
      <c r="X217" s="187" t="e">
        <f t="shared" ref="X217:X235" si="83">VALUE(LEFT(AD217,4))-VALUE(LEFT(AD216,4))</f>
        <v>#VALUE!</v>
      </c>
      <c r="Y217" s="62">
        <f t="shared" si="67"/>
        <v>2.2050999999999998</v>
      </c>
      <c r="Z217" s="62">
        <f t="shared" si="73"/>
        <v>1.35E-2</v>
      </c>
      <c r="AA217" s="62">
        <f t="shared" si="74"/>
        <v>2.1915999999999998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5"/>
        <v>54-24</v>
      </c>
      <c r="AE217" s="85" t="str">
        <f t="shared" si="76"/>
        <v>aws s3 cp s3://rtdc.mdm.uploadarchive.raw/RTDC4008/ "%USERPROFILE%\AppData\Local\Temp\OnboardLogs"\RTDC4008\2017-03-24 --exclude "*" --recursive --include "*20170324*" &amp; "%USERPROFILE%\Documents\GitHub\mrs-test-scripts\Headless Mode &amp; Sideloading\WalkAndUnGZ.bat" "%USERPROFILE%\AppData\Local\Temp\OnboardLogs"\RTDC4008\2017-03-24 &amp; aws s3 cp s3://rtdc.mdm.uploadarchive.raw/RTDC4008/ "%USERPROFILE%\AppData\Local\Temp\OnboardLogs"\RTDC4008\2017-03-25 --exclude "*" --recursive --include "*20170325*" &amp; "%USERPROFILE%\Documents\GitHub\mrs-test-scripts\Headless Mode &amp; Sideloading\WalkAndUnGZ.bat" "%USERPROFILE%\AppData\Local\Temp\OnboardLogs"\RTDC4008\2017-03-25</v>
      </c>
      <c r="AF217" s="82" t="str">
        <f t="shared" si="77"/>
        <v>"C:\Program Files (x86)\AstroGrep\AstroGrep.exe" /e /r /s /spath="%USERPROFILE%\AppData\Local\Temp\OnboardLogs" /stypes="app*4008*20170324*" /stext=" 16:.+((SYSTEM_STATE.+slice.+state.+changed )|(ment ac)|(multiple cpu faults)|(system.+state.+changed )|(\[timeout)|(PRM\|1\|D)|(kpr)|(kdp)|(\|lc)|(penalty))"</v>
      </c>
      <c r="AG217" s="1" t="str">
        <f t="shared" si="78"/>
        <v>Other</v>
      </c>
      <c r="AH217" s="86" t="str">
        <f t="shared" si="79"/>
        <v>"%USERPROFILE%\Documents\GitHub\eaglep3\Utilities\RefineRTDCRunTimes.py" --tripid 54-24 --locoid 4008 --swversion DE.1.0.9.0 --startMP 300:22051 --initTime 2017-03-24T10:23:14 --startdatetime 2017-03-24T10:30:50 --delay 7 --endMP 204:135 --enddatetime 2017-03-24T10:38:24 --enforcementcount 0 &gt;&gt;C:\Users\stu\Documents\GitHub\eaglep3-reporting\EC\2017-03-24-refined-times.txt</v>
      </c>
      <c r="AI217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{"issue":{"subject":"","project_id":79,"tracker_id":40,"status_id":1,"priority_id":2,"assigned_to_id":23,"start_date":"2017-03-24","description":"","custom_fields":[{"id":1,"name":"Subdivision","value":"Other"},{"id":4,"name":"Milepost","value":"0.0135"},{"id":17,"name":"Train ID","value":"54-24"},{"id":16,"name":"Locomotive ID","value":"4008"},{"id":130,"name":"Impact","value":""},{"id":150,"name":"Time of Event (Mountain Time)","value":"10:38:24"},{"id":151,"name":"Denver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1"/>
        <v>start /low /b %USERPROFILE%\Documents\GitHub\eaglep3\Utilities\DownloadLogsFromS3.py --loco 4008 --day 2017-03-24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"%USERPROFILE%\AppData\Local\Temp\OnboardLogs"\RTDC4008\*4008*20170324* | grep -SE "(Enforcement Action)|(\[TIMEOUT)|(CHR.+\|PRM\|1\|D.+(SWITCH|SIGNAL).+UNKNOWN)" - &gt;&gt; 2017-03-24-UncaughtWiMAX.txt</v>
      </c>
    </row>
    <row r="218" spans="1:40" x14ac:dyDescent="0.25">
      <c r="A218" s="33" t="s">
        <v>711</v>
      </c>
      <c r="B218" s="7">
        <v>4007</v>
      </c>
      <c r="C218" s="21" t="s">
        <v>219</v>
      </c>
      <c r="D218" s="21" t="s">
        <v>957</v>
      </c>
      <c r="E218" s="13">
        <v>42818.476145833331</v>
      </c>
      <c r="F218" s="13">
        <v>42818.478402777779</v>
      </c>
      <c r="G218" s="7">
        <v>2</v>
      </c>
      <c r="H218" s="21" t="s">
        <v>958</v>
      </c>
      <c r="I218" s="13">
        <v>42818.483784722222</v>
      </c>
      <c r="J218" s="7">
        <v>0</v>
      </c>
      <c r="K218" s="98" t="str">
        <f t="shared" si="68"/>
        <v>4007/4008</v>
      </c>
      <c r="L218" s="21" t="str">
        <f>VLOOKUP(A218,'Trips&amp;Operators'!$C$1:$G$99999,5,FALSE)</f>
        <v>LOZA FIDEL</v>
      </c>
      <c r="M218" s="6">
        <f t="shared" si="69"/>
        <v>5.3819444437976927E-3</v>
      </c>
      <c r="N218" s="7">
        <f t="shared" si="66"/>
        <v>7.7499999990686774</v>
      </c>
      <c r="O218" s="7"/>
      <c r="P218" s="7"/>
      <c r="Q218" s="22"/>
      <c r="R218" s="22"/>
      <c r="S218" s="31">
        <f t="shared" si="82"/>
        <v>0</v>
      </c>
      <c r="T218" s="46" t="e">
        <f t="shared" si="70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1"/>
        <v>https://d0f6bd738d7f1b3e5a7ca70fe4ff75f0.us-east-1.aws.found.io/app/kibana#/discover/Steve-Slow-Train-Analysis-(2080s-and-2083s)?_g=(refreshInterval:(display:Off,pause:!f,section:0,value:0),time:(from:'2017-03-24T10:25:39-0600',mode:absolute,to:'2017-03-24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87" t="str">
        <f t="shared" si="72"/>
        <v>Y</v>
      </c>
      <c r="X218" s="187" t="e">
        <f t="shared" si="83"/>
        <v>#VALUE!</v>
      </c>
      <c r="Y218" s="62">
        <f t="shared" si="67"/>
        <v>4.41E-2</v>
      </c>
      <c r="Z218" s="62">
        <f t="shared" si="73"/>
        <v>2.4224000000000001</v>
      </c>
      <c r="AA218" s="62">
        <f t="shared" si="74"/>
        <v>2.3783000000000003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5"/>
        <v>55-24</v>
      </c>
      <c r="AE218" s="85" t="str">
        <f t="shared" si="76"/>
        <v>aws s3 cp s3://rtdc.mdm.uploadarchive.raw/RTDC4007/ "%USERPROFILE%\AppData\Local\Temp\OnboardLogs"\RTDC4007\2017-03-24 --exclude "*" --recursive --include "*20170324*" &amp; "%USERPROFILE%\Documents\GitHub\mrs-test-scripts\Headless Mode &amp; Sideloading\WalkAndUnGZ.bat" "%USERPROFILE%\AppData\Local\Temp\OnboardLogs"\RTDC4007\2017-03-24 &amp; aws s3 cp s3://rtdc.mdm.uploadarchive.raw/RTDC4007/ "%USERPROFILE%\AppData\Local\Temp\OnboardLogs"\RTDC4007\2017-03-25 --exclude "*" --recursive --include "*20170325*" &amp; "%USERPROFILE%\Documents\GitHub\mrs-test-scripts\Headless Mode &amp; Sideloading\WalkAndUnGZ.bat" "%USERPROFILE%\AppData\Local\Temp\OnboardLogs"\RTDC4007\2017-03-25</v>
      </c>
      <c r="AF218" s="82" t="str">
        <f t="shared" si="77"/>
        <v>"C:\Program Files (x86)\AstroGrep\AstroGrep.exe" /e /r /s /spath="%USERPROFILE%\AppData\Local\Temp\OnboardLogs" /stypes="app*4007*20170324*" /stext=" 17:.+((SYSTEM_STATE.+slice.+state.+changed )|(ment ac)|(multiple cpu faults)|(system.+state.+changed )|(\[timeout)|(PRM\|1\|D)|(kpr)|(kdp)|(\|lc)|(penalty))"</v>
      </c>
      <c r="AG218" s="1" t="str">
        <f t="shared" si="78"/>
        <v>Other</v>
      </c>
      <c r="AH218" s="86" t="str">
        <f t="shared" si="79"/>
        <v>"%USERPROFILE%\Documents\GitHub\eaglep3\Utilities\RefineRTDCRunTimes.py" --tripid 55-24 --locoid 4007 --swversion DE.1.0.9.0 --startMP 204:441 --initTime 2017-03-24T11:25:39 --startdatetime 2017-03-24T11:28:54 --delay 2 --endMP 300:24224 --enddatetime 2017-03-24T11:36:39 --enforcementcount 0 &gt;&gt;C:\Users\stu\Documents\GitHub\eaglep3-reporting\EC\2017-03-24-refined-times.txt</v>
      </c>
      <c r="AI218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{"issue":{"subject":"","project_id":79,"tracker_id":40,"status_id":1,"priority_id":2,"assigned_to_id":23,"start_date":"2017-03-24","description":"","custom_fields":[{"id":1,"name":"Subdivision","value":"Other"},{"id":4,"name":"Milepost","value":"2.4224"},{"id":17,"name":"Train ID","value":"55-24"},{"id":16,"name":"Locomotive ID","value":"4007"},{"id":130,"name":"Impact","value":""},{"id":150,"name":"Time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1"/>
        <v>start /low /b %USERPROFILE%\Documents\GitHub\eaglep3\Utilities\DownloadLogsFromS3.py --loco 4007 --day 2017-03-24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"%USERPROFILE%\AppData\Local\Temp\OnboardLogs"\RTDC4007\*4007*20170324* | grep -SE "(Enforcement Action)|(\[TIMEOUT)|(CHR.+\|PRM\|1\|D.+(SWITCH|SIGNAL).+UNKNOWN)" - &gt;&gt; 2017-03-24-UncaughtWiMAX.txt</v>
      </c>
    </row>
    <row r="219" spans="1:40" x14ac:dyDescent="0.25">
      <c r="A219" s="33" t="s">
        <v>700</v>
      </c>
      <c r="B219" s="7">
        <v>4015</v>
      </c>
      <c r="C219" s="21" t="s">
        <v>219</v>
      </c>
      <c r="D219" s="21" t="s">
        <v>959</v>
      </c>
      <c r="E219" s="13">
        <v>42818.443680555552</v>
      </c>
      <c r="F219" s="13">
        <v>42818.450555555559</v>
      </c>
      <c r="G219" s="7">
        <v>1</v>
      </c>
      <c r="H219" s="21" t="s">
        <v>960</v>
      </c>
      <c r="I219" s="13">
        <v>42818.485219907408</v>
      </c>
      <c r="J219" s="7">
        <v>0</v>
      </c>
      <c r="K219" s="98" t="str">
        <f t="shared" si="68"/>
        <v>4015/4016</v>
      </c>
      <c r="L219" s="21" t="str">
        <f>VLOOKUP(A219,'Trips&amp;Operators'!$C$1:$G$99999,5,FALSE)</f>
        <v>ROBINSON KADDIBA</v>
      </c>
      <c r="M219" s="6">
        <f t="shared" si="69"/>
        <v>3.4664351849642117E-2</v>
      </c>
      <c r="N219" s="7">
        <f t="shared" si="66"/>
        <v>49.916666663484648</v>
      </c>
      <c r="O219" s="7"/>
      <c r="P219" s="7"/>
      <c r="Q219" s="22"/>
      <c r="R219" s="22"/>
      <c r="S219" s="31">
        <f t="shared" si="82"/>
        <v>0</v>
      </c>
      <c r="T219" s="46" t="e">
        <f t="shared" si="70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1"/>
        <v>https://d0f6bd738d7f1b3e5a7ca70fe4ff75f0.us-east-1.aws.found.io/app/kibana#/discover/Steve-Slow-Train-Analysis-(2080s-and-2083s)?_g=(refreshInterval:(display:Off,pause:!f,section:0,value:0),time:(from:'2017-03-24T09:38:54-0600',mode:absolute,to:'2017-03-24T12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187" t="str">
        <f t="shared" si="72"/>
        <v>N</v>
      </c>
      <c r="X219" s="187" t="e">
        <f t="shared" si="83"/>
        <v>#VALUE!</v>
      </c>
      <c r="Y219" s="62">
        <f t="shared" si="67"/>
        <v>23.2988</v>
      </c>
      <c r="Z219" s="62">
        <f t="shared" si="73"/>
        <v>0.1177</v>
      </c>
      <c r="AA219" s="62">
        <f t="shared" si="74"/>
        <v>23.181100000000001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5"/>
        <v>56-24</v>
      </c>
      <c r="AE219" s="85" t="str">
        <f t="shared" si="76"/>
        <v>aws s3 cp s3://rtdc.mdm.uploadarchive.raw/RTDC4015/ "%USERPROFILE%\AppData\Local\Temp\OnboardLogs"\RTDC4015\2017-03-24 --exclude "*" --recursive --include "*20170324*" &amp; "%USERPROFILE%\Documents\GitHub\mrs-test-scripts\Headless Mode &amp; Sideloading\WalkAndUnGZ.bat" "%USERPROFILE%\AppData\Local\Temp\OnboardLogs"\RTDC4015\2017-03-24 &amp; 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</v>
      </c>
      <c r="AF219" s="82" t="str">
        <f t="shared" si="77"/>
        <v>"C:\Program Files (x86)\AstroGrep\AstroGrep.exe" /e /r /s /spath="%USERPROFILE%\AppData\Local\Temp\OnboardLogs" /stypes="app*4015*20170324*" /stext=" 17:.+((SYSTEM_STATE.+slice.+state.+changed )|(ment ac)|(multiple cpu faults)|(system.+state.+changed )|(\[timeout)|(PRM\|1\|D)|(kpr)|(kdp)|(\|lc)|(penalty))"</v>
      </c>
      <c r="AG219" s="1" t="str">
        <f t="shared" si="78"/>
        <v>Other</v>
      </c>
      <c r="AH219" s="86" t="str">
        <f t="shared" si="79"/>
        <v>"%USERPROFILE%\Documents\GitHub\eaglep3\Utilities\RefineRTDCRunTimes.py" --tripid 56-24 --locoid 4015 --swversion DE.1.0.9.0 --startMP 204:232988 --initTime 2017-03-24T10:38:54 --startdatetime 2017-03-24T10:48:48 --delay 1 --endMP 204:1177 --enddatetime 2017-03-24T11:38:43 --enforcementcount 0 &gt;&gt;C:\Users\stu\Documents\GitHub\eaglep3-reporting\EC\2017-03-24-refined-times.txt</v>
      </c>
      <c r="AI219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{"issue":{"subject":"","project_id":79,"tracker_id":40,"status_id":1,"priority_id":2,"assigned_to_id":23,"start_date":"2017-03-24","description":"","custom_fields":[{"id":1,"name":"Subdivision","value":"Other"},{"id":4,"name":"Milepost","value":"0.1177"},{"id":17,"name":"Train ID","value":"56-24"},{"id":16,"name":"Locomotive ID","value":"4015"},{"id":130,"name":"Impact","value":""},{"id":150,"name":"Time of Event (Mountain Time)","value":"11:38:43"},{"id":151,"name":"Denver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1"/>
        <v>start /low /b %USERPROFILE%\Documents\GitHub\eaglep3\Utilities\DownloadLogsFromS3.py --loco 4015 --day 2017-03-24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"%USERPROFILE%\AppData\Local\Temp\OnboardLogs"\RTDC4015\*4015*20170324* | grep -SE "(Enforcement Action)|(\[TIMEOUT)|(CHR.+\|PRM\|1\|D.+(SWITCH|SIGNAL).+UNKNOWN)" - &gt;&gt; 2017-03-24-UncaughtWiMAX.txt</v>
      </c>
    </row>
    <row r="220" spans="1:40" x14ac:dyDescent="0.25">
      <c r="A220" s="33" t="s">
        <v>721</v>
      </c>
      <c r="B220" s="7">
        <v>4007</v>
      </c>
      <c r="C220" s="21" t="s">
        <v>219</v>
      </c>
      <c r="D220" s="21" t="s">
        <v>961</v>
      </c>
      <c r="E220" s="13">
        <v>42818.523379629631</v>
      </c>
      <c r="F220" s="13">
        <v>42818.524664351855</v>
      </c>
      <c r="G220" s="7">
        <v>1</v>
      </c>
      <c r="H220" s="21" t="s">
        <v>962</v>
      </c>
      <c r="I220" s="13">
        <v>42818.532500000001</v>
      </c>
      <c r="J220" s="7">
        <v>0</v>
      </c>
      <c r="K220" s="98" t="str">
        <f t="shared" si="68"/>
        <v>4007/4008</v>
      </c>
      <c r="L220" s="21" t="str">
        <f>VLOOKUP(A220,'Trips&amp;Operators'!$C$1:$G$99999,5,FALSE)</f>
        <v>GEBRETEKLE DAGNEW</v>
      </c>
      <c r="M220" s="6">
        <f t="shared" si="69"/>
        <v>7.8356481462833472E-3</v>
      </c>
      <c r="N220" s="7">
        <f t="shared" si="66"/>
        <v>11.28333333064802</v>
      </c>
      <c r="O220" s="7"/>
      <c r="P220" s="7"/>
      <c r="Q220" s="22"/>
      <c r="R220" s="22"/>
      <c r="S220" s="31">
        <f t="shared" si="82"/>
        <v>0</v>
      </c>
      <c r="T220" s="46" t="e">
        <f t="shared" si="70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1"/>
        <v>https://d0f6bd738d7f1b3e5a7ca70fe4ff75f0.us-east-1.aws.found.io/app/kibana#/discover/Steve-Slow-Train-Analysis-(2080s-and-2083s)?_g=(refreshInterval:(display:Off,pause:!f,section:0,value:0),time:(from:'2017-03-24T11:33:40-0600',mode:absolute,to:'2017-03-24T13:46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187" t="str">
        <f t="shared" si="72"/>
        <v>Y</v>
      </c>
      <c r="X220" s="187" t="e">
        <f t="shared" si="83"/>
        <v>#VALUE!</v>
      </c>
      <c r="Y220" s="62">
        <f t="shared" si="67"/>
        <v>4.0300000000000002E-2</v>
      </c>
      <c r="Z220" s="62">
        <f t="shared" si="73"/>
        <v>2.4228999999999998</v>
      </c>
      <c r="AA220" s="62">
        <f t="shared" si="74"/>
        <v>2.3826000000000001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5"/>
        <v>57-24</v>
      </c>
      <c r="AE220" s="85" t="str">
        <f t="shared" si="76"/>
        <v>aws s3 cp s3://rtdc.mdm.uploadarchive.raw/RTDC4007/ "%USERPROFILE%\AppData\Local\Temp\OnboardLogs"\RTDC4007\2017-03-24 --exclude "*" --recursive --include "*20170324*" &amp; "%USERPROFILE%\Documents\GitHub\mrs-test-scripts\Headless Mode &amp; Sideloading\WalkAndUnGZ.bat" "%USERPROFILE%\AppData\Local\Temp\OnboardLogs"\RTDC4007\2017-03-24 &amp; aws s3 cp s3://rtdc.mdm.uploadarchive.raw/RTDC4007/ "%USERPROFILE%\AppData\Local\Temp\OnboardLogs"\RTDC4007\2017-03-25 --exclude "*" --recursive --include "*20170325*" &amp; "%USERPROFILE%\Documents\GitHub\mrs-test-scripts\Headless Mode &amp; Sideloading\WalkAndUnGZ.bat" "%USERPROFILE%\AppData\Local\Temp\OnboardLogs"\RTDC4007\2017-03-25</v>
      </c>
      <c r="AF220" s="82" t="str">
        <f t="shared" si="77"/>
        <v>"C:\Program Files (x86)\AstroGrep\AstroGrep.exe" /e /r /s /spath="%USERPROFILE%\AppData\Local\Temp\OnboardLogs" /stypes="app*4007*20170324*" /stext=" 18:.+((SYSTEM_STATE.+slice.+state.+changed )|(ment ac)|(multiple cpu faults)|(system.+state.+changed )|(\[timeout)|(PRM\|1\|D)|(kpr)|(kdp)|(\|lc)|(penalty))"</v>
      </c>
      <c r="AG220" s="1" t="str">
        <f t="shared" si="78"/>
        <v>Other</v>
      </c>
      <c r="AH220" s="86" t="str">
        <f t="shared" si="79"/>
        <v>"%USERPROFILE%\Documents\GitHub\eaglep3\Utilities\RefineRTDCRunTimes.py" --tripid 57-24 --locoid 4007 --swversion DE.1.0.9.0 --startMP 204:403 --initTime 2017-03-24T12:33:40 --startdatetime 2017-03-24T12:35:31 --delay 1 --endMP 300:24229 --enddatetime 2017-03-24T12:46:48 --enforcementcount 0 &gt;&gt;C:\Users\stu\Documents\GitHub\eaglep3-reporting\EC\2017-03-24-refined-times.txt</v>
      </c>
      <c r="AI220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{"issue":{"subject":"","project_id":79,"tracker_id":40,"status_id":1,"priority_id":2,"assigned_to_id":23,"start_date":"2017-03-24","description":"","custom_fields":[{"id":1,"name":"Subdivision","value":"Other"},{"id":4,"name":"Milepost","value":"2.4229"},{"id":17,"name":"Train ID","value":"57-24"},{"id":16,"name":"Locomotive ID","value":"4007"},{"id":130,"name":"Impact","value":""},{"id":150,"name":"Time of Event (Mountain Time)","value":"12:46:48"},{"id":151,"name":"Denver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1"/>
        <v>start /low /b %USERPROFILE%\Documents\GitHub\eaglep3\Utilities\DownloadLogsFromS3.py --loco 4007 --day 2017-03-24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"%USERPROFILE%\AppData\Local\Temp\OnboardLogs"\RTDC4007\*4007*20170324* | grep -SE "(Enforcement Action)|(\[TIMEOUT)|(CHR.+\|PRM\|1\|D.+(SWITCH|SIGNAL).+UNKNOWN)" - &gt;&gt; 2017-03-24-UncaughtWiMAX.txt</v>
      </c>
    </row>
    <row r="221" spans="1:40" x14ac:dyDescent="0.25">
      <c r="A221" s="33" t="s">
        <v>613</v>
      </c>
      <c r="B221" s="7">
        <v>4008</v>
      </c>
      <c r="C221" s="21" t="s">
        <v>219</v>
      </c>
      <c r="D221" s="21" t="s">
        <v>963</v>
      </c>
      <c r="E221" s="13">
        <v>42818.499155092592</v>
      </c>
      <c r="F221" s="13">
        <v>42818.501203703701</v>
      </c>
      <c r="G221" s="7">
        <v>2</v>
      </c>
      <c r="H221" s="21" t="s">
        <v>964</v>
      </c>
      <c r="I221" s="13">
        <v>42818.506527777776</v>
      </c>
      <c r="J221" s="7">
        <v>0</v>
      </c>
      <c r="K221" s="98" t="str">
        <f t="shared" si="68"/>
        <v>4007/4008</v>
      </c>
      <c r="L221" s="21" t="str">
        <f>VLOOKUP(A221,'Trips&amp;Operators'!$C$1:$G$99999,5,FALSE)</f>
        <v>STRICKLAND EVAN</v>
      </c>
      <c r="M221" s="6">
        <f t="shared" si="69"/>
        <v>5.324074074451346E-3</v>
      </c>
      <c r="N221" s="7">
        <f t="shared" si="66"/>
        <v>7.6666666672099382</v>
      </c>
      <c r="O221" s="7"/>
      <c r="P221" s="7"/>
      <c r="Q221" s="22"/>
      <c r="R221" s="22"/>
      <c r="S221" s="31">
        <f t="shared" si="82"/>
        <v>0</v>
      </c>
      <c r="T221" s="46" t="e">
        <f t="shared" si="70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1"/>
        <v>https://d0f6bd738d7f1b3e5a7ca70fe4ff75f0.us-east-1.aws.found.io/app/kibana#/discover/Steve-Slow-Train-Analysis-(2080s-and-2083s)?_g=(refreshInterval:(display:Off,pause:!f,section:0,value:0),time:(from:'2017-03-24T10:58:47-0600',mode:absolute,to:'2017-03-24T13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7" t="str">
        <f t="shared" si="72"/>
        <v>Y</v>
      </c>
      <c r="X221" s="187" t="e">
        <f t="shared" si="83"/>
        <v>#VALUE!</v>
      </c>
      <c r="Y221" s="62">
        <f t="shared" si="67"/>
        <v>2.3527</v>
      </c>
      <c r="Z221" s="62">
        <f t="shared" si="73"/>
        <v>9.7000000000000003E-3</v>
      </c>
      <c r="AA221" s="62">
        <f t="shared" si="74"/>
        <v>2.343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5"/>
        <v>58-24</v>
      </c>
      <c r="AE221" s="85" t="str">
        <f t="shared" si="76"/>
        <v>aws s3 cp s3://rtdc.mdm.uploadarchive.raw/RTDC4008/ "%USERPROFILE%\AppData\Local\Temp\OnboardLogs"\RTDC4008\2017-03-24 --exclude "*" --recursive --include "*20170324*" &amp; "%USERPROFILE%\Documents\GitHub\mrs-test-scripts\Headless Mode &amp; Sideloading\WalkAndUnGZ.bat" "%USERPROFILE%\AppData\Local\Temp\OnboardLogs"\RTDC4008\2017-03-24 &amp; aws s3 cp s3://rtdc.mdm.uploadarchive.raw/RTDC4008/ "%USERPROFILE%\AppData\Local\Temp\OnboardLogs"\RTDC4008\2017-03-25 --exclude "*" --recursive --include "*20170325*" &amp; "%USERPROFILE%\Documents\GitHub\mrs-test-scripts\Headless Mode &amp; Sideloading\WalkAndUnGZ.bat" "%USERPROFILE%\AppData\Local\Temp\OnboardLogs"\RTDC4008\2017-03-25</v>
      </c>
      <c r="AF221" s="82" t="str">
        <f t="shared" si="77"/>
        <v>"C:\Program Files (x86)\AstroGrep\AstroGrep.exe" /e /r /s /spath="%USERPROFILE%\AppData\Local\Temp\OnboardLogs" /stypes="app*4008*20170324*" /stext=" 18:.+((SYSTEM_STATE.+slice.+state.+changed )|(ment ac)|(multiple cpu faults)|(system.+state.+changed )|(\[timeout)|(PRM\|1\|D)|(kpr)|(kdp)|(\|lc)|(penalty))"</v>
      </c>
      <c r="AG221" s="1" t="str">
        <f t="shared" si="78"/>
        <v>Other</v>
      </c>
      <c r="AH221" s="86" t="str">
        <f t="shared" si="79"/>
        <v>"%USERPROFILE%\Documents\GitHub\eaglep3\Utilities\RefineRTDCRunTimes.py" --tripid 58-24 --locoid 4008 --swversion DE.1.0.9.0 --startMP 300:23527 --initTime 2017-03-24T11:58:47 --startdatetime 2017-03-24T12:01:44 --delay 2 --endMP 204:97 --enddatetime 2017-03-24T12:09:24 --enforcementcount 0 &gt;&gt;C:\Users\stu\Documents\GitHub\eaglep3-reporting\EC\2017-03-24-refined-times.txt</v>
      </c>
      <c r="AI221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{"issue":{"subject":"","project_id":79,"tracker_id":40,"status_id":1,"priority_id":2,"assigned_to_id":23,"start_date":"2017-03-24","description":"","custom_fields":[{"id":1,"name":"Subdivision","value":"Other"},{"id":4,"name":"Milepost","value":"0.0097"},{"id":17,"name":"Train ID","value":"58-24"},{"id":16,"name":"Locomotive ID","value":"4008"},{"id":130,"name":"Impact","value":""},{"id":150,"name":"Time of Event (Mountain Time)","value":"12:09:24"},{"id":151,"name":"Denver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1"/>
        <v>start /low /b %USERPROFILE%\Documents\GitHub\eaglep3\Utilities\DownloadLogsFromS3.py --loco 4008 --day 2017-03-24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"%USERPROFILE%\AppData\Local\Temp\OnboardLogs"\RTDC4008\*4008*20170324* | grep -SE "(Enforcement Action)|(\[TIMEOUT)|(CHR.+\|PRM\|1\|D.+(SWITCH|SIGNAL).+UNKNOWN)" - &gt;&gt; 2017-03-24-UncaughtWiMAX.txt</v>
      </c>
    </row>
    <row r="222" spans="1:40" x14ac:dyDescent="0.25">
      <c r="A222" s="33" t="s">
        <v>773</v>
      </c>
      <c r="B222" s="7">
        <v>4021</v>
      </c>
      <c r="C222" s="21" t="s">
        <v>219</v>
      </c>
      <c r="D222" s="21" t="s">
        <v>965</v>
      </c>
      <c r="E222" s="13">
        <v>42818.74690972222</v>
      </c>
      <c r="F222" s="13">
        <v>42818.74931712963</v>
      </c>
      <c r="G222" s="7">
        <v>3</v>
      </c>
      <c r="H222" s="21" t="s">
        <v>966</v>
      </c>
      <c r="I222" s="13">
        <v>42818.756365740737</v>
      </c>
      <c r="J222" s="7">
        <v>0</v>
      </c>
      <c r="K222" s="98" t="str">
        <f t="shared" si="68"/>
        <v>4021/4022</v>
      </c>
      <c r="L222" s="21" t="str">
        <f>VLOOKUP(A222,'Trips&amp;Operators'!$C$1:$G$99999,5,FALSE)</f>
        <v>SAFIEF AEIMEN</v>
      </c>
      <c r="M222" s="6">
        <f t="shared" si="69"/>
        <v>7.0486111071659252E-3</v>
      </c>
      <c r="N222" s="7">
        <f t="shared" si="66"/>
        <v>10.149999994318932</v>
      </c>
      <c r="O222" s="7"/>
      <c r="P222" s="7"/>
      <c r="Q222" s="22"/>
      <c r="R222" s="22"/>
      <c r="S222" s="31">
        <f t="shared" si="82"/>
        <v>0</v>
      </c>
      <c r="T222" s="46" t="e">
        <f t="shared" si="70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1"/>
        <v>https://d0f6bd738d7f1b3e5a7ca70fe4ff75f0.us-east-1.aws.found.io/app/kibana#/discover/Steve-Slow-Train-Analysis-(2080s-and-2083s)?_g=(refreshInterval:(display:Off,pause:!f,section:0,value:0),time:(from:'2017-03-24T16:55:33-0600',mode:absolute,to:'2017-03-24T19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87" t="str">
        <f t="shared" si="72"/>
        <v>Y</v>
      </c>
      <c r="X222" s="187" t="e">
        <f t="shared" si="83"/>
        <v>#VALUE!</v>
      </c>
      <c r="Y222" s="62">
        <f t="shared" si="67"/>
        <v>2.3451</v>
      </c>
      <c r="Z222" s="62">
        <f t="shared" si="73"/>
        <v>9.6699999999999994E-2</v>
      </c>
      <c r="AA222" s="62">
        <f t="shared" si="74"/>
        <v>2.2484000000000002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5"/>
        <v>70-24</v>
      </c>
      <c r="AE222" s="85" t="str">
        <f t="shared" si="76"/>
        <v>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 &amp; 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</v>
      </c>
      <c r="AF222" s="82" t="str">
        <f t="shared" si="77"/>
        <v>"C:\Program Files (x86)\AstroGrep\AstroGrep.exe" /e /r /s /spath="%USERPROFILE%\AppData\Local\Temp\OnboardLogs" /stypes="app*4021*20170325*" /stext=" 00:.+((SYSTEM_STATE.+slice.+state.+changed )|(ment ac)|(multiple cpu faults)|(system.+state.+changed )|(\[timeout)|(PRM\|1\|D)|(kpr)|(kdp)|(\|lc)|(penalty))"</v>
      </c>
      <c r="AG222" s="1" t="str">
        <f t="shared" si="78"/>
        <v>Other</v>
      </c>
      <c r="AH222" s="86" t="str">
        <f t="shared" si="79"/>
        <v>"%USERPROFILE%\Documents\GitHub\eaglep3\Utilities\RefineRTDCRunTimes.py" --tripid 70-24 --locoid 4021 --swversion DE.1.0.9.0 --startMP 300:23451 --initTime 2017-03-24T17:55:33 --startdatetime 2017-03-24T17:59:01 --delay 3 --endMP 204:967 --enddatetime 2017-03-24T18:09:10 --enforcementcount 0 &gt;&gt;C:\Users\stu\Documents\GitHub\eaglep3-reporting\EC\2017-03-24-refined-times.txt</v>
      </c>
      <c r="AI222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{"issue":{"subject":"","project_id":79,"tracker_id":40,"status_id":1,"priority_id":2,"assigned_to_id":23,"start_date":"2017-03-24","description":"","custom_fields":[{"id":1,"name":"Subdivision","value":"Other"},{"id":4,"name":"Milepost","value":"0.0967"},{"id":17,"name":"Train ID","value":"70-24"},{"id":16,"name":"Locomotive ID","value":"4021"},{"id":130,"name":"Impact","value":""},{"id":150,"name":"Time of Event (Mountain Time)","value":"18:09:10"},{"id":151,"name":"Denver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1"/>
        <v>start /low /b %USERPROFILE%\Documents\GitHub\eaglep3\Utilities\DownloadLogsFromS3.py --loco 4021 --day 2017-03-24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2017-03-24-UncaughtWiMAX.txt</v>
      </c>
    </row>
    <row r="223" spans="1:40" x14ac:dyDescent="0.25">
      <c r="A223" s="33" t="s">
        <v>796</v>
      </c>
      <c r="B223" s="7">
        <v>4041</v>
      </c>
      <c r="C223" s="21" t="s">
        <v>219</v>
      </c>
      <c r="D223" s="21" t="s">
        <v>967</v>
      </c>
      <c r="E223" s="13">
        <v>42819.066493055558</v>
      </c>
      <c r="F223" s="13">
        <v>42819.109849537039</v>
      </c>
      <c r="G223" s="7">
        <v>1</v>
      </c>
      <c r="H223" s="21" t="s">
        <v>968</v>
      </c>
      <c r="I223" s="13">
        <v>42819.123865740738</v>
      </c>
      <c r="J223" s="7">
        <v>0</v>
      </c>
      <c r="K223" s="98" t="str">
        <f t="shared" si="68"/>
        <v>4041/4042</v>
      </c>
      <c r="L223" s="21" t="str">
        <f>VLOOKUP(A223,'Trips&amp;Operators'!$C$1:$G$99999,5,FALSE)</f>
        <v>MAGEE KENYA</v>
      </c>
      <c r="M223" s="6">
        <f t="shared" si="69"/>
        <v>1.4016203698702157E-2</v>
      </c>
      <c r="N223" s="7">
        <f t="shared" ref="N223:N235" si="84">24*60*SUM($M223:$M223)</f>
        <v>20.183333326131105</v>
      </c>
      <c r="O223" s="7"/>
      <c r="P223" s="7"/>
      <c r="Q223" s="22"/>
      <c r="R223" s="22"/>
      <c r="S223" s="31">
        <f t="shared" si="82"/>
        <v>0</v>
      </c>
      <c r="T223" s="46" t="e">
        <f t="shared" si="70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1"/>
        <v>https://d0f6bd738d7f1b3e5a7ca70fe4ff75f0.us-east-1.aws.found.io/app/kibana#/discover/Steve-Slow-Train-Analysis-(2080s-and-2083s)?_g=(refreshInterval:(display:Off,pause:!f,section:0,value:0),time:(from:'2017-03-25T00:35:45-0600',mode:absolute,to:'2017-03-25T03:58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3" s="187" t="str">
        <f t="shared" si="72"/>
        <v>N</v>
      </c>
      <c r="X223" s="187" t="e">
        <f t="shared" si="83"/>
        <v>#VALUE!</v>
      </c>
      <c r="Y223" s="62">
        <f t="shared" ref="Y223:Y235" si="85">RIGHT(D223,LEN(D223)-4)/10000</f>
        <v>12.800800000000001</v>
      </c>
      <c r="Z223" s="62">
        <f t="shared" si="73"/>
        <v>1.0143</v>
      </c>
      <c r="AA223" s="62">
        <f t="shared" si="74"/>
        <v>11.7865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5"/>
        <v>80-24</v>
      </c>
      <c r="AE223" s="85" t="str">
        <f t="shared" si="76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23" s="82" t="str">
        <f t="shared" si="77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23" s="1" t="str">
        <f t="shared" si="78"/>
        <v>Other</v>
      </c>
      <c r="AH223" s="86" t="str">
        <f t="shared" si="79"/>
        <v>"%USERPROFILE%\Documents\GitHub\eaglep3\Utilities\RefineRTDCRunTimes.py" --tripid 80-24 --locoid 4041 --swversion DE.1.0.9.0 --startMP 204:128008 --initTime 2017-03-25T01:35:45 --startdatetime 2017-03-25T02:38:11 --delay 1 --endMP 204:10143 --enddatetime 2017-03-25T02:58:22 --enforcementcount 0 &gt;&gt;C:\Users\stu\Documents\GitHub\eaglep3-reporting\EC\2017-03-24-refined-times.txt</v>
      </c>
      <c r="AI223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{"issue":{"subject":"","project_id":79,"tracker_id":40,"status_id":1,"priority_id":2,"assigned_to_id":23,"start_date":"2017-03-25","description":"","custom_fields":[{"id":1,"name":"Subdivision","value":"Other"},{"id":4,"name":"Milepost","value":"1.0143"},{"id":17,"name":"Train ID","value":"80-24"},{"id":16,"name":"Locomotive ID","value":"4041"},{"id":130,"name":"Impact","value":""},{"id":150,"name":"Time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1"/>
        <v>start /low /b %USERPROFILE%\Documents\GitHub\eaglep3\Utilities\DownloadLogsFromS3.py --loco 4041 --day 2017-03-25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4" spans="1:40" x14ac:dyDescent="0.25">
      <c r="A224" s="33" t="s">
        <v>796</v>
      </c>
      <c r="B224" s="7">
        <v>4041</v>
      </c>
      <c r="C224" s="21" t="s">
        <v>219</v>
      </c>
      <c r="D224" s="21" t="s">
        <v>969</v>
      </c>
      <c r="E224" s="13">
        <v>42818.878761574073</v>
      </c>
      <c r="F224" s="13">
        <v>42818.884976851848</v>
      </c>
      <c r="G224" s="7">
        <v>1</v>
      </c>
      <c r="H224" s="21" t="s">
        <v>970</v>
      </c>
      <c r="I224" s="13">
        <v>42818.905428240738</v>
      </c>
      <c r="J224" s="7">
        <v>0</v>
      </c>
      <c r="K224" s="98" t="str">
        <f t="shared" si="68"/>
        <v>4041/4042</v>
      </c>
      <c r="L224" s="21" t="str">
        <f>VLOOKUP(A224,'Trips&amp;Operators'!$C$1:$G$99999,5,FALSE)</f>
        <v>MAGEE KENYA</v>
      </c>
      <c r="M224" s="6">
        <f t="shared" si="69"/>
        <v>2.0451388889341615E-2</v>
      </c>
      <c r="N224" s="7">
        <f t="shared" si="84"/>
        <v>29.450000000651926</v>
      </c>
      <c r="O224" s="7"/>
      <c r="P224" s="7"/>
      <c r="Q224" s="22"/>
      <c r="R224" s="22"/>
      <c r="S224" s="31">
        <f t="shared" si="82"/>
        <v>0</v>
      </c>
      <c r="T224" s="46" t="e">
        <f t="shared" si="70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1"/>
        <v>https://d0f6bd738d7f1b3e5a7ca70fe4ff75f0.us-east-1.aws.found.io/app/kibana#/discover/Steve-Slow-Train-Analysis-(2080s-and-2083s)?_g=(refreshInterval:(display:Off,pause:!f,section:0,value:0),time:(from:'2017-03-24T20:05:25-0600',mode:absolute,to:'2017-03-24T22:43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87" t="str">
        <f t="shared" si="72"/>
        <v>N</v>
      </c>
      <c r="X224" s="187" t="e">
        <f t="shared" si="83"/>
        <v>#VALUE!</v>
      </c>
      <c r="Y224" s="62">
        <f t="shared" si="85"/>
        <v>12.8011</v>
      </c>
      <c r="Z224" s="62">
        <f t="shared" si="73"/>
        <v>0.99399999999999999</v>
      </c>
      <c r="AA224" s="62">
        <f t="shared" si="74"/>
        <v>11.8071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5"/>
        <v>80-24</v>
      </c>
      <c r="AE224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24" s="82" t="str">
        <f t="shared" si="77"/>
        <v>"C:\Program Files (x86)\AstroGrep\AstroGrep.exe" /e /r /s /spath="%USERPROFILE%\AppData\Local\Temp\OnboardLogs" /stypes="app*4041*20170325*" /stext=" 03:.+((SYSTEM_STATE.+slice.+state.+changed )|(ment ac)|(multiple cpu faults)|(system.+state.+changed )|(\[timeout)|(PRM\|1\|D)|(kpr)|(kdp)|(\|lc)|(penalty))"</v>
      </c>
      <c r="AG224" s="1" t="str">
        <f t="shared" si="78"/>
        <v>Other</v>
      </c>
      <c r="AH224" s="86" t="str">
        <f t="shared" si="79"/>
        <v>"%USERPROFILE%\Documents\GitHub\eaglep3\Utilities\RefineRTDCRunTimes.py" --tripid 80-24 --locoid 4041 --swversion DE.1.0.9.0 --startMP 204:128011 --initTime 2017-03-24T21:05:25 --startdatetime 2017-03-24T21:14:22 --delay 1 --endMP 204:9940 --enddatetime 2017-03-24T21:43:49 --enforcementcount 0 &gt;&gt;C:\Users\stu\Documents\GitHub\eaglep3-reporting\EC\2017-03-24-refined-times.txt</v>
      </c>
      <c r="AI224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{"issue":{"subject":"","project_id":79,"tracker_id":40,"status_id":1,"priority_id":2,"assigned_to_id":23,"start_date":"2017-03-24","description":"","custom_fields":[{"id":1,"name":"Subdivision","value":"Other"},{"id":4,"name":"Milepost","value":"0.994"},{"id":17,"name":"Train ID","value":"80-24"},{"id":16,"name":"Locomotive ID","value":"4041"},{"id":130,"name":"Impact","value":""},{"id":150,"name":"Time of Event (Mountain Time)","value":"21:43:49"},{"id":151,"name":"Denver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1"/>
        <v>start /low /b %USERPROFILE%\Documents\GitHub\eaglep3\Utilities\DownloadLogsFromS3.py --loco 4041 --day 2017-03-24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5" spans="1:40" x14ac:dyDescent="0.25">
      <c r="A225" s="33" t="s">
        <v>796</v>
      </c>
      <c r="B225" s="7">
        <v>4041</v>
      </c>
      <c r="C225" s="21" t="s">
        <v>219</v>
      </c>
      <c r="D225" s="21" t="s">
        <v>969</v>
      </c>
      <c r="E225" s="13">
        <v>42818.978460648148</v>
      </c>
      <c r="F225" s="13">
        <v>42818.980092592596</v>
      </c>
      <c r="G225" s="7">
        <v>1</v>
      </c>
      <c r="H225" s="21" t="s">
        <v>598</v>
      </c>
      <c r="I225" s="13">
        <v>42818.997303240743</v>
      </c>
      <c r="J225" s="7">
        <v>0</v>
      </c>
      <c r="K225" s="98" t="str">
        <f t="shared" si="68"/>
        <v>4041/4042</v>
      </c>
      <c r="L225" s="21" t="str">
        <f>VLOOKUP(A225,'Trips&amp;Operators'!$C$1:$G$99999,5,FALSE)</f>
        <v>MAGEE KENYA</v>
      </c>
      <c r="M225" s="6">
        <f t="shared" si="69"/>
        <v>1.7210648147738539E-2</v>
      </c>
      <c r="N225" s="7">
        <f t="shared" si="84"/>
        <v>24.783333332743496</v>
      </c>
      <c r="O225" s="7"/>
      <c r="P225" s="7"/>
      <c r="Q225" s="22"/>
      <c r="R225" s="22"/>
      <c r="S225" s="31">
        <f t="shared" si="82"/>
        <v>0</v>
      </c>
      <c r="T225" s="46" t="e">
        <f t="shared" si="70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1"/>
        <v>https://d0f6bd738d7f1b3e5a7ca70fe4ff75f0.us-east-1.aws.found.io/app/kibana#/discover/Steve-Slow-Train-Analysis-(2080s-and-2083s)?_g=(refreshInterval:(display:Off,pause:!f,section:0,value:0),time:(from:'2017-03-24T22:28:59-0600',mode:absolute,to:'2017-03-25T00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87" t="str">
        <f t="shared" si="72"/>
        <v>N</v>
      </c>
      <c r="X225" s="187" t="e">
        <f t="shared" si="83"/>
        <v>#VALUE!</v>
      </c>
      <c r="Y225" s="62">
        <f t="shared" si="85"/>
        <v>12.8011</v>
      </c>
      <c r="Z225" s="62">
        <f t="shared" si="73"/>
        <v>0.1158</v>
      </c>
      <c r="AA225" s="62">
        <f t="shared" si="74"/>
        <v>12.6853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5"/>
        <v>80-24</v>
      </c>
      <c r="AE225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25" s="82" t="str">
        <f t="shared" si="77"/>
        <v>"C:\Program Files (x86)\AstroGrep\AstroGrep.exe" /e /r /s /spath="%USERPROFILE%\AppData\Local\Temp\OnboardLogs" /stypes="app*4041*20170325*" /stext=" 05:.+((SYSTEM_STATE.+slice.+state.+changed )|(ment ac)|(multiple cpu faults)|(system.+state.+changed )|(\[timeout)|(PRM\|1\|D)|(kpr)|(kdp)|(\|lc)|(penalty))"</v>
      </c>
      <c r="AG225" s="1" t="str">
        <f t="shared" si="78"/>
        <v>Other</v>
      </c>
      <c r="AH225" s="86" t="str">
        <f t="shared" si="79"/>
        <v>"%USERPROFILE%\Documents\GitHub\eaglep3\Utilities\RefineRTDCRunTimes.py" --tripid 80-24 --locoid 4041 --swversion DE.1.0.9.0 --startMP 204:128011 --initTime 2017-03-24T23:28:59 --startdatetime 2017-03-24T23:31:20 --delay 1 --endMP 204:1158 --enddatetime 2017-03-24T23:56:07 --enforcementcount 0 &gt;&gt;C:\Users\stu\Documents\GitHub\eaglep3-reporting\EC\2017-03-24-refined-times.txt</v>
      </c>
      <c r="AI225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{"issue":{"subject":"","project_id":79,"tracker_id":40,"status_id":1,"priority_id":2,"assigned_to_id":23,"start_date":"2017-03-24","description":"","custom_fields":[{"id":1,"name":"Subdivision","value":"Other"},{"id":4,"name":"Milepost","value":"0.1158"},{"id":17,"name":"Train ID","value":"80-24"},{"id":16,"name":"Locomotive ID","value":"4041"},{"id":130,"name":"Impact","value":""},{"id":150,"name":"Time of Event (Mountain Time)","value":"23:56:07"},{"id":151,"name":"Denver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1"/>
        <v>start /low /b %USERPROFILE%\Documents\GitHub\eaglep3\Utilities\DownloadLogsFromS3.py --loco 4041 --day 2017-03-24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6" spans="1:40" x14ac:dyDescent="0.25">
      <c r="A226" s="33" t="s">
        <v>796</v>
      </c>
      <c r="B226" s="7">
        <v>4041</v>
      </c>
      <c r="C226" s="21" t="s">
        <v>219</v>
      </c>
      <c r="D226" s="21" t="s">
        <v>971</v>
      </c>
      <c r="E226" s="13">
        <v>42819.029942129629</v>
      </c>
      <c r="F226" s="13">
        <v>42819.076967592591</v>
      </c>
      <c r="G226" s="7">
        <v>1</v>
      </c>
      <c r="H226" s="21" t="s">
        <v>972</v>
      </c>
      <c r="I226" s="13">
        <v>42819.094965277778</v>
      </c>
      <c r="J226" s="7">
        <v>0</v>
      </c>
      <c r="K226" s="98" t="str">
        <f t="shared" si="68"/>
        <v>4041/4042</v>
      </c>
      <c r="L226" s="21" t="str">
        <f>VLOOKUP(A226,'Trips&amp;Operators'!$C$1:$G$99999,5,FALSE)</f>
        <v>MAGEE KENYA</v>
      </c>
      <c r="M226" s="6">
        <f t="shared" si="69"/>
        <v>1.7997685186855961E-2</v>
      </c>
      <c r="N226" s="7">
        <f t="shared" si="84"/>
        <v>25.916666669072583</v>
      </c>
      <c r="O226" s="7"/>
      <c r="P226" s="7"/>
      <c r="Q226" s="22"/>
      <c r="R226" s="22"/>
      <c r="S226" s="31">
        <f t="shared" si="82"/>
        <v>0</v>
      </c>
      <c r="T226" s="46" t="e">
        <f t="shared" si="70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1"/>
        <v>https://d0f6bd738d7f1b3e5a7ca70fe4ff75f0.us-east-1.aws.found.io/app/kibana#/discover/Steve-Slow-Train-Analysis-(2080s-and-2083s)?_g=(refreshInterval:(display:Off,pause:!f,section:0,value:0),time:(from:'2017-03-24T23:43:07-0600',mode:absolute,to:'2017-03-25T03:16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6" s="187" t="str">
        <f t="shared" si="72"/>
        <v>N</v>
      </c>
      <c r="X226" s="187" t="e">
        <f t="shared" si="83"/>
        <v>#VALUE!</v>
      </c>
      <c r="Y226" s="62">
        <f t="shared" si="85"/>
        <v>12.8018</v>
      </c>
      <c r="Z226" s="62">
        <f t="shared" si="73"/>
        <v>1.02</v>
      </c>
      <c r="AA226" s="62">
        <f t="shared" si="74"/>
        <v>11.7818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5"/>
        <v>80-24</v>
      </c>
      <c r="AE226" s="85" t="str">
        <f t="shared" si="76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26" s="82" t="str">
        <f t="shared" si="77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26" s="1" t="str">
        <f t="shared" si="78"/>
        <v>Other</v>
      </c>
      <c r="AH226" s="86" t="str">
        <f t="shared" si="79"/>
        <v>"%USERPROFILE%\Documents\GitHub\eaglep3\Utilities\RefineRTDCRunTimes.py" --tripid 80-24 --locoid 4041 --swversion DE.1.0.9.0 --startMP 204:128018 --initTime 2017-03-25T00:43:07 --startdatetime 2017-03-25T01:50:50 --delay 1 --endMP 204:10200 --enddatetime 2017-03-25T02:16:45 --enforcementcount 0 &gt;&gt;C:\Users\stu\Documents\GitHub\eaglep3-reporting\EC\2017-03-24-refined-times.txt</v>
      </c>
      <c r="AI226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{"issue":{"subject":"","project_id":79,"tracker_id":40,"status_id":1,"priority_id":2,"assigned_to_id":23,"start_date":"2017-03-25","description":"","custom_fields":[{"id":1,"name":"Subdivision","value":"Other"},{"id":4,"name":"Milepost","value":"1.02"},{"id":17,"name":"Train ID","value":"80-24"},{"id":16,"name":"Locomotive ID","value":"4041"},{"id":130,"name":"Impact","value":""},{"id":150,"name":"Time of Event (Mountain Time)","value":"02:16:45"},{"id":151,"name":"Denver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1"/>
        <v>start /low /b %USERPROFILE%\Documents\GitHub\eaglep3\Utilities\DownloadLogsFromS3.py --loco 4041 --day 2017-03-25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7" spans="1:40" x14ac:dyDescent="0.25">
      <c r="A227" s="33" t="s">
        <v>796</v>
      </c>
      <c r="B227" s="7">
        <v>4041</v>
      </c>
      <c r="C227" s="21" t="s">
        <v>219</v>
      </c>
      <c r="D227" s="21" t="s">
        <v>973</v>
      </c>
      <c r="E227" s="13">
        <v>42819.10833333333</v>
      </c>
      <c r="F227" s="13">
        <v>42819.109849537039</v>
      </c>
      <c r="G227" s="7">
        <v>1</v>
      </c>
      <c r="H227" s="21" t="s">
        <v>906</v>
      </c>
      <c r="I227" s="13">
        <v>42819.123865740738</v>
      </c>
      <c r="J227" s="7">
        <v>0</v>
      </c>
      <c r="K227" s="98" t="str">
        <f t="shared" si="68"/>
        <v>4041/4042</v>
      </c>
      <c r="L227" s="21" t="str">
        <f>VLOOKUP(A227,'Trips&amp;Operators'!$C$1:$G$99999,5,FALSE)</f>
        <v>MAGEE KENYA</v>
      </c>
      <c r="M227" s="6">
        <f t="shared" si="69"/>
        <v>1.4016203698702157E-2</v>
      </c>
      <c r="N227" s="7">
        <f t="shared" si="84"/>
        <v>20.183333326131105</v>
      </c>
      <c r="O227" s="7"/>
      <c r="P227" s="7"/>
      <c r="Q227" s="22"/>
      <c r="R227" s="22"/>
      <c r="S227" s="31">
        <f t="shared" si="82"/>
        <v>0</v>
      </c>
      <c r="T227" s="46" t="e">
        <f t="shared" si="70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1"/>
        <v>https://d0f6bd738d7f1b3e5a7ca70fe4ff75f0.us-east-1.aws.found.io/app/kibana#/discover/Steve-Slow-Train-Analysis-(2080s-and-2083s)?_g=(refreshInterval:(display:Off,pause:!f,section:0,value:0),time:(from:'2017-03-25T01:36:00-0600',mode:absolute,to:'2017-03-25T03:58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7" s="187" t="str">
        <f t="shared" si="72"/>
        <v>N</v>
      </c>
      <c r="X227" s="187" t="e">
        <f t="shared" si="83"/>
        <v>#VALUE!</v>
      </c>
      <c r="Y227" s="62">
        <f t="shared" si="85"/>
        <v>7.0552999999999999</v>
      </c>
      <c r="Z227" s="62">
        <f t="shared" si="73"/>
        <v>1.1900000000000001E-2</v>
      </c>
      <c r="AA227" s="62">
        <f t="shared" si="74"/>
        <v>7.0434000000000001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5"/>
        <v>80-24</v>
      </c>
      <c r="AE227" s="85" t="str">
        <f t="shared" si="76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27" s="82" t="str">
        <f t="shared" si="77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27" s="1" t="str">
        <f t="shared" si="78"/>
        <v>Other</v>
      </c>
      <c r="AH227" s="86" t="str">
        <f t="shared" si="79"/>
        <v>"%USERPROFILE%\Documents\GitHub\eaglep3\Utilities\RefineRTDCRunTimes.py" --tripid 80-24 --locoid 4041 --swversion DE.1.0.9.0 --startMP 204:70553 --initTime 2017-03-25T02:36:00 --startdatetime 2017-03-25T02:38:11 --delay 1 --endMP 204:119 --enddatetime 2017-03-25T02:58:22 --enforcementcount 0 &gt;&gt;C:\Users\stu\Documents\GitHub\eaglep3-reporting\EC\2017-03-24-refined-times.txt</v>
      </c>
      <c r="AI227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{"issue":{"subject":"","project_id":79,"tracker_id":40,"status_id":1,"priority_id":2,"assigned_to_id":23,"start_date":"2017-03-25","description":"","custom_fields":[{"id":1,"name":"Subdivision","value":"Other"},{"id":4,"name":"Milepost","value":"0.0119"},{"id":17,"name":"Train ID","value":"80-24"},{"id":16,"name":"Locomotive ID","value":"4041"},{"id":130,"name":"Impact","value":""},{"id":150,"name":"Time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1"/>
        <v>start /low /b %USERPROFILE%\Documents\GitHub\eaglep3\Utilities\DownloadLogsFromS3.py --loco 4041 --day 2017-03-25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8" spans="1:40" x14ac:dyDescent="0.25">
      <c r="A228" s="33" t="s">
        <v>796</v>
      </c>
      <c r="B228" s="7">
        <v>4041</v>
      </c>
      <c r="C228" s="21" t="s">
        <v>219</v>
      </c>
      <c r="D228" s="21" t="s">
        <v>974</v>
      </c>
      <c r="E228" s="13">
        <v>42818.828194444446</v>
      </c>
      <c r="F228" s="13">
        <v>42818.83090277778</v>
      </c>
      <c r="G228" s="7">
        <v>3</v>
      </c>
      <c r="H228" s="21" t="s">
        <v>975</v>
      </c>
      <c r="I228" s="13">
        <v>42818.836793981478</v>
      </c>
      <c r="J228" s="7">
        <v>0</v>
      </c>
      <c r="K228" s="98" t="str">
        <f t="shared" si="68"/>
        <v>4041/4042</v>
      </c>
      <c r="L228" s="21" t="str">
        <f>VLOOKUP(A228,'Trips&amp;Operators'!$C$1:$G$99999,5,FALSE)</f>
        <v>MAGEE KENYA</v>
      </c>
      <c r="M228" s="6">
        <f t="shared" si="69"/>
        <v>5.8912036984111182E-3</v>
      </c>
      <c r="N228" s="7">
        <f t="shared" si="84"/>
        <v>8.4833333257120103</v>
      </c>
      <c r="O228" s="7"/>
      <c r="P228" s="7"/>
      <c r="Q228" s="22"/>
      <c r="R228" s="22"/>
      <c r="S228" s="31">
        <f t="shared" si="82"/>
        <v>0</v>
      </c>
      <c r="T228" s="46" t="e">
        <f t="shared" si="70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1"/>
        <v>https://d0f6bd738d7f1b3e5a7ca70fe4ff75f0.us-east-1.aws.found.io/app/kibana#/discover/Steve-Slow-Train-Analysis-(2080s-and-2083s)?_g=(refreshInterval:(display:Off,pause:!f,section:0,value:0),time:(from:'2017-03-24T18:52:36-0600',mode:absolute,to:'2017-03-24T21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187" t="str">
        <f t="shared" si="72"/>
        <v>Y</v>
      </c>
      <c r="X228" s="187" t="e">
        <f t="shared" si="83"/>
        <v>#VALUE!</v>
      </c>
      <c r="Y228" s="62">
        <f t="shared" si="85"/>
        <v>2.3491</v>
      </c>
      <c r="Z228" s="62">
        <f t="shared" si="73"/>
        <v>8.5900000000000004E-2</v>
      </c>
      <c r="AA228" s="62">
        <f t="shared" si="74"/>
        <v>2.2631999999999999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5"/>
        <v>80-24</v>
      </c>
      <c r="AE228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28" s="82" t="str">
        <f t="shared" si="77"/>
        <v>"C:\Program Files (x86)\AstroGrep\AstroGrep.exe" /e /r /s /spath="%USERPROFILE%\AppData\Local\Temp\OnboardLogs" /stypes="app*4041*20170325*" /stext=" 02:.+((SYSTEM_STATE.+slice.+state.+changed )|(ment ac)|(multiple cpu faults)|(system.+state.+changed )|(\[timeout)|(PRM\|1\|D)|(kpr)|(kdp)|(\|lc)|(penalty))"</v>
      </c>
      <c r="AG228" s="1" t="str">
        <f t="shared" si="78"/>
        <v>Other</v>
      </c>
      <c r="AH228" s="86" t="str">
        <f t="shared" si="79"/>
        <v>"%USERPROFILE%\Documents\GitHub\eaglep3\Utilities\RefineRTDCRunTimes.py" --tripid 80-24 --locoid 4041 --swversion DE.1.0.9.0 --startMP 300:23491 --initTime 2017-03-24T19:52:36 --startdatetime 2017-03-24T19:56:30 --delay 3 --endMP 204:859 --enddatetime 2017-03-24T20:04:59 --enforcementcount 0 &gt;&gt;C:\Users\stu\Documents\GitHub\eaglep3-reporting\EC\2017-03-24-refined-times.txt</v>
      </c>
      <c r="AI228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{"issue":{"subject":"","project_id":79,"tracker_id":40,"status_id":1,"priority_id":2,"assigned_to_id":23,"start_date":"2017-03-24","description":"","custom_fields":[{"id":1,"name":"Subdivision","value":"Other"},{"id":4,"name":"Milepost","value":"0.0859"},{"id":17,"name":"Train ID","value":"80-24"},{"id":16,"name":"Locomotive ID","value":"4041"},{"id":130,"name":"Impact","value":""},{"id":150,"name":"Time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1"/>
        <v>start /low /b %USERPROFILE%\Documents\GitHub\eaglep3\Utilities\DownloadLogsFromS3.py --loco 4041 --day 2017-03-24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9" spans="1:40" x14ac:dyDescent="0.25">
      <c r="A229" s="33" t="s">
        <v>801</v>
      </c>
      <c r="B229" s="7">
        <v>4042</v>
      </c>
      <c r="C229" s="21" t="s">
        <v>219</v>
      </c>
      <c r="D229" s="21" t="s">
        <v>985</v>
      </c>
      <c r="E229" s="13">
        <v>42818.907106481478</v>
      </c>
      <c r="F229" s="13">
        <v>42818.908333333333</v>
      </c>
      <c r="G229" s="7">
        <v>1</v>
      </c>
      <c r="H229" s="21" t="s">
        <v>986</v>
      </c>
      <c r="I229" s="13">
        <v>42818.92324074074</v>
      </c>
      <c r="J229" s="7">
        <v>0</v>
      </c>
      <c r="K229" s="98" t="str">
        <f t="shared" si="68"/>
        <v>4041/4042</v>
      </c>
      <c r="L229" s="21" t="str">
        <f>VLOOKUP(A229,'Trips&amp;Operators'!$C$1:$G$99999,5,FALSE)</f>
        <v>MAGEE KENYA</v>
      </c>
      <c r="M229" s="6">
        <f t="shared" si="69"/>
        <v>1.4907407407008577E-2</v>
      </c>
      <c r="N229" s="7">
        <f t="shared" si="84"/>
        <v>21.466666666092351</v>
      </c>
      <c r="O229" s="7"/>
      <c r="P229" s="7"/>
      <c r="Q229" s="22"/>
      <c r="R229" s="22"/>
      <c r="S229" s="31">
        <f t="shared" si="82"/>
        <v>0</v>
      </c>
      <c r="T229" s="46" t="e">
        <f t="shared" si="70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1"/>
        <v>https://d0f6bd738d7f1b3e5a7ca70fe4ff75f0.us-east-1.aws.found.io/app/kibana#/discover/Steve-Slow-Train-Analysis-(2080s-and-2083s)?_g=(refreshInterval:(display:Off,pause:!f,section:0,value:0),time:(from:'2017-03-24T20:46:14-0600',mode:absolute,to:'2017-03-24T23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187" t="str">
        <f t="shared" si="72"/>
        <v>N</v>
      </c>
      <c r="X229" s="187" t="e">
        <f t="shared" si="83"/>
        <v>#VALUE!</v>
      </c>
      <c r="Y229" s="62">
        <f t="shared" si="85"/>
        <v>1.0178</v>
      </c>
      <c r="Z229" s="62">
        <f t="shared" si="73"/>
        <v>12.827400000000001</v>
      </c>
      <c r="AA229" s="62">
        <f t="shared" si="74"/>
        <v>11.809600000000001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5"/>
        <v>81-24</v>
      </c>
      <c r="AE229" s="85" t="str">
        <f t="shared" si="76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229" s="82" t="str">
        <f t="shared" si="77"/>
        <v>"C:\Program Files (x86)\AstroGrep\AstroGrep.exe" /e /r /s /spath="%USERPROFILE%\AppData\Local\Temp\OnboardLogs" /stypes="app*4042*20170325*" /stext=" 04:.+((SYSTEM_STATE.+slice.+state.+changed )|(ment ac)|(multiple cpu faults)|(system.+state.+changed )|(\[timeout)|(PRM\|1\|D)|(kpr)|(kdp)|(\|lc)|(penalty))"</v>
      </c>
      <c r="AG229" s="1" t="str">
        <f t="shared" si="78"/>
        <v>Other</v>
      </c>
      <c r="AH229" s="86" t="str">
        <f t="shared" si="79"/>
        <v>"%USERPROFILE%\Documents\GitHub\eaglep3\Utilities\RefineRTDCRunTimes.py" --tripid 81-24 --locoid 4042 --swversion DE.1.0.9.0 --startMP 204:10178 --initTime 2017-03-24T21:46:14 --startdatetime 2017-03-24T21:48:00 --delay 1 --endMP 204:128274 --enddatetime 2017-03-24T22:09:28 --enforcementcount 0 &gt;&gt;C:\Users\stu\Documents\GitHub\eaglep3-reporting\EC\2017-03-24-refined-times.txt</v>
      </c>
      <c r="AI229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{"issue":{"subject":"","project_id":79,"tracker_id":40,"status_id":1,"priority_id":2,"assigned_to_id":23,"start_date":"2017-03-24","description":"","custom_fields":[{"id":1,"name":"Subdivision","value":"Other"},{"id":4,"name":"Milepost","value":"12.8274"},{"id":17,"name":"Train ID","value":"81-24"},{"id":16,"name":"Locomotive ID","value":"4042"},{"id":130,"name":"Impact","value":""},{"id":150,"name":"Time of Event (Mountain Time)","value":"22:09:28"},{"id":151,"name":"Denver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1"/>
        <v>start /low /b %USERPROFILE%\Documents\GitHub\eaglep3\Utilities\DownloadLogsFromS3.py --loco 4042 --day 2017-03-24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0" spans="1:40" x14ac:dyDescent="0.25">
      <c r="A230" s="33" t="s">
        <v>801</v>
      </c>
      <c r="B230" s="7">
        <v>4042</v>
      </c>
      <c r="C230" s="21" t="s">
        <v>219</v>
      </c>
      <c r="D230" s="21" t="s">
        <v>987</v>
      </c>
      <c r="E230" s="13">
        <v>42819.096006944441</v>
      </c>
      <c r="F230" s="13">
        <v>42819.131516203706</v>
      </c>
      <c r="G230" s="7">
        <v>1</v>
      </c>
      <c r="H230" s="21" t="s">
        <v>988</v>
      </c>
      <c r="I230" s="13">
        <v>42819.138495370367</v>
      </c>
      <c r="J230" s="7">
        <v>0</v>
      </c>
      <c r="K230" s="98" t="str">
        <f t="shared" si="68"/>
        <v>4041/4042</v>
      </c>
      <c r="L230" s="21" t="str">
        <f>VLOOKUP(A230,'Trips&amp;Operators'!$C$1:$G$99999,5,FALSE)</f>
        <v>MAGEE KENYA</v>
      </c>
      <c r="M230" s="6">
        <f t="shared" si="69"/>
        <v>6.9791666610399261E-3</v>
      </c>
      <c r="N230" s="7">
        <f t="shared" si="84"/>
        <v>10.049999991897494</v>
      </c>
      <c r="O230" s="7"/>
      <c r="P230" s="7"/>
      <c r="Q230" s="22"/>
      <c r="R230" s="22"/>
      <c r="S230" s="31">
        <f t="shared" si="82"/>
        <v>0</v>
      </c>
      <c r="T230" s="46" t="e">
        <f t="shared" si="70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1"/>
        <v>https://d0f6bd738d7f1b3e5a7ca70fe4ff75f0.us-east-1.aws.found.io/app/kibana#/discover/Steve-Slow-Train-Analysis-(2080s-and-2083s)?_g=(refreshInterval:(display:Off,pause:!f,section:0,value:0),time:(from:'2017-03-25T01:18:15-0600',mode:absolute,to:'2017-03-25T04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187" t="str">
        <f t="shared" si="72"/>
        <v>N</v>
      </c>
      <c r="X230" s="187" t="e">
        <f t="shared" si="83"/>
        <v>#VALUE!</v>
      </c>
      <c r="Y230" s="62">
        <f t="shared" si="85"/>
        <v>1.0383</v>
      </c>
      <c r="Z230" s="62">
        <f t="shared" si="73"/>
        <v>7.0861999999999998</v>
      </c>
      <c r="AA230" s="62">
        <f t="shared" si="74"/>
        <v>6.0479000000000003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5"/>
        <v>81-24</v>
      </c>
      <c r="AE230" s="85" t="str">
        <f t="shared" si="76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30" s="82" t="str">
        <f t="shared" si="77"/>
        <v>"C:\Program Files (x86)\AstroGrep\AstroGrep.exe" /e /r /s /spath="%USERPROFILE%\AppData\Local\Temp\OnboardLogs" /stypes="app*4042*20170325*" /stext=" 09:.+((SYSTEM_STATE.+slice.+state.+changed )|(ment ac)|(multiple cpu faults)|(system.+state.+changed )|(\[timeout)|(PRM\|1\|D)|(kpr)|(kdp)|(\|lc)|(penalty))"</v>
      </c>
      <c r="AG230" s="1" t="str">
        <f t="shared" si="78"/>
        <v>Other</v>
      </c>
      <c r="AH230" s="86" t="str">
        <f t="shared" si="79"/>
        <v>"%USERPROFILE%\Documents\GitHub\eaglep3\Utilities\RefineRTDCRunTimes.py" --tripid 81-24 --locoid 4042 --swversion DE.1.0.9.0 --startMP 204:10383 --initTime 2017-03-25T02:18:15 --startdatetime 2017-03-25T03:09:23 --delay 1 --endMP 204:70862 --enddatetime 2017-03-25T03:19:26 --enforcementcount 0 &gt;&gt;C:\Users\stu\Documents\GitHub\eaglep3-reporting\EC\2017-03-24-refined-times.txt</v>
      </c>
      <c r="AI230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{"issue":{"subject":"","project_id":79,"tracker_id":40,"status_id":1,"priority_id":2,"assigned_to_id":23,"start_date":"2017-03-25","description":"","custom_fields":[{"id":1,"name":"Subdivision","value":"Other"},{"id":4,"name":"Milepost","value":"7.0862"},{"id":17,"name":"Train ID","value":"81-24"},{"id":16,"name":"Locomotive ID","value":"4042"},{"id":130,"name":"Impact","value":""},{"id":150,"name":"Time of Event (Mountain Time)","value":"03:19:26"},{"id":151,"name":"Denver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1"/>
        <v>start /low /b %USERPROFILE%\Documents\GitHub\eaglep3\Utilities\DownloadLogsFromS3.py --loco 4042 --day 2017-03-25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1" spans="1:40" x14ac:dyDescent="0.25">
      <c r="A231" s="33" t="s">
        <v>801</v>
      </c>
      <c r="B231" s="7">
        <v>4042</v>
      </c>
      <c r="C231" s="21" t="s">
        <v>219</v>
      </c>
      <c r="D231" s="21" t="s">
        <v>989</v>
      </c>
      <c r="E231" s="13">
        <v>42819.049618055556</v>
      </c>
      <c r="F231" s="13">
        <v>42819.051249999997</v>
      </c>
      <c r="G231" s="7">
        <v>1</v>
      </c>
      <c r="H231" s="21" t="s">
        <v>990</v>
      </c>
      <c r="I231" s="13">
        <v>42819.065555555557</v>
      </c>
      <c r="J231" s="7">
        <v>0</v>
      </c>
      <c r="K231" s="98" t="str">
        <f t="shared" si="68"/>
        <v>4041/4042</v>
      </c>
      <c r="L231" s="21" t="str">
        <f>VLOOKUP(A231,'Trips&amp;Operators'!$C$1:$G$99999,5,FALSE)</f>
        <v>MAGEE KENYA</v>
      </c>
      <c r="M231" s="6">
        <f t="shared" si="69"/>
        <v>1.4305555559985805E-2</v>
      </c>
      <c r="N231" s="7">
        <f t="shared" si="84"/>
        <v>20.60000000637956</v>
      </c>
      <c r="O231" s="7"/>
      <c r="P231" s="7"/>
      <c r="Q231" s="22"/>
      <c r="R231" s="22"/>
      <c r="S231" s="31">
        <f t="shared" si="82"/>
        <v>0</v>
      </c>
      <c r="T231" s="46" t="e">
        <f t="shared" si="70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1"/>
        <v>https://d0f6bd738d7f1b3e5a7ca70fe4ff75f0.us-east-1.aws.found.io/app/kibana#/discover/Steve-Slow-Train-Analysis-(2080s-and-2083s)?_g=(refreshInterval:(display:Off,pause:!f,section:0,value:0),time:(from:'2017-03-25T00:11:27-0600',mode:absolute,to:'2017-03-25T02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87" t="str">
        <f t="shared" si="72"/>
        <v>N</v>
      </c>
      <c r="X231" s="187" t="e">
        <f t="shared" si="83"/>
        <v>#VALUE!</v>
      </c>
      <c r="Y231" s="62">
        <f t="shared" si="85"/>
        <v>1.0438000000000001</v>
      </c>
      <c r="Z231" s="62">
        <f t="shared" si="73"/>
        <v>12.8269</v>
      </c>
      <c r="AA231" s="62">
        <f t="shared" si="74"/>
        <v>11.783100000000001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5"/>
        <v>81-24</v>
      </c>
      <c r="AE231" s="85" t="str">
        <f t="shared" si="76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31" s="82" t="str">
        <f t="shared" si="77"/>
        <v>"C:\Program Files (x86)\AstroGrep\AstroGrep.exe" /e /r /s /spath="%USERPROFILE%\AppData\Local\Temp\OnboardLogs" /stypes="app*4042*20170325*" /stext=" 07:.+((SYSTEM_STATE.+slice.+state.+changed )|(ment ac)|(multiple cpu faults)|(system.+state.+changed )|(\[timeout)|(PRM\|1\|D)|(kpr)|(kdp)|(\|lc)|(penalty))"</v>
      </c>
      <c r="AG231" s="1" t="str">
        <f t="shared" si="78"/>
        <v>Other</v>
      </c>
      <c r="AH231" s="86" t="str">
        <f t="shared" si="79"/>
        <v>"%USERPROFILE%\Documents\GitHub\eaglep3\Utilities\RefineRTDCRunTimes.py" --tripid 81-24 --locoid 4042 --swversion DE.1.0.9.0 --startMP 204:10438 --initTime 2017-03-25T01:11:27 --startdatetime 2017-03-25T01:13:48 --delay 1 --endMP 204:128269 --enddatetime 2017-03-25T01:34:24 --enforcementcount 0 &gt;&gt;C:\Users\stu\Documents\GitHub\eaglep3-reporting\EC\2017-03-24-refined-times.txt</v>
      </c>
      <c r="AI231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{"issue":{"subject":"","project_id":79,"tracker_id":40,"status_id":1,"priority_id":2,"assigned_to_id":23,"start_date":"2017-03-25","description":"","custom_fields":[{"id":1,"name":"Subdivision","value":"Other"},{"id":4,"name":"Milepost","value":"12.8269"},{"id":17,"name":"Train ID","value":"81-24"},{"id":16,"name":"Locomotive ID","value":"4042"},{"id":130,"name":"Impact","value":""},{"id":150,"name":"Time of Event (Mountain Time)","value":"01:34:24"},{"id":151,"name":"Denver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1"/>
        <v>start /low /b %USERPROFILE%\Documents\GitHub\eaglep3\Utilities\DownloadLogsFromS3.py --loco 4042 --day 2017-03-25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2" spans="1:40" x14ac:dyDescent="0.25">
      <c r="A232" s="33" t="s">
        <v>801</v>
      </c>
      <c r="B232" s="7">
        <v>4042</v>
      </c>
      <c r="C232" s="21" t="s">
        <v>219</v>
      </c>
      <c r="D232" s="21" t="s">
        <v>991</v>
      </c>
      <c r="E232" s="13">
        <v>42818.84888888889</v>
      </c>
      <c r="F232" s="13">
        <v>42818.859722222223</v>
      </c>
      <c r="G232" s="7">
        <v>1</v>
      </c>
      <c r="H232" s="21" t="s">
        <v>992</v>
      </c>
      <c r="I232" s="13">
        <v>42818.876446759263</v>
      </c>
      <c r="J232" s="7">
        <v>0</v>
      </c>
      <c r="K232" s="98" t="str">
        <f t="shared" si="68"/>
        <v>4041/4042</v>
      </c>
      <c r="L232" s="21" t="str">
        <f>VLOOKUP(A232,'Trips&amp;Operators'!$C$1:$G$99999,5,FALSE)</f>
        <v>MAGEE KENYA</v>
      </c>
      <c r="M232" s="6">
        <f t="shared" si="69"/>
        <v>1.672453703940846E-2</v>
      </c>
      <c r="N232" s="7">
        <f t="shared" si="84"/>
        <v>24.083333336748183</v>
      </c>
      <c r="O232" s="7"/>
      <c r="P232" s="7"/>
      <c r="Q232" s="22"/>
      <c r="R232" s="22"/>
      <c r="S232" s="31">
        <f t="shared" si="82"/>
        <v>0</v>
      </c>
      <c r="T232" s="46" t="e">
        <f t="shared" si="70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1"/>
        <v>https://d0f6bd738d7f1b3e5a7ca70fe4ff75f0.us-east-1.aws.found.io/app/kibana#/discover/Steve-Slow-Train-Analysis-(2080s-and-2083s)?_g=(refreshInterval:(display:Off,pause:!f,section:0,value:0),time:(from:'2017-03-24T19:22:24-0600',mode:absolute,to:'2017-03-24T22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2" s="187" t="str">
        <f t="shared" si="72"/>
        <v>N</v>
      </c>
      <c r="X232" s="187" t="e">
        <f t="shared" si="83"/>
        <v>#VALUE!</v>
      </c>
      <c r="Y232" s="62">
        <f t="shared" si="85"/>
        <v>0.1173</v>
      </c>
      <c r="Z232" s="62">
        <f t="shared" si="73"/>
        <v>12.827199999999999</v>
      </c>
      <c r="AA232" s="62">
        <f t="shared" si="74"/>
        <v>12.709899999999999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5"/>
        <v>81-24</v>
      </c>
      <c r="AE232" s="85" t="str">
        <f t="shared" si="76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232" s="82" t="str">
        <f t="shared" si="77"/>
        <v>"C:\Program Files (x86)\AstroGrep\AstroGrep.exe" /e /r /s /spath="%USERPROFILE%\AppData\Local\Temp\OnboardLogs" /stypes="app*4042*20170325*" /stext=" 03:.+((SYSTEM_STATE.+slice.+state.+changed )|(ment ac)|(multiple cpu faults)|(system.+state.+changed )|(\[timeout)|(PRM\|1\|D)|(kpr)|(kdp)|(\|lc)|(penalty))"</v>
      </c>
      <c r="AG232" s="1" t="str">
        <f t="shared" si="78"/>
        <v>Other</v>
      </c>
      <c r="AH232" s="86" t="str">
        <f t="shared" si="79"/>
        <v>"%USERPROFILE%\Documents\GitHub\eaglep3\Utilities\RefineRTDCRunTimes.py" --tripid 81-24 --locoid 4042 --swversion DE.1.0.9.0 --startMP 204:1173 --initTime 2017-03-24T20:22:24 --startdatetime 2017-03-24T20:38:00 --delay 1 --endMP 204:128272 --enddatetime 2017-03-24T21:02:05 --enforcementcount 0 &gt;&gt;C:\Users\stu\Documents\GitHub\eaglep3-reporting\EC\2017-03-24-refined-times.txt</v>
      </c>
      <c r="AI232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{"issue":{"subject":"","project_id":79,"tracker_id":40,"status_id":1,"priority_id":2,"assigned_to_id":23,"start_date":"2017-03-24","description":"","custom_fields":[{"id":1,"name":"Subdivision","value":"Other"},{"id":4,"name":"Milepost","value":"12.8272"},{"id":17,"name":"Train ID","value":"81-24"},{"id":16,"name":"Locomotive ID","value":"4042"},{"id":130,"name":"Impact","value":""},{"id":150,"name":"Time of Event (Mountain Time)","value":"21:02:05"},{"id":151,"name":"Denver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1"/>
        <v>start /low /b %USERPROFILE%\Documents\GitHub\eaglep3\Utilities\DownloadLogsFromS3.py --loco 4042 --day 2017-03-24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3" spans="1:40" x14ac:dyDescent="0.25">
      <c r="A233" s="33" t="s">
        <v>801</v>
      </c>
      <c r="B233" s="7">
        <v>4042</v>
      </c>
      <c r="C233" s="21" t="s">
        <v>219</v>
      </c>
      <c r="D233" s="21" t="s">
        <v>993</v>
      </c>
      <c r="E233" s="13">
        <v>42819.006296296298</v>
      </c>
      <c r="F233" s="13">
        <v>42819.051249999997</v>
      </c>
      <c r="G233" s="7">
        <v>1</v>
      </c>
      <c r="H233" s="21" t="s">
        <v>994</v>
      </c>
      <c r="I233" s="13">
        <v>42819.065555555557</v>
      </c>
      <c r="J233" s="7">
        <v>0</v>
      </c>
      <c r="K233" s="98" t="str">
        <f t="shared" si="68"/>
        <v>4041/4042</v>
      </c>
      <c r="L233" s="21" t="str">
        <f>VLOOKUP(A233,'Trips&amp;Operators'!$C$1:$G$99999,5,FALSE)</f>
        <v>MAGEE KENYA</v>
      </c>
      <c r="M233" s="6">
        <f t="shared" si="69"/>
        <v>1.4305555559985805E-2</v>
      </c>
      <c r="N233" s="7">
        <f t="shared" si="84"/>
        <v>20.60000000637956</v>
      </c>
      <c r="O233" s="7"/>
      <c r="P233" s="7"/>
      <c r="Q233" s="22"/>
      <c r="R233" s="22"/>
      <c r="S233" s="31">
        <f t="shared" si="82"/>
        <v>0</v>
      </c>
      <c r="T233" s="46" t="e">
        <f t="shared" si="70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1"/>
        <v>https://d0f6bd738d7f1b3e5a7ca70fe4ff75f0.us-east-1.aws.found.io/app/kibana#/discover/Steve-Slow-Train-Analysis-(2080s-and-2083s)?_g=(refreshInterval:(display:Off,pause:!f,section:0,value:0),time:(from:'2017-03-24T23:09:04-0600',mode:absolute,to:'2017-03-25T02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87" t="str">
        <f t="shared" si="72"/>
        <v>N</v>
      </c>
      <c r="X233" s="187" t="e">
        <f t="shared" si="83"/>
        <v>#VALUE!</v>
      </c>
      <c r="Y233" s="62">
        <f t="shared" si="85"/>
        <v>0.14829999999999999</v>
      </c>
      <c r="Z233" s="62">
        <f t="shared" si="73"/>
        <v>12.8271</v>
      </c>
      <c r="AA233" s="62">
        <f t="shared" si="74"/>
        <v>12.678799999999999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5"/>
        <v>81-24</v>
      </c>
      <c r="AE233" s="85" t="str">
        <f t="shared" si="76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33" s="82" t="str">
        <f t="shared" si="77"/>
        <v>"C:\Program Files (x86)\AstroGrep\AstroGrep.exe" /e /r /s /spath="%USERPROFILE%\AppData\Local\Temp\OnboardLogs" /stypes="app*4042*20170325*" /stext=" 07:.+((SYSTEM_STATE.+slice.+state.+changed )|(ment ac)|(multiple cpu faults)|(system.+state.+changed )|(\[timeout)|(PRM\|1\|D)|(kpr)|(kdp)|(\|lc)|(penalty))"</v>
      </c>
      <c r="AG233" s="1" t="str">
        <f t="shared" si="78"/>
        <v>Other</v>
      </c>
      <c r="AH233" s="86" t="str">
        <f t="shared" si="79"/>
        <v>"%USERPROFILE%\Documents\GitHub\eaglep3\Utilities\RefineRTDCRunTimes.py" --tripid 81-24 --locoid 4042 --swversion DE.1.0.9.0 --startMP 204:1483 --initTime 2017-03-25T00:09:04 --startdatetime 2017-03-25T01:13:48 --delay 1 --endMP 204:128271 --enddatetime 2017-03-25T01:34:24 --enforcementcount 0 &gt;&gt;C:\Users\stu\Documents\GitHub\eaglep3-reporting\EC\2017-03-24-refined-times.txt</v>
      </c>
      <c r="AI233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{"issue":{"subject":"","project_id":79,"tracker_id":40,"status_id":1,"priority_id":2,"assigned_to_id":23,"start_date":"2017-03-25","description":"","custom_fields":[{"id":1,"name":"Subdivision","value":"Other"},{"id":4,"name":"Milepost","value":"12.8271"},{"id":17,"name":"Train ID","value":"81-24"},{"id":16,"name":"Locomotive ID","value":"4042"},{"id":130,"name":"Impact","value":""},{"id":150,"name":"Time of Event (Mountain Time)","value":"01:34:24"},{"id":151,"name":"Denver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1"/>
        <v>start /low /b %USERPROFILE%\Documents\GitHub\eaglep3\Utilities\DownloadLogsFromS3.py --loco 4042 --day 2017-03-25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4" spans="1:40" x14ac:dyDescent="0.25">
      <c r="A234" s="33" t="s">
        <v>801</v>
      </c>
      <c r="B234" s="7">
        <v>4042</v>
      </c>
      <c r="C234" s="21" t="s">
        <v>219</v>
      </c>
      <c r="D234" s="21" t="s">
        <v>461</v>
      </c>
      <c r="E234" s="13">
        <v>42818.950497685182</v>
      </c>
      <c r="F234" s="13">
        <v>42818.952199074076</v>
      </c>
      <c r="G234" s="7">
        <v>1</v>
      </c>
      <c r="H234" s="21" t="s">
        <v>995</v>
      </c>
      <c r="I234" s="13">
        <v>42818.977476851855</v>
      </c>
      <c r="J234" s="7">
        <v>0</v>
      </c>
      <c r="K234" s="98" t="str">
        <f t="shared" si="68"/>
        <v>4041/4042</v>
      </c>
      <c r="L234" s="21" t="str">
        <f>VLOOKUP(A234,'Trips&amp;Operators'!$C$1:$G$99999,5,FALSE)</f>
        <v>MAGEE KENYA</v>
      </c>
      <c r="M234" s="6">
        <f t="shared" si="69"/>
        <v>2.527777777868323E-2</v>
      </c>
      <c r="N234" s="7">
        <f t="shared" si="84"/>
        <v>36.400000001303852</v>
      </c>
      <c r="O234" s="7"/>
      <c r="P234" s="7"/>
      <c r="Q234" s="22"/>
      <c r="R234" s="22"/>
      <c r="S234" s="31">
        <f t="shared" si="82"/>
        <v>0</v>
      </c>
      <c r="T234" s="46" t="e">
        <f t="shared" si="70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1"/>
        <v>https://d0f6bd738d7f1b3e5a7ca70fe4ff75f0.us-east-1.aws.found.io/app/kibana#/discover/Steve-Slow-Train-Analysis-(2080s-and-2083s)?_g=(refreshInterval:(display:Off,pause:!f,section:0,value:0),time:(from:'2017-03-24T21:48:43-0600',mode:absolute,to:'2017-03-25T00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87" t="str">
        <f t="shared" si="72"/>
        <v>N</v>
      </c>
      <c r="X234" s="187" t="e">
        <f t="shared" si="83"/>
        <v>#VALUE!</v>
      </c>
      <c r="Y234" s="62">
        <f t="shared" si="85"/>
        <v>4.3700000000000003E-2</v>
      </c>
      <c r="Z234" s="62">
        <f t="shared" si="73"/>
        <v>12.8268</v>
      </c>
      <c r="AA234" s="62">
        <f t="shared" si="74"/>
        <v>12.783100000000001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5"/>
        <v>81-24</v>
      </c>
      <c r="AE234" s="85" t="str">
        <f t="shared" si="76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234" s="82" t="str">
        <f t="shared" si="77"/>
        <v>"C:\Program Files (x86)\AstroGrep\AstroGrep.exe" /e /r /s /spath="%USERPROFILE%\AppData\Local\Temp\OnboardLogs" /stypes="app*4042*20170325*" /stext=" 05:.+((SYSTEM_STATE.+slice.+state.+changed )|(ment ac)|(multiple cpu faults)|(system.+state.+changed )|(\[timeout)|(PRM\|1\|D)|(kpr)|(kdp)|(\|lc)|(penalty))"</v>
      </c>
      <c r="AG234" s="1" t="str">
        <f t="shared" si="78"/>
        <v>Other</v>
      </c>
      <c r="AH234" s="86" t="str">
        <f t="shared" si="79"/>
        <v>"%USERPROFILE%\Documents\GitHub\eaglep3\Utilities\RefineRTDCRunTimes.py" --tripid 81-24 --locoid 4042 --swversion DE.1.0.9.0 --startMP 204:437 --initTime 2017-03-24T22:48:43 --startdatetime 2017-03-24T22:51:10 --delay 1 --endMP 204:128268 --enddatetime 2017-03-24T23:27:34 --enforcementcount 0 &gt;&gt;C:\Users\stu\Documents\GitHub\eaglep3-reporting\EC\2017-03-24-refined-times.txt</v>
      </c>
      <c r="AI234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{"issue":{"subject":"","project_id":79,"tracker_id":40,"status_id":1,"priority_id":2,"assigned_to_id":23,"start_date":"2017-03-24","description":"","custom_fields":[{"id":1,"name":"Subdivision","value":"Other"},{"id":4,"name":"Milepost","value":"12.8268"},{"id":17,"name":"Train ID","value":"81-24"},{"id":16,"name":"Locomotive ID","value":"4042"},{"id":130,"name":"Impact","value":""},{"id":150,"name":"Time of Event (Mountain Time)","value":"23:27:34"},{"id":151,"name":"Denver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1"/>
        <v>start /low /b %USERPROFILE%\Documents\GitHub\eaglep3\Utilities\DownloadLogsFromS3.py --loco 4042 --day 2017-03-24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5" spans="1:40" x14ac:dyDescent="0.25">
      <c r="A235" s="33" t="s">
        <v>813</v>
      </c>
      <c r="B235" s="7">
        <v>4041</v>
      </c>
      <c r="C235" s="21" t="s">
        <v>219</v>
      </c>
      <c r="D235" s="21" t="s">
        <v>1007</v>
      </c>
      <c r="E235" s="13">
        <v>42818.926631944443</v>
      </c>
      <c r="F235" s="13">
        <v>42818.928993055553</v>
      </c>
      <c r="G235" s="7">
        <v>2</v>
      </c>
      <c r="H235" s="21" t="s">
        <v>458</v>
      </c>
      <c r="I235" s="13">
        <v>42818.948541666665</v>
      </c>
      <c r="J235" s="7">
        <v>0</v>
      </c>
      <c r="K235" s="98" t="str">
        <f t="shared" si="68"/>
        <v>4041/4042</v>
      </c>
      <c r="L235" s="21" t="str">
        <f>VLOOKUP(A235,'Trips&amp;Operators'!$C$1:$G$99999,5,FALSE)</f>
        <v>DAVIDSON DAVID</v>
      </c>
      <c r="M235" s="6">
        <f t="shared" si="69"/>
        <v>1.95486111115315E-2</v>
      </c>
      <c r="N235" s="7">
        <f t="shared" si="84"/>
        <v>28.15000000060536</v>
      </c>
      <c r="O235" s="7"/>
      <c r="P235" s="7"/>
      <c r="Q235" s="22"/>
      <c r="R235" s="22"/>
      <c r="S235" s="31">
        <f t="shared" si="82"/>
        <v>0</v>
      </c>
      <c r="T235" s="46" t="e">
        <f t="shared" si="70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1"/>
        <v>https://d0f6bd738d7f1b3e5a7ca70fe4ff75f0.us-east-1.aws.found.io/app/kibana#/discover/Steve-Slow-Train-Analysis-(2080s-and-2083s)?_g=(refreshInterval:(display:Off,pause:!f,section:0,value:0),time:(from:'2017-03-24T21:14:21-0600',mode:absolute,to:'2017-03-24T23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5" s="187" t="str">
        <f t="shared" si="72"/>
        <v>N</v>
      </c>
      <c r="X235" s="187" t="e">
        <f t="shared" si="83"/>
        <v>#VALUE!</v>
      </c>
      <c r="Y235" s="62">
        <f t="shared" si="85"/>
        <v>12.8027</v>
      </c>
      <c r="Z235" s="62">
        <f t="shared" si="73"/>
        <v>1.6500000000000001E-2</v>
      </c>
      <c r="AA235" s="62">
        <f t="shared" si="74"/>
        <v>12.786199999999999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5"/>
        <v>82-24</v>
      </c>
      <c r="AE235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35" s="82" t="str">
        <f t="shared" si="77"/>
        <v>"C:\Program Files (x86)\AstroGrep\AstroGrep.exe" /e /r /s /spath="%USERPROFILE%\AppData\Local\Temp\OnboardLogs" /stypes="app*4041*20170325*" /stext=" 04:.+((SYSTEM_STATE.+slice.+state.+changed )|(ment ac)|(multiple cpu faults)|(system.+state.+changed )|(\[timeout)|(PRM\|1\|D)|(kpr)|(kdp)|(\|lc)|(penalty))"</v>
      </c>
      <c r="AG235" s="1" t="str">
        <f t="shared" si="78"/>
        <v>Other</v>
      </c>
      <c r="AH235" s="86" t="str">
        <f t="shared" si="79"/>
        <v>"%USERPROFILE%\Documents\GitHub\eaglep3\Utilities\RefineRTDCRunTimes.py" --tripid 82-24 --locoid 4041 --swversion DE.1.0.9.0 --startMP 204:128027 --initTime 2017-03-24T22:14:21 --startdatetime 2017-03-24T22:17:45 --delay 2 --endMP 204:165 --enddatetime 2017-03-24T22:45:54 --enforcementcount 0 &gt;&gt;C:\Users\stu\Documents\GitHub\eaglep3-reporting\EC\2017-03-24-refined-times.txt</v>
      </c>
      <c r="AI235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{"issue":{"subject":"","project_id":79,"tracker_id":40,"status_id":1,"priority_id":2,"assigned_to_id":23,"start_date":"2017-03-24","description":"","custom_fields":[{"id":1,"name":"Subdivision","value":"Other"},{"id":4,"name":"Milepost","value":"0.0165"},{"id":17,"name":"Train ID","value":"82-24"},{"id":16,"name":"Locomotive ID","value":"4041"},{"id":130,"name":"Impact","value":""},{"id":150,"name":"Time of Event (Mountain Time)","value":"22:45:54"},{"id":151,"name":"Denver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1"/>
        <v>start /low /b %USERPROFILE%\Documents\GitHub\eaglep3\Utilities\DownloadLogsFromS3.py --loco 4041 --day 2017-03-24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70"/>
  <sortState ref="A13:AH200">
    <sortCondition ref="AG13:AG200"/>
    <sortCondition ref="AD13:AD200"/>
  </sortState>
  <mergeCells count="1">
    <mergeCell ref="A11:P11"/>
  </mergeCells>
  <conditionalFormatting sqref="W11:W12 W277:X1048576 W13:X235">
    <cfRule type="cellIs" dxfId="10" priority="370" operator="equal">
      <formula>"Y"</formula>
    </cfRule>
  </conditionalFormatting>
  <conditionalFormatting sqref="X277:X1048576 X13:X235">
    <cfRule type="cellIs" dxfId="9" priority="353" operator="greaterThan">
      <formula>1</formula>
    </cfRule>
  </conditionalFormatting>
  <conditionalFormatting sqref="X277:X1048576 X12:X235">
    <cfRule type="cellIs" dxfId="8" priority="350" operator="equal">
      <formula>0</formula>
    </cfRule>
  </conditionalFormatting>
  <conditionalFormatting sqref="A13:S23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M15" sqref="M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COUNTIF($O$7:$O$306,"=Y")</f>
        <v>4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COUNTA($O$7:$O$306)-O2</f>
        <v>29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- 2017-03-24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42818.222743055558</v>
      </c>
      <c r="B7" s="30" t="s">
        <v>390</v>
      </c>
      <c r="C7" s="30" t="s">
        <v>603</v>
      </c>
      <c r="D7" s="30" t="s">
        <v>49</v>
      </c>
      <c r="E7" s="30" t="s">
        <v>193</v>
      </c>
      <c r="F7" s="43">
        <v>0</v>
      </c>
      <c r="G7" s="43">
        <v>152</v>
      </c>
      <c r="H7" s="43">
        <v>27351</v>
      </c>
      <c r="I7" s="43">
        <v>27159</v>
      </c>
      <c r="J7" s="30" t="s">
        <v>194</v>
      </c>
      <c r="K7" s="43">
        <v>27350</v>
      </c>
      <c r="L7" s="143" t="s">
        <v>51</v>
      </c>
      <c r="M7" s="144">
        <f t="shared" ref="M7:M39" si="0">CONVERT((I7-K7)/10000,"mi","ft")*IF(L7="Increasing Mileposts (1)",-1,1)</f>
        <v>-100.848</v>
      </c>
      <c r="N7" s="145" t="str">
        <f>VLOOKUP(C7,'Trips&amp;Operators'!$C$1:$G$99999,5,FALSE)</f>
        <v>DAVIS WENDY</v>
      </c>
      <c r="O7" s="194" t="s">
        <v>185</v>
      </c>
      <c r="P7" s="146" t="s">
        <v>464</v>
      </c>
      <c r="Q7" s="30"/>
      <c r="R7" s="89" t="str">
        <f>IF(VLOOKUP(C7,'Train Runs'!$A$13:$AE$9946,1,1)=C7,VLOOKUP(C7,'Train Runs'!$A$13:$AE$9946,31,1),NA())</f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S7" s="92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-03-24T03:38:07-0600',mode:absolute,to:'2017-03-24T06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94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/stypes="*4032*201703241*" /stext=" 11:.+((SYSTEM_STATE.+slice.+state.+changed )|(ment ac)|(multiple cpu faults)|(system.+state.+changed )|(\[timeout)|(PRM\|1\|D)|(kpr)|(kdp)|(\|lc)|(penalty))"</v>
      </c>
      <c r="U7" s="9" t="str">
        <f t="shared" ref="U7:U39" si="2">MID(B7,13,4)</f>
        <v>4032</v>
      </c>
      <c r="V7" s="32">
        <f t="shared" ref="V7:V39" si="3">A7-utc_offset/24</f>
        <v>42818.472743055558</v>
      </c>
      <c r="W7" s="46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9" si="5">IF(AND(E7="TRACK WARRANT AUTHORITY",G7&lt;10),"OMIT","KEEP")</f>
        <v>KEEP</v>
      </c>
      <c r="Y7" s="108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arrival","project_id":79,"tracker_id":40,"status_id":1,"priority_id":2,"assigned_to_id":23,"start_date":"2017-03-24","description":"","custom_fields":[{"id":1,"name":"Subdivision","value":"EC"},{"id":4,"name":"Milepost","value":"2.735"},{"id":17,"name":"Train ID","value":"104-24"},{"id":16,"name":"Locomotive ID","value":"4032"},{"id":130,"name":"Impact","value":""},{"id":150,"name":"Time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21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"%USERPROFILE%\AppData\Local\Temp\OnboardLogs"\RTDC4032\*4032*201703241*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"%USERPROFILE%\AppData\Local\Temp\OnboardLogs"\RTDC4032\*4032*201703241* &gt;&gt; 2017-03-24-SliceDisagreementCheck.txt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4032 --day 2017-03-24</v>
      </c>
    </row>
    <row r="8" spans="1:32" s="1" customFormat="1" x14ac:dyDescent="0.25">
      <c r="A8" s="32">
        <v>42818.383946759262</v>
      </c>
      <c r="B8" s="30" t="s">
        <v>406</v>
      </c>
      <c r="C8" s="30" t="s">
        <v>607</v>
      </c>
      <c r="D8" s="30" t="s">
        <v>49</v>
      </c>
      <c r="E8" s="30" t="s">
        <v>193</v>
      </c>
      <c r="F8" s="43">
        <v>0</v>
      </c>
      <c r="G8" s="43">
        <v>135</v>
      </c>
      <c r="H8" s="43">
        <v>30817</v>
      </c>
      <c r="I8" s="43">
        <v>30918</v>
      </c>
      <c r="J8" s="30" t="s">
        <v>194</v>
      </c>
      <c r="K8" s="43">
        <v>30830</v>
      </c>
      <c r="L8" s="143" t="s">
        <v>50</v>
      </c>
      <c r="M8" s="144">
        <f t="shared" si="0"/>
        <v>-46.463999999999999</v>
      </c>
      <c r="N8" s="145" t="str">
        <f>VLOOKUP(C8,'Trips&amp;Operators'!$C$1:$G$99999,5,FALSE)</f>
        <v>ROBINSON KADDIBA</v>
      </c>
      <c r="O8" s="194" t="s">
        <v>185</v>
      </c>
      <c r="P8" s="146" t="s">
        <v>464</v>
      </c>
      <c r="Q8" s="30"/>
      <c r="R8" s="89" t="str">
        <f>IF(VLOOKUP(C8,'Train Runs'!$A$13:$AE$9946,1,1)=C8,VLOOKUP(C8,'Train Runs'!$A$13:$AE$9946,31,1),NA())</f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S8" s="92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-03-24T07:49:01-0600',mode:absolute,to:'2017-03-24T10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/e /r /s /spath="%USERPROFILE%\AppData\Local\Temp\OnboardLogs" /stypes="*4016*201703241*" /stext=" 15:.+((SYSTEM_STATE.+slice.+state.+changed )|(ment ac)|(multiple cpu faults)|(system.+state.+changed )|(\[timeout)|(PRM\|1\|D)|(kpr)|(kdp)|(\|lc)|(penalty))"</v>
      </c>
      <c r="U8" s="9" t="str">
        <f t="shared" si="2"/>
        <v>4016</v>
      </c>
      <c r="V8" s="32">
        <f t="shared" si="3"/>
        <v>42818.633946759262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arrival","project_id":79,"tracker_id":40,"status_id":1,"priority_id":2,"assigned_to_id":23,"start_date":"2017-03-24","description":"","custom_fields":[{"id":1,"name":"Subdivision","value":"EC"},{"id":4,"name":"Milepost","value":"3.083"},{"id":17,"name":"Train ID","value":"143-24"},{"id":16,"name":"Locomotive ID","value":"4016"},{"id":130,"name":"Impact","value":""},{"id":150,"name":"Time of Event (Mountain Time)","value":"09:12:53"},{"id":151,"name":"Denver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"%USERPROFILE%\AppData\Local\Temp\OnboardLogs"\RTDC4016\*4016*201703241*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"%USERPROFILE%\AppData\Local\Temp\OnboardLogs"\RTDC4016\*4016*201703241* &gt;&gt; 2017-03-24-SliceDisagreementCheck.txt</v>
      </c>
      <c r="AE8" s="157" t="str">
        <f t="shared" ref="AE8:AE39" si="9">"start /low /b "&amp;dls3logs&amp;" --loco "&amp;U8&amp;" --day "&amp;TEXT(V8,"YYYY-MM-DD")</f>
        <v>start /low /b %USERPROFILE%\Documents\GitHub\eaglep3\Utilities\DownloadLogsFromS3.py --loco 4016 --day 2017-03-24</v>
      </c>
    </row>
    <row r="9" spans="1:32" s="1" customFormat="1" x14ac:dyDescent="0.25">
      <c r="A9" s="32">
        <v>42818.818703703706</v>
      </c>
      <c r="B9" s="30" t="s">
        <v>447</v>
      </c>
      <c r="C9" s="30" t="s">
        <v>628</v>
      </c>
      <c r="D9" s="30" t="s">
        <v>49</v>
      </c>
      <c r="E9" s="30" t="s">
        <v>193</v>
      </c>
      <c r="F9" s="43">
        <v>30</v>
      </c>
      <c r="G9" s="43">
        <v>93</v>
      </c>
      <c r="H9" s="43">
        <v>30763</v>
      </c>
      <c r="I9" s="43">
        <v>30848</v>
      </c>
      <c r="J9" s="30" t="s">
        <v>194</v>
      </c>
      <c r="K9" s="43">
        <v>30830</v>
      </c>
      <c r="L9" s="143" t="s">
        <v>50</v>
      </c>
      <c r="M9" s="144">
        <f t="shared" si="0"/>
        <v>-9.5039999999999996</v>
      </c>
      <c r="N9" s="145" t="str">
        <f>VLOOKUP(C9,'Trips&amp;Operators'!$C$1:$G$99999,5,FALSE)</f>
        <v>STORY SAMANTHA</v>
      </c>
      <c r="O9" s="194" t="s">
        <v>185</v>
      </c>
      <c r="P9" s="146" t="s">
        <v>464</v>
      </c>
      <c r="Q9" s="30"/>
      <c r="R9" s="89" t="str">
        <f>IF(VLOOKUP(C9,'Train Runs'!$A$13:$AE$9946,1,1)=C9,VLOOKUP(C9,'Train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9" s="92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-03-24T18:23:38-0600',mode:absolute,to:'2017-03-24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94" t="str">
        <f t="shared" si="1"/>
        <v>"C:\Program Files (x86)\AstroGrep\AstroGrep.exe" /e /r /s /spath="%USERPROFILE%\AppData\Local\Temp\OnboardLogs" /stypes="*4003*201703250*" /stext=" 01:.+((SYSTEM_STATE.+slice.+state.+changed )|(ment ac)|(multiple cpu faults)|(system.+state.+changed )|(\[timeout)|(PRM\|1\|D)|(kpr)|(kdp)|(\|lc)|(penalty))"</v>
      </c>
      <c r="U9" s="9" t="str">
        <f t="shared" si="2"/>
        <v>4003</v>
      </c>
      <c r="V9" s="32">
        <f t="shared" si="3"/>
        <v>42819.068703703706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arrival","project_id":79,"tracker_id":40,"status_id":1,"priority_id":2,"assigned_to_id":23,"start_date":"2017-03-24","description":"","custom_fields":[{"id":1,"name":"Subdivision","value":"EC"},{"id":4,"name":"Milepost","value":"3.083"},{"id":17,"name":"Train ID","value":"223-24"},{"id":16,"name":"Locomotive ID","value":"4003"},{"id":130,"name":"Impact","value":""},{"id":150,"name":"Time of Event (Mountain Time)","value":"19:38:56"},{"id":151,"name":"Denver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"%USERPROFILE%\AppData\Local\Temp\OnboardLogs"\RTDC4003\*4003*201703250*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"%USERPROFILE%\AppData\Local\Temp\OnboardLogs"\RTDC4003\*4003*201703250* &gt;&gt; 2017-03-24-SliceDisagreementCheck.txt</v>
      </c>
      <c r="AE9" s="157" t="str">
        <f t="shared" si="9"/>
        <v>start /low /b %USERPROFILE%\Documents\GitHub\eaglep3\Utilities\DownloadLogsFromS3.py --loco 4003 --day 2017-03-25</v>
      </c>
    </row>
    <row r="10" spans="1:32" s="1" customFormat="1" x14ac:dyDescent="0.25">
      <c r="A10" s="32">
        <v>42818.818287037036</v>
      </c>
      <c r="B10" s="30" t="s">
        <v>447</v>
      </c>
      <c r="C10" s="30" t="s">
        <v>628</v>
      </c>
      <c r="D10" s="30" t="s">
        <v>49</v>
      </c>
      <c r="E10" s="30" t="s">
        <v>193</v>
      </c>
      <c r="F10" s="43">
        <v>120</v>
      </c>
      <c r="G10" s="43">
        <v>178</v>
      </c>
      <c r="H10" s="43">
        <v>30374</v>
      </c>
      <c r="I10" s="43">
        <v>30674</v>
      </c>
      <c r="J10" s="30" t="s">
        <v>194</v>
      </c>
      <c r="K10" s="43">
        <v>30830</v>
      </c>
      <c r="L10" s="143" t="s">
        <v>50</v>
      </c>
      <c r="M10" s="144">
        <f t="shared" si="0"/>
        <v>82.367999999999995</v>
      </c>
      <c r="N10" s="145" t="str">
        <f>VLOOKUP(C10,'Trips&amp;Operators'!$C$1:$G$99999,5,FALSE)</f>
        <v>STORY SAMANTHA</v>
      </c>
      <c r="O10" s="194" t="s">
        <v>185</v>
      </c>
      <c r="P10" s="146" t="s">
        <v>464</v>
      </c>
      <c r="Q10" s="30"/>
      <c r="R10" s="89" t="str">
        <f>IF(VLOOKUP(C10,'Train Runs'!$A$13:$AE$9946,1,1)=C10,VLOOKUP(C10,'Train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10" s="92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-03-24T18:23:38-0600',mode:absolute,to:'2017-03-24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/e /r /s /spath="%USERPROFILE%\AppData\Local\Temp\OnboardLogs" /stypes="*4003*201703250*" /stext=" 01:.+((SYSTEM_STATE.+slice.+state.+changed )|(ment ac)|(multiple cpu faults)|(system.+state.+changed )|(\[timeout)|(PRM\|1\|D)|(kpr)|(kdp)|(\|lc)|(penalty))"</v>
      </c>
      <c r="U10" s="9" t="str">
        <f t="shared" si="2"/>
        <v>4003</v>
      </c>
      <c r="V10" s="32">
        <f t="shared" si="3"/>
        <v>42819.068287037036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arrival","project_id":79,"tracker_id":40,"status_id":1,"priority_id":2,"assigned_to_id":23,"start_date":"2017-03-24","description":"","custom_fields":[{"id":1,"name":"Subdivision","value":"EC"},{"id":4,"name":"Milepost","value":"3.083"},{"id":17,"name":"Train ID","value":"223-24"},{"id":16,"name":"Locomotive ID","value":"4003"},{"id":130,"name":"Impact","value":""},{"id":150,"name":"Time of Event (Mountain Time)","value":"19:38:20"},{"id":151,"name":"Denver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"%USERPROFILE%\AppData\Local\Temp\OnboardLogs"\RTDC4003\*4003*201703250*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"%USERPROFILE%\AppData\Local\Temp\OnboardLogs"\RTDC4003\*4003*201703250* &gt;&gt; 2017-03-24-SliceDisagreementCheck.txt</v>
      </c>
      <c r="AE10" s="157" t="str">
        <f t="shared" si="9"/>
        <v>start /low /b %USERPROFILE%\Documents\GitHub\eaglep3\Utilities\DownloadLogsFromS3.py --loco 4003 --day 2017-03-25</v>
      </c>
    </row>
    <row r="11" spans="1:32" s="1" customFormat="1" x14ac:dyDescent="0.25">
      <c r="A11" s="32">
        <v>42818.359270833331</v>
      </c>
      <c r="B11" s="30" t="s">
        <v>405</v>
      </c>
      <c r="C11" s="30" t="s">
        <v>606</v>
      </c>
      <c r="D11" s="30" t="s">
        <v>49</v>
      </c>
      <c r="E11" s="30" t="s">
        <v>193</v>
      </c>
      <c r="F11" s="43">
        <v>240</v>
      </c>
      <c r="G11" s="43">
        <v>329</v>
      </c>
      <c r="H11" s="43">
        <v>35663</v>
      </c>
      <c r="I11" s="43">
        <v>34826</v>
      </c>
      <c r="J11" s="30" t="s">
        <v>194</v>
      </c>
      <c r="K11" s="43">
        <v>33257</v>
      </c>
      <c r="L11" s="143" t="s">
        <v>51</v>
      </c>
      <c r="M11" s="144">
        <f t="shared" si="0"/>
        <v>828.43200000000002</v>
      </c>
      <c r="N11" s="145" t="str">
        <f>VLOOKUP(C11,'Trips&amp;Operators'!$C$1:$G$99999,5,FALSE)</f>
        <v>LOZA FIDEL</v>
      </c>
      <c r="O11" s="194" t="s">
        <v>185</v>
      </c>
      <c r="P11" s="146" t="s">
        <v>464</v>
      </c>
      <c r="Q11" s="30"/>
      <c r="R11" s="89" t="str">
        <f>IF(VLOOKUP(C11,'Train Runs'!$A$13:$AE$9946,1,1)=C11,VLOOKUP(C11,'Train Runs'!$A$13:$AE$9946,31,1),NA())</f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S11" s="92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-03-24T06:35:50-0600',mode:absolute,to:'2017-03-24T09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94" t="str">
        <f t="shared" si="1"/>
        <v>"C:\Program Files (x86)\AstroGrep\AstroGrep.exe" /e /r /s /spath="%USERPROFILE%\AppData\Local\Temp\OnboardLogs" /stypes="*4012*201703241*" /stext=" 14:.+((SYSTEM_STATE.+slice.+state.+changed )|(ment ac)|(multiple cpu faults)|(system.+state.+changed )|(\[timeout)|(PRM\|1\|D)|(kpr)|(kdp)|(\|lc)|(penalty))"</v>
      </c>
      <c r="U11" s="9" t="str">
        <f t="shared" si="2"/>
        <v>4012</v>
      </c>
      <c r="V11" s="32">
        <f t="shared" si="3"/>
        <v>42818.609270833331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arrival","project_id":79,"tracker_id":40,"status_id":1,"priority_id":2,"assigned_to_id":23,"start_date":"2017-03-24","description":"","custom_fields":[{"id":1,"name":"Subdivision","value":"EC"},{"id":4,"name":"Milepost","value":"3.3257"},{"id":17,"name":"Train ID","value":"128-24"},{"id":16,"name":"Locomotive ID","value":"4012"},{"id":130,"name":"Impact","value":""},{"id":150,"name":"Time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"%USERPROFILE%\AppData\Local\Temp\OnboardLogs"\RTDC4012\*4012*201703241*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"%USERPROFILE%\AppData\Local\Temp\OnboardLogs"\RTDC4012\*4012*201703241* &gt;&gt; 2017-03-24-SliceDisagreementCheck.txt</v>
      </c>
      <c r="AE11" s="157" t="str">
        <f t="shared" si="9"/>
        <v>start /low /b %USERPROFILE%\Documents\GitHub\eaglep3\Utilities\DownloadLogsFromS3.py --loco 4012 --day 2017-03-24</v>
      </c>
    </row>
    <row r="12" spans="1:32" s="1" customFormat="1" x14ac:dyDescent="0.25">
      <c r="A12" s="32">
        <v>42818.673460648148</v>
      </c>
      <c r="B12" s="30" t="s">
        <v>500</v>
      </c>
      <c r="C12" s="30" t="s">
        <v>624</v>
      </c>
      <c r="D12" s="30" t="s">
        <v>49</v>
      </c>
      <c r="E12" s="30" t="s">
        <v>193</v>
      </c>
      <c r="F12" s="43">
        <v>270</v>
      </c>
      <c r="G12" s="43">
        <v>347</v>
      </c>
      <c r="H12" s="43">
        <v>35843</v>
      </c>
      <c r="I12" s="43">
        <v>34991</v>
      </c>
      <c r="J12" s="30" t="s">
        <v>194</v>
      </c>
      <c r="K12" s="43">
        <v>33257</v>
      </c>
      <c r="L12" s="143" t="s">
        <v>51</v>
      </c>
      <c r="M12" s="144">
        <f t="shared" si="0"/>
        <v>915.55200000000002</v>
      </c>
      <c r="N12" s="145" t="str">
        <f>VLOOKUP(C12,'Trips&amp;Operators'!$C$1:$G$99999,5,FALSE)</f>
        <v>ROMERO CHAD</v>
      </c>
      <c r="O12" s="194" t="s">
        <v>185</v>
      </c>
      <c r="P12" s="146" t="s">
        <v>464</v>
      </c>
      <c r="Q12" s="30"/>
      <c r="R12" s="89" t="str">
        <f>IF(VLOOKUP(C12,'Train Runs'!$A$13:$AE$9946,1,1)=C12,VLOOKUP(C12,'Train Runs'!$A$13:$AE$9946,31,1),NA())</f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S12" s="92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-03-24T14:24:51-0600',mode:absolute,to:'2017-03-24T17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94" t="str">
        <f t="shared" si="1"/>
        <v>"C:\Program Files (x86)\AstroGrep\AstroGrep.exe" /e /r /s /spath="%USERPROFILE%\AppData\Local\Temp\OnboardLogs" /stypes="*4019*201703242*" /stext=" 22:.+((SYSTEM_STATE.+slice.+state.+changed )|(ment ac)|(multiple cpu faults)|(system.+state.+changed )|(\[timeout)|(PRM\|1\|D)|(kpr)|(kdp)|(\|lc)|(penalty))"</v>
      </c>
      <c r="U12" s="9" t="str">
        <f t="shared" si="2"/>
        <v>4019</v>
      </c>
      <c r="V12" s="32">
        <f t="shared" si="3"/>
        <v>42818.923460648148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arrival","project_id":79,"tracker_id":40,"status_id":1,"priority_id":2,"assigned_to_id":23,"start_date":"2017-03-24","description":"","custom_fields":[{"id":1,"name":"Subdivision","value":"EC"},{"id":4,"name":"Milepost","value":"3.3257"},{"id":17,"name":"Train ID","value":"190-24"},{"id":16,"name":"Locomotive ID","value":"4019"},{"id":130,"name":"Impact","value":""},{"id":150,"name":"Time of Event (Mountain Time)","value":"16:09:47"},{"id":151,"name":"Denver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"%USERPROFILE%\AppData\Local\Temp\OnboardLogs"\RTDC4019\*4019*201703242*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"%USERPROFILE%\AppData\Local\Temp\OnboardLogs"\RTDC4019\*4019*201703242* &gt;&gt; 2017-03-24-SliceDisagreementCheck.txt</v>
      </c>
      <c r="AE12" s="157" t="str">
        <f t="shared" si="9"/>
        <v>start /low /b %USERPROFILE%\Documents\GitHub\eaglep3\Utilities\DownloadLogsFromS3.py --loco 4019 --day 2017-03-24</v>
      </c>
    </row>
    <row r="13" spans="1:32" s="1" customFormat="1" x14ac:dyDescent="0.25">
      <c r="A13" s="32">
        <v>42819.017974537041</v>
      </c>
      <c r="B13" s="30" t="s">
        <v>387</v>
      </c>
      <c r="C13" s="30" t="s">
        <v>631</v>
      </c>
      <c r="D13" s="30" t="s">
        <v>49</v>
      </c>
      <c r="E13" s="30" t="s">
        <v>193</v>
      </c>
      <c r="F13" s="43">
        <v>0</v>
      </c>
      <c r="G13" s="43">
        <v>413</v>
      </c>
      <c r="H13" s="43">
        <v>53645</v>
      </c>
      <c r="I13" s="43">
        <v>52804</v>
      </c>
      <c r="J13" s="30" t="s">
        <v>194</v>
      </c>
      <c r="K13" s="43">
        <v>53277</v>
      </c>
      <c r="L13" s="143" t="s">
        <v>51</v>
      </c>
      <c r="M13" s="144">
        <f t="shared" si="0"/>
        <v>-249.744</v>
      </c>
      <c r="N13" s="145" t="str">
        <f>VLOOKUP(C13,'Trips&amp;Operators'!$C$1:$G$99999,5,FALSE)</f>
        <v>BROWN JACOB</v>
      </c>
      <c r="O13" s="194" t="s">
        <v>185</v>
      </c>
      <c r="P13" s="146" t="s">
        <v>464</v>
      </c>
      <c r="Q13" s="30"/>
      <c r="R13" s="89" t="str">
        <f>IF(VLOOKUP(C13,'Train Runs'!$A$13:$AE$9946,1,1)=C13,VLOOKUP(C13,'Train Runs'!$A$13:$AE$9946,31,1),NA())</f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S13" s="92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94" t="str">
        <f t="shared" si="1"/>
        <v>"C:\Program Files (x86)\AstroGrep\AstroGrep.exe" /e /r /s /spath="%USERPROFILE%\AppData\Local\Temp\OnboardLogs" /stypes="*4028*201703250*" /stext=" 06:.+((SYSTEM_STATE.+slice.+state.+changed )|(ment ac)|(multiple cpu faults)|(system.+state.+changed )|(\[timeout)|(PRM\|1\|D)|(kpr)|(kdp)|(\|lc)|(penalty))"</v>
      </c>
      <c r="U13" s="9" t="str">
        <f t="shared" si="2"/>
        <v>4028</v>
      </c>
      <c r="V13" s="32">
        <f t="shared" si="3"/>
        <v>42819.267974537041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arrival","project_id":79,"tracker_id":40,"status_id":1,"priority_id":2,"assigned_to_id":23,"start_date":"2017-03-25","description":"","custom_fields":[{"id":1,"name":"Subdivision","value":"EC"},{"id":4,"name":"Milepost","value":"5.3277"},{"id":17,"name":"Train ID","value":"238-24"},{"id":16,"name":"Locomotive ID","value":"4028"},{"id":130,"name":"Impact","value":""},{"id":150,"name":"Time of Event (Mountain Time)","value":"00:25:53"},{"id":151,"name":"Denver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"%USERPROFILE%\AppData\Local\Temp\OnboardLogs"\RTDC4028\*4028*201703250*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"%USERPROFILE%\AppData\Local\Temp\OnboardLogs"\RTDC4028\*4028*201703250* &gt;&gt; 2017-03-24-SliceDisagreementCheck.txt</v>
      </c>
      <c r="AE13" s="157" t="str">
        <f t="shared" si="9"/>
        <v>start /low /b %USERPROFILE%\Documents\GitHub\eaglep3\Utilities\DownloadLogsFromS3.py --loco 4028 --day 2017-03-25</v>
      </c>
    </row>
    <row r="14" spans="1:32" x14ac:dyDescent="0.25">
      <c r="A14" s="32">
        <v>42818.527766203704</v>
      </c>
      <c r="B14" s="30" t="s">
        <v>500</v>
      </c>
      <c r="C14" s="30" t="s">
        <v>615</v>
      </c>
      <c r="D14" s="30" t="s">
        <v>49</v>
      </c>
      <c r="E14" s="30" t="s">
        <v>193</v>
      </c>
      <c r="F14" s="43">
        <v>0</v>
      </c>
      <c r="G14" s="43">
        <v>396</v>
      </c>
      <c r="H14" s="43">
        <v>58844</v>
      </c>
      <c r="I14" s="43">
        <v>57673</v>
      </c>
      <c r="J14" s="30" t="s">
        <v>194</v>
      </c>
      <c r="K14" s="43">
        <v>58301</v>
      </c>
      <c r="L14" s="143" t="s">
        <v>51</v>
      </c>
      <c r="M14" s="144">
        <f t="shared" si="0"/>
        <v>-331.58399999999995</v>
      </c>
      <c r="N14" s="145" t="str">
        <f>VLOOKUP(C14,'Trips&amp;Operators'!$C$1:$G$99999,5,FALSE)</f>
        <v>ROMERO CHAD</v>
      </c>
      <c r="O14" s="194" t="s">
        <v>185</v>
      </c>
      <c r="P14" s="146" t="s">
        <v>464</v>
      </c>
      <c r="Q14" s="30"/>
      <c r="R14" s="89" t="str">
        <f>IF(VLOOKUP(C14,'Train Runs'!$A$13:$AE$9946,1,1)=C14,VLOOKUP(C14,'Train Runs'!$A$13:$AE$9946,31,1),NA())</f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S14" s="92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-03-24T10:56:19-0600',mode:absolute,to:'2017-03-24T13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4" s="94" t="str">
        <f t="shared" si="1"/>
        <v>"C:\Program Files (x86)\AstroGrep\AstroGrep.exe" /e /r /s /spath="%USERPROFILE%\AppData\Local\Temp\OnboardLogs" /stypes="*4019*201703241*" /stext=" 18:.+((SYSTEM_STATE.+slice.+state.+changed )|(ment ac)|(multiple cpu faults)|(system.+state.+changed )|(\[timeout)|(PRM\|1\|D)|(kpr)|(kdp)|(\|lc)|(penalty))"</v>
      </c>
      <c r="U14" s="9" t="str">
        <f t="shared" si="2"/>
        <v>4019</v>
      </c>
      <c r="V14" s="32">
        <f t="shared" si="3"/>
        <v>42818.777766203704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arrival","project_id":79,"tracker_id":40,"status_id":1,"priority_id":2,"assigned_to_id":23,"start_date":"2017-03-24","description":"","custom_fields":[{"id":1,"name":"Subdivision","value":"EC"},{"id":4,"name":"Milepost","value":"5.8301"},{"id":17,"name":"Train ID","value":"162-24"},{"id":16,"name":"Locomotive ID","value":"4019"},{"id":130,"name":"Impact","value":""},{"id":150,"name":"Time of Event (Mountain Time)","value":"12:39:59"},{"id":151,"name":"Denver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"%USERPROFILE%\AppData\Local\Temp\OnboardLogs"\RTDC4019\*4019*201703241*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"%USERPROFILE%\AppData\Local\Temp\OnboardLogs"\RTDC4019\*4019*201703241* &gt;&gt; 2017-03-24-SliceDisagreementCheck.txt</v>
      </c>
      <c r="AE14" s="157" t="str">
        <f t="shared" si="9"/>
        <v>start /low /b %USERPROFILE%\Documents\GitHub\eaglep3\Utilities\DownloadLogsFromS3.py --loco 4019 --day 2017-03-24</v>
      </c>
      <c r="AF14" s="1"/>
    </row>
    <row r="15" spans="1:32" x14ac:dyDescent="0.25">
      <c r="A15" s="32">
        <v>42818.530335648145</v>
      </c>
      <c r="B15" s="30" t="s">
        <v>447</v>
      </c>
      <c r="C15" s="30" t="s">
        <v>616</v>
      </c>
      <c r="D15" s="30" t="s">
        <v>49</v>
      </c>
      <c r="E15" s="30" t="s">
        <v>193</v>
      </c>
      <c r="F15" s="43">
        <v>0</v>
      </c>
      <c r="G15" s="43">
        <v>385</v>
      </c>
      <c r="H15" s="43">
        <v>62606</v>
      </c>
      <c r="I15" s="43">
        <v>63226</v>
      </c>
      <c r="J15" s="30" t="s">
        <v>194</v>
      </c>
      <c r="K15" s="43">
        <v>63069</v>
      </c>
      <c r="L15" s="143" t="s">
        <v>50</v>
      </c>
      <c r="M15" s="144">
        <f t="shared" si="0"/>
        <v>-82.895999999999987</v>
      </c>
      <c r="N15" s="145" t="str">
        <f>VLOOKUP(C15,'Trips&amp;Operators'!$C$1:$G$99999,5,FALSE)</f>
        <v>STRICKLAND EVAN</v>
      </c>
      <c r="O15" s="194" t="s">
        <v>185</v>
      </c>
      <c r="P15" s="146" t="s">
        <v>464</v>
      </c>
      <c r="Q15" s="30"/>
      <c r="R15" s="89" t="str">
        <f>IF(VLOOKUP(C15,'Train Runs'!$A$13:$AE$9946,1,1)=C15,VLOOKUP(C15,'Train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15" s="92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-03-24T11:24:30-0600',mode:absolute,to:'2017-03-24T14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94" t="str">
        <f t="shared" si="1"/>
        <v>"C:\Program Files (x86)\AstroGrep\AstroGrep.exe" /e /r /s /spath="%USERPROFILE%\AppData\Local\Temp\OnboardLogs" /stypes="*4003*201703241*" /stext=" 18:.+((SYSTEM_STATE.+slice.+state.+changed )|(ment ac)|(multiple cpu faults)|(system.+state.+changed )|(\[timeout)|(PRM\|1\|D)|(kpr)|(kdp)|(\|lc)|(penalty))"</v>
      </c>
      <c r="U15" s="9" t="str">
        <f t="shared" si="2"/>
        <v>4003</v>
      </c>
      <c r="V15" s="32">
        <f t="shared" si="3"/>
        <v>42818.780335648145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arrival","project_id":79,"tracker_id":40,"status_id":1,"priority_id":2,"assigned_to_id":23,"start_date":"2017-03-24","description":"","custom_fields":[{"id":1,"name":"Subdivision","value":"EC"},{"id":4,"name":"Milepost","value":"6.3069"},{"id":17,"name":"Train ID","value":"171-24"},{"id":16,"name":"Locomotive ID","value":"4003"},{"id":130,"name":"Impact","value":""},{"id":150,"name":"Time of Event (Mountain Time)","value":"12:43:41"},{"id":151,"name":"Denver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"%USERPROFILE%\AppData\Local\Temp\OnboardLogs"\RTDC4003\*4003*201703241*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"%USERPROFILE%\AppData\Local\Temp\OnboardLogs"\RTDC4003\*4003*201703241* &gt;&gt; 2017-03-24-SliceDisagreementCheck.txt</v>
      </c>
      <c r="AE15" s="157" t="str">
        <f t="shared" si="9"/>
        <v>start /low /b %USERPROFILE%\Documents\GitHub\eaglep3\Utilities\DownloadLogsFromS3.py --loco 4003 --day 2017-03-24</v>
      </c>
      <c r="AF15" s="1"/>
    </row>
    <row r="16" spans="1:32" x14ac:dyDescent="0.25">
      <c r="A16" s="32">
        <v>42818.931655092594</v>
      </c>
      <c r="B16" s="30" t="s">
        <v>387</v>
      </c>
      <c r="C16" s="30" t="s">
        <v>630</v>
      </c>
      <c r="D16" s="30" t="s">
        <v>49</v>
      </c>
      <c r="E16" s="30" t="s">
        <v>193</v>
      </c>
      <c r="F16" s="43">
        <v>120</v>
      </c>
      <c r="G16" s="43">
        <v>181</v>
      </c>
      <c r="H16" s="43">
        <v>63939</v>
      </c>
      <c r="I16" s="43">
        <v>63593</v>
      </c>
      <c r="J16" s="30" t="s">
        <v>194</v>
      </c>
      <c r="K16" s="43">
        <v>63309</v>
      </c>
      <c r="L16" s="143" t="s">
        <v>51</v>
      </c>
      <c r="M16" s="144">
        <f t="shared" si="0"/>
        <v>149.952</v>
      </c>
      <c r="N16" s="145" t="str">
        <f>VLOOKUP(C16,'Trips&amp;Operators'!$C$1:$G$99999,5,FALSE)</f>
        <v>BROWN JACOB</v>
      </c>
      <c r="O16" s="194" t="s">
        <v>185</v>
      </c>
      <c r="P16" s="146" t="s">
        <v>464</v>
      </c>
      <c r="Q16" s="30"/>
      <c r="R16" s="89" t="str">
        <f>IF(VLOOKUP(C16,'Train Runs'!$A$13:$AE$9946,1,1)=C16,VLOOKUP(C16,'Train Runs'!$A$13:$AE$9946,31,1),NA())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S16" s="92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-03-24T20:55:46-0600',mode:absolute,to:'2017-03-24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94" t="str">
        <f t="shared" si="1"/>
        <v>"C:\Program Files (x86)\AstroGrep\AstroGrep.exe" /e /r /s /spath="%USERPROFILE%\AppData\Local\Temp\OnboardLogs" /stypes="*4028*201703250*" /stext=" 04:.+((SYSTEM_STATE.+slice.+state.+changed )|(ment ac)|(multiple cpu faults)|(system.+state.+changed )|(\[timeout)|(PRM\|1\|D)|(kpr)|(kdp)|(\|lc)|(penalty))"</v>
      </c>
      <c r="U16" s="9" t="str">
        <f t="shared" si="2"/>
        <v>4028</v>
      </c>
      <c r="V16" s="32">
        <f t="shared" si="3"/>
        <v>42819.181655092594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arrival","project_id":79,"tracker_id":40,"status_id":1,"priority_id":2,"assigned_to_id":23,"start_date":"2017-03-24","description":"","custom_fields":[{"id":1,"name":"Subdivision","value":"EC"},{"id":4,"name":"Milepost","value":"6.3309"},{"id":17,"name":"Train ID","value":"230-24"},{"id":16,"name":"Locomotive ID","value":"4028"},{"id":130,"name":"Impact","value":""},{"id":150,"name":"Time of Event (Mountain Time)","value":"22:21:35"},{"id":151,"name":"Denver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"%USERPROFILE%\AppData\Local\Temp\OnboardLogs"\RTDC4028\*4028*201703250*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"%USERPROFILE%\AppData\Local\Temp\OnboardLogs"\RTDC4028\*4028*201703250* &gt;&gt; 2017-03-24-SliceDisagreementCheck.txt</v>
      </c>
      <c r="AE16" s="157" t="str">
        <f t="shared" si="9"/>
        <v>start /low /b %USERPROFILE%\Documents\GitHub\eaglep3\Utilities\DownloadLogsFromS3.py --loco 4028 --day 2017-03-25</v>
      </c>
      <c r="AF16" s="1"/>
    </row>
    <row r="17" spans="1:32" x14ac:dyDescent="0.25">
      <c r="A17" s="32">
        <v>42818.452881944446</v>
      </c>
      <c r="B17" s="30" t="s">
        <v>500</v>
      </c>
      <c r="C17" s="30" t="s">
        <v>608</v>
      </c>
      <c r="D17" s="30" t="s">
        <v>49</v>
      </c>
      <c r="E17" s="30" t="s">
        <v>193</v>
      </c>
      <c r="F17" s="43">
        <v>590</v>
      </c>
      <c r="G17" s="43">
        <v>657</v>
      </c>
      <c r="H17" s="43">
        <v>80902</v>
      </c>
      <c r="I17" s="43">
        <v>78439</v>
      </c>
      <c r="J17" s="30" t="s">
        <v>194</v>
      </c>
      <c r="K17" s="43">
        <v>78469</v>
      </c>
      <c r="L17" s="143" t="s">
        <v>51</v>
      </c>
      <c r="M17" s="144">
        <f t="shared" si="0"/>
        <v>-15.84</v>
      </c>
      <c r="N17" s="145" t="str">
        <f>VLOOKUP(C17,'Trips&amp;Operators'!$C$1:$G$99999,5,FALSE)</f>
        <v>STARKS ANGELINA</v>
      </c>
      <c r="O17" s="194" t="s">
        <v>185</v>
      </c>
      <c r="P17" s="146" t="s">
        <v>464</v>
      </c>
      <c r="Q17" s="30"/>
      <c r="R17" s="89" t="str">
        <f>IF(VLOOKUP(C17,'Train Runs'!$A$13:$AE$9946,1,1)=C17,VLOOKUP(C17,'Train Runs'!$A$13:$AE$9946,31,1),NA())</f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S17" s="92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-03-24T09:15:09-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94" t="str">
        <f t="shared" si="1"/>
        <v>"C:\Program Files (x86)\AstroGrep\AstroGrep.exe" /e /r /s /spath="%USERPROFILE%\AppData\Local\Temp\OnboardLogs" /stypes="*4019*201703241*" /stext=" 16:.+((SYSTEM_STATE.+slice.+state.+changed )|(ment ac)|(multiple cpu faults)|(system.+state.+changed )|(\[timeout)|(PRM\|1\|D)|(kpr)|(kdp)|(\|lc)|(penalty))"</v>
      </c>
      <c r="U17" s="9" t="str">
        <f t="shared" si="2"/>
        <v>4019</v>
      </c>
      <c r="V17" s="32">
        <f t="shared" si="3"/>
        <v>42818.702881944446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arrival","project_id":79,"tracker_id":40,"status_id":1,"priority_id":2,"assigned_to_id":23,"start_date":"2017-03-24","description":"","custom_fields":[{"id":1,"name":"Subdivision","value":"EC"},{"id":4,"name":"Milepost","value":"7.8469"},{"id":17,"name":"Train ID","value":"148-24"},{"id":16,"name":"Locomotive ID","value":"4019"},{"id":130,"name":"Impact","value":""},{"id":150,"name":"Time of Event (Mountain Time)","value":"10:52:09"},{"id":151,"name":"Denver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"%USERPROFILE%\AppData\Local\Temp\OnboardLogs"\RTDC4019\*4019*201703241*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"%USERPROFILE%\AppData\Local\Temp\OnboardLogs"\RTDC4019\*4019*201703241* &gt;&gt; 2017-03-24-SliceDisagreementCheck.txt</v>
      </c>
      <c r="AE17" s="157" t="str">
        <f t="shared" si="9"/>
        <v>start /low /b %USERPROFILE%\Documents\GitHub\eaglep3\Utilities\DownloadLogsFromS3.py --loco 4019 --day 2017-03-24</v>
      </c>
      <c r="AF17" s="1"/>
    </row>
    <row r="18" spans="1:32" ht="15" customHeight="1" x14ac:dyDescent="0.25">
      <c r="A18" s="32">
        <v>42819.011377314811</v>
      </c>
      <c r="B18" s="30" t="s">
        <v>387</v>
      </c>
      <c r="C18" s="30" t="s">
        <v>631</v>
      </c>
      <c r="D18" s="30" t="s">
        <v>49</v>
      </c>
      <c r="E18" s="30" t="s">
        <v>193</v>
      </c>
      <c r="F18" s="43">
        <v>390</v>
      </c>
      <c r="G18" s="43">
        <v>456</v>
      </c>
      <c r="H18" s="43">
        <v>110454</v>
      </c>
      <c r="I18" s="43">
        <v>109108</v>
      </c>
      <c r="J18" s="30" t="s">
        <v>194</v>
      </c>
      <c r="K18" s="43">
        <v>109135</v>
      </c>
      <c r="L18" s="143" t="s">
        <v>51</v>
      </c>
      <c r="M18" s="144">
        <f t="shared" si="0"/>
        <v>-14.256</v>
      </c>
      <c r="N18" s="145" t="str">
        <f>VLOOKUP(C18,'Trips&amp;Operators'!$C$1:$G$99999,5,FALSE)</f>
        <v>BROWN JACOB</v>
      </c>
      <c r="O18" s="194" t="s">
        <v>185</v>
      </c>
      <c r="P18" s="146" t="s">
        <v>464</v>
      </c>
      <c r="Q18" s="30"/>
      <c r="R18" s="89" t="str">
        <f>IF(VLOOKUP(C18,'Train Runs'!$A$13:$AE$9946,1,1)=C18,VLOOKUP(C18,'Train Runs'!$A$13:$AE$9946,31,1),NA())</f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S18" s="92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/e /r /s /spath="%USERPROFILE%\AppData\Local\Temp\OnboardLogs" /stypes="*4028*201703250*" /stext=" 06:.+((SYSTEM_STATE.+slice.+state.+changed )|(ment ac)|(multiple cpu faults)|(system.+state.+changed )|(\[timeout)|(PRM\|1\|D)|(kpr)|(kdp)|(\|lc)|(penalty))"</v>
      </c>
      <c r="U18" s="9" t="str">
        <f t="shared" si="2"/>
        <v>4028</v>
      </c>
      <c r="V18" s="32">
        <f t="shared" si="3"/>
        <v>42819.261377314811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arrival","project_id":79,"tracker_id":40,"status_id":1,"priority_id":2,"assigned_to_id":23,"start_date":"2017-03-25","description":"","custom_fields":[{"id":1,"name":"Subdivision","value":"EC"},{"id":4,"name":"Milepost","value":"10.9135"},{"id":17,"name":"Train ID","value":"238-24"},{"id":16,"name":"Locomotive ID","value":"4028"},{"id":130,"name":"Impact","value":""},{"id":150,"name":"Time of Event (Mountain Time)","value":"00:16:23"},{"id":151,"name":"Denver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"%USERPROFILE%\AppData\Local\Temp\OnboardLogs"\RTDC4028\*4028*201703250*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"%USERPROFILE%\AppData\Local\Temp\OnboardLogs"\RTDC4028\*4028*201703250* &gt;&gt; 2017-03-24-SliceDisagreementCheck.txt</v>
      </c>
      <c r="AE18" s="157" t="str">
        <f t="shared" si="9"/>
        <v>start /low /b %USERPROFILE%\Documents\GitHub\eaglep3\Utilities\DownloadLogsFromS3.py --loco 4028 --day 2017-03-25</v>
      </c>
      <c r="AF18" s="1"/>
    </row>
    <row r="19" spans="1:32" x14ac:dyDescent="0.25">
      <c r="A19" s="32">
        <v>42818.217928240738</v>
      </c>
      <c r="B19" s="30" t="s">
        <v>392</v>
      </c>
      <c r="C19" s="30" t="s">
        <v>602</v>
      </c>
      <c r="D19" s="30" t="s">
        <v>49</v>
      </c>
      <c r="E19" s="30" t="s">
        <v>217</v>
      </c>
      <c r="F19" s="43">
        <v>400</v>
      </c>
      <c r="G19" s="43">
        <v>450</v>
      </c>
      <c r="H19" s="43">
        <v>17425</v>
      </c>
      <c r="I19" s="43">
        <v>18113</v>
      </c>
      <c r="J19" s="30" t="s">
        <v>218</v>
      </c>
      <c r="K19" s="43">
        <v>17867</v>
      </c>
      <c r="L19" s="143" t="s">
        <v>50</v>
      </c>
      <c r="M19" s="144">
        <f t="shared" si="0"/>
        <v>-129.88800000000001</v>
      </c>
      <c r="N19" s="145" t="str">
        <f>VLOOKUP(C19,'Trips&amp;Operators'!$C$1:$G$99999,5,FALSE)</f>
        <v>GUZMAN DANNY</v>
      </c>
      <c r="O19" s="194" t="s">
        <v>185</v>
      </c>
      <c r="P19" s="146"/>
      <c r="Q19" s="30"/>
      <c r="R19" s="89" t="str">
        <f>IF(VLOOKUP(C19,'Train Runs'!$A$13:$AE$9946,1,1)=C19,VLOOKUP(C19,'Train Runs'!$A$13:$AE$9946,31,1),NA())</f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S19" s="92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-03-24T04:07:01-0600',mode:absolute,to:'2017-03-24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9" s="94" t="str">
        <f t="shared" si="1"/>
        <v>"C:\Program Files (x86)\AstroGrep\AstroGrep.exe" /e /r /s /spath="%USERPROFILE%\AppData\Local\Temp\OnboardLogs" /stypes="*4046*201703241*" /stext=" 11:.+((SYSTEM_STATE.+slice.+state.+changed )|(ment ac)|(multiple cpu faults)|(system.+state.+changed )|(\[timeout)|(PRM\|1\|D)|(kpr)|(kdp)|(\|lc)|(penalty))"</v>
      </c>
      <c r="U19" s="9" t="str">
        <f t="shared" si="2"/>
        <v>4046</v>
      </c>
      <c r="V19" s="32">
        <f t="shared" si="3"/>
        <v>42818.467928240738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{"issue":{"subject":"","project_id":79,"tracker_id":40,"status_id":1,"priority_id":2,"assigned_to_id":23,"start_date":"2017-03-24","description":"","custom_fields":[{"id":1,"name":"Subdivision","value":"EC"},{"id":4,"name":"Milepost","value":"1.7867"},{"id":17,"name":"Train ID","value":"111-24"},{"id":16,"name":"Locomotive ID","value":"4046"},{"id":130,"name":"Impact","value":""},{"id":150,"name":"Time of Event (Mountain Time)","value":"05:13:49"},{"id":151,"name":"Denver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"%USERPROFILE%\AppData\Local\Temp\OnboardLogs"\RTDC4046\*4046*201703241*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"%USERPROFILE%\AppData\Local\Temp\OnboardLogs"\RTDC4046\*4046*201703241* &gt;&gt; 2017-03-24-SliceDisagreementCheck.txt</v>
      </c>
      <c r="AE19" s="157" t="str">
        <f t="shared" si="9"/>
        <v>start /low /b %USERPROFILE%\Documents\GitHub\eaglep3\Utilities\DownloadLogsFromS3.py --loco 4046 --day 2017-03-24</v>
      </c>
      <c r="AF19" s="1"/>
    </row>
    <row r="20" spans="1:32" x14ac:dyDescent="0.25">
      <c r="A20" s="32">
        <v>42818.535775462966</v>
      </c>
      <c r="B20" s="30" t="s">
        <v>401</v>
      </c>
      <c r="C20" s="30" t="s">
        <v>617</v>
      </c>
      <c r="D20" s="30" t="s">
        <v>98</v>
      </c>
      <c r="E20" s="30" t="s">
        <v>217</v>
      </c>
      <c r="F20" s="43">
        <v>300</v>
      </c>
      <c r="G20" s="43">
        <v>356</v>
      </c>
      <c r="H20" s="43">
        <v>20598</v>
      </c>
      <c r="I20" s="43">
        <v>21714</v>
      </c>
      <c r="J20" s="30" t="s">
        <v>218</v>
      </c>
      <c r="K20" s="43">
        <v>20338</v>
      </c>
      <c r="L20" s="143" t="s">
        <v>50</v>
      </c>
      <c r="M20" s="144">
        <f t="shared" si="0"/>
        <v>-726.52800000000002</v>
      </c>
      <c r="N20" s="145" t="str">
        <f>VLOOKUP(C20,'Trips&amp;Operators'!$C$1:$G$99999,5,FALSE)</f>
        <v>STEWART MICHAEL</v>
      </c>
      <c r="O20" s="194" t="s">
        <v>185</v>
      </c>
      <c r="P20" s="146"/>
      <c r="Q20" s="30"/>
      <c r="R20" s="89" t="str">
        <f>IF(VLOOKUP(C20,'Train Runs'!$A$13:$AE$9946,1,1)=C20,VLOOKUP(C20,'Train Runs'!$A$13:$AE$9946,31,1),NA())</f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S20" s="92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-03-24T11:43:04-0600',mode:absolute,to:'2017-03-24T14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94" t="str">
        <f t="shared" si="1"/>
        <v>"C:\Program Files (x86)\AstroGrep\AstroGrep.exe" /e /r /s /spath="%USERPROFILE%\AppData\Local\Temp\OnboardLogs" /stypes="*4011*201703241*" /stext=" 18:.+((SYSTEM_STATE.+slice.+state.+changed )|(ment ac)|(multiple cpu faults)|(system.+state.+changed )|(\[timeout)|(PRM\|1\|D)|(kpr)|(kdp)|(\|lc)|(penalty))"</v>
      </c>
      <c r="U20" s="9" t="str">
        <f t="shared" si="2"/>
        <v>4011</v>
      </c>
      <c r="V20" s="32">
        <f t="shared" si="3"/>
        <v>42818.785775462966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{"issue":{"subject":"","project_id":79,"tracker_id":40,"status_id":1,"priority_id":2,"assigned_to_id":23,"start_date":"2017-03-24","description":"","custom_fields":[{"id":1,"name":"Subdivision","value":"EC"},{"id":4,"name":"Milepost","value":"2.0338"},{"id":17,"name":"Train ID","value":"173-24"},{"id":16,"name":"Locomotive ID","value":"4011"},{"id":130,"name":"Impact","value":""},{"id":150,"name":"Time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"%USERPROFILE%\AppData\Local\Temp\OnboardLogs"\RTDC4011\*4011*201703241*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"%USERPROFILE%\AppData\Local\Temp\OnboardLogs"\RTDC4011\*4011*201703241* &gt;&gt; 2017-03-24-SliceDisagreementCheck.txt</v>
      </c>
      <c r="AE20" s="157" t="str">
        <f t="shared" si="9"/>
        <v>start /low /b %USERPROFILE%\Documents\GitHub\eaglep3\Utilities\DownloadLogsFromS3.py --loco 4011 --day 2017-03-24</v>
      </c>
      <c r="AF20" s="1"/>
    </row>
    <row r="21" spans="1:32" x14ac:dyDescent="0.25">
      <c r="A21" s="32">
        <v>42818.56108796296</v>
      </c>
      <c r="B21" s="30" t="s">
        <v>446</v>
      </c>
      <c r="C21" s="30" t="s">
        <v>618</v>
      </c>
      <c r="D21" s="30" t="s">
        <v>98</v>
      </c>
      <c r="E21" s="30" t="s">
        <v>217</v>
      </c>
      <c r="F21" s="43">
        <v>350</v>
      </c>
      <c r="G21" s="43">
        <v>403</v>
      </c>
      <c r="H21" s="43">
        <v>229019</v>
      </c>
      <c r="I21" s="43">
        <v>228037</v>
      </c>
      <c r="J21" s="30" t="s">
        <v>218</v>
      </c>
      <c r="K21" s="43">
        <v>232107</v>
      </c>
      <c r="L21" s="143" t="s">
        <v>51</v>
      </c>
      <c r="M21" s="144">
        <f t="shared" si="0"/>
        <v>-2148.96</v>
      </c>
      <c r="N21" s="145" t="str">
        <f>VLOOKUP(C21,'Trips&amp;Operators'!$C$1:$G$99999,5,FALSE)</f>
        <v>STRICKLAND EVAN</v>
      </c>
      <c r="O21" s="194" t="s">
        <v>185</v>
      </c>
      <c r="P21" s="146"/>
      <c r="Q21" s="30"/>
      <c r="R21" s="89" t="str">
        <f>IF(VLOOKUP(C21,'Train Runs'!$A$13:$AE$9946,1,1)=C21,VLOOKUP(C21,'Train Runs'!$A$13:$AE$9946,31,1),NA())</f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S21" s="92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-03-24T12:12:05-0600',mode:absolute,to:'2017-03-24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 t="shared" si="1"/>
        <v>"C:\Program Files (x86)\AstroGrep\AstroGrep.exe" /e /r /s /spath="%USERPROFILE%\AppData\Local\Temp\OnboardLogs" /stypes="*4004*201703241*" /stext=" 19:.+((SYSTEM_STATE.+slice.+state.+changed )|(ment ac)|(multiple cpu faults)|(system.+state.+changed )|(\[timeout)|(PRM\|1\|D)|(kpr)|(kdp)|(\|lc)|(penalty))"</v>
      </c>
      <c r="U21" s="9" t="str">
        <f t="shared" si="2"/>
        <v>4004</v>
      </c>
      <c r="V21" s="32">
        <f t="shared" si="3"/>
        <v>42818.81108796296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{"issue":{"subject":"","project_id":79,"tracker_id":40,"status_id":1,"priority_id":2,"assigned_to_id":23,"start_date":"2017-03-24","description":"","custom_fields":[{"id":1,"name":"Subdivision","value":"EC"},{"id":4,"name":"Milepost","value":"23.2107"},{"id":17,"name":"Train ID","value":"172-24"},{"id":16,"name":"Locomotive ID","value":"4004"},{"id":130,"name":"Impact","value":""},{"id":150,"name":"Time of Event (Mountain Time)","value":"13:27:58"},{"id":151,"name":"Denver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"%USERPROFILE%\AppData\Local\Temp\OnboardLogs"\RTDC4004\*4004*201703241*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"%USERPROFILE%\AppData\Local\Temp\OnboardLogs"\RTDC4004\*4004*201703241* &gt;&gt; 2017-03-24-SliceDisagreementCheck.txt</v>
      </c>
      <c r="AE21" s="157" t="str">
        <f t="shared" si="9"/>
        <v>start /low /b %USERPROFILE%\Documents\GitHub\eaglep3\Utilities\DownloadLogsFromS3.py --loco 4004 --day 2017-03-24</v>
      </c>
      <c r="AF21" s="1"/>
    </row>
    <row r="22" spans="1:32" x14ac:dyDescent="0.25">
      <c r="A22" s="32">
        <v>42818.711886574078</v>
      </c>
      <c r="B22" s="30" t="s">
        <v>453</v>
      </c>
      <c r="C22" s="30" t="s">
        <v>626</v>
      </c>
      <c r="D22" s="30" t="s">
        <v>49</v>
      </c>
      <c r="E22" s="30" t="s">
        <v>356</v>
      </c>
      <c r="F22" s="43">
        <v>0</v>
      </c>
      <c r="G22" s="43">
        <v>189</v>
      </c>
      <c r="H22" s="43">
        <v>19474</v>
      </c>
      <c r="I22" s="43">
        <v>20037</v>
      </c>
      <c r="J22" s="30" t="s">
        <v>357</v>
      </c>
      <c r="K22" s="43">
        <v>20617</v>
      </c>
      <c r="L22" s="143" t="s">
        <v>50</v>
      </c>
      <c r="M22" s="144">
        <f t="shared" si="0"/>
        <v>306.24</v>
      </c>
      <c r="N22" s="145" t="str">
        <f>VLOOKUP(C22,'Trips&amp;Operators'!$C$1:$G$99999,5,FALSE)</f>
        <v>FORTUNATO FRANK</v>
      </c>
      <c r="O22" s="194" t="s">
        <v>358</v>
      </c>
      <c r="P22" s="146" t="s">
        <v>462</v>
      </c>
      <c r="Q22" s="30"/>
      <c r="R22" s="89" t="str">
        <f>IF(VLOOKUP(C22,'Train Runs'!$A$13:$AE$9946,1,1)=C22,VLOOKUP(C22,'Train Runs'!$A$13:$AE$9946,31,1),NA())</f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S22" s="92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-03-24T15:57:10-0600',mode:absolute,to:'2017-03-24T18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94" t="str">
        <f t="shared" si="1"/>
        <v>"C:\Program Files (x86)\AstroGrep\AstroGrep.exe" /e /r /s /spath="%USERPROFILE%\AppData\Local\Temp\OnboardLogs" /stypes="*4018*201703242*" /stext=" 23:.+((SYSTEM_STATE.+slice.+state.+changed )|(ment ac)|(multiple cpu faults)|(system.+state.+changed )|(\[timeout)|(PRM\|1\|D)|(kpr)|(kdp)|(\|lc)|(penalty))"</v>
      </c>
      <c r="U22" s="9" t="str">
        <f t="shared" si="2"/>
        <v>4018</v>
      </c>
      <c r="V22" s="32">
        <f t="shared" si="3"/>
        <v>42818.961886574078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{"issue":{"subject":"Wi-MAX data drop","project_id":79,"tracker_id":40,"status_id":1,"priority_id":2,"assigned_to_id":23,"start_date":"2017-03-24","description":"","custom_fields":[{"id":1,"name":"Subdivision","value":"EC"},{"id":4,"name":"Milepost","value":"2.0617"},{"id":17,"name":"Train ID","value":"207-24"},{"id":16,"name":"Locomotive ID","value":"4018"},{"id":130,"name":"Impact","value":""},{"id":150,"name":"Time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"%USERPROFILE%\AppData\Local\Temp\OnboardLogs"\RTDC4018\*4018*201703242*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"%USERPROFILE%\AppData\Local\Temp\OnboardLogs"\RTDC4018\*4018*201703242* &gt;&gt; 2017-03-24-SliceDisagreementCheck.txt</v>
      </c>
      <c r="AE22" s="157" t="str">
        <f t="shared" si="9"/>
        <v>start /low /b %USERPROFILE%\Documents\GitHub\eaglep3\Utilities\DownloadLogsFromS3.py --loco 4018 --day 2017-03-24</v>
      </c>
      <c r="AF22" s="1"/>
    </row>
    <row r="23" spans="1:32" x14ac:dyDescent="0.25">
      <c r="A23" s="32">
        <v>42818.694166666668</v>
      </c>
      <c r="B23" s="30" t="s">
        <v>448</v>
      </c>
      <c r="C23" s="30" t="s">
        <v>625</v>
      </c>
      <c r="D23" s="30" t="s">
        <v>49</v>
      </c>
      <c r="E23" s="30" t="s">
        <v>356</v>
      </c>
      <c r="F23" s="43">
        <v>0</v>
      </c>
      <c r="G23" s="43">
        <v>444</v>
      </c>
      <c r="H23" s="43">
        <v>52693</v>
      </c>
      <c r="I23" s="43">
        <v>50707</v>
      </c>
      <c r="J23" s="30" t="s">
        <v>357</v>
      </c>
      <c r="K23" s="43">
        <v>50763</v>
      </c>
      <c r="L23" s="143" t="s">
        <v>51</v>
      </c>
      <c r="M23" s="144">
        <f t="shared" si="0"/>
        <v>-29.568000000000001</v>
      </c>
      <c r="N23" s="145" t="str">
        <f>VLOOKUP(C23,'Trips&amp;Operators'!$C$1:$G$99999,5,FALSE)</f>
        <v>FORTUNATO FRANK</v>
      </c>
      <c r="O23" s="194" t="s">
        <v>358</v>
      </c>
      <c r="P23" s="146" t="s">
        <v>462</v>
      </c>
      <c r="Q23" s="30"/>
      <c r="R23" s="89" t="str">
        <f>IF(VLOOKUP(C23,'Train Runs'!$A$13:$AE$9946,1,1)=C23,VLOOKUP(C23,'Train Runs'!$A$13:$AE$9946,31,1),NA())</f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S23" s="92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-03-24T14:56:52-0600',mode:absolute,to:'2017-03-24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94" t="str">
        <f t="shared" si="1"/>
        <v>"C:\Program Files (x86)\AstroGrep\AstroGrep.exe" /e /r /s /spath="%USERPROFILE%\AppData\Local\Temp\OnboardLogs" /stypes="*4017*201703242*" /stext=" 22:.+((SYSTEM_STATE.+slice.+state.+changed )|(ment ac)|(multiple cpu faults)|(system.+state.+changed )|(\[timeout)|(PRM\|1\|D)|(kpr)|(kdp)|(\|lc)|(penalty))"</v>
      </c>
      <c r="U23" s="9" t="str">
        <f t="shared" si="2"/>
        <v>4017</v>
      </c>
      <c r="V23" s="32">
        <f t="shared" si="3"/>
        <v>42818.944166666668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","project_id":79,"tracker_id":40,"status_id":1,"priority_id":2,"assigned_to_id":23,"start_date":"2017-03-24","description":"http://stevetu21.github.io/eaglep3/load_kml.html?kml=http://rtdc.gmaps-snips.s3.amazonaws.com/852c8d3d-f171-4fe7-bcaa-5eb8e573fbd1.kml","custom_fields":[{"id":1,"name":"Subdivision","value":"EC"},{"id":4,"name":"Milepost","value":"5.0763"},{"id":17,"name":"Train ID","value":"194-24"},{"id":16,"name":"Locomotive ID","value":"4017"},{"id":130,"name":"Impact","value":"Enforcement"},{"id":150,"name":"Time of Event (Mountain Time)","value":"16:39:36"},{"id":151,"name":"Denver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1060</v>
      </c>
      <c r="AA23" s="48" t="s">
        <v>124</v>
      </c>
      <c r="AB23" s="48" t="s">
        <v>137</v>
      </c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"%USERPROFILE%\AppData\Local\Temp\OnboardLogs"\RTDC4017\*4017*201703242*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"%USERPROFILE%\AppData\Local\Temp\OnboardLogs"\RTDC4017\*4017*201703242* &gt;&gt; 2017-03-24-SliceDisagreementCheck.txt</v>
      </c>
      <c r="AE23" s="157" t="str">
        <f t="shared" si="9"/>
        <v>start /low /b %USERPROFILE%\Documents\GitHub\eaglep3\Utilities\DownloadLogsFromS3.py --loco 4017 --day 2017-03-24</v>
      </c>
      <c r="AF23" s="1"/>
    </row>
    <row r="24" spans="1:32" x14ac:dyDescent="0.25">
      <c r="A24" s="32">
        <v>42818.460474537038</v>
      </c>
      <c r="B24" s="30" t="s">
        <v>447</v>
      </c>
      <c r="C24" s="30" t="s">
        <v>610</v>
      </c>
      <c r="D24" s="30" t="s">
        <v>98</v>
      </c>
      <c r="E24" s="30" t="s">
        <v>356</v>
      </c>
      <c r="F24" s="43">
        <v>0</v>
      </c>
      <c r="G24" s="43">
        <v>511</v>
      </c>
      <c r="H24" s="43">
        <v>68424</v>
      </c>
      <c r="I24" s="43">
        <v>70733</v>
      </c>
      <c r="J24" s="30" t="s">
        <v>357</v>
      </c>
      <c r="K24" s="43">
        <v>68372</v>
      </c>
      <c r="L24" s="143" t="s">
        <v>50</v>
      </c>
      <c r="M24" s="144">
        <f t="shared" si="0"/>
        <v>-1246.6079999999999</v>
      </c>
      <c r="N24" s="145" t="str">
        <f>VLOOKUP(C24,'Trips&amp;Operators'!$C$1:$G$99999,5,FALSE)</f>
        <v>LOPES KIMBERLY</v>
      </c>
      <c r="O24" s="194" t="s">
        <v>358</v>
      </c>
      <c r="P24" s="146" t="s">
        <v>1055</v>
      </c>
      <c r="Q24" s="30"/>
      <c r="R24" s="89" t="str">
        <f>IF(VLOOKUP(C24,'Train Runs'!$A$13:$AE$9946,1,1)=C24,VLOOKUP(C24,'Train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24" s="92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-03-24T09:39:22-0600',mode:absolute,to:'2017-03-24T12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/e /r /s /spath="%USERPROFILE%\AppData\Local\Temp\OnboardLogs" /stypes="*4003*201703241*" /stext=" 17:.+((SYSTEM_STATE.+slice.+state.+changed )|(ment ac)|(multiple cpu faults)|(system.+state.+changed )|(\[timeout)|(PRM\|1\|D)|(kpr)|(kdp)|(\|lc)|(penalty))"</v>
      </c>
      <c r="U24" s="9" t="str">
        <f t="shared" si="2"/>
        <v>4003</v>
      </c>
      <c r="V24" s="32">
        <f t="shared" si="3"/>
        <v>42818.710474537038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{"issue":{"subject":"Premature downgrade at Sand Creek 2N","project_id":79,"tracker_id":40,"status_id":1,"priority_id":2,"assigned_to_id":23,"start_date":"2017-03-24","description":"At 11:02:38, Sand Creek 2N went from PROCEED CAB to STOP while the train was still approaching, do logs tell anything odd?","custom_fields":[{"id":1,"name":"Subdivision","value":"EC"},{"id":4,"name":"Milepost","value":"6.8372"},{"id":17,"name":"Train ID","value":"157-24"},{"id":16,"name":"Locomotive ID","value":"4003"},{"id":130,"name":"Impact","value":"Enforcement"},{"id":150,"name":"Time of Event (Mountain Time)","value":"11:03:05"},{"id":151,"name":"Denver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4" s="222" t="s">
        <v>1056</v>
      </c>
      <c r="AA24" s="48" t="s">
        <v>124</v>
      </c>
      <c r="AB24" s="48" t="s">
        <v>129</v>
      </c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"%USERPROFILE%\AppData\Local\Temp\OnboardLogs"\RTDC4003\*4003*201703241*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"%USERPROFILE%\AppData\Local\Temp\OnboardLogs"\RTDC4003\*4003*201703241* &gt;&gt; 2017-03-24-SliceDisagreementCheck.txt</v>
      </c>
      <c r="AE24" s="157" t="str">
        <f t="shared" si="9"/>
        <v>start /low /b %USERPROFILE%\Documents\GitHub\eaglep3\Utilities\DownloadLogsFromS3.py --loco 4003 --day 2017-03-24</v>
      </c>
      <c r="AF24" s="1"/>
    </row>
    <row r="25" spans="1:32" x14ac:dyDescent="0.25">
      <c r="A25" s="32">
        <v>42818.476168981484</v>
      </c>
      <c r="B25" s="30" t="s">
        <v>387</v>
      </c>
      <c r="C25" s="30" t="s">
        <v>611</v>
      </c>
      <c r="D25" s="30" t="s">
        <v>49</v>
      </c>
      <c r="E25" s="30" t="s">
        <v>356</v>
      </c>
      <c r="F25" s="43">
        <v>0</v>
      </c>
      <c r="G25" s="43">
        <v>134</v>
      </c>
      <c r="H25" s="43">
        <v>128050</v>
      </c>
      <c r="I25" s="43">
        <v>127906</v>
      </c>
      <c r="J25" s="30" t="s">
        <v>357</v>
      </c>
      <c r="K25" s="43">
        <v>127587</v>
      </c>
      <c r="L25" s="143" t="s">
        <v>51</v>
      </c>
      <c r="M25" s="144">
        <f t="shared" si="0"/>
        <v>168.43199999999999</v>
      </c>
      <c r="N25" s="145" t="str">
        <f>VLOOKUP(C25,'Trips&amp;Operators'!$C$1:$G$99999,5,FALSE)</f>
        <v>DELGADO DIANAH</v>
      </c>
      <c r="O25" s="194" t="s">
        <v>185</v>
      </c>
      <c r="P25" s="146" t="s">
        <v>1061</v>
      </c>
      <c r="Q25" s="30"/>
      <c r="R25" s="89" t="str">
        <f>IF(VLOOKUP(C25,'Train Runs'!$A$13:$AE$9946,1,1)=C25,VLOOKUP(C25,'Train Runs'!$A$13:$AE$9946,31,1),NA())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S25" s="92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-03-24T10:06:54-0600',mode:absolute,to:'2017-03-24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/e /r /s /spath="%USERPROFILE%\AppData\Local\Temp\OnboardLogs" /stypes="*4028*201703241*" /stext=" 17:.+((SYSTEM_STATE.+slice.+state.+changed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42818.726168981484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{"issue":{"subject":"40th 4S STOP","project_id":79,"tracker_id":40,"status_id":1,"priority_id":2,"assigned_to_id":23,"start_date":"2017-03-24","description":"","custom_fields":[{"id":1,"name":"Subdivision","value":"EC"},{"id":4,"name":"Milepost","value":"12.7587"},{"id":17,"name":"Train ID","value":"154-24"},{"id":16,"name":"Locomotive ID","value":"4028"},{"id":130,"name":"Impact","value":""},{"id":150,"name":"Time of Event (Mountain Time)","value":"11:25:41"},{"id":151,"name":"Denver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"%USERPROFILE%\AppData\Local\Temp\OnboardLogs"\RTDC4028\*4028*201703241*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"%USERPROFILE%\AppData\Local\Temp\OnboardLogs"\RTDC4028\*4028*201703241* &gt;&gt; 2017-03-24-SliceDisagreementCheck.txt</v>
      </c>
      <c r="AE25" s="157" t="str">
        <f t="shared" si="9"/>
        <v>start /low /b %USERPROFILE%\Documents\GitHub\eaglep3\Utilities\DownloadLogsFromS3.py --loco 4028 --day 2017-03-24</v>
      </c>
      <c r="AF25" s="1"/>
    </row>
    <row r="26" spans="1:32" x14ac:dyDescent="0.25">
      <c r="A26" s="32">
        <v>42818.521493055552</v>
      </c>
      <c r="B26" s="30" t="s">
        <v>388</v>
      </c>
      <c r="C26" s="30" t="s">
        <v>614</v>
      </c>
      <c r="D26" s="30" t="s">
        <v>49</v>
      </c>
      <c r="E26" s="30" t="s">
        <v>356</v>
      </c>
      <c r="F26" s="43">
        <v>0</v>
      </c>
      <c r="G26" s="43">
        <v>607</v>
      </c>
      <c r="H26" s="43">
        <v>190651</v>
      </c>
      <c r="I26" s="43">
        <v>193979</v>
      </c>
      <c r="J26" s="30" t="s">
        <v>357</v>
      </c>
      <c r="K26" s="43">
        <v>190738</v>
      </c>
      <c r="L26" s="143" t="s">
        <v>50</v>
      </c>
      <c r="M26" s="144">
        <f t="shared" si="0"/>
        <v>-1711.248</v>
      </c>
      <c r="N26" s="145" t="str">
        <f>VLOOKUP(C26,'Trips&amp;Operators'!$C$1:$G$99999,5,FALSE)</f>
        <v>HELVIE ADAM</v>
      </c>
      <c r="O26" s="194" t="s">
        <v>358</v>
      </c>
      <c r="P26" s="146" t="s">
        <v>1057</v>
      </c>
      <c r="Q26" s="30"/>
      <c r="R26" s="89" t="str">
        <f>IF(VLOOKUP(C26,'Train Runs'!$A$13:$AE$9946,1,1)=C26,VLOOKUP(C26,'Train Runs'!$A$13:$AE$9946,31,1),NA())</f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S26" s="92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-03-24T10:54:48-0600',mode:absolute,to:'2017-03-24T13:30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94" t="str">
        <f t="shared" si="1"/>
        <v>"C:\Program Files (x86)\AstroGrep\AstroGrep.exe" /e /r /s /spath="%USERPROFILE%\AppData\Local\Temp\OnboardLogs" /stypes="*4027*201703241*" /stext=" 18:.+((SYSTEM_STATE.+slice.+state.+changed )|(ment ac)|(multiple cpu faults)|(system.+state.+changed )|(\[timeout)|(PRM\|1\|D)|(kpr)|(kdp)|(\|lc)|(penalty))"</v>
      </c>
      <c r="U26" s="9" t="str">
        <f t="shared" si="2"/>
        <v>4027</v>
      </c>
      <c r="V26" s="32">
        <f t="shared" si="3"/>
        <v>42818.771493055552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{"issue":{"subject":"Premature downgrade at Pena 2N","project_id":79,"tracker_id":40,"status_id":1,"priority_id":2,"assigned_to_id":23,"start_date":"2017-03-24","description":"At 18:30:29, Pena 2N went from PROCEED CAB to STOP while the train was still approaching, do logs tell anything odd?","custom_fields":[{"id":1,"name":"Subdivision","value":"EC"},{"id":4,"name":"Milepost","value":"19.0738"},{"id":17,"name":"Train ID","value":"167-24"},{"id":16,"name":"Locomotive ID","value":"4027"},{"id":130,"name":"Impact","value":"Enforcement"},{"id":150,"name":"Time of Event (Mountain Time)","value":"12:30:57"},{"id":151,"name":"Denver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222" t="s">
        <v>1058</v>
      </c>
      <c r="AA26" s="48" t="s">
        <v>124</v>
      </c>
      <c r="AB26" s="48" t="s">
        <v>129</v>
      </c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"%USERPROFILE%\AppData\Local\Temp\OnboardLogs"\RTDC4027\*4027*201703241*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"%USERPROFILE%\AppData\Local\Temp\OnboardLogs"\RTDC4027\*4027*201703241* &gt;&gt; 2017-03-24-SliceDisagreementCheck.txt</v>
      </c>
      <c r="AE26" s="157" t="str">
        <f t="shared" si="9"/>
        <v>start /low /b %USERPROFILE%\Documents\GitHub\eaglep3\Utilities\DownloadLogsFromS3.py --loco 4027 --day 2017-03-24</v>
      </c>
      <c r="AF26" s="1"/>
    </row>
    <row r="27" spans="1:32" x14ac:dyDescent="0.25">
      <c r="A27" s="32">
        <v>42818.612916666665</v>
      </c>
      <c r="B27" s="30" t="s">
        <v>504</v>
      </c>
      <c r="C27" s="30" t="s">
        <v>621</v>
      </c>
      <c r="D27" s="30" t="s">
        <v>98</v>
      </c>
      <c r="E27" s="30" t="s">
        <v>622</v>
      </c>
      <c r="F27" s="43">
        <v>150</v>
      </c>
      <c r="G27" s="43">
        <v>214</v>
      </c>
      <c r="H27" s="43">
        <v>52820</v>
      </c>
      <c r="I27" s="43">
        <v>52210</v>
      </c>
      <c r="J27" s="30" t="s">
        <v>194</v>
      </c>
      <c r="K27" s="43">
        <v>53200</v>
      </c>
      <c r="L27" s="143" t="s">
        <v>51</v>
      </c>
      <c r="M27" s="144">
        <f t="shared" si="0"/>
        <v>-522.72</v>
      </c>
      <c r="N27" s="145" t="str">
        <f>VLOOKUP(C27,'Trips&amp;Operators'!$C$1:$G$99999,5,FALSE)</f>
        <v>CLARK KATHLEEN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S27" s="92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-03-24T13:04:14-0600',mode:absolute,to:'2017-03-24T15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94" t="str">
        <f t="shared" si="1"/>
        <v>"C:\Program Files (x86)\AstroGrep\AstroGrep.exe" /e /r /s /spath="%USERPROFILE%\AppData\Local\Temp\OnboardLogs" /stypes="*4045*201703242*" /stext=" 20:.+((SYSTEM_STATE.+slice.+state.+changed )|(ment ac)|(multiple cpu faults)|(system.+state.+changed )|(\[timeout)|(PRM\|1\|D)|(kpr)|(kdp)|(\|lc)|(penalty))"</v>
      </c>
      <c r="U27" s="9" t="str">
        <f t="shared" si="2"/>
        <v>4045</v>
      </c>
      <c r="V27" s="32">
        <f t="shared" si="3"/>
        <v>42818.862916666665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{"issue":{"subject":"","project_id":79,"tracker_id":40,"status_id":1,"priority_id":2,"assigned_to_id":23,"start_date":"2017-03-24","description":"","custom_fields":[{"id":1,"name":"Subdivision","value":"EC"},{"id":4,"name":"Milepost","value":"5.32"},{"id":17,"name":"Train ID","value":"178-24"},{"id":16,"name":"Locomotive ID","value":"4045"},{"id":130,"name":"Impact","value":""},{"id":150,"name":"Time of Event (Mountain Time)","value":"14:42:36"},{"id":151,"name":"Denver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ref="AC27:AC39" si="10"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"%USERPROFILE%\AppData\Local\Temp\OnboardLogs"\RTDC4045\*4045*201703242*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"%USERPROFILE%\AppData\Local\Temp\OnboardLogs"\RTDC4045\*4045*201703242* &gt;&gt; 2017-03-24-SliceDisagreementCheck.txt</v>
      </c>
      <c r="AE27" s="157" t="str">
        <f t="shared" si="9"/>
        <v>start /low /b %USERPROFILE%\Documents\GitHub\eaglep3\Utilities\DownloadLogsFromS3.py --loco 4045 --day 2017-03-24</v>
      </c>
      <c r="AF27" s="1"/>
    </row>
    <row r="28" spans="1:32" x14ac:dyDescent="0.25">
      <c r="A28" s="32">
        <v>42818.579988425925</v>
      </c>
      <c r="B28" s="30" t="s">
        <v>390</v>
      </c>
      <c r="C28" s="30" t="s">
        <v>619</v>
      </c>
      <c r="D28" s="30" t="s">
        <v>49</v>
      </c>
      <c r="E28" s="30" t="s">
        <v>186</v>
      </c>
      <c r="F28" s="43">
        <v>0</v>
      </c>
      <c r="G28" s="43">
        <v>66</v>
      </c>
      <c r="H28" s="43">
        <v>218</v>
      </c>
      <c r="I28" s="43">
        <v>147</v>
      </c>
      <c r="J28" s="30" t="s">
        <v>187</v>
      </c>
      <c r="K28" s="43">
        <v>1</v>
      </c>
      <c r="L28" s="143" t="s">
        <v>51</v>
      </c>
      <c r="M28" s="144">
        <f t="shared" si="0"/>
        <v>77.087999999999994</v>
      </c>
      <c r="N28" s="145" t="str">
        <f>VLOOKUP(C28,'Trips&amp;Operators'!$C$1:$G$99999,5,FALSE)</f>
        <v>BRANDNER MELINDA</v>
      </c>
      <c r="O28" s="194" t="s">
        <v>185</v>
      </c>
      <c r="P28" s="146"/>
      <c r="Q28" s="30"/>
      <c r="R28" s="89" t="str">
        <f>IF(VLOOKUP(C28,'Train Runs'!$A$13:$AE$9946,1,1)=C28,VLOOKUP(C28,'Train Runs'!$A$13:$AE$9946,31,1),NA())</f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S28" s="92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-03-24T12:04:01-0600',mode:absolute,to:'2017-03-24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/e /r /s /spath="%USERPROFILE%\AppData\Local\Temp\OnboardLogs" /stypes="*4032*201703241*" /stext=" 19:.+((SYSTEM_STATE.+slice.+state.+changed )|(ment ac)|(multiple cpu faults)|(system.+state.+changed )|(\[timeout)|(PRM\|1\|D)|(kpr)|(kdp)|(\|lc)|(penalty))"</v>
      </c>
      <c r="U28" s="9" t="str">
        <f t="shared" si="2"/>
        <v>4032</v>
      </c>
      <c r="V28" s="32">
        <f t="shared" si="3"/>
        <v>42818.829988425925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{"issue":{"subject":"","project_id":79,"tracker_id":40,"status_id":1,"priority_id":2,"assigned_to_id":23,"start_date":"2017-03-24","description":"","custom_fields":[{"id":1,"name":"Subdivision","value":"EC"},{"id":4,"name":"Milepost","value":"0.0001"},{"id":17,"name":"Train ID","value":"170-24"},{"id":16,"name":"Locomotive ID","value":"4032"},{"id":130,"name":"Impact","value":""},{"id":150,"name":"Time of Event (Mountain Time)","value":"13:55:11"},{"id":151,"name":"Denver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si="10"/>
        <v>grep -hSE -A400 "Enforcement Action" "%USERPROFILE%\AppData\Local\Temp\OnboardLogs"\RTDC4032\*4032*201703241*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"%USERPROFILE%\AppData\Local\Temp\OnboardLogs"\RTDC4032\*4032*201703241* &gt;&gt; 2017-03-24-SliceDisagreementCheck.txt</v>
      </c>
      <c r="AE28" s="157" t="str">
        <f t="shared" si="9"/>
        <v>start /low /b %USERPROFILE%\Documents\GitHub\eaglep3\Utilities\DownloadLogsFromS3.py --loco 4032 --day 2017-03-24</v>
      </c>
      <c r="AF28" s="1"/>
    </row>
    <row r="29" spans="1:32" x14ac:dyDescent="0.25">
      <c r="A29" s="32">
        <v>42818.589317129627</v>
      </c>
      <c r="B29" s="30" t="s">
        <v>446</v>
      </c>
      <c r="C29" s="30" t="s">
        <v>618</v>
      </c>
      <c r="D29" s="30" t="s">
        <v>49</v>
      </c>
      <c r="E29" s="30" t="s">
        <v>186</v>
      </c>
      <c r="F29" s="43">
        <v>0</v>
      </c>
      <c r="G29" s="43">
        <v>47</v>
      </c>
      <c r="H29" s="43">
        <v>178</v>
      </c>
      <c r="I29" s="43">
        <v>139</v>
      </c>
      <c r="J29" s="30" t="s">
        <v>187</v>
      </c>
      <c r="K29" s="43">
        <v>1</v>
      </c>
      <c r="L29" s="143" t="s">
        <v>51</v>
      </c>
      <c r="M29" s="144">
        <f t="shared" si="0"/>
        <v>72.864000000000004</v>
      </c>
      <c r="N29" s="145" t="str">
        <f>VLOOKUP(C29,'Trips&amp;Operators'!$C$1:$G$99999,5,FALSE)</f>
        <v>STRICKLAND EVAN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S29" s="92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-03-24T12:12:05-0600',mode:absolute,to:'2017-03-24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/stypes="*4004*201703242*" /stext=" 20:.+((SYSTEM_STATE.+slice.+state.+changed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42818.839317129627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{"issue":{"subject":"","project_id":79,"tracker_id":40,"status_id":1,"priority_id":2,"assigned_to_id":23,"start_date":"2017-03-24","description":"","custom_fields":[{"id":1,"name":"Subdivision","value":"EC"},{"id":4,"name":"Milepost","value":"0.0001"},{"id":17,"name":"Train ID","value":"172-24"},{"id":16,"name":"Locomotive ID","value":"4004"},{"id":130,"name":"Impact","value":""},{"id":150,"name":"Time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10"/>
        <v>grep -hSE -A400 "Enforcement Action" "%USERPROFILE%\AppData\Local\Temp\OnboardLogs"\RTDC4004\*4004*201703242*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"%USERPROFILE%\AppData\Local\Temp\OnboardLogs"\RTDC4004\*4004*201703242* &gt;&gt; 2017-03-24-SliceDisagreementCheck.txt</v>
      </c>
      <c r="AE29" s="157" t="str">
        <f t="shared" si="9"/>
        <v>start /low /b %USERPROFILE%\Documents\GitHub\eaglep3\Utilities\DownloadLogsFromS3.py --loco 4004 --day 2017-03-24</v>
      </c>
      <c r="AF29" s="1"/>
    </row>
    <row r="30" spans="1:32" x14ac:dyDescent="0.25">
      <c r="A30" s="32">
        <v>42818.712997685187</v>
      </c>
      <c r="B30" s="30" t="s">
        <v>387</v>
      </c>
      <c r="C30" s="30" t="s">
        <v>627</v>
      </c>
      <c r="D30" s="30" t="s">
        <v>49</v>
      </c>
      <c r="E30" s="30" t="s">
        <v>186</v>
      </c>
      <c r="F30" s="43">
        <v>0</v>
      </c>
      <c r="G30" s="43">
        <v>71</v>
      </c>
      <c r="H30" s="43">
        <v>282</v>
      </c>
      <c r="I30" s="43">
        <v>178</v>
      </c>
      <c r="J30" s="30" t="s">
        <v>187</v>
      </c>
      <c r="K30" s="43">
        <v>1</v>
      </c>
      <c r="L30" s="143" t="s">
        <v>51</v>
      </c>
      <c r="M30" s="144">
        <f t="shared" si="0"/>
        <v>93.456000000000003</v>
      </c>
      <c r="N30" s="145" t="str">
        <f>VLOOKUP(C30,'Trips&amp;Operators'!$C$1:$G$99999,5,FALSE)</f>
        <v>HELVIE ADAM</v>
      </c>
      <c r="O30" s="194" t="s">
        <v>185</v>
      </c>
      <c r="P30" s="146"/>
      <c r="Q30" s="30"/>
      <c r="R30" s="89" t="str">
        <f>IF(VLOOKUP(C30,'Train Runs'!$A$13:$AE$9946,1,1)=C30,VLOOKUP(C30,'Train Runs'!$A$13:$AE$9946,31,1),NA())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S30" s="92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-03-24T15:23:46-0600',mode:absolute,to:'2017-03-24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/stypes="*4028*201703242*" /stext=" 23:.+((SYSTEM_STATE.+slice.+state.+changed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42818.962997685187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{"issue":{"subject":"","project_id":79,"tracker_id":40,"status_id":1,"priority_id":2,"assigned_to_id":23,"start_date":"2017-03-24","description":"","custom_fields":[{"id":1,"name":"Subdivision","value":"EC"},{"id":4,"name":"Milepost","value":"0.0001"},{"id":17,"name":"Train ID","value":"196-24"},{"id":16,"name":"Locomotive ID","value":"4028"},{"id":130,"name":"Impact","value":""},{"id":150,"name":"Time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10"/>
        <v>grep -hSE -A400 "Enforcement Action" "%USERPROFILE%\AppData\Local\Temp\OnboardLogs"\RTDC4028\*4028*201703242*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"%USERPROFILE%\AppData\Local\Temp\OnboardLogs"\RTDC4028\*4028*201703242* &gt;&gt; 2017-03-24-SliceDisagreementCheck.txt</v>
      </c>
      <c r="AE30" s="157" t="str">
        <f t="shared" si="9"/>
        <v>start /low /b %USERPROFILE%\Documents\GitHub\eaglep3\Utilities\DownloadLogsFromS3.py --loco 4028 --day 2017-03-24</v>
      </c>
      <c r="AF30" s="1"/>
    </row>
    <row r="31" spans="1:32" x14ac:dyDescent="0.25">
      <c r="A31" s="32">
        <v>42818.61210648148</v>
      </c>
      <c r="B31" s="30" t="s">
        <v>391</v>
      </c>
      <c r="C31" s="30" t="s">
        <v>620</v>
      </c>
      <c r="D31" s="30" t="s">
        <v>49</v>
      </c>
      <c r="E31" s="30" t="s">
        <v>186</v>
      </c>
      <c r="F31" s="43">
        <v>0</v>
      </c>
      <c r="G31" s="43">
        <v>53</v>
      </c>
      <c r="H31" s="43">
        <v>233310</v>
      </c>
      <c r="I31" s="43">
        <v>233353</v>
      </c>
      <c r="J31" s="30" t="s">
        <v>187</v>
      </c>
      <c r="K31" s="43">
        <v>233491</v>
      </c>
      <c r="L31" s="143" t="s">
        <v>50</v>
      </c>
      <c r="M31" s="144">
        <f t="shared" si="0"/>
        <v>72.864000000000004</v>
      </c>
      <c r="N31" s="145" t="str">
        <f>VLOOKUP(C31,'Trips&amp;Operators'!$C$1:$G$99999,5,FALSE)</f>
        <v>BRANDNER MELINDA</v>
      </c>
      <c r="O31" s="194" t="s">
        <v>185</v>
      </c>
      <c r="P31" s="146"/>
      <c r="Q31" s="30"/>
      <c r="R31" s="89" t="str">
        <f>IF(VLOOKUP(C31,'Train Runs'!$A$13:$AE$9946,1,1)=C31,VLOOKUP(C31,'Train Runs'!$A$13:$AE$9946,31,1),NA())</f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S31" s="92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-03-24T12:57:32-0600',mode:absolute,to:'2017-03-24T15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94" t="str">
        <f t="shared" si="1"/>
        <v>"C:\Program Files (x86)\AstroGrep\AstroGrep.exe" /e /r /s /spath="%USERPROFILE%\AppData\Local\Temp\OnboardLogs" /stypes="*4031*201703242*" /stext=" 20:.+((SYSTEM_STATE.+slice.+state.+changed )|(ment ac)|(multiple cpu faults)|(system.+state.+changed )|(\[timeout)|(PRM\|1\|D)|(kpr)|(kdp)|(\|lc)|(penalty))"</v>
      </c>
      <c r="U31" s="9" t="str">
        <f t="shared" si="2"/>
        <v>4031</v>
      </c>
      <c r="V31" s="32">
        <f t="shared" si="3"/>
        <v>42818.86210648148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{"issue":{"subject":"","project_id":79,"tracker_id":40,"status_id":1,"priority_id":2,"assigned_to_id":23,"start_date":"2017-03-24","description":"","custom_fields":[{"id":1,"name":"Subdivision","value":"EC"},{"id":4,"name":"Milepost","value":"23.3491"},{"id":17,"name":"Train ID","value":"183-24"},{"id":16,"name":"Locomotive ID","value":"4031"},{"id":130,"name":"Impact","value":""},{"id":150,"name":"Time of Event (Mountain Time)","value":"14:41:26"},{"id":151,"name":"Denver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10"/>
        <v>grep -hSE -A400 "Enforcement Action" "%USERPROFILE%\AppData\Local\Temp\OnboardLogs"\RTDC4031\*4031*201703242*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"%USERPROFILE%\AppData\Local\Temp\OnboardLogs"\RTDC4031\*4031*201703242* &gt;&gt; 2017-03-24-SliceDisagreementCheck.txt</v>
      </c>
      <c r="AE31" s="157" t="str">
        <f t="shared" si="9"/>
        <v>start /low /b %USERPROFILE%\Documents\GitHub\eaglep3\Utilities\DownloadLogsFromS3.py --loco 4031 --day 2017-03-24</v>
      </c>
      <c r="AF31" s="1"/>
    </row>
    <row r="32" spans="1:32" x14ac:dyDescent="0.25">
      <c r="A32" s="32">
        <v>42818.63994212963</v>
      </c>
      <c r="B32" s="30" t="s">
        <v>503</v>
      </c>
      <c r="C32" s="30" t="s">
        <v>623</v>
      </c>
      <c r="D32" s="30" t="s">
        <v>49</v>
      </c>
      <c r="E32" s="30" t="s">
        <v>186</v>
      </c>
      <c r="F32" s="43">
        <v>0</v>
      </c>
      <c r="G32" s="43">
        <v>52</v>
      </c>
      <c r="H32" s="43">
        <v>233401</v>
      </c>
      <c r="I32" s="43">
        <v>233449</v>
      </c>
      <c r="J32" s="30" t="s">
        <v>187</v>
      </c>
      <c r="K32" s="43">
        <v>233491</v>
      </c>
      <c r="L32" s="143" t="s">
        <v>50</v>
      </c>
      <c r="M32" s="144">
        <f t="shared" si="0"/>
        <v>22.175999999999998</v>
      </c>
      <c r="N32" s="145" t="str">
        <f>VLOOKUP(C32,'Trips&amp;Operators'!$C$1:$G$99999,5,FALSE)</f>
        <v>ROMERO CHAD</v>
      </c>
      <c r="O32" s="194" t="s">
        <v>185</v>
      </c>
      <c r="P32" s="146"/>
      <c r="Q32" s="30"/>
      <c r="R32" s="89" t="str">
        <f>IF(VLOOKUP(C32,'Train Runs'!$A$13:$AE$9946,1,1)=C32,VLOOKUP(C32,'Train Runs'!$A$13:$AE$9946,31,1),NA())</f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S32" s="92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-03-24T13:39:46-0600',mode:absolute,to:'2017-03-24T16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94" t="str">
        <f t="shared" si="1"/>
        <v>"C:\Program Files (x86)\AstroGrep\AstroGrep.exe" /e /r /s /spath="%USERPROFILE%\AppData\Local\Temp\OnboardLogs" /stypes="*4020*201703242*" /stext=" 21:.+((SYSTEM_STATE.+slice.+state.+changed )|(ment ac)|(multiple cpu faults)|(system.+state.+changed )|(\[timeout)|(PRM\|1\|D)|(kpr)|(kdp)|(\|lc)|(penalty))"</v>
      </c>
      <c r="U32" s="9" t="str">
        <f t="shared" si="2"/>
        <v>4020</v>
      </c>
      <c r="V32" s="32">
        <f t="shared" si="3"/>
        <v>42818.88994212963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{"issue":{"subject":"","project_id":79,"tracker_id":40,"status_id":1,"priority_id":2,"assigned_to_id":23,"start_date":"2017-03-24","description":"","custom_fields":[{"id":1,"name":"Subdivision","value":"EC"},{"id":4,"name":"Milepost","value":"23.3491"},{"id":17,"name":"Train ID","value":"189-24"},{"id":16,"name":"Locomotive ID","value":"4020"},{"id":130,"name":"Impact","value":""},{"id":150,"name":"Time of Event (Mountain Time)","value":"15:21:31"},{"id":151,"name":"Denver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10"/>
        <v>grep -hSE -A400 "Enforcement Action" "%USERPROFILE%\AppData\Local\Temp\OnboardLogs"\RTDC4020\*4020*201703242*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"%USERPROFILE%\AppData\Local\Temp\OnboardLogs"\RTDC4020\*4020*201703242* &gt;&gt; 2017-03-24-SliceDisagreementCheck.txt</v>
      </c>
      <c r="AE32" s="157" t="str">
        <f t="shared" si="9"/>
        <v>start /low /b %USERPROFILE%\Documents\GitHub\eaglep3\Utilities\DownloadLogsFromS3.py --loco 4020 --day 2017-03-24</v>
      </c>
      <c r="AF32" s="1"/>
    </row>
    <row r="33" spans="1:32" x14ac:dyDescent="0.25">
      <c r="A33" s="32">
        <v>42818.858819444446</v>
      </c>
      <c r="B33" s="30" t="s">
        <v>503</v>
      </c>
      <c r="C33" s="30" t="s">
        <v>629</v>
      </c>
      <c r="D33" s="30" t="s">
        <v>49</v>
      </c>
      <c r="E33" s="30" t="s">
        <v>186</v>
      </c>
      <c r="F33" s="43">
        <v>0</v>
      </c>
      <c r="G33" s="43">
        <v>44</v>
      </c>
      <c r="H33" s="43">
        <v>233414</v>
      </c>
      <c r="I33" s="43">
        <v>233447</v>
      </c>
      <c r="J33" s="30" t="s">
        <v>187</v>
      </c>
      <c r="K33" s="43">
        <v>233491</v>
      </c>
      <c r="L33" s="143" t="s">
        <v>50</v>
      </c>
      <c r="M33" s="144">
        <f t="shared" si="0"/>
        <v>23.231999999999999</v>
      </c>
      <c r="N33" s="145" t="str">
        <f>VLOOKUP(C33,'Trips&amp;Operators'!$C$1:$G$99999,5,FALSE)</f>
        <v>STAMBAUGH JAMES</v>
      </c>
      <c r="O33" s="194" t="s">
        <v>185</v>
      </c>
      <c r="P33" s="146"/>
      <c r="Q33" s="30"/>
      <c r="R33" s="89" t="str">
        <f>IF(VLOOKUP(C33,'Train Runs'!$A$13:$AE$9946,1,1)=C33,VLOOKUP(C33,'Train Runs'!$A$13:$AE$9946,31,1),NA())</f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S33" s="92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-03-24T18:52:36-0600',mode:absolute,to:'2017-03-24T21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3" s="94" t="str">
        <f t="shared" si="1"/>
        <v>"C:\Program Files (x86)\AstroGrep\AstroGrep.exe" /e /r /s /spath="%USERPROFILE%\AppData\Local\Temp\OnboardLogs" /stypes="*4020*201703250*" /stext=" 02:.+((SYSTEM_STATE.+slice.+state.+changed )|(ment ac)|(multiple cpu faults)|(system.+state.+changed )|(\[timeout)|(PRM\|1\|D)|(kpr)|(kdp)|(\|lc)|(penalty))"</v>
      </c>
      <c r="U33" s="9" t="str">
        <f t="shared" si="2"/>
        <v>4020</v>
      </c>
      <c r="V33" s="32">
        <f t="shared" si="3"/>
        <v>42819.108819444446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{"issue":{"subject":"","project_id":79,"tracker_id":40,"status_id":1,"priority_id":2,"assigned_to_id":23,"start_date":"2017-03-24","description":"","custom_fields":[{"id":1,"name":"Subdivision","value":"EC"},{"id":4,"name":"Milepost","value":"23.3491"},{"id":17,"name":"Train ID","value":"225-24"},{"id":16,"name":"Locomotive ID","value":"4020"},{"id":130,"name":"Impact","value":""},{"id":150,"name":"Time of Event (Mountain Time)","value":"20:36:42"},{"id":151,"name":"Denver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10"/>
        <v>grep -hSE -A400 "Enforcement Action" "%USERPROFILE%\AppData\Local\Temp\OnboardLogs"\RTDC4020\*4020*201703250*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"%USERPROFILE%\AppData\Local\Temp\OnboardLogs"\RTDC4020\*4020*201703250* &gt;&gt; 2017-03-24-SliceDisagreementCheck.txt</v>
      </c>
      <c r="AE33" s="157" t="str">
        <f t="shared" si="9"/>
        <v>start /low /b %USERPROFILE%\Documents\GitHub\eaglep3\Utilities\DownloadLogsFromS3.py --loco 4020 --day 2017-03-25</v>
      </c>
      <c r="AF33" s="1"/>
    </row>
    <row r="34" spans="1:32" x14ac:dyDescent="0.25">
      <c r="A34" s="32">
        <v>42818.264363425929</v>
      </c>
      <c r="B34" s="30" t="s">
        <v>604</v>
      </c>
      <c r="C34" s="30" t="s">
        <v>605</v>
      </c>
      <c r="D34" s="30" t="s">
        <v>49</v>
      </c>
      <c r="E34" s="30" t="s">
        <v>193</v>
      </c>
      <c r="F34" s="43">
        <v>0</v>
      </c>
      <c r="G34" s="43">
        <v>217</v>
      </c>
      <c r="H34" s="43">
        <v>11016</v>
      </c>
      <c r="I34" s="43">
        <v>10684</v>
      </c>
      <c r="J34" s="30" t="s">
        <v>194</v>
      </c>
      <c r="K34" s="43">
        <v>10988</v>
      </c>
      <c r="L34" s="143" t="s">
        <v>51</v>
      </c>
      <c r="M34" s="144">
        <f t="shared" si="0"/>
        <v>-160.512</v>
      </c>
      <c r="N34" s="145" t="str">
        <f>VLOOKUP(C34,'Trips&amp;Operators'!$C$1:$G$99999,5,FALSE)</f>
        <v>GEBRETEKLE DAGNEW</v>
      </c>
      <c r="O34" s="194" t="s">
        <v>185</v>
      </c>
      <c r="P34" s="146" t="s">
        <v>464</v>
      </c>
      <c r="Q34" s="30"/>
      <c r="R34" s="89" t="str">
        <f>IF(VLOOKUP(C34,'Train Runs'!$A$13:$AE$9946,1,1)=C34,VLOOKUP(C34,'Train Runs'!$A$13:$AE$9946,31,1),NA())</f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S34" s="92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-03-24T05:06:52-0600',mode:absolute,to:'2017-03-24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4" s="94" t="str">
        <f t="shared" si="1"/>
        <v>"C:\Program Files (x86)\AstroGrep\AstroGrep.exe" /e /r /s /spath="%USERPROFILE%\AppData\Local\Temp\OnboardLogs" /stypes="*4052*201703241*" /stext=" 12:.+((SYSTEM_STATE.+slice.+state.+changed )|(ment ac)|(multiple cpu faults)|(system.+state.+changed )|(\[timeout)|(PRM\|1\|D)|(kpr)|(kdp)|(\|lc)|(penalty))"</v>
      </c>
      <c r="U34" s="9" t="str">
        <f t="shared" si="2"/>
        <v>4052</v>
      </c>
      <c r="V34" s="32">
        <f t="shared" si="3"/>
        <v>42818.514363425929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arrival","project_id":79,"tracker_id":40,"status_id":1,"priority_id":2,"assigned_to_id":23,"start_date":"2017-03-24","description":"","custom_fields":[{"id":1,"name":"Subdivision","value":"NW"},{"id":4,"name":"Milepost","value":"1.0988"},{"id":17,"name":"Train ID","value":"802-24"},{"id":16,"name":"Locomotive ID","value":"4052"},{"id":130,"name":"Impact","value":""},{"id":150,"name":"Time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10"/>
        <v>grep -hSE -A400 "Enforcement Action" "%USERPROFILE%\AppData\Local\Temp\OnboardLogs"\RTDC4052\*4052*201703241*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"%USERPROFILE%\AppData\Local\Temp\OnboardLogs"\RTDC4052\*4052*201703241* &gt;&gt; 2017-03-24-SliceDisagreementCheck.txt</v>
      </c>
      <c r="AE34" s="157" t="str">
        <f t="shared" si="9"/>
        <v>start /low /b %USERPROFILE%\Documents\GitHub\eaglep3\Utilities\DownloadLogsFromS3.py --loco 4052 --day 2017-03-24</v>
      </c>
      <c r="AF34" s="1"/>
    </row>
    <row r="35" spans="1:32" x14ac:dyDescent="0.25">
      <c r="A35" s="32">
        <v>42818.267638888887</v>
      </c>
      <c r="B35" s="30" t="s">
        <v>604</v>
      </c>
      <c r="C35" s="30" t="s">
        <v>605</v>
      </c>
      <c r="D35" s="30" t="s">
        <v>49</v>
      </c>
      <c r="E35" s="30" t="s">
        <v>186</v>
      </c>
      <c r="F35" s="43">
        <v>0</v>
      </c>
      <c r="G35" s="43">
        <v>132</v>
      </c>
      <c r="H35" s="43">
        <v>1105</v>
      </c>
      <c r="I35" s="43">
        <v>943</v>
      </c>
      <c r="J35" s="30" t="s">
        <v>187</v>
      </c>
      <c r="K35" s="43">
        <v>575</v>
      </c>
      <c r="L35" s="143" t="s">
        <v>51</v>
      </c>
      <c r="M35" s="144">
        <f t="shared" si="0"/>
        <v>194.304</v>
      </c>
      <c r="N35" s="145" t="str">
        <f>VLOOKUP(C35,'Trips&amp;Operators'!$C$1:$G$99999,5,FALSE)</f>
        <v>GEBRETEKLE DAGNEW</v>
      </c>
      <c r="O35" s="194" t="s">
        <v>185</v>
      </c>
      <c r="P35" s="146"/>
      <c r="Q35" s="30"/>
      <c r="R35" s="89" t="str">
        <f>IF(VLOOKUP(C35,'Train Runs'!$A$13:$AE$9946,1,1)=C35,VLOOKUP(C35,'Train Runs'!$A$13:$AE$9946,31,1),NA())</f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S35" s="92" t="str">
        <f>VLOOKUP(C35,'Train Runs'!$A$13:$AE$9946,22,0)</f>
        <v>https://d0f6bd738d7f1b3e5a7ca70fe4ff75f0.us-east-1.aws.found.io/app/kibana#/discover/Steve-Slow-Train-Analysis-(2080s-and-2083s)?_g=(refreshInterval:(display:Off,pause:!f,section:0,value:0),time:(from:'2017-03-24T05:06:52-0600',mode:absolute,to:'2017-03-24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94" t="str">
        <f t="shared" si="1"/>
        <v>"C:\Program Files (x86)\AstroGrep\AstroGrep.exe" /e /r /s /spath="%USERPROFILE%\AppData\Local\Temp\OnboardLogs" /stypes="*4052*201703241*" /stext=" 12:.+((SYSTEM_STATE.+slice.+state.+changed )|(ment ac)|(multiple cpu faults)|(system.+state.+changed )|(\[timeout)|(PRM\|1\|D)|(kpr)|(kdp)|(\|lc)|(penalty))"</v>
      </c>
      <c r="U35" s="9" t="str">
        <f t="shared" si="2"/>
        <v>4052</v>
      </c>
      <c r="V35" s="32">
        <f t="shared" si="3"/>
        <v>42818.517638888887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{"issue":{"subject":"","project_id":79,"tracker_id":40,"status_id":1,"priority_id":2,"assigned_to_id":23,"start_date":"2017-03-24","description":"","custom_fields":[{"id":1,"name":"Subdivision","value":"NW"},{"id":4,"name":"Milepost","value":"0.0575"},{"id":17,"name":"Train ID","value":"802-24"},{"id":16,"name":"Locomotive ID","value":"4052"},{"id":130,"name":"Impact","value":""},{"id":150,"name":"Time of Event (Mountain Time)","value":"06:25:24"},{"id":151,"name":"Denver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10"/>
        <v>grep -hSE -A400 "Enforcement Action" "%USERPROFILE%\AppData\Local\Temp\OnboardLogs"\RTDC4052\*4052*201703241*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"%USERPROFILE%\AppData\Local\Temp\OnboardLogs"\RTDC4052\*4052*201703241* &gt;&gt; 2017-03-24-SliceDisagreementCheck.txt</v>
      </c>
      <c r="AE35" s="157" t="str">
        <f t="shared" si="9"/>
        <v>start /low /b %USERPROFILE%\Documents\GitHub\eaglep3\Utilities\DownloadLogsFromS3.py --loco 4052 --day 2017-03-24</v>
      </c>
      <c r="AF35" s="1"/>
    </row>
    <row r="36" spans="1:32" x14ac:dyDescent="0.25">
      <c r="A36" s="32">
        <v>42818.454826388886</v>
      </c>
      <c r="B36" s="30" t="s">
        <v>404</v>
      </c>
      <c r="C36" s="30" t="s">
        <v>609</v>
      </c>
      <c r="D36" s="30" t="s">
        <v>49</v>
      </c>
      <c r="E36" s="30" t="s">
        <v>186</v>
      </c>
      <c r="F36" s="43">
        <v>0</v>
      </c>
      <c r="G36" s="43">
        <v>50</v>
      </c>
      <c r="H36" s="43">
        <v>750</v>
      </c>
      <c r="I36" s="43">
        <v>726</v>
      </c>
      <c r="J36" s="30" t="s">
        <v>187</v>
      </c>
      <c r="K36" s="43">
        <v>575</v>
      </c>
      <c r="L36" s="143" t="s">
        <v>51</v>
      </c>
      <c r="M36" s="144">
        <f t="shared" si="0"/>
        <v>79.727999999999994</v>
      </c>
      <c r="N36" s="145" t="str">
        <f>VLOOKUP(C36,'Trips&amp;Operators'!$C$1:$G$99999,5,FALSE)</f>
        <v>SHOOK JOHN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S36" s="92" t="str">
        <f>VLOOKUP(C36,'Train Runs'!$A$13:$AE$9946,22,0)</f>
        <v>https://d0f6bd738d7f1b3e5a7ca70fe4ff75f0.us-east-1.aws.found.io/app/kibana#/discover/Steve-Slow-Train-Analysis-(2080s-and-2083s)?_g=(refreshInterval:(display:Off,pause:!f,section:0,value:0),time:(from:'2017-03-24T09:36:40-0600',mode:absolute,to:'2017-03-24T11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6" s="94" t="str">
        <f t="shared" si="1"/>
        <v>"C:\Program Files (x86)\AstroGrep\AstroGrep.exe" /e /r /s /spath="%USERPROFILE%\AppData\Local\Temp\OnboardLogs" /stypes="*4043*201703241*" /stext=" 16:.+((SYSTEM_STATE.+slice.+state.+changed )|(ment ac)|(multiple cpu faults)|(system.+state.+changed )|(\[timeout)|(PRM\|1\|D)|(kpr)|(kdp)|(\|lc)|(penalty))"</v>
      </c>
      <c r="U36" s="9" t="str">
        <f t="shared" si="2"/>
        <v>4043</v>
      </c>
      <c r="V36" s="32">
        <f t="shared" si="3"/>
        <v>42818.704826388886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{"issue":{"subject":"","project_id":79,"tracker_id":40,"status_id":1,"priority_id":2,"assigned_to_id":23,"start_date":"2017-03-24","description":"","custom_fields":[{"id":1,"name":"Subdivision","value":"NW"},{"id":4,"name":"Milepost","value":"0.0575"},{"id":17,"name":"Train ID","value":"816-24"},{"id":16,"name":"Locomotive ID","value":"4043"},{"id":130,"name":"Impact","value":""},{"id":150,"name":"Time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10"/>
        <v>grep -hSE -A400 "Enforcement Action" "%USERPROFILE%\AppData\Local\Temp\OnboardLogs"\RTDC4043\*4043*201703241*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"%USERPROFILE%\AppData\Local\Temp\OnboardLogs"\RTDC4043\*4043*201703241* &gt;&gt; 2017-03-24-SliceDisagreementCheck.txt</v>
      </c>
      <c r="AE36" s="157" t="str">
        <f t="shared" si="9"/>
        <v>start /low /b %USERPROFILE%\Documents\GitHub\eaglep3\Utilities\DownloadLogsFromS3.py --loco 4043 --day 2017-03-24</v>
      </c>
      <c r="AF36" s="1"/>
    </row>
    <row r="37" spans="1:32" x14ac:dyDescent="0.25">
      <c r="A37" s="32">
        <v>42818.121747685182</v>
      </c>
      <c r="B37" s="30" t="s">
        <v>447</v>
      </c>
      <c r="C37" s="30" t="s">
        <v>600</v>
      </c>
      <c r="D37" s="30" t="s">
        <v>49</v>
      </c>
      <c r="E37" s="30" t="s">
        <v>193</v>
      </c>
      <c r="F37" s="43">
        <v>0</v>
      </c>
      <c r="G37" s="43">
        <v>151</v>
      </c>
      <c r="H37" s="43">
        <v>30767</v>
      </c>
      <c r="I37" s="43">
        <v>30914</v>
      </c>
      <c r="J37" s="30" t="s">
        <v>194</v>
      </c>
      <c r="K37" s="43">
        <v>30830</v>
      </c>
      <c r="L37" s="143" t="s">
        <v>50</v>
      </c>
      <c r="M37" s="144">
        <f t="shared" si="0"/>
        <v>-44.351999999999997</v>
      </c>
      <c r="N37" s="145" t="str">
        <f>VLOOKUP(C37,'Trips&amp;Operators'!$C$1:$G$99999,5,FALSE)</f>
        <v>SPECTOR MICHAEL</v>
      </c>
      <c r="O37" s="194" t="s">
        <v>185</v>
      </c>
      <c r="P37" s="146"/>
      <c r="Q37" s="30"/>
      <c r="R37" s="89" t="e">
        <f>IF(VLOOKUP(C37,'Train Runs'!$A$13:$AE$9946,1,1)=C37,VLOOKUP(C37,'Train Runs'!$A$13:$AE$9946,31,1),NA())</f>
        <v>#N/A</v>
      </c>
      <c r="S37" s="92" t="str">
        <f>VLOOKUP(C37,'Train Runs'!$A$13:$AE$9946,22,0)</f>
        <v>https://d0f6bd738d7f1b3e5a7ca70fe4ff75f0.us-east-1.aws.found.io/app/kibana#/discover/Steve-Slow-Train-Analysis-(2080s-and-2083s)?_g=(refreshInterval:(display:Off,pause:!f,section:0,value:0),time:(from:'2017-03-24T02:54:46-0600',mode:absolute,to:'2017-03-24T05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7" s="94" t="str">
        <f t="shared" si="1"/>
        <v>"C:\Program Files (x86)\AstroGrep\AstroGrep.exe" /e /r /s /spath="%USERPROFILE%\AppData\Local\Temp\OnboardLogs" /stypes="*4003*201703240*" /stext=" 08:.+((SYSTEM_STATE.+slice.+state.+changed )|(ment ac)|(multiple cpu faults)|(system.+state.+changed )|(\[timeout)|(PRM\|1\|D)|(kpr)|(kdp)|(\|lc)|(penalty))"</v>
      </c>
      <c r="U37" s="9" t="str">
        <f t="shared" si="2"/>
        <v>4003</v>
      </c>
      <c r="V37" s="32">
        <f t="shared" si="3"/>
        <v>42818.371747685182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{"issue":{"subject":"","project_id":79,"tracker_id":40,"status_id":1,"priority_id":2,"assigned_to_id":23,"start_date":"2017-03-24","description":"","custom_fields":[{"id":1,"name":"Subdivision","value":"Other"},{"id":4,"name":"Milepost","value":"3.083"},{"id":17,"name":"Train ID","value":"51-24"},{"id":16,"name":"Locomotive ID","value":"4003"},{"id":130,"name":"Impact","value":""},{"id":150,"name":"Time of Event (Mountain Time)","value":"02:55:19"},{"id":151,"name":"Denver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10"/>
        <v>grep -hSE -A400 "Enforcement Action" "%USERPROFILE%\AppData\Local\Temp\OnboardLogs"\RTDC4003\*4003*201703240*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"%USERPROFILE%\AppData\Local\Temp\OnboardLogs"\RTDC4003\*4003*201703240* &gt;&gt; 2017-03-24-SliceDisagreementCheck.txt</v>
      </c>
      <c r="AE37" s="157" t="str">
        <f t="shared" si="9"/>
        <v>start /low /b %USERPROFILE%\Documents\GitHub\eaglep3\Utilities\DownloadLogsFromS3.py --loco 4003 --day 2017-03-24</v>
      </c>
      <c r="AF37" s="1"/>
    </row>
    <row r="38" spans="1:32" x14ac:dyDescent="0.25">
      <c r="A38" s="32">
        <v>42818.166388888887</v>
      </c>
      <c r="B38" s="30" t="s">
        <v>405</v>
      </c>
      <c r="C38" s="30" t="s">
        <v>601</v>
      </c>
      <c r="D38" s="30" t="s">
        <v>98</v>
      </c>
      <c r="E38" s="30" t="s">
        <v>217</v>
      </c>
      <c r="F38" s="43">
        <v>150</v>
      </c>
      <c r="G38" s="43">
        <v>200</v>
      </c>
      <c r="H38" s="43">
        <v>13052</v>
      </c>
      <c r="I38" s="43">
        <v>12730</v>
      </c>
      <c r="J38" s="30" t="s">
        <v>218</v>
      </c>
      <c r="K38" s="43">
        <v>14977</v>
      </c>
      <c r="L38" s="143" t="s">
        <v>51</v>
      </c>
      <c r="M38" s="144">
        <f t="shared" si="0"/>
        <v>-1186.4159999999999</v>
      </c>
      <c r="N38" s="145" t="str">
        <f>VLOOKUP(C38,'Trips&amp;Operators'!$C$1:$G$99999,5,FALSE)</f>
        <v>ROBINSON KADDIBA</v>
      </c>
      <c r="O38" s="194" t="s">
        <v>185</v>
      </c>
      <c r="P38" s="146"/>
      <c r="Q38" s="30"/>
      <c r="R38" s="89" t="e">
        <f>IF(VLOOKUP(C38,'Train Runs'!$A$13:$AE$9946,1,1)=C38,VLOOKUP(C38,'Train Runs'!$A$13:$AE$9946,31,1),NA())</f>
        <v>#N/A</v>
      </c>
      <c r="S38" s="92" t="str">
        <f>VLOOKUP(C38,'Train Runs'!$A$13:$AE$9946,22,0)</f>
        <v>https://d0f6bd738d7f1b3e5a7ca70fe4ff75f0.us-east-1.aws.found.io/app/kibana#/discover/Steve-Slow-Train-Analysis-(2080s-and-2083s)?_g=(refreshInterval:(display:Off,pause:!f,section:0,value:0),time:(from:'2017-03-24T02:52:34-0600',mode:absolute,to:'2017-03-24T05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94" t="str">
        <f t="shared" si="1"/>
        <v>"C:\Program Files (x86)\AstroGrep\AstroGrep.exe" /e /r /s /spath="%USERPROFILE%\AppData\Local\Temp\OnboardLogs" /stypes="*4012*201703240*" /stext=" 09:.+((SYSTEM_STATE.+slice.+state.+changed )|(ment ac)|(multiple cpu faults)|(system.+state.+changed )|(\[timeout)|(PRM\|1\|D)|(kpr)|(kdp)|(\|lc)|(penalty))"</v>
      </c>
      <c r="U38" s="9" t="str">
        <f t="shared" si="2"/>
        <v>4012</v>
      </c>
      <c r="V38" s="32">
        <f t="shared" si="3"/>
        <v>42818.416388888887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{"issue":{"subject":"","project_id":79,"tracker_id":40,"status_id":1,"priority_id":2,"assigned_to_id":23,"start_date":"2017-03-24","description":"","custom_fields":[{"id":1,"name":"Subdivision","value":"Other"},{"id":4,"name":"Milepost","value":"1.4977"},{"id":17,"name":"Train ID","value":"306-24"},{"id":16,"name":"Locomotive ID","value":"4012"},{"id":130,"name":"Impact","value":""},{"id":150,"name":"Time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10"/>
        <v>grep -hSE -A400 "Enforcement Action" "%USERPROFILE%\AppData\Local\Temp\OnboardLogs"\RTDC4012\*4012*201703240*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"%USERPROFILE%\AppData\Local\Temp\OnboardLogs"\RTDC4012\*4012*201703240* &gt;&gt; 2017-03-24-SliceDisagreementCheck.txt</v>
      </c>
      <c r="AE38" s="157" t="str">
        <f t="shared" si="9"/>
        <v>start /low /b %USERPROFILE%\Documents\GitHub\eaglep3\Utilities\DownloadLogsFromS3.py --loco 4012 --day 2017-03-24</v>
      </c>
      <c r="AF38" s="1"/>
    </row>
    <row r="39" spans="1:32" x14ac:dyDescent="0.25">
      <c r="A39" s="32">
        <v>42818.506527777776</v>
      </c>
      <c r="B39" s="30" t="s">
        <v>612</v>
      </c>
      <c r="C39" s="30" t="s">
        <v>613</v>
      </c>
      <c r="D39" s="30" t="s">
        <v>49</v>
      </c>
      <c r="E39" s="30" t="s">
        <v>186</v>
      </c>
      <c r="F39" s="43">
        <v>0</v>
      </c>
      <c r="G39" s="43">
        <v>29</v>
      </c>
      <c r="H39" s="43">
        <v>90</v>
      </c>
      <c r="I39" s="43">
        <v>63</v>
      </c>
      <c r="J39" s="30" t="s">
        <v>187</v>
      </c>
      <c r="K39" s="43">
        <v>1</v>
      </c>
      <c r="L39" s="143" t="s">
        <v>51</v>
      </c>
      <c r="M39" s="144">
        <f t="shared" si="0"/>
        <v>32.735999999999997</v>
      </c>
      <c r="N39" s="145" t="str">
        <f>VLOOKUP(C39,'Trips&amp;Operators'!$C$1:$G$99999,5,FALSE)</f>
        <v>STRICKLAND EVAN</v>
      </c>
      <c r="O39" s="194" t="s">
        <v>185</v>
      </c>
      <c r="P39" s="146"/>
      <c r="Q39" s="30"/>
      <c r="R39" s="89" t="e">
        <f>IF(VLOOKUP(C39,'Train Runs'!$A$13:$AE$9946,1,1)=C39,VLOOKUP(C39,'Train Runs'!$A$13:$AE$9946,31,1),NA())</f>
        <v>#N/A</v>
      </c>
      <c r="S39" s="92" t="str">
        <f>VLOOKUP(C39,'Train Runs'!$A$13:$AE$9946,22,0)</f>
        <v>https://d0f6bd738d7f1b3e5a7ca70fe4ff75f0.us-east-1.aws.found.io/app/kibana#/discover/Steve-Slow-Train-Analysis-(2080s-and-2083s)?_g=(refreshInterval:(display:Off,pause:!f,section:0,value:0),time:(from:'2017-03-24T10:58:47-0600',mode:absolute,to:'2017-03-24T13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9" s="94" t="str">
        <f t="shared" si="1"/>
        <v>"C:\Program Files (x86)\AstroGrep\AstroGrep.exe" /e /r /s /spath="%USERPROFILE%\AppData\Local\Temp\OnboardLogs" /stypes="*4008*201703241*" /stext=" 18:.+((SYSTEM_STATE.+slice.+state.+changed )|(ment ac)|(multiple cpu faults)|(system.+state.+changed )|(\[timeout)|(PRM\|1\|D)|(kpr)|(kdp)|(\|lc)|(penalty))"</v>
      </c>
      <c r="U39" s="9" t="str">
        <f t="shared" si="2"/>
        <v>4008</v>
      </c>
      <c r="V39" s="32">
        <f t="shared" si="3"/>
        <v>42818.756527777776</v>
      </c>
      <c r="W39" s="46" t="str">
        <f t="shared" si="4"/>
        <v>Other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{"issue":{"subject":"","project_id":79,"tracker_id":40,"status_id":1,"priority_id":2,"assigned_to_id":23,"start_date":"2017-03-24","description":"","custom_fields":[{"id":1,"name":"Subdivision","value":"Other"},{"id":4,"name":"Milepost","value":"0.0001"},{"id":17,"name":"Train ID","value":"58-24"},{"id":16,"name":"Locomotive ID","value":"4008"},{"id":130,"name":"Impact","value":""},{"id":150,"name":"Time of Event (Mountain Time)","value":"12:09:24"},{"id":151,"name":"Denver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10"/>
        <v>grep -hSE -A400 "Enforcement Action" "%USERPROFILE%\AppData\Local\Temp\OnboardLogs"\RTDC4008\*4008*201703241*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"%USERPROFILE%\AppData\Local\Temp\OnboardLogs"\RTDC4008\*4008*201703241* &gt;&gt; 2017-03-24-SliceDisagreementCheck.txt</v>
      </c>
      <c r="AE39" s="157" t="str">
        <f t="shared" si="9"/>
        <v>start /low /b %USERPROFILE%\Documents\GitHub\eaglep3\Utilities\DownloadLogsFromS3.py --loco 4008 --day 2017-03-24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7">
      <sortCondition ref="W7:W40"/>
      <sortCondition ref="E7:E40"/>
      <sortCondition ref="K7:K40"/>
      <sortCondition ref="F7:F40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7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3" sqref="E3:E21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2017-03-24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106</v>
      </c>
      <c r="B3" s="43" t="str">
        <f>A3&amp;"-"&amp;IF(DAY(Variables!$A$2)&lt;10,0,"")&amp;DAY(Variables!$A$2)</f>
        <v>106-24</v>
      </c>
      <c r="C3" s="147"/>
      <c r="D3" s="165"/>
      <c r="E3" s="30" t="s">
        <v>1059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22106-24%22)),sort:!(Time.ISO8601,asc))</v>
      </c>
      <c r="J3" s="30" t="e">
        <f>VLOOKUP(B3,'Train Runs'!$A$13:$A$99943,1,FALSE)</f>
        <v>#N/A</v>
      </c>
    </row>
    <row r="4" spans="1:10" x14ac:dyDescent="0.25">
      <c r="A4" s="185">
        <v>109</v>
      </c>
      <c r="B4" s="43" t="str">
        <f>A4&amp;"-"&amp;IF(DAY(Variables!$A$2)&lt;10,0,"")&amp;DAY(Variables!$A$2)</f>
        <v>109-24</v>
      </c>
      <c r="C4" s="147"/>
      <c r="D4" s="165"/>
      <c r="E4" s="30" t="s">
        <v>1059</v>
      </c>
      <c r="F4" s="21" t="str">
        <f>VLOOKUP(B4,'Trips&amp;Operators'!$C$2:$E$10000,3,FALSE)</f>
        <v>LOZA</v>
      </c>
      <c r="G4" s="21" t="str">
        <f>VLOOKUP(B4,'Trips&amp;Operators'!$C$1:$F$10000,4,FALSE)</f>
        <v>FIDEL</v>
      </c>
      <c r="H4" s="29" t="str">
        <f>VLOOKUP(B4,'Trips&amp;Operators'!$C$1:$H$10000,5,FALSE)</f>
        <v>LOZA FIDEL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22109-24%22)),sort:!(Time.ISO8601,asc))</v>
      </c>
      <c r="J4" s="30" t="e">
        <f>VLOOKUP(B4,'Train Runs'!$A$13:$A$99943,1,FALSE)</f>
        <v>#N/A</v>
      </c>
    </row>
    <row r="5" spans="1:10" x14ac:dyDescent="0.25">
      <c r="A5" s="185">
        <v>110</v>
      </c>
      <c r="B5" s="43" t="str">
        <f>A5&amp;"-"&amp;IF(DAY(Variables!$A$2)&lt;10,0,"")&amp;DAY(Variables!$A$2)</f>
        <v>110-24</v>
      </c>
      <c r="C5" s="147"/>
      <c r="D5" s="165"/>
      <c r="E5" s="30" t="s">
        <v>1059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22110-24%22)),sort:!(Time.ISO8601,asc))</v>
      </c>
      <c r="J5" s="30" t="e">
        <f>VLOOKUP(B5,'Train Runs'!$A$13:$A$99943,1,FALSE)</f>
        <v>#N/A</v>
      </c>
    </row>
    <row r="6" spans="1:10" x14ac:dyDescent="0.25">
      <c r="A6" s="185">
        <v>113</v>
      </c>
      <c r="B6" s="43" t="str">
        <f>A6&amp;"-"&amp;IF(DAY(Variables!$A$2)&lt;10,0,"")&amp;DAY(Variables!$A$2)</f>
        <v>113-24</v>
      </c>
      <c r="C6" s="147"/>
      <c r="D6" s="165"/>
      <c r="E6" s="30" t="s">
        <v>1059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-24%22)),sort:!(Time.ISO8601,asc))</v>
      </c>
      <c r="J6" s="30" t="e">
        <f>VLOOKUP(B6,'Train Runs'!$A$13:$A$99943,1,FALSE)</f>
        <v>#N/A</v>
      </c>
    </row>
    <row r="7" spans="1:10" x14ac:dyDescent="0.25">
      <c r="A7" s="185">
        <v>114</v>
      </c>
      <c r="B7" s="43" t="str">
        <f>A7&amp;"-"&amp;IF(DAY(Variables!$A$2)&lt;10,0,"")&amp;DAY(Variables!$A$2)</f>
        <v>114-24</v>
      </c>
      <c r="C7" s="147"/>
      <c r="D7" s="165"/>
      <c r="E7" s="30" t="s">
        <v>1059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-24%22)),sort:!(Time.ISO8601,asc))</v>
      </c>
      <c r="J7" s="30" t="e">
        <f>VLOOKUP(B7,'Train Runs'!$A$13:$A$99943,1,FALSE)</f>
        <v>#N/A</v>
      </c>
    </row>
    <row r="8" spans="1:10" x14ac:dyDescent="0.25">
      <c r="A8" s="185">
        <v>117</v>
      </c>
      <c r="B8" s="43" t="str">
        <f>A8&amp;"-"&amp;IF(DAY(Variables!$A$2)&lt;10,0,"")&amp;DAY(Variables!$A$2)</f>
        <v>117-24</v>
      </c>
      <c r="C8" s="147"/>
      <c r="D8" s="165"/>
      <c r="E8" s="30" t="s">
        <v>1059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22117-24%22)),sort:!(Time.ISO8601,asc))</v>
      </c>
      <c r="J8" s="30" t="e">
        <f>VLOOKUP(B8,'Train Runs'!$A$13:$A$99943,1,FALSE)</f>
        <v>#N/A</v>
      </c>
    </row>
    <row r="9" spans="1:10" x14ac:dyDescent="0.25">
      <c r="A9" s="185">
        <v>118</v>
      </c>
      <c r="B9" s="43" t="str">
        <f>A9&amp;"-"&amp;IF(DAY(Variables!$A$2)&lt;10,0,"")&amp;DAY(Variables!$A$2)</f>
        <v>118-24</v>
      </c>
      <c r="C9" s="147"/>
      <c r="D9" s="165"/>
      <c r="E9" s="30" t="s">
        <v>1059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22118-24%22)),sort:!(Time.ISO8601,asc))</v>
      </c>
      <c r="J9" s="30" t="e">
        <f>VLOOKUP(B9,'Train Runs'!$A$13:$A$99943,1,FALSE)</f>
        <v>#N/A</v>
      </c>
    </row>
    <row r="10" spans="1:10" x14ac:dyDescent="0.25">
      <c r="A10" s="185">
        <v>121</v>
      </c>
      <c r="B10" s="43" t="str">
        <f>A10&amp;"-"&amp;IF(DAY(Variables!$A$2)&lt;10,0,"")&amp;DAY(Variables!$A$2)</f>
        <v>121-24</v>
      </c>
      <c r="C10" s="147"/>
      <c r="D10" s="165"/>
      <c r="E10" s="30" t="s">
        <v>1059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22121-24%22)),sort:!(Time.ISO8601,asc))</v>
      </c>
      <c r="J10" s="30" t="e">
        <f>VLOOKUP(B10,'Train Runs'!$A$13:$A$99943,1,FALSE)</f>
        <v>#N/A</v>
      </c>
    </row>
    <row r="11" spans="1:10" x14ac:dyDescent="0.25">
      <c r="A11" s="185">
        <v>122</v>
      </c>
      <c r="B11" s="43" t="str">
        <f>A11&amp;"-"&amp;IF(DAY(Variables!$A$2)&lt;10,0,"")&amp;DAY(Variables!$A$2)</f>
        <v>122-24</v>
      </c>
      <c r="C11" s="147"/>
      <c r="D11" s="165"/>
      <c r="E11" s="30" t="s">
        <v>1059</v>
      </c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22122-24%22)),sort:!(Time.ISO8601,asc))</v>
      </c>
      <c r="J11" s="30" t="e">
        <f>VLOOKUP(B11,'Train Runs'!$A$13:$A$99943,1,FALSE)</f>
        <v>#N/A</v>
      </c>
    </row>
    <row r="12" spans="1:10" x14ac:dyDescent="0.25">
      <c r="A12" s="185">
        <v>125</v>
      </c>
      <c r="B12" s="43" t="str">
        <f>A12&amp;"-"&amp;IF(DAY(Variables!$A$2)&lt;10,0,"")&amp;DAY(Variables!$A$2)</f>
        <v>125-24</v>
      </c>
      <c r="C12" s="147"/>
      <c r="D12" s="165"/>
      <c r="E12" s="30" t="s">
        <v>1059</v>
      </c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22125-24%22)),sort:!(Time.ISO8601,asc))</v>
      </c>
      <c r="J12" s="30" t="e">
        <f>VLOOKUP(B12,'Train Runs'!$A$13:$A$99943,1,FALSE)</f>
        <v>#N/A</v>
      </c>
    </row>
    <row r="13" spans="1:10" x14ac:dyDescent="0.25">
      <c r="A13" s="185">
        <v>126</v>
      </c>
      <c r="B13" s="43" t="str">
        <f>A13&amp;"-"&amp;IF(DAY(Variables!$A$2)&lt;10,0,"")&amp;DAY(Variables!$A$2)</f>
        <v>126-24</v>
      </c>
      <c r="C13" s="147"/>
      <c r="D13" s="165"/>
      <c r="E13" s="30" t="s">
        <v>1059</v>
      </c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22126-24%22)),sort:!(Time.ISO8601,asc))</v>
      </c>
      <c r="J13" s="30" t="e">
        <f>VLOOKUP(B13,'Train Runs'!$A$13:$A$99943,1,FALSE)</f>
        <v>#N/A</v>
      </c>
    </row>
    <row r="14" spans="1:10" x14ac:dyDescent="0.25">
      <c r="A14" s="185">
        <v>129</v>
      </c>
      <c r="B14" s="43" t="str">
        <f>A14&amp;"-"&amp;IF(DAY(Variables!$A$2)&lt;10,0,"")&amp;DAY(Variables!$A$2)</f>
        <v>129-24</v>
      </c>
      <c r="C14" s="147"/>
      <c r="D14" s="165"/>
      <c r="E14" s="30" t="s">
        <v>1059</v>
      </c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22129-24%22)),sort:!(Time.ISO8601,asc))</v>
      </c>
      <c r="J14" s="30" t="e">
        <f>VLOOKUP(B14,'Train Runs'!$A$13:$A$99943,1,FALSE)</f>
        <v>#N/A</v>
      </c>
    </row>
    <row r="15" spans="1:10" x14ac:dyDescent="0.25">
      <c r="A15" s="185">
        <v>130</v>
      </c>
      <c r="B15" s="43" t="str">
        <f>A15&amp;"-"&amp;IF(DAY(Variables!$A$2)&lt;10,0,"")&amp;DAY(Variables!$A$2)</f>
        <v>130-24</v>
      </c>
      <c r="C15" s="147"/>
      <c r="D15" s="165"/>
      <c r="E15" s="30" t="s">
        <v>1059</v>
      </c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22130-24%22)),sort:!(Time.ISO8601,asc))</v>
      </c>
      <c r="J15" s="30" t="e">
        <f>VLOOKUP(B15,'Train Runs'!$A$13:$A$99943,1,FALSE)</f>
        <v>#N/A</v>
      </c>
    </row>
    <row r="16" spans="1:10" x14ac:dyDescent="0.25">
      <c r="A16" s="185">
        <v>133</v>
      </c>
      <c r="B16" s="43" t="str">
        <f>A16&amp;"-"&amp;IF(DAY(Variables!$A$2)&lt;10,0,"")&amp;DAY(Variables!$A$2)</f>
        <v>133-24</v>
      </c>
      <c r="C16" s="147"/>
      <c r="D16" s="165"/>
      <c r="E16" s="30" t="s">
        <v>1059</v>
      </c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22133-24%22)),sort:!(Time.ISO8601,asc))</v>
      </c>
      <c r="J16" s="30" t="e">
        <f>VLOOKUP(B16,'Train Runs'!$A$13:$A$99943,1,FALSE)</f>
        <v>#N/A</v>
      </c>
    </row>
    <row r="17" spans="1:10" x14ac:dyDescent="0.25">
      <c r="A17" s="185">
        <v>134</v>
      </c>
      <c r="B17" s="43" t="str">
        <f>A17&amp;"-"&amp;IF(DAY(Variables!$A$2)&lt;10,0,"")&amp;DAY(Variables!$A$2)</f>
        <v>134-24</v>
      </c>
      <c r="C17" s="147"/>
      <c r="D17" s="165"/>
      <c r="E17" s="30" t="s">
        <v>1059</v>
      </c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22134-24%22)),sort:!(Time.ISO8601,asc))</v>
      </c>
      <c r="J17" s="30" t="e">
        <f>VLOOKUP(B17,'Train Runs'!$A$13:$A$99943,1,FALSE)</f>
        <v>#N/A</v>
      </c>
    </row>
    <row r="18" spans="1:10" x14ac:dyDescent="0.25">
      <c r="A18" s="185">
        <v>137</v>
      </c>
      <c r="B18" s="43" t="str">
        <f>A18&amp;"-"&amp;IF(DAY(Variables!$A$2)&lt;10,0,"")&amp;DAY(Variables!$A$2)</f>
        <v>137-24</v>
      </c>
      <c r="C18" s="147"/>
      <c r="D18" s="165"/>
      <c r="E18" s="30" t="s">
        <v>1059</v>
      </c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-24%22)),sort:!(Time.ISO8601,asc))</v>
      </c>
      <c r="J18" s="30" t="e">
        <f>VLOOKUP(B18,'Train Runs'!$A$13:$A$99943,1,FALSE)</f>
        <v>#N/A</v>
      </c>
    </row>
    <row r="19" spans="1:10" x14ac:dyDescent="0.25">
      <c r="A19" s="185">
        <v>138</v>
      </c>
      <c r="B19" s="43" t="str">
        <f>A19&amp;"-"&amp;IF(DAY(Variables!$A$2)&lt;10,0,"")&amp;DAY(Variables!$A$2)</f>
        <v>138-24</v>
      </c>
      <c r="C19" s="147"/>
      <c r="D19" s="165"/>
      <c r="E19" s="30" t="s">
        <v>1059</v>
      </c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-24%22)),sort:!(Time.ISO8601,asc))</v>
      </c>
      <c r="J19" s="30" t="e">
        <f>VLOOKUP(B19,'Train Runs'!$A$13:$A$99943,1,FALSE)</f>
        <v>#N/A</v>
      </c>
    </row>
    <row r="20" spans="1:10" x14ac:dyDescent="0.25">
      <c r="A20" s="185">
        <v>141</v>
      </c>
      <c r="B20" s="43" t="str">
        <f>A20&amp;"-"&amp;IF(DAY(Variables!$A$2)&lt;10,0,"")&amp;DAY(Variables!$A$2)</f>
        <v>141-24</v>
      </c>
      <c r="C20" s="147"/>
      <c r="D20" s="165"/>
      <c r="E20" s="30" t="s">
        <v>1059</v>
      </c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22141-24%22)),sort:!(Time.ISO8601,asc))</v>
      </c>
      <c r="J20" s="30" t="e">
        <f>VLOOKUP(B20,'Train Runs'!$A$13:$A$99943,1,FALSE)</f>
        <v>#N/A</v>
      </c>
    </row>
    <row r="21" spans="1:10" x14ac:dyDescent="0.25">
      <c r="A21" s="185">
        <v>145</v>
      </c>
      <c r="B21" s="43" t="str">
        <f>A21&amp;"-"&amp;IF(DAY(Variables!$A$2)&lt;10,0,"")&amp;DAY(Variables!$A$2)</f>
        <v>145-24</v>
      </c>
      <c r="C21" s="147"/>
      <c r="D21" s="165"/>
      <c r="E21" s="30" t="s">
        <v>1059</v>
      </c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-24%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-24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-24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-24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-24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-24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-24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-24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-24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-24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-24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-24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-24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-24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-24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-24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-24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-24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-24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-24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-24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-24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-24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-24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-24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-24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-24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-24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-24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-24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-24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-24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-24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-24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-24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-24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-24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-24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-24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-24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-24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-24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-24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-24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-24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-24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-24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-24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-24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-24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-24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-24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-24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-24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-24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-24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-24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-24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-24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-24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-24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-24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-24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-24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-24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-24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-24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-24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8" s="30" t="e">
        <f>VLOOKUP(B88,'Train Runs'!$A$13:$A$99943,1,FALSE)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360</v>
      </c>
      <c r="B1" s="207" t="s">
        <v>361</v>
      </c>
      <c r="C1" s="199" t="s">
        <v>369</v>
      </c>
      <c r="D1" s="211" t="s">
        <v>58</v>
      </c>
      <c r="E1" s="196" t="s">
        <v>24</v>
      </c>
      <c r="F1" s="211" t="s">
        <v>375</v>
      </c>
      <c r="G1" s="215" t="s">
        <v>94</v>
      </c>
      <c r="H1" s="217" t="s">
        <v>379</v>
      </c>
      <c r="I1" s="213" t="s">
        <v>378</v>
      </c>
      <c r="J1" s="209" t="s">
        <v>84</v>
      </c>
      <c r="K1" s="209" t="s">
        <v>374</v>
      </c>
      <c r="L1" s="204" t="s">
        <v>371</v>
      </c>
      <c r="M1" s="204" t="s">
        <v>362</v>
      </c>
      <c r="N1" s="204" t="s">
        <v>364</v>
      </c>
      <c r="O1" s="204" t="s">
        <v>365</v>
      </c>
      <c r="P1" s="204" t="s">
        <v>366</v>
      </c>
      <c r="Q1" s="203" t="s">
        <v>363</v>
      </c>
    </row>
    <row r="2" spans="1:17" x14ac:dyDescent="0.25">
      <c r="A2" s="201">
        <v>42800.21875</v>
      </c>
      <c r="B2" s="208" t="s">
        <v>368</v>
      </c>
      <c r="C2" s="198" t="s">
        <v>370</v>
      </c>
      <c r="D2" s="212">
        <v>104</v>
      </c>
      <c r="E2" s="30" t="s">
        <v>373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/stypes="*4032*201703061*"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"%USERPROFILE%\AppData\Local\Temp\OnboardLogs"\RTDC4032\*4032*201703061*</v>
      </c>
      <c r="I2" s="214" t="str">
        <f>IF(VLOOKUP(K2,'Train Runs'!$A$13:$V$999,1,TRUE)=K2,VLOOKUP(K2,'Train Runs'!$A$13:$V$999,22,TRUE),NA())</f>
        <v>https://d0f6bd738d7f1b3e5a7ca70fe4ff75f0.us-east-1.aws.found.io/app/kibana#/discover/Steve-Slow-Train-Analysis-(2080s-and-2083s)?_g=(refreshInterval:(display:Off,pause:!f,section:0,value:0),time:(from:'2017-03-24T03:38:07-0600',mode:absolute,to:'2017-03-24T06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104-24</v>
      </c>
      <c r="L2" s="206">
        <f>IF(VLOOKUP(K2,'Train Runs'!$A$12:$B$999,1,TRUE)=K2,VLOOKUP(K2,'Train Runs'!$A$12:$B$999,2,TRUE),NA())</f>
        <v>4032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368</v>
      </c>
      <c r="C3" s="198" t="s">
        <v>370</v>
      </c>
      <c r="D3" s="212">
        <v>126</v>
      </c>
      <c r="E3" s="30" t="s">
        <v>372</v>
      </c>
      <c r="F3" s="212" t="b">
        <v>1</v>
      </c>
      <c r="G3" s="216" t="e">
        <f t="shared" si="0"/>
        <v>#N/A</v>
      </c>
      <c r="H3" s="218" t="e">
        <f t="shared" si="1"/>
        <v>#N/A</v>
      </c>
      <c r="I3" s="214" t="e">
        <f>IF(VLOOKUP(K3,'Train Runs'!$A$13:$V$999,1,TRUE)=K3,VLOOKUP(K3,'Train Runs'!$A$13:$V$999,22,TRUE),NA())</f>
        <v>#N/A</v>
      </c>
      <c r="J3" s="210">
        <f t="shared" si="2"/>
        <v>42800.593055555553</v>
      </c>
      <c r="K3" s="210" t="str">
        <f>D3&amp;"-"&amp;IF(DAY(Variables!$A$2)&lt;10,0,"")&amp;DAY(Variables!$A$2)</f>
        <v>126-24</v>
      </c>
      <c r="L3" s="206" t="e">
        <f>IF(VLOOKUP(K3,'Train Runs'!$A$12:$B$999,1,TRUE)=K3,VLOOKUP(K3,'Train Runs'!$A$12:$B$999,2,TRUE),NA())</f>
        <v>#N/A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368</v>
      </c>
      <c r="C4" s="198" t="s">
        <v>370</v>
      </c>
      <c r="D4" s="212">
        <v>128</v>
      </c>
      <c r="E4" s="30" t="s">
        <v>372</v>
      </c>
      <c r="F4" s="212" t="b">
        <v>1</v>
      </c>
      <c r="G4" s="216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"%USERPROFILE%\AppData\Local\Temp\OnboardLogs"\RTDC4012\*4012*201703061*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-24T06:35:50-0600',mode:absolute,to:'2017-03-24T09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128-24</v>
      </c>
      <c r="L4" s="206">
        <f>IF(VLOOKUP(K4,'Train Runs'!$A$12:$B$999,1,TRUE)=K4,VLOOKUP(K4,'Train Runs'!$A$12:$B$999,2,TRUE),NA())</f>
        <v>4012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368</v>
      </c>
      <c r="C5" s="198" t="s">
        <v>370</v>
      </c>
      <c r="D5" s="212">
        <f>D4+2</f>
        <v>130</v>
      </c>
      <c r="E5" s="30" t="s">
        <v>372</v>
      </c>
      <c r="F5" s="212" t="b">
        <v>1</v>
      </c>
      <c r="G5" s="216" t="e">
        <f t="shared" si="0"/>
        <v>#N/A</v>
      </c>
      <c r="H5" s="218" t="e">
        <f t="shared" si="1"/>
        <v>#N/A</v>
      </c>
      <c r="I5" s="214" t="e">
        <f>IF(VLOOKUP(K5,'Train Runs'!$A$13:$V$999,1,TRUE)=K5,VLOOKUP(K5,'Train Runs'!$A$13:$V$999,22,TRUE),NA())</f>
        <v>#N/A</v>
      </c>
      <c r="J5" s="210">
        <f t="shared" si="2"/>
        <v>42800.614583333336</v>
      </c>
      <c r="K5" s="210" t="str">
        <f>D5&amp;"-"&amp;IF(DAY(Variables!$A$2)&lt;10,0,"")&amp;DAY(Variables!$A$2)</f>
        <v>130-24</v>
      </c>
      <c r="L5" s="206" t="e">
        <f>IF(VLOOKUP(K5,'Train Runs'!$A$12:$B$999,1,TRUE)=K5,VLOOKUP(K5,'Train Runs'!$A$12:$B$999,2,TRUE),NA())</f>
        <v>#N/A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368</v>
      </c>
      <c r="C6" s="198" t="s">
        <v>370</v>
      </c>
      <c r="D6" s="212">
        <f>D5+2</f>
        <v>132</v>
      </c>
      <c r="E6" s="30" t="s">
        <v>372</v>
      </c>
      <c r="F6" s="212" t="b">
        <v>1</v>
      </c>
      <c r="G6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"%USERPROFILE%\AppData\Local\Temp\OnboardLogs"\RTDC4019\*4019*201703061*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-24T07:11:49-0600',mode:absolute,to:'2017-03-24T10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6" s="210">
        <f t="shared" si="2"/>
        <v>42800.625</v>
      </c>
      <c r="K6" s="210" t="str">
        <f>D6&amp;"-"&amp;IF(DAY(Variables!$A$2)&lt;10,0,"")&amp;DAY(Variables!$A$2)</f>
        <v>132-24</v>
      </c>
      <c r="L6" s="206">
        <f>IF(VLOOKUP(K6,'Train Runs'!$A$12:$B$999,1,TRUE)=K6,VLOOKUP(K6,'Train Runs'!$A$12:$B$999,2,TRUE),NA())</f>
        <v>4019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368</v>
      </c>
      <c r="C7" s="198" t="s">
        <v>370</v>
      </c>
      <c r="D7" s="212">
        <f t="shared" ref="D7:D11" si="4">D6+2</f>
        <v>134</v>
      </c>
      <c r="E7" s="30" t="s">
        <v>372</v>
      </c>
      <c r="F7" s="212" t="b">
        <v>1</v>
      </c>
      <c r="G7" s="216" t="e">
        <f t="shared" si="0"/>
        <v>#N/A</v>
      </c>
      <c r="H7" s="218" t="e">
        <f t="shared" si="1"/>
        <v>#N/A</v>
      </c>
      <c r="I7" s="214" t="e">
        <f>IF(VLOOKUP(K7,'Train Runs'!$A$13:$V$999,1,TRUE)=K7,VLOOKUP(K7,'Train Runs'!$A$13:$V$999,22,TRUE),NA())</f>
        <v>#N/A</v>
      </c>
      <c r="J7" s="210">
        <f t="shared" si="2"/>
        <v>42800.633333333331</v>
      </c>
      <c r="K7" s="210" t="str">
        <f>D7&amp;"-"&amp;IF(DAY(Variables!$A$2)&lt;10,0,"")&amp;DAY(Variables!$A$2)</f>
        <v>134-24</v>
      </c>
      <c r="L7" s="206" t="e">
        <f>IF(VLOOKUP(K7,'Train Runs'!$A$12:$B$999,1,TRUE)=K7,VLOOKUP(K7,'Train Runs'!$A$12:$B$999,2,TRUE),NA())</f>
        <v>#N/A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368</v>
      </c>
      <c r="C8" s="198" t="s">
        <v>370</v>
      </c>
      <c r="D8" s="212">
        <f t="shared" si="4"/>
        <v>136</v>
      </c>
      <c r="E8" s="30" t="s">
        <v>372</v>
      </c>
      <c r="F8" s="212" t="b">
        <v>1</v>
      </c>
      <c r="G8" s="216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"%USERPROFILE%\AppData\Local\Temp\OnboardLogs"\RTDC4045\*4045*201703061*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-24T07:45:38-0600',mode:absolute,to:'2017-03-24T10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136-24</v>
      </c>
      <c r="L8" s="206">
        <f>IF(VLOOKUP(K8,'Train Runs'!$A$12:$B$999,1,TRUE)=K8,VLOOKUP(K8,'Train Runs'!$A$12:$B$999,2,TRUE),NA())</f>
        <v>4045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368</v>
      </c>
      <c r="C9" s="198" t="s">
        <v>370</v>
      </c>
      <c r="D9" s="212">
        <f t="shared" si="4"/>
        <v>138</v>
      </c>
      <c r="E9" s="30" t="s">
        <v>372</v>
      </c>
      <c r="F9" s="212" t="b">
        <v>1</v>
      </c>
      <c r="G9" s="216" t="e">
        <f t="shared" si="0"/>
        <v>#N/A</v>
      </c>
      <c r="H9" s="218" t="e">
        <f t="shared" si="1"/>
        <v>#N/A</v>
      </c>
      <c r="I9" s="214" t="e">
        <f>IF(VLOOKUP(K9,'Train Runs'!$A$13:$V$999,1,TRUE)=K9,VLOOKUP(K9,'Train Runs'!$A$13:$V$999,22,TRUE),NA())</f>
        <v>#N/A</v>
      </c>
      <c r="J9" s="210">
        <f t="shared" si="2"/>
        <v>42800.654861111114</v>
      </c>
      <c r="K9" s="210" t="str">
        <f>D9&amp;"-"&amp;IF(DAY(Variables!$A$2)&lt;10,0,"")&amp;DAY(Variables!$A$2)</f>
        <v>138-24</v>
      </c>
      <c r="L9" s="206" t="e">
        <f>IF(VLOOKUP(K9,'Train Runs'!$A$12:$B$999,1,TRUE)=K9,VLOOKUP(K9,'Train Runs'!$A$12:$B$999,2,TRUE),NA())</f>
        <v>#N/A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368</v>
      </c>
      <c r="C10" s="198" t="s">
        <v>370</v>
      </c>
      <c r="D10" s="212">
        <f t="shared" si="4"/>
        <v>140</v>
      </c>
      <c r="E10" s="30" t="s">
        <v>372</v>
      </c>
      <c r="F10" s="212" t="b">
        <v>1</v>
      </c>
      <c r="G10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"%USERPROFILE%\AppData\Local\Temp\OnboardLogs"\RTDC4032\*4032*201703061*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-24T08:18:08-0600',mode:absolute,to:'2017-03-24T11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140-24</v>
      </c>
      <c r="L10" s="206">
        <f>IF(VLOOKUP(K10,'Train Runs'!$A$12:$B$999,1,TRUE)=K10,VLOOKUP(K10,'Train Runs'!$A$12:$B$999,2,TRUE),NA())</f>
        <v>4032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368</v>
      </c>
      <c r="C11" s="198" t="s">
        <v>370</v>
      </c>
      <c r="D11" s="212">
        <f t="shared" si="4"/>
        <v>142</v>
      </c>
      <c r="E11" s="30" t="s">
        <v>372</v>
      </c>
      <c r="F11" s="212" t="b">
        <v>1</v>
      </c>
      <c r="G11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"%USERPROFILE%\AppData\Local\Temp\OnboardLogs"\RTDC4039\*4039*201703061*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-24T08:28:17-0600',mode:absolute,to:'2017-03-24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142-24</v>
      </c>
      <c r="L11" s="206">
        <f>IF(VLOOKUP(K11,'Train Runs'!$A$12:$B$999,1,TRUE)=K11,VLOOKUP(K11,'Train Runs'!$A$12:$B$999,2,TRUE),NA())</f>
        <v>4039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368</v>
      </c>
      <c r="C12" s="198" t="s">
        <v>370</v>
      </c>
      <c r="D12" s="212">
        <v>144</v>
      </c>
      <c r="E12" s="30" t="s">
        <v>372</v>
      </c>
      <c r="F12" s="212" t="b">
        <v>1</v>
      </c>
      <c r="G12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"%USERPROFILE%\AppData\Local\Temp\OnboardLogs"\RTDC4004\*4004*201703061*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-24T08:29:35-0600',mode:absolute,to:'2017-03-24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144-24</v>
      </c>
      <c r="L12" s="206">
        <f>IF(VLOOKUP(K12,'Train Runs'!$A$12:$B$999,1,TRUE)=K12,VLOOKUP(K12,'Train Runs'!$A$12:$B$999,2,TRUE),NA())</f>
        <v>4004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368</v>
      </c>
      <c r="C13" s="198" t="s">
        <v>370</v>
      </c>
      <c r="D13" s="212">
        <v>146</v>
      </c>
      <c r="E13" s="30" t="s">
        <v>372</v>
      </c>
      <c r="F13" s="212" t="b">
        <v>1</v>
      </c>
      <c r="G13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"%USERPROFILE%\AppData\Local\Temp\OnboardLogs"\RTDC4012\*4012*201703061*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-24T09:13:28-0600',mode:absolute,to:'2017-03-24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146-24</v>
      </c>
      <c r="L13" s="206">
        <f>IF(VLOOKUP(K13,'Train Runs'!$A$12:$B$999,1,TRUE)=K13,VLOOKUP(K13,'Train Runs'!$A$12:$B$999,2,TRUE),NA())</f>
        <v>4012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368</v>
      </c>
      <c r="C14" s="198" t="s">
        <v>370</v>
      </c>
      <c r="D14" s="212">
        <v>148</v>
      </c>
      <c r="E14" s="30" t="s">
        <v>376</v>
      </c>
      <c r="F14" s="212" t="b">
        <v>1</v>
      </c>
      <c r="G14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"%USERPROFILE%\AppData\Local\Temp\OnboardLogs"\RTDC4019\*4019*201703061*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-24T09:15:09-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148-24</v>
      </c>
      <c r="L14" s="206">
        <f>IF(VLOOKUP(K14,'Train Runs'!$A$12:$B$999,1,TRUE)=K14,VLOOKUP(K14,'Train Runs'!$A$12:$B$999,2,TRUE),NA())</f>
        <v>4019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368</v>
      </c>
      <c r="C15" s="198" t="s">
        <v>370</v>
      </c>
      <c r="D15" s="212">
        <v>178</v>
      </c>
      <c r="E15" s="30" t="s">
        <v>377</v>
      </c>
      <c r="F15" s="212" t="b">
        <v>1</v>
      </c>
      <c r="G15" s="216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"%USERPROFILE%\AppData\Local\Temp\OnboardLogs"\RTDC4045\*4045*201703062*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-24T13:04:14-0600',mode:absolute,to:'2017-03-24T15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178-24</v>
      </c>
      <c r="L15" s="206">
        <f>IF(VLOOKUP(K15,'Train Runs'!$A$12:$B$999,1,TRUE)=K15,VLOOKUP(K15,'Train Runs'!$A$12:$B$999,2,TRUE),NA())</f>
        <v>4045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368</v>
      </c>
      <c r="C16" s="198" t="s">
        <v>370</v>
      </c>
      <c r="D16" s="212">
        <v>194</v>
      </c>
      <c r="E16" s="30" t="s">
        <v>377</v>
      </c>
      <c r="F16" s="212" t="b">
        <v>1</v>
      </c>
      <c r="G16" s="216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"%USERPROFILE%\AppData\Local\Temp\OnboardLogs"\RTDC4017\*4017*201703062*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-24T14:56:52-0600',mode:absolute,to:'2017-03-24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194-24</v>
      </c>
      <c r="L16" s="206">
        <f>IF(VLOOKUP(K16,'Train Runs'!$A$12:$B$999,1,TRUE)=K16,VLOOKUP(K16,'Train Runs'!$A$12:$B$999,2,TRUE),NA())</f>
        <v>4017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368</v>
      </c>
      <c r="C17" s="198" t="s">
        <v>370</v>
      </c>
      <c r="D17" s="212">
        <v>206</v>
      </c>
      <c r="E17" s="30" t="s">
        <v>372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"%USERPROFILE%\AppData\Local\Temp\OnboardLogs"\RTDC4045\*4045*201703070*</v>
      </c>
      <c r="I17" s="214" t="str">
        <f>IF(VLOOKUP(K17,'Train Runs'!$A$13:$V$999,1,TRUE)=K17,VLOOKUP(K17,'Train Runs'!$A$13:$V$999,22,TRUE),NA())</f>
        <v>https://d0f6bd738d7f1b3e5a7ca70fe4ff75f0.us-east-1.aws.found.io/app/kibana#/discover/Steve-Slow-Train-Analysis-(2080s-and-2083s)?_g=(refreshInterval:(display:Off,pause:!f,section:0,value:0),time:(from:'2017-03-24T16:35:53-0600',mode:absolute,to:'2017-03-24T19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206-24</v>
      </c>
      <c r="L17" s="206">
        <f>IF(VLOOKUP(K17,'Train Runs'!$A$12:$B$999,1,TRUE)=K17,VLOOKUP(K17,'Train Runs'!$A$12:$B$999,2,TRUE),NA())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368</v>
      </c>
      <c r="C18" s="198" t="s">
        <v>370</v>
      </c>
      <c r="D18" s="212">
        <v>210</v>
      </c>
      <c r="E18" s="30" t="s">
        <v>372</v>
      </c>
      <c r="F18" s="212" t="b">
        <v>1</v>
      </c>
      <c r="G18" s="216" t="str">
        <f t="shared" si="0"/>
        <v>"C:\Program Files (x86)\AstroGrep\AstroGrep.exe" /e /r /s /spath="%USERPROFILE%\AppData\Local\Temp\OnboardLogs" /stypes="*4028*201703070*"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"%USERPROFILE%\AppData\Local\Temp\OnboardLogs"\RTDC4028\*4028*201703070*</v>
      </c>
      <c r="I18" s="214" t="str">
        <f>IF(VLOOKUP(K18,'Train Runs'!$A$13:$V$999,1,TRUE)=K18,VLOOKUP(K18,'Train Runs'!$A$13:$V$999,22,TRUE),NA())</f>
        <v>https://d0f6bd738d7f1b3e5a7ca70fe4ff75f0.us-east-1.aws.found.io/app/kibana#/discover/Steve-Slow-Train-Analysis-(2080s-and-2083s)?_g=(refreshInterval:(display:Off,pause:!f,section:0,value:0),time:(from:'2017-03-24T17:06:18-0600',mode:absolute,to:'2017-03-24T19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210-24</v>
      </c>
      <c r="L18" s="206">
        <f>IF(VLOOKUP(K18,'Train Runs'!$A$12:$B$999,1,TRUE)=K18,VLOOKUP(K18,'Train Runs'!$A$12:$B$999,2,TRUE),NA())</f>
        <v>4028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368</v>
      </c>
      <c r="C19" s="198" t="s">
        <v>370</v>
      </c>
      <c r="D19" s="212">
        <f>D18+2</f>
        <v>212</v>
      </c>
      <c r="E19" s="30" t="s">
        <v>372</v>
      </c>
      <c r="F19" s="212" t="b">
        <v>1</v>
      </c>
      <c r="G19" s="216" t="str">
        <f t="shared" si="0"/>
        <v>"C:\Program Files (x86)\AstroGrep\AstroGrep.exe" /e /r /s /spath="%USERPROFILE%\AppData\Local\Temp\OnboardLogs" /stypes="*4032*201703070*"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"%USERPROFILE%\AppData\Local\Temp\OnboardLogs"\RTDC4032\*4032*201703070*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-24T17:19:33-0600',mode:absolute,to:'2017-03-24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212-24</v>
      </c>
      <c r="L19" s="206">
        <f>IF(VLOOKUP(K19,'Train Runs'!$A$12:$B$999,1,TRUE)=K19,VLOOKUP(K19,'Train Runs'!$A$12:$B$999,2,TRUE),NA())</f>
        <v>4032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368</v>
      </c>
      <c r="C20" s="198" t="s">
        <v>370</v>
      </c>
      <c r="D20" s="212">
        <v>214</v>
      </c>
      <c r="E20" s="30" t="s">
        <v>372</v>
      </c>
      <c r="F20" s="212" t="b">
        <v>1</v>
      </c>
      <c r="G20" s="216" t="str">
        <f t="shared" si="0"/>
        <v>"C:\Program Files (x86)\AstroGrep\AstroGrep.exe" /e /r /s /spath="%USERPROFILE%\AppData\Local\Temp\OnboardLogs" /stypes="*4004*201703070*"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"%USERPROFILE%\AppData\Local\Temp\OnboardLogs"\RTDC4004\*4004*201703070*</v>
      </c>
      <c r="I20" s="214" t="str">
        <f>IF(VLOOKUP(K20,'Train Runs'!$A$13:$V$999,1,TRUE)=K20,VLOOKUP(K20,'Train Runs'!$A$13:$V$999,22,TRUE),NA())</f>
        <v>https://d0f6bd738d7f1b3e5a7ca70fe4ff75f0.us-east-1.aws.found.io/app/kibana#/discover/Steve-Slow-Train-Analysis-(2080s-and-2083s)?_g=(refreshInterval:(display:Off,pause:!f,section:0,value:0),time:(from:'2017-03-24T17:32:06-0600',mode:absolute,to:'2017-03-24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214-24</v>
      </c>
      <c r="L20" s="206">
        <f>IF(VLOOKUP(K20,'Train Runs'!$A$12:$B$999,1,TRUE)=K20,VLOOKUP(K20,'Train Runs'!$A$12:$B$999,2,TRUE),NA())</f>
        <v>4004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368</v>
      </c>
      <c r="C21" s="198" t="s">
        <v>370</v>
      </c>
      <c r="D21" s="212">
        <v>216</v>
      </c>
      <c r="E21" s="30" t="s">
        <v>372</v>
      </c>
      <c r="F21" s="212" t="b">
        <v>1</v>
      </c>
      <c r="G21" s="216" t="str">
        <f t="shared" si="0"/>
        <v>"C:\Program Files (x86)\AstroGrep\AstroGrep.exe" /e /r /s /spath="%USERPROFILE%\AppData\Local\Temp\OnboardLogs" /stypes="*4012*201703070*"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"%USERPROFILE%\AppData\Local\Temp\OnboardLogs"\RTDC4012\*4012*201703070*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-24T17:42:27-0600',mode:absolute,to:'2017-03-24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216-24</v>
      </c>
      <c r="L21" s="206">
        <f>IF(VLOOKUP(K21,'Train Runs'!$A$12:$B$999,1,TRUE)=K21,VLOOKUP(K21,'Train Runs'!$A$12:$B$999,2,TRUE),NA())</f>
        <v>4012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368</v>
      </c>
      <c r="C22" s="198" t="s">
        <v>370</v>
      </c>
      <c r="D22" s="212">
        <f>D21+2</f>
        <v>218</v>
      </c>
      <c r="E22" s="30" t="s">
        <v>372</v>
      </c>
      <c r="F22" s="212" t="b">
        <v>1</v>
      </c>
      <c r="G22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"%USERPROFILE%\AppData\Local\Temp\OnboardLogs"\RTDC4019\*4019*201703070*</v>
      </c>
      <c r="I22" s="214" t="str">
        <f>IF(VLOOKUP(K22,'Train Runs'!$A$13:$V$999,1,TRUE)=K22,VLOOKUP(K22,'Train Runs'!$A$13:$V$999,22,TRUE),NA())</f>
        <v>https://d0f6bd738d7f1b3e5a7ca70fe4ff75f0.us-east-1.aws.found.io/app/kibana#/discover/Steve-Slow-Train-Analysis-(2080s-and-2083s)?_g=(refreshInterval:(display:Off,pause:!f,section:0,value:0),time:(from:'2017-03-24T18:03:23-0600',mode:absolute,to:'2017-03-24T20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218-24</v>
      </c>
      <c r="L22" s="206">
        <f>IF(VLOOKUP(K22,'Train Runs'!$A$12:$B$999,1,TRUE)=K22,VLOOKUP(K22,'Train Runs'!$A$12:$B$999,2,TRUE),NA())</f>
        <v>4019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368</v>
      </c>
      <c r="C23" s="198" t="s">
        <v>370</v>
      </c>
      <c r="D23" s="212">
        <f>D22+2</f>
        <v>220</v>
      </c>
      <c r="E23" s="30" t="s">
        <v>372</v>
      </c>
      <c r="F23" s="212" t="b">
        <v>1</v>
      </c>
      <c r="G23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"%USERPROFILE%\AppData\Local\Temp\OnboardLogs"\RTDC4045\*4045*201703070*</v>
      </c>
      <c r="I23" s="214" t="str">
        <f>IF(VLOOKUP(K23,'Train Runs'!$A$13:$V$999,1,TRUE)=K23,VLOOKUP(K23,'Train Runs'!$A$13:$V$999,22,TRUE),NA())</f>
        <v>https://d0f6bd738d7f1b3e5a7ca70fe4ff75f0.us-east-1.aws.found.io/app/kibana#/discover/Steve-Slow-Train-Analysis-(2080s-and-2083s)?_g=(refreshInterval:(display:Off,pause:!f,section:0,value:0),time:(from:'2017-03-24T18:12:28-0600',mode:absolute,to:'2017-03-24T21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220-24</v>
      </c>
      <c r="L23" s="206">
        <f>IF(VLOOKUP(K23,'Train Runs'!$A$12:$B$999,1,TRUE)=K23,VLOOKUP(K23,'Train Runs'!$A$12:$B$999,2,TRUE),NA())</f>
        <v>4045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368</v>
      </c>
      <c r="C24" s="198" t="s">
        <v>370</v>
      </c>
      <c r="D24" s="212">
        <f>D23+2</f>
        <v>222</v>
      </c>
      <c r="E24" s="30" t="s">
        <v>372</v>
      </c>
      <c r="F24" s="212" t="b">
        <v>1</v>
      </c>
      <c r="G24" s="216" t="str">
        <f t="shared" si="0"/>
        <v>"C:\Program Files (x86)\AstroGrep\AstroGrep.exe" /e /r /s /spath="%USERPROFILE%\AppData\Local\Temp\OnboardLogs" /stypes="*4028*201703070*"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"%USERPROFILE%\AppData\Local\Temp\OnboardLogs"\RTDC4028\*4028*201703070*</v>
      </c>
      <c r="I24" s="214" t="str">
        <f>IF(VLOOKUP(K24,'Train Runs'!$A$13:$V$999,1,TRUE)=K24,VLOOKUP(K24,'Train Runs'!$A$13:$V$999,22,TRUE),NA())</f>
        <v>https://d0f6bd738d7f1b3e5a7ca70fe4ff75f0.us-east-1.aws.found.io/app/kibana#/discover/Steve-Slow-Train-Analysis-(2080s-and-2083s)?_g=(refreshInterval:(display:Off,pause:!f,section:0,value:0),time:(from:'2017-03-24T18:52:45-0600',mode:absolute,to:'2017-03-24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222-24</v>
      </c>
      <c r="L24" s="206">
        <f>IF(VLOOKUP(K24,'Train Runs'!$A$12:$B$999,1,TRUE)=K24,VLOOKUP(K24,'Train Runs'!$A$12:$B$999,2,TRUE),NA())</f>
        <v>4028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368</v>
      </c>
      <c r="C25" s="198" t="s">
        <v>370</v>
      </c>
      <c r="D25" s="212">
        <f>D24+2</f>
        <v>224</v>
      </c>
      <c r="E25" s="30" t="s">
        <v>372</v>
      </c>
      <c r="F25" s="212" t="b">
        <v>1</v>
      </c>
      <c r="G25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"%USERPROFILE%\AppData\Local\Temp\OnboardLogs"\RTDC4004\*4004*201703070*</v>
      </c>
      <c r="I25" s="214" t="str">
        <f>IF(VLOOKUP(K25,'Train Runs'!$A$13:$V$999,1,TRUE)=K25,VLOOKUP(K25,'Train Runs'!$A$13:$V$999,22,TRUE),NA())</f>
        <v>https://d0f6bd738d7f1b3e5a7ca70fe4ff75f0.us-east-1.aws.found.io/app/kibana#/discover/Steve-Slow-Train-Analysis-(2080s-and-2083s)?_g=(refreshInterval:(display:Off,pause:!f,section:0,value:0),time:(from:'2017-03-24T19:21:00-0600',mode:absolute,to:'2017-03-24T22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224-24</v>
      </c>
      <c r="L25" s="206">
        <f>IF(VLOOKUP(K25,'Train Runs'!$A$12:$B$999,1,TRUE)=K25,VLOOKUP(K25,'Train Runs'!$A$12:$B$999,2,TRUE),NA())</f>
        <v>4004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368</v>
      </c>
      <c r="C26" s="198" t="s">
        <v>370</v>
      </c>
      <c r="D26" s="212">
        <f>D25+2</f>
        <v>226</v>
      </c>
      <c r="E26" s="30" t="s">
        <v>372</v>
      </c>
      <c r="F26" s="212" t="b">
        <v>1</v>
      </c>
      <c r="G26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"%USERPROFILE%\AppData\Local\Temp\OnboardLogs"\RTDC4019\*4019*201703070*</v>
      </c>
      <c r="I26" s="214" t="str">
        <f>IF(VLOOKUP(K26,'Train Runs'!$A$13:$V$999,1,TRUE)=K26,VLOOKUP(K26,'Train Runs'!$A$13:$V$999,22,TRUE),NA())</f>
        <v>https://d0f6bd738d7f1b3e5a7ca70fe4ff75f0.us-east-1.aws.found.io/app/kibana#/discover/Steve-Slow-Train-Analysis-(2080s-and-2083s)?_g=(refreshInterval:(display:Off,pause:!f,section:0,value:0),time:(from:'2017-03-24T19:51:35-0600',mode:absolute,to:'2017-03-24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226-24</v>
      </c>
      <c r="L26" s="206">
        <f>IF(VLOOKUP(K26,'Train Runs'!$A$12:$B$999,1,TRUE)=K26,VLOOKUP(K26,'Train Runs'!$A$12:$B$999,2,TRUE),NA())</f>
        <v>4019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368</v>
      </c>
      <c r="C27" s="198" t="s">
        <v>370</v>
      </c>
      <c r="D27" s="212">
        <f t="shared" ref="D27:D33" si="5">D26+2</f>
        <v>228</v>
      </c>
      <c r="E27" s="30" t="s">
        <v>372</v>
      </c>
      <c r="F27" s="212" t="b">
        <v>1</v>
      </c>
      <c r="G27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"%USERPROFILE%\AppData\Local\Temp\OnboardLogs"\RTDC4045\*4045*201703070*</v>
      </c>
      <c r="I27" s="214" t="str">
        <f>IF(VLOOKUP(K27,'Train Runs'!$A$13:$V$999,1,TRUE)=K27,VLOOKUP(K27,'Train Runs'!$A$13:$V$999,22,TRUE),NA())</f>
        <v>https://d0f6bd738d7f1b3e5a7ca70fe4ff75f0.us-east-1.aws.found.io/app/kibana#/discover/Steve-Slow-Train-Analysis-(2080s-and-2083s)?_g=(refreshInterval:(display:Off,pause:!f,section:0,value:0),time:(from:'2017-03-24T20:11:22-0600',mode:absolute,to:'2017-03-24T23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228-24</v>
      </c>
      <c r="L27" s="206">
        <f>IF(VLOOKUP(K27,'Train Runs'!$A$12:$B$999,1,TRUE)=K27,VLOOKUP(K27,'Train Runs'!$A$12:$B$999,2,TRUE),NA())</f>
        <v>4045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368</v>
      </c>
      <c r="C28" s="198" t="s">
        <v>370</v>
      </c>
      <c r="D28" s="212">
        <f t="shared" si="5"/>
        <v>230</v>
      </c>
      <c r="E28" s="30" t="s">
        <v>372</v>
      </c>
      <c r="F28" s="212" t="b">
        <v>1</v>
      </c>
      <c r="G28" s="216" t="str">
        <f t="shared" si="0"/>
        <v>"C:\Program Files (x86)\AstroGrep\AstroGrep.exe" /e /r /s /spath="%USERPROFILE%\AppData\Local\Temp\OnboardLogs" /stypes="*4028*201703070*"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"%USERPROFILE%\AppData\Local\Temp\OnboardLogs"\RTDC4028\*4028*201703070*</v>
      </c>
      <c r="I28" s="214" t="str">
        <f>IF(VLOOKUP(K28,'Train Runs'!$A$13:$V$999,1,TRUE)=K28,VLOOKUP(K28,'Train Runs'!$A$13:$V$999,22,TRUE),NA())</f>
        <v>https://d0f6bd738d7f1b3e5a7ca70fe4ff75f0.us-east-1.aws.found.io/app/kibana#/discover/Steve-Slow-Train-Analysis-(2080s-and-2083s)?_g=(refreshInterval:(display:Off,pause:!f,section:0,value:0),time:(from:'2017-03-24T20:55:46-0600',mode:absolute,to:'2017-03-24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230-24</v>
      </c>
      <c r="L28" s="206">
        <f>IF(VLOOKUP(K28,'Train Runs'!$A$12:$B$999,1,TRUE)=K28,VLOOKUP(K28,'Train Runs'!$A$12:$B$999,2,TRUE),NA())</f>
        <v>4028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368</v>
      </c>
      <c r="C29" s="198" t="s">
        <v>370</v>
      </c>
      <c r="D29" s="212">
        <f t="shared" si="5"/>
        <v>232</v>
      </c>
      <c r="E29" s="30" t="s">
        <v>372</v>
      </c>
      <c r="F29" s="212" t="b">
        <v>1</v>
      </c>
      <c r="G29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"%USERPROFILE%\AppData\Local\Temp\OnboardLogs"\RTDC4004\*4004*201703070*</v>
      </c>
      <c r="I29" s="214" t="str">
        <f>IF(VLOOKUP(K29,'Train Runs'!$A$13:$V$999,1,TRUE)=K29,VLOOKUP(K29,'Train Runs'!$A$13:$V$999,22,TRUE),NA())</f>
        <v>https://d0f6bd738d7f1b3e5a7ca70fe4ff75f0.us-east-1.aws.found.io/app/kibana#/discover/Steve-Slow-Train-Analysis-(2080s-and-2083s)?_g=(refreshInterval:(display:Off,pause:!f,section:0,value:0),time:(from:'2017-03-24T21:19:54-0600',mode:absolute,to:'2017-03-25T00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232-24</v>
      </c>
      <c r="L29" s="206">
        <f>IF(VLOOKUP(K29,'Train Runs'!$A$12:$B$999,1,TRUE)=K29,VLOOKUP(K29,'Train Runs'!$A$12:$B$999,2,TRUE),NA())</f>
        <v>4004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368</v>
      </c>
      <c r="C30" s="198" t="s">
        <v>370</v>
      </c>
      <c r="D30" s="212">
        <f t="shared" si="5"/>
        <v>234</v>
      </c>
      <c r="E30" s="30" t="s">
        <v>372</v>
      </c>
      <c r="F30" s="212" t="b">
        <v>1</v>
      </c>
      <c r="G30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"%USERPROFILE%\AppData\Local\Temp\OnboardLogs"\RTDC4019\*4019*201703070*</v>
      </c>
      <c r="I30" s="214" t="str">
        <f>IF(VLOOKUP(K30,'Train Runs'!$A$13:$V$999,1,TRUE)=K30,VLOOKUP(K30,'Train Runs'!$A$13:$V$999,22,TRUE),NA())</f>
        <v>https://d0f6bd738d7f1b3e5a7ca70fe4ff75f0.us-east-1.aws.found.io/app/kibana#/discover/Steve-Slow-Train-Analysis-(2080s-and-2083s)?_g=(refreshInterval:(display:Off,pause:!f,section:0,value:0),time:(from:'2017-03-24T21:50:45-0600',mode:absolute,to:'2017-03-25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234-24</v>
      </c>
      <c r="L30" s="206">
        <f>IF(VLOOKUP(K30,'Train Runs'!$A$12:$B$999,1,TRUE)=K30,VLOOKUP(K30,'Train Runs'!$A$12:$B$999,2,TRUE),NA())</f>
        <v>4019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368</v>
      </c>
      <c r="C31" s="198" t="s">
        <v>370</v>
      </c>
      <c r="D31" s="212">
        <f t="shared" si="5"/>
        <v>236</v>
      </c>
      <c r="E31" s="30" t="s">
        <v>372</v>
      </c>
      <c r="F31" s="212" t="b">
        <v>1</v>
      </c>
      <c r="G31" s="216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"%USERPROFILE%\AppData\Local\Temp\OnboardLogs"\RTDC4045\*4045*201703070*</v>
      </c>
      <c r="I31" s="214" t="str">
        <f>IF(VLOOKUP(K31,'Train Runs'!$A$13:$V$999,1,TRUE)=K31,VLOOKUP(K31,'Train Runs'!$A$13:$V$999,22,TRUE),NA())</f>
        <v>https://d0f6bd738d7f1b3e5a7ca70fe4ff75f0.us-east-1.aws.found.io/app/kibana#/discover/Steve-Slow-Train-Analysis-(2080s-and-2083s)?_g=(refreshInterval:(display:Off,pause:!f,section:0,value:0),time:(from:'2017-03-24T22:15:07-0600',mode:absolute,to:'2017-03-25T01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236-24</v>
      </c>
      <c r="L31" s="206">
        <f>IF(VLOOKUP(K31,'Train Runs'!$A$12:$B$999,1,TRUE)=K31,VLOOKUP(K31,'Train Runs'!$A$12:$B$999,2,TRUE),NA())</f>
        <v>4045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368</v>
      </c>
      <c r="C32" s="198" t="s">
        <v>370</v>
      </c>
      <c r="D32" s="212">
        <f t="shared" si="5"/>
        <v>238</v>
      </c>
      <c r="E32" s="30" t="s">
        <v>372</v>
      </c>
      <c r="F32" s="212" t="b">
        <v>1</v>
      </c>
      <c r="G32" s="216" t="str">
        <f t="shared" si="0"/>
        <v>"C:\Program Files (x86)\AstroGrep\AstroGrep.exe" /e /r /s /spath="%USERPROFILE%\AppData\Local\Temp\OnboardLogs" /stypes="*4028*201703070*"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"%USERPROFILE%\AppData\Local\Temp\OnboardLogs"\RTDC4028\*4028*201703070*</v>
      </c>
      <c r="I32" s="214" t="str">
        <f>IF(VLOOKUP(K32,'Train Runs'!$A$13:$V$999,1,TRUE)=K32,VLOOKUP(K32,'Train Runs'!$A$13:$V$999,22,TRUE),NA())</f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238-24</v>
      </c>
      <c r="L32" s="206">
        <f>IF(VLOOKUP(K32,'Train Runs'!$A$12:$B$999,1,TRUE)=K32,VLOOKUP(K32,'Train Runs'!$A$12:$B$999,2,TRUE),NA())</f>
        <v>4028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368</v>
      </c>
      <c r="C33" s="198" t="s">
        <v>370</v>
      </c>
      <c r="D33" s="212">
        <f t="shared" si="5"/>
        <v>240</v>
      </c>
      <c r="E33" s="30" t="s">
        <v>372</v>
      </c>
      <c r="F33" s="212" t="b">
        <v>1</v>
      </c>
      <c r="G33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"%USERPROFILE%\AppData\Local\Temp\OnboardLogs"\RTDC4004\*4004*201703070*</v>
      </c>
      <c r="I33" s="214" t="str">
        <f>IF(VLOOKUP(K33,'Train Runs'!$A$13:$V$999,1,TRUE)=K33,VLOOKUP(K33,'Train Runs'!$A$13:$V$999,22,TRUE),NA())</f>
        <v>https://d0f6bd738d7f1b3e5a7ca70fe4ff75f0.us-east-1.aws.found.io/app/kibana#/discover/Steve-Slow-Train-Analysis-(2080s-and-2083s)?_g=(refreshInterval:(display:Off,pause:!f,section:0,value:0),time:(from:'2017-03-24T23:23:11-0600',mode:absolute,to:'2017-03-25T02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240-24</v>
      </c>
      <c r="L33" s="206">
        <f>IF(VLOOKUP(K33,'Train Runs'!$A$12:$B$999,1,TRUE)=K33,VLOOKUP(K33,'Train Runs'!$A$12:$B$999,2,TRUE),NA())</f>
        <v>4004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368</v>
      </c>
      <c r="C34" s="198" t="s">
        <v>370</v>
      </c>
      <c r="D34" s="212">
        <v>240</v>
      </c>
      <c r="E34" s="30" t="s">
        <v>372</v>
      </c>
      <c r="F34" s="212" t="b">
        <v>1</v>
      </c>
      <c r="G34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"%USERPROFILE%\AppData\Local\Temp\OnboardLogs"\RTDC4004\*4004*201703070*</v>
      </c>
      <c r="I34" s="214" t="str">
        <f>IF(VLOOKUP(K34,'Train Runs'!$A$13:$V$999,1,TRUE)=K34,VLOOKUP(K34,'Train Runs'!$A$13:$V$999,22,TRUE),NA())</f>
        <v>https://d0f6bd738d7f1b3e5a7ca70fe4ff75f0.us-east-1.aws.found.io/app/kibana#/discover/Steve-Slow-Train-Analysis-(2080s-and-2083s)?_g=(refreshInterval:(display:Off,pause:!f,section:0,value:0),time:(from:'2017-03-24T23:23:11-0600',mode:absolute,to:'2017-03-25T02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240-24</v>
      </c>
      <c r="L34" s="206">
        <f>IF(VLOOKUP(K34,'Train Runs'!$A$12:$B$999,1,TRUE)=K34,VLOOKUP(K34,'Train Runs'!$A$12:$B$999,2,TRUE),NA())</f>
        <v>4004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368</v>
      </c>
      <c r="C35" s="198" t="s">
        <v>370</v>
      </c>
      <c r="D35" s="212">
        <v>242</v>
      </c>
      <c r="E35" s="30" t="s">
        <v>372</v>
      </c>
      <c r="F35" s="212" t="b">
        <v>1</v>
      </c>
      <c r="G35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"%USERPROFILE%\AppData\Local\Temp\OnboardLogs"\RTDC4019\*4019*201703070*</v>
      </c>
      <c r="I35" s="214" t="str">
        <f>IF(VLOOKUP(K35,'Train Runs'!$A$13:$V$999,1,TRUE)=K35,VLOOKUP(K35,'Train Runs'!$A$13:$V$999,22,TRUE),NA())</f>
        <v>https://d0f6bd738d7f1b3e5a7ca70fe4ff75f0.us-east-1.aws.found.io/app/kibana#/discover/Steve-Slow-Train-Analysis-(2080s-and-2083s)?_g=(refreshInterval:(display:Off,pause:!f,section:0,value:0),time:(from:'2017-03-24T23:48:01-0600',mode:absolute,to:'2017-03-25T02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242-24</v>
      </c>
      <c r="L35" s="206">
        <f>IF(VLOOKUP(K35,'Train Runs'!$A$12:$B$999,1,TRUE)=K35,VLOOKUP(K35,'Train Runs'!$A$12:$B$999,2,TRUE),NA())</f>
        <v>4019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42818.031527777777</v>
      </c>
      <c r="B2" s="20" t="s">
        <v>536</v>
      </c>
      <c r="C2" s="20" t="s">
        <v>547</v>
      </c>
      <c r="D2" s="150">
        <v>2270000</v>
      </c>
      <c r="E2" s="20" t="s">
        <v>210</v>
      </c>
      <c r="F2" s="20" t="s">
        <v>211</v>
      </c>
      <c r="G2" s="8" t="str">
        <f>E2&amp;" "&amp;F2</f>
        <v>BROWN JACOB</v>
      </c>
    </row>
    <row r="3" spans="1:7" x14ac:dyDescent="0.25">
      <c r="A3" s="8">
        <v>42818.044849537036</v>
      </c>
      <c r="B3" s="20" t="s">
        <v>535</v>
      </c>
      <c r="C3" s="20" t="s">
        <v>546</v>
      </c>
      <c r="D3" s="150">
        <v>2480000</v>
      </c>
      <c r="E3" s="20" t="s">
        <v>542</v>
      </c>
      <c r="F3" s="20" t="s">
        <v>543</v>
      </c>
      <c r="G3" s="8" t="str">
        <f t="shared" ref="G3:G66" si="0">E3&amp;" "&amp;F3</f>
        <v>WHITED DUSTIN</v>
      </c>
    </row>
    <row r="4" spans="1:7" x14ac:dyDescent="0.25">
      <c r="A4" s="8">
        <v>42818.053576388891</v>
      </c>
      <c r="B4" s="20" t="s">
        <v>397</v>
      </c>
      <c r="C4" s="20" t="s">
        <v>548</v>
      </c>
      <c r="D4" s="150">
        <v>1810000</v>
      </c>
      <c r="E4" s="20" t="s">
        <v>454</v>
      </c>
      <c r="F4" s="20" t="s">
        <v>195</v>
      </c>
      <c r="G4" s="8" t="str">
        <f t="shared" si="0"/>
        <v>NEWELL JAMES</v>
      </c>
    </row>
    <row r="5" spans="1:7" x14ac:dyDescent="0.25">
      <c r="A5" s="8">
        <v>42818.05841435185</v>
      </c>
      <c r="B5" s="20" t="s">
        <v>507</v>
      </c>
      <c r="C5" s="20" t="s">
        <v>546</v>
      </c>
      <c r="D5" s="150">
        <v>2480000</v>
      </c>
      <c r="E5" s="20" t="s">
        <v>542</v>
      </c>
      <c r="F5" s="20" t="s">
        <v>543</v>
      </c>
      <c r="G5" s="8" t="str">
        <f t="shared" si="0"/>
        <v>WHITED DUSTIN</v>
      </c>
    </row>
    <row r="6" spans="1:7" x14ac:dyDescent="0.25">
      <c r="A6" s="8">
        <v>42818.062881944446</v>
      </c>
      <c r="B6" s="20" t="s">
        <v>450</v>
      </c>
      <c r="C6" s="20" t="s">
        <v>549</v>
      </c>
      <c r="D6" s="150">
        <v>1800000</v>
      </c>
      <c r="E6" s="20" t="s">
        <v>451</v>
      </c>
      <c r="F6" s="20" t="s">
        <v>452</v>
      </c>
      <c r="G6" s="8" t="str">
        <f t="shared" si="0"/>
        <v>CHANDLER KELVIN</v>
      </c>
    </row>
    <row r="7" spans="1:7" x14ac:dyDescent="0.25">
      <c r="A7" s="8">
        <v>42818.072418981479</v>
      </c>
      <c r="B7" s="20" t="s">
        <v>482</v>
      </c>
      <c r="C7" s="20" t="s">
        <v>550</v>
      </c>
      <c r="D7" s="150">
        <v>2150000</v>
      </c>
      <c r="E7" s="20" t="s">
        <v>383</v>
      </c>
      <c r="F7" s="20" t="s">
        <v>384</v>
      </c>
      <c r="G7" s="8" t="str">
        <f t="shared" si="0"/>
        <v>SWANSON BRYCE</v>
      </c>
    </row>
    <row r="8" spans="1:7" x14ac:dyDescent="0.25">
      <c r="A8" s="8">
        <v>42818.097743055558</v>
      </c>
      <c r="B8" s="20" t="s">
        <v>535</v>
      </c>
      <c r="C8" s="20" t="s">
        <v>546</v>
      </c>
      <c r="D8" s="150">
        <v>2480000</v>
      </c>
      <c r="E8" s="20" t="s">
        <v>542</v>
      </c>
      <c r="F8" s="20" t="s">
        <v>543</v>
      </c>
      <c r="G8" s="8" t="str">
        <f t="shared" si="0"/>
        <v>WHITED DUSTIN</v>
      </c>
    </row>
    <row r="9" spans="1:7" ht="15.75" thickBot="1" x14ac:dyDescent="0.3">
      <c r="A9" s="24">
        <v>42818.105393518519</v>
      </c>
      <c r="B9" s="20" t="s">
        <v>398</v>
      </c>
      <c r="C9" s="20" t="s">
        <v>551</v>
      </c>
      <c r="D9" s="150">
        <v>1810000</v>
      </c>
      <c r="E9" s="20" t="s">
        <v>454</v>
      </c>
      <c r="F9" s="20" t="s">
        <v>195</v>
      </c>
      <c r="G9" s="8" t="str">
        <f t="shared" si="0"/>
        <v>NEWELL JAMES</v>
      </c>
    </row>
    <row r="10" spans="1:7" x14ac:dyDescent="0.25">
      <c r="A10" s="8">
        <v>42818.107476851852</v>
      </c>
      <c r="B10" s="20" t="s">
        <v>398</v>
      </c>
      <c r="C10" s="20" t="s">
        <v>551</v>
      </c>
      <c r="D10" s="150">
        <v>1810000</v>
      </c>
      <c r="E10" s="20" t="s">
        <v>454</v>
      </c>
      <c r="F10" s="20" t="s">
        <v>195</v>
      </c>
      <c r="G10" s="8" t="str">
        <f t="shared" si="0"/>
        <v>NEWELL JAMES</v>
      </c>
    </row>
    <row r="11" spans="1:7" x14ac:dyDescent="0.25">
      <c r="A11" s="8">
        <v>42818.109699074077</v>
      </c>
      <c r="B11" s="20" t="s">
        <v>398</v>
      </c>
      <c r="C11" s="20" t="s">
        <v>551</v>
      </c>
      <c r="D11" s="150">
        <v>1810000</v>
      </c>
      <c r="E11" s="20" t="s">
        <v>454</v>
      </c>
      <c r="F11" s="20" t="s">
        <v>195</v>
      </c>
      <c r="G11" s="8" t="str">
        <f t="shared" si="0"/>
        <v>NEWELL JAMES</v>
      </c>
    </row>
    <row r="12" spans="1:7" x14ac:dyDescent="0.25">
      <c r="A12" s="8">
        <v>42818.115173611113</v>
      </c>
      <c r="B12" s="20" t="s">
        <v>447</v>
      </c>
      <c r="C12" s="20" t="s">
        <v>600</v>
      </c>
      <c r="D12" s="150">
        <v>1090000</v>
      </c>
      <c r="E12" s="20" t="s">
        <v>632</v>
      </c>
      <c r="F12" s="20" t="s">
        <v>198</v>
      </c>
      <c r="G12" s="8" t="str">
        <f t="shared" si="0"/>
        <v>SPECTOR MICHAEL</v>
      </c>
    </row>
    <row r="13" spans="1:7" x14ac:dyDescent="0.25">
      <c r="A13" s="8">
        <v>42818.1171412037</v>
      </c>
      <c r="B13" s="20" t="s">
        <v>448</v>
      </c>
      <c r="C13" s="20" t="s">
        <v>633</v>
      </c>
      <c r="D13" s="150">
        <v>2550000</v>
      </c>
      <c r="E13" s="20" t="s">
        <v>505</v>
      </c>
      <c r="F13" s="20" t="s">
        <v>506</v>
      </c>
      <c r="G13" s="8" t="str">
        <f t="shared" si="0"/>
        <v>BADERTSCHER DIANE</v>
      </c>
    </row>
    <row r="14" spans="1:7" x14ac:dyDescent="0.25">
      <c r="A14" s="8">
        <v>42818.13585648148</v>
      </c>
      <c r="B14" s="20" t="s">
        <v>392</v>
      </c>
      <c r="C14" s="20" t="s">
        <v>634</v>
      </c>
      <c r="D14" s="150">
        <v>2550000</v>
      </c>
      <c r="E14" s="20" t="s">
        <v>505</v>
      </c>
      <c r="F14" s="20" t="s">
        <v>506</v>
      </c>
      <c r="G14" s="8" t="str">
        <f t="shared" si="0"/>
        <v>BADERTSCHER DIANE</v>
      </c>
    </row>
    <row r="15" spans="1:7" x14ac:dyDescent="0.25">
      <c r="A15" s="8">
        <v>42818.138738425929</v>
      </c>
      <c r="B15" s="20" t="s">
        <v>390</v>
      </c>
      <c r="C15" s="20" t="s">
        <v>635</v>
      </c>
      <c r="D15" s="150">
        <v>1990000</v>
      </c>
      <c r="E15" s="20" t="s">
        <v>636</v>
      </c>
      <c r="F15" s="20" t="s">
        <v>637</v>
      </c>
      <c r="G15" s="8" t="str">
        <f t="shared" si="0"/>
        <v>DAVIS WENDY</v>
      </c>
    </row>
    <row r="16" spans="1:7" x14ac:dyDescent="0.25">
      <c r="A16" s="8">
        <v>42818.139618055553</v>
      </c>
      <c r="B16" s="20" t="s">
        <v>446</v>
      </c>
      <c r="C16" s="20" t="s">
        <v>638</v>
      </c>
      <c r="D16" s="150">
        <v>1090000</v>
      </c>
      <c r="E16" s="20" t="s">
        <v>632</v>
      </c>
      <c r="F16" s="20" t="s">
        <v>198</v>
      </c>
      <c r="G16" s="8" t="str">
        <f t="shared" si="0"/>
        <v>SPECTOR MICHAEL</v>
      </c>
    </row>
    <row r="17" spans="1:7" x14ac:dyDescent="0.25">
      <c r="A17" s="8">
        <v>42818.151331018518</v>
      </c>
      <c r="B17" s="20" t="s">
        <v>388</v>
      </c>
      <c r="C17" s="20" t="s">
        <v>639</v>
      </c>
      <c r="D17" s="150">
        <v>1990000</v>
      </c>
      <c r="E17" s="20" t="s">
        <v>636</v>
      </c>
      <c r="F17" s="20" t="s">
        <v>637</v>
      </c>
      <c r="G17" s="8" t="str">
        <f t="shared" si="0"/>
        <v>DAVIS WENDY</v>
      </c>
    </row>
    <row r="18" spans="1:7" x14ac:dyDescent="0.25">
      <c r="A18" s="8">
        <v>42818.159583333334</v>
      </c>
      <c r="B18" s="20" t="s">
        <v>405</v>
      </c>
      <c r="C18" s="20" t="s">
        <v>601</v>
      </c>
      <c r="D18" s="150">
        <v>2140000</v>
      </c>
      <c r="E18" s="20" t="s">
        <v>537</v>
      </c>
      <c r="F18" s="20" t="s">
        <v>538</v>
      </c>
      <c r="G18" s="8" t="str">
        <f t="shared" si="0"/>
        <v>ROBINSON KADDIBA</v>
      </c>
    </row>
    <row r="19" spans="1:7" x14ac:dyDescent="0.25">
      <c r="A19" s="8">
        <v>42818.160636574074</v>
      </c>
      <c r="B19" s="20" t="s">
        <v>405</v>
      </c>
      <c r="C19" s="20" t="s">
        <v>601</v>
      </c>
      <c r="D19" s="150">
        <v>2140000</v>
      </c>
      <c r="E19" s="20" t="s">
        <v>537</v>
      </c>
      <c r="F19" s="20" t="s">
        <v>538</v>
      </c>
      <c r="G19" s="8" t="str">
        <f t="shared" si="0"/>
        <v>ROBINSON KADDIBA</v>
      </c>
    </row>
    <row r="20" spans="1:7" x14ac:dyDescent="0.25">
      <c r="A20" s="8">
        <v>42818.161863425928</v>
      </c>
      <c r="B20" s="20" t="s">
        <v>405</v>
      </c>
      <c r="C20" s="20" t="s">
        <v>601</v>
      </c>
      <c r="D20" s="150">
        <v>2140000</v>
      </c>
      <c r="E20" s="20" t="s">
        <v>537</v>
      </c>
      <c r="F20" s="20" t="s">
        <v>538</v>
      </c>
      <c r="G20" s="8" t="str">
        <f t="shared" si="0"/>
        <v>ROBINSON KADDIBA</v>
      </c>
    </row>
    <row r="21" spans="1:7" x14ac:dyDescent="0.25">
      <c r="A21" s="8">
        <v>42818.163541666669</v>
      </c>
      <c r="B21" s="20" t="s">
        <v>447</v>
      </c>
      <c r="C21" s="20" t="s">
        <v>600</v>
      </c>
      <c r="D21" s="150">
        <v>1090000</v>
      </c>
      <c r="E21" s="20" t="s">
        <v>632</v>
      </c>
      <c r="F21" s="20" t="s">
        <v>198</v>
      </c>
      <c r="G21" s="8" t="str">
        <f t="shared" si="0"/>
        <v>SPECTOR MICHAEL</v>
      </c>
    </row>
    <row r="22" spans="1:7" x14ac:dyDescent="0.25">
      <c r="A22" s="26">
        <v>42818.174375000002</v>
      </c>
      <c r="B22" s="20" t="s">
        <v>406</v>
      </c>
      <c r="C22" s="20" t="s">
        <v>640</v>
      </c>
      <c r="D22" s="150">
        <v>2140000</v>
      </c>
      <c r="E22" s="20" t="s">
        <v>537</v>
      </c>
      <c r="F22" s="20" t="s">
        <v>538</v>
      </c>
      <c r="G22" s="8" t="str">
        <f t="shared" si="0"/>
        <v>ROBINSON KADDIBA</v>
      </c>
    </row>
    <row r="23" spans="1:7" x14ac:dyDescent="0.25">
      <c r="A23" s="8">
        <v>42818.174456018518</v>
      </c>
      <c r="B23" s="20" t="s">
        <v>500</v>
      </c>
      <c r="C23" s="20" t="s">
        <v>641</v>
      </c>
      <c r="D23" s="150">
        <v>1110000</v>
      </c>
      <c r="E23" s="20" t="s">
        <v>465</v>
      </c>
      <c r="F23" s="20" t="s">
        <v>466</v>
      </c>
      <c r="G23" s="8" t="str">
        <f t="shared" si="0"/>
        <v>STARKS ANGELINA</v>
      </c>
    </row>
    <row r="24" spans="1:7" x14ac:dyDescent="0.25">
      <c r="A24" s="8">
        <v>42818.175740740742</v>
      </c>
      <c r="B24" s="20" t="s">
        <v>500</v>
      </c>
      <c r="C24" s="20" t="s">
        <v>641</v>
      </c>
      <c r="D24" s="150">
        <v>1110000</v>
      </c>
      <c r="E24" s="20" t="s">
        <v>465</v>
      </c>
      <c r="F24" s="20" t="s">
        <v>466</v>
      </c>
      <c r="G24" s="8" t="str">
        <f t="shared" si="0"/>
        <v>STARKS ANGELINA</v>
      </c>
    </row>
    <row r="25" spans="1:7" x14ac:dyDescent="0.25">
      <c r="A25" s="8">
        <v>42818.176666666666</v>
      </c>
      <c r="B25" s="20" t="s">
        <v>500</v>
      </c>
      <c r="C25" s="20" t="s">
        <v>641</v>
      </c>
      <c r="D25" s="150">
        <v>1110000</v>
      </c>
      <c r="E25" s="20" t="s">
        <v>465</v>
      </c>
      <c r="F25" s="20" t="s">
        <v>466</v>
      </c>
      <c r="G25" s="8" t="str">
        <f t="shared" si="0"/>
        <v>STARKS ANGELINA</v>
      </c>
    </row>
    <row r="26" spans="1:7" x14ac:dyDescent="0.25">
      <c r="A26" s="8">
        <v>42818.177129629628</v>
      </c>
      <c r="B26" s="20" t="s">
        <v>446</v>
      </c>
      <c r="C26" s="20" t="s">
        <v>638</v>
      </c>
      <c r="D26" s="150">
        <v>1090000</v>
      </c>
      <c r="E26" s="20" t="s">
        <v>632</v>
      </c>
      <c r="F26" s="20" t="s">
        <v>198</v>
      </c>
      <c r="G26" s="8" t="str">
        <f t="shared" si="0"/>
        <v>SPECTOR MICHAEL</v>
      </c>
    </row>
    <row r="27" spans="1:7" x14ac:dyDescent="0.25">
      <c r="A27" s="8">
        <v>42818.177916666667</v>
      </c>
      <c r="B27" s="20" t="s">
        <v>448</v>
      </c>
      <c r="C27" s="20" t="s">
        <v>642</v>
      </c>
      <c r="D27" s="150">
        <v>2550000</v>
      </c>
      <c r="E27" s="20" t="s">
        <v>505</v>
      </c>
      <c r="F27" s="20" t="s">
        <v>506</v>
      </c>
      <c r="G27" s="8" t="str">
        <f t="shared" si="0"/>
        <v>BADERTSCHER DIANE</v>
      </c>
    </row>
    <row r="28" spans="1:7" x14ac:dyDescent="0.25">
      <c r="A28" s="8">
        <v>42818.186192129629</v>
      </c>
      <c r="B28" s="20" t="s">
        <v>503</v>
      </c>
      <c r="C28" s="20" t="s">
        <v>643</v>
      </c>
      <c r="D28" s="150">
        <v>1110000</v>
      </c>
      <c r="E28" s="20" t="s">
        <v>465</v>
      </c>
      <c r="F28" s="20" t="s">
        <v>466</v>
      </c>
      <c r="G28" s="8" t="str">
        <f t="shared" si="0"/>
        <v>STARKS ANGELINA</v>
      </c>
    </row>
    <row r="29" spans="1:7" x14ac:dyDescent="0.25">
      <c r="A29" s="8">
        <v>42818.187314814815</v>
      </c>
      <c r="B29" s="20" t="s">
        <v>503</v>
      </c>
      <c r="C29" s="20" t="s">
        <v>643</v>
      </c>
      <c r="D29" s="150">
        <v>1110000</v>
      </c>
      <c r="E29" s="20" t="s">
        <v>465</v>
      </c>
      <c r="F29" s="20" t="s">
        <v>466</v>
      </c>
      <c r="G29" s="8" t="str">
        <f t="shared" si="0"/>
        <v>STARKS ANGELINA</v>
      </c>
    </row>
    <row r="30" spans="1:7" x14ac:dyDescent="0.25">
      <c r="A30" s="8">
        <v>42818.187418981484</v>
      </c>
      <c r="B30" s="20" t="s">
        <v>502</v>
      </c>
      <c r="C30" s="20" t="s">
        <v>644</v>
      </c>
      <c r="D30" s="150">
        <v>890000</v>
      </c>
      <c r="E30" s="20" t="s">
        <v>483</v>
      </c>
      <c r="F30" s="20" t="s">
        <v>484</v>
      </c>
      <c r="G30" s="8" t="str">
        <f t="shared" si="0"/>
        <v>LOZA FIDEL</v>
      </c>
    </row>
    <row r="31" spans="1:7" x14ac:dyDescent="0.25">
      <c r="A31" s="8">
        <v>42818.188310185185</v>
      </c>
      <c r="B31" s="20" t="s">
        <v>502</v>
      </c>
      <c r="C31" s="20" t="s">
        <v>644</v>
      </c>
      <c r="D31" s="150">
        <v>890000</v>
      </c>
      <c r="E31" s="20" t="s">
        <v>483</v>
      </c>
      <c r="F31" s="20" t="s">
        <v>484</v>
      </c>
      <c r="G31" s="8" t="str">
        <f t="shared" si="0"/>
        <v>LOZA FIDEL</v>
      </c>
    </row>
    <row r="32" spans="1:7" x14ac:dyDescent="0.25">
      <c r="A32" s="8">
        <v>42818.190138888887</v>
      </c>
      <c r="B32" s="20" t="s">
        <v>502</v>
      </c>
      <c r="C32" s="20" t="s">
        <v>644</v>
      </c>
      <c r="D32" s="150">
        <v>890000</v>
      </c>
      <c r="E32" s="20" t="s">
        <v>483</v>
      </c>
      <c r="F32" s="20" t="s">
        <v>484</v>
      </c>
      <c r="G32" s="8" t="str">
        <f t="shared" si="0"/>
        <v>LOZA FIDEL</v>
      </c>
    </row>
    <row r="33" spans="1:7" x14ac:dyDescent="0.25">
      <c r="A33" s="8">
        <v>42818.193402777775</v>
      </c>
      <c r="B33" s="20" t="s">
        <v>390</v>
      </c>
      <c r="C33" s="20" t="s">
        <v>603</v>
      </c>
      <c r="D33" s="150">
        <v>1990000</v>
      </c>
      <c r="E33" s="20" t="s">
        <v>636</v>
      </c>
      <c r="F33" s="20" t="s">
        <v>637</v>
      </c>
      <c r="G33" s="8" t="str">
        <f t="shared" si="0"/>
        <v>DAVIS WENDY</v>
      </c>
    </row>
    <row r="34" spans="1:7" x14ac:dyDescent="0.25">
      <c r="A34" s="8">
        <v>42818.198946759258</v>
      </c>
      <c r="B34" s="20" t="s">
        <v>501</v>
      </c>
      <c r="C34" s="20" t="s">
        <v>645</v>
      </c>
      <c r="D34" s="150">
        <v>890000</v>
      </c>
      <c r="E34" s="20" t="s">
        <v>483</v>
      </c>
      <c r="F34" s="20" t="s">
        <v>484</v>
      </c>
      <c r="G34" s="8" t="str">
        <f t="shared" si="0"/>
        <v>LOZA FIDEL</v>
      </c>
    </row>
    <row r="35" spans="1:7" x14ac:dyDescent="0.25">
      <c r="A35" s="8">
        <v>42818.200543981482</v>
      </c>
      <c r="B35" s="20" t="s">
        <v>646</v>
      </c>
      <c r="C35" s="20" t="s">
        <v>647</v>
      </c>
      <c r="D35" s="150">
        <v>1100000</v>
      </c>
      <c r="E35" s="20" t="s">
        <v>508</v>
      </c>
      <c r="F35" s="20" t="s">
        <v>509</v>
      </c>
      <c r="G35" s="8" t="str">
        <f t="shared" si="0"/>
        <v>GEBRETEKLE DAGNEW</v>
      </c>
    </row>
    <row r="36" spans="1:7" x14ac:dyDescent="0.25">
      <c r="A36" s="8">
        <v>42818.202696759261</v>
      </c>
      <c r="B36" s="20" t="s">
        <v>503</v>
      </c>
      <c r="C36" s="20" t="s">
        <v>643</v>
      </c>
      <c r="D36" s="150">
        <v>1110000</v>
      </c>
      <c r="E36" s="20" t="s">
        <v>465</v>
      </c>
      <c r="F36" s="20" t="s">
        <v>466</v>
      </c>
      <c r="G36" s="8" t="str">
        <f t="shared" si="0"/>
        <v>STARKS ANGELINA</v>
      </c>
    </row>
    <row r="37" spans="1:7" x14ac:dyDescent="0.25">
      <c r="A37" s="8">
        <v>42818.210451388892</v>
      </c>
      <c r="B37" s="20" t="s">
        <v>604</v>
      </c>
      <c r="C37" s="20" t="s">
        <v>648</v>
      </c>
      <c r="D37" s="150">
        <v>1100000</v>
      </c>
      <c r="E37" s="20" t="s">
        <v>508</v>
      </c>
      <c r="F37" s="20" t="s">
        <v>509</v>
      </c>
      <c r="G37" s="8" t="str">
        <f t="shared" si="0"/>
        <v>GEBRETEKLE DAGNEW</v>
      </c>
    </row>
    <row r="38" spans="1:7" x14ac:dyDescent="0.25">
      <c r="A38" s="8">
        <v>42818.213726851849</v>
      </c>
      <c r="B38" s="20" t="s">
        <v>405</v>
      </c>
      <c r="C38" s="20" t="s">
        <v>649</v>
      </c>
      <c r="D38" s="150">
        <v>2140000</v>
      </c>
      <c r="E38" s="20" t="s">
        <v>537</v>
      </c>
      <c r="F38" s="20" t="s">
        <v>538</v>
      </c>
      <c r="G38" s="8" t="str">
        <f t="shared" si="0"/>
        <v>ROBINSON KADDIBA</v>
      </c>
    </row>
    <row r="39" spans="1:7" x14ac:dyDescent="0.25">
      <c r="A39" s="8">
        <v>42818.213877314818</v>
      </c>
      <c r="B39" s="20" t="s">
        <v>392</v>
      </c>
      <c r="C39" s="20" t="s">
        <v>602</v>
      </c>
      <c r="D39" s="150">
        <v>2970000</v>
      </c>
      <c r="E39" s="20" t="s">
        <v>467</v>
      </c>
      <c r="F39" s="20" t="s">
        <v>468</v>
      </c>
      <c r="G39" s="8" t="str">
        <f t="shared" si="0"/>
        <v>GUZMAN DANNY</v>
      </c>
    </row>
    <row r="40" spans="1:7" x14ac:dyDescent="0.25">
      <c r="A40" s="8">
        <v>42818.227511574078</v>
      </c>
      <c r="B40" s="25" t="s">
        <v>646</v>
      </c>
      <c r="C40" s="20" t="s">
        <v>650</v>
      </c>
      <c r="D40" s="150">
        <v>1100000</v>
      </c>
      <c r="E40" s="20" t="s">
        <v>508</v>
      </c>
      <c r="F40" s="20" t="s">
        <v>509</v>
      </c>
      <c r="G40" s="8" t="str">
        <f t="shared" si="0"/>
        <v>GEBRETEKLE DAGNEW</v>
      </c>
    </row>
    <row r="41" spans="1:7" x14ac:dyDescent="0.25">
      <c r="A41" s="8">
        <v>42818.229490740741</v>
      </c>
      <c r="B41" s="20" t="s">
        <v>388</v>
      </c>
      <c r="C41" s="20" t="s">
        <v>651</v>
      </c>
      <c r="D41" s="150">
        <v>900000</v>
      </c>
      <c r="E41" s="20" t="s">
        <v>652</v>
      </c>
      <c r="F41" s="20" t="s">
        <v>653</v>
      </c>
      <c r="G41" s="8" t="str">
        <f t="shared" si="0"/>
        <v>ROCHA YAOTL</v>
      </c>
    </row>
    <row r="42" spans="1:7" x14ac:dyDescent="0.25">
      <c r="A42" s="8">
        <v>42818.24009259259</v>
      </c>
      <c r="B42" s="20" t="s">
        <v>447</v>
      </c>
      <c r="C42" s="20" t="s">
        <v>654</v>
      </c>
      <c r="D42" s="150">
        <v>1230000</v>
      </c>
      <c r="E42" s="20" t="s">
        <v>655</v>
      </c>
      <c r="F42" s="20" t="s">
        <v>656</v>
      </c>
      <c r="G42" s="8" t="str">
        <f t="shared" si="0"/>
        <v>YANAI IAN</v>
      </c>
    </row>
    <row r="43" spans="1:7" x14ac:dyDescent="0.25">
      <c r="A43" s="8">
        <v>42818.245000000003</v>
      </c>
      <c r="B43" s="20" t="s">
        <v>500</v>
      </c>
      <c r="C43" s="20" t="s">
        <v>657</v>
      </c>
      <c r="D43" s="150">
        <v>1110000</v>
      </c>
      <c r="E43" s="20" t="s">
        <v>465</v>
      </c>
      <c r="F43" s="20" t="s">
        <v>466</v>
      </c>
      <c r="G43" s="8" t="str">
        <f t="shared" si="0"/>
        <v>STARKS ANGELINA</v>
      </c>
    </row>
    <row r="44" spans="1:7" x14ac:dyDescent="0.25">
      <c r="A44" s="8">
        <v>42818.24722222222</v>
      </c>
      <c r="B44" s="20" t="s">
        <v>404</v>
      </c>
      <c r="C44" s="20" t="s">
        <v>658</v>
      </c>
      <c r="D44" s="150">
        <v>2020000</v>
      </c>
      <c r="E44" s="20" t="s">
        <v>539</v>
      </c>
      <c r="F44" s="20" t="s">
        <v>510</v>
      </c>
      <c r="G44" s="8" t="str">
        <f t="shared" si="0"/>
        <v>SHOOK JOHN</v>
      </c>
    </row>
    <row r="45" spans="1:7" x14ac:dyDescent="0.25">
      <c r="A45" s="8">
        <v>42818.255173611113</v>
      </c>
      <c r="B45" s="20" t="s">
        <v>604</v>
      </c>
      <c r="C45" s="20" t="s">
        <v>605</v>
      </c>
      <c r="D45" s="150">
        <v>1100000</v>
      </c>
      <c r="E45" s="20" t="s">
        <v>508</v>
      </c>
      <c r="F45" s="20" t="s">
        <v>509</v>
      </c>
      <c r="G45" s="8" t="str">
        <f t="shared" si="0"/>
        <v>GEBRETEKLE DAGNEW</v>
      </c>
    </row>
    <row r="46" spans="1:7" x14ac:dyDescent="0.25">
      <c r="A46" s="8">
        <v>42818.25990740741</v>
      </c>
      <c r="B46" s="20" t="s">
        <v>448</v>
      </c>
      <c r="C46" s="20" t="s">
        <v>659</v>
      </c>
      <c r="D46" s="150">
        <v>2550000</v>
      </c>
      <c r="E46" s="20" t="s">
        <v>505</v>
      </c>
      <c r="F46" s="20" t="s">
        <v>506</v>
      </c>
      <c r="G46" s="8" t="str">
        <f t="shared" si="0"/>
        <v>BADERTSCHER DIANE</v>
      </c>
    </row>
    <row r="47" spans="1:7" x14ac:dyDescent="0.25">
      <c r="A47" s="8">
        <v>42818.260567129626</v>
      </c>
      <c r="B47" s="20" t="s">
        <v>403</v>
      </c>
      <c r="C47" s="20" t="s">
        <v>660</v>
      </c>
      <c r="D47" s="150">
        <v>2020000</v>
      </c>
      <c r="E47" s="20" t="s">
        <v>539</v>
      </c>
      <c r="F47" s="20" t="s">
        <v>510</v>
      </c>
      <c r="G47" s="8" t="str">
        <f t="shared" si="0"/>
        <v>SHOOK JOHN</v>
      </c>
    </row>
    <row r="48" spans="1:7" x14ac:dyDescent="0.25">
      <c r="A48" s="8">
        <v>42818.270543981482</v>
      </c>
      <c r="B48" s="20" t="s">
        <v>646</v>
      </c>
      <c r="C48" s="20" t="s">
        <v>661</v>
      </c>
      <c r="D48" s="150">
        <v>1100000</v>
      </c>
      <c r="E48" s="20" t="s">
        <v>508</v>
      </c>
      <c r="F48" s="20" t="s">
        <v>509</v>
      </c>
      <c r="G48" s="8" t="str">
        <f t="shared" si="0"/>
        <v>GEBRETEKLE DAGNEW</v>
      </c>
    </row>
    <row r="49" spans="1:7" x14ac:dyDescent="0.25">
      <c r="A49" s="8">
        <v>42818.271006944444</v>
      </c>
      <c r="B49" s="20" t="s">
        <v>406</v>
      </c>
      <c r="C49" s="20" t="s">
        <v>662</v>
      </c>
      <c r="D49" s="150">
        <v>2140000</v>
      </c>
      <c r="E49" s="20" t="s">
        <v>537</v>
      </c>
      <c r="F49" s="20" t="s">
        <v>538</v>
      </c>
      <c r="G49" s="8" t="str">
        <f t="shared" si="0"/>
        <v>ROBINSON KADDIBA</v>
      </c>
    </row>
    <row r="50" spans="1:7" x14ac:dyDescent="0.25">
      <c r="A50" s="8">
        <v>42818.276226851849</v>
      </c>
      <c r="B50" s="20" t="s">
        <v>404</v>
      </c>
      <c r="C50" s="20" t="s">
        <v>663</v>
      </c>
      <c r="D50" s="150">
        <v>2020000</v>
      </c>
      <c r="E50" s="20" t="s">
        <v>539</v>
      </c>
      <c r="F50" s="20" t="s">
        <v>510</v>
      </c>
      <c r="G50" s="8" t="str">
        <f t="shared" si="0"/>
        <v>SHOOK JOHN</v>
      </c>
    </row>
    <row r="51" spans="1:7" x14ac:dyDescent="0.25">
      <c r="A51" s="8">
        <v>42818.27925925926</v>
      </c>
      <c r="B51" s="20" t="s">
        <v>390</v>
      </c>
      <c r="C51" s="20" t="s">
        <v>664</v>
      </c>
      <c r="D51" s="150">
        <v>1990000</v>
      </c>
      <c r="E51" s="20" t="s">
        <v>636</v>
      </c>
      <c r="F51" s="20" t="s">
        <v>637</v>
      </c>
      <c r="G51" s="8" t="str">
        <f t="shared" si="0"/>
        <v>DAVIS WENDY</v>
      </c>
    </row>
    <row r="52" spans="1:7" x14ac:dyDescent="0.25">
      <c r="A52" s="8">
        <v>42818.288414351853</v>
      </c>
      <c r="B52" s="20" t="s">
        <v>503</v>
      </c>
      <c r="C52" s="20" t="s">
        <v>665</v>
      </c>
      <c r="D52" s="150">
        <v>1110000</v>
      </c>
      <c r="E52" s="20" t="s">
        <v>465</v>
      </c>
      <c r="F52" s="20" t="s">
        <v>466</v>
      </c>
      <c r="G52" s="8" t="str">
        <f t="shared" si="0"/>
        <v>STARKS ANGELINA</v>
      </c>
    </row>
    <row r="53" spans="1:7" x14ac:dyDescent="0.25">
      <c r="A53" s="8">
        <v>42818.290775462963</v>
      </c>
      <c r="B53" s="20" t="s">
        <v>403</v>
      </c>
      <c r="C53" s="20" t="s">
        <v>663</v>
      </c>
      <c r="D53" s="150">
        <v>2020000</v>
      </c>
      <c r="E53" s="20" t="s">
        <v>539</v>
      </c>
      <c r="F53" s="20" t="s">
        <v>510</v>
      </c>
      <c r="G53" s="8" t="str">
        <f t="shared" si="0"/>
        <v>SHOOK JOHN</v>
      </c>
    </row>
    <row r="54" spans="1:7" x14ac:dyDescent="0.25">
      <c r="A54" s="8">
        <v>42818.291574074072</v>
      </c>
      <c r="B54" s="20" t="s">
        <v>403</v>
      </c>
      <c r="C54" s="20" t="s">
        <v>666</v>
      </c>
      <c r="D54" s="150">
        <v>2020000</v>
      </c>
      <c r="E54" s="20" t="s">
        <v>539</v>
      </c>
      <c r="F54" s="20" t="s">
        <v>510</v>
      </c>
      <c r="G54" s="8" t="str">
        <f t="shared" si="0"/>
        <v>SHOOK JOHN</v>
      </c>
    </row>
    <row r="55" spans="1:7" x14ac:dyDescent="0.25">
      <c r="A55" s="8">
        <v>42818.296574074076</v>
      </c>
      <c r="B55" s="20" t="s">
        <v>604</v>
      </c>
      <c r="C55" s="20" t="s">
        <v>667</v>
      </c>
      <c r="D55" s="150">
        <v>1100000</v>
      </c>
      <c r="E55" s="20" t="s">
        <v>508</v>
      </c>
      <c r="F55" s="20" t="s">
        <v>509</v>
      </c>
      <c r="G55" s="8" t="str">
        <f t="shared" si="0"/>
        <v>GEBRETEKLE DAGNEW</v>
      </c>
    </row>
    <row r="56" spans="1:7" x14ac:dyDescent="0.25">
      <c r="A56" s="8">
        <v>42818.297615740739</v>
      </c>
      <c r="B56" s="20" t="s">
        <v>502</v>
      </c>
      <c r="C56" s="20" t="s">
        <v>668</v>
      </c>
      <c r="D56" s="150">
        <v>1290000</v>
      </c>
      <c r="E56" s="20" t="s">
        <v>669</v>
      </c>
      <c r="F56" s="20" t="s">
        <v>510</v>
      </c>
      <c r="G56" s="8" t="str">
        <f t="shared" si="0"/>
        <v>COOLAHAN JOHN</v>
      </c>
    </row>
    <row r="57" spans="1:7" x14ac:dyDescent="0.25">
      <c r="A57" s="8">
        <v>42818.300682870373</v>
      </c>
      <c r="B57" s="20" t="s">
        <v>502</v>
      </c>
      <c r="C57" s="20" t="s">
        <v>670</v>
      </c>
      <c r="D57" s="150">
        <v>1290000</v>
      </c>
      <c r="E57" s="20" t="s">
        <v>669</v>
      </c>
      <c r="F57" s="20" t="s">
        <v>510</v>
      </c>
      <c r="G57" s="8" t="str">
        <f t="shared" si="0"/>
        <v>COOLAHAN JOHN</v>
      </c>
    </row>
    <row r="58" spans="1:7" x14ac:dyDescent="0.25">
      <c r="A58" s="8">
        <v>42818.309328703705</v>
      </c>
      <c r="B58" s="20" t="s">
        <v>392</v>
      </c>
      <c r="C58" s="20" t="s">
        <v>671</v>
      </c>
      <c r="D58" s="150">
        <v>940000</v>
      </c>
      <c r="E58" s="20" t="s">
        <v>672</v>
      </c>
      <c r="F58" s="20" t="s">
        <v>673</v>
      </c>
      <c r="G58" s="8" t="str">
        <f t="shared" si="0"/>
        <v>BONDS REYNALDO</v>
      </c>
    </row>
    <row r="59" spans="1:7" x14ac:dyDescent="0.25">
      <c r="A59" s="8">
        <v>42818.311018518521</v>
      </c>
      <c r="B59" s="20" t="s">
        <v>646</v>
      </c>
      <c r="C59" s="20" t="s">
        <v>674</v>
      </c>
      <c r="D59" s="150">
        <v>1100000</v>
      </c>
      <c r="E59" s="20" t="s">
        <v>508</v>
      </c>
      <c r="F59" s="20" t="s">
        <v>509</v>
      </c>
      <c r="G59" s="8" t="str">
        <f t="shared" si="0"/>
        <v>GEBRETEKLE DAGNEW</v>
      </c>
    </row>
    <row r="60" spans="1:7" x14ac:dyDescent="0.25">
      <c r="A60" s="8">
        <v>42818.318124999998</v>
      </c>
      <c r="B60" s="20" t="s">
        <v>404</v>
      </c>
      <c r="C60" s="20" t="s">
        <v>675</v>
      </c>
      <c r="D60" s="150">
        <v>2020000</v>
      </c>
      <c r="E60" s="20" t="s">
        <v>539</v>
      </c>
      <c r="F60" s="20" t="s">
        <v>510</v>
      </c>
      <c r="G60" s="8" t="str">
        <f t="shared" si="0"/>
        <v>SHOOK JOHN</v>
      </c>
    </row>
    <row r="61" spans="1:7" x14ac:dyDescent="0.25">
      <c r="A61" s="8">
        <v>42818.319328703707</v>
      </c>
      <c r="B61" s="20" t="s">
        <v>405</v>
      </c>
      <c r="C61" s="20" t="s">
        <v>606</v>
      </c>
      <c r="D61" s="150">
        <v>890000</v>
      </c>
      <c r="E61" s="20" t="s">
        <v>483</v>
      </c>
      <c r="F61" s="20" t="s">
        <v>484</v>
      </c>
      <c r="G61" s="8" t="str">
        <f t="shared" si="0"/>
        <v>LOZA FIDEL</v>
      </c>
    </row>
    <row r="62" spans="1:7" x14ac:dyDescent="0.25">
      <c r="A62" s="8">
        <v>42818.329351851855</v>
      </c>
      <c r="B62" s="20" t="s">
        <v>388</v>
      </c>
      <c r="C62" s="20" t="s">
        <v>676</v>
      </c>
      <c r="D62" s="150">
        <v>900000</v>
      </c>
      <c r="E62" s="20" t="s">
        <v>652</v>
      </c>
      <c r="F62" s="20" t="s">
        <v>653</v>
      </c>
      <c r="G62" s="8" t="str">
        <f t="shared" si="0"/>
        <v>ROCHA YAOTL</v>
      </c>
    </row>
    <row r="63" spans="1:7" x14ac:dyDescent="0.25">
      <c r="A63" s="8">
        <v>42818.332013888888</v>
      </c>
      <c r="B63" s="20" t="s">
        <v>403</v>
      </c>
      <c r="C63" s="20" t="s">
        <v>677</v>
      </c>
      <c r="D63" s="150">
        <v>2020000</v>
      </c>
      <c r="E63" s="20" t="s">
        <v>539</v>
      </c>
      <c r="F63" s="20" t="s">
        <v>510</v>
      </c>
      <c r="G63" s="8" t="str">
        <f t="shared" si="0"/>
        <v>SHOOK JOHN</v>
      </c>
    </row>
    <row r="64" spans="1:7" x14ac:dyDescent="0.25">
      <c r="A64" s="26">
        <v>42818.33734953704</v>
      </c>
      <c r="B64" s="20" t="s">
        <v>604</v>
      </c>
      <c r="C64" s="20" t="s">
        <v>678</v>
      </c>
      <c r="D64" s="150">
        <v>1100000</v>
      </c>
      <c r="E64" s="20" t="s">
        <v>508</v>
      </c>
      <c r="F64" s="20" t="s">
        <v>509</v>
      </c>
      <c r="G64" s="8" t="str">
        <f t="shared" si="0"/>
        <v>GEBRETEKLE DAGNEW</v>
      </c>
    </row>
    <row r="65" spans="1:7" x14ac:dyDescent="0.25">
      <c r="A65" s="8">
        <v>42818.342303240737</v>
      </c>
      <c r="B65" s="20" t="s">
        <v>500</v>
      </c>
      <c r="C65" s="20" t="s">
        <v>679</v>
      </c>
      <c r="D65" s="150">
        <v>1110000</v>
      </c>
      <c r="E65" s="20" t="s">
        <v>465</v>
      </c>
      <c r="F65" s="20" t="s">
        <v>466</v>
      </c>
      <c r="G65" s="8" t="str">
        <f t="shared" si="0"/>
        <v>STARKS ANGELINA</v>
      </c>
    </row>
    <row r="66" spans="1:7" x14ac:dyDescent="0.25">
      <c r="A66" s="8">
        <v>42818.347777777781</v>
      </c>
      <c r="B66" s="20" t="s">
        <v>447</v>
      </c>
      <c r="C66" s="20" t="s">
        <v>680</v>
      </c>
      <c r="D66" s="150">
        <v>1230000</v>
      </c>
      <c r="E66" s="20" t="s">
        <v>655</v>
      </c>
      <c r="F66" s="20" t="s">
        <v>656</v>
      </c>
      <c r="G66" s="8" t="str">
        <f t="shared" si="0"/>
        <v>YANAI IAN</v>
      </c>
    </row>
    <row r="67" spans="1:7" x14ac:dyDescent="0.25">
      <c r="A67" s="8">
        <v>42818.349421296298</v>
      </c>
      <c r="B67" s="20" t="s">
        <v>447</v>
      </c>
      <c r="C67" s="20" t="s">
        <v>680</v>
      </c>
      <c r="D67" s="150">
        <v>1230000</v>
      </c>
      <c r="E67" s="20" t="s">
        <v>655</v>
      </c>
      <c r="F67" s="20" t="s">
        <v>656</v>
      </c>
      <c r="G67" s="8" t="str">
        <f t="shared" ref="G67:G130" si="1">E67&amp;" "&amp;F67</f>
        <v>YANAI IAN</v>
      </c>
    </row>
    <row r="68" spans="1:7" x14ac:dyDescent="0.25">
      <c r="A68" s="8">
        <v>42818.352627314816</v>
      </c>
      <c r="B68" s="20" t="s">
        <v>646</v>
      </c>
      <c r="C68" s="20" t="s">
        <v>681</v>
      </c>
      <c r="D68" s="150">
        <v>1100000</v>
      </c>
      <c r="E68" s="20" t="s">
        <v>508</v>
      </c>
      <c r="F68" s="20" t="s">
        <v>509</v>
      </c>
      <c r="G68" s="8" t="str">
        <f t="shared" si="1"/>
        <v>GEBRETEKLE DAGNEW</v>
      </c>
    </row>
    <row r="69" spans="1:7" x14ac:dyDescent="0.25">
      <c r="A69" s="8">
        <v>42818.356261574074</v>
      </c>
      <c r="B69" s="20" t="s">
        <v>448</v>
      </c>
      <c r="C69" s="20" t="s">
        <v>682</v>
      </c>
      <c r="D69" s="150">
        <v>2550000</v>
      </c>
      <c r="E69" s="20" t="s">
        <v>505</v>
      </c>
      <c r="F69" s="20" t="s">
        <v>506</v>
      </c>
      <c r="G69" s="8" t="str">
        <f t="shared" si="1"/>
        <v>BADERTSCHER DIANE</v>
      </c>
    </row>
    <row r="70" spans="1:7" x14ac:dyDescent="0.25">
      <c r="A70" s="8">
        <v>42818.357291666667</v>
      </c>
      <c r="B70" s="20" t="s">
        <v>500</v>
      </c>
      <c r="C70" s="20" t="s">
        <v>679</v>
      </c>
      <c r="D70" s="150">
        <v>1110000</v>
      </c>
      <c r="E70" s="20" t="s">
        <v>465</v>
      </c>
      <c r="F70" s="20" t="s">
        <v>466</v>
      </c>
      <c r="G70" s="8" t="str">
        <f t="shared" si="1"/>
        <v>STARKS ANGELINA</v>
      </c>
    </row>
    <row r="71" spans="1:7" x14ac:dyDescent="0.25">
      <c r="A71" s="8">
        <v>42818.360277777778</v>
      </c>
      <c r="B71" s="20" t="s">
        <v>404</v>
      </c>
      <c r="C71" s="20" t="s">
        <v>683</v>
      </c>
      <c r="D71" s="150">
        <v>2020000</v>
      </c>
      <c r="E71" s="20" t="s">
        <v>539</v>
      </c>
      <c r="F71" s="20" t="s">
        <v>510</v>
      </c>
      <c r="G71" s="8" t="str">
        <f t="shared" si="1"/>
        <v>SHOOK JOHN</v>
      </c>
    </row>
    <row r="72" spans="1:7" x14ac:dyDescent="0.25">
      <c r="A72" s="8">
        <v>42818.362118055556</v>
      </c>
      <c r="B72" s="20" t="s">
        <v>504</v>
      </c>
      <c r="C72" s="20" t="s">
        <v>684</v>
      </c>
      <c r="D72" s="150">
        <v>940000</v>
      </c>
      <c r="E72" s="20" t="s">
        <v>672</v>
      </c>
      <c r="F72" s="20" t="s">
        <v>673</v>
      </c>
      <c r="G72" s="8" t="str">
        <f t="shared" si="1"/>
        <v>BONDS REYNALDO</v>
      </c>
    </row>
    <row r="73" spans="1:7" x14ac:dyDescent="0.25">
      <c r="A73" s="8">
        <v>42818.365613425929</v>
      </c>
      <c r="B73" s="20" t="s">
        <v>504</v>
      </c>
      <c r="C73" s="20" t="s">
        <v>684</v>
      </c>
      <c r="D73" s="150">
        <v>940000</v>
      </c>
      <c r="E73" s="20" t="s">
        <v>672</v>
      </c>
      <c r="F73" s="20" t="s">
        <v>673</v>
      </c>
      <c r="G73" s="8" t="str">
        <f t="shared" si="1"/>
        <v>BONDS REYNALDO</v>
      </c>
    </row>
    <row r="74" spans="1:7" x14ac:dyDescent="0.25">
      <c r="A74" s="8">
        <v>42818.368333333332</v>
      </c>
      <c r="B74" s="20" t="s">
        <v>406</v>
      </c>
      <c r="C74" s="20" t="s">
        <v>607</v>
      </c>
      <c r="D74" s="150">
        <v>2140000</v>
      </c>
      <c r="E74" s="20" t="s">
        <v>537</v>
      </c>
      <c r="F74" s="20" t="s">
        <v>538</v>
      </c>
      <c r="G74" s="8" t="str">
        <f t="shared" si="1"/>
        <v>ROBINSON KADDIBA</v>
      </c>
    </row>
    <row r="75" spans="1:7" x14ac:dyDescent="0.25">
      <c r="A75" s="8">
        <v>42818.373599537037</v>
      </c>
      <c r="B75" s="20" t="s">
        <v>403</v>
      </c>
      <c r="C75" s="20" t="s">
        <v>685</v>
      </c>
      <c r="D75" s="150">
        <v>2020000</v>
      </c>
      <c r="E75" s="20" t="s">
        <v>539</v>
      </c>
      <c r="F75" s="20" t="s">
        <v>510</v>
      </c>
      <c r="G75" s="8" t="str">
        <f t="shared" si="1"/>
        <v>SHOOK JOHN</v>
      </c>
    </row>
    <row r="76" spans="1:7" x14ac:dyDescent="0.25">
      <c r="A76" s="8">
        <v>42818.375335648147</v>
      </c>
      <c r="B76" s="20" t="s">
        <v>453</v>
      </c>
      <c r="C76" s="20" t="s">
        <v>682</v>
      </c>
      <c r="D76" s="150">
        <v>2550000</v>
      </c>
      <c r="E76" s="20" t="s">
        <v>505</v>
      </c>
      <c r="F76" s="20" t="s">
        <v>506</v>
      </c>
      <c r="G76" s="8" t="str">
        <f t="shared" si="1"/>
        <v>BADERTSCHER DIANE</v>
      </c>
    </row>
    <row r="77" spans="1:7" x14ac:dyDescent="0.25">
      <c r="A77" s="8">
        <v>42818.385069444441</v>
      </c>
      <c r="B77" s="20" t="s">
        <v>448</v>
      </c>
      <c r="C77" s="20" t="s">
        <v>682</v>
      </c>
      <c r="D77" s="150">
        <v>2550000</v>
      </c>
      <c r="E77" s="20" t="s">
        <v>505</v>
      </c>
      <c r="F77" s="20" t="s">
        <v>506</v>
      </c>
      <c r="G77" s="8" t="str">
        <f t="shared" si="1"/>
        <v>BADERTSCHER DIANE</v>
      </c>
    </row>
    <row r="78" spans="1:7" x14ac:dyDescent="0.25">
      <c r="A78" s="8">
        <v>42818.386736111112</v>
      </c>
      <c r="B78" s="20" t="s">
        <v>448</v>
      </c>
      <c r="C78" s="20" t="s">
        <v>682</v>
      </c>
      <c r="D78" s="150">
        <v>2550000</v>
      </c>
      <c r="E78" s="20" t="s">
        <v>505</v>
      </c>
      <c r="F78" s="20" t="s">
        <v>506</v>
      </c>
      <c r="G78" s="8" t="str">
        <f t="shared" si="1"/>
        <v>BADERTSCHER DIANE</v>
      </c>
    </row>
    <row r="79" spans="1:7" x14ac:dyDescent="0.25">
      <c r="A79" s="8">
        <v>42818.38795138889</v>
      </c>
      <c r="B79" s="20" t="s">
        <v>390</v>
      </c>
      <c r="C79" s="20" t="s">
        <v>686</v>
      </c>
      <c r="D79" s="150">
        <v>1990000</v>
      </c>
      <c r="E79" s="20" t="s">
        <v>636</v>
      </c>
      <c r="F79" s="20" t="s">
        <v>637</v>
      </c>
      <c r="G79" s="8" t="str">
        <f t="shared" si="1"/>
        <v>DAVIS WENDY</v>
      </c>
    </row>
    <row r="80" spans="1:7" x14ac:dyDescent="0.25">
      <c r="A80" s="8">
        <v>42818.391921296294</v>
      </c>
      <c r="B80" s="20" t="s">
        <v>503</v>
      </c>
      <c r="C80" s="20" t="s">
        <v>687</v>
      </c>
      <c r="D80" s="150">
        <v>1110000</v>
      </c>
      <c r="E80" s="20" t="s">
        <v>465</v>
      </c>
      <c r="F80" s="20" t="s">
        <v>466</v>
      </c>
      <c r="G80" s="8" t="str">
        <f t="shared" si="1"/>
        <v>STARKS ANGELINA</v>
      </c>
    </row>
    <row r="81" spans="1:7" x14ac:dyDescent="0.25">
      <c r="A81" s="8">
        <v>42818.39503472222</v>
      </c>
      <c r="B81" s="20" t="s">
        <v>502</v>
      </c>
      <c r="C81" s="20" t="s">
        <v>688</v>
      </c>
      <c r="D81" s="150">
        <v>1290000</v>
      </c>
      <c r="E81" s="20" t="s">
        <v>669</v>
      </c>
      <c r="F81" s="20" t="s">
        <v>510</v>
      </c>
      <c r="G81" s="8" t="str">
        <f t="shared" si="1"/>
        <v>COOLAHAN JOHN</v>
      </c>
    </row>
    <row r="82" spans="1:7" x14ac:dyDescent="0.25">
      <c r="A82" s="8">
        <v>42818.397002314814</v>
      </c>
      <c r="B82" s="20" t="s">
        <v>446</v>
      </c>
      <c r="C82" s="20" t="s">
        <v>689</v>
      </c>
      <c r="D82" s="150">
        <v>1230000</v>
      </c>
      <c r="E82" s="20" t="s">
        <v>655</v>
      </c>
      <c r="F82" s="20" t="s">
        <v>656</v>
      </c>
      <c r="G82" s="8" t="str">
        <f t="shared" si="1"/>
        <v>YANAI IAN</v>
      </c>
    </row>
    <row r="83" spans="1:7" x14ac:dyDescent="0.25">
      <c r="A83" s="8">
        <v>42818.397696759261</v>
      </c>
      <c r="B83" s="20" t="s">
        <v>448</v>
      </c>
      <c r="C83" s="20" t="s">
        <v>682</v>
      </c>
      <c r="D83" s="150">
        <v>2550000</v>
      </c>
      <c r="E83" s="20" t="s">
        <v>505</v>
      </c>
      <c r="F83" s="20" t="s">
        <v>506</v>
      </c>
      <c r="G83" s="8" t="str">
        <f t="shared" si="1"/>
        <v>BADERTSCHER DIANE</v>
      </c>
    </row>
    <row r="84" spans="1:7" x14ac:dyDescent="0.25">
      <c r="A84" s="8">
        <v>42818.400949074072</v>
      </c>
      <c r="B84" s="20" t="s">
        <v>404</v>
      </c>
      <c r="C84" s="20" t="s">
        <v>690</v>
      </c>
      <c r="D84" s="150">
        <v>2020000</v>
      </c>
      <c r="E84" s="20" t="s">
        <v>539</v>
      </c>
      <c r="F84" s="20" t="s">
        <v>510</v>
      </c>
      <c r="G84" s="8" t="str">
        <f t="shared" si="1"/>
        <v>SHOOK JOHN</v>
      </c>
    </row>
    <row r="85" spans="1:7" x14ac:dyDescent="0.25">
      <c r="A85" s="8">
        <v>42818.404247685183</v>
      </c>
      <c r="B85" s="20" t="s">
        <v>392</v>
      </c>
      <c r="C85" s="20" t="s">
        <v>691</v>
      </c>
      <c r="D85" s="150">
        <v>940000</v>
      </c>
      <c r="E85" s="20" t="s">
        <v>672</v>
      </c>
      <c r="F85" s="20" t="s">
        <v>673</v>
      </c>
      <c r="G85" s="8" t="str">
        <f t="shared" si="1"/>
        <v>BONDS REYNALDO</v>
      </c>
    </row>
    <row r="86" spans="1:7" x14ac:dyDescent="0.25">
      <c r="A86" s="8">
        <v>42818.415127314816</v>
      </c>
      <c r="B86" s="20" t="s">
        <v>403</v>
      </c>
      <c r="C86" s="20" t="s">
        <v>692</v>
      </c>
      <c r="D86" s="150">
        <v>2020000</v>
      </c>
      <c r="E86" s="20" t="s">
        <v>539</v>
      </c>
      <c r="F86" s="20" t="s">
        <v>510</v>
      </c>
      <c r="G86" s="8" t="str">
        <f t="shared" si="1"/>
        <v>SHOOK JOHN</v>
      </c>
    </row>
    <row r="87" spans="1:7" x14ac:dyDescent="0.25">
      <c r="A87" s="8">
        <v>42818.418993055559</v>
      </c>
      <c r="B87" s="20" t="s">
        <v>453</v>
      </c>
      <c r="C87" s="20" t="s">
        <v>693</v>
      </c>
      <c r="D87" s="150">
        <v>2550000</v>
      </c>
      <c r="E87" s="20" t="s">
        <v>505</v>
      </c>
      <c r="F87" s="20" t="s">
        <v>506</v>
      </c>
      <c r="G87" s="8" t="str">
        <f t="shared" si="1"/>
        <v>BADERTSCHER DIANE</v>
      </c>
    </row>
    <row r="88" spans="1:7" x14ac:dyDescent="0.25">
      <c r="A88" s="8">
        <v>42818.42454861111</v>
      </c>
      <c r="B88" s="20" t="s">
        <v>405</v>
      </c>
      <c r="C88" s="20" t="s">
        <v>694</v>
      </c>
      <c r="D88" s="150">
        <v>890000</v>
      </c>
      <c r="E88" s="20" t="s">
        <v>483</v>
      </c>
      <c r="F88" s="20" t="s">
        <v>484</v>
      </c>
      <c r="G88" s="8" t="str">
        <f t="shared" si="1"/>
        <v>LOZA FIDEL</v>
      </c>
    </row>
    <row r="89" spans="1:7" x14ac:dyDescent="0.25">
      <c r="A89" s="8">
        <v>42818.426307870373</v>
      </c>
      <c r="B89" s="20" t="s">
        <v>405</v>
      </c>
      <c r="C89" s="20" t="s">
        <v>694</v>
      </c>
      <c r="D89" s="150">
        <v>890000</v>
      </c>
      <c r="E89" s="20" t="s">
        <v>483</v>
      </c>
      <c r="F89" s="20" t="s">
        <v>484</v>
      </c>
      <c r="G89" s="8" t="str">
        <f t="shared" si="1"/>
        <v>LOZA FIDEL</v>
      </c>
    </row>
    <row r="90" spans="1:7" x14ac:dyDescent="0.25">
      <c r="A90" s="8">
        <v>42818.42701388889</v>
      </c>
      <c r="B90" s="20" t="s">
        <v>500</v>
      </c>
      <c r="C90" s="20" t="s">
        <v>687</v>
      </c>
      <c r="D90" s="150">
        <v>1110000</v>
      </c>
      <c r="E90" s="20" t="s">
        <v>465</v>
      </c>
      <c r="F90" s="20" t="s">
        <v>466</v>
      </c>
      <c r="G90" s="8" t="str">
        <f t="shared" si="1"/>
        <v>STARKS ANGELINA</v>
      </c>
    </row>
    <row r="91" spans="1:7" x14ac:dyDescent="0.25">
      <c r="A91" s="8">
        <v>42818.427152777775</v>
      </c>
      <c r="B91" s="20" t="s">
        <v>388</v>
      </c>
      <c r="C91" s="20" t="s">
        <v>695</v>
      </c>
      <c r="D91" s="150">
        <v>2370000</v>
      </c>
      <c r="E91" s="20" t="s">
        <v>511</v>
      </c>
      <c r="F91" s="20" t="s">
        <v>512</v>
      </c>
      <c r="G91" s="8" t="str">
        <f t="shared" si="1"/>
        <v>DELGADO DIANAH</v>
      </c>
    </row>
    <row r="92" spans="1:7" x14ac:dyDescent="0.25">
      <c r="A92" s="8">
        <v>42818.427546296298</v>
      </c>
      <c r="B92" s="20" t="s">
        <v>500</v>
      </c>
      <c r="C92" s="20" t="s">
        <v>608</v>
      </c>
      <c r="D92" s="150">
        <v>1110000</v>
      </c>
      <c r="E92" s="20" t="s">
        <v>465</v>
      </c>
      <c r="F92" s="20" t="s">
        <v>466</v>
      </c>
      <c r="G92" s="8" t="str">
        <f t="shared" si="1"/>
        <v>STARKS ANGELINA</v>
      </c>
    </row>
    <row r="93" spans="1:7" x14ac:dyDescent="0.25">
      <c r="A93" s="8">
        <v>42818.432442129626</v>
      </c>
      <c r="B93" s="20" t="s">
        <v>391</v>
      </c>
      <c r="C93" s="20" t="s">
        <v>696</v>
      </c>
      <c r="D93" s="150">
        <v>1100000</v>
      </c>
      <c r="E93" s="20" t="s">
        <v>508</v>
      </c>
      <c r="F93" s="20" t="s">
        <v>509</v>
      </c>
      <c r="G93" s="8" t="str">
        <f t="shared" si="1"/>
        <v>GEBRETEKLE DAGNEW</v>
      </c>
    </row>
    <row r="94" spans="1:7" x14ac:dyDescent="0.25">
      <c r="A94" s="8">
        <v>42818.433553240742</v>
      </c>
      <c r="B94" s="20" t="s">
        <v>612</v>
      </c>
      <c r="C94" s="20" t="s">
        <v>697</v>
      </c>
      <c r="D94" s="150">
        <v>880000</v>
      </c>
      <c r="E94" s="20" t="s">
        <v>698</v>
      </c>
      <c r="F94" s="20" t="s">
        <v>198</v>
      </c>
      <c r="G94" s="8" t="str">
        <f t="shared" si="1"/>
        <v>STEWART MICHAEL</v>
      </c>
    </row>
    <row r="95" spans="1:7" x14ac:dyDescent="0.25">
      <c r="A95" s="8">
        <v>42818.4377662037</v>
      </c>
      <c r="B95" s="20" t="s">
        <v>504</v>
      </c>
      <c r="C95" s="20" t="s">
        <v>699</v>
      </c>
      <c r="D95" s="150">
        <v>940000</v>
      </c>
      <c r="E95" s="20" t="s">
        <v>672</v>
      </c>
      <c r="F95" s="20" t="s">
        <v>673</v>
      </c>
      <c r="G95" s="8" t="str">
        <f t="shared" si="1"/>
        <v>BONDS REYNALDO</v>
      </c>
    </row>
    <row r="96" spans="1:7" x14ac:dyDescent="0.25">
      <c r="A96" s="8">
        <v>42818.442557870374</v>
      </c>
      <c r="B96" s="20" t="s">
        <v>404</v>
      </c>
      <c r="C96" s="20" t="s">
        <v>609</v>
      </c>
      <c r="D96" s="150">
        <v>2020000</v>
      </c>
      <c r="E96" s="20" t="s">
        <v>539</v>
      </c>
      <c r="F96" s="20" t="s">
        <v>510</v>
      </c>
      <c r="G96" s="8" t="str">
        <f t="shared" si="1"/>
        <v>SHOOK JOHN</v>
      </c>
    </row>
    <row r="97" spans="1:7" x14ac:dyDescent="0.25">
      <c r="A97" s="8">
        <v>42818.444108796299</v>
      </c>
      <c r="B97" s="20" t="s">
        <v>402</v>
      </c>
      <c r="C97" s="20" t="s">
        <v>700</v>
      </c>
      <c r="D97" s="150">
        <v>2140000</v>
      </c>
      <c r="E97" s="20" t="s">
        <v>537</v>
      </c>
      <c r="F97" s="20" t="s">
        <v>538</v>
      </c>
      <c r="G97" s="8" t="str">
        <f t="shared" si="1"/>
        <v>ROBINSON KADDIBA</v>
      </c>
    </row>
    <row r="98" spans="1:7" x14ac:dyDescent="0.25">
      <c r="A98" s="8">
        <v>42818.444525462961</v>
      </c>
      <c r="B98" s="20" t="s">
        <v>447</v>
      </c>
      <c r="C98" s="20" t="s">
        <v>610</v>
      </c>
      <c r="D98" s="150">
        <v>2440000</v>
      </c>
      <c r="E98" s="20" t="s">
        <v>701</v>
      </c>
      <c r="F98" s="20" t="s">
        <v>702</v>
      </c>
      <c r="G98" s="8" t="str">
        <f t="shared" si="1"/>
        <v>LOPES KIMBERLY</v>
      </c>
    </row>
    <row r="99" spans="1:7" x14ac:dyDescent="0.25">
      <c r="A99" s="8">
        <v>42818.453136574077</v>
      </c>
      <c r="B99" s="20" t="s">
        <v>448</v>
      </c>
      <c r="C99" s="20" t="s">
        <v>703</v>
      </c>
      <c r="D99" s="150">
        <v>2550000</v>
      </c>
      <c r="E99" s="20" t="s">
        <v>505</v>
      </c>
      <c r="F99" s="20" t="s">
        <v>506</v>
      </c>
      <c r="G99" s="8" t="str">
        <f t="shared" si="1"/>
        <v>BADERTSCHER DIANE</v>
      </c>
    </row>
    <row r="100" spans="1:7" x14ac:dyDescent="0.25">
      <c r="A100" s="8">
        <v>42818.456678240742</v>
      </c>
      <c r="B100" s="20" t="s">
        <v>403</v>
      </c>
      <c r="C100" s="20" t="s">
        <v>704</v>
      </c>
      <c r="D100" s="150">
        <v>2020000</v>
      </c>
      <c r="E100" s="20" t="s">
        <v>539</v>
      </c>
      <c r="F100" s="20" t="s">
        <v>510</v>
      </c>
      <c r="G100" s="8" t="str">
        <f t="shared" si="1"/>
        <v>SHOOK JOHN</v>
      </c>
    </row>
    <row r="101" spans="1:7" x14ac:dyDescent="0.25">
      <c r="A101" s="8">
        <v>42818.459224537037</v>
      </c>
      <c r="B101" s="20" t="s">
        <v>401</v>
      </c>
      <c r="C101" s="20" t="s">
        <v>705</v>
      </c>
      <c r="D101" s="150">
        <v>880000</v>
      </c>
      <c r="E101" s="20" t="s">
        <v>698</v>
      </c>
      <c r="F101" s="20" t="s">
        <v>198</v>
      </c>
      <c r="G101" s="8" t="str">
        <f t="shared" si="1"/>
        <v>STEWART MICHAEL</v>
      </c>
    </row>
    <row r="102" spans="1:7" x14ac:dyDescent="0.25">
      <c r="A102" s="8">
        <v>42818.463680555556</v>
      </c>
      <c r="B102" s="20" t="s">
        <v>387</v>
      </c>
      <c r="C102" s="20" t="s">
        <v>611</v>
      </c>
      <c r="D102" s="150">
        <v>2370000</v>
      </c>
      <c r="E102" s="20" t="s">
        <v>511</v>
      </c>
      <c r="F102" s="20" t="s">
        <v>512</v>
      </c>
      <c r="G102" s="8" t="str">
        <f t="shared" si="1"/>
        <v>DELGADO DIANAH</v>
      </c>
    </row>
    <row r="103" spans="1:7" x14ac:dyDescent="0.25">
      <c r="A103" s="8">
        <v>42818.468900462962</v>
      </c>
      <c r="B103" s="20" t="s">
        <v>503</v>
      </c>
      <c r="C103" s="20" t="s">
        <v>706</v>
      </c>
      <c r="D103" s="150">
        <v>2470000</v>
      </c>
      <c r="E103" s="20" t="s">
        <v>707</v>
      </c>
      <c r="F103" s="20" t="s">
        <v>708</v>
      </c>
      <c r="G103" s="8" t="str">
        <f t="shared" si="1"/>
        <v>ROMERO CHAD</v>
      </c>
    </row>
    <row r="104" spans="1:7" x14ac:dyDescent="0.25">
      <c r="A104" s="8">
        <v>42818.474085648151</v>
      </c>
      <c r="B104" s="20" t="s">
        <v>390</v>
      </c>
      <c r="C104" s="20" t="s">
        <v>709</v>
      </c>
      <c r="D104" s="150">
        <v>1100000</v>
      </c>
      <c r="E104" s="20" t="s">
        <v>508</v>
      </c>
      <c r="F104" s="20" t="s">
        <v>509</v>
      </c>
      <c r="G104" s="8" t="str">
        <f t="shared" si="1"/>
        <v>GEBRETEKLE DAGNEW</v>
      </c>
    </row>
    <row r="105" spans="1:7" x14ac:dyDescent="0.25">
      <c r="A105" s="8">
        <v>42818.47724537037</v>
      </c>
      <c r="B105" s="20" t="s">
        <v>710</v>
      </c>
      <c r="C105" s="20" t="s">
        <v>711</v>
      </c>
      <c r="D105" s="150">
        <v>890000</v>
      </c>
      <c r="E105" s="20" t="s">
        <v>483</v>
      </c>
      <c r="F105" s="20" t="s">
        <v>484</v>
      </c>
      <c r="G105" s="8" t="str">
        <f t="shared" si="1"/>
        <v>LOZA FIDEL</v>
      </c>
    </row>
    <row r="106" spans="1:7" x14ac:dyDescent="0.25">
      <c r="A106" s="8">
        <v>42818.479074074072</v>
      </c>
      <c r="B106" s="20" t="s">
        <v>392</v>
      </c>
      <c r="C106" s="20" t="s">
        <v>712</v>
      </c>
      <c r="D106" s="150">
        <v>930000</v>
      </c>
      <c r="E106" s="20" t="s">
        <v>471</v>
      </c>
      <c r="F106" s="20" t="s">
        <v>472</v>
      </c>
      <c r="G106" s="8" t="str">
        <f t="shared" si="1"/>
        <v>CLARK KATHLEEN</v>
      </c>
    </row>
    <row r="107" spans="1:7" x14ac:dyDescent="0.25">
      <c r="A107" s="8">
        <v>42818.482442129629</v>
      </c>
      <c r="B107" s="20" t="s">
        <v>446</v>
      </c>
      <c r="C107" s="20" t="s">
        <v>713</v>
      </c>
      <c r="D107" s="150">
        <v>2440000</v>
      </c>
      <c r="E107" s="20" t="s">
        <v>701</v>
      </c>
      <c r="F107" s="20" t="s">
        <v>702</v>
      </c>
      <c r="G107" s="8" t="str">
        <f t="shared" si="1"/>
        <v>LOPES KIMBERLY</v>
      </c>
    </row>
    <row r="108" spans="1:7" x14ac:dyDescent="0.25">
      <c r="A108" s="8">
        <v>42818.484606481485</v>
      </c>
      <c r="B108" s="20" t="s">
        <v>404</v>
      </c>
      <c r="C108" s="20" t="s">
        <v>714</v>
      </c>
      <c r="D108" s="150">
        <v>2020000</v>
      </c>
      <c r="E108" s="20" t="s">
        <v>539</v>
      </c>
      <c r="F108" s="20" t="s">
        <v>510</v>
      </c>
      <c r="G108" s="8" t="str">
        <f t="shared" si="1"/>
        <v>SHOOK JOHN</v>
      </c>
    </row>
    <row r="109" spans="1:7" x14ac:dyDescent="0.25">
      <c r="A109" s="8">
        <v>42818.492118055554</v>
      </c>
      <c r="B109" s="20" t="s">
        <v>453</v>
      </c>
      <c r="C109" s="20" t="s">
        <v>715</v>
      </c>
      <c r="D109" s="150">
        <v>1770000</v>
      </c>
      <c r="E109" s="20" t="s">
        <v>544</v>
      </c>
      <c r="F109" s="20" t="s">
        <v>545</v>
      </c>
      <c r="G109" s="8" t="str">
        <f t="shared" si="1"/>
        <v>BRUDER RICHARD</v>
      </c>
    </row>
    <row r="110" spans="1:7" x14ac:dyDescent="0.25">
      <c r="A110" s="8">
        <v>42818.495925925927</v>
      </c>
      <c r="B110" s="20" t="s">
        <v>405</v>
      </c>
      <c r="C110" s="20" t="s">
        <v>716</v>
      </c>
      <c r="D110" s="150">
        <v>880000</v>
      </c>
      <c r="E110" s="20" t="s">
        <v>698</v>
      </c>
      <c r="F110" s="20" t="s">
        <v>198</v>
      </c>
      <c r="G110" s="8" t="str">
        <f t="shared" si="1"/>
        <v>STEWART MICHAEL</v>
      </c>
    </row>
    <row r="111" spans="1:7" x14ac:dyDescent="0.25">
      <c r="A111" s="8">
        <v>42818.496990740743</v>
      </c>
      <c r="B111" s="20" t="s">
        <v>388</v>
      </c>
      <c r="C111" s="20" t="s">
        <v>614</v>
      </c>
      <c r="D111" s="150">
        <v>1540000</v>
      </c>
      <c r="E111" s="20" t="s">
        <v>393</v>
      </c>
      <c r="F111" s="20" t="s">
        <v>394</v>
      </c>
      <c r="G111" s="8" t="str">
        <f t="shared" si="1"/>
        <v>HELVIE ADAM</v>
      </c>
    </row>
    <row r="112" spans="1:7" x14ac:dyDescent="0.25">
      <c r="A112" s="8">
        <v>42818.498229166667</v>
      </c>
      <c r="B112" s="20" t="s">
        <v>500</v>
      </c>
      <c r="C112" s="20" t="s">
        <v>615</v>
      </c>
      <c r="D112" s="150">
        <v>2470000</v>
      </c>
      <c r="E112" s="20" t="s">
        <v>707</v>
      </c>
      <c r="F112" s="20" t="s">
        <v>708</v>
      </c>
      <c r="G112" s="8" t="str">
        <f t="shared" si="1"/>
        <v>ROMERO CHAD</v>
      </c>
    </row>
    <row r="113" spans="1:7" x14ac:dyDescent="0.25">
      <c r="A113" s="8">
        <v>42818.499374999999</v>
      </c>
      <c r="B113" s="20" t="s">
        <v>403</v>
      </c>
      <c r="C113" s="20" t="s">
        <v>717</v>
      </c>
      <c r="D113" s="150">
        <v>2020000</v>
      </c>
      <c r="E113" s="20" t="s">
        <v>539</v>
      </c>
      <c r="F113" s="20" t="s">
        <v>510</v>
      </c>
      <c r="G113" s="8" t="str">
        <f t="shared" si="1"/>
        <v>SHOOK JOHN</v>
      </c>
    </row>
    <row r="114" spans="1:7" x14ac:dyDescent="0.25">
      <c r="A114" s="8">
        <v>42818.499664351853</v>
      </c>
      <c r="B114" s="20" t="s">
        <v>612</v>
      </c>
      <c r="C114" s="20" t="s">
        <v>613</v>
      </c>
      <c r="D114" s="150">
        <v>1760000</v>
      </c>
      <c r="E114" s="20" t="s">
        <v>485</v>
      </c>
      <c r="F114" s="20" t="s">
        <v>486</v>
      </c>
      <c r="G114" s="8" t="str">
        <f t="shared" si="1"/>
        <v>STRICKLAND EVAN</v>
      </c>
    </row>
    <row r="115" spans="1:7" x14ac:dyDescent="0.25">
      <c r="A115" s="8">
        <v>42818.509687500002</v>
      </c>
      <c r="B115" s="20" t="s">
        <v>391</v>
      </c>
      <c r="C115" s="20" t="s">
        <v>718</v>
      </c>
      <c r="D115" s="150">
        <v>2360000</v>
      </c>
      <c r="E115" s="20" t="s">
        <v>540</v>
      </c>
      <c r="F115" s="20" t="s">
        <v>541</v>
      </c>
      <c r="G115" s="8" t="str">
        <f t="shared" si="1"/>
        <v>BRANDNER MELINDA</v>
      </c>
    </row>
    <row r="116" spans="1:7" x14ac:dyDescent="0.25">
      <c r="A116" s="8">
        <v>42818.514189814814</v>
      </c>
      <c r="B116" s="20" t="s">
        <v>504</v>
      </c>
      <c r="C116" s="20" t="s">
        <v>719</v>
      </c>
      <c r="D116" s="150">
        <v>930000</v>
      </c>
      <c r="E116" s="20" t="s">
        <v>471</v>
      </c>
      <c r="F116" s="20" t="s">
        <v>472</v>
      </c>
      <c r="G116" s="8" t="str">
        <f t="shared" si="1"/>
        <v>CLARK KATHLEEN</v>
      </c>
    </row>
    <row r="117" spans="1:7" x14ac:dyDescent="0.25">
      <c r="A117" s="8">
        <v>42818.517754629633</v>
      </c>
      <c r="B117" s="20" t="s">
        <v>447</v>
      </c>
      <c r="C117" s="20" t="s">
        <v>616</v>
      </c>
      <c r="D117" s="150">
        <v>1760000</v>
      </c>
      <c r="E117" s="20" t="s">
        <v>485</v>
      </c>
      <c r="F117" s="20" t="s">
        <v>486</v>
      </c>
      <c r="G117" s="8" t="str">
        <f t="shared" si="1"/>
        <v>STRICKLAND EVAN</v>
      </c>
    </row>
    <row r="118" spans="1:7" x14ac:dyDescent="0.25">
      <c r="A118" s="8">
        <v>42818.522372685184</v>
      </c>
      <c r="B118" s="20" t="s">
        <v>448</v>
      </c>
      <c r="C118" s="20" t="s">
        <v>720</v>
      </c>
      <c r="D118" s="150">
        <v>3000000</v>
      </c>
      <c r="E118" s="20" t="s">
        <v>473</v>
      </c>
      <c r="F118" s="20" t="s">
        <v>474</v>
      </c>
      <c r="G118" s="8" t="str">
        <f t="shared" si="1"/>
        <v>FORTUNATO FRANK</v>
      </c>
    </row>
    <row r="119" spans="1:7" x14ac:dyDescent="0.25">
      <c r="A119" s="8">
        <v>42818.523773148147</v>
      </c>
      <c r="B119" s="20" t="s">
        <v>710</v>
      </c>
      <c r="C119" s="20" t="s">
        <v>721</v>
      </c>
      <c r="D119" s="150">
        <v>1100000</v>
      </c>
      <c r="E119" s="20" t="s">
        <v>508</v>
      </c>
      <c r="F119" s="20" t="s">
        <v>509</v>
      </c>
      <c r="G119" s="8" t="str">
        <f t="shared" si="1"/>
        <v>GEBRETEKLE DAGNEW</v>
      </c>
    </row>
    <row r="120" spans="1:7" x14ac:dyDescent="0.25">
      <c r="A120" s="8">
        <v>42818.526284722226</v>
      </c>
      <c r="B120" s="20" t="s">
        <v>404</v>
      </c>
      <c r="C120" s="20" t="s">
        <v>722</v>
      </c>
      <c r="D120" s="150">
        <v>2020000</v>
      </c>
      <c r="E120" s="20" t="s">
        <v>539</v>
      </c>
      <c r="F120" s="20" t="s">
        <v>510</v>
      </c>
      <c r="G120" s="8" t="str">
        <f t="shared" si="1"/>
        <v>SHOOK JOHN</v>
      </c>
    </row>
    <row r="121" spans="1:7" x14ac:dyDescent="0.25">
      <c r="A121" s="8">
        <v>42818.530729166669</v>
      </c>
      <c r="B121" s="20" t="s">
        <v>401</v>
      </c>
      <c r="C121" s="20" t="s">
        <v>617</v>
      </c>
      <c r="D121" s="150">
        <v>880000</v>
      </c>
      <c r="E121" s="20" t="s">
        <v>698</v>
      </c>
      <c r="F121" s="20" t="s">
        <v>198</v>
      </c>
      <c r="G121" s="8" t="str">
        <f t="shared" si="1"/>
        <v>STEWART MICHAEL</v>
      </c>
    </row>
    <row r="122" spans="1:7" x14ac:dyDescent="0.25">
      <c r="A122" s="8">
        <v>42818.536504629628</v>
      </c>
      <c r="B122" s="25" t="s">
        <v>387</v>
      </c>
      <c r="C122" s="20" t="s">
        <v>723</v>
      </c>
      <c r="D122" s="150">
        <v>1540000</v>
      </c>
      <c r="E122" s="20" t="s">
        <v>393</v>
      </c>
      <c r="F122" s="20" t="s">
        <v>394</v>
      </c>
      <c r="G122" s="8" t="str">
        <f t="shared" si="1"/>
        <v>HELVIE ADAM</v>
      </c>
    </row>
    <row r="123" spans="1:7" x14ac:dyDescent="0.25">
      <c r="A123" s="8">
        <v>42818.539201388892</v>
      </c>
      <c r="B123" s="20" t="s">
        <v>503</v>
      </c>
      <c r="C123" s="20" t="s">
        <v>724</v>
      </c>
      <c r="D123" s="150">
        <v>2470000</v>
      </c>
      <c r="E123" s="20" t="s">
        <v>707</v>
      </c>
      <c r="F123" s="20" t="s">
        <v>708</v>
      </c>
      <c r="G123" s="8" t="str">
        <f t="shared" si="1"/>
        <v>ROMERO CHAD</v>
      </c>
    </row>
    <row r="124" spans="1:7" x14ac:dyDescent="0.25">
      <c r="A124" s="8">
        <v>42818.545266203706</v>
      </c>
      <c r="B124" s="20" t="s">
        <v>390</v>
      </c>
      <c r="C124" s="20" t="s">
        <v>619</v>
      </c>
      <c r="D124" s="150">
        <v>2360000</v>
      </c>
      <c r="E124" s="20" t="s">
        <v>540</v>
      </c>
      <c r="F124" s="20" t="s">
        <v>541</v>
      </c>
      <c r="G124" s="8" t="str">
        <f t="shared" si="1"/>
        <v>BRANDNER MELINDA</v>
      </c>
    </row>
    <row r="125" spans="1:7" x14ac:dyDescent="0.25">
      <c r="A125" s="8">
        <v>42818.546261574076</v>
      </c>
      <c r="B125" s="20" t="s">
        <v>403</v>
      </c>
      <c r="C125" s="20" t="s">
        <v>725</v>
      </c>
      <c r="D125" s="150">
        <v>3020000</v>
      </c>
      <c r="E125" s="20" t="s">
        <v>469</v>
      </c>
      <c r="F125" s="20" t="s">
        <v>470</v>
      </c>
      <c r="G125" s="8" t="str">
        <f t="shared" si="1"/>
        <v>MENGES BRAD</v>
      </c>
    </row>
    <row r="126" spans="1:7" x14ac:dyDescent="0.25">
      <c r="A126" s="8">
        <v>42818.547789351855</v>
      </c>
      <c r="B126" s="20" t="s">
        <v>392</v>
      </c>
      <c r="C126" s="20" t="s">
        <v>726</v>
      </c>
      <c r="D126" s="150">
        <v>930000</v>
      </c>
      <c r="E126" s="20" t="s">
        <v>471</v>
      </c>
      <c r="F126" s="20" t="s">
        <v>472</v>
      </c>
      <c r="G126" s="8" t="str">
        <f t="shared" si="1"/>
        <v>CLARK KATHLEEN</v>
      </c>
    </row>
    <row r="127" spans="1:7" x14ac:dyDescent="0.25">
      <c r="A127" s="8">
        <v>42818.551030092596</v>
      </c>
      <c r="B127" s="20" t="s">
        <v>446</v>
      </c>
      <c r="C127" s="20" t="s">
        <v>618</v>
      </c>
      <c r="D127" s="150">
        <v>1760000</v>
      </c>
      <c r="E127" s="20" t="s">
        <v>485</v>
      </c>
      <c r="F127" s="20" t="s">
        <v>486</v>
      </c>
      <c r="G127" s="8" t="str">
        <f t="shared" si="1"/>
        <v>STRICKLAND EVAN</v>
      </c>
    </row>
    <row r="128" spans="1:7" x14ac:dyDescent="0.25">
      <c r="A128" s="8">
        <v>42818.562569444446</v>
      </c>
      <c r="B128" s="20" t="s">
        <v>453</v>
      </c>
      <c r="C128" s="20" t="s">
        <v>727</v>
      </c>
      <c r="D128" s="150">
        <v>3000000</v>
      </c>
      <c r="E128" s="20" t="s">
        <v>473</v>
      </c>
      <c r="F128" s="20" t="s">
        <v>474</v>
      </c>
      <c r="G128" s="8" t="str">
        <f t="shared" si="1"/>
        <v>FORTUNATO FRANK</v>
      </c>
    </row>
    <row r="129" spans="1:7" x14ac:dyDescent="0.25">
      <c r="A129" s="8">
        <v>42818.568078703705</v>
      </c>
      <c r="B129" s="20" t="s">
        <v>405</v>
      </c>
      <c r="C129" s="20" t="s">
        <v>728</v>
      </c>
      <c r="D129" s="150">
        <v>880000</v>
      </c>
      <c r="E129" s="20" t="s">
        <v>698</v>
      </c>
      <c r="F129" s="20" t="s">
        <v>198</v>
      </c>
      <c r="G129" s="8" t="str">
        <f t="shared" si="1"/>
        <v>STEWART MICHAEL</v>
      </c>
    </row>
    <row r="130" spans="1:7" x14ac:dyDescent="0.25">
      <c r="A130" s="8">
        <v>42818.568437499998</v>
      </c>
      <c r="B130" s="20" t="s">
        <v>404</v>
      </c>
      <c r="C130" s="20" t="s">
        <v>729</v>
      </c>
      <c r="D130" s="150">
        <v>3020000</v>
      </c>
      <c r="E130" s="20" t="s">
        <v>469</v>
      </c>
      <c r="F130" s="20" t="s">
        <v>470</v>
      </c>
      <c r="G130" s="8" t="str">
        <f t="shared" si="1"/>
        <v>MENGES BRAD</v>
      </c>
    </row>
    <row r="131" spans="1:7" x14ac:dyDescent="0.25">
      <c r="A131" s="8">
        <v>42818.571388888886</v>
      </c>
      <c r="B131" s="20" t="s">
        <v>500</v>
      </c>
      <c r="C131" s="20" t="s">
        <v>730</v>
      </c>
      <c r="D131" s="150">
        <v>2470000</v>
      </c>
      <c r="E131" s="20" t="s">
        <v>707</v>
      </c>
      <c r="F131" s="20" t="s">
        <v>708</v>
      </c>
      <c r="G131" s="8" t="str">
        <f t="shared" ref="G131:G194" si="2">E131&amp;" "&amp;F131</f>
        <v>ROMERO CHAD</v>
      </c>
    </row>
    <row r="132" spans="1:7" x14ac:dyDescent="0.25">
      <c r="A132" s="8">
        <v>42818.574814814812</v>
      </c>
      <c r="B132" s="20" t="s">
        <v>388</v>
      </c>
      <c r="C132" s="20" t="s">
        <v>731</v>
      </c>
      <c r="D132" s="150">
        <v>1540000</v>
      </c>
      <c r="E132" s="20" t="s">
        <v>393</v>
      </c>
      <c r="F132" s="20" t="s">
        <v>394</v>
      </c>
      <c r="G132" s="8" t="str">
        <f t="shared" si="2"/>
        <v>HELVIE ADAM</v>
      </c>
    </row>
    <row r="133" spans="1:7" x14ac:dyDescent="0.25">
      <c r="A133" s="8">
        <v>42818.582048611112</v>
      </c>
      <c r="B133" s="20" t="s">
        <v>391</v>
      </c>
      <c r="C133" s="20" t="s">
        <v>620</v>
      </c>
      <c r="D133" s="150">
        <v>2360000</v>
      </c>
      <c r="E133" s="20" t="s">
        <v>540</v>
      </c>
      <c r="F133" s="20" t="s">
        <v>541</v>
      </c>
      <c r="G133" s="8" t="str">
        <f t="shared" si="2"/>
        <v>BRANDNER MELINDA</v>
      </c>
    </row>
    <row r="134" spans="1:7" x14ac:dyDescent="0.25">
      <c r="A134" s="8">
        <v>42818.586585648147</v>
      </c>
      <c r="B134" s="20" t="s">
        <v>504</v>
      </c>
      <c r="C134" s="20" t="s">
        <v>621</v>
      </c>
      <c r="D134" s="150">
        <v>930000</v>
      </c>
      <c r="E134" s="20" t="s">
        <v>471</v>
      </c>
      <c r="F134" s="20" t="s">
        <v>472</v>
      </c>
      <c r="G134" s="8" t="str">
        <f t="shared" si="2"/>
        <v>CLARK KATHLEEN</v>
      </c>
    </row>
    <row r="135" spans="1:7" x14ac:dyDescent="0.25">
      <c r="A135" s="8">
        <v>42818.589861111112</v>
      </c>
      <c r="B135" s="20" t="s">
        <v>403</v>
      </c>
      <c r="C135" s="20" t="s">
        <v>732</v>
      </c>
      <c r="D135" s="150">
        <v>3020000</v>
      </c>
      <c r="E135" s="20" t="s">
        <v>469</v>
      </c>
      <c r="F135" s="20" t="s">
        <v>470</v>
      </c>
      <c r="G135" s="8" t="str">
        <f t="shared" si="2"/>
        <v>MENGES BRAD</v>
      </c>
    </row>
    <row r="136" spans="1:7" x14ac:dyDescent="0.25">
      <c r="A136" s="8">
        <v>42818.592048611114</v>
      </c>
      <c r="B136" s="20" t="s">
        <v>447</v>
      </c>
      <c r="C136" s="20" t="s">
        <v>733</v>
      </c>
      <c r="D136" s="150">
        <v>1760000</v>
      </c>
      <c r="E136" s="20" t="s">
        <v>485</v>
      </c>
      <c r="F136" s="20" t="s">
        <v>486</v>
      </c>
      <c r="G136" s="8" t="str">
        <f t="shared" si="2"/>
        <v>STRICKLAND EVAN</v>
      </c>
    </row>
    <row r="137" spans="1:7" x14ac:dyDescent="0.25">
      <c r="A137" s="8">
        <v>42818.599687499998</v>
      </c>
      <c r="B137" s="20" t="s">
        <v>448</v>
      </c>
      <c r="C137" s="20" t="s">
        <v>734</v>
      </c>
      <c r="D137" s="150">
        <v>3000000</v>
      </c>
      <c r="E137" s="20" t="s">
        <v>473</v>
      </c>
      <c r="F137" s="20" t="s">
        <v>474</v>
      </c>
      <c r="G137" s="8" t="str">
        <f t="shared" si="2"/>
        <v>FORTUNATO FRANK</v>
      </c>
    </row>
    <row r="138" spans="1:7" x14ac:dyDescent="0.25">
      <c r="A138" s="8">
        <v>42818.604768518519</v>
      </c>
      <c r="B138" s="20" t="s">
        <v>401</v>
      </c>
      <c r="C138" s="20" t="s">
        <v>735</v>
      </c>
      <c r="D138" s="150">
        <v>880000</v>
      </c>
      <c r="E138" s="20" t="s">
        <v>698</v>
      </c>
      <c r="F138" s="20" t="s">
        <v>198</v>
      </c>
      <c r="G138" s="8" t="str">
        <f t="shared" si="2"/>
        <v>STEWART MICHAEL</v>
      </c>
    </row>
    <row r="139" spans="1:7" x14ac:dyDescent="0.25">
      <c r="A139" s="8">
        <v>42818.60974537037</v>
      </c>
      <c r="B139" s="20" t="s">
        <v>404</v>
      </c>
      <c r="C139" s="20" t="s">
        <v>736</v>
      </c>
      <c r="D139" s="150">
        <v>3020000</v>
      </c>
      <c r="E139" s="20" t="s">
        <v>469</v>
      </c>
      <c r="F139" s="20" t="s">
        <v>470</v>
      </c>
      <c r="G139" s="8" t="str">
        <f t="shared" si="2"/>
        <v>MENGES BRAD</v>
      </c>
    </row>
    <row r="140" spans="1:7" x14ac:dyDescent="0.25">
      <c r="A140" s="8">
        <v>42818.610752314817</v>
      </c>
      <c r="B140" s="20" t="s">
        <v>387</v>
      </c>
      <c r="C140" s="20" t="s">
        <v>737</v>
      </c>
      <c r="D140" s="150">
        <v>1540000</v>
      </c>
      <c r="E140" s="20" t="s">
        <v>393</v>
      </c>
      <c r="F140" s="20" t="s">
        <v>394</v>
      </c>
      <c r="G140" s="8" t="str">
        <f t="shared" si="2"/>
        <v>HELVIE ADAM</v>
      </c>
    </row>
    <row r="141" spans="1:7" x14ac:dyDescent="0.25">
      <c r="A141" s="8">
        <v>42818.611516203702</v>
      </c>
      <c r="B141" s="20" t="s">
        <v>503</v>
      </c>
      <c r="C141" s="20" t="s">
        <v>623</v>
      </c>
      <c r="D141" s="150">
        <v>2470000</v>
      </c>
      <c r="E141" s="20" t="s">
        <v>707</v>
      </c>
      <c r="F141" s="20" t="s">
        <v>708</v>
      </c>
      <c r="G141" s="8" t="str">
        <f t="shared" si="2"/>
        <v>ROMERO CHAD</v>
      </c>
    </row>
    <row r="142" spans="1:7" x14ac:dyDescent="0.25">
      <c r="A142" s="8">
        <v>42818.617777777778</v>
      </c>
      <c r="B142" s="20" t="s">
        <v>390</v>
      </c>
      <c r="C142" s="20" t="s">
        <v>738</v>
      </c>
      <c r="D142" s="150">
        <v>2360000</v>
      </c>
      <c r="E142" s="20" t="s">
        <v>540</v>
      </c>
      <c r="F142" s="20" t="s">
        <v>541</v>
      </c>
      <c r="G142" s="8" t="str">
        <f t="shared" si="2"/>
        <v>BRANDNER MELINDA</v>
      </c>
    </row>
    <row r="143" spans="1:7" x14ac:dyDescent="0.25">
      <c r="A143" s="8">
        <v>42818.625439814816</v>
      </c>
      <c r="B143" s="20" t="s">
        <v>392</v>
      </c>
      <c r="C143" s="20" t="s">
        <v>739</v>
      </c>
      <c r="D143" s="150">
        <v>930000</v>
      </c>
      <c r="E143" s="20" t="s">
        <v>471</v>
      </c>
      <c r="F143" s="20" t="s">
        <v>472</v>
      </c>
      <c r="G143" s="8" t="str">
        <f t="shared" si="2"/>
        <v>CLARK KATHLEEN</v>
      </c>
    </row>
    <row r="144" spans="1:7" x14ac:dyDescent="0.25">
      <c r="A144" s="8">
        <v>42818.626898148148</v>
      </c>
      <c r="B144" s="20" t="s">
        <v>403</v>
      </c>
      <c r="C144" s="20" t="s">
        <v>740</v>
      </c>
      <c r="D144" s="150">
        <v>3020000</v>
      </c>
      <c r="E144" s="20" t="s">
        <v>469</v>
      </c>
      <c r="F144" s="20" t="s">
        <v>470</v>
      </c>
      <c r="G144" s="8" t="str">
        <f t="shared" si="2"/>
        <v>MENGES BRAD</v>
      </c>
    </row>
    <row r="145" spans="1:7" x14ac:dyDescent="0.25">
      <c r="A145" s="8">
        <v>42818.627291666664</v>
      </c>
      <c r="B145" s="20" t="s">
        <v>446</v>
      </c>
      <c r="C145" s="20" t="s">
        <v>741</v>
      </c>
      <c r="D145" s="150">
        <v>1760000</v>
      </c>
      <c r="E145" s="20" t="s">
        <v>485</v>
      </c>
      <c r="F145" s="20" t="s">
        <v>486</v>
      </c>
      <c r="G145" s="8" t="str">
        <f t="shared" si="2"/>
        <v>STRICKLAND EVAN</v>
      </c>
    </row>
    <row r="146" spans="1:7" x14ac:dyDescent="0.25">
      <c r="A146" s="8">
        <v>42818.634340277778</v>
      </c>
      <c r="B146" s="20" t="s">
        <v>453</v>
      </c>
      <c r="C146" s="20" t="s">
        <v>742</v>
      </c>
      <c r="D146" s="150">
        <v>3000000</v>
      </c>
      <c r="E146" s="20" t="s">
        <v>473</v>
      </c>
      <c r="F146" s="20" t="s">
        <v>474</v>
      </c>
      <c r="G146" s="8" t="str">
        <f t="shared" si="2"/>
        <v>FORTUNATO FRANK</v>
      </c>
    </row>
    <row r="147" spans="1:7" x14ac:dyDescent="0.25">
      <c r="A147" s="8">
        <v>42818.64130787037</v>
      </c>
      <c r="B147" s="20" t="s">
        <v>604</v>
      </c>
      <c r="C147" s="20" t="s">
        <v>743</v>
      </c>
      <c r="D147" s="150">
        <v>2230000</v>
      </c>
      <c r="E147" s="20" t="s">
        <v>399</v>
      </c>
      <c r="F147" s="20" t="s">
        <v>198</v>
      </c>
      <c r="G147" s="8" t="str">
        <f t="shared" si="2"/>
        <v>SMITH MICHAEL</v>
      </c>
    </row>
    <row r="148" spans="1:7" x14ac:dyDescent="0.25">
      <c r="A148" s="8">
        <v>42818.642685185187</v>
      </c>
      <c r="B148" s="20" t="s">
        <v>500</v>
      </c>
      <c r="C148" s="20" t="s">
        <v>624</v>
      </c>
      <c r="D148" s="150">
        <v>2470000</v>
      </c>
      <c r="E148" s="20" t="s">
        <v>707</v>
      </c>
      <c r="F148" s="20" t="s">
        <v>708</v>
      </c>
      <c r="G148" s="8" t="str">
        <f t="shared" si="2"/>
        <v>ROMERO CHAD</v>
      </c>
    </row>
    <row r="149" spans="1:7" x14ac:dyDescent="0.25">
      <c r="A149" s="8">
        <v>42818.643391203703</v>
      </c>
      <c r="B149" s="20" t="s">
        <v>405</v>
      </c>
      <c r="C149" s="20" t="s">
        <v>744</v>
      </c>
      <c r="D149" s="150">
        <v>880000</v>
      </c>
      <c r="E149" s="20" t="s">
        <v>698</v>
      </c>
      <c r="F149" s="20" t="s">
        <v>198</v>
      </c>
      <c r="G149" s="8" t="str">
        <f t="shared" si="2"/>
        <v>STEWART MICHAEL</v>
      </c>
    </row>
    <row r="150" spans="1:7" x14ac:dyDescent="0.25">
      <c r="A150" s="8">
        <v>42818.644872685189</v>
      </c>
      <c r="B150" s="20" t="s">
        <v>388</v>
      </c>
      <c r="C150" s="20" t="s">
        <v>745</v>
      </c>
      <c r="D150" s="150">
        <v>1540000</v>
      </c>
      <c r="E150" s="20" t="s">
        <v>393</v>
      </c>
      <c r="F150" s="20" t="s">
        <v>394</v>
      </c>
      <c r="G150" s="8" t="str">
        <f t="shared" si="2"/>
        <v>HELVIE ADAM</v>
      </c>
    </row>
    <row r="151" spans="1:7" x14ac:dyDescent="0.25">
      <c r="A151" s="8">
        <v>42818.651354166665</v>
      </c>
      <c r="B151" s="20" t="s">
        <v>404</v>
      </c>
      <c r="C151" s="20" t="s">
        <v>746</v>
      </c>
      <c r="D151" s="150">
        <v>3020000</v>
      </c>
      <c r="E151" s="20" t="s">
        <v>469</v>
      </c>
      <c r="F151" s="20" t="s">
        <v>470</v>
      </c>
      <c r="G151" s="8" t="str">
        <f t="shared" si="2"/>
        <v>MENGES BRAD</v>
      </c>
    </row>
    <row r="152" spans="1:7" x14ac:dyDescent="0.25">
      <c r="A152" s="8">
        <v>42818.65353009259</v>
      </c>
      <c r="B152" s="20" t="s">
        <v>391</v>
      </c>
      <c r="C152" s="20" t="s">
        <v>747</v>
      </c>
      <c r="D152" s="150">
        <v>2360000</v>
      </c>
      <c r="E152" s="20" t="s">
        <v>540</v>
      </c>
      <c r="F152" s="20" t="s">
        <v>541</v>
      </c>
      <c r="G152" s="8" t="str">
        <f t="shared" si="2"/>
        <v>BRANDNER MELINDA</v>
      </c>
    </row>
    <row r="153" spans="1:7" x14ac:dyDescent="0.25">
      <c r="A153" s="8">
        <v>42818.65415509259</v>
      </c>
      <c r="B153" s="20" t="s">
        <v>646</v>
      </c>
      <c r="C153" s="20" t="s">
        <v>748</v>
      </c>
      <c r="D153" s="150">
        <v>2230000</v>
      </c>
      <c r="E153" s="20" t="s">
        <v>399</v>
      </c>
      <c r="F153" s="20" t="s">
        <v>198</v>
      </c>
      <c r="G153" s="8" t="str">
        <f t="shared" si="2"/>
        <v>SMITH MICHAEL</v>
      </c>
    </row>
    <row r="154" spans="1:7" x14ac:dyDescent="0.25">
      <c r="A154" s="8">
        <v>42818.659317129626</v>
      </c>
      <c r="B154" s="20" t="s">
        <v>504</v>
      </c>
      <c r="C154" s="20" t="s">
        <v>749</v>
      </c>
      <c r="D154" s="150">
        <v>930000</v>
      </c>
      <c r="E154" s="20" t="s">
        <v>471</v>
      </c>
      <c r="F154" s="20" t="s">
        <v>472</v>
      </c>
      <c r="G154" s="8" t="str">
        <f t="shared" si="2"/>
        <v>CLARK KATHLEEN</v>
      </c>
    </row>
    <row r="155" spans="1:7" x14ac:dyDescent="0.25">
      <c r="A155" s="8">
        <v>42818.663923611108</v>
      </c>
      <c r="B155" s="20" t="s">
        <v>447</v>
      </c>
      <c r="C155" s="20" t="s">
        <v>750</v>
      </c>
      <c r="D155" s="150">
        <v>1760000</v>
      </c>
      <c r="E155" s="20" t="s">
        <v>485</v>
      </c>
      <c r="F155" s="20" t="s">
        <v>486</v>
      </c>
      <c r="G155" s="8" t="str">
        <f t="shared" si="2"/>
        <v>STRICKLAND EVAN</v>
      </c>
    </row>
    <row r="156" spans="1:7" x14ac:dyDescent="0.25">
      <c r="A156" s="8">
        <v>42818.664849537039</v>
      </c>
      <c r="B156" s="20" t="s">
        <v>448</v>
      </c>
      <c r="C156" s="20" t="s">
        <v>625</v>
      </c>
      <c r="D156" s="150">
        <v>3000000</v>
      </c>
      <c r="E156" s="20" t="s">
        <v>473</v>
      </c>
      <c r="F156" s="20" t="s">
        <v>474</v>
      </c>
      <c r="G156" s="8" t="str">
        <f t="shared" si="2"/>
        <v>FORTUNATO FRANK</v>
      </c>
    </row>
    <row r="157" spans="1:7" x14ac:dyDescent="0.25">
      <c r="A157" s="8">
        <v>42818.671840277777</v>
      </c>
      <c r="B157" s="20" t="s">
        <v>604</v>
      </c>
      <c r="C157" s="20" t="s">
        <v>751</v>
      </c>
      <c r="D157" s="150">
        <v>2230000</v>
      </c>
      <c r="E157" s="20" t="s">
        <v>399</v>
      </c>
      <c r="F157" s="20" t="s">
        <v>198</v>
      </c>
      <c r="G157" s="8" t="str">
        <f t="shared" si="2"/>
        <v>SMITH MICHAEL</v>
      </c>
    </row>
    <row r="158" spans="1:7" x14ac:dyDescent="0.25">
      <c r="A158" s="8">
        <v>42818.673090277778</v>
      </c>
      <c r="B158" s="20" t="s">
        <v>403</v>
      </c>
      <c r="C158" s="20" t="s">
        <v>752</v>
      </c>
      <c r="D158" s="150">
        <v>3020000</v>
      </c>
      <c r="E158" s="20" t="s">
        <v>469</v>
      </c>
      <c r="F158" s="20" t="s">
        <v>470</v>
      </c>
      <c r="G158" s="8" t="str">
        <f t="shared" si="2"/>
        <v>MENGES BRAD</v>
      </c>
    </row>
    <row r="159" spans="1:7" x14ac:dyDescent="0.25">
      <c r="A159" s="8">
        <v>42818.67690972222</v>
      </c>
      <c r="B159" s="20" t="s">
        <v>401</v>
      </c>
      <c r="C159" s="20" t="s">
        <v>753</v>
      </c>
      <c r="D159" s="150">
        <v>880000</v>
      </c>
      <c r="E159" s="20" t="s">
        <v>698</v>
      </c>
      <c r="F159" s="20" t="s">
        <v>198</v>
      </c>
      <c r="G159" s="8" t="str">
        <f t="shared" si="2"/>
        <v>STEWART MICHAEL</v>
      </c>
    </row>
    <row r="160" spans="1:7" x14ac:dyDescent="0.25">
      <c r="A160" s="8">
        <v>42818.683310185188</v>
      </c>
      <c r="B160" s="20" t="s">
        <v>503</v>
      </c>
      <c r="C160" s="20" t="s">
        <v>754</v>
      </c>
      <c r="D160" s="150">
        <v>2470000</v>
      </c>
      <c r="E160" s="20" t="s">
        <v>707</v>
      </c>
      <c r="F160" s="20" t="s">
        <v>708</v>
      </c>
      <c r="G160" s="8" t="str">
        <f t="shared" si="2"/>
        <v>ROMERO CHAD</v>
      </c>
    </row>
    <row r="161" spans="1:7" x14ac:dyDescent="0.25">
      <c r="A161" s="8">
        <v>42818.683541666665</v>
      </c>
      <c r="B161" s="20" t="s">
        <v>387</v>
      </c>
      <c r="C161" s="20" t="s">
        <v>627</v>
      </c>
      <c r="D161" s="150">
        <v>1540000</v>
      </c>
      <c r="E161" s="20" t="s">
        <v>393</v>
      </c>
      <c r="F161" s="20" t="s">
        <v>394</v>
      </c>
      <c r="G161" s="8" t="str">
        <f t="shared" si="2"/>
        <v>HELVIE ADAM</v>
      </c>
    </row>
    <row r="162" spans="1:7" x14ac:dyDescent="0.25">
      <c r="A162" s="8">
        <v>42818.686701388891</v>
      </c>
      <c r="B162" s="20" t="s">
        <v>646</v>
      </c>
      <c r="C162" s="20" t="s">
        <v>755</v>
      </c>
      <c r="D162" s="150">
        <v>2230000</v>
      </c>
      <c r="E162" s="20" t="s">
        <v>399</v>
      </c>
      <c r="F162" s="20" t="s">
        <v>198</v>
      </c>
      <c r="G162" s="8" t="str">
        <f t="shared" si="2"/>
        <v>SMITH MICHAEL</v>
      </c>
    </row>
    <row r="163" spans="1:7" x14ac:dyDescent="0.25">
      <c r="A163" s="8">
        <v>42818.69122685185</v>
      </c>
      <c r="B163" s="20" t="s">
        <v>390</v>
      </c>
      <c r="C163" s="20" t="s">
        <v>756</v>
      </c>
      <c r="D163" s="150">
        <v>2360000</v>
      </c>
      <c r="E163" s="20" t="s">
        <v>540</v>
      </c>
      <c r="F163" s="20" t="s">
        <v>541</v>
      </c>
      <c r="G163" s="8" t="str">
        <f t="shared" si="2"/>
        <v>BRANDNER MELINDA</v>
      </c>
    </row>
    <row r="164" spans="1:7" x14ac:dyDescent="0.25">
      <c r="A164" s="8">
        <v>42818.693078703705</v>
      </c>
      <c r="B164" s="20" t="s">
        <v>404</v>
      </c>
      <c r="C164" s="20" t="s">
        <v>757</v>
      </c>
      <c r="D164" s="150">
        <v>3020000</v>
      </c>
      <c r="E164" s="20" t="s">
        <v>469</v>
      </c>
      <c r="F164" s="20" t="s">
        <v>470</v>
      </c>
      <c r="G164" s="8" t="str">
        <f t="shared" si="2"/>
        <v>MENGES BRAD</v>
      </c>
    </row>
    <row r="165" spans="1:7" x14ac:dyDescent="0.25">
      <c r="A165" s="8">
        <v>42818.695289351854</v>
      </c>
      <c r="B165" s="20" t="s">
        <v>392</v>
      </c>
      <c r="C165" s="20" t="s">
        <v>758</v>
      </c>
      <c r="D165" s="150">
        <v>930000</v>
      </c>
      <c r="E165" s="20" t="s">
        <v>471</v>
      </c>
      <c r="F165" s="20" t="s">
        <v>472</v>
      </c>
      <c r="G165" s="8" t="str">
        <f t="shared" si="2"/>
        <v>CLARK KATHLEEN</v>
      </c>
    </row>
    <row r="166" spans="1:7" x14ac:dyDescent="0.25">
      <c r="A166" s="8">
        <v>42818.697685185187</v>
      </c>
      <c r="B166" s="20" t="s">
        <v>446</v>
      </c>
      <c r="C166" s="20" t="s">
        <v>759</v>
      </c>
      <c r="D166" s="150">
        <v>1760000</v>
      </c>
      <c r="E166" s="20" t="s">
        <v>485</v>
      </c>
      <c r="F166" s="20" t="s">
        <v>486</v>
      </c>
      <c r="G166" s="8" t="str">
        <f t="shared" si="2"/>
        <v>STRICKLAND EVAN</v>
      </c>
    </row>
    <row r="167" spans="1:7" x14ac:dyDescent="0.25">
      <c r="A167" s="8">
        <v>42818.706724537034</v>
      </c>
      <c r="B167" s="20" t="s">
        <v>453</v>
      </c>
      <c r="C167" s="20" t="s">
        <v>626</v>
      </c>
      <c r="D167" s="150">
        <v>3000000</v>
      </c>
      <c r="E167" s="20" t="s">
        <v>473</v>
      </c>
      <c r="F167" s="20" t="s">
        <v>474</v>
      </c>
      <c r="G167" s="8" t="str">
        <f t="shared" si="2"/>
        <v>FORTUNATO FRANK</v>
      </c>
    </row>
    <row r="168" spans="1:7" x14ac:dyDescent="0.25">
      <c r="A168" s="8">
        <v>42818.713009259256</v>
      </c>
      <c r="B168" s="20" t="s">
        <v>604</v>
      </c>
      <c r="C168" s="20" t="s">
        <v>760</v>
      </c>
      <c r="D168" s="150">
        <v>2230000</v>
      </c>
      <c r="E168" s="20" t="s">
        <v>399</v>
      </c>
      <c r="F168" s="20" t="s">
        <v>198</v>
      </c>
      <c r="G168" s="8" t="str">
        <f t="shared" si="2"/>
        <v>SMITH MICHAEL</v>
      </c>
    </row>
    <row r="169" spans="1:7" x14ac:dyDescent="0.25">
      <c r="A169" s="8">
        <v>42818.714421296296</v>
      </c>
      <c r="B169" s="20" t="s">
        <v>403</v>
      </c>
      <c r="C169" s="20" t="s">
        <v>761</v>
      </c>
      <c r="D169" s="150">
        <v>3020000</v>
      </c>
      <c r="E169" s="20" t="s">
        <v>469</v>
      </c>
      <c r="F169" s="20" t="s">
        <v>470</v>
      </c>
      <c r="G169" s="8" t="str">
        <f t="shared" si="2"/>
        <v>MENGES BRAD</v>
      </c>
    </row>
    <row r="170" spans="1:7" x14ac:dyDescent="0.25">
      <c r="A170" s="8">
        <v>42818.714768518519</v>
      </c>
      <c r="B170" s="20" t="s">
        <v>500</v>
      </c>
      <c r="C170" s="20" t="s">
        <v>762</v>
      </c>
      <c r="D170" s="150">
        <v>2470000</v>
      </c>
      <c r="E170" s="20" t="s">
        <v>707</v>
      </c>
      <c r="F170" s="20" t="s">
        <v>708</v>
      </c>
      <c r="G170" s="8" t="str">
        <f t="shared" si="2"/>
        <v>ROMERO CHAD</v>
      </c>
    </row>
    <row r="171" spans="1:7" x14ac:dyDescent="0.25">
      <c r="A171" s="8">
        <v>42818.714791666665</v>
      </c>
      <c r="B171" s="20" t="s">
        <v>406</v>
      </c>
      <c r="C171" s="20" t="s">
        <v>763</v>
      </c>
      <c r="D171" s="150">
        <v>2540000</v>
      </c>
      <c r="E171" s="20" t="s">
        <v>513</v>
      </c>
      <c r="F171" s="20" t="s">
        <v>514</v>
      </c>
      <c r="G171" s="8" t="str">
        <f t="shared" si="2"/>
        <v>MCREYNOLDS KYLE</v>
      </c>
    </row>
    <row r="172" spans="1:7" x14ac:dyDescent="0.25">
      <c r="A172" s="8">
        <v>42818.715219907404</v>
      </c>
      <c r="B172" s="20" t="s">
        <v>405</v>
      </c>
      <c r="C172" s="20" t="s">
        <v>764</v>
      </c>
      <c r="D172" s="150">
        <v>880000</v>
      </c>
      <c r="E172" s="20" t="s">
        <v>698</v>
      </c>
      <c r="F172" s="20" t="s">
        <v>198</v>
      </c>
      <c r="G172" s="8" t="str">
        <f t="shared" si="2"/>
        <v>STEWART MICHAEL</v>
      </c>
    </row>
    <row r="173" spans="1:7" x14ac:dyDescent="0.25">
      <c r="A173" s="8">
        <v>42818.715868055559</v>
      </c>
      <c r="B173" s="20" t="s">
        <v>406</v>
      </c>
      <c r="C173" s="20" t="s">
        <v>763</v>
      </c>
      <c r="D173" s="150">
        <v>2540000</v>
      </c>
      <c r="E173" s="20" t="s">
        <v>513</v>
      </c>
      <c r="F173" s="20" t="s">
        <v>514</v>
      </c>
      <c r="G173" s="8" t="str">
        <f t="shared" si="2"/>
        <v>MCREYNOLDS KYLE</v>
      </c>
    </row>
    <row r="174" spans="1:7" x14ac:dyDescent="0.25">
      <c r="A174" s="8">
        <v>42818.717662037037</v>
      </c>
      <c r="B174" s="20" t="s">
        <v>388</v>
      </c>
      <c r="C174" s="20" t="s">
        <v>765</v>
      </c>
      <c r="D174" s="150">
        <v>1540000</v>
      </c>
      <c r="E174" s="20" t="s">
        <v>393</v>
      </c>
      <c r="F174" s="20" t="s">
        <v>394</v>
      </c>
      <c r="G174" s="8" t="str">
        <f t="shared" si="2"/>
        <v>HELVIE ADAM</v>
      </c>
    </row>
    <row r="175" spans="1:7" x14ac:dyDescent="0.25">
      <c r="A175" s="8">
        <v>42818.717939814815</v>
      </c>
      <c r="B175" s="20" t="s">
        <v>406</v>
      </c>
      <c r="C175" s="20" t="s">
        <v>763</v>
      </c>
      <c r="D175" s="150">
        <v>2540000</v>
      </c>
      <c r="E175" s="20" t="s">
        <v>513</v>
      </c>
      <c r="F175" s="20" t="s">
        <v>514</v>
      </c>
      <c r="G175" s="8" t="str">
        <f t="shared" si="2"/>
        <v>MCREYNOLDS KYLE</v>
      </c>
    </row>
    <row r="176" spans="1:7" x14ac:dyDescent="0.25">
      <c r="A176" s="8">
        <v>42818.725937499999</v>
      </c>
      <c r="B176" s="20" t="s">
        <v>391</v>
      </c>
      <c r="C176" s="20" t="s">
        <v>766</v>
      </c>
      <c r="D176" s="150">
        <v>2360000</v>
      </c>
      <c r="E176" s="20" t="s">
        <v>540</v>
      </c>
      <c r="F176" s="20" t="s">
        <v>541</v>
      </c>
      <c r="G176" s="8" t="str">
        <f t="shared" si="2"/>
        <v>BRANDNER MELINDA</v>
      </c>
    </row>
    <row r="177" spans="1:7" x14ac:dyDescent="0.25">
      <c r="A177" s="8">
        <v>42818.733587962961</v>
      </c>
      <c r="B177" s="20" t="s">
        <v>504</v>
      </c>
      <c r="C177" s="20" t="s">
        <v>767</v>
      </c>
      <c r="D177" s="150">
        <v>930000</v>
      </c>
      <c r="E177" s="20" t="s">
        <v>471</v>
      </c>
      <c r="F177" s="20" t="s">
        <v>472</v>
      </c>
      <c r="G177" s="8" t="str">
        <f t="shared" si="2"/>
        <v>CLARK KATHLEEN</v>
      </c>
    </row>
    <row r="178" spans="1:7" x14ac:dyDescent="0.25">
      <c r="A178" s="8">
        <v>42818.734305555554</v>
      </c>
      <c r="B178" s="20" t="s">
        <v>404</v>
      </c>
      <c r="C178" s="20" t="s">
        <v>768</v>
      </c>
      <c r="D178" s="150">
        <v>3020000</v>
      </c>
      <c r="E178" s="20" t="s">
        <v>469</v>
      </c>
      <c r="F178" s="20" t="s">
        <v>470</v>
      </c>
      <c r="G178" s="8" t="str">
        <f t="shared" si="2"/>
        <v>MENGES BRAD</v>
      </c>
    </row>
    <row r="179" spans="1:7" x14ac:dyDescent="0.25">
      <c r="A179" s="8">
        <v>42818.735972222225</v>
      </c>
      <c r="B179" s="20" t="s">
        <v>448</v>
      </c>
      <c r="C179" s="20" t="s">
        <v>769</v>
      </c>
      <c r="D179" s="150">
        <v>3000000</v>
      </c>
      <c r="E179" s="20" t="s">
        <v>473</v>
      </c>
      <c r="F179" s="20" t="s">
        <v>474</v>
      </c>
      <c r="G179" s="8" t="str">
        <f t="shared" si="2"/>
        <v>FORTUNATO FRANK</v>
      </c>
    </row>
    <row r="180" spans="1:7" x14ac:dyDescent="0.25">
      <c r="A180" s="8">
        <v>42818.736620370371</v>
      </c>
      <c r="B180" s="20" t="s">
        <v>646</v>
      </c>
      <c r="C180" s="20" t="s">
        <v>770</v>
      </c>
      <c r="D180" s="150">
        <v>2230000</v>
      </c>
      <c r="E180" s="20" t="s">
        <v>399</v>
      </c>
      <c r="F180" s="20" t="s">
        <v>198</v>
      </c>
      <c r="G180" s="8" t="str">
        <f t="shared" si="2"/>
        <v>SMITH MICHAEL</v>
      </c>
    </row>
    <row r="181" spans="1:7" x14ac:dyDescent="0.25">
      <c r="A181" s="8">
        <v>42818.738043981481</v>
      </c>
      <c r="B181" s="20" t="s">
        <v>447</v>
      </c>
      <c r="C181" s="20" t="s">
        <v>771</v>
      </c>
      <c r="D181" s="150">
        <v>1740000</v>
      </c>
      <c r="E181" s="20" t="s">
        <v>475</v>
      </c>
      <c r="F181" s="20" t="s">
        <v>476</v>
      </c>
      <c r="G181" s="8" t="str">
        <f t="shared" si="2"/>
        <v>STORY SAMANTHA</v>
      </c>
    </row>
    <row r="182" spans="1:7" x14ac:dyDescent="0.25">
      <c r="A182" s="8">
        <v>42818.746724537035</v>
      </c>
      <c r="B182" s="20" t="s">
        <v>401</v>
      </c>
      <c r="C182" s="20" t="s">
        <v>772</v>
      </c>
      <c r="D182" s="150">
        <v>1760000</v>
      </c>
      <c r="E182" s="20" t="s">
        <v>485</v>
      </c>
      <c r="F182" s="20" t="s">
        <v>486</v>
      </c>
      <c r="G182" s="8" t="str">
        <f t="shared" si="2"/>
        <v>STRICKLAND EVAN</v>
      </c>
    </row>
    <row r="183" spans="1:7" x14ac:dyDescent="0.25">
      <c r="A183" s="8">
        <v>42818.747511574074</v>
      </c>
      <c r="B183" s="20" t="s">
        <v>397</v>
      </c>
      <c r="C183" s="20" t="s">
        <v>773</v>
      </c>
      <c r="D183" s="150">
        <v>2630000</v>
      </c>
      <c r="E183" s="20" t="s">
        <v>407</v>
      </c>
      <c r="F183" s="20" t="s">
        <v>408</v>
      </c>
      <c r="G183" s="8" t="str">
        <f t="shared" si="2"/>
        <v>SAFIEF AEIMEN</v>
      </c>
    </row>
    <row r="184" spans="1:7" x14ac:dyDescent="0.25">
      <c r="A184" s="8">
        <v>42818.754861111112</v>
      </c>
      <c r="B184" s="20" t="s">
        <v>503</v>
      </c>
      <c r="C184" s="20" t="s">
        <v>774</v>
      </c>
      <c r="D184" s="150">
        <v>2000000</v>
      </c>
      <c r="E184" s="20" t="s">
        <v>389</v>
      </c>
      <c r="F184" s="20" t="s">
        <v>195</v>
      </c>
      <c r="G184" s="8" t="str">
        <f t="shared" si="2"/>
        <v>STAMBAUGH JAMES</v>
      </c>
    </row>
    <row r="185" spans="1:7" x14ac:dyDescent="0.25">
      <c r="A185" s="8">
        <v>42818.754953703705</v>
      </c>
      <c r="B185" s="20" t="s">
        <v>387</v>
      </c>
      <c r="C185" s="20" t="s">
        <v>775</v>
      </c>
      <c r="D185" s="150">
        <v>1540000</v>
      </c>
      <c r="E185" s="20" t="s">
        <v>393</v>
      </c>
      <c r="F185" s="20" t="s">
        <v>394</v>
      </c>
      <c r="G185" s="8" t="str">
        <f t="shared" si="2"/>
        <v>HELVIE ADAM</v>
      </c>
    </row>
    <row r="186" spans="1:7" x14ac:dyDescent="0.25">
      <c r="A186" s="8">
        <v>42818.755219907405</v>
      </c>
      <c r="B186" s="20" t="s">
        <v>604</v>
      </c>
      <c r="C186" s="20" t="s">
        <v>776</v>
      </c>
      <c r="D186" s="150">
        <v>2600000</v>
      </c>
      <c r="E186" s="20" t="s">
        <v>777</v>
      </c>
      <c r="F186" s="20" t="s">
        <v>778</v>
      </c>
      <c r="G186" s="8" t="str">
        <f t="shared" si="2"/>
        <v>DAVIDSON DAVID</v>
      </c>
    </row>
    <row r="187" spans="1:7" x14ac:dyDescent="0.25">
      <c r="A187" s="8">
        <v>42818.759837962964</v>
      </c>
      <c r="B187" s="20" t="s">
        <v>403</v>
      </c>
      <c r="C187" s="20" t="s">
        <v>779</v>
      </c>
      <c r="D187" s="150">
        <v>3020000</v>
      </c>
      <c r="E187" s="20" t="s">
        <v>469</v>
      </c>
      <c r="F187" s="20" t="s">
        <v>470</v>
      </c>
      <c r="G187" s="8" t="str">
        <f t="shared" si="2"/>
        <v>MENGES BRAD</v>
      </c>
    </row>
    <row r="188" spans="1:7" x14ac:dyDescent="0.25">
      <c r="A188" s="8">
        <v>42818.763935185183</v>
      </c>
      <c r="B188" s="20" t="s">
        <v>390</v>
      </c>
      <c r="C188" s="20" t="s">
        <v>780</v>
      </c>
      <c r="D188" s="150">
        <v>2360000</v>
      </c>
      <c r="E188" s="20" t="s">
        <v>540</v>
      </c>
      <c r="F188" s="20" t="s">
        <v>541</v>
      </c>
      <c r="G188" s="8" t="str">
        <f t="shared" si="2"/>
        <v>BRANDNER MELINDA</v>
      </c>
    </row>
    <row r="189" spans="1:7" x14ac:dyDescent="0.25">
      <c r="A189" s="8">
        <v>42818.768275462964</v>
      </c>
      <c r="B189" s="20" t="s">
        <v>392</v>
      </c>
      <c r="C189" s="20" t="s">
        <v>781</v>
      </c>
      <c r="D189" s="150">
        <v>2150000</v>
      </c>
      <c r="E189" s="20" t="s">
        <v>383</v>
      </c>
      <c r="F189" s="20" t="s">
        <v>384</v>
      </c>
      <c r="G189" s="8" t="str">
        <f t="shared" si="2"/>
        <v>SWANSON BRYCE</v>
      </c>
    </row>
    <row r="190" spans="1:7" x14ac:dyDescent="0.25">
      <c r="A190" s="8">
        <v>42818.77071759259</v>
      </c>
      <c r="B190" s="20" t="s">
        <v>646</v>
      </c>
      <c r="C190" s="20" t="s">
        <v>782</v>
      </c>
      <c r="D190" s="150">
        <v>2230000</v>
      </c>
      <c r="E190" s="20" t="s">
        <v>399</v>
      </c>
      <c r="F190" s="20" t="s">
        <v>198</v>
      </c>
      <c r="G190" s="8" t="str">
        <f t="shared" si="2"/>
        <v>SMITH MICHAEL</v>
      </c>
    </row>
    <row r="191" spans="1:7" x14ac:dyDescent="0.25">
      <c r="A191" s="8">
        <v>42818.772974537038</v>
      </c>
      <c r="B191" s="20" t="s">
        <v>446</v>
      </c>
      <c r="C191" s="20" t="s">
        <v>783</v>
      </c>
      <c r="D191" s="150">
        <v>1740000</v>
      </c>
      <c r="E191" s="20" t="s">
        <v>475</v>
      </c>
      <c r="F191" s="20" t="s">
        <v>476</v>
      </c>
      <c r="G191" s="8" t="str">
        <f t="shared" si="2"/>
        <v>STORY SAMANTHA</v>
      </c>
    </row>
    <row r="192" spans="1:7" x14ac:dyDescent="0.25">
      <c r="A192" s="8">
        <v>42818.775891203702</v>
      </c>
      <c r="B192" s="20" t="s">
        <v>404</v>
      </c>
      <c r="C192" s="20" t="s">
        <v>784</v>
      </c>
      <c r="D192" s="150">
        <v>3020000</v>
      </c>
      <c r="E192" s="20" t="s">
        <v>469</v>
      </c>
      <c r="F192" s="20" t="s">
        <v>470</v>
      </c>
      <c r="G192" s="8" t="str">
        <f t="shared" si="2"/>
        <v>MENGES BRAD</v>
      </c>
    </row>
    <row r="193" spans="1:7" x14ac:dyDescent="0.25">
      <c r="A193" s="8">
        <v>42818.777384259258</v>
      </c>
      <c r="B193" s="20" t="s">
        <v>453</v>
      </c>
      <c r="C193" s="20" t="s">
        <v>785</v>
      </c>
      <c r="D193" s="150">
        <v>3000000</v>
      </c>
      <c r="E193" s="20" t="s">
        <v>473</v>
      </c>
      <c r="F193" s="20" t="s">
        <v>474</v>
      </c>
      <c r="G193" s="8" t="str">
        <f t="shared" si="2"/>
        <v>FORTUNATO FRANK</v>
      </c>
    </row>
    <row r="194" spans="1:7" x14ac:dyDescent="0.25">
      <c r="A194" s="8">
        <v>42818.780972222223</v>
      </c>
      <c r="B194" s="20" t="s">
        <v>405</v>
      </c>
      <c r="C194" s="20" t="s">
        <v>786</v>
      </c>
      <c r="D194" s="150">
        <v>1760000</v>
      </c>
      <c r="E194" s="20" t="s">
        <v>485</v>
      </c>
      <c r="F194" s="20" t="s">
        <v>486</v>
      </c>
      <c r="G194" s="8" t="str">
        <f t="shared" si="2"/>
        <v>STRICKLAND EVAN</v>
      </c>
    </row>
    <row r="195" spans="1:7" x14ac:dyDescent="0.25">
      <c r="A195" s="8">
        <v>42818.789456018516</v>
      </c>
      <c r="B195" s="20" t="s">
        <v>388</v>
      </c>
      <c r="C195" s="20" t="s">
        <v>787</v>
      </c>
      <c r="D195" s="150">
        <v>2270000</v>
      </c>
      <c r="E195" s="20" t="s">
        <v>210</v>
      </c>
      <c r="F195" s="20" t="s">
        <v>211</v>
      </c>
      <c r="G195" s="8" t="str">
        <f t="shared" ref="G195:G258" si="3">E195&amp;" "&amp;F195</f>
        <v>BROWN JACOB</v>
      </c>
    </row>
    <row r="196" spans="1:7" x14ac:dyDescent="0.25">
      <c r="A196" s="8">
        <v>42818.794421296298</v>
      </c>
      <c r="B196" s="20" t="s">
        <v>500</v>
      </c>
      <c r="C196" s="20" t="s">
        <v>788</v>
      </c>
      <c r="D196" s="150">
        <v>2000000</v>
      </c>
      <c r="E196" s="20" t="s">
        <v>389</v>
      </c>
      <c r="F196" s="20" t="s">
        <v>195</v>
      </c>
      <c r="G196" s="8" t="str">
        <f t="shared" si="3"/>
        <v>STAMBAUGH JAMES</v>
      </c>
    </row>
    <row r="197" spans="1:7" x14ac:dyDescent="0.25">
      <c r="A197" s="8">
        <v>42818.797060185185</v>
      </c>
      <c r="B197" s="20" t="s">
        <v>604</v>
      </c>
      <c r="C197" s="20" t="s">
        <v>789</v>
      </c>
      <c r="D197" s="150">
        <v>2230000</v>
      </c>
      <c r="E197" s="20" t="s">
        <v>399</v>
      </c>
      <c r="F197" s="20" t="s">
        <v>198</v>
      </c>
      <c r="G197" s="8" t="str">
        <f t="shared" si="3"/>
        <v>SMITH MICHAEL</v>
      </c>
    </row>
    <row r="198" spans="1:7" x14ac:dyDescent="0.25">
      <c r="A198" s="8">
        <v>42818.800254629627</v>
      </c>
      <c r="B198" s="20" t="s">
        <v>391</v>
      </c>
      <c r="C198" s="20" t="s">
        <v>790</v>
      </c>
      <c r="D198" s="150">
        <v>2360000</v>
      </c>
      <c r="E198" s="20" t="s">
        <v>540</v>
      </c>
      <c r="F198" s="20" t="s">
        <v>541</v>
      </c>
      <c r="G198" s="8" t="str">
        <f t="shared" si="3"/>
        <v>BRANDNER MELINDA</v>
      </c>
    </row>
    <row r="199" spans="1:7" x14ac:dyDescent="0.25">
      <c r="A199" s="8">
        <v>42818.800532407404</v>
      </c>
      <c r="B199" s="20" t="s">
        <v>403</v>
      </c>
      <c r="C199" s="20" t="s">
        <v>791</v>
      </c>
      <c r="D199" s="150">
        <v>3020000</v>
      </c>
      <c r="E199" s="20" t="s">
        <v>469</v>
      </c>
      <c r="F199" s="20" t="s">
        <v>470</v>
      </c>
      <c r="G199" s="8" t="str">
        <f t="shared" si="3"/>
        <v>MENGES BRAD</v>
      </c>
    </row>
    <row r="200" spans="1:7" x14ac:dyDescent="0.25">
      <c r="A200" s="8">
        <v>42818.80096064815</v>
      </c>
      <c r="B200" s="20" t="s">
        <v>504</v>
      </c>
      <c r="C200" s="20" t="s">
        <v>792</v>
      </c>
      <c r="D200" s="150">
        <v>2150000</v>
      </c>
      <c r="E200" s="20" t="s">
        <v>383</v>
      </c>
      <c r="F200" s="20" t="s">
        <v>384</v>
      </c>
      <c r="G200" s="8" t="str">
        <f t="shared" si="3"/>
        <v>SWANSON BRYCE</v>
      </c>
    </row>
    <row r="201" spans="1:7" x14ac:dyDescent="0.25">
      <c r="A201" s="8">
        <v>42818.808553240742</v>
      </c>
      <c r="B201" s="20" t="s">
        <v>447</v>
      </c>
      <c r="C201" s="20" t="s">
        <v>628</v>
      </c>
      <c r="D201" s="150">
        <v>1740000</v>
      </c>
      <c r="E201" s="20" t="s">
        <v>475</v>
      </c>
      <c r="F201" s="20" t="s">
        <v>476</v>
      </c>
      <c r="G201" s="8" t="str">
        <f t="shared" si="3"/>
        <v>STORY SAMANTHA</v>
      </c>
    </row>
    <row r="202" spans="1:7" x14ac:dyDescent="0.25">
      <c r="A202" s="26">
        <v>42818.818402777775</v>
      </c>
      <c r="B202" s="20" t="s">
        <v>404</v>
      </c>
      <c r="C202" s="20" t="s">
        <v>793</v>
      </c>
      <c r="D202" s="150">
        <v>3020000</v>
      </c>
      <c r="E202" s="20" t="s">
        <v>469</v>
      </c>
      <c r="F202" s="20" t="s">
        <v>470</v>
      </c>
      <c r="G202" s="8" t="str">
        <f t="shared" si="3"/>
        <v>MENGES BRAD</v>
      </c>
    </row>
    <row r="203" spans="1:7" x14ac:dyDescent="0.25">
      <c r="A203" s="8">
        <v>42818.820104166669</v>
      </c>
      <c r="B203" s="20" t="s">
        <v>401</v>
      </c>
      <c r="C203" s="20" t="s">
        <v>794</v>
      </c>
      <c r="D203" s="150">
        <v>1760000</v>
      </c>
      <c r="E203" s="20" t="s">
        <v>485</v>
      </c>
      <c r="F203" s="20" t="s">
        <v>486</v>
      </c>
      <c r="G203" s="8" t="str">
        <f t="shared" si="3"/>
        <v>STRICKLAND EVAN</v>
      </c>
    </row>
    <row r="204" spans="1:7" x14ac:dyDescent="0.25">
      <c r="A204" s="8">
        <v>42818.828541666669</v>
      </c>
      <c r="B204" s="20" t="s">
        <v>503</v>
      </c>
      <c r="C204" s="20" t="s">
        <v>629</v>
      </c>
      <c r="D204" s="150">
        <v>2000000</v>
      </c>
      <c r="E204" s="20" t="s">
        <v>389</v>
      </c>
      <c r="F204" s="20" t="s">
        <v>195</v>
      </c>
      <c r="G204" s="8" t="str">
        <f t="shared" si="3"/>
        <v>STAMBAUGH JAMES</v>
      </c>
    </row>
    <row r="205" spans="1:7" x14ac:dyDescent="0.25">
      <c r="A205" s="8">
        <v>42818.828773148147</v>
      </c>
      <c r="B205" s="20" t="s">
        <v>387</v>
      </c>
      <c r="C205" s="20" t="s">
        <v>795</v>
      </c>
      <c r="D205" s="150">
        <v>2270000</v>
      </c>
      <c r="E205" s="20" t="s">
        <v>210</v>
      </c>
      <c r="F205" s="20" t="s">
        <v>211</v>
      </c>
      <c r="G205" s="8" t="str">
        <f t="shared" si="3"/>
        <v>BROWN JACOB</v>
      </c>
    </row>
    <row r="206" spans="1:7" x14ac:dyDescent="0.25">
      <c r="A206" s="8">
        <v>42818.829155092593</v>
      </c>
      <c r="B206" s="20" t="s">
        <v>449</v>
      </c>
      <c r="C206" s="20" t="s">
        <v>796</v>
      </c>
      <c r="D206" s="150">
        <v>2610000</v>
      </c>
      <c r="E206" s="20" t="s">
        <v>797</v>
      </c>
      <c r="F206" s="20" t="s">
        <v>798</v>
      </c>
      <c r="G206" s="8" t="str">
        <f t="shared" si="3"/>
        <v>MAGEE KENYA</v>
      </c>
    </row>
    <row r="207" spans="1:7" x14ac:dyDescent="0.25">
      <c r="A207" s="8">
        <v>42818.841585648152</v>
      </c>
      <c r="B207" s="20" t="s">
        <v>403</v>
      </c>
      <c r="C207" s="20" t="s">
        <v>799</v>
      </c>
      <c r="D207" s="150">
        <v>3020000</v>
      </c>
      <c r="E207" s="20" t="s">
        <v>469</v>
      </c>
      <c r="F207" s="20" t="s">
        <v>470</v>
      </c>
      <c r="G207" s="8" t="str">
        <f t="shared" si="3"/>
        <v>MENGES BRAD</v>
      </c>
    </row>
    <row r="208" spans="1:7" x14ac:dyDescent="0.25">
      <c r="A208" s="8">
        <v>42818.848240740743</v>
      </c>
      <c r="B208" s="20" t="s">
        <v>446</v>
      </c>
      <c r="C208" s="20" t="s">
        <v>800</v>
      </c>
      <c r="D208" s="150">
        <v>1740000</v>
      </c>
      <c r="E208" s="20" t="s">
        <v>475</v>
      </c>
      <c r="F208" s="20" t="s">
        <v>476</v>
      </c>
      <c r="G208" s="8" t="str">
        <f t="shared" si="3"/>
        <v>STORY SAMANTHA</v>
      </c>
    </row>
    <row r="209" spans="1:7" x14ac:dyDescent="0.25">
      <c r="A209" s="8">
        <v>42818.849641203706</v>
      </c>
      <c r="B209" s="20" t="s">
        <v>450</v>
      </c>
      <c r="C209" s="20" t="s">
        <v>801</v>
      </c>
      <c r="D209" s="150">
        <v>2610000</v>
      </c>
      <c r="E209" s="20" t="s">
        <v>797</v>
      </c>
      <c r="F209" s="20" t="s">
        <v>798</v>
      </c>
      <c r="G209" s="8" t="str">
        <f t="shared" si="3"/>
        <v>MAGEE KENYA</v>
      </c>
    </row>
    <row r="210" spans="1:7" x14ac:dyDescent="0.25">
      <c r="A210" s="8">
        <v>42818.851851851854</v>
      </c>
      <c r="B210" s="20" t="s">
        <v>392</v>
      </c>
      <c r="C210" s="20" t="s">
        <v>802</v>
      </c>
      <c r="D210" s="150">
        <v>2150000</v>
      </c>
      <c r="E210" s="20" t="s">
        <v>383</v>
      </c>
      <c r="F210" s="20" t="s">
        <v>384</v>
      </c>
      <c r="G210" s="8" t="str">
        <f t="shared" si="3"/>
        <v>SWANSON BRYCE</v>
      </c>
    </row>
    <row r="211" spans="1:7" x14ac:dyDescent="0.25">
      <c r="A211" s="8">
        <v>42818.860069444447</v>
      </c>
      <c r="B211" s="20" t="s">
        <v>404</v>
      </c>
      <c r="C211" s="20" t="s">
        <v>803</v>
      </c>
      <c r="D211" s="150">
        <v>3020000</v>
      </c>
      <c r="E211" s="20" t="s">
        <v>469</v>
      </c>
      <c r="F211" s="20" t="s">
        <v>470</v>
      </c>
      <c r="G211" s="8" t="str">
        <f t="shared" si="3"/>
        <v>MENGES BRAD</v>
      </c>
    </row>
    <row r="212" spans="1:7" x14ac:dyDescent="0.25">
      <c r="A212" s="8">
        <v>42818.869583333333</v>
      </c>
      <c r="B212" s="20" t="s">
        <v>500</v>
      </c>
      <c r="C212" s="20" t="s">
        <v>804</v>
      </c>
      <c r="D212" s="150">
        <v>2000000</v>
      </c>
      <c r="E212" s="20" t="s">
        <v>389</v>
      </c>
      <c r="F212" s="20" t="s">
        <v>195</v>
      </c>
      <c r="G212" s="8" t="str">
        <f t="shared" si="3"/>
        <v>STAMBAUGH JAMES</v>
      </c>
    </row>
    <row r="213" spans="1:7" x14ac:dyDescent="0.25">
      <c r="A213" s="8">
        <v>42818.869814814818</v>
      </c>
      <c r="B213" s="20" t="s">
        <v>388</v>
      </c>
      <c r="C213" s="20" t="s">
        <v>805</v>
      </c>
      <c r="D213" s="150">
        <v>2270000</v>
      </c>
      <c r="E213" s="20" t="s">
        <v>210</v>
      </c>
      <c r="F213" s="20" t="s">
        <v>211</v>
      </c>
      <c r="G213" s="8" t="str">
        <f t="shared" si="3"/>
        <v>BROWN JACOB</v>
      </c>
    </row>
    <row r="214" spans="1:7" x14ac:dyDescent="0.25">
      <c r="A214" s="8">
        <v>42818.878587962965</v>
      </c>
      <c r="B214" s="20" t="s">
        <v>403</v>
      </c>
      <c r="C214" s="20" t="s">
        <v>806</v>
      </c>
      <c r="D214" s="150">
        <v>2230000</v>
      </c>
      <c r="E214" s="20" t="s">
        <v>399</v>
      </c>
      <c r="F214" s="20" t="s">
        <v>198</v>
      </c>
      <c r="G214" s="8" t="str">
        <f t="shared" si="3"/>
        <v>SMITH MICHAEL</v>
      </c>
    </row>
    <row r="215" spans="1:7" x14ac:dyDescent="0.25">
      <c r="A215" s="8">
        <v>42818.879270833335</v>
      </c>
      <c r="B215" s="20" t="s">
        <v>449</v>
      </c>
      <c r="C215" s="20" t="s">
        <v>796</v>
      </c>
      <c r="D215" s="150">
        <v>2610000</v>
      </c>
      <c r="E215" s="20" t="s">
        <v>797</v>
      </c>
      <c r="F215" s="20" t="s">
        <v>798</v>
      </c>
      <c r="G215" s="8" t="str">
        <f t="shared" si="3"/>
        <v>MAGEE KENYA</v>
      </c>
    </row>
    <row r="216" spans="1:7" x14ac:dyDescent="0.25">
      <c r="A216" s="8">
        <v>42818.883252314816</v>
      </c>
      <c r="B216" s="20" t="s">
        <v>504</v>
      </c>
      <c r="C216" s="20" t="s">
        <v>807</v>
      </c>
      <c r="D216" s="150">
        <v>2150000</v>
      </c>
      <c r="E216" s="20" t="s">
        <v>383</v>
      </c>
      <c r="F216" s="20" t="s">
        <v>384</v>
      </c>
      <c r="G216" s="8" t="str">
        <f t="shared" si="3"/>
        <v>SWANSON BRYCE</v>
      </c>
    </row>
    <row r="217" spans="1:7" x14ac:dyDescent="0.25">
      <c r="A217" s="8">
        <v>42818.892974537041</v>
      </c>
      <c r="B217" s="20" t="s">
        <v>447</v>
      </c>
      <c r="C217" s="20" t="s">
        <v>808</v>
      </c>
      <c r="D217" s="150">
        <v>1740000</v>
      </c>
      <c r="E217" s="20" t="s">
        <v>475</v>
      </c>
      <c r="F217" s="20" t="s">
        <v>476</v>
      </c>
      <c r="G217" s="8" t="str">
        <f t="shared" si="3"/>
        <v>STORY SAMANTHA</v>
      </c>
    </row>
    <row r="218" spans="1:7" x14ac:dyDescent="0.25">
      <c r="A218" s="8">
        <v>42818.901064814818</v>
      </c>
      <c r="B218" s="20" t="s">
        <v>404</v>
      </c>
      <c r="C218" s="20" t="s">
        <v>809</v>
      </c>
      <c r="D218" s="150">
        <v>2230000</v>
      </c>
      <c r="E218" s="20" t="s">
        <v>399</v>
      </c>
      <c r="F218" s="20" t="s">
        <v>198</v>
      </c>
      <c r="G218" s="8" t="str">
        <f t="shared" si="3"/>
        <v>SMITH MICHAEL</v>
      </c>
    </row>
    <row r="219" spans="1:7" x14ac:dyDescent="0.25">
      <c r="A219" s="8">
        <v>42818.90148148148</v>
      </c>
      <c r="B219" s="20" t="s">
        <v>503</v>
      </c>
      <c r="C219" s="20" t="s">
        <v>810</v>
      </c>
      <c r="D219" s="150">
        <v>2000000</v>
      </c>
      <c r="E219" s="20" t="s">
        <v>389</v>
      </c>
      <c r="F219" s="20" t="s">
        <v>195</v>
      </c>
      <c r="G219" s="8" t="str">
        <f t="shared" si="3"/>
        <v>STAMBAUGH JAMES</v>
      </c>
    </row>
    <row r="220" spans="1:7" x14ac:dyDescent="0.25">
      <c r="A220" s="8">
        <v>42818.907430555555</v>
      </c>
      <c r="B220" s="20" t="s">
        <v>450</v>
      </c>
      <c r="C220" s="20" t="s">
        <v>801</v>
      </c>
      <c r="D220" s="150">
        <v>2610000</v>
      </c>
      <c r="E220" s="20" t="s">
        <v>797</v>
      </c>
      <c r="F220" s="20" t="s">
        <v>798</v>
      </c>
      <c r="G220" s="8" t="str">
        <f t="shared" si="3"/>
        <v>MAGEE KENYA</v>
      </c>
    </row>
    <row r="221" spans="1:7" x14ac:dyDescent="0.25">
      <c r="A221" s="8">
        <v>42818.914050925923</v>
      </c>
      <c r="B221" s="20" t="s">
        <v>387</v>
      </c>
      <c r="C221" s="20" t="s">
        <v>630</v>
      </c>
      <c r="D221" s="150">
        <v>2270000</v>
      </c>
      <c r="E221" s="20" t="s">
        <v>210</v>
      </c>
      <c r="F221" s="20" t="s">
        <v>211</v>
      </c>
      <c r="G221" s="8" t="str">
        <f t="shared" si="3"/>
        <v>BROWN JACOB</v>
      </c>
    </row>
    <row r="222" spans="1:7" x14ac:dyDescent="0.25">
      <c r="A222" s="8">
        <v>42818.917187500003</v>
      </c>
      <c r="B222" s="20" t="s">
        <v>403</v>
      </c>
      <c r="C222" s="20" t="s">
        <v>811</v>
      </c>
      <c r="D222" s="150">
        <v>2230000</v>
      </c>
      <c r="E222" s="20" t="s">
        <v>399</v>
      </c>
      <c r="F222" s="20" t="s">
        <v>198</v>
      </c>
      <c r="G222" s="8" t="str">
        <f t="shared" si="3"/>
        <v>SMITH MICHAEL</v>
      </c>
    </row>
    <row r="223" spans="1:7" x14ac:dyDescent="0.25">
      <c r="A223" s="8">
        <v>42818.925787037035</v>
      </c>
      <c r="B223" s="20" t="s">
        <v>392</v>
      </c>
      <c r="C223" s="20" t="s">
        <v>812</v>
      </c>
      <c r="D223" s="150">
        <v>2150000</v>
      </c>
      <c r="E223" s="20" t="s">
        <v>383</v>
      </c>
      <c r="F223" s="20" t="s">
        <v>384</v>
      </c>
      <c r="G223" s="8" t="str">
        <f t="shared" si="3"/>
        <v>SWANSON BRYCE</v>
      </c>
    </row>
    <row r="224" spans="1:7" x14ac:dyDescent="0.25">
      <c r="A224" s="8">
        <v>42818.927256944444</v>
      </c>
      <c r="B224" t="s">
        <v>449</v>
      </c>
      <c r="C224" t="s">
        <v>813</v>
      </c>
      <c r="D224" s="150">
        <v>2600000</v>
      </c>
      <c r="E224" t="s">
        <v>777</v>
      </c>
      <c r="F224" s="20" t="s">
        <v>778</v>
      </c>
      <c r="G224" s="8" t="str">
        <f t="shared" si="3"/>
        <v>DAVIDSON DAVID</v>
      </c>
    </row>
    <row r="225" spans="1:7" x14ac:dyDescent="0.25">
      <c r="A225" s="8">
        <v>42818.931006944447</v>
      </c>
      <c r="B225" t="s">
        <v>446</v>
      </c>
      <c r="C225" t="s">
        <v>814</v>
      </c>
      <c r="D225" s="150">
        <v>1740000</v>
      </c>
      <c r="E225" t="s">
        <v>475</v>
      </c>
      <c r="F225" s="20" t="s">
        <v>476</v>
      </c>
      <c r="G225" s="8" t="str">
        <f t="shared" si="3"/>
        <v>STORY SAMANTHA</v>
      </c>
    </row>
    <row r="226" spans="1:7" x14ac:dyDescent="0.25">
      <c r="A226" s="8">
        <v>42818.942870370367</v>
      </c>
      <c r="B226" t="s">
        <v>404</v>
      </c>
      <c r="C226" t="s">
        <v>815</v>
      </c>
      <c r="D226" s="150">
        <v>2230000</v>
      </c>
      <c r="E226" t="s">
        <v>399</v>
      </c>
      <c r="F226" s="20" t="s">
        <v>198</v>
      </c>
      <c r="G226" s="8" t="str">
        <f t="shared" si="3"/>
        <v>SMITH MICHAEL</v>
      </c>
    </row>
    <row r="227" spans="1:7" x14ac:dyDescent="0.25">
      <c r="A227" s="8">
        <v>42818.950949074075</v>
      </c>
      <c r="B227" t="s">
        <v>450</v>
      </c>
      <c r="C227" t="s">
        <v>801</v>
      </c>
      <c r="D227" s="150">
        <v>2610000</v>
      </c>
      <c r="E227" t="s">
        <v>797</v>
      </c>
      <c r="F227" s="20" t="s">
        <v>798</v>
      </c>
      <c r="G227" s="8" t="str">
        <f t="shared" si="3"/>
        <v>MAGEE KENYA</v>
      </c>
    </row>
    <row r="228" spans="1:7" x14ac:dyDescent="0.25">
      <c r="A228" s="8">
        <v>42818.952326388891</v>
      </c>
      <c r="B228" t="s">
        <v>500</v>
      </c>
      <c r="C228" t="s">
        <v>816</v>
      </c>
      <c r="D228" s="150">
        <v>2000000</v>
      </c>
      <c r="E228" t="s">
        <v>389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42818.952349537038</v>
      </c>
      <c r="B229" t="s">
        <v>388</v>
      </c>
      <c r="C229" t="s">
        <v>817</v>
      </c>
      <c r="D229" s="150">
        <v>2270000</v>
      </c>
      <c r="E229" t="s">
        <v>210</v>
      </c>
      <c r="F229" s="20" t="s">
        <v>211</v>
      </c>
      <c r="G229" s="8" t="str">
        <f t="shared" si="3"/>
        <v>BROWN JACOB</v>
      </c>
    </row>
    <row r="230" spans="1:7" x14ac:dyDescent="0.25">
      <c r="A230" s="8">
        <v>42818.969340277778</v>
      </c>
      <c r="B230" t="s">
        <v>504</v>
      </c>
      <c r="C230" t="s">
        <v>818</v>
      </c>
      <c r="D230" s="150">
        <v>2150000</v>
      </c>
      <c r="E230" t="s">
        <v>383</v>
      </c>
      <c r="F230" s="20" t="s">
        <v>384</v>
      </c>
      <c r="G230" s="8" t="str">
        <f t="shared" si="3"/>
        <v>SWANSON BRYCE</v>
      </c>
    </row>
    <row r="231" spans="1:7" x14ac:dyDescent="0.25">
      <c r="A231" s="8">
        <v>42818.973391203705</v>
      </c>
      <c r="B231" t="s">
        <v>447</v>
      </c>
      <c r="C231" t="s">
        <v>819</v>
      </c>
      <c r="D231" s="150">
        <v>1740000</v>
      </c>
      <c r="E231" t="s">
        <v>475</v>
      </c>
      <c r="F231" s="20" t="s">
        <v>476</v>
      </c>
      <c r="G231" s="8" t="str">
        <f t="shared" si="3"/>
        <v>STORY SAMANTHA</v>
      </c>
    </row>
    <row r="232" spans="1:7" x14ac:dyDescent="0.25">
      <c r="A232" s="8">
        <v>42818.97892361111</v>
      </c>
      <c r="B232" t="s">
        <v>449</v>
      </c>
      <c r="C232" t="s">
        <v>796</v>
      </c>
      <c r="D232" s="150">
        <v>2610000</v>
      </c>
      <c r="E232" t="s">
        <v>797</v>
      </c>
      <c r="F232" s="20" t="s">
        <v>798</v>
      </c>
      <c r="G232" s="8" t="str">
        <f t="shared" si="3"/>
        <v>MAGEE KENYA</v>
      </c>
    </row>
    <row r="233" spans="1:7" x14ac:dyDescent="0.25">
      <c r="A233" s="8">
        <v>42818.986030092594</v>
      </c>
      <c r="B233" t="s">
        <v>503</v>
      </c>
      <c r="C233" t="s">
        <v>820</v>
      </c>
      <c r="D233" s="150">
        <v>2000000</v>
      </c>
      <c r="E233" t="s">
        <v>389</v>
      </c>
      <c r="F233" s="20" t="s">
        <v>195</v>
      </c>
      <c r="G233" s="8" t="str">
        <f t="shared" si="3"/>
        <v>STAMBAUGH JAMES</v>
      </c>
    </row>
    <row r="234" spans="1:7" x14ac:dyDescent="0.25">
      <c r="A234" s="8">
        <v>42818.993796296294</v>
      </c>
      <c r="B234" t="s">
        <v>387</v>
      </c>
      <c r="C234" t="s">
        <v>631</v>
      </c>
      <c r="D234" s="150">
        <v>2270000</v>
      </c>
      <c r="E234" t="s">
        <v>210</v>
      </c>
      <c r="F234" s="20" t="s">
        <v>211</v>
      </c>
      <c r="G234" s="8" t="str">
        <f t="shared" si="3"/>
        <v>BROWN JACOB</v>
      </c>
    </row>
    <row r="235" spans="1:7" x14ac:dyDescent="0.25">
      <c r="A235" s="8">
        <v>42819.006712962961</v>
      </c>
      <c r="B235" t="s">
        <v>450</v>
      </c>
      <c r="C235" t="s">
        <v>801</v>
      </c>
      <c r="D235" s="150">
        <v>2610000</v>
      </c>
      <c r="E235" t="s">
        <v>797</v>
      </c>
      <c r="F235" s="20" t="s">
        <v>798</v>
      </c>
      <c r="G235" s="8" t="str">
        <f t="shared" si="3"/>
        <v>MAGEE KENYA</v>
      </c>
    </row>
    <row r="236" spans="1:7" x14ac:dyDescent="0.25">
      <c r="A236" s="8">
        <v>42819.012037037035</v>
      </c>
      <c r="B236" t="s">
        <v>392</v>
      </c>
      <c r="C236" t="s">
        <v>821</v>
      </c>
      <c r="D236" s="150">
        <v>2150000</v>
      </c>
      <c r="E236" t="s">
        <v>383</v>
      </c>
      <c r="F236" s="20" t="s">
        <v>384</v>
      </c>
      <c r="G236" s="8" t="str">
        <f t="shared" si="3"/>
        <v>SWANSON BRYCE</v>
      </c>
    </row>
    <row r="237" spans="1:7" x14ac:dyDescent="0.25">
      <c r="A237" s="8">
        <v>42819.016435185185</v>
      </c>
      <c r="B237" t="s">
        <v>446</v>
      </c>
      <c r="C237" t="s">
        <v>822</v>
      </c>
      <c r="D237" s="150">
        <v>1740000</v>
      </c>
      <c r="E237" t="s">
        <v>475</v>
      </c>
      <c r="F237" s="20" t="s">
        <v>476</v>
      </c>
      <c r="G237" s="8" t="str">
        <f t="shared" si="3"/>
        <v>STORY SAMANTHA</v>
      </c>
    </row>
    <row r="238" spans="1:7" x14ac:dyDescent="0.25">
      <c r="A238" s="8">
        <v>42819.030312499999</v>
      </c>
      <c r="B238" t="s">
        <v>449</v>
      </c>
      <c r="C238" t="s">
        <v>796</v>
      </c>
      <c r="D238" s="150">
        <v>2610000</v>
      </c>
      <c r="E238" t="s">
        <v>797</v>
      </c>
      <c r="F238" s="20" t="s">
        <v>798</v>
      </c>
      <c r="G238" s="8" t="str">
        <f t="shared" si="3"/>
        <v>MAGEE KENYA</v>
      </c>
    </row>
    <row r="239" spans="1:7" x14ac:dyDescent="0.25">
      <c r="A239" s="8">
        <v>42819.033645833333</v>
      </c>
      <c r="B239" t="s">
        <v>500</v>
      </c>
      <c r="C239" t="s">
        <v>823</v>
      </c>
      <c r="D239" s="150">
        <v>2000000</v>
      </c>
      <c r="E239" t="s">
        <v>389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42819.034004629626</v>
      </c>
      <c r="B240" t="s">
        <v>388</v>
      </c>
      <c r="C240" t="s">
        <v>824</v>
      </c>
      <c r="D240" s="150">
        <v>2270000</v>
      </c>
      <c r="E240" t="s">
        <v>210</v>
      </c>
      <c r="F240" s="20" t="s">
        <v>211</v>
      </c>
      <c r="G240" s="8" t="str">
        <f t="shared" si="3"/>
        <v>BROWN JACOB</v>
      </c>
    </row>
    <row r="241" spans="1:7" x14ac:dyDescent="0.25">
      <c r="A241" s="8">
        <v>42819.049421296295</v>
      </c>
      <c r="B241" t="s">
        <v>447</v>
      </c>
      <c r="C241" t="s">
        <v>825</v>
      </c>
      <c r="D241" s="150">
        <v>1740000</v>
      </c>
      <c r="E241" t="s">
        <v>475</v>
      </c>
      <c r="F241" s="20" t="s">
        <v>476</v>
      </c>
      <c r="G241" s="8" t="str">
        <f t="shared" si="3"/>
        <v>STORY SAMANTHA</v>
      </c>
    </row>
    <row r="242" spans="1:7" x14ac:dyDescent="0.25">
      <c r="A242" s="8">
        <v>42819.049953703703</v>
      </c>
      <c r="B242" t="s">
        <v>450</v>
      </c>
      <c r="C242" t="s">
        <v>801</v>
      </c>
      <c r="D242" s="150">
        <v>2610000</v>
      </c>
      <c r="E242" t="s">
        <v>797</v>
      </c>
      <c r="F242" s="20" t="s">
        <v>798</v>
      </c>
      <c r="G242" s="8" t="str">
        <f t="shared" si="3"/>
        <v>MAGEE KENYA</v>
      </c>
    </row>
    <row r="243" spans="1:7" x14ac:dyDescent="0.25">
      <c r="A243" s="8">
        <v>42819.057858796295</v>
      </c>
      <c r="B243" t="s">
        <v>504</v>
      </c>
      <c r="C243" t="s">
        <v>826</v>
      </c>
      <c r="D243" s="150">
        <v>2150000</v>
      </c>
      <c r="E243" t="s">
        <v>383</v>
      </c>
      <c r="F243" s="20" t="s">
        <v>384</v>
      </c>
      <c r="G243" s="8" t="str">
        <f t="shared" si="3"/>
        <v>SWANSON BRYCE</v>
      </c>
    </row>
    <row r="244" spans="1:7" x14ac:dyDescent="0.25">
      <c r="A244" s="8">
        <v>42819.067083333335</v>
      </c>
      <c r="B244" t="s">
        <v>449</v>
      </c>
      <c r="C244" t="s">
        <v>796</v>
      </c>
      <c r="D244" s="150">
        <v>2610000</v>
      </c>
      <c r="E244" t="s">
        <v>797</v>
      </c>
      <c r="F244" s="20" t="s">
        <v>798</v>
      </c>
      <c r="G244" s="8" t="str">
        <f t="shared" si="3"/>
        <v>MAGEE KENYA</v>
      </c>
    </row>
    <row r="245" spans="1:7" x14ac:dyDescent="0.25">
      <c r="A245" s="8">
        <v>42819.068298611113</v>
      </c>
      <c r="B245" t="s">
        <v>503</v>
      </c>
      <c r="C245" t="s">
        <v>827</v>
      </c>
      <c r="D245" s="150">
        <v>2000000</v>
      </c>
      <c r="E245" t="s">
        <v>389</v>
      </c>
      <c r="F245" s="20" t="s">
        <v>195</v>
      </c>
      <c r="G245" s="8" t="str">
        <f t="shared" si="3"/>
        <v>STAMBAUGH JAMES</v>
      </c>
    </row>
    <row r="246" spans="1:7" x14ac:dyDescent="0.25">
      <c r="A246" s="8">
        <v>42819.078425925924</v>
      </c>
      <c r="B246" t="s">
        <v>387</v>
      </c>
      <c r="C246" t="s">
        <v>828</v>
      </c>
      <c r="D246" s="150">
        <v>2270000</v>
      </c>
      <c r="E246" t="s">
        <v>210</v>
      </c>
      <c r="F246" s="20" t="s">
        <v>211</v>
      </c>
      <c r="G246" s="8" t="str">
        <f t="shared" si="3"/>
        <v>BROWN JACOB</v>
      </c>
    </row>
    <row r="247" spans="1:7" x14ac:dyDescent="0.25">
      <c r="A247" s="8">
        <v>42819.092164351852</v>
      </c>
      <c r="B247" t="s">
        <v>392</v>
      </c>
      <c r="C247" t="s">
        <v>829</v>
      </c>
      <c r="D247" s="150">
        <v>2150000</v>
      </c>
      <c r="E247" t="s">
        <v>383</v>
      </c>
      <c r="F247" s="20" t="s">
        <v>384</v>
      </c>
      <c r="G247" s="8" t="str">
        <f t="shared" si="3"/>
        <v>SWANSON BRYCE</v>
      </c>
    </row>
    <row r="248" spans="1:7" x14ac:dyDescent="0.25">
      <c r="A248" s="8">
        <v>42819.096701388888</v>
      </c>
      <c r="B248" t="s">
        <v>450</v>
      </c>
      <c r="C248" t="s">
        <v>801</v>
      </c>
      <c r="D248" s="150">
        <v>2610000</v>
      </c>
      <c r="E248" t="s">
        <v>797</v>
      </c>
      <c r="F248" s="20" t="s">
        <v>798</v>
      </c>
      <c r="G248" s="8" t="str">
        <f t="shared" si="3"/>
        <v>MAGEE KENYA</v>
      </c>
    </row>
    <row r="249" spans="1:7" x14ac:dyDescent="0.25">
      <c r="A249" s="8">
        <v>42819.108715277776</v>
      </c>
      <c r="B249" t="s">
        <v>449</v>
      </c>
      <c r="C249" t="s">
        <v>796</v>
      </c>
      <c r="D249" s="150">
        <v>2610000</v>
      </c>
      <c r="E249" t="s">
        <v>797</v>
      </c>
      <c r="F249" s="20" t="s">
        <v>798</v>
      </c>
      <c r="G249" s="8" t="str">
        <f t="shared" si="3"/>
        <v>MAGEE KENYA</v>
      </c>
    </row>
    <row r="250" spans="1:7" x14ac:dyDescent="0.25">
      <c r="A250" s="8">
        <v>42819.112187500003</v>
      </c>
      <c r="B250" t="s">
        <v>388</v>
      </c>
      <c r="C250" t="s">
        <v>830</v>
      </c>
      <c r="D250" s="150">
        <v>2270000</v>
      </c>
      <c r="E250" t="s">
        <v>210</v>
      </c>
      <c r="F250" s="20" t="s">
        <v>211</v>
      </c>
      <c r="G250" s="8" t="str">
        <f t="shared" si="3"/>
        <v>BROWN JACOB</v>
      </c>
    </row>
    <row r="251" spans="1:7" x14ac:dyDescent="0.25">
      <c r="A251" s="8">
        <v>42816.058182870373</v>
      </c>
      <c r="B251" t="s">
        <v>482</v>
      </c>
      <c r="C251" t="s">
        <v>488</v>
      </c>
      <c r="D251" s="150">
        <v>2000000</v>
      </c>
      <c r="E251" t="s">
        <v>389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391</v>
      </c>
      <c r="C252" t="s">
        <v>487</v>
      </c>
      <c r="D252" s="150">
        <v>1740000</v>
      </c>
      <c r="E252" t="s">
        <v>475</v>
      </c>
      <c r="F252" s="20" t="s">
        <v>476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391</v>
      </c>
      <c r="C253" t="s">
        <v>489</v>
      </c>
      <c r="D253" s="150">
        <v>1740000</v>
      </c>
      <c r="E253" t="s">
        <v>475</v>
      </c>
      <c r="F253" s="20" t="s">
        <v>476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481</v>
      </c>
      <c r="C254" t="s">
        <v>490</v>
      </c>
      <c r="D254" s="150">
        <v>2000000</v>
      </c>
      <c r="E254" t="s">
        <v>389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401</v>
      </c>
      <c r="C255" t="s">
        <v>416</v>
      </c>
      <c r="D255" s="150">
        <v>2150000</v>
      </c>
      <c r="E255" t="s">
        <v>383</v>
      </c>
      <c r="F255" s="20" t="s">
        <v>384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404</v>
      </c>
      <c r="C256" t="s">
        <v>417</v>
      </c>
      <c r="D256" s="150">
        <v>2560000</v>
      </c>
      <c r="E256" t="s">
        <v>414</v>
      </c>
      <c r="F256" s="20" t="s">
        <v>415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398</v>
      </c>
      <c r="C257" t="s">
        <v>418</v>
      </c>
      <c r="D257" s="150">
        <v>1540000</v>
      </c>
      <c r="E257" t="s">
        <v>393</v>
      </c>
      <c r="F257" s="20" t="s">
        <v>394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404</v>
      </c>
      <c r="C258" t="s">
        <v>419</v>
      </c>
      <c r="D258" s="150">
        <v>2560000</v>
      </c>
      <c r="E258" t="s">
        <v>414</v>
      </c>
      <c r="F258" s="20" t="s">
        <v>415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404</v>
      </c>
      <c r="C259" t="s">
        <v>419</v>
      </c>
      <c r="D259" s="150">
        <v>2560000</v>
      </c>
      <c r="E259" t="s">
        <v>414</v>
      </c>
      <c r="F259" s="20" t="s">
        <v>415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404</v>
      </c>
      <c r="C260" t="s">
        <v>419</v>
      </c>
      <c r="D260" s="150">
        <v>2560000</v>
      </c>
      <c r="E260" t="s">
        <v>414</v>
      </c>
      <c r="F260" s="20" t="s">
        <v>415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404</v>
      </c>
      <c r="C261" t="s">
        <v>419</v>
      </c>
      <c r="D261" s="150">
        <v>2560000</v>
      </c>
      <c r="E261" t="s">
        <v>414</v>
      </c>
      <c r="F261" s="20" t="s">
        <v>415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397</v>
      </c>
      <c r="C262" t="s">
        <v>420</v>
      </c>
      <c r="D262" s="150">
        <v>1540000</v>
      </c>
      <c r="E262" t="s">
        <v>393</v>
      </c>
      <c r="F262" s="20" t="s">
        <v>394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421</v>
      </c>
      <c r="D263" s="150">
        <v>2230000</v>
      </c>
      <c r="E263" t="s">
        <v>399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388</v>
      </c>
      <c r="C264" t="s">
        <v>422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398</v>
      </c>
      <c r="C265" t="s">
        <v>423</v>
      </c>
      <c r="D265" s="150">
        <v>1540000</v>
      </c>
      <c r="E265" t="s">
        <v>393</v>
      </c>
      <c r="F265" s="20" t="s">
        <v>394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404</v>
      </c>
      <c r="C266" t="s">
        <v>419</v>
      </c>
      <c r="D266" s="150">
        <v>2560000</v>
      </c>
      <c r="E266" t="s">
        <v>414</v>
      </c>
      <c r="F266" s="20" t="s">
        <v>415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405</v>
      </c>
      <c r="C267" t="s">
        <v>424</v>
      </c>
      <c r="D267" s="150">
        <v>2150000</v>
      </c>
      <c r="E267" t="s">
        <v>383</v>
      </c>
      <c r="F267" s="20" t="s">
        <v>384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391</v>
      </c>
      <c r="C268" t="s">
        <v>425</v>
      </c>
      <c r="D268" s="150">
        <v>2000000</v>
      </c>
      <c r="E268" t="s">
        <v>389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397</v>
      </c>
      <c r="C269" t="s">
        <v>426</v>
      </c>
      <c r="D269" s="150">
        <v>1540000</v>
      </c>
      <c r="E269" t="s">
        <v>393</v>
      </c>
      <c r="F269" s="20" t="s">
        <v>394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398</v>
      </c>
      <c r="C270" t="s">
        <v>427</v>
      </c>
      <c r="D270" s="150">
        <v>2630000</v>
      </c>
      <c r="E270" t="s">
        <v>407</v>
      </c>
      <c r="F270" s="20" t="s">
        <v>408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391</v>
      </c>
      <c r="C271" t="s">
        <v>425</v>
      </c>
      <c r="D271" s="150">
        <v>2000000</v>
      </c>
      <c r="E271" t="s">
        <v>389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421</v>
      </c>
      <c r="D272" s="150">
        <v>2230000</v>
      </c>
      <c r="E272" t="s">
        <v>399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387</v>
      </c>
      <c r="C273" t="s">
        <v>412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397</v>
      </c>
      <c r="C274" t="s">
        <v>428</v>
      </c>
      <c r="D274" s="150">
        <v>2630000</v>
      </c>
      <c r="E274" t="s">
        <v>407</v>
      </c>
      <c r="F274" s="20" t="s">
        <v>408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387</v>
      </c>
      <c r="C275" t="s">
        <v>412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387</v>
      </c>
      <c r="C276" t="s">
        <v>412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411</v>
      </c>
      <c r="C277" t="s">
        <v>429</v>
      </c>
      <c r="D277" s="150">
        <v>2230000</v>
      </c>
      <c r="E277" t="s">
        <v>399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411</v>
      </c>
      <c r="C278" t="s">
        <v>430</v>
      </c>
      <c r="D278" s="150">
        <v>2230000</v>
      </c>
      <c r="E278" t="s">
        <v>399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401</v>
      </c>
      <c r="C279" t="s">
        <v>413</v>
      </c>
      <c r="D279" s="150">
        <v>2150000</v>
      </c>
      <c r="E279" t="s">
        <v>383</v>
      </c>
      <c r="F279" s="20" t="s">
        <v>384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401</v>
      </c>
      <c r="C280" t="s">
        <v>413</v>
      </c>
      <c r="D280" s="150">
        <v>2150000</v>
      </c>
      <c r="E280" t="s">
        <v>383</v>
      </c>
      <c r="F280" s="20" t="s">
        <v>384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411</v>
      </c>
      <c r="C281" t="s">
        <v>430</v>
      </c>
      <c r="D281" s="150">
        <v>2230000</v>
      </c>
      <c r="E281" t="s">
        <v>399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390</v>
      </c>
      <c r="C282" t="s">
        <v>431</v>
      </c>
      <c r="D282" s="150">
        <v>2000000</v>
      </c>
      <c r="E282" t="s">
        <v>389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411</v>
      </c>
      <c r="C283" t="s">
        <v>430</v>
      </c>
      <c r="D283" s="150">
        <v>2230000</v>
      </c>
      <c r="E283" t="s">
        <v>399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403</v>
      </c>
      <c r="C284" t="s">
        <v>432</v>
      </c>
      <c r="D284" s="150">
        <v>2560000</v>
      </c>
      <c r="E284" t="s">
        <v>414</v>
      </c>
      <c r="F284" s="20" t="s">
        <v>415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411</v>
      </c>
      <c r="C285" t="s">
        <v>430</v>
      </c>
      <c r="D285" s="150">
        <v>2230000</v>
      </c>
      <c r="E285" t="s">
        <v>399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388</v>
      </c>
      <c r="C286" t="s">
        <v>433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434</v>
      </c>
      <c r="D287" s="150">
        <v>2230000</v>
      </c>
      <c r="E287" t="s">
        <v>399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391</v>
      </c>
      <c r="C288" t="s">
        <v>435</v>
      </c>
      <c r="D288" s="150">
        <v>2000000</v>
      </c>
      <c r="E288" t="s">
        <v>389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405</v>
      </c>
      <c r="C289" t="s">
        <v>436</v>
      </c>
      <c r="D289" s="150">
        <v>2150000</v>
      </c>
      <c r="E289" t="s">
        <v>383</v>
      </c>
      <c r="F289" s="20" t="s">
        <v>384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405</v>
      </c>
      <c r="C290" t="s">
        <v>436</v>
      </c>
      <c r="D290" s="150">
        <v>2150000</v>
      </c>
      <c r="E290" t="s">
        <v>383</v>
      </c>
      <c r="F290" s="20" t="s">
        <v>384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405</v>
      </c>
      <c r="C291" t="s">
        <v>436</v>
      </c>
      <c r="D291" s="150">
        <v>2150000</v>
      </c>
      <c r="E291" t="s">
        <v>383</v>
      </c>
      <c r="F291" s="20" t="s">
        <v>384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411</v>
      </c>
      <c r="C292" t="s">
        <v>437</v>
      </c>
      <c r="D292" s="150">
        <v>2230000</v>
      </c>
      <c r="E292" t="s">
        <v>399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387</v>
      </c>
      <c r="C293" t="s">
        <v>438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387</v>
      </c>
      <c r="C294" t="s">
        <v>438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387</v>
      </c>
      <c r="C295" t="s">
        <v>438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398</v>
      </c>
      <c r="C296" t="s">
        <v>439</v>
      </c>
      <c r="D296" s="150">
        <v>2150000</v>
      </c>
      <c r="E296" t="s">
        <v>383</v>
      </c>
      <c r="F296" s="20" t="s">
        <v>384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388</v>
      </c>
      <c r="C297" t="s">
        <v>440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552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37.479999999999997</v>
      </c>
      <c r="B2" s="168">
        <v>0.77</v>
      </c>
      <c r="C2" s="168">
        <v>38.51</v>
      </c>
      <c r="D2" s="8">
        <v>42818</v>
      </c>
      <c r="E2" s="168">
        <v>0.82</v>
      </c>
      <c r="F2" s="168" t="s">
        <v>553</v>
      </c>
      <c r="G2" s="168">
        <v>306.52</v>
      </c>
      <c r="H2" s="168">
        <v>2.5600000000000001E-2</v>
      </c>
      <c r="I2" s="168">
        <v>0.64</v>
      </c>
      <c r="J2" s="168" t="s">
        <v>553</v>
      </c>
      <c r="K2" s="168">
        <v>1006.11</v>
      </c>
      <c r="L2" s="168" t="s">
        <v>554</v>
      </c>
      <c r="M2" s="168">
        <v>43.61</v>
      </c>
      <c r="N2" s="168">
        <v>1490335200</v>
      </c>
      <c r="O2" s="168">
        <v>4.16</v>
      </c>
      <c r="P2" s="168">
        <v>358</v>
      </c>
      <c r="Q2" s="168">
        <v>11.74</v>
      </c>
      <c r="R2"/>
    </row>
    <row r="3" spans="1:18" x14ac:dyDescent="0.25">
      <c r="A3" s="168">
        <v>35.380000000000003</v>
      </c>
      <c r="B3" s="168">
        <v>0.65</v>
      </c>
      <c r="C3" s="168">
        <v>38.229999999999997</v>
      </c>
      <c r="D3" s="8">
        <v>42818.041666666664</v>
      </c>
      <c r="E3" s="168">
        <v>0.86</v>
      </c>
      <c r="F3" s="168" t="s">
        <v>553</v>
      </c>
      <c r="G3" s="168">
        <v>304.68</v>
      </c>
      <c r="H3" s="168">
        <v>5.0799999999999998E-2</v>
      </c>
      <c r="I3" s="168">
        <v>0.73</v>
      </c>
      <c r="J3" s="168" t="s">
        <v>553</v>
      </c>
      <c r="K3" s="168">
        <v>1006.76</v>
      </c>
      <c r="L3" s="168" t="s">
        <v>554</v>
      </c>
      <c r="M3" s="168">
        <v>41.96</v>
      </c>
      <c r="N3" s="168">
        <v>1490338800</v>
      </c>
      <c r="O3" s="168">
        <v>4.53</v>
      </c>
      <c r="P3" s="168">
        <v>359</v>
      </c>
      <c r="Q3" s="168">
        <v>11.82</v>
      </c>
      <c r="R3"/>
    </row>
    <row r="4" spans="1:18" x14ac:dyDescent="0.25">
      <c r="A4" s="168">
        <v>33.81</v>
      </c>
      <c r="B4" s="168">
        <v>0.49</v>
      </c>
      <c r="C4" s="168">
        <v>37.49</v>
      </c>
      <c r="D4" s="8">
        <v>42818.083333333336</v>
      </c>
      <c r="E4" s="168">
        <v>0.9</v>
      </c>
      <c r="F4" s="168" t="s">
        <v>553</v>
      </c>
      <c r="G4" s="168">
        <v>302.83999999999997</v>
      </c>
      <c r="H4" s="168">
        <v>7.5999999999999998E-2</v>
      </c>
      <c r="I4" s="168">
        <v>0.77</v>
      </c>
      <c r="J4" s="168" t="s">
        <v>553</v>
      </c>
      <c r="K4" s="168">
        <v>1007.51</v>
      </c>
      <c r="L4" s="168" t="s">
        <v>555</v>
      </c>
      <c r="M4" s="168">
        <v>40.21</v>
      </c>
      <c r="N4" s="168">
        <v>1490342400</v>
      </c>
      <c r="O4" s="168">
        <v>4.33</v>
      </c>
      <c r="P4" s="168">
        <v>11</v>
      </c>
      <c r="Q4" s="168">
        <v>10.220000000000001</v>
      </c>
      <c r="R4"/>
    </row>
    <row r="5" spans="1:18" x14ac:dyDescent="0.25">
      <c r="A5" s="168">
        <v>30.08</v>
      </c>
      <c r="B5" s="168">
        <v>0.47</v>
      </c>
      <c r="C5" s="168">
        <v>35.14</v>
      </c>
      <c r="D5" s="8">
        <v>42818.125</v>
      </c>
      <c r="E5" s="168">
        <v>0.9</v>
      </c>
      <c r="F5" s="168" t="s">
        <v>556</v>
      </c>
      <c r="G5" s="168">
        <v>301</v>
      </c>
      <c r="H5" s="168">
        <v>0.1012</v>
      </c>
      <c r="I5" s="168">
        <v>0.8</v>
      </c>
      <c r="J5" s="168" t="s">
        <v>556</v>
      </c>
      <c r="K5" s="168">
        <v>1008.37</v>
      </c>
      <c r="L5" s="168" t="s">
        <v>557</v>
      </c>
      <c r="M5" s="168">
        <v>37.78</v>
      </c>
      <c r="N5" s="168">
        <v>1490346000</v>
      </c>
      <c r="O5" s="168">
        <v>3.6</v>
      </c>
      <c r="P5" s="168">
        <v>5</v>
      </c>
      <c r="Q5" s="168">
        <v>11.94</v>
      </c>
      <c r="R5"/>
    </row>
    <row r="6" spans="1:18" x14ac:dyDescent="0.25">
      <c r="A6" s="168">
        <v>28.82</v>
      </c>
      <c r="B6" s="168">
        <v>0.53</v>
      </c>
      <c r="C6" s="168">
        <v>34.96</v>
      </c>
      <c r="D6" s="8">
        <v>42818.166666666664</v>
      </c>
      <c r="E6" s="168">
        <v>0.93</v>
      </c>
      <c r="F6" s="168" t="s">
        <v>556</v>
      </c>
      <c r="G6" s="168">
        <v>300.89</v>
      </c>
      <c r="H6" s="168">
        <v>8.8599999999999998E-2</v>
      </c>
      <c r="I6" s="168">
        <v>0.79</v>
      </c>
      <c r="J6" s="168" t="s">
        <v>556</v>
      </c>
      <c r="K6" s="168">
        <v>1010.31</v>
      </c>
      <c r="L6" s="168" t="s">
        <v>557</v>
      </c>
      <c r="M6" s="168">
        <v>36.840000000000003</v>
      </c>
      <c r="N6" s="168">
        <v>1490349600</v>
      </c>
      <c r="O6" s="168">
        <v>3.56</v>
      </c>
      <c r="P6" s="168">
        <v>355</v>
      </c>
      <c r="Q6" s="168">
        <v>12.12</v>
      </c>
      <c r="R6"/>
    </row>
    <row r="7" spans="1:18" x14ac:dyDescent="0.25">
      <c r="A7" s="168">
        <v>30.05</v>
      </c>
      <c r="B7" s="168">
        <v>0.66</v>
      </c>
      <c r="C7" s="168">
        <v>36.229999999999997</v>
      </c>
      <c r="D7" s="8">
        <v>42818.208333333336</v>
      </c>
      <c r="E7" s="168">
        <v>0.93</v>
      </c>
      <c r="F7" s="168" t="s">
        <v>556</v>
      </c>
      <c r="G7" s="168">
        <v>301.62</v>
      </c>
      <c r="H7" s="168">
        <v>6.0299999999999999E-2</v>
      </c>
      <c r="I7" s="168">
        <v>0.75</v>
      </c>
      <c r="J7" s="168" t="s">
        <v>556</v>
      </c>
      <c r="K7" s="168">
        <v>1012.96</v>
      </c>
      <c r="L7" s="168" t="s">
        <v>557</v>
      </c>
      <c r="M7" s="168">
        <v>38.119999999999997</v>
      </c>
      <c r="N7" s="168">
        <v>1490353200</v>
      </c>
      <c r="O7" s="168">
        <v>4.22</v>
      </c>
      <c r="P7" s="168">
        <v>347</v>
      </c>
      <c r="Q7" s="168">
        <v>13.17</v>
      </c>
      <c r="R7"/>
    </row>
    <row r="8" spans="1:18" x14ac:dyDescent="0.25">
      <c r="A8" s="168">
        <v>29.81</v>
      </c>
      <c r="B8" s="168">
        <v>0.75</v>
      </c>
      <c r="C8" s="168">
        <v>35.32</v>
      </c>
      <c r="D8" s="8">
        <v>42818.25</v>
      </c>
      <c r="E8" s="168">
        <v>0.91</v>
      </c>
      <c r="F8" s="168" t="s">
        <v>553</v>
      </c>
      <c r="G8" s="168">
        <v>303.06</v>
      </c>
      <c r="H8" s="168">
        <v>3.73E-2</v>
      </c>
      <c r="I8" s="168">
        <v>0.69</v>
      </c>
      <c r="J8" s="168" t="s">
        <v>553</v>
      </c>
      <c r="K8" s="168">
        <v>1014.91</v>
      </c>
      <c r="L8" s="168" t="s">
        <v>554</v>
      </c>
      <c r="M8" s="168">
        <v>37.68</v>
      </c>
      <c r="N8" s="168">
        <v>1490356800</v>
      </c>
      <c r="O8" s="168">
        <v>4.53</v>
      </c>
      <c r="P8" s="168">
        <v>351</v>
      </c>
      <c r="Q8" s="168">
        <v>12.31</v>
      </c>
      <c r="R8"/>
    </row>
    <row r="9" spans="1:18" x14ac:dyDescent="0.25">
      <c r="A9" s="168">
        <v>30.58</v>
      </c>
      <c r="B9" s="168">
        <v>0.71</v>
      </c>
      <c r="C9" s="168">
        <v>35.31</v>
      </c>
      <c r="D9" s="8">
        <v>42818.291666666664</v>
      </c>
      <c r="E9" s="168">
        <v>0.89</v>
      </c>
      <c r="F9" s="168" t="s">
        <v>553</v>
      </c>
      <c r="G9" s="168">
        <v>305.76</v>
      </c>
      <c r="H9" s="168">
        <v>2.58E-2</v>
      </c>
      <c r="I9" s="168">
        <v>0.64</v>
      </c>
      <c r="J9" s="168" t="s">
        <v>553</v>
      </c>
      <c r="K9" s="168">
        <v>1016</v>
      </c>
      <c r="L9" s="168" t="s">
        <v>554</v>
      </c>
      <c r="M9" s="168">
        <v>38.369999999999997</v>
      </c>
      <c r="N9" s="168">
        <v>1490360400</v>
      </c>
      <c r="O9" s="168">
        <v>3.58</v>
      </c>
      <c r="P9" s="168">
        <v>352</v>
      </c>
      <c r="Q9" s="168">
        <v>12.56</v>
      </c>
      <c r="R9"/>
    </row>
    <row r="10" spans="1:18" x14ac:dyDescent="0.25">
      <c r="A10" s="168">
        <v>31.35</v>
      </c>
      <c r="B10" s="168">
        <v>0.55000000000000004</v>
      </c>
      <c r="C10" s="168">
        <v>34.07</v>
      </c>
      <c r="D10" s="8">
        <v>42818.333333333336</v>
      </c>
      <c r="E10" s="168">
        <v>0.82</v>
      </c>
      <c r="F10" s="168" t="s">
        <v>553</v>
      </c>
      <c r="G10" s="168">
        <v>309.16000000000003</v>
      </c>
      <c r="H10" s="168">
        <v>1.9099999999999999E-2</v>
      </c>
      <c r="I10" s="168">
        <v>0.6</v>
      </c>
      <c r="J10" s="168" t="s">
        <v>553</v>
      </c>
      <c r="K10" s="168">
        <v>1016.7</v>
      </c>
      <c r="L10" s="168" t="s">
        <v>554</v>
      </c>
      <c r="M10" s="168">
        <v>38.950000000000003</v>
      </c>
      <c r="N10" s="168">
        <v>1490364000</v>
      </c>
      <c r="O10" s="168">
        <v>3.23</v>
      </c>
      <c r="P10" s="168">
        <v>352</v>
      </c>
      <c r="Q10" s="168">
        <v>12.48</v>
      </c>
      <c r="R10"/>
    </row>
    <row r="11" spans="1:18" x14ac:dyDescent="0.25">
      <c r="A11" s="168">
        <v>32.21</v>
      </c>
      <c r="B11" s="168">
        <v>0.46</v>
      </c>
      <c r="C11" s="168">
        <v>33.58</v>
      </c>
      <c r="D11" s="8">
        <v>42818.375</v>
      </c>
      <c r="E11" s="168">
        <v>0.78</v>
      </c>
      <c r="F11" s="168" t="s">
        <v>553</v>
      </c>
      <c r="G11" s="168">
        <v>311.5</v>
      </c>
      <c r="H11" s="168">
        <v>1.4E-2</v>
      </c>
      <c r="I11" s="168">
        <v>0.55000000000000004</v>
      </c>
      <c r="J11" s="168" t="s">
        <v>553</v>
      </c>
      <c r="K11" s="168">
        <v>1017.26</v>
      </c>
      <c r="L11" s="168" t="s">
        <v>554</v>
      </c>
      <c r="M11" s="168">
        <v>39.71</v>
      </c>
      <c r="N11" s="168">
        <v>1490367600</v>
      </c>
      <c r="O11" s="168">
        <v>3.09</v>
      </c>
      <c r="P11" s="168">
        <v>352</v>
      </c>
      <c r="Q11" s="168">
        <v>12.75</v>
      </c>
      <c r="R11"/>
    </row>
    <row r="12" spans="1:18" x14ac:dyDescent="0.25">
      <c r="A12" s="168">
        <v>35.61</v>
      </c>
      <c r="B12" s="168">
        <v>0.62</v>
      </c>
      <c r="C12" s="168">
        <v>33.340000000000003</v>
      </c>
      <c r="D12" s="8">
        <v>42818.416666666664</v>
      </c>
      <c r="E12" s="168">
        <v>0.71</v>
      </c>
      <c r="F12" s="168" t="s">
        <v>553</v>
      </c>
      <c r="G12" s="168">
        <v>311.64999999999998</v>
      </c>
      <c r="H12" s="168">
        <v>9.7999999999999997E-3</v>
      </c>
      <c r="I12" s="168">
        <v>0.5</v>
      </c>
      <c r="J12" s="168" t="s">
        <v>553</v>
      </c>
      <c r="K12" s="168">
        <v>1017.85</v>
      </c>
      <c r="L12" s="168" t="s">
        <v>554</v>
      </c>
      <c r="M12" s="168">
        <v>41.99</v>
      </c>
      <c r="N12" s="168">
        <v>1490371200</v>
      </c>
      <c r="O12" s="168">
        <v>3.03</v>
      </c>
      <c r="P12" s="168">
        <v>351</v>
      </c>
      <c r="Q12" s="168">
        <v>11.26</v>
      </c>
      <c r="R12"/>
    </row>
    <row r="13" spans="1:18" x14ac:dyDescent="0.25">
      <c r="A13" s="168">
        <v>40.04</v>
      </c>
      <c r="B13" s="168">
        <v>0.74</v>
      </c>
      <c r="C13" s="168">
        <v>34.36</v>
      </c>
      <c r="D13" s="8">
        <v>42818.458333333336</v>
      </c>
      <c r="E13" s="168">
        <v>0.65</v>
      </c>
      <c r="F13" s="168" t="s">
        <v>553</v>
      </c>
      <c r="G13" s="168">
        <v>310.74</v>
      </c>
      <c r="H13" s="168">
        <v>7.3000000000000001E-3</v>
      </c>
      <c r="I13" s="168">
        <v>0.36</v>
      </c>
      <c r="J13" s="168" t="s">
        <v>553</v>
      </c>
      <c r="K13" s="168">
        <v>1018.18</v>
      </c>
      <c r="L13" s="168" t="s">
        <v>831</v>
      </c>
      <c r="M13" s="168">
        <v>45.23</v>
      </c>
      <c r="N13" s="168">
        <v>1490374800</v>
      </c>
      <c r="O13" s="168">
        <v>3.02</v>
      </c>
      <c r="P13" s="168">
        <v>358</v>
      </c>
      <c r="Q13" s="168">
        <v>10.24</v>
      </c>
      <c r="R13"/>
    </row>
    <row r="14" spans="1:18" x14ac:dyDescent="0.25">
      <c r="A14" s="168">
        <v>42</v>
      </c>
      <c r="B14" s="168">
        <v>0.87</v>
      </c>
      <c r="C14" s="168">
        <v>32.75</v>
      </c>
      <c r="D14" s="8">
        <v>42818.5</v>
      </c>
      <c r="E14" s="168">
        <v>0.56999999999999995</v>
      </c>
      <c r="F14" s="168" t="s">
        <v>553</v>
      </c>
      <c r="G14" s="168">
        <v>310.35000000000002</v>
      </c>
      <c r="H14" s="168">
        <v>5.1999999999999998E-3</v>
      </c>
      <c r="I14" s="168">
        <v>0.22</v>
      </c>
      <c r="J14" s="168" t="s">
        <v>553</v>
      </c>
      <c r="K14" s="168">
        <v>1018.25</v>
      </c>
      <c r="L14" s="168" t="s">
        <v>831</v>
      </c>
      <c r="M14" s="168">
        <v>47.15</v>
      </c>
      <c r="N14" s="168">
        <v>1490378400</v>
      </c>
      <c r="O14" s="168">
        <v>3.13</v>
      </c>
      <c r="P14" s="168">
        <v>5</v>
      </c>
      <c r="Q14" s="168">
        <v>11.49</v>
      </c>
      <c r="R14"/>
    </row>
    <row r="15" spans="1:18" x14ac:dyDescent="0.25">
      <c r="A15" s="168">
        <v>43.52</v>
      </c>
      <c r="B15" s="168">
        <v>0.81</v>
      </c>
      <c r="C15" s="168">
        <v>31.55</v>
      </c>
      <c r="D15" s="8">
        <v>42818.541666666664</v>
      </c>
      <c r="E15" s="168">
        <v>0.52</v>
      </c>
      <c r="F15" s="168" t="s">
        <v>355</v>
      </c>
      <c r="G15" s="168">
        <v>311.75</v>
      </c>
      <c r="H15" s="168">
        <v>4.1000000000000003E-3</v>
      </c>
      <c r="I15" s="168">
        <v>0.16</v>
      </c>
      <c r="J15" s="168" t="s">
        <v>553</v>
      </c>
      <c r="K15" s="168">
        <v>1017.96</v>
      </c>
      <c r="L15" s="168" t="s">
        <v>455</v>
      </c>
      <c r="M15" s="168">
        <v>48.28</v>
      </c>
      <c r="N15" s="168">
        <v>1490382000</v>
      </c>
      <c r="O15" s="168">
        <v>3.06</v>
      </c>
      <c r="P15" s="168">
        <v>8</v>
      </c>
      <c r="Q15" s="168">
        <v>11.15</v>
      </c>
      <c r="R15"/>
    </row>
    <row r="16" spans="1:18" x14ac:dyDescent="0.25">
      <c r="A16" s="168">
        <v>50.49</v>
      </c>
      <c r="B16" s="168">
        <v>0.81</v>
      </c>
      <c r="C16" s="168">
        <v>32.869999999999997</v>
      </c>
      <c r="D16" s="8">
        <v>42818.583333333336</v>
      </c>
      <c r="E16" s="168">
        <v>0.51</v>
      </c>
      <c r="F16" s="168" t="s">
        <v>355</v>
      </c>
      <c r="G16" s="168">
        <v>313.68</v>
      </c>
      <c r="H16" s="168">
        <v>3.3E-3</v>
      </c>
      <c r="I16" s="168">
        <v>0.11</v>
      </c>
      <c r="J16" s="168" t="s">
        <v>553</v>
      </c>
      <c r="K16" s="168">
        <v>1017.55</v>
      </c>
      <c r="L16" s="168" t="s">
        <v>455</v>
      </c>
      <c r="M16" s="168">
        <v>50.49</v>
      </c>
      <c r="N16" s="168">
        <v>1490385600</v>
      </c>
      <c r="O16" s="168">
        <v>3.05</v>
      </c>
      <c r="P16" s="168">
        <v>14</v>
      </c>
      <c r="Q16" s="168">
        <v>10.17</v>
      </c>
      <c r="R16"/>
    </row>
    <row r="17" spans="1:18" x14ac:dyDescent="0.25">
      <c r="A17" s="168">
        <v>52.67</v>
      </c>
      <c r="B17" s="168">
        <v>0.75</v>
      </c>
      <c r="C17" s="168">
        <v>31.69</v>
      </c>
      <c r="D17" s="8">
        <v>42818.625</v>
      </c>
      <c r="E17" s="168">
        <v>0.45</v>
      </c>
      <c r="F17" s="168" t="s">
        <v>355</v>
      </c>
      <c r="G17" s="168">
        <v>313.85000000000002</v>
      </c>
      <c r="H17" s="168">
        <v>2.3E-3</v>
      </c>
      <c r="I17" s="168">
        <v>0.06</v>
      </c>
      <c r="J17" s="168" t="s">
        <v>553</v>
      </c>
      <c r="K17" s="168">
        <v>1017.29</v>
      </c>
      <c r="L17" s="168" t="s">
        <v>455</v>
      </c>
      <c r="M17" s="168">
        <v>52.67</v>
      </c>
      <c r="N17" s="168">
        <v>1490389200</v>
      </c>
      <c r="O17" s="168">
        <v>3.09</v>
      </c>
      <c r="P17" s="168">
        <v>16</v>
      </c>
      <c r="Q17" s="168">
        <v>9.14</v>
      </c>
      <c r="R17"/>
    </row>
    <row r="18" spans="1:18" x14ac:dyDescent="0.25">
      <c r="A18" s="168">
        <v>53.27</v>
      </c>
      <c r="B18" s="168">
        <v>0.73</v>
      </c>
      <c r="C18" s="168">
        <v>31.56</v>
      </c>
      <c r="D18" s="8">
        <v>42818.666666666664</v>
      </c>
      <c r="E18" s="168">
        <v>0.43</v>
      </c>
      <c r="F18" s="168" t="s">
        <v>355</v>
      </c>
      <c r="G18" s="168">
        <v>310.49</v>
      </c>
      <c r="H18" s="168">
        <v>1.9E-3</v>
      </c>
      <c r="I18" s="168">
        <v>0.05</v>
      </c>
      <c r="J18" s="168" t="s">
        <v>553</v>
      </c>
      <c r="K18" s="168">
        <v>1017.26</v>
      </c>
      <c r="L18" s="168" t="s">
        <v>455</v>
      </c>
      <c r="M18" s="168">
        <v>53.27</v>
      </c>
      <c r="N18" s="168">
        <v>1490392800</v>
      </c>
      <c r="O18" s="168">
        <v>3.09</v>
      </c>
      <c r="P18" s="168">
        <v>22</v>
      </c>
      <c r="Q18" s="168">
        <v>8</v>
      </c>
      <c r="R18"/>
    </row>
    <row r="19" spans="1:18" x14ac:dyDescent="0.25">
      <c r="A19" s="168">
        <v>52.34</v>
      </c>
      <c r="B19" s="168">
        <v>0.72</v>
      </c>
      <c r="C19" s="168">
        <v>32.21</v>
      </c>
      <c r="D19" s="8">
        <v>42818.708333333336</v>
      </c>
      <c r="E19" s="168">
        <v>0.46</v>
      </c>
      <c r="F19" s="168" t="s">
        <v>355</v>
      </c>
      <c r="G19" s="168">
        <v>305.38</v>
      </c>
      <c r="H19" s="168">
        <v>0</v>
      </c>
      <c r="I19" s="168">
        <v>0</v>
      </c>
      <c r="J19" s="168"/>
      <c r="K19" s="168">
        <v>1017.39</v>
      </c>
      <c r="L19" s="168" t="s">
        <v>455</v>
      </c>
      <c r="M19" s="168">
        <v>52.34</v>
      </c>
      <c r="N19" s="168">
        <v>1490396400</v>
      </c>
      <c r="O19" s="168">
        <v>5.37</v>
      </c>
      <c r="P19" s="168">
        <v>50</v>
      </c>
      <c r="Q19" s="168">
        <v>6.13</v>
      </c>
      <c r="R19"/>
    </row>
    <row r="20" spans="1:18" x14ac:dyDescent="0.25">
      <c r="A20" s="168">
        <v>51.37</v>
      </c>
      <c r="B20" s="168">
        <v>0.62</v>
      </c>
      <c r="C20" s="168">
        <v>31.88</v>
      </c>
      <c r="D20" s="8">
        <v>42818.75</v>
      </c>
      <c r="E20" s="168">
        <v>0.47</v>
      </c>
      <c r="F20" s="168" t="s">
        <v>355</v>
      </c>
      <c r="G20" s="168">
        <v>301.55</v>
      </c>
      <c r="H20" s="168">
        <v>0</v>
      </c>
      <c r="I20" s="168">
        <v>0</v>
      </c>
      <c r="J20" s="168"/>
      <c r="K20" s="168">
        <v>1017.7</v>
      </c>
      <c r="L20" s="168" t="s">
        <v>455</v>
      </c>
      <c r="M20" s="168">
        <v>51.37</v>
      </c>
      <c r="N20" s="168">
        <v>1490400000</v>
      </c>
      <c r="O20" s="168">
        <v>5.66</v>
      </c>
      <c r="P20" s="168">
        <v>64</v>
      </c>
      <c r="Q20" s="168">
        <v>4.46</v>
      </c>
      <c r="R20"/>
    </row>
    <row r="21" spans="1:18" x14ac:dyDescent="0.25">
      <c r="A21" s="168">
        <v>49.38</v>
      </c>
      <c r="B21" s="168">
        <v>0.51</v>
      </c>
      <c r="C21" s="168">
        <v>30.87</v>
      </c>
      <c r="D21" s="8">
        <v>42818.791666666664</v>
      </c>
      <c r="E21" s="168">
        <v>0.49</v>
      </c>
      <c r="F21" s="168" t="s">
        <v>355</v>
      </c>
      <c r="G21" s="168">
        <v>300.52999999999997</v>
      </c>
      <c r="H21" s="168">
        <v>0</v>
      </c>
      <c r="I21" s="168">
        <v>0</v>
      </c>
      <c r="J21" s="168"/>
      <c r="K21" s="168">
        <v>1018.26</v>
      </c>
      <c r="L21" s="168" t="s">
        <v>354</v>
      </c>
      <c r="M21" s="168">
        <v>49.38</v>
      </c>
      <c r="N21" s="168">
        <v>1490403600</v>
      </c>
      <c r="O21" s="168">
        <v>6.22</v>
      </c>
      <c r="P21" s="168">
        <v>97</v>
      </c>
      <c r="Q21" s="168">
        <v>2.86</v>
      </c>
      <c r="R21"/>
    </row>
    <row r="22" spans="1:18" x14ac:dyDescent="0.25">
      <c r="A22" s="168">
        <v>46.86</v>
      </c>
      <c r="B22" s="168">
        <v>0.36</v>
      </c>
      <c r="C22" s="168">
        <v>32.25</v>
      </c>
      <c r="D22" s="8">
        <v>42818.833333333336</v>
      </c>
      <c r="E22" s="168">
        <v>0.56999999999999995</v>
      </c>
      <c r="F22" s="168" t="s">
        <v>353</v>
      </c>
      <c r="G22" s="168">
        <v>300.79000000000002</v>
      </c>
      <c r="H22" s="168">
        <v>0</v>
      </c>
      <c r="I22" s="168">
        <v>0</v>
      </c>
      <c r="J22" s="168"/>
      <c r="K22" s="168">
        <v>1019.07</v>
      </c>
      <c r="L22" s="168" t="s">
        <v>354</v>
      </c>
      <c r="M22" s="168">
        <v>46.86</v>
      </c>
      <c r="N22" s="168">
        <v>1490407200</v>
      </c>
      <c r="O22" s="168">
        <v>7.13</v>
      </c>
      <c r="P22" s="168">
        <v>165</v>
      </c>
      <c r="Q22" s="168">
        <v>2.5299999999999998</v>
      </c>
      <c r="R22"/>
    </row>
    <row r="23" spans="1:18" x14ac:dyDescent="0.25">
      <c r="A23" s="168">
        <v>42.75</v>
      </c>
      <c r="B23" s="168">
        <v>0.18</v>
      </c>
      <c r="C23" s="168">
        <v>33.659999999999997</v>
      </c>
      <c r="D23" s="8">
        <v>42818.875</v>
      </c>
      <c r="E23" s="168">
        <v>0.67</v>
      </c>
      <c r="F23" s="168" t="s">
        <v>832</v>
      </c>
      <c r="G23" s="168">
        <v>300.86</v>
      </c>
      <c r="H23" s="168">
        <v>0</v>
      </c>
      <c r="I23" s="168">
        <v>0</v>
      </c>
      <c r="J23" s="168"/>
      <c r="K23" s="168">
        <v>1019.7</v>
      </c>
      <c r="L23" s="168" t="s">
        <v>833</v>
      </c>
      <c r="M23" s="168">
        <v>44.01</v>
      </c>
      <c r="N23" s="168">
        <v>1490410800</v>
      </c>
      <c r="O23" s="168">
        <v>6.4</v>
      </c>
      <c r="P23" s="168">
        <v>192</v>
      </c>
      <c r="Q23" s="168">
        <v>3.15</v>
      </c>
      <c r="R23"/>
    </row>
    <row r="24" spans="1:18" x14ac:dyDescent="0.25">
      <c r="A24" s="168">
        <v>42.45</v>
      </c>
      <c r="B24" s="168">
        <v>0.1</v>
      </c>
      <c r="C24" s="168">
        <v>33.19</v>
      </c>
      <c r="D24" s="8">
        <v>42818.916666666664</v>
      </c>
      <c r="E24" s="168">
        <v>0.69</v>
      </c>
      <c r="F24" s="168" t="s">
        <v>832</v>
      </c>
      <c r="G24" s="168">
        <v>300.26</v>
      </c>
      <c r="H24" s="168">
        <v>0</v>
      </c>
      <c r="I24" s="168">
        <v>0</v>
      </c>
      <c r="J24" s="168"/>
      <c r="K24" s="168">
        <v>1019.93</v>
      </c>
      <c r="L24" s="168" t="s">
        <v>833</v>
      </c>
      <c r="M24" s="168">
        <v>42.45</v>
      </c>
      <c r="N24" s="168">
        <v>1490414400</v>
      </c>
      <c r="O24" s="168">
        <v>5.49</v>
      </c>
      <c r="P24" s="168">
        <v>197</v>
      </c>
      <c r="Q24" s="168">
        <v>2.27</v>
      </c>
      <c r="R24"/>
    </row>
    <row r="25" spans="1:18" x14ac:dyDescent="0.25">
      <c r="A25" s="168">
        <v>40.36</v>
      </c>
      <c r="B25" s="168">
        <v>0.04</v>
      </c>
      <c r="C25" s="168">
        <v>32.93</v>
      </c>
      <c r="D25" s="8">
        <v>42818.958333333336</v>
      </c>
      <c r="E25" s="168">
        <v>0.75</v>
      </c>
      <c r="F25" s="168" t="s">
        <v>832</v>
      </c>
      <c r="G25" s="168">
        <v>299.45999999999998</v>
      </c>
      <c r="H25" s="168">
        <v>0</v>
      </c>
      <c r="I25" s="168">
        <v>0</v>
      </c>
      <c r="J25" s="168"/>
      <c r="K25" s="168">
        <v>1019.95</v>
      </c>
      <c r="L25" s="168" t="s">
        <v>833</v>
      </c>
      <c r="M25" s="168">
        <v>40.36</v>
      </c>
      <c r="N25" s="168">
        <v>1490418000</v>
      </c>
      <c r="O25" s="168">
        <v>4.7</v>
      </c>
      <c r="P25" s="168">
        <v>190</v>
      </c>
      <c r="Q25" s="168">
        <v>2.77</v>
      </c>
      <c r="R25"/>
    </row>
    <row r="26" spans="1:18" x14ac:dyDescent="0.25">
      <c r="A26" s="168">
        <v>38.58</v>
      </c>
      <c r="B26" s="168">
        <v>0.02</v>
      </c>
      <c r="C26" s="168">
        <v>32.51</v>
      </c>
      <c r="D26" s="8">
        <v>42819</v>
      </c>
      <c r="E26" s="168">
        <v>0.79</v>
      </c>
      <c r="F26" s="168" t="s">
        <v>832</v>
      </c>
      <c r="G26" s="168">
        <v>298.45999999999998</v>
      </c>
      <c r="H26" s="168">
        <v>0</v>
      </c>
      <c r="I26" s="168">
        <v>0</v>
      </c>
      <c r="J26" s="168"/>
      <c r="K26" s="168">
        <v>1019.99</v>
      </c>
      <c r="L26" s="168" t="s">
        <v>833</v>
      </c>
      <c r="M26" s="168">
        <v>38.58</v>
      </c>
      <c r="N26" s="168">
        <v>1490421600</v>
      </c>
      <c r="O26" s="168">
        <v>8.6300000000000008</v>
      </c>
      <c r="P26" s="168">
        <v>192</v>
      </c>
      <c r="Q26" s="168">
        <v>2.65</v>
      </c>
      <c r="R26"/>
    </row>
    <row r="27" spans="1:18" x14ac:dyDescent="0.25">
      <c r="A27" s="168">
        <v>37.67</v>
      </c>
      <c r="B27" s="168">
        <v>0.04</v>
      </c>
      <c r="C27" s="168">
        <v>32.090000000000003</v>
      </c>
      <c r="D27" s="8">
        <v>42819.041666666664</v>
      </c>
      <c r="E27" s="168">
        <v>0.8</v>
      </c>
      <c r="F27" s="168" t="s">
        <v>832</v>
      </c>
      <c r="G27" s="168">
        <v>297.07</v>
      </c>
      <c r="H27" s="168">
        <v>0</v>
      </c>
      <c r="I27" s="168">
        <v>0</v>
      </c>
      <c r="J27" s="168"/>
      <c r="K27" s="168">
        <v>1020.23</v>
      </c>
      <c r="L27" s="168" t="s">
        <v>833</v>
      </c>
      <c r="M27" s="168">
        <v>37.67</v>
      </c>
      <c r="N27" s="168">
        <v>1490425200</v>
      </c>
      <c r="O27" s="168">
        <v>5.01</v>
      </c>
      <c r="P27" s="168">
        <v>179</v>
      </c>
      <c r="Q27" s="168">
        <v>2.48</v>
      </c>
      <c r="R27"/>
    </row>
    <row r="28" spans="1:18" x14ac:dyDescent="0.25">
      <c r="A28" s="168">
        <v>35.61</v>
      </c>
      <c r="B28" s="168">
        <v>0.36</v>
      </c>
      <c r="C28" s="168">
        <v>30.78</v>
      </c>
      <c r="D28" s="8">
        <v>42819.083333333336</v>
      </c>
      <c r="E28" s="168">
        <v>0.82</v>
      </c>
      <c r="F28" s="168" t="s">
        <v>353</v>
      </c>
      <c r="G28" s="168">
        <v>295.67</v>
      </c>
      <c r="H28" s="168">
        <v>0</v>
      </c>
      <c r="I28" s="168">
        <v>0</v>
      </c>
      <c r="J28" s="168"/>
      <c r="K28" s="168">
        <v>1020.42</v>
      </c>
      <c r="L28" s="168" t="s">
        <v>354</v>
      </c>
      <c r="M28" s="168">
        <v>35.61</v>
      </c>
      <c r="N28" s="168">
        <v>1490428800</v>
      </c>
      <c r="O28" s="168">
        <v>5.44</v>
      </c>
      <c r="P28" s="168">
        <v>192</v>
      </c>
      <c r="Q28" s="168">
        <v>2.64</v>
      </c>
      <c r="R28"/>
    </row>
    <row r="29" spans="1:18" x14ac:dyDescent="0.25">
      <c r="A29" s="168">
        <v>35.020000000000003</v>
      </c>
      <c r="B29" s="168">
        <v>0.37</v>
      </c>
      <c r="C29" s="168">
        <v>30.31</v>
      </c>
      <c r="D29" s="8">
        <v>42819.125</v>
      </c>
      <c r="E29" s="168">
        <v>0.83</v>
      </c>
      <c r="F29" s="168" t="s">
        <v>353</v>
      </c>
      <c r="G29" s="168">
        <v>294.27</v>
      </c>
      <c r="H29" s="168">
        <v>0</v>
      </c>
      <c r="I29" s="168">
        <v>0</v>
      </c>
      <c r="J29" s="168"/>
      <c r="K29" s="168">
        <v>1020.56</v>
      </c>
      <c r="L29" s="168" t="s">
        <v>354</v>
      </c>
      <c r="M29" s="168">
        <v>35.020000000000003</v>
      </c>
      <c r="N29" s="168">
        <v>1490432400</v>
      </c>
      <c r="O29" s="168">
        <v>9.6199999999999992</v>
      </c>
      <c r="P29" s="168">
        <v>178</v>
      </c>
      <c r="Q29" s="168">
        <v>1.73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H16" sqref="H1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367</v>
      </c>
      <c r="U1" s="219"/>
      <c r="V1" s="219"/>
      <c r="W1" s="219"/>
      <c r="X1" s="219"/>
    </row>
    <row r="2" spans="1:24" ht="15.75" thickBot="1" x14ac:dyDescent="0.3">
      <c r="A2" s="12">
        <v>42818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368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1034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1035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1036</v>
      </c>
      <c r="J20" s="152" t="s">
        <v>87</v>
      </c>
      <c r="M20" s="168" t="s">
        <v>359</v>
      </c>
      <c r="N20" s="168" t="s">
        <v>359</v>
      </c>
      <c r="T20" s="197"/>
      <c r="U20" s="197"/>
      <c r="V20" s="197"/>
      <c r="W20" s="197"/>
      <c r="X20" s="197"/>
    </row>
    <row r="21" spans="3:24" x14ac:dyDescent="0.25">
      <c r="C21" t="s">
        <v>1037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1038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1039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1040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1041</v>
      </c>
      <c r="J25" s="152" t="s">
        <v>150</v>
      </c>
      <c r="M25" s="168" t="b">
        <v>1</v>
      </c>
    </row>
    <row r="26" spans="3:24" x14ac:dyDescent="0.25">
      <c r="C26" t="s">
        <v>1042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C:\Users\stu\Documents\GitHub\eaglep3-reporting\EC\2017-03-24-refined-times.txt</v>
      </c>
    </row>
    <row r="27" spans="3:24" x14ac:dyDescent="0.25">
      <c r="C27" t="s">
        <v>1043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C:\Users\stu\Documents\GitHub\eaglep3-reporting\EC\2017-03-24-Enforcements.txt</v>
      </c>
    </row>
    <row r="28" spans="3:24" x14ac:dyDescent="0.25">
      <c r="C28" t="s">
        <v>1044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C:\Users\stu\Documents\GitHub\eaglep3-reporting\EC\2017-03-24-Runs-refined.txt</v>
      </c>
    </row>
    <row r="29" spans="3:24" x14ac:dyDescent="0.25">
      <c r="C29" t="s">
        <v>1045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C:\Users\stu\Documents\GitHub\eaglep3-reporting\EC\2017-03-24-Trips.txt</v>
      </c>
    </row>
    <row r="30" spans="3:24" x14ac:dyDescent="0.25">
      <c r="C30" t="s">
        <v>1046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C:\Users\stu\Documents\GitHub\eaglep3-reporting\EC\2017-03-24-Weather.txt</v>
      </c>
    </row>
    <row r="31" spans="3:24" x14ac:dyDescent="0.25">
      <c r="C31" t="s">
        <v>1047</v>
      </c>
      <c r="J31" s="152" t="s">
        <v>203</v>
      </c>
      <c r="M31" s="168" t="s">
        <v>204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  <row r="35" spans="3:3" x14ac:dyDescent="0.25">
      <c r="C35" t="s">
        <v>1051</v>
      </c>
    </row>
    <row r="36" spans="3:3" x14ac:dyDescent="0.25">
      <c r="C36" t="s">
        <v>1052</v>
      </c>
    </row>
    <row r="37" spans="3:3" x14ac:dyDescent="0.25">
      <c r="C37" t="s">
        <v>1053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2017-03-27T15:38:06Z</dcterms:modified>
</cp:coreProperties>
</file>