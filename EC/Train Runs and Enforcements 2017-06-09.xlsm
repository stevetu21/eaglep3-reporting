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Trips'!$A$2:$J$63</definedName>
    <definedName name="_xlnm._FilterDatabase" localSheetId="0" hidden="1">'Train Runs'!$A$12:$AG$277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37" i="1" l="1"/>
  <c r="P154" i="1"/>
  <c r="V154" i="1"/>
  <c r="P127" i="1"/>
  <c r="K127" i="1"/>
  <c r="L127" i="1"/>
  <c r="M127" i="1"/>
  <c r="T127" i="1"/>
  <c r="V127" i="1"/>
  <c r="AA127" i="1"/>
  <c r="AB127" i="1"/>
  <c r="AC127" i="1"/>
  <c r="AD127" i="1"/>
  <c r="AG127" i="1" s="1"/>
  <c r="AE127" i="1"/>
  <c r="AF127" i="1"/>
  <c r="AH127" i="1"/>
  <c r="AM127" i="1"/>
  <c r="AN127" i="1"/>
  <c r="P123" i="1"/>
  <c r="K123" i="1"/>
  <c r="L123" i="1"/>
  <c r="M123" i="1"/>
  <c r="V123" i="1"/>
  <c r="AA123" i="1"/>
  <c r="AB123" i="1"/>
  <c r="AC123" i="1"/>
  <c r="AD123" i="1"/>
  <c r="AE123" i="1"/>
  <c r="AF123" i="1"/>
  <c r="AH123" i="1"/>
  <c r="AM123" i="1"/>
  <c r="AN123" i="1"/>
  <c r="P9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T21" i="1"/>
  <c r="V21" i="1"/>
  <c r="S31" i="3" s="1"/>
  <c r="X21" i="1"/>
  <c r="Y21" i="1"/>
  <c r="Z21" i="1"/>
  <c r="AB21" i="1"/>
  <c r="AC21" i="1"/>
  <c r="AD21" i="1"/>
  <c r="AE21" i="1"/>
  <c r="AF21" i="1"/>
  <c r="AG21" i="1"/>
  <c r="AH21" i="1"/>
  <c r="AI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A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T34" i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T37" i="1"/>
  <c r="V37" i="1"/>
  <c r="S38" i="3" s="1"/>
  <c r="Y37" i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X40" i="1"/>
  <c r="Y40" i="1"/>
  <c r="Z40" i="1"/>
  <c r="AA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G51" i="1"/>
  <c r="AH51" i="1"/>
  <c r="AI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T58" i="1"/>
  <c r="V58" i="1"/>
  <c r="S32" i="3" s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G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G63" i="1"/>
  <c r="AI63" i="1" s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W65" i="1" s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/>
  <c r="T66" i="1"/>
  <c r="V66" i="1"/>
  <c r="Y66" i="1"/>
  <c r="Z66" i="1"/>
  <c r="AA66" i="1" s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S8" i="3" s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T70" i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G71" i="1"/>
  <c r="AH71" i="1"/>
  <c r="AI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X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X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/>
  <c r="V76" i="1"/>
  <c r="Y76" i="1"/>
  <c r="Z76" i="1"/>
  <c r="AA76" i="1" s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X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T87" i="1"/>
  <c r="V87" i="1"/>
  <c r="S39" i="3" s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R27" i="3" s="1"/>
  <c r="AF88" i="1"/>
  <c r="AH88" i="1"/>
  <c r="AM88" i="1"/>
  <c r="AN88" i="1"/>
  <c r="K89" i="1"/>
  <c r="L89" i="1"/>
  <c r="M89" i="1"/>
  <c r="N89" i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T90" i="1"/>
  <c r="V90" i="1"/>
  <c r="Y90" i="1"/>
  <c r="Z90" i="1"/>
  <c r="AB90" i="1"/>
  <c r="AC90" i="1"/>
  <c r="AD90" i="1"/>
  <c r="AE90" i="1"/>
  <c r="AF90" i="1"/>
  <c r="AG90" i="1"/>
  <c r="AH90" i="1"/>
  <c r="AM90" i="1"/>
  <c r="AN90" i="1"/>
  <c r="K91" i="1"/>
  <c r="L91" i="1"/>
  <c r="M91" i="1"/>
  <c r="N91" i="1" s="1"/>
  <c r="V91" i="1"/>
  <c r="X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G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G96" i="1"/>
  <c r="AI96" i="1" s="1"/>
  <c r="AH96" i="1"/>
  <c r="AM96" i="1"/>
  <c r="AN96" i="1"/>
  <c r="K97" i="1"/>
  <c r="L97" i="1"/>
  <c r="M97" i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V98" i="1"/>
  <c r="Y98" i="1"/>
  <c r="Z98" i="1"/>
  <c r="AA98" i="1" s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T99" i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AA100" i="1" s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X103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A103" i="1" s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G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AA108" i="1" s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X111" i="1" s="1"/>
  <c r="AE110" i="1"/>
  <c r="AF110" i="1"/>
  <c r="AH110" i="1"/>
  <c r="AM110" i="1"/>
  <c r="AN110" i="1"/>
  <c r="K111" i="1"/>
  <c r="L111" i="1"/>
  <c r="M111" i="1"/>
  <c r="N111" i="1" s="1"/>
  <c r="T111" i="1"/>
  <c r="V111" i="1"/>
  <c r="Y111" i="1"/>
  <c r="Z111" i="1"/>
  <c r="AA111" i="1" s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A116" i="1" s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G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AG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G126" i="1"/>
  <c r="AH126" i="1"/>
  <c r="AM126" i="1"/>
  <c r="AN126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T131" i="1"/>
  <c r="V131" i="1"/>
  <c r="Y131" i="1"/>
  <c r="AA131" i="1" s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X132" i="1"/>
  <c r="Y132" i="1"/>
  <c r="Z132" i="1"/>
  <c r="AB132" i="1"/>
  <c r="AC132" i="1"/>
  <c r="AD132" i="1"/>
  <c r="T132" i="1" s="1"/>
  <c r="AE132" i="1"/>
  <c r="AF132" i="1"/>
  <c r="AG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T135" i="1"/>
  <c r="V135" i="1"/>
  <c r="Y135" i="1"/>
  <c r="AA135" i="1" s="1"/>
  <c r="Z135" i="1"/>
  <c r="AB135" i="1"/>
  <c r="AC135" i="1"/>
  <c r="AD135" i="1"/>
  <c r="AE135" i="1"/>
  <c r="AF135" i="1"/>
  <c r="AG135" i="1"/>
  <c r="AI135" i="1" s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W137" i="1" s="1"/>
  <c r="AB137" i="1"/>
  <c r="AC137" i="1"/>
  <c r="AD137" i="1"/>
  <c r="T137" i="1" s="1"/>
  <c r="AE137" i="1"/>
  <c r="AF137" i="1"/>
  <c r="AG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W139" i="1" s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T144" i="1"/>
  <c r="V144" i="1"/>
  <c r="Y144" i="1"/>
  <c r="Z144" i="1"/>
  <c r="AA144" i="1" s="1"/>
  <c r="AB144" i="1"/>
  <c r="AC144" i="1"/>
  <c r="AD144" i="1"/>
  <c r="AE144" i="1"/>
  <c r="AF144" i="1"/>
  <c r="AG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G147" i="1"/>
  <c r="AH147" i="1"/>
  <c r="AM147" i="1"/>
  <c r="AN147" i="1"/>
  <c r="K148" i="1"/>
  <c r="L148" i="1"/>
  <c r="M148" i="1"/>
  <c r="N148" i="1" s="1"/>
  <c r="V148" i="1"/>
  <c r="S7" i="3" s="1"/>
  <c r="Y148" i="1"/>
  <c r="Z148" i="1"/>
  <c r="AB148" i="1"/>
  <c r="AC148" i="1"/>
  <c r="AD148" i="1"/>
  <c r="X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A150" i="1" s="1"/>
  <c r="W150" i="1" s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T151" i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A152" i="1" s="1"/>
  <c r="W152" i="1" s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Y154" i="1"/>
  <c r="Z154" i="1"/>
  <c r="AB154" i="1"/>
  <c r="AC154" i="1"/>
  <c r="AD154" i="1"/>
  <c r="AE154" i="1"/>
  <c r="R30" i="3" s="1"/>
  <c r="AF154" i="1"/>
  <c r="AH154" i="1"/>
  <c r="AM154" i="1"/>
  <c r="AN154" i="1"/>
  <c r="K155" i="1"/>
  <c r="L155" i="1"/>
  <c r="M155" i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G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X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AA213" i="1" s="1"/>
  <c r="Z213" i="1"/>
  <c r="AB213" i="1"/>
  <c r="AC213" i="1"/>
  <c r="AD213" i="1"/>
  <c r="T213" i="1" s="1"/>
  <c r="AE213" i="1"/>
  <c r="AF213" i="1"/>
  <c r="AG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A215" i="1" s="1"/>
  <c r="W215" i="1" s="1"/>
  <c r="AB215" i="1"/>
  <c r="AC215" i="1"/>
  <c r="AD215" i="1"/>
  <c r="AG215" i="1" s="1"/>
  <c r="AE215" i="1"/>
  <c r="AF215" i="1"/>
  <c r="AH168" i="1"/>
  <c r="AM168" i="1"/>
  <c r="AN168" i="1"/>
  <c r="K216" i="1"/>
  <c r="L216" i="1"/>
  <c r="M216" i="1"/>
  <c r="N216" i="1"/>
  <c r="V216" i="1"/>
  <c r="Y216" i="1"/>
  <c r="AA216" i="1" s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/>
  <c r="V219" i="1"/>
  <c r="Y219" i="1"/>
  <c r="Z219" i="1"/>
  <c r="AB219" i="1"/>
  <c r="AC219" i="1"/>
  <c r="AD219" i="1"/>
  <c r="AG219" i="1" s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3" i="1"/>
  <c r="AM173" i="1"/>
  <c r="AN173" i="1"/>
  <c r="K226" i="1"/>
  <c r="L226" i="1"/>
  <c r="M226" i="1"/>
  <c r="N226" i="1" s="1"/>
  <c r="V226" i="1"/>
  <c r="Y226" i="1"/>
  <c r="AA226" i="1" s="1"/>
  <c r="Z226" i="1"/>
  <c r="AB226" i="1"/>
  <c r="AC226" i="1"/>
  <c r="AD226" i="1"/>
  <c r="AE226" i="1"/>
  <c r="AF226" i="1"/>
  <c r="AH174" i="1"/>
  <c r="AM174" i="1"/>
  <c r="AN174" i="1"/>
  <c r="K227" i="1"/>
  <c r="L227" i="1"/>
  <c r="M227" i="1"/>
  <c r="N227" i="1" s="1"/>
  <c r="T227" i="1"/>
  <c r="V227" i="1"/>
  <c r="X227" i="1"/>
  <c r="Y227" i="1"/>
  <c r="Z227" i="1"/>
  <c r="AA227" i="1" s="1"/>
  <c r="AB227" i="1"/>
  <c r="AC227" i="1"/>
  <c r="AD227" i="1"/>
  <c r="AE227" i="1"/>
  <c r="AF227" i="1"/>
  <c r="AG227" i="1"/>
  <c r="AH175" i="1"/>
  <c r="AM175" i="1"/>
  <c r="AN175" i="1"/>
  <c r="K228" i="1"/>
  <c r="L228" i="1"/>
  <c r="M228" i="1"/>
  <c r="N228" i="1" s="1"/>
  <c r="V228" i="1"/>
  <c r="Y228" i="1"/>
  <c r="Z228" i="1"/>
  <c r="AB228" i="1"/>
  <c r="AC228" i="1"/>
  <c r="AD228" i="1"/>
  <c r="AG228" i="1" s="1"/>
  <c r="AI228" i="1" s="1"/>
  <c r="AE228" i="1"/>
  <c r="AF228" i="1"/>
  <c r="AH176" i="1"/>
  <c r="AM176" i="1"/>
  <c r="AN176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177" i="1"/>
  <c r="AM177" i="1"/>
  <c r="AN177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8" i="1"/>
  <c r="AM178" i="1"/>
  <c r="AN178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9" i="1"/>
  <c r="AM179" i="1"/>
  <c r="AN179" i="1"/>
  <c r="K232" i="1"/>
  <c r="L232" i="1"/>
  <c r="M232" i="1"/>
  <c r="N232" i="1" s="1"/>
  <c r="V232" i="1"/>
  <c r="Y232" i="1"/>
  <c r="Z232" i="1"/>
  <c r="AB232" i="1"/>
  <c r="AC232" i="1"/>
  <c r="AD232" i="1"/>
  <c r="AG232" i="1" s="1"/>
  <c r="AI232" i="1" s="1"/>
  <c r="AE232" i="1"/>
  <c r="AF232" i="1"/>
  <c r="AH180" i="1"/>
  <c r="AM180" i="1"/>
  <c r="AN180" i="1"/>
  <c r="K233" i="1"/>
  <c r="L233" i="1"/>
  <c r="M233" i="1"/>
  <c r="N233" i="1" s="1"/>
  <c r="V233" i="1"/>
  <c r="Y233" i="1"/>
  <c r="Z233" i="1"/>
  <c r="AA233" i="1" s="1"/>
  <c r="AB233" i="1"/>
  <c r="AC233" i="1"/>
  <c r="AD233" i="1"/>
  <c r="T233" i="1" s="1"/>
  <c r="AE233" i="1"/>
  <c r="AF233" i="1"/>
  <c r="AH181" i="1"/>
  <c r="AM181" i="1"/>
  <c r="AN181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2" i="1"/>
  <c r="AM182" i="1"/>
  <c r="AN182" i="1"/>
  <c r="K235" i="1"/>
  <c r="L235" i="1"/>
  <c r="M235" i="1"/>
  <c r="N235" i="1" s="1"/>
  <c r="V235" i="1"/>
  <c r="X235" i="1"/>
  <c r="Y235" i="1"/>
  <c r="Z235" i="1"/>
  <c r="AB235" i="1"/>
  <c r="AC235" i="1"/>
  <c r="AD235" i="1"/>
  <c r="T235" i="1" s="1"/>
  <c r="AE235" i="1"/>
  <c r="AF235" i="1"/>
  <c r="AG235" i="1"/>
  <c r="U235" i="1" s="1"/>
  <c r="AH183" i="1"/>
  <c r="AM183" i="1"/>
  <c r="AN183" i="1"/>
  <c r="K236" i="1"/>
  <c r="L236" i="1"/>
  <c r="M236" i="1"/>
  <c r="N236" i="1" s="1"/>
  <c r="V236" i="1"/>
  <c r="Y236" i="1"/>
  <c r="Z236" i="1"/>
  <c r="AB236" i="1"/>
  <c r="AC236" i="1"/>
  <c r="AD236" i="1"/>
  <c r="AG236" i="1" s="1"/>
  <c r="AI236" i="1" s="1"/>
  <c r="AE236" i="1"/>
  <c r="AF236" i="1"/>
  <c r="AH184" i="1"/>
  <c r="AM184" i="1"/>
  <c r="AN184" i="1"/>
  <c r="K237" i="1"/>
  <c r="L237" i="1"/>
  <c r="M237" i="1"/>
  <c r="V237" i="1"/>
  <c r="S57" i="3" s="1"/>
  <c r="Y237" i="1"/>
  <c r="AA237" i="1" s="1"/>
  <c r="Z237" i="1"/>
  <c r="AB237" i="1"/>
  <c r="AC237" i="1"/>
  <c r="AD237" i="1"/>
  <c r="T237" i="1" s="1"/>
  <c r="AE237" i="1"/>
  <c r="AF237" i="1"/>
  <c r="AH185" i="1"/>
  <c r="AM185" i="1"/>
  <c r="AN185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6" i="1"/>
  <c r="AM186" i="1"/>
  <c r="AN186" i="1"/>
  <c r="K161" i="1"/>
  <c r="L161" i="1"/>
  <c r="M161" i="1"/>
  <c r="N161" i="1" s="1"/>
  <c r="V161" i="1"/>
  <c r="S42" i="3" s="1"/>
  <c r="Y161" i="1"/>
  <c r="Z161" i="1"/>
  <c r="AB161" i="1"/>
  <c r="AC161" i="1"/>
  <c r="AD161" i="1"/>
  <c r="T161" i="1" s="1"/>
  <c r="AE161" i="1"/>
  <c r="AF161" i="1"/>
  <c r="AH187" i="1"/>
  <c r="AM187" i="1"/>
  <c r="AN187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8" i="1"/>
  <c r="AM188" i="1"/>
  <c r="AN188" i="1"/>
  <c r="K163" i="1"/>
  <c r="L163" i="1"/>
  <c r="M163" i="1"/>
  <c r="N163" i="1" s="1"/>
  <c r="V163" i="1"/>
  <c r="S44" i="3" s="1"/>
  <c r="Y163" i="1"/>
  <c r="Z163" i="1"/>
  <c r="AA163" i="1" s="1"/>
  <c r="AB163" i="1"/>
  <c r="AC163" i="1"/>
  <c r="AD163" i="1"/>
  <c r="T163" i="1" s="1"/>
  <c r="AE163" i="1"/>
  <c r="AF163" i="1"/>
  <c r="AH189" i="1"/>
  <c r="AM189" i="1"/>
  <c r="AN18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0" i="1"/>
  <c r="AM190" i="1"/>
  <c r="AN19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1" i="1"/>
  <c r="AM191" i="1"/>
  <c r="AN191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92" i="1"/>
  <c r="AM192" i="1"/>
  <c r="AN192" i="1"/>
  <c r="K167" i="1"/>
  <c r="L167" i="1"/>
  <c r="M167" i="1"/>
  <c r="N167" i="1"/>
  <c r="V167" i="1"/>
  <c r="Y167" i="1"/>
  <c r="Z167" i="1"/>
  <c r="AA167" i="1"/>
  <c r="AB167" i="1"/>
  <c r="AC167" i="1"/>
  <c r="AD167" i="1"/>
  <c r="T167" i="1" s="1"/>
  <c r="AE167" i="1"/>
  <c r="AF167" i="1"/>
  <c r="AH193" i="1"/>
  <c r="AM193" i="1"/>
  <c r="AN193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194" i="1"/>
  <c r="AM194" i="1"/>
  <c r="AN194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5" i="1"/>
  <c r="AM195" i="1"/>
  <c r="AN195" i="1"/>
  <c r="K170" i="1"/>
  <c r="L170" i="1"/>
  <c r="M170" i="1"/>
  <c r="N170" i="1"/>
  <c r="V170" i="1"/>
  <c r="Y170" i="1"/>
  <c r="Z170" i="1"/>
  <c r="AB170" i="1"/>
  <c r="AC170" i="1"/>
  <c r="AD170" i="1"/>
  <c r="AG170" i="1" s="1"/>
  <c r="AI170" i="1" s="1"/>
  <c r="AE170" i="1"/>
  <c r="AF170" i="1"/>
  <c r="AH196" i="1"/>
  <c r="AM196" i="1"/>
  <c r="AN196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R43" i="3" s="1"/>
  <c r="AF171" i="1"/>
  <c r="AH197" i="1"/>
  <c r="AM197" i="1"/>
  <c r="AN197" i="1"/>
  <c r="K172" i="1"/>
  <c r="L172" i="1"/>
  <c r="M172" i="1"/>
  <c r="N172" i="1" s="1"/>
  <c r="V172" i="1"/>
  <c r="Y172" i="1"/>
  <c r="Z172" i="1"/>
  <c r="AA172" i="1"/>
  <c r="W172" i="1" s="1"/>
  <c r="AB172" i="1"/>
  <c r="AC172" i="1"/>
  <c r="AD172" i="1"/>
  <c r="T172" i="1" s="1"/>
  <c r="AE172" i="1"/>
  <c r="AF172" i="1"/>
  <c r="AG172" i="1"/>
  <c r="AH198" i="1"/>
  <c r="AM198" i="1"/>
  <c r="AN198" i="1"/>
  <c r="K173" i="1"/>
  <c r="L173" i="1"/>
  <c r="M173" i="1"/>
  <c r="N173" i="1" s="1"/>
  <c r="T173" i="1"/>
  <c r="V173" i="1"/>
  <c r="Y173" i="1"/>
  <c r="Z173" i="1"/>
  <c r="AA173" i="1" s="1"/>
  <c r="AB173" i="1"/>
  <c r="AC173" i="1"/>
  <c r="AD173" i="1"/>
  <c r="X173" i="1" s="1"/>
  <c r="AE173" i="1"/>
  <c r="AF173" i="1"/>
  <c r="AH199" i="1"/>
  <c r="AM199" i="1"/>
  <c r="AN199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00" i="1"/>
  <c r="AM200" i="1"/>
  <c r="AN200" i="1"/>
  <c r="K175" i="1"/>
  <c r="L175" i="1"/>
  <c r="M175" i="1"/>
  <c r="N175" i="1" s="1"/>
  <c r="V175" i="1"/>
  <c r="Y175" i="1"/>
  <c r="AA175" i="1" s="1"/>
  <c r="Z175" i="1"/>
  <c r="AB175" i="1"/>
  <c r="AC175" i="1"/>
  <c r="AD175" i="1"/>
  <c r="T175" i="1" s="1"/>
  <c r="AE175" i="1"/>
  <c r="AF175" i="1"/>
  <c r="AH201" i="1"/>
  <c r="AM201" i="1"/>
  <c r="AN201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202" i="1"/>
  <c r="AM202" i="1"/>
  <c r="AN20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3" i="1"/>
  <c r="AM203" i="1"/>
  <c r="AN203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4" i="1"/>
  <c r="AM204" i="1"/>
  <c r="AN20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5" i="1"/>
  <c r="AM205" i="1"/>
  <c r="AN20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G180" i="1"/>
  <c r="AH206" i="1"/>
  <c r="AM206" i="1"/>
  <c r="AN206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R46" i="3" s="1"/>
  <c r="AF181" i="1"/>
  <c r="AH207" i="1"/>
  <c r="AM207" i="1"/>
  <c r="AN207" i="1"/>
  <c r="K182" i="1"/>
  <c r="L182" i="1"/>
  <c r="M182" i="1"/>
  <c r="N182" i="1" s="1"/>
  <c r="V182" i="1"/>
  <c r="Y182" i="1"/>
  <c r="Z182" i="1"/>
  <c r="AA182" i="1" s="1"/>
  <c r="W182" i="1" s="1"/>
  <c r="AB182" i="1"/>
  <c r="AC182" i="1"/>
  <c r="AD182" i="1"/>
  <c r="AG182" i="1" s="1"/>
  <c r="AE182" i="1"/>
  <c r="AF182" i="1"/>
  <c r="AH208" i="1"/>
  <c r="AM208" i="1"/>
  <c r="AN208" i="1"/>
  <c r="K183" i="1"/>
  <c r="L183" i="1"/>
  <c r="M183" i="1"/>
  <c r="N183" i="1"/>
  <c r="V183" i="1"/>
  <c r="Y183" i="1"/>
  <c r="AA183" i="1" s="1"/>
  <c r="Z183" i="1"/>
  <c r="AB183" i="1"/>
  <c r="AC183" i="1"/>
  <c r="AD183" i="1"/>
  <c r="T183" i="1" s="1"/>
  <c r="AE183" i="1"/>
  <c r="AF183" i="1"/>
  <c r="AH209" i="1"/>
  <c r="AM209" i="1"/>
  <c r="AN209" i="1"/>
  <c r="K184" i="1"/>
  <c r="L184" i="1"/>
  <c r="M184" i="1"/>
  <c r="N184" i="1" s="1"/>
  <c r="V184" i="1"/>
  <c r="Y184" i="1"/>
  <c r="Z184" i="1"/>
  <c r="AB184" i="1"/>
  <c r="AC184" i="1"/>
  <c r="AD184" i="1"/>
  <c r="X184" i="1" s="1"/>
  <c r="AE184" i="1"/>
  <c r="AF184" i="1"/>
  <c r="AH210" i="1"/>
  <c r="AM210" i="1"/>
  <c r="AN21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1" i="1"/>
  <c r="AM211" i="1"/>
  <c r="AN211" i="1"/>
  <c r="K186" i="1"/>
  <c r="L186" i="1"/>
  <c r="M186" i="1"/>
  <c r="N186" i="1"/>
  <c r="V186" i="1"/>
  <c r="Y186" i="1"/>
  <c r="Z186" i="1"/>
  <c r="AB186" i="1"/>
  <c r="AC186" i="1"/>
  <c r="AD186" i="1"/>
  <c r="AG186" i="1" s="1"/>
  <c r="AI186" i="1" s="1"/>
  <c r="AE186" i="1"/>
  <c r="AF186" i="1"/>
  <c r="AH212" i="1"/>
  <c r="AM212" i="1"/>
  <c r="AN21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R48" i="3" s="1"/>
  <c r="AF187" i="1"/>
  <c r="AH213" i="1"/>
  <c r="AM213" i="1"/>
  <c r="AN213" i="1"/>
  <c r="K188" i="1"/>
  <c r="L188" i="1"/>
  <c r="M188" i="1"/>
  <c r="N188" i="1" s="1"/>
  <c r="V188" i="1"/>
  <c r="Y188" i="1"/>
  <c r="AA188" i="1" s="1"/>
  <c r="Z188" i="1"/>
  <c r="AB188" i="1"/>
  <c r="AC188" i="1"/>
  <c r="AD188" i="1"/>
  <c r="T188" i="1" s="1"/>
  <c r="AE188" i="1"/>
  <c r="AF188" i="1"/>
  <c r="AG188" i="1"/>
  <c r="AH214" i="1"/>
  <c r="AM214" i="1"/>
  <c r="AN214" i="1"/>
  <c r="K189" i="1"/>
  <c r="L189" i="1"/>
  <c r="M189" i="1"/>
  <c r="N189" i="1" s="1"/>
  <c r="T189" i="1"/>
  <c r="V189" i="1"/>
  <c r="X189" i="1"/>
  <c r="Y189" i="1"/>
  <c r="Z189" i="1"/>
  <c r="AA189" i="1" s="1"/>
  <c r="AB189" i="1"/>
  <c r="AC189" i="1"/>
  <c r="AD189" i="1"/>
  <c r="AE189" i="1"/>
  <c r="AF189" i="1"/>
  <c r="AG189" i="1"/>
  <c r="AH215" i="1"/>
  <c r="AM215" i="1"/>
  <c r="AN215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6" i="1"/>
  <c r="AM216" i="1"/>
  <c r="AN21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7" i="1"/>
  <c r="AM217" i="1"/>
  <c r="AN217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8" i="1"/>
  <c r="AM218" i="1"/>
  <c r="AN21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9" i="1"/>
  <c r="AM219" i="1"/>
  <c r="AN219" i="1"/>
  <c r="K194" i="1"/>
  <c r="L194" i="1"/>
  <c r="M194" i="1"/>
  <c r="N194" i="1"/>
  <c r="V194" i="1"/>
  <c r="Y194" i="1"/>
  <c r="Z194" i="1"/>
  <c r="AB194" i="1"/>
  <c r="AC194" i="1"/>
  <c r="AD194" i="1"/>
  <c r="AG194" i="1" s="1"/>
  <c r="AE194" i="1"/>
  <c r="AF194" i="1"/>
  <c r="AH220" i="1"/>
  <c r="AM220" i="1"/>
  <c r="AN220" i="1"/>
  <c r="K195" i="1"/>
  <c r="L195" i="1"/>
  <c r="M195" i="1"/>
  <c r="N195" i="1"/>
  <c r="V195" i="1"/>
  <c r="S51" i="3" s="1"/>
  <c r="Y195" i="1"/>
  <c r="Z195" i="1"/>
  <c r="AB195" i="1"/>
  <c r="AC195" i="1"/>
  <c r="AD195" i="1"/>
  <c r="AG195" i="1" s="1"/>
  <c r="AE195" i="1"/>
  <c r="AF195" i="1"/>
  <c r="AH221" i="1"/>
  <c r="AM221" i="1"/>
  <c r="AN221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2" i="1"/>
  <c r="AM222" i="1"/>
  <c r="AN222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23" i="1"/>
  <c r="AM223" i="1"/>
  <c r="AN223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4" i="1"/>
  <c r="AM224" i="1"/>
  <c r="AN224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5" i="1"/>
  <c r="AM225" i="1"/>
  <c r="AN225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6" i="1"/>
  <c r="AM226" i="1"/>
  <c r="AN226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7" i="1"/>
  <c r="AM227" i="1"/>
  <c r="AN227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28" i="1"/>
  <c r="AM228" i="1"/>
  <c r="AN228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9" i="1"/>
  <c r="AM229" i="1"/>
  <c r="AN229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0" i="1"/>
  <c r="AM230" i="1"/>
  <c r="AN230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1" i="1"/>
  <c r="AM231" i="1"/>
  <c r="AN231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32" i="1"/>
  <c r="AM232" i="1"/>
  <c r="AN232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33" i="1"/>
  <c r="AM233" i="1"/>
  <c r="AN23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4" i="1"/>
  <c r="AM234" i="1"/>
  <c r="AN234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5" i="1"/>
  <c r="AM235" i="1"/>
  <c r="AN235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6" i="1"/>
  <c r="AM236" i="1"/>
  <c r="AN236" i="1"/>
  <c r="K224" i="1"/>
  <c r="L224" i="1"/>
  <c r="M224" i="1"/>
  <c r="N224" i="1"/>
  <c r="V224" i="1"/>
  <c r="Y224" i="1"/>
  <c r="Z224" i="1"/>
  <c r="AB224" i="1"/>
  <c r="AC224" i="1"/>
  <c r="AD224" i="1"/>
  <c r="AE224" i="1"/>
  <c r="AF224" i="1"/>
  <c r="AH237" i="1"/>
  <c r="AM237" i="1"/>
  <c r="AN237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8" i="1"/>
  <c r="AM238" i="1"/>
  <c r="AN238" i="1"/>
  <c r="M31" i="3"/>
  <c r="R31" i="3"/>
  <c r="U31" i="3"/>
  <c r="T31" i="3" s="1"/>
  <c r="V31" i="3"/>
  <c r="W31" i="3"/>
  <c r="X31" i="3"/>
  <c r="AC31" i="3"/>
  <c r="M42" i="3"/>
  <c r="R42" i="3"/>
  <c r="U42" i="3"/>
  <c r="AD42" i="3" s="1"/>
  <c r="V42" i="3"/>
  <c r="W42" i="3"/>
  <c r="X42" i="3"/>
  <c r="M59" i="3"/>
  <c r="R59" i="3"/>
  <c r="S59" i="3"/>
  <c r="U59" i="3"/>
  <c r="AC59" i="3" s="1"/>
  <c r="V59" i="3"/>
  <c r="W59" i="3"/>
  <c r="Y59" i="3" s="1"/>
  <c r="X59" i="3"/>
  <c r="M44" i="3"/>
  <c r="R44" i="3"/>
  <c r="U44" i="3"/>
  <c r="T44" i="3" s="1"/>
  <c r="V44" i="3"/>
  <c r="W44" i="3"/>
  <c r="X44" i="3"/>
  <c r="AC44" i="3"/>
  <c r="M38" i="3"/>
  <c r="R38" i="3"/>
  <c r="U38" i="3"/>
  <c r="T38" i="3" s="1"/>
  <c r="V38" i="3"/>
  <c r="W38" i="3"/>
  <c r="X38" i="3"/>
  <c r="AC38" i="3"/>
  <c r="M43" i="3"/>
  <c r="S43" i="3"/>
  <c r="U43" i="3"/>
  <c r="V43" i="3"/>
  <c r="W43" i="3"/>
  <c r="X43" i="3"/>
  <c r="AC43" i="3"/>
  <c r="M22" i="3"/>
  <c r="R22" i="3"/>
  <c r="S22" i="3"/>
  <c r="U22" i="3"/>
  <c r="AC22" i="3" s="1"/>
  <c r="V22" i="3"/>
  <c r="W22" i="3"/>
  <c r="Y22" i="3" s="1"/>
  <c r="X22" i="3"/>
  <c r="M53" i="3"/>
  <c r="R53" i="3"/>
  <c r="S53" i="3"/>
  <c r="T53" i="3"/>
  <c r="U53" i="3"/>
  <c r="V53" i="3"/>
  <c r="W53" i="3"/>
  <c r="X53" i="3"/>
  <c r="AC53" i="3"/>
  <c r="M14" i="3"/>
  <c r="R14" i="3"/>
  <c r="S14" i="3"/>
  <c r="U14" i="3"/>
  <c r="T14" i="3" s="1"/>
  <c r="V14" i="3"/>
  <c r="W14" i="3"/>
  <c r="Y14" i="3" s="1"/>
  <c r="X14" i="3"/>
  <c r="AC14" i="3"/>
  <c r="M32" i="3"/>
  <c r="R32" i="3"/>
  <c r="U32" i="3"/>
  <c r="V32" i="3"/>
  <c r="W32" i="3"/>
  <c r="Y32" i="3" s="1"/>
  <c r="X32" i="3"/>
  <c r="M28" i="3"/>
  <c r="R28" i="3"/>
  <c r="S28" i="3"/>
  <c r="U28" i="3"/>
  <c r="AC28" i="3" s="1"/>
  <c r="V28" i="3"/>
  <c r="W28" i="3"/>
  <c r="X28" i="3"/>
  <c r="M8" i="3"/>
  <c r="R8" i="3"/>
  <c r="U8" i="3"/>
  <c r="V8" i="3"/>
  <c r="W8" i="3"/>
  <c r="X8" i="3"/>
  <c r="AC8" i="3"/>
  <c r="M12" i="3"/>
  <c r="R12" i="3"/>
  <c r="S12" i="3"/>
  <c r="U12" i="3"/>
  <c r="T12" i="3" s="1"/>
  <c r="V12" i="3"/>
  <c r="W12" i="3"/>
  <c r="X12" i="3"/>
  <c r="AC12" i="3"/>
  <c r="M11" i="3"/>
  <c r="R11" i="3"/>
  <c r="S11" i="3"/>
  <c r="U11" i="3"/>
  <c r="V11" i="3"/>
  <c r="W11" i="3"/>
  <c r="X11" i="3"/>
  <c r="Y11" i="3"/>
  <c r="M33" i="3"/>
  <c r="R33" i="3"/>
  <c r="S33" i="3"/>
  <c r="U33" i="3"/>
  <c r="AC33" i="3" s="1"/>
  <c r="V33" i="3"/>
  <c r="W33" i="3"/>
  <c r="X33" i="3"/>
  <c r="M45" i="3"/>
  <c r="R45" i="3"/>
  <c r="S45" i="3"/>
  <c r="U45" i="3"/>
  <c r="T45" i="3" s="1"/>
  <c r="V45" i="3"/>
  <c r="W45" i="3"/>
  <c r="X45" i="3"/>
  <c r="AC45" i="3"/>
  <c r="M13" i="3"/>
  <c r="R13" i="3"/>
  <c r="S13" i="3"/>
  <c r="U13" i="3"/>
  <c r="T13" i="3" s="1"/>
  <c r="V13" i="3"/>
  <c r="W13" i="3"/>
  <c r="X13" i="3"/>
  <c r="AC13" i="3"/>
  <c r="M9" i="3"/>
  <c r="R9" i="3"/>
  <c r="S9" i="3"/>
  <c r="U9" i="3"/>
  <c r="V9" i="3"/>
  <c r="W9" i="3"/>
  <c r="X9" i="3"/>
  <c r="M46" i="3"/>
  <c r="S46" i="3"/>
  <c r="U46" i="3"/>
  <c r="AC46" i="3" s="1"/>
  <c r="V46" i="3"/>
  <c r="W46" i="3"/>
  <c r="X46" i="3"/>
  <c r="M10" i="3"/>
  <c r="R10" i="3"/>
  <c r="S10" i="3"/>
  <c r="U10" i="3"/>
  <c r="T10" i="3" s="1"/>
  <c r="V10" i="3"/>
  <c r="W10" i="3"/>
  <c r="Y10" i="3" s="1"/>
  <c r="X10" i="3"/>
  <c r="AC10" i="3"/>
  <c r="M39" i="3"/>
  <c r="R39" i="3"/>
  <c r="U39" i="3"/>
  <c r="T39" i="3" s="1"/>
  <c r="V39" i="3"/>
  <c r="W39" i="3"/>
  <c r="X39" i="3"/>
  <c r="AC39" i="3"/>
  <c r="AD28" i="3"/>
  <c r="M27" i="3"/>
  <c r="S27" i="3"/>
  <c r="U27" i="3"/>
  <c r="AE27" i="3" s="1"/>
  <c r="V27" i="3"/>
  <c r="W27" i="3"/>
  <c r="X27" i="3"/>
  <c r="AC27" i="3"/>
  <c r="M20" i="3"/>
  <c r="R20" i="3"/>
  <c r="S20" i="3"/>
  <c r="U20" i="3"/>
  <c r="AC20" i="3" s="1"/>
  <c r="V20" i="3"/>
  <c r="W20" i="3"/>
  <c r="X20" i="3"/>
  <c r="Y20" i="3"/>
  <c r="M47" i="3"/>
  <c r="R47" i="3"/>
  <c r="S47" i="3"/>
  <c r="T47" i="3"/>
  <c r="U47" i="3"/>
  <c r="V47" i="3"/>
  <c r="W47" i="3"/>
  <c r="Y47" i="3" s="1"/>
  <c r="X47" i="3"/>
  <c r="AC47" i="3"/>
  <c r="M29" i="3"/>
  <c r="R29" i="3"/>
  <c r="S29" i="3"/>
  <c r="U29" i="3"/>
  <c r="T29" i="3" s="1"/>
  <c r="V29" i="3"/>
  <c r="W29" i="3"/>
  <c r="X29" i="3"/>
  <c r="AC29" i="3"/>
  <c r="M34" i="3"/>
  <c r="R34" i="3"/>
  <c r="S34" i="3"/>
  <c r="U34" i="3"/>
  <c r="AD32" i="3" s="1"/>
  <c r="V34" i="3"/>
  <c r="W34" i="3"/>
  <c r="X34" i="3"/>
  <c r="AC34" i="3"/>
  <c r="M40" i="3"/>
  <c r="R40" i="3"/>
  <c r="S40" i="3"/>
  <c r="U40" i="3"/>
  <c r="AC40" i="3" s="1"/>
  <c r="V40" i="3"/>
  <c r="W40" i="3"/>
  <c r="Y40" i="3" s="1"/>
  <c r="X40" i="3"/>
  <c r="M48" i="3"/>
  <c r="S48" i="3"/>
  <c r="U48" i="3"/>
  <c r="T48" i="3" s="1"/>
  <c r="V48" i="3"/>
  <c r="AE34" i="3" s="1"/>
  <c r="W48" i="3"/>
  <c r="X48" i="3"/>
  <c r="AC48" i="3"/>
  <c r="AD34" i="3"/>
  <c r="M23" i="3"/>
  <c r="R23" i="3"/>
  <c r="S23" i="3"/>
  <c r="U23" i="3"/>
  <c r="T23" i="3" s="1"/>
  <c r="V23" i="3"/>
  <c r="W23" i="3"/>
  <c r="X23" i="3"/>
  <c r="AC23" i="3"/>
  <c r="M26" i="3"/>
  <c r="R26" i="3"/>
  <c r="S26" i="3"/>
  <c r="U26" i="3"/>
  <c r="V26" i="3"/>
  <c r="W26" i="3"/>
  <c r="X26" i="3"/>
  <c r="M54" i="3"/>
  <c r="R54" i="3"/>
  <c r="S54" i="3"/>
  <c r="U54" i="3"/>
  <c r="AC54" i="3" s="1"/>
  <c r="V54" i="3"/>
  <c r="W54" i="3"/>
  <c r="X54" i="3"/>
  <c r="M49" i="3"/>
  <c r="R49" i="3"/>
  <c r="S49" i="3"/>
  <c r="U49" i="3"/>
  <c r="AD38" i="3" s="1"/>
  <c r="V49" i="3"/>
  <c r="W49" i="3"/>
  <c r="X49" i="3"/>
  <c r="AC49" i="3"/>
  <c r="M18" i="3"/>
  <c r="R18" i="3"/>
  <c r="S18" i="3"/>
  <c r="U18" i="3"/>
  <c r="T18" i="3" s="1"/>
  <c r="V18" i="3"/>
  <c r="W18" i="3"/>
  <c r="X18" i="3"/>
  <c r="AC18" i="3"/>
  <c r="M41" i="3"/>
  <c r="R41" i="3"/>
  <c r="S41" i="3"/>
  <c r="U41" i="3"/>
  <c r="AD40" i="3" s="1"/>
  <c r="V41" i="3"/>
  <c r="W41" i="3"/>
  <c r="X41" i="3"/>
  <c r="AC41" i="3"/>
  <c r="M25" i="3"/>
  <c r="R25" i="3"/>
  <c r="S25" i="3"/>
  <c r="U25" i="3"/>
  <c r="AC25" i="3" s="1"/>
  <c r="V25" i="3"/>
  <c r="W25" i="3"/>
  <c r="X25" i="3"/>
  <c r="M57" i="3"/>
  <c r="R57" i="3"/>
  <c r="U57" i="3"/>
  <c r="AE42" i="3" s="1"/>
  <c r="V57" i="3"/>
  <c r="W57" i="3"/>
  <c r="X57" i="3"/>
  <c r="AC57" i="3"/>
  <c r="M55" i="3"/>
  <c r="R55" i="3"/>
  <c r="S55" i="3"/>
  <c r="U55" i="3"/>
  <c r="T55" i="3" s="1"/>
  <c r="V55" i="3"/>
  <c r="W55" i="3"/>
  <c r="X55" i="3"/>
  <c r="AC55" i="3"/>
  <c r="M15" i="3"/>
  <c r="R15" i="3"/>
  <c r="S15" i="3"/>
  <c r="U15" i="3"/>
  <c r="AD44" i="3" s="1"/>
  <c r="V15" i="3"/>
  <c r="W15" i="3"/>
  <c r="X15" i="3"/>
  <c r="Y15" i="3"/>
  <c r="M50" i="3"/>
  <c r="R50" i="3"/>
  <c r="S50" i="3"/>
  <c r="U50" i="3"/>
  <c r="AC50" i="3" s="1"/>
  <c r="V50" i="3"/>
  <c r="W50" i="3"/>
  <c r="X50" i="3"/>
  <c r="M51" i="3"/>
  <c r="R51" i="3"/>
  <c r="U51" i="3"/>
  <c r="T51" i="3" s="1"/>
  <c r="V51" i="3"/>
  <c r="W51" i="3"/>
  <c r="X51" i="3"/>
  <c r="AC51" i="3"/>
  <c r="M35" i="3"/>
  <c r="R35" i="3"/>
  <c r="S35" i="3"/>
  <c r="U35" i="3"/>
  <c r="T35" i="3" s="1"/>
  <c r="V35" i="3"/>
  <c r="W35" i="3"/>
  <c r="X35" i="3"/>
  <c r="AC35" i="3"/>
  <c r="AD47" i="3"/>
  <c r="M56" i="3"/>
  <c r="R56" i="3"/>
  <c r="S56" i="3"/>
  <c r="U56" i="3"/>
  <c r="V56" i="3"/>
  <c r="W56" i="3"/>
  <c r="X56" i="3"/>
  <c r="AC56" i="3"/>
  <c r="M21" i="3"/>
  <c r="R21" i="3"/>
  <c r="S21" i="3"/>
  <c r="U21" i="3"/>
  <c r="AC21" i="3" s="1"/>
  <c r="V21" i="3"/>
  <c r="W21" i="3"/>
  <c r="X21" i="3"/>
  <c r="M17" i="3"/>
  <c r="R17" i="3"/>
  <c r="S17" i="3"/>
  <c r="U17" i="3"/>
  <c r="T17" i="3" s="1"/>
  <c r="V17" i="3"/>
  <c r="AE50" i="3" s="1"/>
  <c r="W17" i="3"/>
  <c r="X17" i="3"/>
  <c r="AC17" i="3"/>
  <c r="AD50" i="3"/>
  <c r="M16" i="3"/>
  <c r="R16" i="3"/>
  <c r="S16" i="3"/>
  <c r="U16" i="3"/>
  <c r="T16" i="3" s="1"/>
  <c r="V16" i="3"/>
  <c r="W16" i="3"/>
  <c r="X16" i="3"/>
  <c r="AC16" i="3"/>
  <c r="M52" i="3"/>
  <c r="R52" i="3"/>
  <c r="S52" i="3"/>
  <c r="U52" i="3"/>
  <c r="AD52" i="3" s="1"/>
  <c r="V52" i="3"/>
  <c r="W52" i="3"/>
  <c r="X52" i="3"/>
  <c r="M24" i="3"/>
  <c r="R24" i="3"/>
  <c r="S24" i="3"/>
  <c r="U24" i="3"/>
  <c r="AC24" i="3" s="1"/>
  <c r="V24" i="3"/>
  <c r="W24" i="3"/>
  <c r="X24" i="3"/>
  <c r="M7" i="3"/>
  <c r="R7" i="3"/>
  <c r="U7" i="3"/>
  <c r="AD54" i="3" s="1"/>
  <c r="V7" i="3"/>
  <c r="W7" i="3"/>
  <c r="X7" i="3"/>
  <c r="AC7" i="3"/>
  <c r="M30" i="3"/>
  <c r="S30" i="3"/>
  <c r="U30" i="3"/>
  <c r="T30" i="3" s="1"/>
  <c r="V30" i="3"/>
  <c r="W30" i="3"/>
  <c r="X30" i="3"/>
  <c r="AC30" i="3"/>
  <c r="M37" i="3"/>
  <c r="R37" i="3"/>
  <c r="S37" i="3"/>
  <c r="U37" i="3"/>
  <c r="AC37" i="3" s="1"/>
  <c r="V37" i="3"/>
  <c r="W37" i="3"/>
  <c r="Y37" i="3" s="1"/>
  <c r="X37" i="3"/>
  <c r="M19" i="3"/>
  <c r="R19" i="3"/>
  <c r="S19" i="3"/>
  <c r="T19" i="3"/>
  <c r="U19" i="3"/>
  <c r="V19" i="3"/>
  <c r="W19" i="3"/>
  <c r="X19" i="3"/>
  <c r="AC19" i="3"/>
  <c r="M36" i="3"/>
  <c r="R36" i="3"/>
  <c r="S36" i="3"/>
  <c r="U36" i="3"/>
  <c r="T36" i="3" s="1"/>
  <c r="V36" i="3"/>
  <c r="W36" i="3"/>
  <c r="X36" i="3"/>
  <c r="AC36" i="3"/>
  <c r="Y26" i="3" l="1"/>
  <c r="Y23" i="3"/>
  <c r="Y9" i="3"/>
  <c r="Y13" i="3"/>
  <c r="Y33" i="3"/>
  <c r="Y12" i="3"/>
  <c r="T165" i="1"/>
  <c r="X165" i="1"/>
  <c r="AG165" i="1"/>
  <c r="T112" i="1"/>
  <c r="AG112" i="1"/>
  <c r="AI112" i="1" s="1"/>
  <c r="AG56" i="1"/>
  <c r="U56" i="1" s="1"/>
  <c r="S56" i="1" s="1"/>
  <c r="T56" i="1"/>
  <c r="AG41" i="1"/>
  <c r="X42" i="1"/>
  <c r="AG38" i="1"/>
  <c r="U38" i="1" s="1"/>
  <c r="S38" i="1" s="1"/>
  <c r="X38" i="1"/>
  <c r="AD55" i="3"/>
  <c r="AE54" i="3"/>
  <c r="Y52" i="3"/>
  <c r="Y21" i="3"/>
  <c r="Y50" i="3"/>
  <c r="T57" i="3"/>
  <c r="T223" i="1"/>
  <c r="U223" i="1" s="1"/>
  <c r="S223" i="1" s="1"/>
  <c r="AG223" i="1"/>
  <c r="T196" i="1"/>
  <c r="X197" i="1"/>
  <c r="X217" i="1"/>
  <c r="AG78" i="1"/>
  <c r="T78" i="1"/>
  <c r="U78" i="1" s="1"/>
  <c r="S78" i="1" s="1"/>
  <c r="T67" i="1"/>
  <c r="AG67" i="1"/>
  <c r="AI67" i="1" s="1"/>
  <c r="T123" i="1"/>
  <c r="X124" i="1"/>
  <c r="T164" i="1"/>
  <c r="U164" i="1" s="1"/>
  <c r="S164" i="1" s="1"/>
  <c r="AG164" i="1"/>
  <c r="T119" i="1"/>
  <c r="AG119" i="1"/>
  <c r="AG113" i="1"/>
  <c r="AI113" i="1" s="1"/>
  <c r="T113" i="1"/>
  <c r="T53" i="1"/>
  <c r="U53" i="1" s="1"/>
  <c r="S53" i="1" s="1"/>
  <c r="X54" i="1"/>
  <c r="AD48" i="3"/>
  <c r="AD56" i="3"/>
  <c r="AD39" i="3"/>
  <c r="AG199" i="1"/>
  <c r="T199" i="1"/>
  <c r="U199" i="1" s="1"/>
  <c r="S199" i="1" s="1"/>
  <c r="W188" i="1"/>
  <c r="AA184" i="1"/>
  <c r="X181" i="1"/>
  <c r="AG181" i="1"/>
  <c r="W181" i="1" s="1"/>
  <c r="AA165" i="1"/>
  <c r="W165" i="1" s="1"/>
  <c r="AG95" i="1"/>
  <c r="U95" i="1" s="1"/>
  <c r="S95" i="1" s="1"/>
  <c r="T95" i="1"/>
  <c r="AA225" i="1"/>
  <c r="AA204" i="1"/>
  <c r="AA180" i="1"/>
  <c r="W180" i="1" s="1"/>
  <c r="AI178" i="1"/>
  <c r="AI166" i="1"/>
  <c r="X231" i="1"/>
  <c r="AA208" i="1"/>
  <c r="AA154" i="1"/>
  <c r="AI139" i="1"/>
  <c r="AA88" i="1"/>
  <c r="AA15" i="1"/>
  <c r="Y30" i="3"/>
  <c r="Y24" i="3"/>
  <c r="Y41" i="3"/>
  <c r="Y27" i="3"/>
  <c r="Y46" i="3"/>
  <c r="Y42" i="3"/>
  <c r="Y31" i="3"/>
  <c r="AA205" i="1"/>
  <c r="X200" i="1"/>
  <c r="AA198" i="1"/>
  <c r="AA190" i="1"/>
  <c r="W190" i="1" s="1"/>
  <c r="AA179" i="1"/>
  <c r="AA174" i="1"/>
  <c r="W174" i="1" s="1"/>
  <c r="AA235" i="1"/>
  <c r="AA234" i="1"/>
  <c r="W234" i="1" s="1"/>
  <c r="AA217" i="1"/>
  <c r="W217" i="1" s="1"/>
  <c r="W213" i="1"/>
  <c r="AA209" i="1"/>
  <c r="AA157" i="1"/>
  <c r="U147" i="1"/>
  <c r="S147" i="1" s="1"/>
  <c r="AA132" i="1"/>
  <c r="W132" i="1" s="1"/>
  <c r="AA121" i="1"/>
  <c r="W121" i="1" s="1"/>
  <c r="AI92" i="1"/>
  <c r="U71" i="1"/>
  <c r="S71" i="1" s="1"/>
  <c r="AA70" i="1"/>
  <c r="AA69" i="1"/>
  <c r="W69" i="1" s="1"/>
  <c r="AI59" i="1"/>
  <c r="AA58" i="1"/>
  <c r="AA43" i="1"/>
  <c r="AA16" i="1"/>
  <c r="W16" i="1" s="1"/>
  <c r="W127" i="1"/>
  <c r="X128" i="1"/>
  <c r="AA160" i="1"/>
  <c r="W160" i="1" s="1"/>
  <c r="AA149" i="1"/>
  <c r="W135" i="1"/>
  <c r="U131" i="1"/>
  <c r="S131" i="1" s="1"/>
  <c r="AA122" i="1"/>
  <c r="AA95" i="1"/>
  <c r="AA94" i="1"/>
  <c r="W94" i="1" s="1"/>
  <c r="AA78" i="1"/>
  <c r="W78" i="1" s="1"/>
  <c r="AA77" i="1"/>
  <c r="AA61" i="1"/>
  <c r="W61" i="1" s="1"/>
  <c r="AA53" i="1"/>
  <c r="AA48" i="1"/>
  <c r="AA41" i="1"/>
  <c r="AA32" i="1"/>
  <c r="AA30" i="1"/>
  <c r="AA24" i="1"/>
  <c r="X127" i="1"/>
  <c r="AG155" i="1"/>
  <c r="X155" i="1"/>
  <c r="AA155" i="1"/>
  <c r="W155" i="1" s="1"/>
  <c r="AI127" i="1"/>
  <c r="U127" i="1"/>
  <c r="S127" i="1" s="1"/>
  <c r="AG123" i="1"/>
  <c r="X123" i="1"/>
  <c r="AA238" i="1"/>
  <c r="T234" i="1"/>
  <c r="U234" i="1" s="1"/>
  <c r="S234" i="1" s="1"/>
  <c r="AG234" i="1"/>
  <c r="AI234" i="1" s="1"/>
  <c r="X230" i="1"/>
  <c r="T214" i="1"/>
  <c r="X214" i="1"/>
  <c r="AG214" i="1"/>
  <c r="AA223" i="1"/>
  <c r="AG221" i="1"/>
  <c r="AI221" i="1" s="1"/>
  <c r="X221" i="1"/>
  <c r="X207" i="1"/>
  <c r="T200" i="1"/>
  <c r="AA199" i="1"/>
  <c r="AG196" i="1"/>
  <c r="X196" i="1"/>
  <c r="X192" i="1"/>
  <c r="AA187" i="1"/>
  <c r="X176" i="1"/>
  <c r="AA166" i="1"/>
  <c r="W166" i="1" s="1"/>
  <c r="AA164" i="1"/>
  <c r="W164" i="1" s="1"/>
  <c r="AI162" i="1"/>
  <c r="AG238" i="1"/>
  <c r="X238" i="1"/>
  <c r="T159" i="1"/>
  <c r="X159" i="1"/>
  <c r="AG159" i="1"/>
  <c r="AI159" i="1" s="1"/>
  <c r="AA197" i="1"/>
  <c r="W197" i="1" s="1"/>
  <c r="T197" i="1"/>
  <c r="U197" i="1" s="1"/>
  <c r="S197" i="1" s="1"/>
  <c r="AI190" i="1"/>
  <c r="U189" i="1"/>
  <c r="S189" i="1" s="1"/>
  <c r="AI174" i="1"/>
  <c r="AG173" i="1"/>
  <c r="U173" i="1" s="1"/>
  <c r="S173" i="1" s="1"/>
  <c r="X169" i="1"/>
  <c r="W227" i="1"/>
  <c r="AA207" i="1"/>
  <c r="W207" i="1" s="1"/>
  <c r="T207" i="1"/>
  <c r="U207" i="1" s="1"/>
  <c r="S207" i="1" s="1"/>
  <c r="AG204" i="1"/>
  <c r="X204" i="1"/>
  <c r="AG202" i="1"/>
  <c r="AI202" i="1" s="1"/>
  <c r="AG200" i="1"/>
  <c r="AI200" i="1" s="1"/>
  <c r="AA195" i="1"/>
  <c r="W195" i="1" s="1"/>
  <c r="AA192" i="1"/>
  <c r="W192" i="1" s="1"/>
  <c r="AA191" i="1"/>
  <c r="X185" i="1"/>
  <c r="AI182" i="1"/>
  <c r="AA176" i="1"/>
  <c r="W176" i="1" s="1"/>
  <c r="AA168" i="1"/>
  <c r="T226" i="1"/>
  <c r="U226" i="1" s="1"/>
  <c r="S226" i="1" s="1"/>
  <c r="AG226" i="1"/>
  <c r="AI226" i="1" s="1"/>
  <c r="T154" i="1"/>
  <c r="U154" i="1" s="1"/>
  <c r="S154" i="1" s="1"/>
  <c r="AG154" i="1"/>
  <c r="W154" i="1"/>
  <c r="AA236" i="1"/>
  <c r="W236" i="1" s="1"/>
  <c r="AA228" i="1"/>
  <c r="W228" i="1" s="1"/>
  <c r="X210" i="1"/>
  <c r="AA158" i="1"/>
  <c r="W158" i="1" s="1"/>
  <c r="AA156" i="1"/>
  <c r="W156" i="1" s="1"/>
  <c r="AA151" i="1"/>
  <c r="W151" i="1" s="1"/>
  <c r="T148" i="1"/>
  <c r="AA146" i="1"/>
  <c r="AG140" i="1"/>
  <c r="U140" i="1" s="1"/>
  <c r="S140" i="1" s="1"/>
  <c r="X140" i="1"/>
  <c r="T139" i="1"/>
  <c r="AA138" i="1"/>
  <c r="AA128" i="1"/>
  <c r="T128" i="1"/>
  <c r="U128" i="1" s="1"/>
  <c r="S128" i="1" s="1"/>
  <c r="AA125" i="1"/>
  <c r="X121" i="1"/>
  <c r="AG118" i="1"/>
  <c r="U118" i="1" s="1"/>
  <c r="S118" i="1" s="1"/>
  <c r="AG117" i="1"/>
  <c r="U117" i="1" s="1"/>
  <c r="S117" i="1" s="1"/>
  <c r="AA113" i="1"/>
  <c r="AA104" i="1"/>
  <c r="W104" i="1" s="1"/>
  <c r="T103" i="1"/>
  <c r="AA102" i="1"/>
  <c r="AG100" i="1"/>
  <c r="AI100" i="1" s="1"/>
  <c r="AA99" i="1"/>
  <c r="W99" i="1" s="1"/>
  <c r="X99" i="1"/>
  <c r="AA90" i="1"/>
  <c r="W90" i="1" s="1"/>
  <c r="AG88" i="1"/>
  <c r="AI88" i="1" s="1"/>
  <c r="AA87" i="1"/>
  <c r="W87" i="1" s="1"/>
  <c r="AA86" i="1"/>
  <c r="AG84" i="1"/>
  <c r="AI84" i="1" s="1"/>
  <c r="X77" i="1"/>
  <c r="T76" i="1"/>
  <c r="X61" i="1"/>
  <c r="AA56" i="1"/>
  <c r="W56" i="1" s="1"/>
  <c r="AA55" i="1"/>
  <c r="AG53" i="1"/>
  <c r="AI53" i="1" s="1"/>
  <c r="X52" i="1"/>
  <c r="AG50" i="1"/>
  <c r="AI50" i="1" s="1"/>
  <c r="X50" i="1"/>
  <c r="AG49" i="1"/>
  <c r="U49" i="1" s="1"/>
  <c r="S49" i="1" s="1"/>
  <c r="X49" i="1"/>
  <c r="AA47" i="1"/>
  <c r="AG45" i="1"/>
  <c r="AA44" i="1"/>
  <c r="W44" i="1" s="1"/>
  <c r="AA34" i="1"/>
  <c r="X33" i="1"/>
  <c r="AA33" i="1"/>
  <c r="AA28" i="1"/>
  <c r="W28" i="1" s="1"/>
  <c r="X25" i="1"/>
  <c r="AA25" i="1"/>
  <c r="U144" i="1"/>
  <c r="W131" i="1"/>
  <c r="U119" i="1"/>
  <c r="S119" i="1" s="1"/>
  <c r="T107" i="1"/>
  <c r="AI104" i="1"/>
  <c r="U90" i="1"/>
  <c r="S90" i="1" s="1"/>
  <c r="X86" i="1"/>
  <c r="AI61" i="1"/>
  <c r="X53" i="1"/>
  <c r="T46" i="1"/>
  <c r="AA230" i="1"/>
  <c r="AA220" i="1"/>
  <c r="AA214" i="1"/>
  <c r="AA212" i="1"/>
  <c r="AA159" i="1"/>
  <c r="W159" i="1" s="1"/>
  <c r="AA153" i="1"/>
  <c r="AG148" i="1"/>
  <c r="AI148" i="1" s="1"/>
  <c r="AA147" i="1"/>
  <c r="W147" i="1" s="1"/>
  <c r="AG145" i="1"/>
  <c r="U145" i="1" s="1"/>
  <c r="S145" i="1" s="1"/>
  <c r="AA143" i="1"/>
  <c r="AA140" i="1"/>
  <c r="W140" i="1" s="1"/>
  <c r="AG128" i="1"/>
  <c r="AA126" i="1"/>
  <c r="W126" i="1" s="1"/>
  <c r="AA118" i="1"/>
  <c r="AA112" i="1"/>
  <c r="W112" i="1" s="1"/>
  <c r="AA110" i="1"/>
  <c r="AG108" i="1"/>
  <c r="AI108" i="1" s="1"/>
  <c r="AA107" i="1"/>
  <c r="X107" i="1"/>
  <c r="AA96" i="1"/>
  <c r="W96" i="1" s="1"/>
  <c r="AA85" i="1"/>
  <c r="AA81" i="1"/>
  <c r="AG79" i="1"/>
  <c r="W79" i="1" s="1"/>
  <c r="AG73" i="1"/>
  <c r="AI73" i="1" s="1"/>
  <c r="X72" i="1"/>
  <c r="AA71" i="1"/>
  <c r="W71" i="1" s="1"/>
  <c r="AA67" i="1"/>
  <c r="AA63" i="1"/>
  <c r="AA59" i="1"/>
  <c r="W59" i="1" s="1"/>
  <c r="AA57" i="1"/>
  <c r="W57" i="1" s="1"/>
  <c r="AA49" i="1"/>
  <c r="W49" i="1" s="1"/>
  <c r="AA46" i="1"/>
  <c r="W46" i="1" s="1"/>
  <c r="AA45" i="1"/>
  <c r="W45" i="1" s="1"/>
  <c r="AA35" i="1"/>
  <c r="X29" i="1"/>
  <c r="X20" i="1"/>
  <c r="U126" i="1"/>
  <c r="S126" i="1" s="1"/>
  <c r="AG224" i="1"/>
  <c r="AI224" i="1" s="1"/>
  <c r="T224" i="1"/>
  <c r="X224" i="1"/>
  <c r="W223" i="1"/>
  <c r="AG225" i="1"/>
  <c r="AI238" i="1" s="1"/>
  <c r="X225" i="1"/>
  <c r="W238" i="1"/>
  <c r="AI194" i="1"/>
  <c r="T184" i="1"/>
  <c r="U180" i="1"/>
  <c r="S180" i="1" s="1"/>
  <c r="T168" i="1"/>
  <c r="T230" i="1"/>
  <c r="T209" i="1"/>
  <c r="U158" i="1"/>
  <c r="S158" i="1" s="1"/>
  <c r="X143" i="1"/>
  <c r="AI94" i="1"/>
  <c r="AI69" i="1"/>
  <c r="AI65" i="1"/>
  <c r="AA222" i="1"/>
  <c r="AA203" i="1"/>
  <c r="W203" i="1" s="1"/>
  <c r="T203" i="1"/>
  <c r="AA200" i="1"/>
  <c r="AG198" i="1"/>
  <c r="AA196" i="1"/>
  <c r="W196" i="1" s="1"/>
  <c r="T195" i="1"/>
  <c r="AG193" i="1"/>
  <c r="U193" i="1" s="1"/>
  <c r="S193" i="1" s="1"/>
  <c r="X193" i="1"/>
  <c r="AA186" i="1"/>
  <c r="W186" i="1" s="1"/>
  <c r="AA185" i="1"/>
  <c r="T185" i="1"/>
  <c r="AG184" i="1"/>
  <c r="X180" i="1"/>
  <c r="AG177" i="1"/>
  <c r="U177" i="1" s="1"/>
  <c r="X177" i="1"/>
  <c r="AA170" i="1"/>
  <c r="AA169" i="1"/>
  <c r="T169" i="1"/>
  <c r="AG168" i="1"/>
  <c r="X164" i="1"/>
  <c r="AG161" i="1"/>
  <c r="U161" i="1" s="1"/>
  <c r="S161" i="1" s="1"/>
  <c r="X161" i="1"/>
  <c r="AA232" i="1"/>
  <c r="W232" i="1" s="1"/>
  <c r="AA231" i="1"/>
  <c r="T231" i="1"/>
  <c r="AG230" i="1"/>
  <c r="X226" i="1"/>
  <c r="AG218" i="1"/>
  <c r="X218" i="1"/>
  <c r="AA211" i="1"/>
  <c r="AA210" i="1"/>
  <c r="T210" i="1"/>
  <c r="AG209" i="1"/>
  <c r="U209" i="1" s="1"/>
  <c r="S209" i="1" s="1"/>
  <c r="X158" i="1"/>
  <c r="X154" i="1"/>
  <c r="AI150" i="1"/>
  <c r="W144" i="1"/>
  <c r="AG143" i="1"/>
  <c r="AG141" i="1"/>
  <c r="U141" i="1" s="1"/>
  <c r="S141" i="1" s="1"/>
  <c r="X139" i="1"/>
  <c r="AG136" i="1"/>
  <c r="U136" i="1" s="1"/>
  <c r="S136" i="1" s="1"/>
  <c r="X136" i="1"/>
  <c r="AA134" i="1"/>
  <c r="AA133" i="1"/>
  <c r="AA129" i="1"/>
  <c r="X122" i="1"/>
  <c r="AG122" i="1"/>
  <c r="U122" i="1" s="1"/>
  <c r="AA117" i="1"/>
  <c r="AI41" i="1"/>
  <c r="W204" i="1"/>
  <c r="X199" i="1"/>
  <c r="U196" i="1"/>
  <c r="T192" i="1"/>
  <c r="U192" i="1" s="1"/>
  <c r="S192" i="1" s="1"/>
  <c r="W189" i="1"/>
  <c r="U188" i="1"/>
  <c r="S188" i="1" s="1"/>
  <c r="U181" i="1"/>
  <c r="S181" i="1" s="1"/>
  <c r="T176" i="1"/>
  <c r="U176" i="1" s="1"/>
  <c r="S176" i="1" s="1"/>
  <c r="U172" i="1"/>
  <c r="S172" i="1" s="1"/>
  <c r="U165" i="1"/>
  <c r="S165" i="1" s="1"/>
  <c r="T238" i="1"/>
  <c r="W235" i="1"/>
  <c r="U227" i="1"/>
  <c r="S227" i="1" s="1"/>
  <c r="T217" i="1"/>
  <c r="U217" i="1" s="1"/>
  <c r="S217" i="1" s="1"/>
  <c r="W214" i="1"/>
  <c r="U213" i="1"/>
  <c r="S213" i="1" s="1"/>
  <c r="U159" i="1"/>
  <c r="S159" i="1" s="1"/>
  <c r="AI158" i="1"/>
  <c r="U155" i="1"/>
  <c r="AI154" i="1"/>
  <c r="U151" i="1"/>
  <c r="S151" i="1" s="1"/>
  <c r="AI147" i="1"/>
  <c r="AA145" i="1"/>
  <c r="U139" i="1"/>
  <c r="S139" i="1" s="1"/>
  <c r="U137" i="1"/>
  <c r="X135" i="1"/>
  <c r="U132" i="1"/>
  <c r="S132" i="1" s="1"/>
  <c r="AI131" i="1"/>
  <c r="T129" i="1"/>
  <c r="AG129" i="1"/>
  <c r="AI126" i="1"/>
  <c r="W124" i="1"/>
  <c r="U121" i="1"/>
  <c r="S121" i="1" s="1"/>
  <c r="AI121" i="1"/>
  <c r="X118" i="1"/>
  <c r="X117" i="1"/>
  <c r="AA115" i="1"/>
  <c r="X114" i="1"/>
  <c r="AG114" i="1"/>
  <c r="AI16" i="1"/>
  <c r="AA224" i="1"/>
  <c r="W224" i="1" s="1"/>
  <c r="AA221" i="1"/>
  <c r="W221" i="1" s="1"/>
  <c r="AG206" i="1"/>
  <c r="AI206" i="1" s="1"/>
  <c r="X203" i="1"/>
  <c r="AA201" i="1"/>
  <c r="AA194" i="1"/>
  <c r="W194" i="1" s="1"/>
  <c r="X188" i="1"/>
  <c r="AG185" i="1"/>
  <c r="AA178" i="1"/>
  <c r="W178" i="1" s="1"/>
  <c r="AA177" i="1"/>
  <c r="W177" i="1" s="1"/>
  <c r="X172" i="1"/>
  <c r="AG169" i="1"/>
  <c r="U169" i="1" s="1"/>
  <c r="AA162" i="1"/>
  <c r="W162" i="1" s="1"/>
  <c r="AA161" i="1"/>
  <c r="X234" i="1"/>
  <c r="AG231" i="1"/>
  <c r="AA219" i="1"/>
  <c r="W219" i="1" s="1"/>
  <c r="AA218" i="1"/>
  <c r="W218" i="1" s="1"/>
  <c r="X213" i="1"/>
  <c r="AG210" i="1"/>
  <c r="T157" i="1"/>
  <c r="U157" i="1" s="1"/>
  <c r="S157" i="1" s="1"/>
  <c r="T153" i="1"/>
  <c r="X144" i="1"/>
  <c r="AA142" i="1"/>
  <c r="AA141" i="1"/>
  <c r="W141" i="1" s="1"/>
  <c r="AA136" i="1"/>
  <c r="U135" i="1"/>
  <c r="S135" i="1" s="1"/>
  <c r="AG133" i="1"/>
  <c r="X131" i="1"/>
  <c r="AI117" i="1"/>
  <c r="T115" i="1"/>
  <c r="AG115" i="1"/>
  <c r="AI115" i="1" s="1"/>
  <c r="AI57" i="1"/>
  <c r="U112" i="1"/>
  <c r="S112" i="1" s="1"/>
  <c r="T110" i="1"/>
  <c r="AA109" i="1"/>
  <c r="W108" i="1"/>
  <c r="T106" i="1"/>
  <c r="AA105" i="1"/>
  <c r="T102" i="1"/>
  <c r="AA101" i="1"/>
  <c r="W100" i="1"/>
  <c r="T98" i="1"/>
  <c r="AA97" i="1"/>
  <c r="T94" i="1"/>
  <c r="U94" i="1" s="1"/>
  <c r="S94" i="1" s="1"/>
  <c r="AA93" i="1"/>
  <c r="W88" i="1"/>
  <c r="AA83" i="1"/>
  <c r="U73" i="1"/>
  <c r="S73" i="1" s="1"/>
  <c r="T69" i="1"/>
  <c r="U69" i="1" s="1"/>
  <c r="S69" i="1" s="1"/>
  <c r="AA68" i="1"/>
  <c r="W68" i="1" s="1"/>
  <c r="T68" i="1"/>
  <c r="W67" i="1"/>
  <c r="T65" i="1"/>
  <c r="U65" i="1" s="1"/>
  <c r="S65" i="1" s="1"/>
  <c r="AA64" i="1"/>
  <c r="W64" i="1" s="1"/>
  <c r="T64" i="1"/>
  <c r="W63" i="1"/>
  <c r="X58" i="1"/>
  <c r="X57" i="1"/>
  <c r="X56" i="1"/>
  <c r="X41" i="1"/>
  <c r="X36" i="1"/>
  <c r="X34" i="1"/>
  <c r="T33" i="1"/>
  <c r="X28" i="1"/>
  <c r="X24" i="1"/>
  <c r="X16" i="1"/>
  <c r="X110" i="1"/>
  <c r="X106" i="1"/>
  <c r="X102" i="1"/>
  <c r="X98" i="1"/>
  <c r="X94" i="1"/>
  <c r="T86" i="1"/>
  <c r="T77" i="1"/>
  <c r="AA62" i="1"/>
  <c r="T62" i="1"/>
  <c r="U62" i="1" s="1"/>
  <c r="S62" i="1" s="1"/>
  <c r="T61" i="1"/>
  <c r="AA60" i="1"/>
  <c r="W60" i="1" s="1"/>
  <c r="T60" i="1"/>
  <c r="T48" i="1"/>
  <c r="U48" i="1" s="1"/>
  <c r="S48" i="1" s="1"/>
  <c r="U45" i="1"/>
  <c r="S45" i="1" s="1"/>
  <c r="T44" i="1"/>
  <c r="W41" i="1"/>
  <c r="T32" i="1"/>
  <c r="AA26" i="1"/>
  <c r="T25" i="1"/>
  <c r="AG17" i="1"/>
  <c r="AI17" i="1" s="1"/>
  <c r="X17" i="1"/>
  <c r="X126" i="1"/>
  <c r="AA120" i="1"/>
  <c r="AA119" i="1"/>
  <c r="W119" i="1" s="1"/>
  <c r="AG110" i="1"/>
  <c r="X109" i="1"/>
  <c r="AG106" i="1"/>
  <c r="W106" i="1" s="1"/>
  <c r="X105" i="1"/>
  <c r="AG102" i="1"/>
  <c r="X101" i="1"/>
  <c r="AG98" i="1"/>
  <c r="W98" i="1" s="1"/>
  <c r="X97" i="1"/>
  <c r="AA92" i="1"/>
  <c r="W92" i="1" s="1"/>
  <c r="AI90" i="1"/>
  <c r="AA89" i="1"/>
  <c r="AG86" i="1"/>
  <c r="X83" i="1"/>
  <c r="AG81" i="1"/>
  <c r="AI81" i="1" s="1"/>
  <c r="AG77" i="1"/>
  <c r="AG75" i="1"/>
  <c r="X68" i="1"/>
  <c r="X64" i="1"/>
  <c r="U61" i="1"/>
  <c r="S61" i="1" s="1"/>
  <c r="T57" i="1"/>
  <c r="U57" i="1" s="1"/>
  <c r="S57" i="1" s="1"/>
  <c r="X45" i="1"/>
  <c r="AG43" i="1"/>
  <c r="W43" i="1" s="1"/>
  <c r="T41" i="1"/>
  <c r="U41" i="1" s="1"/>
  <c r="S41" i="1" s="1"/>
  <c r="AA37" i="1"/>
  <c r="T36" i="1"/>
  <c r="U36" i="1" s="1"/>
  <c r="S36" i="1" s="1"/>
  <c r="AG33" i="1"/>
  <c r="AI33" i="1" s="1"/>
  <c r="AA29" i="1"/>
  <c r="T28" i="1"/>
  <c r="T24" i="1"/>
  <c r="T16" i="1"/>
  <c r="U16" i="1" s="1"/>
  <c r="S16" i="1" s="1"/>
  <c r="AA14" i="1"/>
  <c r="X95" i="1"/>
  <c r="AA91" i="1"/>
  <c r="T91" i="1"/>
  <c r="U91" i="1" s="1"/>
  <c r="S91" i="1" s="1"/>
  <c r="X90" i="1"/>
  <c r="X87" i="1"/>
  <c r="AA84" i="1"/>
  <c r="AA82" i="1"/>
  <c r="W82" i="1" s="1"/>
  <c r="AA80" i="1"/>
  <c r="T80" i="1"/>
  <c r="X78" i="1"/>
  <c r="X76" i="1"/>
  <c r="AA74" i="1"/>
  <c r="T74" i="1"/>
  <c r="U74" i="1" s="1"/>
  <c r="S74" i="1" s="1"/>
  <c r="AA72" i="1"/>
  <c r="T72" i="1"/>
  <c r="X70" i="1"/>
  <c r="X66" i="1"/>
  <c r="X62" i="1"/>
  <c r="X60" i="1"/>
  <c r="AG55" i="1"/>
  <c r="AI55" i="1" s="1"/>
  <c r="AA54" i="1"/>
  <c r="W54" i="1" s="1"/>
  <c r="T54" i="1"/>
  <c r="AA52" i="1"/>
  <c r="W52" i="1" s="1"/>
  <c r="T52" i="1"/>
  <c r="AA51" i="1"/>
  <c r="W51" i="1" s="1"/>
  <c r="X48" i="1"/>
  <c r="AG46" i="1"/>
  <c r="AI45" i="1"/>
  <c r="X44" i="1"/>
  <c r="AA42" i="1"/>
  <c r="W42" i="1" s="1"/>
  <c r="T42" i="1"/>
  <c r="T40" i="1"/>
  <c r="U40" i="1" s="1"/>
  <c r="S40" i="1" s="1"/>
  <c r="AA38" i="1"/>
  <c r="T38" i="1"/>
  <c r="AG37" i="1"/>
  <c r="AI37" i="1" s="1"/>
  <c r="X32" i="1"/>
  <c r="AG29" i="1"/>
  <c r="AI29" i="1" s="1"/>
  <c r="AG25" i="1"/>
  <c r="AI25" i="1" s="1"/>
  <c r="AA21" i="1"/>
  <c r="W21" i="1" s="1"/>
  <c r="T20" i="1"/>
  <c r="U20" i="1" s="1"/>
  <c r="S20" i="1" s="1"/>
  <c r="AA18" i="1"/>
  <c r="AA17" i="1"/>
  <c r="W17" i="1" s="1"/>
  <c r="AI225" i="1"/>
  <c r="U203" i="1"/>
  <c r="S203" i="1" s="1"/>
  <c r="U202" i="1"/>
  <c r="S202" i="1" s="1"/>
  <c r="AI223" i="1"/>
  <c r="U224" i="1"/>
  <c r="S224" i="1" s="1"/>
  <c r="W199" i="1"/>
  <c r="U221" i="1"/>
  <c r="S221" i="1" s="1"/>
  <c r="U204" i="1"/>
  <c r="S204" i="1" s="1"/>
  <c r="U200" i="1"/>
  <c r="S200" i="1" s="1"/>
  <c r="AI196" i="1"/>
  <c r="AI180" i="1"/>
  <c r="AI164" i="1"/>
  <c r="AG222" i="1"/>
  <c r="AI222" i="1" s="1"/>
  <c r="AG205" i="1"/>
  <c r="AG201" i="1"/>
  <c r="S196" i="1"/>
  <c r="X195" i="1"/>
  <c r="T194" i="1"/>
  <c r="U194" i="1" s="1"/>
  <c r="S194" i="1" s="1"/>
  <c r="X194" i="1"/>
  <c r="AA193" i="1"/>
  <c r="W193" i="1" s="1"/>
  <c r="AI184" i="1"/>
  <c r="AI168" i="1"/>
  <c r="W157" i="1"/>
  <c r="W153" i="1"/>
  <c r="X222" i="1"/>
  <c r="X205" i="1"/>
  <c r="X201" i="1"/>
  <c r="AI204" i="1"/>
  <c r="AI188" i="1"/>
  <c r="AI172" i="1"/>
  <c r="AI157" i="1"/>
  <c r="AI153" i="1"/>
  <c r="U153" i="1"/>
  <c r="S153" i="1" s="1"/>
  <c r="X223" i="1"/>
  <c r="X206" i="1"/>
  <c r="X202" i="1"/>
  <c r="X198" i="1"/>
  <c r="U195" i="1"/>
  <c r="S195" i="1" s="1"/>
  <c r="AI219" i="1"/>
  <c r="W170" i="1"/>
  <c r="AI192" i="1"/>
  <c r="AI176" i="1"/>
  <c r="W211" i="1"/>
  <c r="AI160" i="1"/>
  <c r="AI156" i="1"/>
  <c r="AI152" i="1"/>
  <c r="AG191" i="1"/>
  <c r="X190" i="1"/>
  <c r="T190" i="1"/>
  <c r="U190" i="1" s="1"/>
  <c r="S190" i="1" s="1"/>
  <c r="AI215" i="1"/>
  <c r="AG187" i="1"/>
  <c r="AI187" i="1" s="1"/>
  <c r="X186" i="1"/>
  <c r="T186" i="1"/>
  <c r="U186" i="1" s="1"/>
  <c r="S186" i="1" s="1"/>
  <c r="AI211" i="1"/>
  <c r="AG183" i="1"/>
  <c r="X182" i="1"/>
  <c r="T182" i="1"/>
  <c r="U182" i="1" s="1"/>
  <c r="S182" i="1" s="1"/>
  <c r="AI207" i="1"/>
  <c r="AG179" i="1"/>
  <c r="X178" i="1"/>
  <c r="T178" i="1"/>
  <c r="U178" i="1" s="1"/>
  <c r="S178" i="1" s="1"/>
  <c r="AI203" i="1"/>
  <c r="S177" i="1"/>
  <c r="AG175" i="1"/>
  <c r="W175" i="1" s="1"/>
  <c r="X174" i="1"/>
  <c r="T174" i="1"/>
  <c r="U174" i="1" s="1"/>
  <c r="S174" i="1" s="1"/>
  <c r="AI199" i="1"/>
  <c r="AG171" i="1"/>
  <c r="AI171" i="1" s="1"/>
  <c r="X170" i="1"/>
  <c r="T170" i="1"/>
  <c r="U170" i="1" s="1"/>
  <c r="S170" i="1" s="1"/>
  <c r="AI195" i="1"/>
  <c r="S169" i="1"/>
  <c r="AG167" i="1"/>
  <c r="X166" i="1"/>
  <c r="T166" i="1"/>
  <c r="U166" i="1" s="1"/>
  <c r="S166" i="1" s="1"/>
  <c r="AI191" i="1"/>
  <c r="AG163" i="1"/>
  <c r="W163" i="1" s="1"/>
  <c r="X162" i="1"/>
  <c r="T162" i="1"/>
  <c r="U162" i="1" s="1"/>
  <c r="S162" i="1" s="1"/>
  <c r="AG237" i="1"/>
  <c r="W237" i="1" s="1"/>
  <c r="X236" i="1"/>
  <c r="T236" i="1"/>
  <c r="U236" i="1" s="1"/>
  <c r="S236" i="1" s="1"/>
  <c r="AI183" i="1"/>
  <c r="S235" i="1"/>
  <c r="AG233" i="1"/>
  <c r="AI233" i="1" s="1"/>
  <c r="X232" i="1"/>
  <c r="T232" i="1"/>
  <c r="U232" i="1" s="1"/>
  <c r="S232" i="1" s="1"/>
  <c r="AG229" i="1"/>
  <c r="AI229" i="1" s="1"/>
  <c r="X228" i="1"/>
  <c r="T228" i="1"/>
  <c r="U228" i="1" s="1"/>
  <c r="S228" i="1" s="1"/>
  <c r="AI175" i="1"/>
  <c r="AG220" i="1"/>
  <c r="AI220" i="1" s="1"/>
  <c r="X219" i="1"/>
  <c r="T219" i="1"/>
  <c r="U219" i="1" s="1"/>
  <c r="S219" i="1" s="1"/>
  <c r="AG216" i="1"/>
  <c r="W216" i="1" s="1"/>
  <c r="X215" i="1"/>
  <c r="T215" i="1"/>
  <c r="U215" i="1" s="1"/>
  <c r="S215" i="1" s="1"/>
  <c r="AI167" i="1"/>
  <c r="AG212" i="1"/>
  <c r="AI212" i="1" s="1"/>
  <c r="X211" i="1"/>
  <c r="T211" i="1"/>
  <c r="U211" i="1" s="1"/>
  <c r="S211" i="1" s="1"/>
  <c r="AG208" i="1"/>
  <c r="AI208" i="1" s="1"/>
  <c r="X160" i="1"/>
  <c r="T160" i="1"/>
  <c r="U160" i="1" s="1"/>
  <c r="S160" i="1" s="1"/>
  <c r="X156" i="1"/>
  <c r="T156" i="1"/>
  <c r="U156" i="1" s="1"/>
  <c r="S156" i="1" s="1"/>
  <c r="AI155" i="1"/>
  <c r="X152" i="1"/>
  <c r="T152" i="1"/>
  <c r="U152" i="1" s="1"/>
  <c r="S152" i="1" s="1"/>
  <c r="AI151" i="1"/>
  <c r="X150" i="1"/>
  <c r="T149" i="1"/>
  <c r="X149" i="1"/>
  <c r="X191" i="1"/>
  <c r="X187" i="1"/>
  <c r="X183" i="1"/>
  <c r="X179" i="1"/>
  <c r="X175" i="1"/>
  <c r="X171" i="1"/>
  <c r="X167" i="1"/>
  <c r="X163" i="1"/>
  <c r="X237" i="1"/>
  <c r="X233" i="1"/>
  <c r="X229" i="1"/>
  <c r="X220" i="1"/>
  <c r="X216" i="1"/>
  <c r="X212" i="1"/>
  <c r="X208" i="1"/>
  <c r="X157" i="1"/>
  <c r="X153" i="1"/>
  <c r="AG149" i="1"/>
  <c r="X147" i="1"/>
  <c r="T146" i="1"/>
  <c r="X146" i="1"/>
  <c r="AG146" i="1"/>
  <c r="U133" i="1"/>
  <c r="S133" i="1" s="1"/>
  <c r="X151" i="1"/>
  <c r="T150" i="1"/>
  <c r="U150" i="1" s="1"/>
  <c r="S150" i="1" s="1"/>
  <c r="AA148" i="1"/>
  <c r="U148" i="1"/>
  <c r="S148" i="1" s="1"/>
  <c r="U124" i="1"/>
  <c r="X145" i="1"/>
  <c r="AI144" i="1"/>
  <c r="S144" i="1"/>
  <c r="AG142" i="1"/>
  <c r="W142" i="1" s="1"/>
  <c r="X141" i="1"/>
  <c r="AI140" i="1"/>
  <c r="AG138" i="1"/>
  <c r="X137" i="1"/>
  <c r="AG134" i="1"/>
  <c r="W134" i="1" s="1"/>
  <c r="X133" i="1"/>
  <c r="AI132" i="1"/>
  <c r="AG130" i="1"/>
  <c r="W130" i="1" s="1"/>
  <c r="X129" i="1"/>
  <c r="AI128" i="1"/>
  <c r="AG125" i="1"/>
  <c r="W125" i="1" s="1"/>
  <c r="S122" i="1"/>
  <c r="AG120" i="1"/>
  <c r="W120" i="1" s="1"/>
  <c r="X119" i="1"/>
  <c r="AI118" i="1"/>
  <c r="AG116" i="1"/>
  <c r="W116" i="1" s="1"/>
  <c r="X115" i="1"/>
  <c r="AI91" i="1"/>
  <c r="X142" i="1"/>
  <c r="T142" i="1"/>
  <c r="AI141" i="1"/>
  <c r="X138" i="1"/>
  <c r="T138" i="1"/>
  <c r="AI137" i="1"/>
  <c r="S137" i="1"/>
  <c r="X134" i="1"/>
  <c r="T134" i="1"/>
  <c r="AI133" i="1"/>
  <c r="X130" i="1"/>
  <c r="T130" i="1"/>
  <c r="AI129" i="1"/>
  <c r="X125" i="1"/>
  <c r="T125" i="1"/>
  <c r="AI124" i="1"/>
  <c r="S124" i="1"/>
  <c r="X120" i="1"/>
  <c r="T120" i="1"/>
  <c r="AI119" i="1"/>
  <c r="X116" i="1"/>
  <c r="U113" i="1"/>
  <c r="S113" i="1" s="1"/>
  <c r="W111" i="1"/>
  <c r="W107" i="1"/>
  <c r="W103" i="1"/>
  <c r="X113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AI95" i="1"/>
  <c r="U87" i="1"/>
  <c r="S87" i="1" s="1"/>
  <c r="AI87" i="1"/>
  <c r="W91" i="1"/>
  <c r="U104" i="1"/>
  <c r="S104" i="1" s="1"/>
  <c r="U100" i="1"/>
  <c r="S100" i="1" s="1"/>
  <c r="U96" i="1"/>
  <c r="S96" i="1" s="1"/>
  <c r="U92" i="1"/>
  <c r="S92" i="1" s="1"/>
  <c r="U88" i="1"/>
  <c r="S88" i="1" s="1"/>
  <c r="U80" i="1"/>
  <c r="S80" i="1" s="1"/>
  <c r="AI80" i="1"/>
  <c r="AI74" i="1"/>
  <c r="U72" i="1"/>
  <c r="S72" i="1" s="1"/>
  <c r="AI72" i="1"/>
  <c r="AI54" i="1"/>
  <c r="U54" i="1"/>
  <c r="S54" i="1" s="1"/>
  <c r="U52" i="1"/>
  <c r="S52" i="1" s="1"/>
  <c r="AI52" i="1"/>
  <c r="X112" i="1"/>
  <c r="AG109" i="1"/>
  <c r="W109" i="1" s="1"/>
  <c r="X108" i="1"/>
  <c r="AG105" i="1"/>
  <c r="X104" i="1"/>
  <c r="AG101" i="1"/>
  <c r="X100" i="1"/>
  <c r="AG97" i="1"/>
  <c r="X96" i="1"/>
  <c r="AG93" i="1"/>
  <c r="W93" i="1" s="1"/>
  <c r="X92" i="1"/>
  <c r="AG89" i="1"/>
  <c r="X88" i="1"/>
  <c r="AG85" i="1"/>
  <c r="W85" i="1" s="1"/>
  <c r="X84" i="1"/>
  <c r="T82" i="1"/>
  <c r="U81" i="1"/>
  <c r="S81" i="1" s="1"/>
  <c r="W76" i="1"/>
  <c r="W70" i="1"/>
  <c r="U68" i="1"/>
  <c r="S68" i="1" s="1"/>
  <c r="AI68" i="1"/>
  <c r="W66" i="1"/>
  <c r="U64" i="1"/>
  <c r="S64" i="1" s="1"/>
  <c r="AI64" i="1"/>
  <c r="W62" i="1"/>
  <c r="X93" i="1"/>
  <c r="T93" i="1"/>
  <c r="X89" i="1"/>
  <c r="T89" i="1"/>
  <c r="X85" i="1"/>
  <c r="AI82" i="1"/>
  <c r="U82" i="1"/>
  <c r="S82" i="1" s="1"/>
  <c r="AI78" i="1"/>
  <c r="U76" i="1"/>
  <c r="S76" i="1" s="1"/>
  <c r="AI76" i="1"/>
  <c r="AI70" i="1"/>
  <c r="U70" i="1"/>
  <c r="S70" i="1" s="1"/>
  <c r="AI66" i="1"/>
  <c r="U66" i="1"/>
  <c r="S66" i="1" s="1"/>
  <c r="AI62" i="1"/>
  <c r="U60" i="1"/>
  <c r="S60" i="1" s="1"/>
  <c r="AI60" i="1"/>
  <c r="W58" i="1"/>
  <c r="AG83" i="1"/>
  <c r="W83" i="1" s="1"/>
  <c r="X82" i="1"/>
  <c r="W80" i="1"/>
  <c r="W74" i="1"/>
  <c r="W72" i="1"/>
  <c r="AI58" i="1"/>
  <c r="U58" i="1"/>
  <c r="S58" i="1" s="1"/>
  <c r="AI56" i="1"/>
  <c r="X81" i="1"/>
  <c r="X69" i="1"/>
  <c r="X65" i="1"/>
  <c r="AA50" i="1"/>
  <c r="W48" i="1"/>
  <c r="AI42" i="1"/>
  <c r="U42" i="1"/>
  <c r="S42" i="1" s="1"/>
  <c r="AI38" i="1"/>
  <c r="W32" i="1"/>
  <c r="U67" i="1"/>
  <c r="S67" i="1" s="1"/>
  <c r="U63" i="1"/>
  <c r="S63" i="1" s="1"/>
  <c r="U59" i="1"/>
  <c r="S59" i="1" s="1"/>
  <c r="U55" i="1"/>
  <c r="S55" i="1" s="1"/>
  <c r="U51" i="1"/>
  <c r="S51" i="1" s="1"/>
  <c r="AI48" i="1"/>
  <c r="U44" i="1"/>
  <c r="S44" i="1" s="1"/>
  <c r="AI44" i="1"/>
  <c r="W36" i="1"/>
  <c r="U32" i="1"/>
  <c r="S32" i="1" s="1"/>
  <c r="AI32" i="1"/>
  <c r="W24" i="1"/>
  <c r="X79" i="1"/>
  <c r="X75" i="1"/>
  <c r="X71" i="1"/>
  <c r="X67" i="1"/>
  <c r="X63" i="1"/>
  <c r="X59" i="1"/>
  <c r="X55" i="1"/>
  <c r="X51" i="1"/>
  <c r="W40" i="1"/>
  <c r="AI36" i="1"/>
  <c r="W34" i="1"/>
  <c r="U28" i="1"/>
  <c r="S28" i="1" s="1"/>
  <c r="AI28" i="1"/>
  <c r="U24" i="1"/>
  <c r="S24" i="1" s="1"/>
  <c r="AI24" i="1"/>
  <c r="W20" i="1"/>
  <c r="AI40" i="1"/>
  <c r="AI34" i="1"/>
  <c r="U34" i="1"/>
  <c r="S34" i="1" s="1"/>
  <c r="AI20" i="1"/>
  <c r="U37" i="1"/>
  <c r="S37" i="1" s="1"/>
  <c r="U33" i="1"/>
  <c r="S33" i="1" s="1"/>
  <c r="U29" i="1"/>
  <c r="S29" i="1" s="1"/>
  <c r="U25" i="1"/>
  <c r="S25" i="1" s="1"/>
  <c r="U21" i="1"/>
  <c r="S21" i="1" s="1"/>
  <c r="U46" i="1"/>
  <c r="S46" i="1" s="1"/>
  <c r="AG30" i="1"/>
  <c r="W30" i="1" s="1"/>
  <c r="AG26" i="1"/>
  <c r="AG22" i="1"/>
  <c r="AG18" i="1"/>
  <c r="AG14" i="1"/>
  <c r="AG47" i="1"/>
  <c r="AG39" i="1"/>
  <c r="W39" i="1" s="1"/>
  <c r="AG35" i="1"/>
  <c r="AG31" i="1"/>
  <c r="X30" i="1"/>
  <c r="AG27" i="1"/>
  <c r="X26" i="1"/>
  <c r="AG23" i="1"/>
  <c r="X22" i="1"/>
  <c r="AG19" i="1"/>
  <c r="W19" i="1" s="1"/>
  <c r="X18" i="1"/>
  <c r="AG15" i="1"/>
  <c r="W15" i="1" s="1"/>
  <c r="X47" i="1"/>
  <c r="AI46" i="1"/>
  <c r="X43" i="1"/>
  <c r="X39" i="1"/>
  <c r="X35" i="1"/>
  <c r="X31" i="1"/>
  <c r="X27" i="1"/>
  <c r="X23" i="1"/>
  <c r="X19" i="1"/>
  <c r="X15" i="1"/>
  <c r="AD23" i="3"/>
  <c r="AD21" i="3"/>
  <c r="AD19" i="3"/>
  <c r="AD12" i="3"/>
  <c r="Y36" i="3"/>
  <c r="Y56" i="3"/>
  <c r="Y25" i="3"/>
  <c r="Y18" i="3"/>
  <c r="AD36" i="3"/>
  <c r="AD29" i="3"/>
  <c r="AE23" i="3"/>
  <c r="AD20" i="3"/>
  <c r="AD17" i="3"/>
  <c r="Y43" i="3"/>
  <c r="Y44" i="3"/>
  <c r="AD9" i="3"/>
  <c r="Y7" i="3"/>
  <c r="Y17" i="3"/>
  <c r="Y55" i="3"/>
  <c r="Y54" i="3"/>
  <c r="Y48" i="3"/>
  <c r="Y29" i="3"/>
  <c r="AD25" i="3"/>
  <c r="Y8" i="3"/>
  <c r="Y28" i="3"/>
  <c r="Y53" i="3"/>
  <c r="AE11" i="3"/>
  <c r="AD8" i="3"/>
  <c r="AC11" i="3"/>
  <c r="AE19" i="3"/>
  <c r="AD15" i="3"/>
  <c r="AE15" i="3"/>
  <c r="AD13" i="3"/>
  <c r="Y16" i="3"/>
  <c r="AE46" i="3"/>
  <c r="Y19" i="3"/>
  <c r="T7" i="3"/>
  <c r="AD51" i="3"/>
  <c r="Y35" i="3"/>
  <c r="AD46" i="3"/>
  <c r="AC15" i="3"/>
  <c r="Y57" i="3"/>
  <c r="T49" i="3"/>
  <c r="AD35" i="3"/>
  <c r="AD31" i="3"/>
  <c r="Y39" i="3"/>
  <c r="AD27" i="3"/>
  <c r="AC9" i="3"/>
  <c r="Y45" i="3"/>
  <c r="T8" i="3"/>
  <c r="AD16" i="3"/>
  <c r="Y38" i="3"/>
  <c r="AD11" i="3"/>
  <c r="AC42" i="3"/>
  <c r="AE38" i="3"/>
  <c r="Y49" i="3"/>
  <c r="AD59" i="3"/>
  <c r="AC52" i="3"/>
  <c r="AD43" i="3"/>
  <c r="AC26" i="3"/>
  <c r="AD24" i="3"/>
  <c r="AC32" i="3"/>
  <c r="Y51" i="3"/>
  <c r="AE49" i="3"/>
  <c r="T21" i="3"/>
  <c r="AE37" i="3"/>
  <c r="T54" i="3"/>
  <c r="AE33" i="3"/>
  <c r="T40" i="3"/>
  <c r="AE30" i="3"/>
  <c r="T20" i="3"/>
  <c r="AE26" i="3"/>
  <c r="T46" i="3"/>
  <c r="AE22" i="3"/>
  <c r="T33" i="3"/>
  <c r="AE18" i="3"/>
  <c r="T28" i="3"/>
  <c r="AE14" i="3"/>
  <c r="T22" i="3"/>
  <c r="AE10" i="3"/>
  <c r="T59" i="3"/>
  <c r="AE53" i="3"/>
  <c r="T24" i="3"/>
  <c r="AE45" i="3"/>
  <c r="T50" i="3"/>
  <c r="AD57" i="3"/>
  <c r="AE52" i="3"/>
  <c r="T52" i="3"/>
  <c r="AD49" i="3"/>
  <c r="AE44" i="3"/>
  <c r="T15" i="3"/>
  <c r="AE40" i="3"/>
  <c r="T41" i="3"/>
  <c r="AD37" i="3"/>
  <c r="AE36" i="3"/>
  <c r="T26" i="3"/>
  <c r="AD33" i="3"/>
  <c r="AE32" i="3"/>
  <c r="T34" i="3"/>
  <c r="AD30" i="3"/>
  <c r="AE29" i="3"/>
  <c r="T27" i="3"/>
  <c r="AD26" i="3"/>
  <c r="AE25" i="3"/>
  <c r="T9" i="3"/>
  <c r="AD22" i="3"/>
  <c r="AE21" i="3"/>
  <c r="T11" i="3"/>
  <c r="AD18" i="3"/>
  <c r="AE17" i="3"/>
  <c r="T32" i="3"/>
  <c r="AD14" i="3"/>
  <c r="AE13" i="3"/>
  <c r="T43" i="3"/>
  <c r="AD10" i="3"/>
  <c r="AE9" i="3"/>
  <c r="T42" i="3"/>
  <c r="AE57" i="3"/>
  <c r="T37" i="3"/>
  <c r="AE41" i="3"/>
  <c r="T25" i="3"/>
  <c r="Y34" i="3"/>
  <c r="AE56" i="3"/>
  <c r="AD53" i="3"/>
  <c r="AE48" i="3"/>
  <c r="T56" i="3"/>
  <c r="AD45" i="3"/>
  <c r="AD41" i="3"/>
  <c r="AE59" i="3"/>
  <c r="AE55" i="3"/>
  <c r="AE51" i="3"/>
  <c r="AE47" i="3"/>
  <c r="AE43" i="3"/>
  <c r="AE39" i="3"/>
  <c r="AE35" i="3"/>
  <c r="AE31" i="3"/>
  <c r="AE28" i="3"/>
  <c r="AE24" i="3"/>
  <c r="AE20" i="3"/>
  <c r="AE16" i="3"/>
  <c r="AE12" i="3"/>
  <c r="AE8" i="3"/>
  <c r="S58" i="3"/>
  <c r="M58" i="3"/>
  <c r="R58" i="3"/>
  <c r="U58" i="3"/>
  <c r="V58" i="3"/>
  <c r="W58" i="3"/>
  <c r="X58" i="3"/>
  <c r="W205" i="1" l="1"/>
  <c r="W145" i="1"/>
  <c r="W173" i="1"/>
  <c r="U168" i="1"/>
  <c r="S168" i="1" s="1"/>
  <c r="W200" i="1"/>
  <c r="W95" i="1"/>
  <c r="U17" i="1"/>
  <c r="S17" i="1" s="1"/>
  <c r="U50" i="1"/>
  <c r="S50" i="1" s="1"/>
  <c r="W50" i="1"/>
  <c r="U108" i="1"/>
  <c r="S108" i="1" s="1"/>
  <c r="AI122" i="1"/>
  <c r="AI136" i="1"/>
  <c r="W148" i="1"/>
  <c r="W179" i="1"/>
  <c r="U225" i="1"/>
  <c r="S225" i="1" s="1"/>
  <c r="U231" i="1"/>
  <c r="S231" i="1" s="1"/>
  <c r="U185" i="1"/>
  <c r="S185" i="1" s="1"/>
  <c r="U238" i="1"/>
  <c r="S238" i="1" s="1"/>
  <c r="W118" i="1"/>
  <c r="W113" i="1"/>
  <c r="U84" i="1"/>
  <c r="S84" i="1" s="1"/>
  <c r="U115" i="1"/>
  <c r="S115" i="1" s="1"/>
  <c r="AI145" i="1"/>
  <c r="W201" i="1"/>
  <c r="U206" i="1"/>
  <c r="S206" i="1" s="1"/>
  <c r="W38" i="1"/>
  <c r="AI49" i="1"/>
  <c r="W84" i="1"/>
  <c r="W136" i="1"/>
  <c r="W161" i="1"/>
  <c r="W117" i="1"/>
  <c r="U184" i="1"/>
  <c r="S184" i="1" s="1"/>
  <c r="W198" i="1"/>
  <c r="AI123" i="1"/>
  <c r="U123" i="1"/>
  <c r="S123" i="1" s="1"/>
  <c r="AE58" i="3"/>
  <c r="W123" i="1"/>
  <c r="W37" i="1"/>
  <c r="W55" i="1"/>
  <c r="W128" i="1"/>
  <c r="W226" i="1"/>
  <c r="U214" i="1"/>
  <c r="S214" i="1" s="1"/>
  <c r="AI214" i="1"/>
  <c r="U79" i="1"/>
  <c r="S79" i="1" s="1"/>
  <c r="AI79" i="1"/>
  <c r="W53" i="1"/>
  <c r="W73" i="1"/>
  <c r="W202" i="1"/>
  <c r="AI163" i="1"/>
  <c r="AI179" i="1"/>
  <c r="W29" i="1"/>
  <c r="U75" i="1"/>
  <c r="S75" i="1" s="1"/>
  <c r="AI75" i="1"/>
  <c r="U102" i="1"/>
  <c r="S102" i="1" s="1"/>
  <c r="AI102" i="1"/>
  <c r="U110" i="1"/>
  <c r="S110" i="1" s="1"/>
  <c r="AI110" i="1"/>
  <c r="W110" i="1"/>
  <c r="U143" i="1"/>
  <c r="S143" i="1" s="1"/>
  <c r="AI143" i="1"/>
  <c r="U230" i="1"/>
  <c r="S230" i="1" s="1"/>
  <c r="AI230" i="1"/>
  <c r="W185" i="1"/>
  <c r="W230" i="1"/>
  <c r="W209" i="1"/>
  <c r="W206" i="1"/>
  <c r="U43" i="1"/>
  <c r="S43" i="1" s="1"/>
  <c r="AI43" i="1"/>
  <c r="U77" i="1"/>
  <c r="S77" i="1" s="1"/>
  <c r="AI77" i="1"/>
  <c r="U86" i="1"/>
  <c r="S86" i="1" s="1"/>
  <c r="AI86" i="1"/>
  <c r="W33" i="1"/>
  <c r="U114" i="1"/>
  <c r="S114" i="1" s="1"/>
  <c r="AI114" i="1"/>
  <c r="W114" i="1"/>
  <c r="W129" i="1"/>
  <c r="W169" i="1"/>
  <c r="W184" i="1"/>
  <c r="W25" i="1"/>
  <c r="U98" i="1"/>
  <c r="AI98" i="1"/>
  <c r="U106" i="1"/>
  <c r="S106" i="1" s="1"/>
  <c r="AI106" i="1"/>
  <c r="U210" i="1"/>
  <c r="S210" i="1" s="1"/>
  <c r="AI210" i="1"/>
  <c r="W133" i="1"/>
  <c r="U218" i="1"/>
  <c r="S218" i="1" s="1"/>
  <c r="AI218" i="1"/>
  <c r="W231" i="1"/>
  <c r="U198" i="1"/>
  <c r="S198" i="1" s="1"/>
  <c r="AI198" i="1"/>
  <c r="W102" i="1"/>
  <c r="W143" i="1"/>
  <c r="AI216" i="1"/>
  <c r="AI237" i="1"/>
  <c r="W81" i="1"/>
  <c r="W77" i="1"/>
  <c r="W115" i="1"/>
  <c r="U129" i="1"/>
  <c r="S129" i="1" s="1"/>
  <c r="W75" i="1"/>
  <c r="W210" i="1"/>
  <c r="W86" i="1"/>
  <c r="W122" i="1"/>
  <c r="W168" i="1"/>
  <c r="W225" i="1"/>
  <c r="U35" i="1"/>
  <c r="S35" i="1" s="1"/>
  <c r="AI35" i="1"/>
  <c r="AI18" i="1"/>
  <c r="U18" i="1"/>
  <c r="S18" i="1" s="1"/>
  <c r="AI89" i="1"/>
  <c r="U89" i="1"/>
  <c r="S89" i="1" s="1"/>
  <c r="AI97" i="1"/>
  <c r="U97" i="1"/>
  <c r="S97" i="1" s="1"/>
  <c r="AI105" i="1"/>
  <c r="U105" i="1"/>
  <c r="S105" i="1" s="1"/>
  <c r="W89" i="1"/>
  <c r="W105" i="1"/>
  <c r="AI165" i="1"/>
  <c r="U212" i="1"/>
  <c r="S212" i="1" s="1"/>
  <c r="AI181" i="1"/>
  <c r="U233" i="1"/>
  <c r="S233" i="1" s="1"/>
  <c r="AI197" i="1"/>
  <c r="U171" i="1"/>
  <c r="S171" i="1" s="1"/>
  <c r="AI213" i="1"/>
  <c r="U187" i="1"/>
  <c r="S187" i="1" s="1"/>
  <c r="W187" i="1"/>
  <c r="AI235" i="1"/>
  <c r="U222" i="1"/>
  <c r="S222" i="1" s="1"/>
  <c r="U27" i="1"/>
  <c r="S27" i="1"/>
  <c r="AI27" i="1"/>
  <c r="AI146" i="1"/>
  <c r="U146" i="1"/>
  <c r="S146" i="1" s="1"/>
  <c r="AI169" i="1"/>
  <c r="U216" i="1"/>
  <c r="S216" i="1" s="1"/>
  <c r="AI185" i="1"/>
  <c r="U237" i="1"/>
  <c r="S237" i="1" s="1"/>
  <c r="AI201" i="1"/>
  <c r="U175" i="1"/>
  <c r="S175" i="1" s="1"/>
  <c r="U191" i="1"/>
  <c r="S191" i="1" s="1"/>
  <c r="AI217" i="1"/>
  <c r="W212" i="1"/>
  <c r="W191" i="1"/>
  <c r="W35" i="1"/>
  <c r="U47" i="1"/>
  <c r="S47" i="1" s="1"/>
  <c r="AI47" i="1"/>
  <c r="W47" i="1"/>
  <c r="U83" i="1"/>
  <c r="S83" i="1" s="1"/>
  <c r="AI83" i="1"/>
  <c r="AI85" i="1"/>
  <c r="U85" i="1"/>
  <c r="S85" i="1" s="1"/>
  <c r="AI93" i="1"/>
  <c r="U93" i="1"/>
  <c r="S93" i="1" s="1"/>
  <c r="S101" i="1"/>
  <c r="AI101" i="1"/>
  <c r="U101" i="1"/>
  <c r="AI109" i="1"/>
  <c r="U109" i="1"/>
  <c r="S109" i="1" s="1"/>
  <c r="W97" i="1"/>
  <c r="AI173" i="1"/>
  <c r="U220" i="1"/>
  <c r="S220" i="1" s="1"/>
  <c r="AI189" i="1"/>
  <c r="U163" i="1"/>
  <c r="S163" i="1" s="1"/>
  <c r="AI205" i="1"/>
  <c r="U179" i="1"/>
  <c r="S179" i="1" s="1"/>
  <c r="W233" i="1"/>
  <c r="AI227" i="1"/>
  <c r="U201" i="1"/>
  <c r="S201" i="1" s="1"/>
  <c r="U19" i="1"/>
  <c r="S19" i="1" s="1"/>
  <c r="AI19" i="1"/>
  <c r="U39" i="1"/>
  <c r="S39" i="1" s="1"/>
  <c r="AI39" i="1"/>
  <c r="AI22" i="1"/>
  <c r="U22" i="1"/>
  <c r="S22" i="1" s="1"/>
  <c r="AI26" i="1"/>
  <c r="U26" i="1"/>
  <c r="S26" i="1" s="1"/>
  <c r="W22" i="1"/>
  <c r="U15" i="1"/>
  <c r="S15" i="1" s="1"/>
  <c r="AI15" i="1"/>
  <c r="U23" i="1"/>
  <c r="S23" i="1" s="1"/>
  <c r="AI23" i="1"/>
  <c r="U31" i="1"/>
  <c r="S31" i="1" s="1"/>
  <c r="AI31" i="1"/>
  <c r="AI14" i="1"/>
  <c r="U14" i="1"/>
  <c r="S14" i="1" s="1"/>
  <c r="AI30" i="1"/>
  <c r="U30" i="1"/>
  <c r="S30" i="1" s="1"/>
  <c r="W18" i="1"/>
  <c r="W14" i="1"/>
  <c r="W23" i="1"/>
  <c r="W27" i="1"/>
  <c r="W31" i="1"/>
  <c r="W26" i="1"/>
  <c r="W101" i="1"/>
  <c r="AI116" i="1"/>
  <c r="U116" i="1"/>
  <c r="S116" i="1" s="1"/>
  <c r="AI120" i="1"/>
  <c r="U120" i="1"/>
  <c r="S120" i="1" s="1"/>
  <c r="AI125" i="1"/>
  <c r="U125" i="1"/>
  <c r="S125" i="1" s="1"/>
  <c r="AI130" i="1"/>
  <c r="U130" i="1"/>
  <c r="S130" i="1" s="1"/>
  <c r="AI134" i="1"/>
  <c r="U134" i="1"/>
  <c r="S134" i="1" s="1"/>
  <c r="AI138" i="1"/>
  <c r="U138" i="1"/>
  <c r="S138" i="1" s="1"/>
  <c r="AI142" i="1"/>
  <c r="U142" i="1"/>
  <c r="S142" i="1" s="1"/>
  <c r="W138" i="1"/>
  <c r="AI149" i="1"/>
  <c r="W149" i="1"/>
  <c r="S149" i="1"/>
  <c r="U149" i="1"/>
  <c r="W146" i="1"/>
  <c r="AI161" i="1"/>
  <c r="U208" i="1"/>
  <c r="S208" i="1" s="1"/>
  <c r="AI177" i="1"/>
  <c r="U229" i="1"/>
  <c r="S229" i="1" s="1"/>
  <c r="AI193" i="1"/>
  <c r="U167" i="1"/>
  <c r="S167" i="1" s="1"/>
  <c r="AI209" i="1"/>
  <c r="U183" i="1"/>
  <c r="S183" i="1" s="1"/>
  <c r="W171" i="1"/>
  <c r="W208" i="1"/>
  <c r="W229" i="1"/>
  <c r="W167" i="1"/>
  <c r="W183" i="1"/>
  <c r="W220" i="1"/>
  <c r="AI231" i="1"/>
  <c r="U205" i="1"/>
  <c r="S205" i="1" s="1"/>
  <c r="W222" i="1"/>
  <c r="AC58" i="3"/>
  <c r="T58" i="3"/>
  <c r="AD58" i="3"/>
  <c r="Y58" i="3"/>
  <c r="Z13" i="1" l="1"/>
  <c r="Y13" i="1"/>
  <c r="O2" i="3" l="1"/>
  <c r="B3" i="6" l="1"/>
  <c r="M28" i="5"/>
  <c r="B4" i="6" l="1"/>
  <c r="F3" i="6"/>
  <c r="I3" i="6"/>
  <c r="G3" i="6"/>
  <c r="J3" i="6"/>
  <c r="M23" i="5"/>
  <c r="G4" i="6" l="1"/>
  <c r="I4" i="6"/>
  <c r="J4" i="6"/>
  <c r="F4" i="6"/>
  <c r="AD7" i="3"/>
  <c r="AN13" i="1"/>
  <c r="AE7" i="3" l="1"/>
  <c r="K13" i="1" l="1"/>
  <c r="M13" i="1"/>
  <c r="P13" i="1" s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5" i="6" l="1"/>
  <c r="B87" i="9"/>
  <c r="B88" i="9"/>
  <c r="B89" i="9"/>
  <c r="B90" i="9"/>
  <c r="B91" i="9"/>
  <c r="B92" i="9"/>
  <c r="B6" i="6" l="1"/>
  <c r="F5" i="6"/>
  <c r="G5" i="6"/>
  <c r="I5" i="6"/>
  <c r="J5" i="6"/>
  <c r="C88" i="9"/>
  <c r="C92" i="9"/>
  <c r="C93" i="9"/>
  <c r="C90" i="9"/>
  <c r="C89" i="9"/>
  <c r="C91" i="9"/>
  <c r="B7" i="6" l="1"/>
  <c r="G6" i="6"/>
  <c r="I6" i="6"/>
  <c r="J6" i="6"/>
  <c r="F6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7" i="6" l="1"/>
  <c r="G7" i="6"/>
  <c r="I7" i="6"/>
  <c r="J7" i="6"/>
  <c r="B8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8" i="6" l="1"/>
  <c r="F8" i="6"/>
  <c r="G8" i="6"/>
  <c r="J8" i="6"/>
  <c r="B9" i="6"/>
  <c r="B55" i="9"/>
  <c r="B56" i="9"/>
  <c r="B57" i="9"/>
  <c r="B58" i="9"/>
  <c r="B59" i="9"/>
  <c r="B60" i="9"/>
  <c r="B61" i="9"/>
  <c r="B62" i="9"/>
  <c r="C63" i="9" s="1"/>
  <c r="F9" i="6" l="1"/>
  <c r="I9" i="6"/>
  <c r="G9" i="6"/>
  <c r="J9" i="6"/>
  <c r="B10" i="6"/>
  <c r="C61" i="9"/>
  <c r="C57" i="9"/>
  <c r="C59" i="9"/>
  <c r="C62" i="9"/>
  <c r="C60" i="9"/>
  <c r="C58" i="9"/>
  <c r="C56" i="9"/>
  <c r="G10" i="6" l="1"/>
  <c r="I10" i="6"/>
  <c r="J10" i="6"/>
  <c r="F10" i="6"/>
  <c r="B11" i="6"/>
  <c r="B50" i="9"/>
  <c r="B51" i="9"/>
  <c r="B52" i="9"/>
  <c r="B53" i="9"/>
  <c r="B54" i="9"/>
  <c r="F11" i="6" l="1"/>
  <c r="G11" i="6"/>
  <c r="I11" i="6"/>
  <c r="J11" i="6"/>
  <c r="B12" i="6"/>
  <c r="C52" i="9"/>
  <c r="C54" i="9"/>
  <c r="C55" i="9"/>
  <c r="C53" i="9"/>
  <c r="C51" i="9"/>
  <c r="G12" i="6" l="1"/>
  <c r="I12" i="6"/>
  <c r="J12" i="6"/>
  <c r="F12" i="6"/>
  <c r="B13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14" i="6" l="1"/>
  <c r="F13" i="6"/>
  <c r="G13" i="6"/>
  <c r="I13" i="6"/>
  <c r="J13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14" i="6" l="1"/>
  <c r="I14" i="6"/>
  <c r="J14" i="6"/>
  <c r="F14" i="6"/>
  <c r="B15" i="6"/>
  <c r="V13" i="1"/>
  <c r="B31" i="9"/>
  <c r="B32" i="9"/>
  <c r="C33" i="9" s="1"/>
  <c r="F15" i="6" l="1"/>
  <c r="G15" i="6"/>
  <c r="I15" i="6"/>
  <c r="J15" i="6"/>
  <c r="B16" i="6"/>
  <c r="C32" i="9"/>
  <c r="G16" i="6" l="1"/>
  <c r="I16" i="6"/>
  <c r="F16" i="6"/>
  <c r="H16" i="6"/>
  <c r="J16" i="6"/>
  <c r="B17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31" i="3" s="1"/>
  <c r="G29" i="4"/>
  <c r="G30" i="4"/>
  <c r="G31" i="4"/>
  <c r="G32" i="4"/>
  <c r="G33" i="4"/>
  <c r="G34" i="4"/>
  <c r="N42" i="3" s="1"/>
  <c r="G35" i="4"/>
  <c r="G36" i="4"/>
  <c r="G37" i="4"/>
  <c r="N59" i="3" s="1"/>
  <c r="G38" i="4"/>
  <c r="G39" i="4"/>
  <c r="G40" i="4"/>
  <c r="G41" i="4"/>
  <c r="G42" i="4"/>
  <c r="G43" i="4"/>
  <c r="G44" i="4"/>
  <c r="G45" i="4"/>
  <c r="G46" i="4"/>
  <c r="G47" i="4"/>
  <c r="N44" i="3" s="1"/>
  <c r="G48" i="4"/>
  <c r="G49" i="4"/>
  <c r="G50" i="4"/>
  <c r="G51" i="4"/>
  <c r="G52" i="4"/>
  <c r="G53" i="4"/>
  <c r="G54" i="4"/>
  <c r="G55" i="4"/>
  <c r="N38" i="3" s="1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N43" i="3" s="1"/>
  <c r="G73" i="4"/>
  <c r="G74" i="4"/>
  <c r="G75" i="4"/>
  <c r="N22" i="3" s="1"/>
  <c r="G76" i="4"/>
  <c r="G77" i="4"/>
  <c r="G78" i="4"/>
  <c r="G79" i="4"/>
  <c r="G80" i="4"/>
  <c r="G81" i="4"/>
  <c r="G82" i="4"/>
  <c r="N53" i="3" s="1"/>
  <c r="G83" i="4"/>
  <c r="G84" i="4"/>
  <c r="G85" i="4"/>
  <c r="N14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N8" i="3" s="1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N45" i="3" s="1"/>
  <c r="G118" i="4"/>
  <c r="G119" i="4"/>
  <c r="G120" i="4"/>
  <c r="G121" i="4"/>
  <c r="G122" i="4"/>
  <c r="G123" i="4"/>
  <c r="G124" i="4"/>
  <c r="G125" i="4"/>
  <c r="G126" i="4"/>
  <c r="G127" i="4"/>
  <c r="N10" i="3" s="1"/>
  <c r="G128" i="4"/>
  <c r="N46" i="3" s="1"/>
  <c r="G129" i="4"/>
  <c r="G130" i="4"/>
  <c r="G131" i="4"/>
  <c r="N39" i="3" s="1"/>
  <c r="G132" i="4"/>
  <c r="G133" i="4"/>
  <c r="G134" i="4"/>
  <c r="G135" i="4"/>
  <c r="G136" i="4"/>
  <c r="G137" i="4"/>
  <c r="G138" i="4"/>
  <c r="G139" i="4"/>
  <c r="G140" i="4"/>
  <c r="N27" i="3" s="1"/>
  <c r="G141" i="4"/>
  <c r="G142" i="4"/>
  <c r="H13" i="6" s="1"/>
  <c r="G143" i="4"/>
  <c r="G144" i="4"/>
  <c r="G145" i="4"/>
  <c r="N34" i="3" s="1"/>
  <c r="G146" i="4"/>
  <c r="N29" i="3" s="1"/>
  <c r="G147" i="4"/>
  <c r="G148" i="4"/>
  <c r="N20" i="3" s="1"/>
  <c r="G149" i="4"/>
  <c r="G150" i="4"/>
  <c r="N47" i="3" s="1"/>
  <c r="G151" i="4"/>
  <c r="N40" i="3" s="1"/>
  <c r="G152" i="4"/>
  <c r="G153" i="4"/>
  <c r="G154" i="4"/>
  <c r="G155" i="4"/>
  <c r="G156" i="4"/>
  <c r="G157" i="4"/>
  <c r="G158" i="4"/>
  <c r="G159" i="4"/>
  <c r="G160" i="4"/>
  <c r="N48" i="3" s="1"/>
  <c r="G161" i="4"/>
  <c r="G162" i="4"/>
  <c r="G163" i="4"/>
  <c r="G164" i="4"/>
  <c r="G165" i="4"/>
  <c r="G166" i="4"/>
  <c r="N54" i="3" s="1"/>
  <c r="G167" i="4"/>
  <c r="G168" i="4"/>
  <c r="G169" i="4"/>
  <c r="G170" i="4"/>
  <c r="G171" i="4"/>
  <c r="N41" i="3" s="1"/>
  <c r="G172" i="4"/>
  <c r="N49" i="3" s="1"/>
  <c r="G173" i="4"/>
  <c r="N18" i="3" s="1"/>
  <c r="G174" i="4"/>
  <c r="G175" i="4"/>
  <c r="G176" i="4"/>
  <c r="N25" i="3" s="1"/>
  <c r="G177" i="4"/>
  <c r="G178" i="4"/>
  <c r="N55" i="3" s="1"/>
  <c r="G179" i="4"/>
  <c r="G180" i="4"/>
  <c r="N15" i="3" s="1"/>
  <c r="G181" i="4"/>
  <c r="G182" i="4"/>
  <c r="N57" i="3" s="1"/>
  <c r="G183" i="4"/>
  <c r="G184" i="4"/>
  <c r="G185" i="4"/>
  <c r="G186" i="4"/>
  <c r="G187" i="4"/>
  <c r="G188" i="4"/>
  <c r="G189" i="4"/>
  <c r="N35" i="3" s="1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N21" i="3" s="1"/>
  <c r="G206" i="4"/>
  <c r="G207" i="4"/>
  <c r="G208" i="4"/>
  <c r="N56" i="3" s="1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N52" i="3" s="1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N37" i="3" s="1"/>
  <c r="G243" i="4"/>
  <c r="G244" i="4"/>
  <c r="G245" i="4"/>
  <c r="G246" i="4"/>
  <c r="N19" i="3" s="1"/>
  <c r="G247" i="4"/>
  <c r="N36" i="3" s="1"/>
  <c r="G248" i="4"/>
  <c r="G249" i="4"/>
  <c r="G250" i="4"/>
  <c r="G251" i="4"/>
  <c r="G252" i="4"/>
  <c r="G253" i="4"/>
  <c r="G254" i="4"/>
  <c r="G255" i="4"/>
  <c r="G256" i="4"/>
  <c r="G257" i="4"/>
  <c r="G258" i="4"/>
  <c r="G2" i="4"/>
  <c r="N30" i="3" l="1"/>
  <c r="N16" i="3"/>
  <c r="N17" i="3"/>
  <c r="N50" i="3"/>
  <c r="N51" i="3"/>
  <c r="N13" i="3"/>
  <c r="N9" i="3"/>
  <c r="N32" i="3"/>
  <c r="N28" i="3"/>
  <c r="N7" i="3"/>
  <c r="N24" i="3"/>
  <c r="N23" i="3"/>
  <c r="N26" i="3"/>
  <c r="N12" i="3"/>
  <c r="N11" i="3"/>
  <c r="N33" i="3"/>
  <c r="N58" i="3"/>
  <c r="H4" i="6"/>
  <c r="H7" i="6"/>
  <c r="H3" i="6"/>
  <c r="H15" i="6"/>
  <c r="H10" i="6"/>
  <c r="H14" i="6"/>
  <c r="H8" i="6"/>
  <c r="H5" i="6"/>
  <c r="H6" i="6"/>
  <c r="H11" i="6"/>
  <c r="H12" i="6"/>
  <c r="H9" i="6"/>
  <c r="F17" i="6"/>
  <c r="I17" i="6"/>
  <c r="G17" i="6"/>
  <c r="H17" i="6"/>
  <c r="J17" i="6"/>
  <c r="B18" i="6"/>
  <c r="L13" i="1"/>
  <c r="G18" i="6" l="1"/>
  <c r="I18" i="6"/>
  <c r="J18" i="6"/>
  <c r="F18" i="6"/>
  <c r="H18" i="6"/>
  <c r="B19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9" i="6" l="1"/>
  <c r="G19" i="6"/>
  <c r="I19" i="6"/>
  <c r="J19" i="6"/>
  <c r="H19" i="6"/>
  <c r="B20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0" i="6" l="1"/>
  <c r="H20" i="6"/>
  <c r="J20" i="6"/>
  <c r="I20" i="6"/>
  <c r="F20" i="6"/>
  <c r="B21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22" i="6" l="1"/>
  <c r="F21" i="6"/>
  <c r="G21" i="6"/>
  <c r="I21" i="6"/>
  <c r="H21" i="6"/>
  <c r="J21" i="6"/>
  <c r="M30" i="5"/>
  <c r="M29" i="5"/>
  <c r="M27" i="5"/>
  <c r="G22" i="6" l="1"/>
  <c r="I22" i="6"/>
  <c r="J22" i="6"/>
  <c r="H22" i="6"/>
  <c r="F22" i="6"/>
  <c r="B23" i="6"/>
  <c r="M26" i="5"/>
  <c r="B24" i="6" l="1"/>
  <c r="F23" i="6"/>
  <c r="G23" i="6"/>
  <c r="H23" i="6"/>
  <c r="J23" i="6"/>
  <c r="I23" i="6"/>
  <c r="AH13" i="1"/>
  <c r="J7" i="1"/>
  <c r="G24" i="6" l="1"/>
  <c r="F24" i="6"/>
  <c r="H24" i="6"/>
  <c r="J24" i="6"/>
  <c r="I24" i="6"/>
  <c r="B25" i="6"/>
  <c r="X6" i="1"/>
  <c r="W6" i="1"/>
  <c r="V6" i="1"/>
  <c r="S6" i="1"/>
  <c r="R2" i="1"/>
  <c r="I2" i="1"/>
  <c r="O6" i="1"/>
  <c r="N6" i="1"/>
  <c r="M6" i="1"/>
  <c r="J6" i="1"/>
  <c r="B26" i="6" l="1"/>
  <c r="I25" i="6"/>
  <c r="G25" i="6"/>
  <c r="H25" i="6"/>
  <c r="J25" i="6"/>
  <c r="F25" i="6"/>
  <c r="P3" i="5"/>
  <c r="G26" i="6" l="1"/>
  <c r="I26" i="6"/>
  <c r="J26" i="6"/>
  <c r="F26" i="6"/>
  <c r="H26" i="6"/>
  <c r="B27" i="6"/>
  <c r="M18" i="5"/>
  <c r="B28" i="6" l="1"/>
  <c r="F27" i="6"/>
  <c r="G27" i="6"/>
  <c r="I27" i="6"/>
  <c r="J27" i="6"/>
  <c r="H27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8" i="6" l="1"/>
  <c r="I28" i="6"/>
  <c r="J28" i="6"/>
  <c r="F28" i="6"/>
  <c r="H28" i="6"/>
  <c r="B29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0" i="6" l="1"/>
  <c r="F29" i="6"/>
  <c r="G29" i="6"/>
  <c r="I29" i="6"/>
  <c r="H29" i="6"/>
  <c r="J29" i="6"/>
  <c r="G259" i="4"/>
  <c r="G260" i="4"/>
  <c r="G261" i="4"/>
  <c r="G262" i="4"/>
  <c r="G263" i="4"/>
  <c r="G264" i="4"/>
  <c r="G265" i="4"/>
  <c r="B31" i="6" l="1"/>
  <c r="G30" i="6"/>
  <c r="I30" i="6"/>
  <c r="H30" i="6"/>
  <c r="J30" i="6"/>
  <c r="F30" i="6"/>
  <c r="M14" i="5"/>
  <c r="M13" i="5"/>
  <c r="M12" i="5"/>
  <c r="M11" i="5"/>
  <c r="M10" i="5"/>
  <c r="M9" i="5"/>
  <c r="M8" i="5"/>
  <c r="M7" i="5"/>
  <c r="M6" i="5"/>
  <c r="M5" i="5"/>
  <c r="M4" i="5"/>
  <c r="M3" i="5"/>
  <c r="F31" i="6" l="1"/>
  <c r="G31" i="6"/>
  <c r="I31" i="6"/>
  <c r="J31" i="6"/>
  <c r="H31" i="6"/>
  <c r="B32" i="6"/>
  <c r="U13" i="1"/>
  <c r="S13" i="1" s="1"/>
  <c r="O3" i="3"/>
  <c r="H32" i="6" l="1"/>
  <c r="I32" i="6"/>
  <c r="F32" i="6"/>
  <c r="G32" i="6"/>
  <c r="J32" i="6"/>
  <c r="B33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4" i="6" l="1"/>
  <c r="F34" i="6" s="1"/>
  <c r="F33" i="6"/>
  <c r="G33" i="6"/>
  <c r="I33" i="6"/>
  <c r="H33" i="6"/>
  <c r="J33" i="6"/>
  <c r="J8" i="1"/>
  <c r="J4" i="1"/>
  <c r="S8" i="1"/>
  <c r="S4" i="1"/>
  <c r="J34" i="6" l="1"/>
  <c r="I34" i="6"/>
  <c r="G34" i="6"/>
  <c r="H34" i="6"/>
  <c r="B35" i="6"/>
  <c r="S9" i="1"/>
  <c r="J9" i="1"/>
  <c r="B36" i="6" l="1"/>
  <c r="H35" i="6"/>
  <c r="J35" i="6"/>
  <c r="F35" i="6"/>
  <c r="G35" i="6"/>
  <c r="I35" i="6"/>
  <c r="S11" i="1"/>
  <c r="A11" i="1"/>
  <c r="B37" i="6" l="1"/>
  <c r="F36" i="6"/>
  <c r="I36" i="6"/>
  <c r="J36" i="6"/>
  <c r="G36" i="6"/>
  <c r="H36" i="6"/>
  <c r="B1" i="6"/>
  <c r="A5" i="3"/>
  <c r="B38" i="6" l="1"/>
  <c r="G37" i="6"/>
  <c r="H37" i="6"/>
  <c r="F37" i="6"/>
  <c r="I37" i="6"/>
  <c r="J37" i="6"/>
  <c r="G38" i="6" l="1"/>
  <c r="H38" i="6"/>
  <c r="I38" i="6"/>
  <c r="J38" i="6"/>
  <c r="F38" i="6"/>
  <c r="B39" i="6"/>
  <c r="H39" i="6" l="1"/>
  <c r="F39" i="6"/>
  <c r="G39" i="6"/>
  <c r="I39" i="6"/>
  <c r="J39" i="6"/>
  <c r="B40" i="6"/>
  <c r="B41" i="6" l="1"/>
  <c r="G40" i="6"/>
  <c r="H40" i="6"/>
  <c r="I40" i="6"/>
  <c r="J40" i="6"/>
  <c r="F40" i="6"/>
  <c r="B42" i="6" l="1"/>
  <c r="I41" i="6"/>
  <c r="G41" i="6"/>
  <c r="F41" i="6"/>
  <c r="H41" i="6"/>
  <c r="J41" i="6"/>
  <c r="G42" i="6" l="1"/>
  <c r="F42" i="6"/>
  <c r="H42" i="6"/>
  <c r="I42" i="6"/>
  <c r="J42" i="6"/>
  <c r="B43" i="6"/>
  <c r="H43" i="6" l="1"/>
  <c r="J43" i="6"/>
  <c r="F43" i="6"/>
  <c r="G43" i="6"/>
  <c r="I43" i="6"/>
  <c r="B44" i="6"/>
  <c r="B45" i="6" l="1"/>
  <c r="F44" i="6"/>
  <c r="G44" i="6"/>
  <c r="I44" i="6"/>
  <c r="H44" i="6"/>
  <c r="J44" i="6"/>
  <c r="F45" i="6" l="1"/>
  <c r="G45" i="6"/>
  <c r="J45" i="6"/>
  <c r="H45" i="6"/>
  <c r="I45" i="6"/>
  <c r="B46" i="6"/>
  <c r="G46" i="6" l="1"/>
  <c r="J46" i="6"/>
  <c r="F46" i="6"/>
  <c r="H46" i="6"/>
  <c r="I46" i="6"/>
  <c r="B47" i="6"/>
  <c r="B48" i="6" l="1"/>
  <c r="F47" i="6"/>
  <c r="G47" i="6"/>
  <c r="H47" i="6"/>
  <c r="I47" i="6"/>
  <c r="J47" i="6"/>
  <c r="B49" i="6" l="1"/>
  <c r="J48" i="6"/>
  <c r="F48" i="6"/>
  <c r="I48" i="6"/>
  <c r="G48" i="6"/>
  <c r="H48" i="6"/>
  <c r="B50" i="6" l="1"/>
  <c r="G49" i="6"/>
  <c r="H49" i="6"/>
  <c r="F49" i="6"/>
  <c r="I49" i="6"/>
  <c r="J49" i="6"/>
  <c r="G50" i="6" l="1"/>
  <c r="I50" i="6"/>
  <c r="J50" i="6"/>
  <c r="F50" i="6"/>
  <c r="H50" i="6"/>
  <c r="B51" i="6"/>
  <c r="B52" i="6" l="1"/>
  <c r="J51" i="6"/>
  <c r="F51" i="6"/>
  <c r="H51" i="6"/>
  <c r="G51" i="6"/>
  <c r="I51" i="6"/>
  <c r="B53" i="6" l="1"/>
  <c r="H52" i="6"/>
  <c r="F52" i="6"/>
  <c r="I52" i="6"/>
  <c r="J52" i="6"/>
  <c r="G52" i="6"/>
  <c r="B55" i="6" l="1"/>
  <c r="B54" i="6"/>
  <c r="G53" i="6"/>
  <c r="H53" i="6"/>
  <c r="F53" i="6"/>
  <c r="I53" i="6"/>
  <c r="J53" i="6"/>
  <c r="G54" i="6" l="1"/>
  <c r="H54" i="6"/>
  <c r="I54" i="6"/>
  <c r="J54" i="6"/>
  <c r="F54" i="6"/>
  <c r="H55" i="6"/>
  <c r="J55" i="6"/>
  <c r="G55" i="6"/>
  <c r="I55" i="6"/>
  <c r="F5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<sst xmlns="http://schemas.openxmlformats.org/spreadsheetml/2006/main" count="2988" uniqueCount="1015">
  <si>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</si>
  <si>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</si>
  <si>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</si>
  <si>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</si>
  <si>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</si>
  <si>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</si>
  <si>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</si>
  <si>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</si>
  <si>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</si>
  <si>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</si>
  <si>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</si>
  <si>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</si>
  <si>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</si>
  <si>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</si>
  <si>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</si>
  <si>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</si>
  <si>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</si>
  <si>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</si>
  <si>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</si>
  <si>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</si>
  <si>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</si>
  <si>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</si>
  <si>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</si>
  <si>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</si>
  <si>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</si>
  <si>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</si>
  <si>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</si>
  <si>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</si>
  <si>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</si>
  <si>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</si>
  <si>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</si>
  <si>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</si>
  <si>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</si>
  <si>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</si>
  <si>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</si>
  <si>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</si>
  <si>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</si>
  <si>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</si>
  <si>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</si>
  <si>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</si>
  <si>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</si>
  <si>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</si>
  <si>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</si>
  <si>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</si>
  <si>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</si>
  <si>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</si>
  <si>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</si>
  <si>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</si>
  <si>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</si>
  <si>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</si>
  <si>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</si>
  <si>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</si>
  <si>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</si>
  <si>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</si>
  <si>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</si>
  <si>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</si>
  <si>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</si>
  <si>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</si>
  <si>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</si>
  <si>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</si>
  <si>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</si>
  <si>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</si>
  <si>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</si>
  <si>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</si>
  <si>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</si>
  <si>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</si>
  <si>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</si>
  <si>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</si>
  <si>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</si>
  <si>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</si>
  <si>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</si>
  <si>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</si>
  <si>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</si>
  <si>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</si>
  <si>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</si>
  <si>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</si>
  <si>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</si>
  <si>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</si>
  <si>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</si>
  <si>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</si>
  <si>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</si>
  <si>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</si>
  <si>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</si>
  <si>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</si>
  <si>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</si>
  <si>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</si>
  <si>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</si>
  <si>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</si>
  <si>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</si>
  <si>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</si>
  <si>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</si>
  <si>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</si>
  <si>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</si>
  <si>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</si>
  <si>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</si>
  <si>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</si>
  <si>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</si>
  <si>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</si>
  <si>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</si>
  <si>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</si>
  <si>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</si>
  <si>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</si>
  <si>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</si>
  <si>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</si>
  <si>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</si>
  <si>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</si>
  <si>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</si>
  <si>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</si>
  <si>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</si>
  <si>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</si>
  <si>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</si>
  <si>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</si>
  <si>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</si>
  <si>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</si>
  <si>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</si>
  <si>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</si>
  <si>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</si>
  <si>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</si>
  <si>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</si>
  <si>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</si>
  <si>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</si>
  <si>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</si>
  <si>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</si>
  <si>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</si>
  <si>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</si>
  <si>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</si>
  <si>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</si>
  <si>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</si>
  <si>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</si>
  <si>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</si>
  <si>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</si>
  <si>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</si>
  <si>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</si>
  <si>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</si>
  <si>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</si>
  <si>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</si>
  <si>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</si>
  <si>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</si>
  <si>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</si>
  <si>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</si>
  <si>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</si>
  <si>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</si>
  <si>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</si>
  <si>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</si>
  <si>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</si>
  <si>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</si>
  <si>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</si>
  <si>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</si>
  <si>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</si>
  <si>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</si>
  <si>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</si>
  <si>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</si>
  <si>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</si>
  <si>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</si>
  <si>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</si>
  <si>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</si>
  <si>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</si>
  <si>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</si>
  <si>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</si>
  <si>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</si>
  <si>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</si>
  <si>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</si>
  <si>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</si>
  <si>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</si>
  <si>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</si>
  <si>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</si>
  <si>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</si>
  <si>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</si>
  <si>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</si>
  <si>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</si>
  <si>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</si>
  <si>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</si>
  <si>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</si>
  <si>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</si>
  <si>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</si>
  <si>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</si>
  <si>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</si>
  <si>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</si>
  <si>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</si>
  <si>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</si>
  <si>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</si>
  <si>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</si>
  <si>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</si>
  <si>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</si>
  <si>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</si>
  <si>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</si>
  <si>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</si>
  <si>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</si>
  <si>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</si>
  <si>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</si>
  <si>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</si>
  <si>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</si>
  <si>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</si>
  <si>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</si>
  <si>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</si>
  <si>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</si>
  <si>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</si>
  <si>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</si>
  <si>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</si>
  <si>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</si>
  <si>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</si>
  <si>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</si>
  <si>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</si>
  <si>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</si>
  <si>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</si>
  <si>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</si>
  <si>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</si>
  <si>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</si>
  <si>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</si>
  <si>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</si>
  <si>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</si>
  <si>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</si>
  <si>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</si>
  <si>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</si>
  <si>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</si>
  <si>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</si>
  <si>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</si>
  <si>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</si>
  <si>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</si>
  <si>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</si>
  <si>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</si>
  <si>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</si>
  <si>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</si>
  <si>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</si>
  <si>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</si>
  <si>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</si>
  <si>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</si>
  <si>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</si>
  <si>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</si>
  <si>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</si>
  <si>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</si>
  <si>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</si>
  <si>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</si>
  <si>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</si>
  <si>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</si>
  <si>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</si>
  <si>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</si>
  <si>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</si>
  <si>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</si>
  <si>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</si>
  <si>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</si>
  <si>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</si>
  <si>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</si>
  <si>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</si>
  <si>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</si>
  <si>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</si>
  <si>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</si>
  <si>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</si>
  <si>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</si>
  <si>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</si>
  <si>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</si>
  <si>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</si>
  <si>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</si>
  <si>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</si>
  <si>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</si>
  <si>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</si>
  <si>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</si>
  <si>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</si>
  <si>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</si>
  <si>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</si>
  <si>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</si>
  <si>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</si>
  <si>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</si>
  <si>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</si>
  <si>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</si>
  <si>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</si>
  <si>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</si>
  <si>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</si>
  <si>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</si>
  <si>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</si>
  <si>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</si>
  <si>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</si>
  <si>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</si>
  <si>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</si>
  <si>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</si>
  <si>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</si>
  <si>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</si>
  <si>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</si>
  <si>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</si>
  <si>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</si>
  <si>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</si>
  <si>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</si>
  <si>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</si>
  <si>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</si>
  <si>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</si>
  <si>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</si>
  <si>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</si>
  <si>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</si>
  <si>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</si>
  <si>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</si>
  <si>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</si>
  <si>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</si>
  <si>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</si>
  <si>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</si>
  <si>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</si>
  <si>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</si>
  <si>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</si>
  <si>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</si>
  <si>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</si>
  <si>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</si>
  <si>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</si>
  <si>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</si>
  <si>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</si>
  <si>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</si>
  <si>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</si>
  <si>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</si>
  <si>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</si>
  <si>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</si>
  <si>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</si>
  <si>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</si>
  <si>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</si>
  <si>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</si>
  <si>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</si>
  <si>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</si>
  <si>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</si>
  <si>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</si>
  <si>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</si>
  <si>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</si>
  <si>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</si>
  <si>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</si>
  <si>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</si>
  <si>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</si>
  <si>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</si>
  <si>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</si>
  <si>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</si>
  <si>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</si>
  <si>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</si>
  <si>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</si>
  <si>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</si>
  <si>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</si>
  <si>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</si>
  <si>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</si>
  <si>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</si>
  <si>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</si>
  <si>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</si>
  <si>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</si>
  <si>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</si>
  <si>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</si>
  <si>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</si>
  <si>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</si>
  <si>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</si>
  <si>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</si>
  <si>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</si>
  <si>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</si>
  <si>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</si>
  <si>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</si>
  <si>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</si>
  <si>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</si>
  <si>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</si>
  <si>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</si>
  <si>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</si>
  <si>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</si>
  <si>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</si>
  <si>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</si>
  <si>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</si>
  <si>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</si>
  <si>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</si>
  <si>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</si>
  <si>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</si>
  <si>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</si>
  <si>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</si>
  <si>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</si>
  <si>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</si>
  <si>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</si>
  <si>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</si>
  <si>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</si>
  <si>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</si>
  <si>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</si>
  <si>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</si>
  <si>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</si>
  <si>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</si>
  <si>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</si>
  <si>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</si>
  <si>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</si>
  <si>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</si>
  <si>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</si>
  <si>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</si>
  <si>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</si>
  <si>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</si>
  <si>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</si>
  <si>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</si>
  <si>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</si>
  <si>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</si>
  <si>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</si>
  <si>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</si>
  <si>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</si>
  <si>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</si>
  <si>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</si>
  <si>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</si>
  <si>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</si>
  <si>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</si>
  <si>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</si>
  <si>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</si>
  <si>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</si>
  <si>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</si>
  <si>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</si>
  <si>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</si>
  <si>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</si>
  <si>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</si>
  <si>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</si>
  <si>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</si>
  <si>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</si>
  <si>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</si>
  <si>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</si>
  <si>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</si>
  <si>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</si>
  <si>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</si>
  <si>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</si>
  <si>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</si>
  <si>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</si>
  <si>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</si>
  <si>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</si>
  <si>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</si>
  <si>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</si>
  <si>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</si>
  <si>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</si>
  <si>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</si>
  <si>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</si>
  <si>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</si>
  <si>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Track device (7)</t>
  </si>
  <si>
    <t>ROBINSON</t>
  </si>
  <si>
    <t>KADDIBA</t>
  </si>
  <si>
    <t>SWITCH UNKNOWN</t>
  </si>
  <si>
    <t>rtdc.l.rtdc.4041:itc</t>
  </si>
  <si>
    <t>STAMBAUGH</t>
  </si>
  <si>
    <t>DAVIS</t>
  </si>
  <si>
    <t>DUNCAN</t>
  </si>
  <si>
    <t>SHEILA</t>
  </si>
  <si>
    <t>MAGEE</t>
  </si>
  <si>
    <t>KENYA</t>
  </si>
  <si>
    <t>204:232977</t>
  </si>
  <si>
    <t>204:145</t>
  </si>
  <si>
    <t>204:232980</t>
  </si>
  <si>
    <t>204:442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</si>
  <si>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</si>
  <si>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</si>
  <si>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</si>
  <si>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</si>
  <si>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</si>
  <si>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</si>
  <si>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</si>
  <si>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</si>
  <si>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</si>
  <si>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</si>
  <si>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</si>
  <si>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</si>
  <si>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</si>
  <si>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</si>
  <si>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</si>
  <si>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</si>
  <si>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</si>
  <si>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</si>
  <si>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</si>
  <si>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</si>
  <si>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</si>
  <si>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</si>
  <si>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</si>
  <si>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</si>
  <si>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204:138</t>
  </si>
  <si>
    <t>204:233309</t>
  </si>
  <si>
    <t>204:233312</t>
  </si>
  <si>
    <t>rtdc.l.rtdc.4001:itc</t>
  </si>
  <si>
    <t>rtdc.l.rtdc.4002:itc</t>
  </si>
  <si>
    <t>SAFIEF</t>
  </si>
  <si>
    <t>AEIMEN</t>
  </si>
  <si>
    <t>204:163</t>
  </si>
  <si>
    <t>204:232988</t>
  </si>
  <si>
    <t>204:233289</t>
  </si>
  <si>
    <t>204:165</t>
  </si>
  <si>
    <t>81-01</t>
  </si>
  <si>
    <t>SUR-02</t>
  </si>
  <si>
    <t>SUR</t>
  </si>
  <si>
    <t>JEREMY</t>
  </si>
  <si>
    <t>313-01</t>
  </si>
  <si>
    <t>204:444</t>
  </si>
  <si>
    <t>rtdc.l.rtdc.4012:itc</t>
  </si>
  <si>
    <t>204:437</t>
  </si>
  <si>
    <t>rtdc.l.rtdc.4016:itc</t>
  </si>
  <si>
    <t>HAITHCOX</t>
  </si>
  <si>
    <t>partly-cloudy-day</t>
  </si>
  <si>
    <t>Partly Cloudy</t>
  </si>
  <si>
    <t>204:477</t>
  </si>
  <si>
    <t>rtdc.l.rtdc.4046:itc</t>
  </si>
  <si>
    <t>rtdc.l.rtdc.4045:itc</t>
  </si>
  <si>
    <t>SPECTOR</t>
  </si>
  <si>
    <t>STARKS</t>
  </si>
  <si>
    <t>ANGELINA</t>
  </si>
  <si>
    <t>HELVIE</t>
  </si>
  <si>
    <t>ADAM</t>
  </si>
  <si>
    <t>LOZA</t>
  </si>
  <si>
    <t>FIDEL</t>
  </si>
  <si>
    <t>LEVIN</t>
  </si>
  <si>
    <t>SCOTT</t>
  </si>
  <si>
    <t>311-05</t>
  </si>
  <si>
    <t>313-05</t>
  </si>
  <si>
    <t>partly-cloudy-night</t>
  </si>
  <si>
    <t>204:232983</t>
  </si>
  <si>
    <t>204:232975</t>
  </si>
  <si>
    <t>204:233298</t>
  </si>
  <si>
    <t>204:471</t>
  </si>
  <si>
    <t>300:58623</t>
  </si>
  <si>
    <t>300:58929</t>
  </si>
  <si>
    <t>300:58615</t>
  </si>
  <si>
    <t>rtdc.l.rtdc.4056:itc</t>
  </si>
  <si>
    <t>rtdc.l.rtdc.4006:itc</t>
  </si>
  <si>
    <t>rtdc.l.rtdc.4004:itc</t>
  </si>
  <si>
    <t>YANG</t>
  </si>
  <si>
    <t>JAN</t>
  </si>
  <si>
    <t>STEWART</t>
  </si>
  <si>
    <t>313-06</t>
  </si>
  <si>
    <t>204:438</t>
  </si>
  <si>
    <t>204:232990</t>
  </si>
  <si>
    <t>204:232971</t>
  </si>
  <si>
    <t>204:233282</t>
  </si>
  <si>
    <t>204:232996</t>
  </si>
  <si>
    <t>204:233000</t>
  </si>
  <si>
    <t>204:475</t>
  </si>
  <si>
    <t>300:58931</t>
  </si>
  <si>
    <t>rtdc.l.rtdc.4015:itc</t>
  </si>
  <si>
    <t>WENDY</t>
  </si>
  <si>
    <t>GEBRETEKLE</t>
  </si>
  <si>
    <t>DAGNEW</t>
  </si>
  <si>
    <t>BONDS</t>
  </si>
  <si>
    <t>REYNALDO</t>
  </si>
  <si>
    <t>HOLCOMB</t>
  </si>
  <si>
    <t>KAMDEN</t>
  </si>
  <si>
    <t>BERLING</t>
  </si>
  <si>
    <t>GARY</t>
  </si>
  <si>
    <t>clear-night</t>
  </si>
  <si>
    <t>Clear</t>
  </si>
  <si>
    <t>clear-day</t>
  </si>
  <si>
    <t>204:233304</t>
  </si>
  <si>
    <t>204:232994</t>
  </si>
  <si>
    <t>204:233311</t>
  </si>
  <si>
    <t>204:233302</t>
  </si>
  <si>
    <t>204:232981</t>
  </si>
  <si>
    <t>204:232969</t>
  </si>
  <si>
    <t>204:233318</t>
  </si>
  <si>
    <t>204:232985</t>
  </si>
  <si>
    <t>204:233321</t>
  </si>
  <si>
    <t>204:233051</t>
  </si>
  <si>
    <t>204:232965</t>
  </si>
  <si>
    <t>204:125</t>
  </si>
  <si>
    <t>204:233005</t>
  </si>
  <si>
    <t>204:132</t>
  </si>
  <si>
    <t>204:233315</t>
  </si>
  <si>
    <t>204:233291</t>
  </si>
  <si>
    <t>300:23310</t>
  </si>
  <si>
    <t>204:972</t>
  </si>
  <si>
    <t>204:712</t>
  </si>
  <si>
    <t>300:58651</t>
  </si>
  <si>
    <t>300:58928</t>
  </si>
  <si>
    <t>rtdc.l.rtdc.4029:itc</t>
  </si>
  <si>
    <t>rtdc.l.rtdc.4030:itc</t>
  </si>
  <si>
    <t>rtdc.l.rtdc.4053:itc</t>
  </si>
  <si>
    <t>204:232998</t>
  </si>
  <si>
    <t>204:233305</t>
  </si>
  <si>
    <t>204:233002</t>
  </si>
  <si>
    <t>204:232984</t>
  </si>
  <si>
    <t>204:482</t>
  </si>
  <si>
    <t>204:232979</t>
  </si>
  <si>
    <t>204:134</t>
  </si>
  <si>
    <t>204:233286</t>
  </si>
  <si>
    <t>204:233295</t>
  </si>
  <si>
    <t>204:473</t>
  </si>
  <si>
    <t>204:232987</t>
  </si>
  <si>
    <t>204:233299</t>
  </si>
  <si>
    <t>204:233308</t>
  </si>
  <si>
    <t>204:232976</t>
  </si>
  <si>
    <t>204:424</t>
  </si>
  <si>
    <t>204:426</t>
  </si>
  <si>
    <t>204:431</t>
  </si>
  <si>
    <t>204:233331</t>
  </si>
  <si>
    <t>300:23302</t>
  </si>
  <si>
    <t>300:23304</t>
  </si>
  <si>
    <t>204:948</t>
  </si>
  <si>
    <t>204:680</t>
  </si>
  <si>
    <t>204:978</t>
  </si>
  <si>
    <t>204:974</t>
  </si>
  <si>
    <t>204:685</t>
  </si>
  <si>
    <t>300:58950</t>
  </si>
  <si>
    <t>300:58632</t>
  </si>
  <si>
    <t>204:971</t>
  </si>
  <si>
    <t>204:691</t>
  </si>
  <si>
    <t>300:58608</t>
  </si>
  <si>
    <t>Onboard in-route failure</t>
  </si>
  <si>
    <t>300-09</t>
  </si>
  <si>
    <t>109-09</t>
  </si>
  <si>
    <t>800-09</t>
  </si>
  <si>
    <t>rtdc.l.rtdc.4061:itc</t>
  </si>
  <si>
    <t>312-09</t>
  </si>
  <si>
    <t>802-09</t>
  </si>
  <si>
    <t>rtdc.l.rtdc.4010:itc</t>
  </si>
  <si>
    <t>125-09</t>
  </si>
  <si>
    <t>810-09</t>
  </si>
  <si>
    <t>139-09</t>
  </si>
  <si>
    <t>813-09</t>
  </si>
  <si>
    <t>rtdc.l.rtdc.4011:itc</t>
  </si>
  <si>
    <t>142-09</t>
  </si>
  <si>
    <t>146-09</t>
  </si>
  <si>
    <t>157-09</t>
  </si>
  <si>
    <t>rtdc.l.rtdc.4005:itc</t>
  </si>
  <si>
    <t>150-09</t>
  </si>
  <si>
    <t>818-09</t>
  </si>
  <si>
    <t>158-09</t>
  </si>
  <si>
    <t>820-09</t>
  </si>
  <si>
    <t>166-09</t>
  </si>
  <si>
    <t>175-09</t>
  </si>
  <si>
    <t>176-09</t>
  </si>
  <si>
    <t>187-09</t>
  </si>
  <si>
    <t>824-09</t>
  </si>
  <si>
    <t>185-09</t>
  </si>
  <si>
    <t>180-09</t>
  </si>
  <si>
    <t>189-09</t>
  </si>
  <si>
    <t>826-09</t>
  </si>
  <si>
    <t>199-09</t>
  </si>
  <si>
    <t>829-09</t>
  </si>
  <si>
    <t>830-09</t>
  </si>
  <si>
    <t>198-09</t>
  </si>
  <si>
    <t>203-09</t>
  </si>
  <si>
    <t>200-09</t>
  </si>
  <si>
    <t>rtdc.l.rtdc.4062:itc</t>
  </si>
  <si>
    <t>71-09</t>
  </si>
  <si>
    <t>833-09</t>
  </si>
  <si>
    <t>202-09</t>
  </si>
  <si>
    <t>834-09</t>
  </si>
  <si>
    <t>206-09</t>
  </si>
  <si>
    <t>301-09</t>
  </si>
  <si>
    <t>218-09</t>
  </si>
  <si>
    <t>223-09</t>
  </si>
  <si>
    <t>842-09</t>
  </si>
  <si>
    <t>235-09</t>
  </si>
  <si>
    <t>241-09</t>
  </si>
  <si>
    <t>238-09</t>
  </si>
  <si>
    <t>240-09</t>
  </si>
  <si>
    <t>242-09</t>
  </si>
  <si>
    <t>51-09</t>
  </si>
  <si>
    <t>101-09</t>
  </si>
  <si>
    <t>302-09</t>
  </si>
  <si>
    <t>52-09</t>
  </si>
  <si>
    <t>103-09</t>
  </si>
  <si>
    <t>304-09</t>
  </si>
  <si>
    <t>rtdc.l.rtdc.4009:itc</t>
  </si>
  <si>
    <t>102-09</t>
  </si>
  <si>
    <t>306-09</t>
  </si>
  <si>
    <t>105-09</t>
  </si>
  <si>
    <t>308-09</t>
  </si>
  <si>
    <t>107-09</t>
  </si>
  <si>
    <t>104-09</t>
  </si>
  <si>
    <t>310-09</t>
  </si>
  <si>
    <t>DAVIDSON</t>
  </si>
  <si>
    <t>DAVID</t>
  </si>
  <si>
    <t>901-09</t>
  </si>
  <si>
    <t>111-09</t>
  </si>
  <si>
    <t>113-09</t>
  </si>
  <si>
    <t>106-09</t>
  </si>
  <si>
    <t>108-09</t>
  </si>
  <si>
    <t>115-09</t>
  </si>
  <si>
    <t>801-09</t>
  </si>
  <si>
    <t>110-09</t>
  </si>
  <si>
    <t>117-09</t>
  </si>
  <si>
    <t>902-09</t>
  </si>
  <si>
    <t>LALONDE</t>
  </si>
  <si>
    <t>GREGORY</t>
  </si>
  <si>
    <t>112-09</t>
  </si>
  <si>
    <t>119-09</t>
  </si>
  <si>
    <t>114-09</t>
  </si>
  <si>
    <t>121-09</t>
  </si>
  <si>
    <t>116-09</t>
  </si>
  <si>
    <t>803-09</t>
  </si>
  <si>
    <t>123-09</t>
  </si>
  <si>
    <t>805-09</t>
  </si>
  <si>
    <t>804-09</t>
  </si>
  <si>
    <t>118-09</t>
  </si>
  <si>
    <t>120-09</t>
  </si>
  <si>
    <t>122-09</t>
  </si>
  <si>
    <t>127-09</t>
  </si>
  <si>
    <t>807-09</t>
  </si>
  <si>
    <t>806-09</t>
  </si>
  <si>
    <t>129-09</t>
  </si>
  <si>
    <t>124-09</t>
  </si>
  <si>
    <t>131-09</t>
  </si>
  <si>
    <t>809-09</t>
  </si>
  <si>
    <t>808-09</t>
  </si>
  <si>
    <t>133-09</t>
  </si>
  <si>
    <t>126-09</t>
  </si>
  <si>
    <t>128-09</t>
  </si>
  <si>
    <t>135-09</t>
  </si>
  <si>
    <t>811-09</t>
  </si>
  <si>
    <t>130-09</t>
  </si>
  <si>
    <t>137-09</t>
  </si>
  <si>
    <t>132-09</t>
  </si>
  <si>
    <t>903-09</t>
  </si>
  <si>
    <t>812-09</t>
  </si>
  <si>
    <t>134-09</t>
  </si>
  <si>
    <t>136-09</t>
  </si>
  <si>
    <t>141-09</t>
  </si>
  <si>
    <t>143-09</t>
  </si>
  <si>
    <t>145-09</t>
  </si>
  <si>
    <t>138-09</t>
  </si>
  <si>
    <t>147-09</t>
  </si>
  <si>
    <t>153-09</t>
  </si>
  <si>
    <t>140-09</t>
  </si>
  <si>
    <t>814-09</t>
  </si>
  <si>
    <t>149-09</t>
  </si>
  <si>
    <t>144-09</t>
  </si>
  <si>
    <t>151-09</t>
  </si>
  <si>
    <t>815-09</t>
  </si>
  <si>
    <t>148-09</t>
  </si>
  <si>
    <t>155-09</t>
  </si>
  <si>
    <t>816-09</t>
  </si>
  <si>
    <t>50-09</t>
  </si>
  <si>
    <t>DE LA ROSA</t>
  </si>
  <si>
    <t>ALEX</t>
  </si>
  <si>
    <t>MAYBERRY</t>
  </si>
  <si>
    <t>BILL</t>
  </si>
  <si>
    <t>159-09</t>
  </si>
  <si>
    <t>152-09</t>
  </si>
  <si>
    <t>154-09</t>
  </si>
  <si>
    <t>54-09</t>
  </si>
  <si>
    <t>817-09</t>
  </si>
  <si>
    <t>161-09</t>
  </si>
  <si>
    <t>BRANDNER</t>
  </si>
  <si>
    <t>MELINDA</t>
  </si>
  <si>
    <t>156-09</t>
  </si>
  <si>
    <t>163-09</t>
  </si>
  <si>
    <t>55-09</t>
  </si>
  <si>
    <t>165-09</t>
  </si>
  <si>
    <t>160-09</t>
  </si>
  <si>
    <t>819-09</t>
  </si>
  <si>
    <t>167-09</t>
  </si>
  <si>
    <t>162-09</t>
  </si>
  <si>
    <t>169-09</t>
  </si>
  <si>
    <t>164-09</t>
  </si>
  <si>
    <t>171-09</t>
  </si>
  <si>
    <t>173-09</t>
  </si>
  <si>
    <t>168-09</t>
  </si>
  <si>
    <t>821-09</t>
  </si>
  <si>
    <t>170-09</t>
  </si>
  <si>
    <t>177-09</t>
  </si>
  <si>
    <t>172-09</t>
  </si>
  <si>
    <t>179-09</t>
  </si>
  <si>
    <t>SANTIZO</t>
  </si>
  <si>
    <t>D. EDY</t>
  </si>
  <si>
    <t>174-09</t>
  </si>
  <si>
    <t>822-09</t>
  </si>
  <si>
    <t>181-09</t>
  </si>
  <si>
    <t>183-09</t>
  </si>
  <si>
    <t>823-09</t>
  </si>
  <si>
    <t>178-09</t>
  </si>
  <si>
    <t>182-09</t>
  </si>
  <si>
    <t>184-09</t>
  </si>
  <si>
    <t>191-09</t>
  </si>
  <si>
    <t>186-09</t>
  </si>
  <si>
    <t>825-09</t>
  </si>
  <si>
    <t>193-09</t>
  </si>
  <si>
    <t>188-09</t>
  </si>
  <si>
    <t>904-09</t>
  </si>
  <si>
    <t>MCREYNOLDS</t>
  </si>
  <si>
    <t>KYLE</t>
  </si>
  <si>
    <t>195-09</t>
  </si>
  <si>
    <t>190-09</t>
  </si>
  <si>
    <t>197-09</t>
  </si>
  <si>
    <t>827-09</t>
  </si>
  <si>
    <t>192-09</t>
  </si>
  <si>
    <t>194-09</t>
  </si>
  <si>
    <t>828-09</t>
  </si>
  <si>
    <t>201-09</t>
  </si>
  <si>
    <t>196-09</t>
  </si>
  <si>
    <t>205-09</t>
  </si>
  <si>
    <t>831-09</t>
  </si>
  <si>
    <t>207-09</t>
  </si>
  <si>
    <t>LOPES</t>
  </si>
  <si>
    <t>KIMBERLY</t>
  </si>
  <si>
    <t>832-09</t>
  </si>
  <si>
    <t>209-09</t>
  </si>
  <si>
    <t>204-09</t>
  </si>
  <si>
    <t>211-09</t>
  </si>
  <si>
    <t>835-09</t>
  </si>
  <si>
    <t>70-09</t>
  </si>
  <si>
    <t>208-09</t>
  </si>
  <si>
    <t>213-09</t>
  </si>
  <si>
    <t>215-09</t>
  </si>
  <si>
    <t>210-09</t>
  </si>
  <si>
    <t>836-09</t>
  </si>
  <si>
    <t>217-09</t>
  </si>
  <si>
    <t>837-09</t>
  </si>
  <si>
    <t>212-09</t>
  </si>
  <si>
    <t>219-09</t>
  </si>
  <si>
    <t>838-09</t>
  </si>
  <si>
    <t>214-09</t>
  </si>
  <si>
    <t>839-09</t>
  </si>
  <si>
    <t>221-09</t>
  </si>
  <si>
    <t>216-09</t>
  </si>
  <si>
    <t>841-09</t>
  </si>
  <si>
    <t>906-09</t>
  </si>
  <si>
    <t>303-09</t>
  </si>
  <si>
    <t>220-09</t>
  </si>
  <si>
    <t>840-09</t>
  </si>
  <si>
    <t>305-09</t>
  </si>
  <si>
    <t>222-09</t>
  </si>
  <si>
    <t>225-09</t>
  </si>
  <si>
    <t>56-09</t>
  </si>
  <si>
    <t>843-09</t>
  </si>
  <si>
    <t>227-09</t>
  </si>
  <si>
    <t>224-09</t>
  </si>
  <si>
    <t>226-09</t>
  </si>
  <si>
    <t>229-09</t>
  </si>
  <si>
    <t>845-09</t>
  </si>
  <si>
    <t>228-09</t>
  </si>
  <si>
    <t>231-09</t>
  </si>
  <si>
    <t>844-09</t>
  </si>
  <si>
    <t>230-09</t>
  </si>
  <si>
    <t>233-09</t>
  </si>
  <si>
    <t>847-09</t>
  </si>
  <si>
    <t>232-09</t>
  </si>
  <si>
    <t>908-09</t>
  </si>
  <si>
    <t>234-09</t>
  </si>
  <si>
    <t>237-09</t>
  </si>
  <si>
    <t>67-09</t>
  </si>
  <si>
    <t>236-09</t>
  </si>
  <si>
    <t>68-09</t>
  </si>
  <si>
    <t>239-09</t>
  </si>
  <si>
    <t>243-09</t>
  </si>
  <si>
    <t>245-09</t>
  </si>
  <si>
    <t>244-09</t>
  </si>
  <si>
    <t>307-09</t>
  </si>
  <si>
    <t>309-09</t>
  </si>
  <si>
    <t>246-09</t>
  </si>
  <si>
    <t>311-09</t>
  </si>
  <si>
    <t>313-09</t>
  </si>
  <si>
    <t>fog</t>
  </si>
  <si>
    <t>Foggy</t>
  </si>
  <si>
    <t>204:233285</t>
  </si>
  <si>
    <t>204:233283</t>
  </si>
  <si>
    <t>204:440</t>
  </si>
  <si>
    <t>204:232993</t>
  </si>
  <si>
    <t>204:233314</t>
  </si>
  <si>
    <t>204:480</t>
  </si>
  <si>
    <t>204:233301</t>
  </si>
  <si>
    <t>204:232973</t>
  </si>
  <si>
    <t>204:233310</t>
  </si>
  <si>
    <t>204:469</t>
  </si>
  <si>
    <t>204:427</t>
  </si>
  <si>
    <t>204:232966</t>
  </si>
  <si>
    <t>204:233376</t>
  </si>
  <si>
    <t>204:1484</t>
  </si>
  <si>
    <t>204:232992</t>
  </si>
  <si>
    <t>204:233448</t>
  </si>
  <si>
    <t>204:233151</t>
  </si>
  <si>
    <t>204:233414</t>
  </si>
  <si>
    <t>204:233081</t>
  </si>
  <si>
    <t>204:233280</t>
  </si>
  <si>
    <t>204:232991</t>
  </si>
  <si>
    <t>204:233422</t>
  </si>
  <si>
    <t>204:233090</t>
  </si>
  <si>
    <t>204:232955</t>
  </si>
  <si>
    <t>204:172</t>
  </si>
  <si>
    <t>204:232972</t>
  </si>
  <si>
    <t>204:233372</t>
  </si>
  <si>
    <t>204:119</t>
  </si>
  <si>
    <t>204:19128</t>
  </si>
  <si>
    <t>204:233385</t>
  </si>
  <si>
    <t>204:233072</t>
  </si>
  <si>
    <t>204:116</t>
  </si>
  <si>
    <t>204:232961</t>
  </si>
  <si>
    <t>204:233284</t>
  </si>
  <si>
    <t>204:435</t>
  </si>
  <si>
    <t>204:233391</t>
  </si>
  <si>
    <t>204:233079</t>
  </si>
  <si>
    <t>204:233451</t>
  </si>
  <si>
    <t>204:233094</t>
  </si>
  <si>
    <t>204:484</t>
  </si>
  <si>
    <t>204:233264</t>
  </si>
  <si>
    <t>204:232970</t>
  </si>
  <si>
    <t>204:183</t>
  </si>
  <si>
    <t>204:232967</t>
  </si>
  <si>
    <t>204:233078</t>
  </si>
  <si>
    <t>204:1426</t>
  </si>
  <si>
    <t>204:924</t>
  </si>
  <si>
    <t>204:433</t>
  </si>
  <si>
    <t>204:233316</t>
  </si>
  <si>
    <t>204:233261</t>
  </si>
  <si>
    <t>204:233322</t>
  </si>
  <si>
    <t>204:233344</t>
  </si>
  <si>
    <t>204:233010</t>
  </si>
  <si>
    <t>204:922</t>
  </si>
  <si>
    <t>204:232957</t>
  </si>
  <si>
    <t>204:64434</t>
  </si>
  <si>
    <t>204:64716</t>
  </si>
  <si>
    <t>204:170</t>
  </si>
  <si>
    <t>300:20400</t>
  </si>
  <si>
    <t>204:1479</t>
  </si>
  <si>
    <t>300:23145</t>
  </si>
  <si>
    <t>300:23391</t>
  </si>
  <si>
    <t>300:23500</t>
  </si>
  <si>
    <t>204:1142</t>
  </si>
  <si>
    <t>300:23506</t>
  </si>
  <si>
    <t>300:23296</t>
  </si>
  <si>
    <t>204:491</t>
  </si>
  <si>
    <t>300:23299</t>
  </si>
  <si>
    <t>300:23383</t>
  </si>
  <si>
    <t>300:23504</t>
  </si>
  <si>
    <t>300:22108</t>
  </si>
  <si>
    <t>204:140</t>
  </si>
  <si>
    <t>204:429</t>
  </si>
  <si>
    <t>204:3563</t>
  </si>
  <si>
    <t>204:3261</t>
  </si>
  <si>
    <t>204:1173</t>
  </si>
  <si>
    <t>204:3171</t>
  </si>
  <si>
    <t>204:1165</t>
  </si>
  <si>
    <t>204:3491</t>
  </si>
  <si>
    <t>300:24229</t>
  </si>
  <si>
    <t>204:3445</t>
  </si>
  <si>
    <t>204:1160</t>
  </si>
  <si>
    <t>204:3747</t>
  </si>
  <si>
    <t>204:1239</t>
  </si>
  <si>
    <t>204:3568</t>
  </si>
  <si>
    <t>204:3231</t>
  </si>
  <si>
    <t>300:23567</t>
  </si>
  <si>
    <t>204:939</t>
  </si>
  <si>
    <t>204:1483</t>
  </si>
  <si>
    <t>204:1771</t>
  </si>
  <si>
    <t>300:4952</t>
  </si>
  <si>
    <t>300:58621</t>
  </si>
  <si>
    <t>204:703</t>
  </si>
  <si>
    <t>204:979</t>
  </si>
  <si>
    <t>300:58948</t>
  </si>
  <si>
    <t>204:713</t>
  </si>
  <si>
    <t>300:58984</t>
  </si>
  <si>
    <t>300:58675</t>
  </si>
  <si>
    <t>204:708</t>
  </si>
  <si>
    <t>204:990</t>
  </si>
  <si>
    <t>204:733</t>
  </si>
  <si>
    <t>204:981</t>
  </si>
  <si>
    <t>300:58976</t>
  </si>
  <si>
    <t>300:58673</t>
  </si>
  <si>
    <t>204:142</t>
  </si>
  <si>
    <t>204:1074</t>
  </si>
  <si>
    <t>300:58636</t>
  </si>
  <si>
    <t>300:58988</t>
  </si>
  <si>
    <t>300:58677</t>
  </si>
  <si>
    <t>204:953</t>
  </si>
  <si>
    <t>300:58666</t>
  </si>
  <si>
    <t>204:144</t>
  </si>
  <si>
    <t>204:432</t>
  </si>
  <si>
    <t>300:58656</t>
  </si>
  <si>
    <t>300:58971</t>
  </si>
  <si>
    <t>204:778</t>
  </si>
  <si>
    <t>204:1070</t>
  </si>
  <si>
    <t>300:58664</t>
  </si>
  <si>
    <t>204:976</t>
  </si>
  <si>
    <t>300:58920</t>
  </si>
  <si>
    <t>300:58956</t>
  </si>
  <si>
    <t>300:58638</t>
  </si>
  <si>
    <t>204:1009</t>
  </si>
  <si>
    <t>204:794</t>
  </si>
  <si>
    <t>204:1000</t>
  </si>
  <si>
    <t>300:58954</t>
  </si>
  <si>
    <t>204:696</t>
  </si>
  <si>
    <t>204:1086</t>
  </si>
  <si>
    <t>300:58958</t>
  </si>
  <si>
    <t>204:670</t>
  </si>
  <si>
    <t>300:58944</t>
  </si>
  <si>
    <t>300:58939</t>
  </si>
  <si>
    <t>300:58624</t>
  </si>
  <si>
    <t>204:790</t>
  </si>
  <si>
    <t>204:684</t>
  </si>
  <si>
    <t>204:1079</t>
  </si>
  <si>
    <t>300:58641</t>
  </si>
  <si>
    <t>204:986</t>
  </si>
  <si>
    <t>300:58617</t>
  </si>
  <si>
    <t>204:659</t>
  </si>
  <si>
    <t>204:950</t>
  </si>
  <si>
    <t>204:710</t>
  </si>
  <si>
    <t>300:58941</t>
  </si>
  <si>
    <t>204:988</t>
  </si>
  <si>
    <t>300:58965</t>
  </si>
  <si>
    <t>204:992</t>
  </si>
  <si>
    <t>300:30173</t>
  </si>
  <si>
    <t>300:58937</t>
  </si>
  <si>
    <t>300:23464</t>
  </si>
  <si>
    <t>300:24239</t>
  </si>
  <si>
    <t>300:23669</t>
  </si>
  <si>
    <t>300:58628</t>
  </si>
  <si>
    <t>300:21844</t>
  </si>
  <si>
    <t>start /low /b %USERPROFILE%\Documents\GitHub\eaglep3\Utilities\DownloadLogsFromS3.py --loco 4010 --day 2017-06-09</t>
  </si>
  <si>
    <t>start /low /b %USERPROFILE%\Documents\GitHub\eaglep3\Utilities\DownloadLogsFromS3.py --loco 4046 --day 2017-06-09</t>
  </si>
  <si>
    <t>start /low /b %USERPROFILE%\Documents\GitHub\eaglep3\Utilities\DownloadLogsFromS3.py --loco 4030 --day 2017-06-10</t>
  </si>
  <si>
    <t>start /low /b %USERPROFILE%\Documents\GitHub\eaglep3\Utilities\DownloadLogsFromS3.py --loco 4006 --day 2017-06-10</t>
  </si>
  <si>
    <t>start /low /b %USERPROFILE%\Documents\GitHub\eaglep3\Utilities\DownloadLogsFromS3.py --loco 4045 --day 2017-06-09</t>
  </si>
  <si>
    <t>start /low /b %USERPROFILE%\Documents\GitHub\eaglep3\Utilities\DownloadLogsFromS3.py --loco 4053 --day 2017-06-09</t>
  </si>
  <si>
    <t>start /low /b %USERPROFILE%\Documents\GitHub\eaglep3\Utilities\DownloadLogsFromS3.py --loco 4005 --day 2017-06-09</t>
  </si>
  <si>
    <t>start /low /b %USERPROFILE%\Documents\GitHub\eaglep3\Utilities\DownloadLogsFromS3.py --loco 4011 --day 2017-06-09</t>
  </si>
  <si>
    <t>start /low /b %USERPROFILE%\Documents\GitHub\eaglep3\Utilities\DownloadLogsFromS3.py --loco 4019 --day 2017-06-09</t>
  </si>
  <si>
    <t>start /low /b %USERPROFILE%\Documents\GitHub\eaglep3\Utilities\DownloadLogsFromS3.py --loco 4046 --day 2017-06-10</t>
  </si>
  <si>
    <t>start /low /b %USERPROFILE%\Documents\GitHub\eaglep3\Utilities\DownloadLogsFromS3.py --loco 4045 --day 2017-06-10</t>
  </si>
  <si>
    <t>start /low /b %USERPROFILE%\Documents\GitHub\eaglep3\Utilities\DownloadLogsFromS3.py --loco 4020 --day 2017-06-09</t>
  </si>
  <si>
    <t>start /low /b %USERPROFILE%\Documents\GitHub\eaglep3\Utilities\DownloadLogsFromS3.py --loco 4029 --day 2017-06-10</t>
  </si>
  <si>
    <t>start /low /b %USERPROFILE%\Documents\GitHub\eaglep3\Utilities\DownloadLogsFromS3.py --loco 4029 --day 2017-06-09</t>
  </si>
  <si>
    <t>start /low /b %USERPROFILE%\Documents\GitHub\eaglep3\Utilities\DownloadLogsFromS3.py --loco 4061 --day 2017-06-09</t>
  </si>
  <si>
    <t>start /low /b %USERPROFILE%\Documents\GitHub\eaglep3\Utilities\DownloadLogsFromS3.py --loco 4054 --day 2017-06-09</t>
  </si>
  <si>
    <t>start /low /b %USERPROFILE%\Documents\GitHub\eaglep3\Utilities\DownloadLogsFromS3.py --loco 4005 --day 2017-06-10</t>
  </si>
  <si>
    <t>start /low /b %USERPROFILE%\Documents\GitHub\eaglep3\Utilities\DownloadLogsFromS3.py --loco 4021 --day 2017-06-10</t>
  </si>
  <si>
    <t>start /low /b %USERPROFILE%\Documents\GitHub\eaglep3\Utilities\DownloadLogsFromS3.py --loco 4030 --day 2017-06-09</t>
  </si>
  <si>
    <t>start /low /b %USERPROFILE%\Documents\GitHub\eaglep3\Utilities\DownloadLogsFromS3.py --loco 4027 --day 2017-06-09</t>
  </si>
  <si>
    <t>start /low /b %USERPROFILE%\Documents\GitHub\eaglep3\Utilities\DownloadLogsFromS3.py --loco 4015 --day 2017-06-09</t>
  </si>
  <si>
    <t>start /low /b %USERPROFILE%\Documents\GitHub\eaglep3\Utilities\DownloadLogsFromS3.py --loco 4015 --day 2017-06-10</t>
  </si>
  <si>
    <t>start /low /b %USERPROFILE%\Documents\GitHub\eaglep3\Utilities\DownloadLogsFromS3.py --loco 4016 --day 2017-06-09</t>
  </si>
  <si>
    <t>CCROC/crew/equipment mismatch (specifically consist)</t>
  </si>
  <si>
    <t>Form C</t>
  </si>
  <si>
    <t>Brief Wi-MAX data drop caused unhealthy and a slight delay - no enforcement or cut out</t>
  </si>
  <si>
    <t>Incident about unhealthy @ Chambers - actually an Early Arrival enforcement at SB Quebec</t>
  </si>
  <si>
    <t>Main 3 departure</t>
  </si>
  <si>
    <t>Delayed by onboard in-route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</si>
</sst>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80"/>
  <sheetViews>
    <sheetView tabSelected="1" topLeftCell="A155" zoomScaleNormal="100" workbookViewId="0">
      <selection activeCell="R171" sqref="A171:R17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42895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42895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47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COUNTIFS($N$13:$N$9325,"&gt;0",$AG$13:$AG$9325,I1)</f>
        <v>141</v>
      </c>
      <c r="K5" s="39"/>
      <c r="L5" s="39"/>
      <c r="M5" s="40">
        <f>AVERAGEIFS($N$13:$N$9325,$AG$13:$AG$9325,I1)</f>
        <v>38.696690307375285</v>
      </c>
      <c r="N5" s="38">
        <f t="array" ref="N5">MIN(IF($AG$13:$AG$9325=I1,IF(ISNUMBER($N$13:$N$9325),IF($N$13:$N$9325&gt;0,$N$13:$N$9325))))</f>
        <v>34.73333333269693</v>
      </c>
      <c r="O5" s="3">
        <f t="array" ref="O5">MAX(IF($AG$13:$AG$9325=I1,IF(ISNUMBER($N$13:$N$9325),IF($N$13:$N$9325&gt;0,$N$13:$N$9325))))</f>
        <v>45.90000000083819</v>
      </c>
      <c r="P5" s="2"/>
      <c r="R5" s="169" t="s">
        <v>17</v>
      </c>
      <c r="S5" s="193">
        <f>COUNTIFS($N$13:$N$9325,"&gt;0",$AG$13:$AG$9325,R1)</f>
        <v>47</v>
      </c>
      <c r="T5" s="194"/>
      <c r="U5" s="194"/>
      <c r="V5" s="190">
        <f>AVERAGEIFS($N$13:$N$9325,$AG$13:$AG$9325,R1)</f>
        <v>15.212056737076095</v>
      </c>
      <c r="W5" s="191">
        <f t="array" ref="W5">MIN(IF($AG$13:$AG$9325=R1,IF(ISNUMBER($N$13:$N$9325),IF($N$13:$N$9325&gt;0,$N$13:$N$9325))))</f>
        <v>12.749999994412065</v>
      </c>
      <c r="X5" s="192">
        <f t="array" ref="X5">MAX(IF($AG$13:$AG$9325=R1,IF(ISNUMBER($N$13:$N$9325),IF($N$13:$N$9325&gt;0,$N$13:$N$9325))))</f>
        <v>24.016666664974764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COUNT($O$13:$O$128)</f>
        <v>0</v>
      </c>
      <c r="K6" s="39"/>
      <c r="L6" s="39"/>
      <c r="M6" s="40">
        <f>IFERROR(AVERAGE($O$13:$O$128),0)</f>
        <v>0</v>
      </c>
      <c r="N6" s="38">
        <f>MIN($O$13:$O$128)</f>
        <v>0</v>
      </c>
      <c r="O6" s="3">
        <f>MAX($O$13:$O$128)</f>
        <v>0</v>
      </c>
      <c r="P6" s="2"/>
      <c r="R6" s="170" t="s">
        <v>43</v>
      </c>
      <c r="S6" s="193">
        <f>COUNT($O$13:$O$128)</f>
        <v>0</v>
      </c>
      <c r="T6" s="194"/>
      <c r="U6" s="194"/>
      <c r="V6" s="190">
        <f>IFERROR(AVERAGE($O$13:$O$128),0)</f>
        <v>0</v>
      </c>
      <c r="W6" s="191">
        <f>MIN($O$13:$O$128)</f>
        <v>0</v>
      </c>
      <c r="X6" s="192">
        <f>MAX($O$13:$O$128)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COUNTIFS($P$13:$P$9325,"&gt;0",$AG$13:$AG$9325,I1)</f>
        <v>5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COUNTIFS($P$13:$P$9325,"&gt;0",$AG$13:$AG$9325,R1)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141</v>
      </c>
      <c r="K8" s="39"/>
      <c r="L8" s="39"/>
      <c r="M8" s="40">
        <f>M5</f>
        <v>38.696690307375285</v>
      </c>
      <c r="N8" s="38">
        <f>N5</f>
        <v>34.73333333269693</v>
      </c>
      <c r="O8" s="3">
        <f>O5</f>
        <v>45.90000000083819</v>
      </c>
      <c r="P8" s="2"/>
      <c r="R8" s="169" t="s">
        <v>16</v>
      </c>
      <c r="S8" s="193">
        <f>S5</f>
        <v>47</v>
      </c>
      <c r="T8" s="194"/>
      <c r="U8" s="194"/>
      <c r="V8" s="190">
        <f>V5</f>
        <v>15.212056737076095</v>
      </c>
      <c r="W8" s="191">
        <f>W5</f>
        <v>12.749999994412065</v>
      </c>
      <c r="X8" s="192">
        <f>X5</f>
        <v>24.016666664974764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0.96575342465753422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- 2017-06-09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AVERAGE(S13:S98)</f>
        <v>0.9882352941176471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637</v>
      </c>
      <c r="B13" s="7">
        <v>4010</v>
      </c>
      <c r="C13" s="21" t="s">
        <v>204</v>
      </c>
      <c r="D13" s="21" t="s">
        <v>833</v>
      </c>
      <c r="E13" s="13">
        <v>42895.164722222224</v>
      </c>
      <c r="F13" s="13">
        <v>42895.208495370367</v>
      </c>
      <c r="G13" s="7">
        <v>1</v>
      </c>
      <c r="H13" s="21" t="s">
        <v>498</v>
      </c>
      <c r="I13" s="13">
        <v>42895.233981481484</v>
      </c>
      <c r="J13" s="7">
        <v>0</v>
      </c>
      <c r="K13" s="92" t="str">
        <f t="shared" ref="K13:K76" si="0">IF(ISEVEN(B13),(B13-1)&amp;"/"&amp;B13,B13&amp;"/"&amp;(B13+1))</f>
        <v>4009/4010</v>
      </c>
      <c r="L13" s="21" t="str">
        <f>VLOOKUP(A13,'Trips&amp;Operators'!$C$1:$G$99999,5,FALSE)</f>
        <v>STARKS ANGELINA</v>
      </c>
      <c r="M13" s="6">
        <f t="shared" ref="M13:M76" si="1">I13-F13</f>
        <v>2.5486111117061228E-2</v>
      </c>
      <c r="N13" s="7"/>
      <c r="O13" s="7"/>
      <c r="P13" s="7">
        <f>24*60*SUM($M13:$M13)</f>
        <v>36.700000008568168</v>
      </c>
      <c r="Q13" s="22"/>
      <c r="R13" s="173" t="s">
        <v>1009</v>
      </c>
      <c r="S13" s="176">
        <f t="shared" ref="S13:S44" si="2">SUM(U13:U13)/IF(AG13="EC",12,1)</f>
        <v>0</v>
      </c>
      <c r="T13" s="202" t="str">
        <f t="shared" ref="T13:T76" si="3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203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-09T02:57:12-0600',mode:absolute,to:'2017-06-09T06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" s="204" t="str">
        <f t="shared" ref="W13:W76" si="5">IF(AA13&lt;IF(AG13="EC",23,5.65),"Y","N")</f>
        <v>Y</v>
      </c>
      <c r="X13" s="204" t="e">
        <f t="shared" ref="X13:X76" si="6">VALUE(LEFT(AD13,4))-VALUE(LEFT(AD12,4))</f>
        <v>#VALUE!</v>
      </c>
      <c r="Y13" s="204">
        <f t="shared" ref="Y13:Y44" si="7">RIGHT(D13,LEN(D13)-4)/10000</f>
        <v>23.328499999999998</v>
      </c>
      <c r="Z13" s="204">
        <f t="shared" ref="Z13:Z44" si="8">RIGHT(H13,LEN(H13)-4)/10000</f>
        <v>23.329799999999999</v>
      </c>
      <c r="AA13" s="204">
        <f t="shared" ref="AA13:AA76" si="9">ABS(Z13-Y13)</f>
        <v>1.300000000000523E-3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0">IF(LEN(A13)=6,"0"&amp;A13,A13)</f>
        <v>0101-09</v>
      </c>
      <c r="AE13" s="80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s3://rtdc.mdm.uploadarchive.raw/RTDC4010/ "%USERPROFILE%\AppData\Local\Temp\OnboardLogs"\RTDC4010\2017-06-09 --exclude "*" --recursive --include "*20170609*" &amp; "%USERPROFILE%\Documents\GitHub\mrs-test-scripts\Headless Mode &amp; Sideloading\WalkAndUnGZ.bat" "%USERPROFILE%\AppData\Local\Temp\OnboardLogs"\RTDC4010\2017-06-09 &amp; aws s3 cp s3://rtdc.mdm.uploadarchive.raw/RTDC4010/ "%USERPROFILE%\AppData\Local\Temp\OnboardLogs"\RTDC4010\2017-06-10 --exclude "*" --recursive --include "*20170610*" &amp; "%USERPROFILE%\Documents\GitHub\mrs-test-scripts\Headless Mode &amp; Sideloading\WalkAndUnGZ.bat" "%USERPROFILE%\AppData\Local\Temp\OnboardLogs"\RTDC4010\2017-06-10</v>
      </c>
      <c r="AF13" s="77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/stypes="app*4010*20170609*" /stext=" 11:.+((SYSTEM_STATE.+slice.+state.+changed )|(ment ac)|(multiple cpu faults)|(system.+state.+changed )|(\[timeout)|(PRM\|1\|D)|(kpr)|(kdp)|(train st.+moving)|(\|lc)|(penalty))"</v>
      </c>
      <c r="AG13" s="1" t="str">
        <f t="shared" ref="AG13:AG76" si="13">IFERROR(IF(VALUE(LEFT(AD13,2))&lt;=2,"EC",IF(OR(VALUE(LEFT(AD13,2))=8,VALUE(LEFT(AD13,2))=18),"NW","Other")),"Other")</f>
        <v>EC</v>
      </c>
      <c r="AH13" s="81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4010 --swversion DE.1.0.9.0 --startMP 204:233285 --initTime 2017-06-09T03:57:12 --startdatetime 2017-06-09T05:00:14 --delay 1 --endMP 204:233298 --enddatetime 2017-06-09T05:36:56 --enforcementcount 0 &gt;&gt;C:\Users\stu\Documents\GitHub\eaglep3-reporting\EC\2017-06-09-refined-times.txt</v>
      </c>
      <c r="AI13" s="99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{"issue":{"subject":"CCROC/crew/equipment mismatch (specifically consist)","project_id":79,"tracker_id":40,"status_id":1,"priority_id":2,"assigned_to_id":23,"start_date":"2017-06-09","description":"","custom_fields":[{"id":1,"name":"Subdivision","value":"EC"},{"id":4,"name":"Milepost","value":"23.3298"},{"id":17,"name":"Train ID","value":"101-09"},{"id":16,"name":"Locomotive ID","value":"4010"},{"id":130,"name":"Impact","value":""},{"id":150,"name":"Time of Event (Mountain Time)","value":"05:36:56"},{"id":151,"name":"Denver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6">"start /low /b "&amp;dls3logs&amp;" --loco "&amp;B13&amp;" --day "&amp;TEXT(F13,"YYYY-MM-DD")</f>
        <v>start /low /b %USERPROFILE%\Documents\GitHub\eaglep3\Utilities\DownloadLogsFromS3.py --loco 4010 --day 2017-06-09</v>
      </c>
      <c r="AN13" s="154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{"issue":{"subject":"CCROC/crew/equipment mismatch (specifically consist)","project_id":30,"tracker_id":4,"status_id":1,"priority_id":1,"assigned_to_id":10,"start_date":"2017-06-09","description":"","custom_fields":[{"id":30,"name":"Category","value":"Issue"},{"id":3,"name":"Functional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11:36:56"},{"id":29,"name":"Sharepoint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643</v>
      </c>
      <c r="B14" s="7">
        <v>4009</v>
      </c>
      <c r="C14" s="21" t="s">
        <v>204</v>
      </c>
      <c r="D14" s="21" t="s">
        <v>535</v>
      </c>
      <c r="E14" s="13">
        <v>42895.166678240741</v>
      </c>
      <c r="F14" s="13">
        <v>42895.17591435185</v>
      </c>
      <c r="G14" s="7">
        <v>1</v>
      </c>
      <c r="H14" s="21" t="s">
        <v>196</v>
      </c>
      <c r="I14" s="13">
        <v>42895.20275462963</v>
      </c>
      <c r="J14" s="7">
        <v>0</v>
      </c>
      <c r="K14" s="92" t="str">
        <f t="shared" si="0"/>
        <v>4009/4010</v>
      </c>
      <c r="L14" s="21" t="str">
        <f>VLOOKUP(A14,'Trips&amp;Operators'!$C$1:$G$99999,5,FALSE)</f>
        <v>STARKS ANGELINA</v>
      </c>
      <c r="M14" s="6">
        <f t="shared" si="1"/>
        <v>2.6840277780138422E-2</v>
      </c>
      <c r="N14" s="7">
        <f t="shared" ref="N14:N45" si="18">24*60*SUM($M14:$M14)</f>
        <v>38.650000003399327</v>
      </c>
      <c r="O14" s="7"/>
      <c r="P14" s="7"/>
      <c r="Q14" s="22"/>
      <c r="R14" s="173"/>
      <c r="S14" s="176">
        <f t="shared" si="2"/>
        <v>1</v>
      </c>
      <c r="T14" s="202" t="str">
        <f t="shared" si="3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4"/>
        <v>https://d0f6bd738d7f1b3e5a7ca70fe4ff75f0.us-east-1.aws.found.io/app/kibana#/discover/Steve-Slow-Train-Analysis-(2080s-and-2083s)?_g=(refreshInterval:(display:Off,pause:!f,section:0,value:0),time:(from:'2017-06-09T03:00:01-0600',mode:absolute,to:'2017-06-09T05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" s="204" t="str">
        <f t="shared" si="5"/>
        <v>N</v>
      </c>
      <c r="X14" s="204">
        <f t="shared" si="6"/>
        <v>1</v>
      </c>
      <c r="Y14" s="204">
        <f t="shared" si="7"/>
        <v>23.298100000000002</v>
      </c>
      <c r="Z14" s="204">
        <f t="shared" si="8"/>
        <v>1.5800000000000002E-2</v>
      </c>
      <c r="AA14" s="204">
        <f t="shared" si="9"/>
        <v>23.282300000000003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0"/>
        <v>0102-09</v>
      </c>
      <c r="AE14" s="80" t="str">
        <f t="shared" si="11"/>
        <v>aws s3 cp s3://rtdc.mdm.uploadarchive.raw/RTDC4009/ "%USERPROFILE%\AppData\Local\Temp\OnboardLogs"\RTDC4009\2017-06-09 --exclude "*" --recursive --include "*20170609*" &amp; "%USERPROFILE%\Documents\GitHub\mrs-test-scripts\Headless Mode &amp; Sideloading\WalkAndUnGZ.bat" "%USERPROFILE%\AppData\Local\Temp\OnboardLogs"\RTDC4009\2017-06-09 &amp; aws s3 cp s3://rtdc.mdm.uploadarchive.raw/RTDC4009/ "%USERPROFILE%\AppData\Local\Temp\OnboardLogs"\RTDC4009\2017-06-10 --exclude "*" --recursive --include "*20170610*" &amp; "%USERPROFILE%\Documents\GitHub\mrs-test-scripts\Headless Mode &amp; Sideloading\WalkAndUnGZ.bat" "%USERPROFILE%\AppData\Local\Temp\OnboardLogs"\RTDC4009\2017-06-10</v>
      </c>
      <c r="AF14" s="77" t="str">
        <f t="shared" si="12"/>
        <v>"C:\Program Files (x86)\AstroGrep\AstroGrep.exe" /e /r /s /spath="%USERPROFILE%\AppData\Local\Temp\OnboardLogs" /stypes="app*4009*20170609*" /stext=" 10:.+((SYSTEM_STATE.+slice.+state.+changed )|(ment ac)|(multiple cpu faults)|(system.+state.+changed )|(\[timeout)|(PRM\|1\|D)|(kpr)|(kdp)|(train st.+moving)|(\|lc)|(penalty))"</v>
      </c>
      <c r="AG14" s="1" t="str">
        <f t="shared" si="13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4009 --swversion DE.1.0.9.0 --startMP 204:232981 --initTime 2017-06-09T04:00:01 --startdatetime 2017-06-09T04:13:19 --delay 1 --endMP 204:158 --enddatetime 2017-06-09T04:51:58 --enforcementcount 0 &gt;&gt;C:\Users\stu\Documents\GitHub\eaglep3-reporting\EC\2017-06-09-refined-times.txt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{"issue":{"subject":"","project_id":79,"tracker_id":40,"status_id":1,"priority_id":2,"assigned_to_id":23,"start_date":"2017-06-09","description":"","custom_fields":[{"id":1,"name":"Subdivision","value":"EC"},{"id":4,"name":"Milepost","value":"0.0158"},{"id":17,"name":"Train ID","value":"102-09"},{"id":16,"name":"Locomotive ID","value":"4009"},{"id":130,"name":"Impact","value":""},{"id":150,"name":"Time of Event (Mountain Time)","value":"04:51:58"},{"id":151,"name":"Denver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4009 --day 2017-06-09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10:51:58"},{"id":29,"name":"Sharepoint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640</v>
      </c>
      <c r="B15" s="7">
        <v>4046</v>
      </c>
      <c r="C15" s="21" t="s">
        <v>204</v>
      </c>
      <c r="D15" s="21" t="s">
        <v>351</v>
      </c>
      <c r="E15" s="13">
        <v>42895.14949074074</v>
      </c>
      <c r="F15" s="13">
        <v>42895.156643518516</v>
      </c>
      <c r="G15" s="7">
        <v>1</v>
      </c>
      <c r="H15" s="21" t="s">
        <v>453</v>
      </c>
      <c r="I15" s="13">
        <v>42895.183437500003</v>
      </c>
      <c r="J15" s="7">
        <v>0</v>
      </c>
      <c r="K15" s="92" t="str">
        <f t="shared" si="0"/>
        <v>4045/4046</v>
      </c>
      <c r="L15" s="21" t="str">
        <f>VLOOKUP(A15,'Trips&amp;Operators'!$C$1:$G$99999,5,FALSE)</f>
        <v>WILLIAMS DONTE</v>
      </c>
      <c r="M15" s="6">
        <f t="shared" si="1"/>
        <v>2.6793981487571727E-2</v>
      </c>
      <c r="N15" s="7">
        <f t="shared" si="18"/>
        <v>38.583333342103288</v>
      </c>
      <c r="O15" s="7"/>
      <c r="P15" s="7"/>
      <c r="Q15" s="22"/>
      <c r="R15" s="173"/>
      <c r="S15" s="176">
        <f t="shared" si="2"/>
        <v>1</v>
      </c>
      <c r="T15" s="202" t="str">
        <f t="shared" si="3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4"/>
        <v>https://d0f6bd738d7f1b3e5a7ca70fe4ff75f0.us-east-1.aws.found.io/app/kibana#/discover/Steve-Slow-Train-Analysis-(2080s-and-2083s)?_g=(refreshInterval:(display:Off,pause:!f,section:0,value:0),time:(from:'2017-06-09T02:35:16-0600',mode:absolute,to:'2017-06-09T05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204" t="str">
        <f t="shared" si="5"/>
        <v>N</v>
      </c>
      <c r="X15" s="204">
        <f t="shared" si="6"/>
        <v>1</v>
      </c>
      <c r="Y15" s="204">
        <f t="shared" si="7"/>
        <v>4.58E-2</v>
      </c>
      <c r="Z15" s="204">
        <f t="shared" si="8"/>
        <v>23.329699999999999</v>
      </c>
      <c r="AA15" s="204">
        <f t="shared" si="9"/>
        <v>23.283899999999999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0"/>
        <v>0103-09</v>
      </c>
      <c r="AE15" s="80" t="str">
        <f t="shared" si="11"/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AF15" s="77" t="str">
        <f t="shared" si="12"/>
        <v>"C:\Program Files (x86)\AstroGrep\AstroGrep.exe" /e /r /s /spath="%USERPROFILE%\AppData\Local\Temp\OnboardLogs" /stypes="app*4046*20170609*" /stext=" 10:.+((SYSTEM_STATE.+slice.+state.+changed )|(ment ac)|(multiple cpu faults)|(system.+state.+changed )|(\[timeout)|(PRM\|1\|D)|(kpr)|(kdp)|(train st.+moving)|(\|lc)|(penalty))"</v>
      </c>
      <c r="AG15" s="1" t="str">
        <f t="shared" si="13"/>
        <v>EC</v>
      </c>
      <c r="AH15" s="81" t="str">
        <f t="shared" si="19"/>
        <v>"%USERPROFILE%\Documents\GitHub\eaglep3\Utilities\RefineRTDCRunTimes.py" --tripid 103-09 --locoid 4046 --swversion DE.1.0.9.0 --startMP 204:458 --initTime 2017-06-09T03:35:16 --startdatetime 2017-06-09T03:45:34 --delay 1 --endMP 204:233297 --enddatetime 2017-06-09T04:24:09 --enforcementcount 0 &gt;&gt;C:\Users\stu\Documents\GitHub\eaglep3-reporting\EC\2017-06-09-refined-times.txt</v>
      </c>
      <c r="AI15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{"issue":{"subject":"","project_id":79,"tracker_id":40,"status_id":1,"priority_id":2,"assigned_to_id":23,"start_date":"2017-06-09","description":"","custom_fields":[{"id":1,"name":"Subdivision","value":"EC"},{"id":4,"name":"Milepost","value":"23.3297"},{"id":17,"name":"Train ID","value":"103-09"},{"id":16,"name":"Locomotive ID","value":"4046"},{"id":130,"name":"Impact","value":""},{"id":150,"name":"Time of Event (Mountain Time)","value":"04:24:09"},{"id":151,"name":"Denver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4046 --day 2017-06-09</v>
      </c>
      <c r="AN15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10:24:09"},{"id":29,"name":"Sharepoint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648</v>
      </c>
      <c r="B16" s="7">
        <v>4045</v>
      </c>
      <c r="C16" s="21" t="s">
        <v>204</v>
      </c>
      <c r="D16" s="21" t="s">
        <v>538</v>
      </c>
      <c r="E16" s="13">
        <v>42895.185185185182</v>
      </c>
      <c r="F16" s="13">
        <v>42895.196157407408</v>
      </c>
      <c r="G16" s="7">
        <v>1</v>
      </c>
      <c r="H16" s="21" t="s">
        <v>363</v>
      </c>
      <c r="I16" s="13">
        <v>42895.22452546296</v>
      </c>
      <c r="J16" s="7">
        <v>0</v>
      </c>
      <c r="K16" s="92" t="str">
        <f t="shared" si="0"/>
        <v>4045/4046</v>
      </c>
      <c r="L16" s="21" t="str">
        <f>VLOOKUP(A16,'Trips&amp;Operators'!$C$1:$G$99999,5,FALSE)</f>
        <v>WILLIAMS DONTE</v>
      </c>
      <c r="M16" s="6">
        <f t="shared" si="1"/>
        <v>2.8368055551254656E-2</v>
      </c>
      <c r="N16" s="7">
        <f t="shared" si="18"/>
        <v>40.849999993806705</v>
      </c>
      <c r="O16" s="7"/>
      <c r="P16" s="7"/>
      <c r="Q16" s="22"/>
      <c r="R16" s="173"/>
      <c r="S16" s="176">
        <f t="shared" si="2"/>
        <v>1</v>
      </c>
      <c r="T16" s="202" t="str">
        <f t="shared" si="3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4"/>
        <v>https://d0f6bd738d7f1b3e5a7ca70fe4ff75f0.us-east-1.aws.found.io/app/kibana#/discover/Steve-Slow-Train-Analysis-(2080s-and-2083s)?_g=(refreshInterval:(display:Off,pause:!f,section:0,value:0),time:(from:'2017-06-09T03:26:40-0600',mode:absolute,to:'2017-06-09T06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" s="204" t="str">
        <f t="shared" si="5"/>
        <v>N</v>
      </c>
      <c r="X16" s="204">
        <f t="shared" si="6"/>
        <v>1</v>
      </c>
      <c r="Y16" s="204">
        <f t="shared" si="7"/>
        <v>23.298500000000001</v>
      </c>
      <c r="Z16" s="204">
        <f t="shared" si="8"/>
        <v>1.41E-2</v>
      </c>
      <c r="AA16" s="204">
        <f t="shared" si="9"/>
        <v>23.284400000000002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0"/>
        <v>0104-09</v>
      </c>
      <c r="AE16" s="80" t="str">
        <f t="shared" si="11"/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AF16" s="77" t="str">
        <f t="shared" si="12"/>
        <v>"C:\Program Files (x86)\AstroGrep\AstroGrep.exe" /e /r /s /spath="%USERPROFILE%\AppData\Local\Temp\OnboardLogs" /stypes="app*4045*20170609*" /stext=" 11:.+((SYSTEM_STATE.+slice.+state.+changed )|(ment ac)|(multiple cpu faults)|(system.+state.+changed )|(\[timeout)|(PRM\|1\|D)|(kpr)|(kdp)|(train st.+moving)|(\|lc)|(penalty))"</v>
      </c>
      <c r="AG16" s="1" t="str">
        <f t="shared" si="13"/>
        <v>EC</v>
      </c>
      <c r="AH16" s="81" t="str">
        <f t="shared" si="19"/>
        <v>"%USERPROFILE%\Documents\GitHub\eaglep3\Utilities\RefineRTDCRunTimes.py" --tripid 104-09 --locoid 4045 --swversion DE.1.0.9.0 --startMP 204:232985 --initTime 2017-06-09T04:26:40 --startdatetime 2017-06-09T04:42:28 --delay 1 --endMP 204:141 --enddatetime 2017-06-09T05:23:19 --enforcementcount 0 &gt;&gt;C:\Users\stu\Documents\GitHub\eaglep3-reporting\EC\2017-06-09-refined-times.txt</v>
      </c>
      <c r="AI16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{"issue":{"subject":"","project_id":79,"tracker_id":40,"status_id":1,"priority_id":2,"assigned_to_id":23,"start_date":"2017-06-09","description":"","custom_fields":[{"id":1,"name":"Subdivision","value":"EC"},{"id":4,"name":"Milepost","value":"0.0141"},{"id":17,"name":"Train ID","value":"104-09"},{"id":16,"name":"Locomotive ID","value":"4045"},{"id":130,"name":"Impact","value":""},{"id":150,"name":"Time of Event (Mountain Time)","value":"05:23:19"},{"id":151,"name":"Denver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4045 --day 2017-06-09</v>
      </c>
      <c r="AN16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11:23:19"},{"id":29,"name":"Sharepoint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645</v>
      </c>
      <c r="B17" s="7">
        <v>4030</v>
      </c>
      <c r="C17" s="21" t="s">
        <v>204</v>
      </c>
      <c r="D17" s="21" t="s">
        <v>200</v>
      </c>
      <c r="E17" s="13">
        <v>42895.171863425923</v>
      </c>
      <c r="F17" s="13">
        <v>42895.177245370367</v>
      </c>
      <c r="G17" s="7">
        <v>1</v>
      </c>
      <c r="H17" s="21" t="s">
        <v>834</v>
      </c>
      <c r="I17" s="13">
        <v>42895.203136574077</v>
      </c>
      <c r="J17" s="7">
        <v>0</v>
      </c>
      <c r="K17" s="92" t="str">
        <f t="shared" si="0"/>
        <v>4029/4030</v>
      </c>
      <c r="L17" s="21" t="str">
        <f>VLOOKUP(A17,'Trips&amp;Operators'!$C$1:$G$99999,5,FALSE)</f>
        <v>BONDS REYNALDO</v>
      </c>
      <c r="M17" s="6">
        <f t="shared" si="1"/>
        <v>2.5891203709761612E-2</v>
      </c>
      <c r="N17" s="7">
        <f t="shared" si="18"/>
        <v>37.283333342056721</v>
      </c>
      <c r="O17" s="7"/>
      <c r="P17" s="7"/>
      <c r="Q17" s="22"/>
      <c r="R17" s="173"/>
      <c r="S17" s="176">
        <f t="shared" si="2"/>
        <v>1</v>
      </c>
      <c r="T17" s="202" t="str">
        <f t="shared" si="3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4"/>
        <v>https://d0f6bd738d7f1b3e5a7ca70fe4ff75f0.us-east-1.aws.found.io/app/kibana#/discover/Steve-Slow-Train-Analysis-(2080s-and-2083s)?_g=(refreshInterval:(display:Off,pause:!f,section:0,value:0),time:(from:'2017-06-09T03:07:29-0600',mode:absolute,to:'2017-06-09T05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204" t="str">
        <f t="shared" si="5"/>
        <v>N</v>
      </c>
      <c r="X17" s="204">
        <f t="shared" si="6"/>
        <v>1</v>
      </c>
      <c r="Y17" s="204">
        <f t="shared" si="7"/>
        <v>4.5699999999999998E-2</v>
      </c>
      <c r="Z17" s="204">
        <f t="shared" si="8"/>
        <v>23.328299999999999</v>
      </c>
      <c r="AA17" s="204">
        <f t="shared" si="9"/>
        <v>23.282599999999999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0"/>
        <v>0105-09</v>
      </c>
      <c r="AE17" s="80" t="str">
        <f t="shared" si="11"/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AF17" s="77" t="str">
        <f t="shared" si="12"/>
        <v>"C:\Program Files (x86)\AstroGrep\AstroGrep.exe" /e /r /s /spath="%USERPROFILE%\AppData\Local\Temp\OnboardLogs" /stypes="app*4030*20170609*" /stext=" 10:.+((SYSTEM_STATE.+slice.+state.+changed )|(ment ac)|(multiple cpu faults)|(system.+state.+changed )|(\[timeout)|(PRM\|1\|D)|(kpr)|(kdp)|(train st.+moving)|(\|lc)|(penalty))"</v>
      </c>
      <c r="AG17" s="1" t="str">
        <f t="shared" si="13"/>
        <v>EC</v>
      </c>
      <c r="AH17" s="81" t="str">
        <f t="shared" si="19"/>
        <v>"%USERPROFILE%\Documents\GitHub\eaglep3\Utilities\RefineRTDCRunTimes.py" --tripid 105-09 --locoid 4030 --swversion DE.1.0.9.0 --startMP 204:457 --initTime 2017-06-09T04:07:29 --startdatetime 2017-06-09T04:15:14 --delay 1 --endMP 204:233283 --enddatetime 2017-06-09T04:52:31 --enforcementcount 0 &gt;&gt;C:\Users\stu\Documents\GitHub\eaglep3-reporting\EC\2017-06-09-refined-times.txt</v>
      </c>
      <c r="AI17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{"issue":{"subject":"","project_id":79,"tracker_id":40,"status_id":1,"priority_id":2,"assigned_to_id":23,"start_date":"2017-06-09","description":"","custom_fields":[{"id":1,"name":"Subdivision","value":"EC"},{"id":4,"name":"Milepost","value":"23.3283"},{"id":17,"name":"Train ID","value":"105-09"},{"id":16,"name":"Locomotive ID","value":"4030"},{"id":130,"name":"Impact","value":""},{"id":150,"name":"Time of Event (Mountain Time)","value":"04:52:31"},{"id":151,"name":"Denver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4030 --day 2017-06-09</v>
      </c>
      <c r="AN17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10:52:31"},{"id":29,"name":"Sharepoint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655</v>
      </c>
      <c r="B18" s="7">
        <v>4029</v>
      </c>
      <c r="C18" s="21" t="s">
        <v>204</v>
      </c>
      <c r="D18" s="21" t="s">
        <v>565</v>
      </c>
      <c r="E18" s="13">
        <v>42895.211759259262</v>
      </c>
      <c r="F18" s="13">
        <v>42895.216840277775</v>
      </c>
      <c r="G18" s="7">
        <v>1</v>
      </c>
      <c r="H18" s="21" t="s">
        <v>561</v>
      </c>
      <c r="I18" s="13">
        <v>42895.244826388887</v>
      </c>
      <c r="J18" s="7">
        <v>0</v>
      </c>
      <c r="K18" s="92" t="str">
        <f t="shared" si="0"/>
        <v>4029/4030</v>
      </c>
      <c r="L18" s="21" t="str">
        <f>VLOOKUP(A18,'Trips&amp;Operators'!$C$1:$G$99999,5,FALSE)</f>
        <v>BONDS REYNALDO</v>
      </c>
      <c r="M18" s="6">
        <f t="shared" si="1"/>
        <v>2.7986111112113576E-2</v>
      </c>
      <c r="N18" s="7">
        <f t="shared" si="18"/>
        <v>40.30000000144355</v>
      </c>
      <c r="O18" s="7"/>
      <c r="P18" s="7"/>
      <c r="Q18" s="22"/>
      <c r="R18" s="173"/>
      <c r="S18" s="176">
        <f t="shared" si="2"/>
        <v>1</v>
      </c>
      <c r="T18" s="202" t="str">
        <f t="shared" si="3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4"/>
        <v>https://d0f6bd738d7f1b3e5a7ca70fe4ff75f0.us-east-1.aws.found.io/app/kibana#/discover/Steve-Slow-Train-Analysis-(2080s-and-2083s)?_g=(refreshInterval:(display:Off,pause:!f,section:0,value:0),time:(from:'2017-06-09T04:04:56-0600',mode:absolute,to:'2017-06-09T06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204" t="str">
        <f t="shared" si="5"/>
        <v>N</v>
      </c>
      <c r="X18" s="204">
        <f t="shared" si="6"/>
        <v>1</v>
      </c>
      <c r="Y18" s="204">
        <f t="shared" si="7"/>
        <v>23.2987</v>
      </c>
      <c r="Z18" s="204">
        <f t="shared" si="8"/>
        <v>1.34E-2</v>
      </c>
      <c r="AA18" s="204">
        <f t="shared" si="9"/>
        <v>23.285299999999999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0"/>
        <v>0106-09</v>
      </c>
      <c r="AE18" s="80" t="str">
        <f t="shared" si="11"/>
        <v>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 &amp; 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</v>
      </c>
      <c r="AF18" s="77" t="str">
        <f t="shared" si="12"/>
        <v>"C:\Program Files (x86)\AstroGrep\AstroGrep.exe" /e /r /s /spath="%USERPROFILE%\AppData\Local\Temp\OnboardLogs" /stypes="app*4029*20170609*" /stext=" 11:.+((SYSTEM_STATE.+slice.+state.+changed )|(ment ac)|(multiple cpu faults)|(system.+state.+changed )|(\[timeout)|(PRM\|1\|D)|(kpr)|(kdp)|(train st.+moving)|(\|lc)|(penalty))"</v>
      </c>
      <c r="AG18" s="1" t="str">
        <f t="shared" si="13"/>
        <v>EC</v>
      </c>
      <c r="AH18" s="81" t="str">
        <f t="shared" si="19"/>
        <v>"%USERPROFILE%\Documents\GitHub\eaglep3\Utilities\RefineRTDCRunTimes.py" --tripid 106-09 --locoid 4029 --swversion DE.1.0.9.0 --startMP 204:232987 --initTime 2017-06-09T05:04:56 --startdatetime 2017-06-09T05:12:15 --delay 1 --endMP 204:134 --enddatetime 2017-06-09T05:52:33 --enforcementcount 0 &gt;&gt;C:\Users\stu\Documents\GitHub\eaglep3-reporting\EC\2017-06-09-refined-times.txt</v>
      </c>
      <c r="AI18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{"issue":{"subject":"","project_id":79,"tracker_id":40,"status_id":1,"priority_id":2,"assigned_to_id":23,"start_date":"2017-06-09","description":"","custom_fields":[{"id":1,"name":"Subdivision","value":"EC"},{"id":4,"name":"Milepost","value":"0.0134"},{"id":17,"name":"Train ID","value":"106-09"},{"id":16,"name":"Locomotive ID","value":"4029"},{"id":130,"name":"Impact","value":""},{"id":150,"name":"Time of Event (Mountain Time)","value":"05:52:33"},{"id":151,"name":"Denver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4029 --day 2017-06-09</v>
      </c>
      <c r="AN18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11:52:33"},{"id":29,"name":"Sharepoint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647</v>
      </c>
      <c r="B19" s="7">
        <v>4006</v>
      </c>
      <c r="C19" s="21" t="s">
        <v>204</v>
      </c>
      <c r="D19" s="21" t="s">
        <v>835</v>
      </c>
      <c r="E19" s="13">
        <v>42895.182581018518</v>
      </c>
      <c r="F19" s="13">
        <v>42895.187696759262</v>
      </c>
      <c r="G19" s="7">
        <v>1</v>
      </c>
      <c r="H19" s="21" t="s">
        <v>398</v>
      </c>
      <c r="I19" s="13">
        <v>42895.212453703702</v>
      </c>
      <c r="J19" s="7">
        <v>0</v>
      </c>
      <c r="K19" s="92" t="str">
        <f t="shared" si="0"/>
        <v>4005/4006</v>
      </c>
      <c r="L19" s="21" t="str">
        <f>VLOOKUP(A19,'Trips&amp;Operators'!$C$1:$G$99999,5,FALSE)</f>
        <v>GEBRETEKLE DAGNEW</v>
      </c>
      <c r="M19" s="6">
        <f t="shared" si="1"/>
        <v>2.4756944440014195E-2</v>
      </c>
      <c r="N19" s="7">
        <f t="shared" si="18"/>
        <v>35.64999999362044</v>
      </c>
      <c r="O19" s="7"/>
      <c r="P19" s="7"/>
      <c r="Q19" s="22"/>
      <c r="R19" s="173"/>
      <c r="S19" s="176">
        <f t="shared" si="2"/>
        <v>1</v>
      </c>
      <c r="T19" s="202" t="str">
        <f t="shared" si="3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4"/>
        <v>https://d0f6bd738d7f1b3e5a7ca70fe4ff75f0.us-east-1.aws.found.io/app/kibana#/discover/Steve-Slow-Train-Analysis-(2080s-and-2083s)?_g=(refreshInterval:(display:Off,pause:!f,section:0,value:0),time:(from:'2017-06-09T03:22:55-0600',mode:absolute,to:'2017-06-09T06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" s="204" t="str">
        <f t="shared" si="5"/>
        <v>N</v>
      </c>
      <c r="X19" s="204">
        <f t="shared" si="6"/>
        <v>1</v>
      </c>
      <c r="Y19" s="204">
        <f t="shared" si="7"/>
        <v>4.3999999999999997E-2</v>
      </c>
      <c r="Z19" s="204">
        <f t="shared" si="8"/>
        <v>23.3293</v>
      </c>
      <c r="AA19" s="204">
        <f t="shared" si="9"/>
        <v>23.285299999999999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0"/>
        <v>0107-09</v>
      </c>
      <c r="AE19" s="80" t="str">
        <f t="shared" si="11"/>
        <v>aws s3 cp s3://rtdc.mdm.uploadarchive.raw/RTDC4006/ "%USERPROFILE%\AppData\Local\Temp\OnboardLogs"\RTDC4006\2017-06-09 --exclude "*" --recursive --include "*20170609*" &amp; "%USERPROFILE%\Documents\GitHub\mrs-test-scripts\Headless Mode &amp; Sideloading\WalkAndUnGZ.bat" "%USERPROFILE%\AppData\Local\Temp\OnboardLogs"\RTDC4006\2017-06-09 &amp; 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</v>
      </c>
      <c r="AF19" s="77" t="str">
        <f t="shared" si="12"/>
        <v>"C:\Program Files (x86)\AstroGrep\AstroGrep.exe" /e /r /s /spath="%USERPROFILE%\AppData\Local\Temp\OnboardLogs" /stypes="app*4006*20170609*" /stext=" 11:.+((SYSTEM_STATE.+slice.+state.+changed )|(ment ac)|(multiple cpu faults)|(system.+state.+changed )|(\[timeout)|(PRM\|1\|D)|(kpr)|(kdp)|(train st.+moving)|(\|lc)|(penalty))"</v>
      </c>
      <c r="AG19" s="1" t="str">
        <f t="shared" si="13"/>
        <v>EC</v>
      </c>
      <c r="AH19" s="81" t="str">
        <f t="shared" si="19"/>
        <v>"%USERPROFILE%\Documents\GitHub\eaglep3\Utilities\RefineRTDCRunTimes.py" --tripid 107-09 --locoid 4006 --swversion DE.1.0.9.0 --startMP 204:440 --initTime 2017-06-09T04:22:55 --startdatetime 2017-06-09T04:30:17 --delay 1 --endMP 204:233293 --enddatetime 2017-06-09T05:05:56 --enforcementcount 0 &gt;&gt;C:\Users\stu\Documents\GitHub\eaglep3-reporting\EC\2017-06-09-refined-times.txt</v>
      </c>
      <c r="AI19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{"issue":{"subject":"","project_id":79,"tracker_id":40,"status_id":1,"priority_id":2,"assigned_to_id":23,"start_date":"2017-06-09","description":"","custom_fields":[{"id":1,"name":"Subdivision","value":"EC"},{"id":4,"name":"Milepost","value":"23.3293"},{"id":17,"name":"Train ID","value":"107-09"},{"id":16,"name":"Locomotive ID","value":"4006"},{"id":130,"name":"Impact","value":""},{"id":150,"name":"Time of Event (Mountain Time)","value":"05:05:56"},{"id":151,"name":"Denver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4006 --day 2017-06-09</v>
      </c>
      <c r="AN19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11:05:56"},{"id":29,"name":"Sharepoint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656</v>
      </c>
      <c r="B20" s="7">
        <v>4005</v>
      </c>
      <c r="C20" s="21" t="s">
        <v>204</v>
      </c>
      <c r="D20" s="21" t="s">
        <v>497</v>
      </c>
      <c r="E20" s="13">
        <v>42895.213645833333</v>
      </c>
      <c r="F20" s="13">
        <v>42895.227407407408</v>
      </c>
      <c r="G20" s="7">
        <v>0</v>
      </c>
      <c r="H20" s="21" t="s">
        <v>468</v>
      </c>
      <c r="I20" s="13">
        <v>42895.253564814811</v>
      </c>
      <c r="J20" s="7">
        <v>0</v>
      </c>
      <c r="K20" s="92" t="str">
        <f t="shared" si="0"/>
        <v>4005/4006</v>
      </c>
      <c r="L20" s="21" t="str">
        <f>VLOOKUP(A20,'Trips&amp;Operators'!$C$1:$G$99999,5,FALSE)</f>
        <v>GEBRETEKLE DAGNEW</v>
      </c>
      <c r="M20" s="6">
        <f t="shared" si="1"/>
        <v>2.6157407402934041E-2</v>
      </c>
      <c r="N20" s="7">
        <f t="shared" si="18"/>
        <v>37.666666660225019</v>
      </c>
      <c r="O20" s="7"/>
      <c r="P20" s="7"/>
      <c r="Q20" s="22"/>
      <c r="R20" s="173"/>
      <c r="S20" s="176">
        <f t="shared" si="2"/>
        <v>1</v>
      </c>
      <c r="T20" s="202" t="str">
        <f t="shared" si="3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4"/>
        <v>https://d0f6bd738d7f1b3e5a7ca70fe4ff75f0.us-east-1.aws.found.io/app/kibana#/discover/Steve-Slow-Train-Analysis-(2080s-and-2083s)?_g=(refreshInterval:(display:Off,pause:!f,section:0,value:0),time:(from:'2017-06-09T04:07:39-0600',mode:absolute,to:'2017-06-09T07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" s="204" t="str">
        <f t="shared" si="5"/>
        <v>N</v>
      </c>
      <c r="X20" s="204">
        <f t="shared" si="6"/>
        <v>1</v>
      </c>
      <c r="Y20" s="204">
        <f t="shared" si="7"/>
        <v>23.297499999999999</v>
      </c>
      <c r="Z20" s="204">
        <f t="shared" si="8"/>
        <v>1.6500000000000001E-2</v>
      </c>
      <c r="AA20" s="204">
        <f t="shared" si="9"/>
        <v>23.280999999999999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0"/>
        <v>0108-09</v>
      </c>
      <c r="AE20" s="80" t="str">
        <f t="shared" si="11"/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AF20" s="77" t="str">
        <f t="shared" si="12"/>
        <v>"C:\Program Files (x86)\AstroGrep\AstroGrep.exe" /e /r /s /spath="%USERPROFILE%\AppData\Local\Temp\OnboardLogs" /stypes="app*4005*20170609*" /stext=" 12:.+((SYSTEM_STATE.+slice.+state.+changed )|(ment ac)|(multiple cpu faults)|(system.+state.+changed )|(\[timeout)|(PRM\|1\|D)|(kpr)|(kdp)|(train st.+moving)|(\|lc)|(penalty))"</v>
      </c>
      <c r="AG20" s="1" t="str">
        <f t="shared" si="13"/>
        <v>EC</v>
      </c>
      <c r="AH20" s="81" t="str">
        <f t="shared" si="19"/>
        <v>"%USERPROFILE%\Documents\GitHub\eaglep3\Utilities\RefineRTDCRunTimes.py" --tripid 108-09 --locoid 4005 --swversion DE.1.0.9.0 --startMP 204:232975 --initTime 2017-06-09T05:07:39 --startdatetime 2017-06-09T05:27:28 --delay 0 --endMP 204:165 --enddatetime 2017-06-09T06:05:08 --enforcementcount 0 &gt;&gt;C:\Users\stu\Documents\GitHub\eaglep3-reporting\EC\2017-06-09-refined-times.txt</v>
      </c>
      <c r="AI20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{"issue":{"subject":"","project_id":79,"tracker_id":40,"status_id":1,"priority_id":2,"assigned_to_id":23,"start_date":"2017-06-09","description":"","custom_fields":[{"id":1,"name":"Subdivision","value":"EC"},{"id":4,"name":"Milepost","value":"0.0165"},{"id":17,"name":"Train ID","value":"108-09"},{"id":16,"name":"Locomotive ID","value":"4005"},{"id":130,"name":"Impact","value":""},{"id":150,"name":"Time of Event (Mountain Time)","value":"06:05:08"},{"id":151,"name":"Denver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4005 --day 2017-06-09</v>
      </c>
      <c r="AN20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12:05:08"},{"id":29,"name":"Sharepoint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587</v>
      </c>
      <c r="B21" s="7">
        <v>4054</v>
      </c>
      <c r="C21" s="21" t="s">
        <v>204</v>
      </c>
      <c r="D21" s="21" t="s">
        <v>360</v>
      </c>
      <c r="E21" s="13">
        <v>42895.193437499998</v>
      </c>
      <c r="F21" s="13">
        <v>42895.198067129626</v>
      </c>
      <c r="G21" s="7">
        <v>1</v>
      </c>
      <c r="H21" s="21" t="s">
        <v>460</v>
      </c>
      <c r="I21" s="13">
        <v>42895.225543981483</v>
      </c>
      <c r="J21" s="7">
        <v>0</v>
      </c>
      <c r="K21" s="92" t="str">
        <f t="shared" si="0"/>
        <v>4053/4054</v>
      </c>
      <c r="L21" s="21" t="str">
        <f>VLOOKUP(A21,'Trips&amp;Operators'!$C$1:$G$99999,5,FALSE)</f>
        <v>DAVIS WENDY</v>
      </c>
      <c r="M21" s="6">
        <f t="shared" si="1"/>
        <v>2.7476851857500151E-2</v>
      </c>
      <c r="N21" s="7">
        <f t="shared" si="18"/>
        <v>39.566666674800217</v>
      </c>
      <c r="O21" s="7"/>
      <c r="P21" s="7"/>
      <c r="Q21" s="22"/>
      <c r="R21" s="173"/>
      <c r="S21" s="176">
        <f t="shared" si="2"/>
        <v>1</v>
      </c>
      <c r="T21" s="202" t="str">
        <f t="shared" si="3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4"/>
        <v>https://d0f6bd738d7f1b3e5a7ca70fe4ff75f0.us-east-1.aws.found.io/app/kibana#/discover/Steve-Slow-Train-Analysis-(2080s-and-2083s)?_g=(refreshInterval:(display:Off,pause:!f,section:0,value:0),time:(from:'2017-06-09T03:38:33-0600',mode:absolute,to:'2017-06-09T06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" s="204" t="str">
        <f t="shared" si="5"/>
        <v>N</v>
      </c>
      <c r="X21" s="204">
        <f t="shared" si="6"/>
        <v>1</v>
      </c>
      <c r="Y21" s="204">
        <f t="shared" si="7"/>
        <v>4.4699999999999997E-2</v>
      </c>
      <c r="Z21" s="204">
        <f t="shared" si="8"/>
        <v>23.331199999999999</v>
      </c>
      <c r="AA21" s="204">
        <f t="shared" si="9"/>
        <v>23.2865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0"/>
        <v>0109-09</v>
      </c>
      <c r="AE21" s="80" t="str">
        <f t="shared" si="11"/>
        <v>aws s3 cp s3://rtdc.mdm.uploadarchive.raw/RTDC4054/ "%USERPROFILE%\AppData\Local\Temp\OnboardLogs"\RTDC4054\2017-06-09 --exclude "*" --recursive --include "*20170609*" &amp; "%USERPROFILE%\Documents\GitHub\mrs-test-scripts\Headless Mode &amp; Sideloading\WalkAndUnGZ.bat" "%USERPROFILE%\AppData\Local\Temp\OnboardLogs"\RTDC4054\2017-06-09 &amp; 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</v>
      </c>
      <c r="AF21" s="77" t="str">
        <f t="shared" si="12"/>
        <v>"C:\Program Files (x86)\AstroGrep\AstroGrep.exe" /e /r /s /spath="%USERPROFILE%\AppData\Local\Temp\OnboardLogs" /stypes="app*4054*20170609*" /stext=" 11:.+((SYSTEM_STATE.+slice.+state.+changed )|(ment ac)|(multiple cpu faults)|(system.+state.+changed )|(\[timeout)|(PRM\|1\|D)|(kpr)|(kdp)|(train st.+moving)|(\|lc)|(penalty))"</v>
      </c>
      <c r="AG21" s="1" t="str">
        <f t="shared" si="13"/>
        <v>EC</v>
      </c>
      <c r="AH21" s="81" t="str">
        <f t="shared" si="19"/>
        <v>"%USERPROFILE%\Documents\GitHub\eaglep3\Utilities\RefineRTDCRunTimes.py" --tripid 109-09 --locoid 4054 --swversion DE.1.0.9.0 --startMP 204:447 --initTime 2017-06-09T04:38:33 --startdatetime 2017-06-09T04:45:13 --delay 1 --endMP 204:233312 --enddatetime 2017-06-09T05:24:47 --enforcementcount 0 &gt;&gt;C:\Users\stu\Documents\GitHub\eaglep3-reporting\EC\2017-06-09-refined-times.txt</v>
      </c>
      <c r="AI21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{"issue":{"subject":"","project_id":79,"tracker_id":40,"status_id":1,"priority_id":2,"assigned_to_id":23,"start_date":"2017-06-09","description":"","custom_fields":[{"id":1,"name":"Subdivision","value":"EC"},{"id":4,"name":"Milepost","value":"23.3312"},{"id":17,"name":"Train ID","value":"109-09"},{"id":16,"name":"Locomotive ID","value":"4054"},{"id":130,"name":"Impact","value":""},{"id":150,"name":"Time of Event (Mountain Time)","value":"05:24:47"},{"id":151,"name":"Denver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4054 --day 2017-06-09</v>
      </c>
      <c r="AN21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11:24:47"},{"id":29,"name":"Sharepoint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659</v>
      </c>
      <c r="B22" s="7">
        <v>4053</v>
      </c>
      <c r="C22" s="21" t="s">
        <v>204</v>
      </c>
      <c r="D22" s="21" t="s">
        <v>557</v>
      </c>
      <c r="E22" s="13">
        <v>42895.236481481479</v>
      </c>
      <c r="F22" s="13">
        <v>42895.237719907411</v>
      </c>
      <c r="G22" s="7">
        <v>1</v>
      </c>
      <c r="H22" s="21" t="s">
        <v>457</v>
      </c>
      <c r="I22" s="13">
        <v>42895.2653125</v>
      </c>
      <c r="J22" s="7">
        <v>0</v>
      </c>
      <c r="K22" s="92" t="str">
        <f t="shared" si="0"/>
        <v>4053/4054</v>
      </c>
      <c r="L22" s="21" t="str">
        <f>VLOOKUP(A22,'Trips&amp;Operators'!$C$1:$G$99999,5,FALSE)</f>
        <v>DAVIS WENDY</v>
      </c>
      <c r="M22" s="6">
        <f t="shared" si="1"/>
        <v>2.7592592588916887E-2</v>
      </c>
      <c r="N22" s="7">
        <f t="shared" si="18"/>
        <v>39.733333328040317</v>
      </c>
      <c r="O22" s="7"/>
      <c r="P22" s="7"/>
      <c r="Q22" s="22"/>
      <c r="R22" s="173"/>
      <c r="S22" s="176">
        <f t="shared" si="2"/>
        <v>1</v>
      </c>
      <c r="T22" s="202" t="str">
        <f t="shared" si="3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4"/>
        <v>https://d0f6bd738d7f1b3e5a7ca70fe4ff75f0.us-east-1.aws.found.io/app/kibana#/discover/Steve-Slow-Train-Analysis-(2080s-and-2083s)?_g=(refreshInterval:(display:Off,pause:!f,section:0,value:0),time:(from:'2017-06-09T04:40:32-0600',mode:absolute,to:'2017-06-09T07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" s="204" t="str">
        <f t="shared" si="5"/>
        <v>N</v>
      </c>
      <c r="X22" s="204">
        <f t="shared" si="6"/>
        <v>1</v>
      </c>
      <c r="Y22" s="204">
        <f t="shared" si="7"/>
        <v>23.3002</v>
      </c>
      <c r="Z22" s="204">
        <f t="shared" si="8"/>
        <v>1.5599999999999999E-2</v>
      </c>
      <c r="AA22" s="204">
        <f t="shared" si="9"/>
        <v>23.284600000000001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0"/>
        <v>0110-09</v>
      </c>
      <c r="AE22" s="80" t="str">
        <f t="shared" si="11"/>
        <v>aws s3 cp s3://rtdc.mdm.uploadarchive.raw/RTDC4053/ "%USERPROFILE%\AppData\Local\Temp\OnboardLogs"\RTDC4053\2017-06-09 --exclude "*" --recursive --include "*20170609*" &amp; "%USERPROFILE%\Documents\GitHub\mrs-test-scripts\Headless Mode &amp; Sideloading\WalkAndUnGZ.bat" "%USERPROFILE%\AppData\Local\Temp\OnboardLogs"\RTDC4053\2017-06-09 &amp; aws s3 cp s3://rtdc.mdm.uploadarchive.raw/RTDC4053/ "%USERPROFILE%\AppData\Local\Temp\OnboardLogs"\RTDC4053\2017-06-10 --exclude "*" --recursive --include "*20170610*" &amp; "%USERPROFILE%\Documents\GitHub\mrs-test-scripts\Headless Mode &amp; Sideloading\WalkAndUnGZ.bat" "%USERPROFILE%\AppData\Local\Temp\OnboardLogs"\RTDC4053\2017-06-10</v>
      </c>
      <c r="AF22" s="77" t="str">
        <f t="shared" si="12"/>
        <v>"C:\Program Files (x86)\AstroGrep\AstroGrep.exe" /e /r /s /spath="%USERPROFILE%\AppData\Local\Temp\OnboardLogs" /stypes="app*4053*20170609*" /stext=" 12:.+((SYSTEM_STATE.+slice.+state.+changed )|(ment ac)|(multiple cpu faults)|(system.+state.+changed )|(\[timeout)|(PRM\|1\|D)|(kpr)|(kdp)|(train st.+moving)|(\|lc)|(penalty))"</v>
      </c>
      <c r="AG22" s="1" t="str">
        <f t="shared" si="13"/>
        <v>EC</v>
      </c>
      <c r="AH22" s="81" t="str">
        <f t="shared" si="19"/>
        <v>"%USERPROFILE%\Documents\GitHub\eaglep3\Utilities\RefineRTDCRunTimes.py" --tripid 110-09 --locoid 4053 --swversion DE.1.0.9.0 --startMP 204:233002 --initTime 2017-06-09T05:40:32 --startdatetime 2017-06-09T05:42:19 --delay 1 --endMP 204:156 --enddatetime 2017-06-09T06:22:03 --enforcementcount 0 &gt;&gt;C:\Users\stu\Documents\GitHub\eaglep3-reporting\EC\2017-06-09-refined-times.txt</v>
      </c>
      <c r="AI22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{"issue":{"subject":"","project_id":79,"tracker_id":40,"status_id":1,"priority_id":2,"assigned_to_id":23,"start_date":"2017-06-09","description":"","custom_fields":[{"id":1,"name":"Subdivision","value":"EC"},{"id":4,"name":"Milepost","value":"0.0156"},{"id":17,"name":"Train ID","value":"110-09"},{"id":16,"name":"Locomotive ID","value":"4053"},{"id":130,"name":"Impact","value":""},{"id":150,"name":"Time of Event (Mountain Time)","value":"06:22:03"},{"id":151,"name":"Denver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4053 --day 2017-06-09</v>
      </c>
      <c r="AN22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12:22:03"},{"id":29,"name":"Sharepoint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653</v>
      </c>
      <c r="B23" s="7">
        <v>4010</v>
      </c>
      <c r="C23" s="21" t="s">
        <v>204</v>
      </c>
      <c r="D23" s="21" t="s">
        <v>349</v>
      </c>
      <c r="E23" s="13">
        <v>42895.206446759257</v>
      </c>
      <c r="F23" s="13">
        <v>42895.208495370367</v>
      </c>
      <c r="G23" s="7">
        <v>1</v>
      </c>
      <c r="H23" s="21" t="s">
        <v>533</v>
      </c>
      <c r="I23" s="13">
        <v>42895.233981481484</v>
      </c>
      <c r="J23" s="7">
        <v>0</v>
      </c>
      <c r="K23" s="92" t="str">
        <f t="shared" si="0"/>
        <v>4009/4010</v>
      </c>
      <c r="L23" s="21" t="str">
        <f>VLOOKUP(A23,'Trips&amp;Operators'!$C$1:$G$99999,5,FALSE)</f>
        <v>STARKS ANGELINA</v>
      </c>
      <c r="M23" s="6">
        <f t="shared" si="1"/>
        <v>2.5486111117061228E-2</v>
      </c>
      <c r="N23" s="7">
        <f t="shared" si="18"/>
        <v>36.700000008568168</v>
      </c>
      <c r="O23" s="7"/>
      <c r="P23" s="7"/>
      <c r="Q23" s="22"/>
      <c r="R23" s="173"/>
      <c r="S23" s="176">
        <f t="shared" si="2"/>
        <v>1</v>
      </c>
      <c r="T23" s="202" t="str">
        <f t="shared" si="3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4"/>
        <v>https://d0f6bd738d7f1b3e5a7ca70fe4ff75f0.us-east-1.aws.found.io/app/kibana#/discover/Steve-Slow-Train-Analysis-(2080s-and-2083s)?_g=(refreshInterval:(display:Off,pause:!f,section:0,value:0),time:(from:'2017-06-09T03:57:17-0600',mode:absolute,to:'2017-06-09T06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" s="204" t="str">
        <f t="shared" si="5"/>
        <v>N</v>
      </c>
      <c r="X23" s="204">
        <f t="shared" si="6"/>
        <v>1</v>
      </c>
      <c r="Y23" s="204">
        <f t="shared" si="7"/>
        <v>4.4600000000000001E-2</v>
      </c>
      <c r="Z23" s="204">
        <f t="shared" si="8"/>
        <v>23.331099999999999</v>
      </c>
      <c r="AA23" s="204">
        <f t="shared" si="9"/>
        <v>23.2865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0"/>
        <v>0111-09</v>
      </c>
      <c r="AE23" s="80" t="str">
        <f t="shared" si="11"/>
        <v>aws s3 cp s3://rtdc.mdm.uploadarchive.raw/RTDC4010/ "%USERPROFILE%\AppData\Local\Temp\OnboardLogs"\RTDC4010\2017-06-09 --exclude "*" --recursive --include "*20170609*" &amp; "%USERPROFILE%\Documents\GitHub\mrs-test-scripts\Headless Mode &amp; Sideloading\WalkAndUnGZ.bat" "%USERPROFILE%\AppData\Local\Temp\OnboardLogs"\RTDC4010\2017-06-09 &amp; aws s3 cp s3://rtdc.mdm.uploadarchive.raw/RTDC4010/ "%USERPROFILE%\AppData\Local\Temp\OnboardLogs"\RTDC4010\2017-06-10 --exclude "*" --recursive --include "*20170610*" &amp; "%USERPROFILE%\Documents\GitHub\mrs-test-scripts\Headless Mode &amp; Sideloading\WalkAndUnGZ.bat" "%USERPROFILE%\AppData\Local\Temp\OnboardLogs"\RTDC4010\2017-06-10</v>
      </c>
      <c r="AF23" s="77" t="str">
        <f t="shared" si="12"/>
        <v>"C:\Program Files (x86)\AstroGrep\AstroGrep.exe" /e /r /s /spath="%USERPROFILE%\AppData\Local\Temp\OnboardLogs" /stypes="app*4010*20170609*" /stext=" 11:.+((SYSTEM_STATE.+slice.+state.+changed )|(ment ac)|(multiple cpu faults)|(system.+state.+changed )|(\[timeout)|(PRM\|1\|D)|(kpr)|(kdp)|(train st.+moving)|(\|lc)|(penalty))"</v>
      </c>
      <c r="AG23" s="1" t="str">
        <f t="shared" si="13"/>
        <v>EC</v>
      </c>
      <c r="AH23" s="81" t="str">
        <f t="shared" si="19"/>
        <v>"%USERPROFILE%\Documents\GitHub\eaglep3\Utilities\RefineRTDCRunTimes.py" --tripid 111-09 --locoid 4010 --swversion DE.1.0.9.0 --startMP 204:446 --initTime 2017-06-09T04:57:17 --startdatetime 2017-06-09T05:00:14 --delay 1 --endMP 204:233311 --enddatetime 2017-06-09T05:36:56 --enforcementcount 0 &gt;&gt;C:\Users\stu\Documents\GitHub\eaglep3-reporting\EC\2017-06-09-refined-times.txt</v>
      </c>
      <c r="AI23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{"issue":{"subject":"","project_id":79,"tracker_id":40,"status_id":1,"priority_id":2,"assigned_to_id":23,"start_date":"2017-06-09","description":"","custom_fields":[{"id":1,"name":"Subdivision","value":"EC"},{"id":4,"name":"Milepost","value":"23.3311"},{"id":17,"name":"Train ID","value":"111-09"},{"id":16,"name":"Locomotive ID","value":"4010"},{"id":130,"name":"Impact","value":""},{"id":150,"name":"Time of Event (Mountain Time)","value":"05:36:56"},{"id":151,"name":"Denver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4010 --day 2017-06-09</v>
      </c>
      <c r="AN23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11:36:56"},{"id":29,"name":"Sharepoint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664</v>
      </c>
      <c r="B24" s="7">
        <v>4009</v>
      </c>
      <c r="C24" s="21" t="s">
        <v>204</v>
      </c>
      <c r="D24" s="21" t="s">
        <v>432</v>
      </c>
      <c r="E24" s="13">
        <v>42895.246145833335</v>
      </c>
      <c r="F24" s="13">
        <v>42895.248078703706</v>
      </c>
      <c r="G24" s="7">
        <v>1</v>
      </c>
      <c r="H24" s="21" t="s">
        <v>458</v>
      </c>
      <c r="I24" s="13">
        <v>42895.27542824074</v>
      </c>
      <c r="J24" s="7">
        <v>0</v>
      </c>
      <c r="K24" s="92" t="str">
        <f t="shared" si="0"/>
        <v>4009/4010</v>
      </c>
      <c r="L24" s="21" t="str">
        <f>VLOOKUP(A24,'Trips&amp;Operators'!$C$1:$G$99999,5,FALSE)</f>
        <v>STARKS ANGELINA</v>
      </c>
      <c r="M24" s="6">
        <f t="shared" si="1"/>
        <v>2.7349537034751847E-2</v>
      </c>
      <c r="N24" s="7">
        <f t="shared" si="18"/>
        <v>39.38333333004266</v>
      </c>
      <c r="O24" s="7"/>
      <c r="P24" s="7"/>
      <c r="Q24" s="22"/>
      <c r="R24" s="173"/>
      <c r="S24" s="176">
        <f t="shared" si="2"/>
        <v>1</v>
      </c>
      <c r="T24" s="202" t="str">
        <f t="shared" si="3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4"/>
        <v>https://d0f6bd738d7f1b3e5a7ca70fe4ff75f0.us-east-1.aws.found.io/app/kibana#/discover/Steve-Slow-Train-Analysis-(2080s-and-2083s)?_g=(refreshInterval:(display:Off,pause:!f,section:0,value:0),time:(from:'2017-06-09T04:54:27-0600',mode:absolute,to:'2017-06-09T07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" s="204" t="str">
        <f t="shared" si="5"/>
        <v>N</v>
      </c>
      <c r="X24" s="204">
        <f t="shared" si="6"/>
        <v>1</v>
      </c>
      <c r="Y24" s="204">
        <f t="shared" si="7"/>
        <v>23.297999999999998</v>
      </c>
      <c r="Z24" s="204">
        <f t="shared" si="8"/>
        <v>1.38E-2</v>
      </c>
      <c r="AA24" s="204">
        <f t="shared" si="9"/>
        <v>23.284199999999998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0"/>
        <v>0112-09</v>
      </c>
      <c r="AE24" s="80" t="str">
        <f t="shared" si="11"/>
        <v>aws s3 cp s3://rtdc.mdm.uploadarchive.raw/RTDC4009/ "%USERPROFILE%\AppData\Local\Temp\OnboardLogs"\RTDC4009\2017-06-09 --exclude "*" --recursive --include "*20170609*" &amp; "%USERPROFILE%\Documents\GitHub\mrs-test-scripts\Headless Mode &amp; Sideloading\WalkAndUnGZ.bat" "%USERPROFILE%\AppData\Local\Temp\OnboardLogs"\RTDC4009\2017-06-09 &amp; aws s3 cp s3://rtdc.mdm.uploadarchive.raw/RTDC4009/ "%USERPROFILE%\AppData\Local\Temp\OnboardLogs"\RTDC4009\2017-06-10 --exclude "*" --recursive --include "*20170610*" &amp; "%USERPROFILE%\Documents\GitHub\mrs-test-scripts\Headless Mode &amp; Sideloading\WalkAndUnGZ.bat" "%USERPROFILE%\AppData\Local\Temp\OnboardLogs"\RTDC4009\2017-06-10</v>
      </c>
      <c r="AF24" s="77" t="str">
        <f t="shared" si="12"/>
        <v>"C:\Program Files (x86)\AstroGrep\AstroGrep.exe" /e /r /s /spath="%USERPROFILE%\AppData\Local\Temp\OnboardLogs" /stypes="app*4009*20170609*" /stext=" 12:.+((SYSTEM_STATE.+slice.+state.+changed )|(ment ac)|(multiple cpu faults)|(system.+state.+changed )|(\[timeout)|(PRM\|1\|D)|(kpr)|(kdp)|(train st.+moving)|(\|lc)|(penalty))"</v>
      </c>
      <c r="AG24" s="1" t="str">
        <f t="shared" si="13"/>
        <v>EC</v>
      </c>
      <c r="AH24" s="81" t="str">
        <f t="shared" si="19"/>
        <v>"%USERPROFILE%\Documents\GitHub\eaglep3\Utilities\RefineRTDCRunTimes.py" --tripid 112-09 --locoid 4009 --swversion DE.1.0.9.0 --startMP 204:232980 --initTime 2017-06-09T05:54:27 --startdatetime 2017-06-09T05:57:14 --delay 1 --endMP 204:138 --enddatetime 2017-06-09T06:36:37 --enforcementcount 0 &gt;&gt;C:\Users\stu\Documents\GitHub\eaglep3-reporting\EC\2017-06-09-refined-times.txt</v>
      </c>
      <c r="AI24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{"issue":{"subject":"","project_id":79,"tracker_id":40,"status_id":1,"priority_id":2,"assigned_to_id":23,"start_date":"2017-06-09","description":"","custom_fields":[{"id":1,"name":"Subdivision","value":"EC"},{"id":4,"name":"Milepost","value":"0.0138"},{"id":17,"name":"Train ID","value":"112-09"},{"id":16,"name":"Locomotive ID","value":"4009"},{"id":130,"name":"Impact","value":""},{"id":150,"name":"Time of Event (Mountain Time)","value":"06:36:37"},{"id":151,"name":"Denver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4009 --day 2017-06-09</v>
      </c>
      <c r="AN24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12:36:37"},{"id":29,"name":"Sharepoint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654</v>
      </c>
      <c r="B25" s="7">
        <v>4012</v>
      </c>
      <c r="C25" s="21" t="s">
        <v>204</v>
      </c>
      <c r="D25" s="21" t="s">
        <v>355</v>
      </c>
      <c r="E25" s="13">
        <v>42895.20753472222</v>
      </c>
      <c r="F25" s="13">
        <v>42895.218946759262</v>
      </c>
      <c r="G25" s="7">
        <v>1</v>
      </c>
      <c r="H25" s="21" t="s">
        <v>460</v>
      </c>
      <c r="I25" s="13">
        <v>42895.245266203703</v>
      </c>
      <c r="J25" s="7">
        <v>0</v>
      </c>
      <c r="K25" s="92" t="str">
        <f t="shared" si="0"/>
        <v>4011/4012</v>
      </c>
      <c r="L25" s="21" t="str">
        <f>VLOOKUP(A25,'Trips&amp;Operators'!$C$1:$G$99999,5,FALSE)</f>
        <v>DAVIDSON DAVID</v>
      </c>
      <c r="M25" s="6">
        <f t="shared" si="1"/>
        <v>2.6319444441469386E-2</v>
      </c>
      <c r="N25" s="7">
        <f t="shared" si="18"/>
        <v>37.899999995715916</v>
      </c>
      <c r="O25" s="7"/>
      <c r="P25" s="7"/>
      <c r="Q25" s="22"/>
      <c r="R25" s="173"/>
      <c r="S25" s="176">
        <f t="shared" si="2"/>
        <v>1</v>
      </c>
      <c r="T25" s="202" t="str">
        <f t="shared" si="3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4"/>
        <v>https://d0f6bd738d7f1b3e5a7ca70fe4ff75f0.us-east-1.aws.found.io/app/kibana#/discover/Steve-Slow-Train-Analysis-(2080s-and-2083s)?_g=(refreshInterval:(display:Off,pause:!f,section:0,value:0),time:(from:'2017-06-09T03:58:51-0600',mode:absolute,to:'2017-06-09T06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" s="204" t="str">
        <f t="shared" si="5"/>
        <v>N</v>
      </c>
      <c r="X25" s="204">
        <f t="shared" si="6"/>
        <v>1</v>
      </c>
      <c r="Y25" s="204">
        <f t="shared" si="7"/>
        <v>4.6600000000000003E-2</v>
      </c>
      <c r="Z25" s="204">
        <f t="shared" si="8"/>
        <v>23.331199999999999</v>
      </c>
      <c r="AA25" s="204">
        <f t="shared" si="9"/>
        <v>23.284599999999998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0"/>
        <v>0113-09</v>
      </c>
      <c r="AE25" s="80" t="str">
        <f t="shared" si="11"/>
        <v>aws s3 cp s3://rtdc.mdm.uploadarchive.raw/RTDC4012/ "%USERPROFILE%\AppData\Local\Temp\OnboardLogs"\RTDC4012\2017-06-09 --exclude "*" --recursive --include "*20170609*" &amp; "%USERPROFILE%\Documents\GitHub\mrs-test-scripts\Headless Mode &amp; Sideloading\WalkAndUnGZ.bat" "%USERPROFILE%\AppData\Local\Temp\OnboardLogs"\RTDC4012\2017-06-09 &amp; aws s3 cp s3://rtdc.mdm.uploadarchive.raw/RTDC4012/ "%USERPROFILE%\AppData\Local\Temp\OnboardLogs"\RTDC4012\2017-06-10 --exclude "*" --recursive --include "*20170610*" &amp; "%USERPROFILE%\Documents\GitHub\mrs-test-scripts\Headless Mode &amp; Sideloading\WalkAndUnGZ.bat" "%USERPROFILE%\AppData\Local\Temp\OnboardLogs"\RTDC4012\2017-06-10</v>
      </c>
      <c r="AF25" s="77" t="str">
        <f t="shared" si="12"/>
        <v>"C:\Program Files (x86)\AstroGrep\AstroGrep.exe" /e /r /s /spath="%USERPROFILE%\AppData\Local\Temp\OnboardLogs" /stypes="app*4012*20170609*" /stext=" 11:.+((SYSTEM_STATE.+slice.+state.+changed )|(ment ac)|(multiple cpu faults)|(system.+state.+changed )|(\[timeout)|(PRM\|1\|D)|(kpr)|(kdp)|(train st.+moving)|(\|lc)|(penalty))"</v>
      </c>
      <c r="AG25" s="1" t="str">
        <f t="shared" si="13"/>
        <v>EC</v>
      </c>
      <c r="AH25" s="81" t="str">
        <f t="shared" si="19"/>
        <v>"%USERPROFILE%\Documents\GitHub\eaglep3\Utilities\RefineRTDCRunTimes.py" --tripid 113-09 --locoid 4012 --swversion DE.1.0.9.0 --startMP 204:466 --initTime 2017-06-09T04:58:51 --startdatetime 2017-06-09T05:15:17 --delay 1 --endMP 204:233312 --enddatetime 2017-06-09T05:53:11 --enforcementcount 0 &gt;&gt;C:\Users\stu\Documents\GitHub\eaglep3-reporting\EC\2017-06-09-refined-times.txt</v>
      </c>
      <c r="AI25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{"issue":{"subject":"","project_id":79,"tracker_id":40,"status_id":1,"priority_id":2,"assigned_to_id":23,"start_date":"2017-06-09","description":"","custom_fields":[{"id":1,"name":"Subdivision","value":"EC"},{"id":4,"name":"Milepost","value":"23.3312"},{"id":17,"name":"Train ID","value":"113-09"},{"id":16,"name":"Locomotive ID","value":"4012"},{"id":130,"name":"Impact","value":""},{"id":150,"name":"Time of Event (Mountain Time)","value":"05:53:11"},{"id":151,"name":"Denver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4012 --day 2017-06-09</v>
      </c>
      <c r="AN25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11:53:11"},{"id":29,"name":"Sharepoint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666</v>
      </c>
      <c r="B26" s="7">
        <v>4011</v>
      </c>
      <c r="C26" s="21" t="s">
        <v>204</v>
      </c>
      <c r="D26" s="21" t="s">
        <v>836</v>
      </c>
      <c r="E26" s="13">
        <v>42895.247071759259</v>
      </c>
      <c r="F26" s="13">
        <v>42895.258553240739</v>
      </c>
      <c r="G26" s="7">
        <v>1</v>
      </c>
      <c r="H26" s="21" t="s">
        <v>431</v>
      </c>
      <c r="I26" s="13">
        <v>42895.285983796297</v>
      </c>
      <c r="J26" s="7">
        <v>0</v>
      </c>
      <c r="K26" s="92" t="str">
        <f t="shared" si="0"/>
        <v>4011/4012</v>
      </c>
      <c r="L26" s="21" t="str">
        <f>VLOOKUP(A26,'Trips&amp;Operators'!$C$1:$G$99999,5,FALSE)</f>
        <v>DAVIDSON DAVID</v>
      </c>
      <c r="M26" s="6">
        <f t="shared" si="1"/>
        <v>2.7430555557657499E-2</v>
      </c>
      <c r="N26" s="7">
        <f t="shared" si="18"/>
        <v>39.500000003026798</v>
      </c>
      <c r="O26" s="7"/>
      <c r="P26" s="7"/>
      <c r="Q26" s="22"/>
      <c r="R26" s="173"/>
      <c r="S26" s="176">
        <f t="shared" si="2"/>
        <v>1</v>
      </c>
      <c r="T26" s="202" t="str">
        <f t="shared" si="3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4"/>
        <v>https://d0f6bd738d7f1b3e5a7ca70fe4ff75f0.us-east-1.aws.found.io/app/kibana#/discover/Steve-Slow-Train-Analysis-(2080s-and-2083s)?_g=(refreshInterval:(display:Off,pause:!f,section:0,value:0),time:(from:'2017-06-09T04:55:47-0600',mode:absolute,to:'2017-06-09T07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204" t="str">
        <f t="shared" si="5"/>
        <v>N</v>
      </c>
      <c r="X26" s="204">
        <f t="shared" si="6"/>
        <v>1</v>
      </c>
      <c r="Y26" s="204">
        <f t="shared" si="7"/>
        <v>23.299299999999999</v>
      </c>
      <c r="Z26" s="204">
        <f t="shared" si="8"/>
        <v>1.4500000000000001E-2</v>
      </c>
      <c r="AA26" s="204">
        <f t="shared" si="9"/>
        <v>23.284799999999997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0"/>
        <v>0114-09</v>
      </c>
      <c r="AE26" s="80" t="str">
        <f t="shared" si="11"/>
        <v>aws s3 cp s3://rtdc.mdm.uploadarchive.raw/RTDC4011/ "%USERPROFILE%\AppData\Local\Temp\OnboardLogs"\RTDC4011\2017-06-09 --exclude "*" --recursive --include "*20170609*" &amp; "%USERPROFILE%\Documents\GitHub\mrs-test-scripts\Headless Mode &amp; Sideloading\WalkAndUnGZ.bat" "%USERPROFILE%\AppData\Local\Temp\OnboardLogs"\RTDC4011\2017-06-09 &amp; aws s3 cp s3://rtdc.mdm.uploadarchive.raw/RTDC4011/ "%USERPROFILE%\AppData\Local\Temp\OnboardLogs"\RTDC4011\2017-06-10 --exclude "*" --recursive --include "*20170610*" &amp; "%USERPROFILE%\Documents\GitHub\mrs-test-scripts\Headless Mode &amp; Sideloading\WalkAndUnGZ.bat" "%USERPROFILE%\AppData\Local\Temp\OnboardLogs"\RTDC4011\2017-06-10</v>
      </c>
      <c r="AF26" s="77" t="str">
        <f t="shared" si="12"/>
        <v>"C:\Program Files (x86)\AstroGrep\AstroGrep.exe" /e /r /s /spath="%USERPROFILE%\AppData\Local\Temp\OnboardLogs" /stypes="app*4011*20170609*" /stext=" 12:.+((SYSTEM_STATE.+slice.+state.+changed )|(ment ac)|(multiple cpu faults)|(system.+state.+changed )|(\[timeout)|(PRM\|1\|D)|(kpr)|(kdp)|(train st.+moving)|(\|lc)|(penalty))"</v>
      </c>
      <c r="AG26" s="1" t="str">
        <f t="shared" si="13"/>
        <v>EC</v>
      </c>
      <c r="AH26" s="81" t="str">
        <f t="shared" si="19"/>
        <v>"%USERPROFILE%\Documents\GitHub\eaglep3\Utilities\RefineRTDCRunTimes.py" --tripid 114-09 --locoid 4011 --swversion DE.1.0.9.0 --startMP 204:232993 --initTime 2017-06-09T05:55:47 --startdatetime 2017-06-09T06:12:19 --delay 1 --endMP 204:145 --enddatetime 2017-06-09T06:51:49 --enforcementcount 0 &gt;&gt;C:\Users\stu\Documents\GitHub\eaglep3-reporting\EC\2017-06-09-refined-times.txt</v>
      </c>
      <c r="AI26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{"issue":{"subject":"","project_id":79,"tracker_id":40,"status_id":1,"priority_id":2,"assigned_to_id":23,"start_date":"2017-06-09","description":"","custom_fields":[{"id":1,"name":"Subdivision","value":"EC"},{"id":4,"name":"Milepost","value":"0.0145"},{"id":17,"name":"Train ID","value":"114-09"},{"id":16,"name":"Locomotive ID","value":"4011"},{"id":130,"name":"Impact","value":""},{"id":150,"name":"Time of Event (Mountain Time)","value":"06:51:49"},{"id":151,"name":"Denver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4011 --day 2017-06-09</v>
      </c>
      <c r="AN26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12:51:49"},{"id":29,"name":"Sharepoint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657</v>
      </c>
      <c r="B27" s="7">
        <v>4046</v>
      </c>
      <c r="C27" s="21" t="s">
        <v>204</v>
      </c>
      <c r="D27" s="21" t="s">
        <v>571</v>
      </c>
      <c r="E27" s="13">
        <v>42895.226574074077</v>
      </c>
      <c r="F27" s="13">
        <v>42895.229375000003</v>
      </c>
      <c r="G27" s="7">
        <v>1</v>
      </c>
      <c r="H27" s="21" t="s">
        <v>546</v>
      </c>
      <c r="I27" s="13">
        <v>42895.254884259259</v>
      </c>
      <c r="J27" s="7">
        <v>0</v>
      </c>
      <c r="K27" s="92" t="str">
        <f t="shared" si="0"/>
        <v>4045/4046</v>
      </c>
      <c r="L27" s="21" t="str">
        <f>VLOOKUP(A27,'Trips&amp;Operators'!$C$1:$G$99999,5,FALSE)</f>
        <v>WILLIAMS DONTE</v>
      </c>
      <c r="M27" s="6">
        <f t="shared" si="1"/>
        <v>2.5509259256068617E-2</v>
      </c>
      <c r="N27" s="7">
        <f t="shared" si="18"/>
        <v>36.733333328738809</v>
      </c>
      <c r="O27" s="7"/>
      <c r="P27" s="7"/>
      <c r="Q27" s="22"/>
      <c r="R27" s="173"/>
      <c r="S27" s="176">
        <f t="shared" si="2"/>
        <v>1</v>
      </c>
      <c r="T27" s="202" t="str">
        <f t="shared" si="3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4"/>
        <v>https://d0f6bd738d7f1b3e5a7ca70fe4ff75f0.us-east-1.aws.found.io/app/kibana#/discover/Steve-Slow-Train-Analysis-(2080s-and-2083s)?_g=(refreshInterval:(display:Off,pause:!f,section:0,value:0),time:(from:'2017-06-09T04:26:16-0600',mode:absolute,to:'2017-06-09T07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7" s="204" t="str">
        <f t="shared" si="5"/>
        <v>N</v>
      </c>
      <c r="X27" s="204">
        <f t="shared" si="6"/>
        <v>1</v>
      </c>
      <c r="Y27" s="204">
        <f t="shared" si="7"/>
        <v>4.3099999999999999E-2</v>
      </c>
      <c r="Z27" s="204">
        <f t="shared" si="8"/>
        <v>23.3291</v>
      </c>
      <c r="AA27" s="204">
        <f t="shared" si="9"/>
        <v>23.286000000000001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0"/>
        <v>0115-09</v>
      </c>
      <c r="AE27" s="80" t="str">
        <f t="shared" si="11"/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AF27" s="77" t="str">
        <f t="shared" si="12"/>
        <v>"C:\Program Files (x86)\AstroGrep\AstroGrep.exe" /e /r /s /spath="%USERPROFILE%\AppData\Local\Temp\OnboardLogs" /stypes="app*4046*20170609*" /stext=" 12:.+((SYSTEM_STATE.+slice.+state.+changed )|(ment ac)|(multiple cpu faults)|(system.+state.+changed )|(\[timeout)|(PRM\|1\|D)|(kpr)|(kdp)|(train st.+moving)|(\|lc)|(penalty))"</v>
      </c>
      <c r="AG27" s="1" t="str">
        <f t="shared" si="13"/>
        <v>EC</v>
      </c>
      <c r="AH27" s="81" t="str">
        <f t="shared" si="19"/>
        <v>"%USERPROFILE%\Documents\GitHub\eaglep3\Utilities\RefineRTDCRunTimes.py" --tripid 115-09 --locoid 4046 --swversion DE.1.0.9.0 --startMP 204:431 --initTime 2017-06-09T05:26:16 --startdatetime 2017-06-09T05:30:18 --delay 1 --endMP 204:233291 --enddatetime 2017-06-09T06:07:02 --enforcementcount 0 &gt;&gt;C:\Users\stu\Documents\GitHub\eaglep3-reporting\EC\2017-06-09-refined-times.txt</v>
      </c>
      <c r="AI27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{"issue":{"subject":"","project_id":79,"tracker_id":40,"status_id":1,"priority_id":2,"assigned_to_id":23,"start_date":"2017-06-09","description":"","custom_fields":[{"id":1,"name":"Subdivision","value":"EC"},{"id":4,"name":"Milepost","value":"23.3291"},{"id":17,"name":"Train ID","value":"115-09"},{"id":16,"name":"Locomotive ID","value":"4046"},{"id":130,"name":"Impact","value":""},{"id":150,"name":"Time of Event (Mountain Time)","value":"06:07:02"},{"id":151,"name":"Denver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4046 --day 2017-06-09</v>
      </c>
      <c r="AN27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12:07:02"},{"id":29,"name":"Sharepoint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668</v>
      </c>
      <c r="B28" s="7">
        <v>4045</v>
      </c>
      <c r="C28" s="21" t="s">
        <v>204</v>
      </c>
      <c r="D28" s="21" t="s">
        <v>432</v>
      </c>
      <c r="E28" s="13">
        <v>42895.257488425923</v>
      </c>
      <c r="F28" s="13">
        <v>42895.268935185188</v>
      </c>
      <c r="G28" s="7">
        <v>1</v>
      </c>
      <c r="H28" s="21" t="s">
        <v>354</v>
      </c>
      <c r="I28" s="13">
        <v>42895.297025462962</v>
      </c>
      <c r="J28" s="7">
        <v>0</v>
      </c>
      <c r="K28" s="92" t="str">
        <f t="shared" si="0"/>
        <v>4045/4046</v>
      </c>
      <c r="L28" s="21" t="str">
        <f>VLOOKUP(A28,'Trips&amp;Operators'!$C$1:$G$99999,5,FALSE)</f>
        <v>WILLIAMS DONTE</v>
      </c>
      <c r="M28" s="6">
        <f t="shared" si="1"/>
        <v>2.8090277774026617E-2</v>
      </c>
      <c r="N28" s="7">
        <f t="shared" si="18"/>
        <v>40.449999994598329</v>
      </c>
      <c r="O28" s="7"/>
      <c r="P28" s="7"/>
      <c r="Q28" s="22"/>
      <c r="R28" s="173"/>
      <c r="S28" s="176">
        <f t="shared" si="2"/>
        <v>1</v>
      </c>
      <c r="T28" s="202" t="str">
        <f t="shared" si="3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4"/>
        <v>https://d0f6bd738d7f1b3e5a7ca70fe4ff75f0.us-east-1.aws.found.io/app/kibana#/discover/Steve-Slow-Train-Analysis-(2080s-and-2083s)?_g=(refreshInterval:(display:Off,pause:!f,section:0,value:0),time:(from:'2017-06-09T05:10:47-0600',mode:absolute,to:'2017-06-09T08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8" s="204" t="str">
        <f t="shared" si="5"/>
        <v>N</v>
      </c>
      <c r="X28" s="204">
        <f t="shared" si="6"/>
        <v>1</v>
      </c>
      <c r="Y28" s="204">
        <f t="shared" si="7"/>
        <v>23.297999999999998</v>
      </c>
      <c r="Z28" s="204">
        <f t="shared" si="8"/>
        <v>1.43E-2</v>
      </c>
      <c r="AA28" s="204">
        <f t="shared" si="9"/>
        <v>23.2837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0"/>
        <v>0116-09</v>
      </c>
      <c r="AE28" s="80" t="str">
        <f t="shared" si="11"/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AF28" s="77" t="str">
        <f t="shared" si="12"/>
        <v>"C:\Program Files (x86)\AstroGrep\AstroGrep.exe" /e /r /s /spath="%USERPROFILE%\AppData\Local\Temp\OnboardLogs" /stypes="app*4045*20170609*" /stext=" 13:.+((SYSTEM_STATE.+slice.+state.+changed )|(ment ac)|(multiple cpu faults)|(system.+state.+changed )|(\[timeout)|(PRM\|1\|D)|(kpr)|(kdp)|(train st.+moving)|(\|lc)|(penalty))"</v>
      </c>
      <c r="AG28" s="1" t="str">
        <f t="shared" si="13"/>
        <v>EC</v>
      </c>
      <c r="AH28" s="81" t="str">
        <f t="shared" si="19"/>
        <v>"%USERPROFILE%\Documents\GitHub\eaglep3\Utilities\RefineRTDCRunTimes.py" --tripid 116-09 --locoid 4045 --swversion DE.1.0.9.0 --startMP 204:232980 --initTime 2017-06-09T06:10:47 --startdatetime 2017-06-09T06:27:16 --delay 1 --endMP 204:143 --enddatetime 2017-06-09T07:07:43 --enforcementcount 0 &gt;&gt;C:\Users\stu\Documents\GitHub\eaglep3-reporting\EC\2017-06-09-refined-times.txt</v>
      </c>
      <c r="AI28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{"issue":{"subject":"","project_id":79,"tracker_id":40,"status_id":1,"priority_id":2,"assigned_to_id":23,"start_date":"2017-06-09","description":"","custom_fields":[{"id":1,"name":"Subdivision","value":"EC"},{"id":4,"name":"Milepost","value":"0.0143"},{"id":17,"name":"Train ID","value":"116-09"},{"id":16,"name":"Locomotive ID","value":"4045"},{"id":130,"name":"Impact","value":""},{"id":150,"name":"Time of Event (Mountain Time)","value":"07:07:43"},{"id":151,"name":"Denver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4045 --day 2017-06-09</v>
      </c>
      <c r="AN28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13:07:43"},{"id":29,"name":"Sharepoint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660</v>
      </c>
      <c r="B29" s="7">
        <v>4062</v>
      </c>
      <c r="C29" s="21" t="s">
        <v>204</v>
      </c>
      <c r="D29" s="21" t="s">
        <v>356</v>
      </c>
      <c r="E29" s="13">
        <v>42895.236701388887</v>
      </c>
      <c r="F29" s="13">
        <v>42895.239791666667</v>
      </c>
      <c r="G29" s="7">
        <v>1</v>
      </c>
      <c r="H29" s="21" t="s">
        <v>546</v>
      </c>
      <c r="I29" s="13">
        <v>42895.265497685185</v>
      </c>
      <c r="J29" s="7">
        <v>0</v>
      </c>
      <c r="K29" s="92" t="str">
        <f t="shared" si="0"/>
        <v>4061/4062</v>
      </c>
      <c r="L29" s="21" t="str">
        <f>VLOOKUP(A29,'Trips&amp;Operators'!$C$1:$G$99999,5,FALSE)</f>
        <v>LOZA FIDEL</v>
      </c>
      <c r="M29" s="6">
        <f t="shared" si="1"/>
        <v>2.5706018517666962E-2</v>
      </c>
      <c r="N29" s="7">
        <f t="shared" si="18"/>
        <v>37.016666665440425</v>
      </c>
      <c r="O29" s="7"/>
      <c r="P29" s="7"/>
      <c r="Q29" s="22"/>
      <c r="R29" s="173"/>
      <c r="S29" s="176">
        <f t="shared" si="2"/>
        <v>1</v>
      </c>
      <c r="T29" s="202" t="str">
        <f t="shared" si="3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4"/>
        <v>https://d0f6bd738d7f1b3e5a7ca70fe4ff75f0.us-east-1.aws.found.io/app/kibana#/discover/Steve-Slow-Train-Analysis-(2080s-and-2083s)?_g=(refreshInterval:(display:Off,pause:!f,section:0,value:0),time:(from:'2017-06-09T04:40:51-0600',mode:absolute,to:'2017-06-09T07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204" t="str">
        <f t="shared" si="5"/>
        <v>N</v>
      </c>
      <c r="X29" s="204">
        <f t="shared" si="6"/>
        <v>1</v>
      </c>
      <c r="Y29" s="204">
        <f t="shared" si="7"/>
        <v>4.5100000000000001E-2</v>
      </c>
      <c r="Z29" s="204">
        <f t="shared" si="8"/>
        <v>23.3291</v>
      </c>
      <c r="AA29" s="204">
        <f t="shared" si="9"/>
        <v>23.283999999999999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0"/>
        <v>0117-09</v>
      </c>
      <c r="AE29" s="80" t="str">
        <f t="shared" si="11"/>
        <v>aws s3 cp s3://rtdc.mdm.uploadarchive.raw/RTDC4062/ "%USERPROFILE%\AppData\Local\Temp\OnboardLogs"\RTDC4062\2017-06-09 --exclude "*" --recursive --include "*20170609*" &amp; "%USERPROFILE%\Documents\GitHub\mrs-test-scripts\Headless Mode &amp; Sideloading\WalkAndUnGZ.bat" "%USERPROFILE%\AppData\Local\Temp\OnboardLogs"\RTDC4062\2017-06-09 &amp; 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</v>
      </c>
      <c r="AF29" s="77" t="str">
        <f t="shared" si="12"/>
        <v>"C:\Program Files (x86)\AstroGrep\AstroGrep.exe" /e /r /s /spath="%USERPROFILE%\AppData\Local\Temp\OnboardLogs" /stypes="app*4062*20170609*" /stext=" 12:.+((SYSTEM_STATE.+slice.+state.+changed )|(ment ac)|(multiple cpu faults)|(system.+state.+changed )|(\[timeout)|(PRM\|1\|D)|(kpr)|(kdp)|(train st.+moving)|(\|lc)|(penalty))"</v>
      </c>
      <c r="AG29" s="1" t="str">
        <f t="shared" si="13"/>
        <v>EC</v>
      </c>
      <c r="AH29" s="81" t="str">
        <f t="shared" si="19"/>
        <v>"%USERPROFILE%\Documents\GitHub\eaglep3\Utilities\RefineRTDCRunTimes.py" --tripid 117-09 --locoid 4062 --swversion DE.1.0.9.0 --startMP 204:451 --initTime 2017-06-09T05:40:51 --startdatetime 2017-06-09T05:45:18 --delay 1 --endMP 204:233291 --enddatetime 2017-06-09T06:22:19 --enforcementcount 0 &gt;&gt;C:\Users\stu\Documents\GitHub\eaglep3-reporting\EC\2017-06-09-refined-times.txt</v>
      </c>
      <c r="AI29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{"issue":{"subject":"","project_id":79,"tracker_id":40,"status_id":1,"priority_id":2,"assigned_to_id":23,"start_date":"2017-06-09","description":"","custom_fields":[{"id":1,"name":"Subdivision","value":"EC"},{"id":4,"name":"Milepost","value":"23.3291"},{"id":17,"name":"Train ID","value":"117-09"},{"id":16,"name":"Locomotive ID","value":"4062"},{"id":130,"name":"Impact","value":""},{"id":150,"name":"Time of Event (Mountain Time)","value":"06:22:19"},{"id":151,"name":"Denver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4062 --day 2017-06-09</v>
      </c>
      <c r="AN29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12:22:19"},{"id":29,"name":"Sharepoint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673</v>
      </c>
      <c r="B30" s="7">
        <v>4061</v>
      </c>
      <c r="C30" s="21" t="s">
        <v>204</v>
      </c>
      <c r="D30" s="21" t="s">
        <v>568</v>
      </c>
      <c r="E30" s="13">
        <v>42895.275856481479</v>
      </c>
      <c r="F30" s="13">
        <v>42895.279328703706</v>
      </c>
      <c r="G30" s="7">
        <v>1</v>
      </c>
      <c r="H30" s="21" t="s">
        <v>431</v>
      </c>
      <c r="I30" s="13">
        <v>42895.307442129626</v>
      </c>
      <c r="J30" s="7">
        <v>0</v>
      </c>
      <c r="K30" s="92" t="str">
        <f t="shared" si="0"/>
        <v>4061/4062</v>
      </c>
      <c r="L30" s="21" t="str">
        <f>VLOOKUP(A30,'Trips&amp;Operators'!$C$1:$G$99999,5,FALSE)</f>
        <v>LOZA FIDEL</v>
      </c>
      <c r="M30" s="6">
        <f t="shared" si="1"/>
        <v>2.8113425920309965E-2</v>
      </c>
      <c r="N30" s="7">
        <f t="shared" si="18"/>
        <v>40.483333325246349</v>
      </c>
      <c r="O30" s="7"/>
      <c r="P30" s="7"/>
      <c r="Q30" s="22"/>
      <c r="R30" s="173"/>
      <c r="S30" s="176">
        <f t="shared" si="2"/>
        <v>1</v>
      </c>
      <c r="T30" s="202" t="str">
        <f t="shared" si="3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4"/>
        <v>https://d0f6bd738d7f1b3e5a7ca70fe4ff75f0.us-east-1.aws.found.io/app/kibana#/discover/Steve-Slow-Train-Analysis-(2080s-and-2083s)?_g=(refreshInterval:(display:Off,pause:!f,section:0,value:0),time:(from:'2017-06-09T05:37:14-0600',mode:absolute,to:'2017-06-09T08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204" t="str">
        <f t="shared" si="5"/>
        <v>N</v>
      </c>
      <c r="X30" s="204">
        <f t="shared" si="6"/>
        <v>1</v>
      </c>
      <c r="Y30" s="204">
        <f t="shared" si="7"/>
        <v>23.297599999999999</v>
      </c>
      <c r="Z30" s="204">
        <f t="shared" si="8"/>
        <v>1.4500000000000001E-2</v>
      </c>
      <c r="AA30" s="204">
        <f t="shared" si="9"/>
        <v>23.283099999999997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0"/>
        <v>0118-09</v>
      </c>
      <c r="AE30" s="80" t="str">
        <f t="shared" si="11"/>
        <v>aws s3 cp s3://rtdc.mdm.uploadarchive.raw/RTDC4061/ "%USERPROFILE%\AppData\Local\Temp\OnboardLogs"\RTDC4061\2017-06-09 --exclude "*" --recursive --include "*20170609*" &amp; "%USERPROFILE%\Documents\GitHub\mrs-test-scripts\Headless Mode &amp; Sideloading\WalkAndUnGZ.bat" "%USERPROFILE%\AppData\Local\Temp\OnboardLogs"\RTDC4061\2017-06-09 &amp; 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</v>
      </c>
      <c r="AF30" s="77" t="str">
        <f t="shared" si="12"/>
        <v>"C:\Program Files (x86)\AstroGrep\AstroGrep.exe" /e /r /s /spath="%USERPROFILE%\AppData\Local\Temp\OnboardLogs" /stypes="app*4061*20170609*" /stext=" 13:.+((SYSTEM_STATE.+slice.+state.+changed )|(ment ac)|(multiple cpu faults)|(system.+state.+changed )|(\[timeout)|(PRM\|1\|D)|(kpr)|(kdp)|(train st.+moving)|(\|lc)|(penalty))"</v>
      </c>
      <c r="AG30" s="1" t="str">
        <f t="shared" si="13"/>
        <v>EC</v>
      </c>
      <c r="AH30" s="81" t="str">
        <f t="shared" si="19"/>
        <v>"%USERPROFILE%\Documents\GitHub\eaglep3\Utilities\RefineRTDCRunTimes.py" --tripid 118-09 --locoid 4061 --swversion DE.1.0.9.0 --startMP 204:232976 --initTime 2017-06-09T06:37:14 --startdatetime 2017-06-09T06:42:14 --delay 1 --endMP 204:145 --enddatetime 2017-06-09T07:22:43 --enforcementcount 0 &gt;&gt;C:\Users\stu\Documents\GitHub\eaglep3-reporting\EC\2017-06-09-refined-times.txt</v>
      </c>
      <c r="AI30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{"issue":{"subject":"","project_id":79,"tracker_id":40,"status_id":1,"priority_id":2,"assigned_to_id":23,"start_date":"2017-06-09","description":"","custom_fields":[{"id":1,"name":"Subdivision","value":"EC"},{"id":4,"name":"Milepost","value":"0.0145"},{"id":17,"name":"Train ID","value":"118-09"},{"id":16,"name":"Locomotive ID","value":"4061"},{"id":130,"name":"Impact","value":""},{"id":150,"name":"Time of Event (Mountain Time)","value":"07:22:43"},{"id":151,"name":"Denver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4061 --day 2017-06-09</v>
      </c>
      <c r="AN30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13:22:43"},{"id":29,"name":"Sharepoint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665</v>
      </c>
      <c r="B31" s="7">
        <v>4030</v>
      </c>
      <c r="C31" s="21" t="s">
        <v>204</v>
      </c>
      <c r="D31" s="21" t="s">
        <v>571</v>
      </c>
      <c r="E31" s="13">
        <v>42895.246296296296</v>
      </c>
      <c r="F31" s="13">
        <v>42895.250335648147</v>
      </c>
      <c r="G31" s="7">
        <v>1</v>
      </c>
      <c r="H31" s="21" t="s">
        <v>837</v>
      </c>
      <c r="I31" s="13">
        <v>42895.275775462964</v>
      </c>
      <c r="J31" s="7">
        <v>0</v>
      </c>
      <c r="K31" s="92" t="str">
        <f t="shared" si="0"/>
        <v>4029/4030</v>
      </c>
      <c r="L31" s="21" t="str">
        <f>VLOOKUP(A31,'Trips&amp;Operators'!$C$1:$G$99999,5,FALSE)</f>
        <v>BONDS REYNALDO</v>
      </c>
      <c r="M31" s="6">
        <f t="shared" si="1"/>
        <v>2.5439814817218576E-2</v>
      </c>
      <c r="N31" s="7">
        <f t="shared" si="18"/>
        <v>36.633333336794749</v>
      </c>
      <c r="O31" s="7"/>
      <c r="P31" s="7"/>
      <c r="Q31" s="22"/>
      <c r="R31" s="173"/>
      <c r="S31" s="176">
        <f t="shared" si="2"/>
        <v>1</v>
      </c>
      <c r="T31" s="202" t="str">
        <f t="shared" si="3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4"/>
        <v>https://d0f6bd738d7f1b3e5a7ca70fe4ff75f0.us-east-1.aws.found.io/app/kibana#/discover/Steve-Slow-Train-Analysis-(2080s-and-2083s)?_g=(refreshInterval:(display:Off,pause:!f,section:0,value:0),time:(from:'2017-06-09T04:54:40-0600',mode:absolute,to:'2017-06-09T07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1" s="204" t="str">
        <f t="shared" si="5"/>
        <v>N</v>
      </c>
      <c r="X31" s="204">
        <f t="shared" si="6"/>
        <v>1</v>
      </c>
      <c r="Y31" s="204">
        <f t="shared" si="7"/>
        <v>4.3099999999999999E-2</v>
      </c>
      <c r="Z31" s="204">
        <f t="shared" si="8"/>
        <v>23.331399999999999</v>
      </c>
      <c r="AA31" s="204">
        <f t="shared" si="9"/>
        <v>23.2883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0"/>
        <v>0119-09</v>
      </c>
      <c r="AE31" s="80" t="str">
        <f t="shared" si="11"/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AF31" s="77" t="str">
        <f t="shared" si="12"/>
        <v>"C:\Program Files (x86)\AstroGrep\AstroGrep.exe" /e /r /s /spath="%USERPROFILE%\AppData\Local\Temp\OnboardLogs" /stypes="app*4030*20170609*" /stext=" 12:.+((SYSTEM_STATE.+slice.+state.+changed )|(ment ac)|(multiple cpu faults)|(system.+state.+changed )|(\[timeout)|(PRM\|1\|D)|(kpr)|(kdp)|(train st.+moving)|(\|lc)|(penalty))"</v>
      </c>
      <c r="AG31" s="1" t="str">
        <f t="shared" si="13"/>
        <v>EC</v>
      </c>
      <c r="AH31" s="81" t="str">
        <f t="shared" si="19"/>
        <v>"%USERPROFILE%\Documents\GitHub\eaglep3\Utilities\RefineRTDCRunTimes.py" --tripid 119-09 --locoid 4030 --swversion DE.1.0.9.0 --startMP 204:431 --initTime 2017-06-09T05:54:40 --startdatetime 2017-06-09T06:00:29 --delay 1 --endMP 204:233314 --enddatetime 2017-06-09T06:37:07 --enforcementcount 0 &gt;&gt;C:\Users\stu\Documents\GitHub\eaglep3-reporting\EC\2017-06-09-refined-times.txt</v>
      </c>
      <c r="AI31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{"issue":{"subject":"","project_id":79,"tracker_id":40,"status_id":1,"priority_id":2,"assigned_to_id":23,"start_date":"2017-06-09","description":"","custom_fields":[{"id":1,"name":"Subdivision","value":"EC"},{"id":4,"name":"Milepost","value":"23.3314"},{"id":17,"name":"Train ID","value":"119-09"},{"id":16,"name":"Locomotive ID","value":"4030"},{"id":130,"name":"Impact","value":""},{"id":150,"name":"Time of Event (Mountain Time)","value":"06:37:07"},{"id":151,"name":"Denver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4030 --day 2017-06-09</v>
      </c>
      <c r="AN31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12:37:07"},{"id":29,"name":"Sharepoint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674</v>
      </c>
      <c r="B32" s="7">
        <v>4029</v>
      </c>
      <c r="C32" s="21" t="s">
        <v>204</v>
      </c>
      <c r="D32" s="21" t="s">
        <v>497</v>
      </c>
      <c r="E32" s="13">
        <v>42895.286249999997</v>
      </c>
      <c r="F32" s="13">
        <v>42895.289814814816</v>
      </c>
      <c r="G32" s="7">
        <v>1</v>
      </c>
      <c r="H32" s="21" t="s">
        <v>364</v>
      </c>
      <c r="I32" s="13">
        <v>42895.317453703705</v>
      </c>
      <c r="J32" s="7">
        <v>0</v>
      </c>
      <c r="K32" s="92" t="str">
        <f t="shared" si="0"/>
        <v>4029/4030</v>
      </c>
      <c r="L32" s="21" t="str">
        <f>VLOOKUP(A32,'Trips&amp;Operators'!$C$1:$G$99999,5,FALSE)</f>
        <v>BONDS REYNALDO</v>
      </c>
      <c r="M32" s="6">
        <f t="shared" si="1"/>
        <v>2.7638888888759539E-2</v>
      </c>
      <c r="N32" s="7">
        <f t="shared" si="18"/>
        <v>39.799999999813735</v>
      </c>
      <c r="O32" s="7"/>
      <c r="P32" s="7"/>
      <c r="Q32" s="22"/>
      <c r="R32" s="173"/>
      <c r="S32" s="176">
        <f t="shared" si="2"/>
        <v>1</v>
      </c>
      <c r="T32" s="202" t="str">
        <f t="shared" si="3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4"/>
        <v>https://d0f6bd738d7f1b3e5a7ca70fe4ff75f0.us-east-1.aws.found.io/app/kibana#/discover/Steve-Slow-Train-Analysis-(2080s-and-2083s)?_g=(refreshInterval:(display:Off,pause:!f,section:0,value:0),time:(from:'2017-06-09T05:52:12-0600',mode:absolute,to:'2017-06-09T08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2" s="204" t="str">
        <f t="shared" si="5"/>
        <v>N</v>
      </c>
      <c r="X32" s="204">
        <f t="shared" si="6"/>
        <v>1</v>
      </c>
      <c r="Y32" s="204">
        <f t="shared" si="7"/>
        <v>23.297499999999999</v>
      </c>
      <c r="Z32" s="204">
        <f t="shared" si="8"/>
        <v>1.47E-2</v>
      </c>
      <c r="AA32" s="204">
        <f t="shared" si="9"/>
        <v>23.282799999999998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0"/>
        <v>0120-09</v>
      </c>
      <c r="AE32" s="80" t="str">
        <f t="shared" si="11"/>
        <v>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 &amp; 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</v>
      </c>
      <c r="AF32" s="77" t="str">
        <f t="shared" si="12"/>
        <v>"C:\Program Files (x86)\AstroGrep\AstroGrep.exe" /e /r /s /spath="%USERPROFILE%\AppData\Local\Temp\OnboardLogs" /stypes="app*4029*20170609*" /stext=" 13:.+((SYSTEM_STATE.+slice.+state.+changed )|(ment ac)|(multiple cpu faults)|(system.+state.+changed )|(\[timeout)|(PRM\|1\|D)|(kpr)|(kdp)|(train st.+moving)|(\|lc)|(penalty))"</v>
      </c>
      <c r="AG32" s="1" t="str">
        <f t="shared" si="13"/>
        <v>EC</v>
      </c>
      <c r="AH32" s="81" t="str">
        <f t="shared" si="19"/>
        <v>"%USERPROFILE%\Documents\GitHub\eaglep3\Utilities\RefineRTDCRunTimes.py" --tripid 120-09 --locoid 4029 --swversion DE.1.0.9.0 --startMP 204:232975 --initTime 2017-06-09T06:52:12 --startdatetime 2017-06-09T06:57:20 --delay 1 --endMP 204:147 --enddatetime 2017-06-09T07:37:08 --enforcementcount 0 &gt;&gt;C:\Users\stu\Documents\GitHub\eaglep3-reporting\EC\2017-06-09-refined-times.txt</v>
      </c>
      <c r="AI32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{"issue":{"subject":"","project_id":79,"tracker_id":40,"status_id":1,"priority_id":2,"assigned_to_id":23,"start_date":"2017-06-09","description":"","custom_fields":[{"id":1,"name":"Subdivision","value":"EC"},{"id":4,"name":"Milepost","value":"0.0147"},{"id":17,"name":"Train ID","value":"120-09"},{"id":16,"name":"Locomotive ID","value":"4029"},{"id":130,"name":"Impact","value":""},{"id":150,"name":"Time of Event (Mountain Time)","value":"07:37:08"},{"id":151,"name":"Denver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4029 --day 2017-06-09</v>
      </c>
      <c r="AN32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667</v>
      </c>
      <c r="B33" s="7">
        <v>4006</v>
      </c>
      <c r="C33" s="21" t="s">
        <v>204</v>
      </c>
      <c r="D33" s="21" t="s">
        <v>838</v>
      </c>
      <c r="E33" s="13">
        <v>42895.256064814814</v>
      </c>
      <c r="F33" s="13">
        <v>42895.26059027778</v>
      </c>
      <c r="G33" s="7">
        <v>1</v>
      </c>
      <c r="H33" s="21" t="s">
        <v>531</v>
      </c>
      <c r="I33" s="13">
        <v>42895.285416666666</v>
      </c>
      <c r="J33" s="7">
        <v>0</v>
      </c>
      <c r="K33" s="92" t="str">
        <f t="shared" si="0"/>
        <v>4005/4006</v>
      </c>
      <c r="L33" s="21" t="str">
        <f>VLOOKUP(A33,'Trips&amp;Operators'!$C$1:$G$99999,5,FALSE)</f>
        <v>GEBRETEKLE DAGNEW</v>
      </c>
      <c r="M33" s="6">
        <f t="shared" si="1"/>
        <v>2.4826388886140194E-2</v>
      </c>
      <c r="N33" s="7">
        <f t="shared" si="18"/>
        <v>35.749999996041879</v>
      </c>
      <c r="O33" s="7"/>
      <c r="P33" s="7"/>
      <c r="Q33" s="22"/>
      <c r="R33" s="173"/>
      <c r="S33" s="176">
        <f t="shared" si="2"/>
        <v>1</v>
      </c>
      <c r="T33" s="202" t="str">
        <f t="shared" si="3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4"/>
        <v>https://d0f6bd738d7f1b3e5a7ca70fe4ff75f0.us-east-1.aws.found.io/app/kibana#/discover/Steve-Slow-Train-Analysis-(2080s-and-2083s)?_g=(refreshInterval:(display:Off,pause:!f,section:0,value:0),time:(from:'2017-06-09T05:08:44-0600',mode:absolute,to:'2017-06-09T07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3" s="204" t="str">
        <f t="shared" si="5"/>
        <v>N</v>
      </c>
      <c r="X33" s="204">
        <f t="shared" si="6"/>
        <v>1</v>
      </c>
      <c r="Y33" s="204">
        <f t="shared" si="7"/>
        <v>4.8000000000000001E-2</v>
      </c>
      <c r="Z33" s="204">
        <f t="shared" si="8"/>
        <v>23.330400000000001</v>
      </c>
      <c r="AA33" s="204">
        <f t="shared" si="9"/>
        <v>23.282400000000003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0"/>
        <v>0121-09</v>
      </c>
      <c r="AE33" s="80" t="str">
        <f t="shared" si="11"/>
        <v>aws s3 cp s3://rtdc.mdm.uploadarchive.raw/RTDC4006/ "%USERPROFILE%\AppData\Local\Temp\OnboardLogs"\RTDC4006\2017-06-09 --exclude "*" --recursive --include "*20170609*" &amp; "%USERPROFILE%\Documents\GitHub\mrs-test-scripts\Headless Mode &amp; Sideloading\WalkAndUnGZ.bat" "%USERPROFILE%\AppData\Local\Temp\OnboardLogs"\RTDC4006\2017-06-09 &amp; 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</v>
      </c>
      <c r="AF33" s="77" t="str">
        <f t="shared" si="12"/>
        <v>"C:\Program Files (x86)\AstroGrep\AstroGrep.exe" /e /r /s /spath="%USERPROFILE%\AppData\Local\Temp\OnboardLogs" /stypes="app*4006*20170609*" /stext=" 12:.+((SYSTEM_STATE.+slice.+state.+changed )|(ment ac)|(multiple cpu faults)|(system.+state.+changed )|(\[timeout)|(PRM\|1\|D)|(kpr)|(kdp)|(train st.+moving)|(\|lc)|(penalty))"</v>
      </c>
      <c r="AG33" s="1" t="str">
        <f t="shared" si="13"/>
        <v>EC</v>
      </c>
      <c r="AH33" s="81" t="str">
        <f t="shared" si="19"/>
        <v>"%USERPROFILE%\Documents\GitHub\eaglep3\Utilities\RefineRTDCRunTimes.py" --tripid 121-09 --locoid 4006 --swversion DE.1.0.9.0 --startMP 204:480 --initTime 2017-06-09T06:08:44 --startdatetime 2017-06-09T06:15:15 --delay 1 --endMP 204:233304 --enddatetime 2017-06-09T06:51:00 --enforcementcount 0 &gt;&gt;C:\Users\stu\Documents\GitHub\eaglep3-reporting\EC\2017-06-09-refined-times.txt</v>
      </c>
      <c r="AI33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{"issue":{"subject":"","project_id":79,"tracker_id":40,"status_id":1,"priority_id":2,"assigned_to_id":23,"start_date":"2017-06-09","description":"","custom_fields":[{"id":1,"name":"Subdivision","value":"EC"},{"id":4,"name":"Milepost","value":"23.3304"},{"id":17,"name":"Train ID","value":"121-09"},{"id":16,"name":"Locomotive ID","value":"4006"},{"id":130,"name":"Impact","value":""},{"id":150,"name":"Time of Event (Mountain Time)","value":"06:51:00"},{"id":151,"name":"Denver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4006 --day 2017-06-09</v>
      </c>
      <c r="AN33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12:51:00"},{"id":29,"name":"Sharepoint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675</v>
      </c>
      <c r="B34" s="7">
        <v>4005</v>
      </c>
      <c r="C34" s="21" t="s">
        <v>204</v>
      </c>
      <c r="D34" s="21" t="s">
        <v>514</v>
      </c>
      <c r="E34" s="13">
        <v>42895.286620370367</v>
      </c>
      <c r="F34" s="13">
        <v>42895.300196759257</v>
      </c>
      <c r="G34" s="7">
        <v>1</v>
      </c>
      <c r="H34" s="21" t="s">
        <v>457</v>
      </c>
      <c r="I34" s="13">
        <v>42895.326724537037</v>
      </c>
      <c r="J34" s="7">
        <v>0</v>
      </c>
      <c r="K34" s="92" t="str">
        <f t="shared" si="0"/>
        <v>4005/4006</v>
      </c>
      <c r="L34" s="21" t="str">
        <f>VLOOKUP(A34,'Trips&amp;Operators'!$C$1:$G$99999,5,FALSE)</f>
        <v>GEBRETEKLE DAGNEW</v>
      </c>
      <c r="M34" s="6">
        <f t="shared" si="1"/>
        <v>2.6527777779847383E-2</v>
      </c>
      <c r="N34" s="7">
        <f t="shared" si="18"/>
        <v>38.200000002980232</v>
      </c>
      <c r="O34" s="7"/>
      <c r="P34" s="7"/>
      <c r="Q34" s="22"/>
      <c r="R34" s="173"/>
      <c r="S34" s="176">
        <f t="shared" si="2"/>
        <v>1</v>
      </c>
      <c r="T34" s="202" t="str">
        <f t="shared" si="3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4"/>
        <v>https://d0f6bd738d7f1b3e5a7ca70fe4ff75f0.us-east-1.aws.found.io/app/kibana#/discover/Steve-Slow-Train-Analysis-(2080s-and-2083s)?_g=(refreshInterval:(display:Off,pause:!f,section:0,value:0),time:(from:'2017-06-09T05:52:44-0600',mode:absolute,to:'2017-06-09T08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4" s="204" t="str">
        <f t="shared" si="5"/>
        <v>N</v>
      </c>
      <c r="X34" s="204">
        <f t="shared" si="6"/>
        <v>1</v>
      </c>
      <c r="Y34" s="204">
        <f t="shared" si="7"/>
        <v>23.299600000000002</v>
      </c>
      <c r="Z34" s="204">
        <f t="shared" si="8"/>
        <v>1.5599999999999999E-2</v>
      </c>
      <c r="AA34" s="204">
        <f t="shared" si="9"/>
        <v>23.284000000000002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0"/>
        <v>0122-09</v>
      </c>
      <c r="AE34" s="80" t="str">
        <f t="shared" si="11"/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AF34" s="77" t="str">
        <f t="shared" si="12"/>
        <v>"C:\Program Files (x86)\AstroGrep\AstroGrep.exe" /e /r /s /spath="%USERPROFILE%\AppData\Local\Temp\OnboardLogs" /stypes="app*4005*20170609*" /stext=" 13:.+((SYSTEM_STATE.+slice.+state.+changed )|(ment ac)|(multiple cpu faults)|(system.+state.+changed )|(\[timeout)|(PRM\|1\|D)|(kpr)|(kdp)|(train st.+moving)|(\|lc)|(penalty))"</v>
      </c>
      <c r="AG34" s="1" t="str">
        <f t="shared" si="13"/>
        <v>EC</v>
      </c>
      <c r="AH34" s="81" t="str">
        <f t="shared" si="19"/>
        <v>"%USERPROFILE%\Documents\GitHub\eaglep3\Utilities\RefineRTDCRunTimes.py" --tripid 122-09 --locoid 4005 --swversion DE.1.0.9.0 --startMP 204:232996 --initTime 2017-06-09T06:52:44 --startdatetime 2017-06-09T07:12:17 --delay 1 --endMP 204:156 --enddatetime 2017-06-09T07:50:29 --enforcementcount 0 &gt;&gt;C:\Users\stu\Documents\GitHub\eaglep3-reporting\EC\2017-06-09-refined-times.txt</v>
      </c>
      <c r="AI34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{"issue":{"subject":"","project_id":79,"tracker_id":40,"status_id":1,"priority_id":2,"assigned_to_id":23,"start_date":"2017-06-09","description":"","custom_fields":[{"id":1,"name":"Subdivision","value":"EC"},{"id":4,"name":"Milepost","value":"0.0156"},{"id":17,"name":"Train ID","value":"122-09"},{"id":16,"name":"Locomotive ID","value":"4005"},{"id":130,"name":"Impact","value":""},{"id":150,"name":"Time of Event (Mountain Time)","value":"07:50:29"},{"id":151,"name":"Denver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4005 --day 2017-06-09</v>
      </c>
      <c r="AN34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13:50:29"},{"id":29,"name":"Sharepoint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670</v>
      </c>
      <c r="B35" s="7">
        <v>4054</v>
      </c>
      <c r="C35" s="21" t="s">
        <v>204</v>
      </c>
      <c r="D35" s="21" t="s">
        <v>201</v>
      </c>
      <c r="E35" s="13">
        <v>42895.267696759256</v>
      </c>
      <c r="F35" s="13">
        <v>42895.271006944444</v>
      </c>
      <c r="G35" s="7">
        <v>1</v>
      </c>
      <c r="H35" s="21" t="s">
        <v>453</v>
      </c>
      <c r="I35" s="13">
        <v>42895.296238425923</v>
      </c>
      <c r="J35" s="7">
        <v>0</v>
      </c>
      <c r="K35" s="92" t="str">
        <f t="shared" si="0"/>
        <v>4053/4054</v>
      </c>
      <c r="L35" s="21" t="str">
        <f>VLOOKUP(A35,'Trips&amp;Operators'!$C$1:$G$99999,5,FALSE)</f>
        <v>DAVIS WENDY</v>
      </c>
      <c r="M35" s="6">
        <f t="shared" si="1"/>
        <v>2.5231481478840578E-2</v>
      </c>
      <c r="N35" s="7">
        <f t="shared" si="18"/>
        <v>36.333333329530433</v>
      </c>
      <c r="O35" s="7"/>
      <c r="P35" s="7"/>
      <c r="Q35" s="22"/>
      <c r="R35" s="173"/>
      <c r="S35" s="176">
        <f t="shared" si="2"/>
        <v>1</v>
      </c>
      <c r="T35" s="202" t="str">
        <f t="shared" si="3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4"/>
        <v>https://d0f6bd738d7f1b3e5a7ca70fe4ff75f0.us-east-1.aws.found.io/app/kibana#/discover/Steve-Slow-Train-Analysis-(2080s-and-2083s)?_g=(refreshInterval:(display:Off,pause:!f,section:0,value:0),time:(from:'2017-06-09T05:25:29-0600',mode:absolute,to:'2017-06-09T08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5" s="204" t="str">
        <f t="shared" si="5"/>
        <v>N</v>
      </c>
      <c r="X35" s="204">
        <f t="shared" si="6"/>
        <v>1</v>
      </c>
      <c r="Y35" s="204">
        <f t="shared" si="7"/>
        <v>4.5999999999999999E-2</v>
      </c>
      <c r="Z35" s="204">
        <f t="shared" si="8"/>
        <v>23.329699999999999</v>
      </c>
      <c r="AA35" s="204">
        <f t="shared" si="9"/>
        <v>23.2837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0"/>
        <v>0123-09</v>
      </c>
      <c r="AE35" s="80" t="str">
        <f t="shared" si="11"/>
        <v>aws s3 cp s3://rtdc.mdm.uploadarchive.raw/RTDC4054/ "%USERPROFILE%\AppData\Local\Temp\OnboardLogs"\RTDC4054\2017-06-09 --exclude "*" --recursive --include "*20170609*" &amp; "%USERPROFILE%\Documents\GitHub\mrs-test-scripts\Headless Mode &amp; Sideloading\WalkAndUnGZ.bat" "%USERPROFILE%\AppData\Local\Temp\OnboardLogs"\RTDC4054\2017-06-09 &amp; 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</v>
      </c>
      <c r="AF35" s="77" t="str">
        <f t="shared" si="12"/>
        <v>"C:\Program Files (x86)\AstroGrep\AstroGrep.exe" /e /r /s /spath="%USERPROFILE%\AppData\Local\Temp\OnboardLogs" /stypes="app*4054*20170609*" /stext=" 13:.+((SYSTEM_STATE.+slice.+state.+changed )|(ment ac)|(multiple cpu faults)|(system.+state.+changed )|(\[timeout)|(PRM\|1\|D)|(kpr)|(kdp)|(train st.+moving)|(\|lc)|(penalty))"</v>
      </c>
      <c r="AG35" s="1" t="str">
        <f t="shared" si="13"/>
        <v>EC</v>
      </c>
      <c r="AH35" s="81" t="str">
        <f t="shared" si="19"/>
        <v>"%USERPROFILE%\Documents\GitHub\eaglep3\Utilities\RefineRTDCRunTimes.py" --tripid 123-09 --locoid 4054 --swversion DE.1.0.9.0 --startMP 204:460 --initTime 2017-06-09T06:25:29 --startdatetime 2017-06-09T06:30:15 --delay 1 --endMP 204:233297 --enddatetime 2017-06-09T07:06:35 --enforcementcount 0 &gt;&gt;C:\Users\stu\Documents\GitHub\eaglep3-reporting\EC\2017-06-09-refined-times.txt</v>
      </c>
      <c r="AI35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{"issue":{"subject":"","project_id":79,"tracker_id":40,"status_id":1,"priority_id":2,"assigned_to_id":23,"start_date":"2017-06-09","description":"","custom_fields":[{"id":1,"name":"Subdivision","value":"EC"},{"id":4,"name":"Milepost","value":"23.3297"},{"id":17,"name":"Train ID","value":"123-09"},{"id":16,"name":"Locomotive ID","value":"4054"},{"id":130,"name":"Impact","value":""},{"id":150,"name":"Time of Event (Mountain Time)","value":"07:06:35"},{"id":151,"name":"Denver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4054 --day 2017-06-09</v>
      </c>
      <c r="AN35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13:06:35"},{"id":29,"name":"Sharepoint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680</v>
      </c>
      <c r="B36" s="7">
        <v>4053</v>
      </c>
      <c r="C36" s="21" t="s">
        <v>204</v>
      </c>
      <c r="D36" s="21" t="s">
        <v>403</v>
      </c>
      <c r="E36" s="13">
        <v>42895.308993055558</v>
      </c>
      <c r="F36" s="13">
        <v>42895.310590277775</v>
      </c>
      <c r="G36" s="7">
        <v>1</v>
      </c>
      <c r="H36" s="21" t="s">
        <v>352</v>
      </c>
      <c r="I36" s="13">
        <v>42895.338368055556</v>
      </c>
      <c r="J36" s="7">
        <v>0</v>
      </c>
      <c r="K36" s="92" t="str">
        <f t="shared" si="0"/>
        <v>4053/4054</v>
      </c>
      <c r="L36" s="21" t="str">
        <f>VLOOKUP(A36,'Trips&amp;Operators'!$C$1:$G$99999,5,FALSE)</f>
        <v>DAVIS WENDY</v>
      </c>
      <c r="M36" s="6">
        <f t="shared" si="1"/>
        <v>2.7777777781011537E-2</v>
      </c>
      <c r="N36" s="7">
        <f t="shared" si="18"/>
        <v>40.000000004656613</v>
      </c>
      <c r="O36" s="7"/>
      <c r="P36" s="7"/>
      <c r="Q36" s="22"/>
      <c r="R36" s="173"/>
      <c r="S36" s="176">
        <f t="shared" si="2"/>
        <v>1</v>
      </c>
      <c r="T36" s="202" t="str">
        <f t="shared" si="3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4"/>
        <v>https://d0f6bd738d7f1b3e5a7ca70fe4ff75f0.us-east-1.aws.found.io/app/kibana#/discover/Steve-Slow-Train-Analysis-(2080s-and-2083s)?_g=(refreshInterval:(display:Off,pause:!f,section:0,value:0),time:(from:'2017-06-09T06:24:57-0600',mode:absolute,to:'2017-06-09T09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6" s="204" t="str">
        <f t="shared" si="5"/>
        <v>N</v>
      </c>
      <c r="X36" s="204">
        <f t="shared" si="6"/>
        <v>1</v>
      </c>
      <c r="Y36" s="204">
        <f t="shared" si="7"/>
        <v>23.298200000000001</v>
      </c>
      <c r="Z36" s="204">
        <f t="shared" si="8"/>
        <v>1.4999999999999999E-2</v>
      </c>
      <c r="AA36" s="204">
        <f t="shared" si="9"/>
        <v>23.283200000000001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0"/>
        <v>0124-09</v>
      </c>
      <c r="AE36" s="80" t="str">
        <f t="shared" si="11"/>
        <v>aws s3 cp s3://rtdc.mdm.uploadarchive.raw/RTDC4053/ "%USERPROFILE%\AppData\Local\Temp\OnboardLogs"\RTDC4053\2017-06-09 --exclude "*" --recursive --include "*20170609*" &amp; "%USERPROFILE%\Documents\GitHub\mrs-test-scripts\Headless Mode &amp; Sideloading\WalkAndUnGZ.bat" "%USERPROFILE%\AppData\Local\Temp\OnboardLogs"\RTDC4053\2017-06-09 &amp; aws s3 cp s3://rtdc.mdm.uploadarchive.raw/RTDC4053/ "%USERPROFILE%\AppData\Local\Temp\OnboardLogs"\RTDC4053\2017-06-10 --exclude "*" --recursive --include "*20170610*" &amp; "%USERPROFILE%\Documents\GitHub\mrs-test-scripts\Headless Mode &amp; Sideloading\WalkAndUnGZ.bat" "%USERPROFILE%\AppData\Local\Temp\OnboardLogs"\RTDC4053\2017-06-10</v>
      </c>
      <c r="AF36" s="77" t="str">
        <f t="shared" si="12"/>
        <v>"C:\Program Files (x86)\AstroGrep\AstroGrep.exe" /e /r /s /spath="%USERPROFILE%\AppData\Local\Temp\OnboardLogs" /stypes="app*4053*20170609*" /stext=" 14:.+((SYSTEM_STATE.+slice.+state.+changed )|(ment ac)|(multiple cpu faults)|(system.+state.+changed )|(\[timeout)|(PRM\|1\|D)|(kpr)|(kdp)|(train st.+moving)|(\|lc)|(penalty))"</v>
      </c>
      <c r="AG36" s="1" t="str">
        <f t="shared" si="13"/>
        <v>EC</v>
      </c>
      <c r="AH36" s="81" t="str">
        <f t="shared" si="19"/>
        <v>"%USERPROFILE%\Documents\GitHub\eaglep3\Utilities\RefineRTDCRunTimes.py" --tripid 124-09 --locoid 4053 --swversion DE.1.0.9.0 --startMP 204:232982 --initTime 2017-06-09T07:24:57 --startdatetime 2017-06-09T07:27:15 --delay 1 --endMP 204:150 --enddatetime 2017-06-09T08:07:15 --enforcementcount 0 &gt;&gt;C:\Users\stu\Documents\GitHub\eaglep3-reporting\EC\2017-06-09-refined-times.txt</v>
      </c>
      <c r="AI36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{"issue":{"subject":"","project_id":79,"tracker_id":40,"status_id":1,"priority_id":2,"assigned_to_id":23,"start_date":"2017-06-09","description":"","custom_fields":[{"id":1,"name":"Subdivision","value":"EC"},{"id":4,"name":"Milepost","value":"0.015"},{"id":17,"name":"Train ID","value":"124-09"},{"id":16,"name":"Locomotive ID","value":"4053"},{"id":130,"name":"Impact","value":""},{"id":150,"name":"Time of Event (Mountain Time)","value":"08:07:15"},{"id":151,"name":"Denver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4053 --day 2017-06-09</v>
      </c>
      <c r="AN36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14:07:15"},{"id":29,"name":"Sharepoint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593</v>
      </c>
      <c r="B37" s="7">
        <v>4010</v>
      </c>
      <c r="C37" s="21" t="s">
        <v>204</v>
      </c>
      <c r="D37" s="21" t="s">
        <v>360</v>
      </c>
      <c r="E37" s="13">
        <v>42895.277187500003</v>
      </c>
      <c r="F37" s="13">
        <v>42895.281412037039</v>
      </c>
      <c r="G37" s="7">
        <v>1</v>
      </c>
      <c r="H37" s="21" t="s">
        <v>531</v>
      </c>
      <c r="I37" s="13">
        <v>42895.309074074074</v>
      </c>
      <c r="J37" s="7">
        <v>0</v>
      </c>
      <c r="K37" s="92" t="str">
        <f t="shared" si="0"/>
        <v>4009/4010</v>
      </c>
      <c r="L37" s="21" t="str">
        <f>VLOOKUP(A37,'Trips&amp;Operators'!$C$1:$G$99999,5,FALSE)</f>
        <v>STARKS ANGELINA</v>
      </c>
      <c r="M37" s="6">
        <f t="shared" si="1"/>
        <v>2.7662037035042886E-2</v>
      </c>
      <c r="N37" s="7">
        <f t="shared" si="18"/>
        <v>39.833333330461755</v>
      </c>
      <c r="O37" s="7"/>
      <c r="P37" s="7"/>
      <c r="Q37" s="22"/>
      <c r="R37" s="173"/>
      <c r="S37" s="176">
        <f t="shared" si="2"/>
        <v>1</v>
      </c>
      <c r="T37" s="202" t="str">
        <f t="shared" si="3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4"/>
        <v>https://d0f6bd738d7f1b3e5a7ca70fe4ff75f0.us-east-1.aws.found.io/app/kibana#/discover/Steve-Slow-Train-Analysis-(2080s-and-2083s)?_g=(refreshInterval:(display:Off,pause:!f,section:0,value:0),time:(from:'2017-06-09T05:39:09-0600',mode:absolute,to:'2017-06-09T08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7" s="204" t="str">
        <f t="shared" si="5"/>
        <v>N</v>
      </c>
      <c r="X37" s="204">
        <f t="shared" si="6"/>
        <v>1</v>
      </c>
      <c r="Y37" s="204">
        <f t="shared" si="7"/>
        <v>4.4699999999999997E-2</v>
      </c>
      <c r="Z37" s="204">
        <f t="shared" si="8"/>
        <v>23.330400000000001</v>
      </c>
      <c r="AA37" s="204">
        <f t="shared" si="9"/>
        <v>23.285700000000002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0"/>
        <v>0125-09</v>
      </c>
      <c r="AE37" s="80" t="str">
        <f t="shared" si="11"/>
        <v>aws s3 cp s3://rtdc.mdm.uploadarchive.raw/RTDC4010/ "%USERPROFILE%\AppData\Local\Temp\OnboardLogs"\RTDC4010\2017-06-09 --exclude "*" --recursive --include "*20170609*" &amp; "%USERPROFILE%\Documents\GitHub\mrs-test-scripts\Headless Mode &amp; Sideloading\WalkAndUnGZ.bat" "%USERPROFILE%\AppData\Local\Temp\OnboardLogs"\RTDC4010\2017-06-09 &amp; aws s3 cp s3://rtdc.mdm.uploadarchive.raw/RTDC4010/ "%USERPROFILE%\AppData\Local\Temp\OnboardLogs"\RTDC4010\2017-06-10 --exclude "*" --recursive --include "*20170610*" &amp; "%USERPROFILE%\Documents\GitHub\mrs-test-scripts\Headless Mode &amp; Sideloading\WalkAndUnGZ.bat" "%USERPROFILE%\AppData\Local\Temp\OnboardLogs"\RTDC4010\2017-06-10</v>
      </c>
      <c r="AF37" s="77" t="str">
        <f t="shared" si="12"/>
        <v>"C:\Program Files (x86)\AstroGrep\AstroGrep.exe" /e /r /s /spath="%USERPROFILE%\AppData\Local\Temp\OnboardLogs" /stypes="app*4010*20170609*" /stext=" 13:.+((SYSTEM_STATE.+slice.+state.+changed )|(ment ac)|(multiple cpu faults)|(system.+state.+changed )|(\[timeout)|(PRM\|1\|D)|(kpr)|(kdp)|(train st.+moving)|(\|lc)|(penalty))"</v>
      </c>
      <c r="AG37" s="1" t="str">
        <f t="shared" si="13"/>
        <v>EC</v>
      </c>
      <c r="AH37" s="81" t="str">
        <f t="shared" si="19"/>
        <v>"%USERPROFILE%\Documents\GitHub\eaglep3\Utilities\RefineRTDCRunTimes.py" --tripid 125-09 --locoid 4010 --swversion DE.1.0.9.0 --startMP 204:447 --initTime 2017-06-09T06:39:09 --startdatetime 2017-06-09T06:45:14 --delay 1 --endMP 204:233304 --enddatetime 2017-06-09T07:25:04 --enforcementcount 0 &gt;&gt;C:\Users\stu\Documents\GitHub\eaglep3-reporting\EC\2017-06-09-refined-times.txt</v>
      </c>
      <c r="AI37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{"issue":{"subject":"","project_id":79,"tracker_id":40,"status_id":1,"priority_id":2,"assigned_to_id":23,"start_date":"2017-06-09","description":"","custom_fields":[{"id":1,"name":"Subdivision","value":"EC"},{"id":4,"name":"Milepost","value":"23.3304"},{"id":17,"name":"Train ID","value":"125-09"},{"id":16,"name":"Locomotive ID","value":"4010"},{"id":130,"name":"Impact","value":""},{"id":150,"name":"Time of Event (Mountain Time)","value":"07:25:04"},{"id":151,"name":"Denver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4010 --day 2017-06-09</v>
      </c>
      <c r="AN37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13:25:04"},{"id":29,"name":"Sharepoint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685</v>
      </c>
      <c r="B38" s="7">
        <v>4009</v>
      </c>
      <c r="C38" s="21" t="s">
        <v>204</v>
      </c>
      <c r="D38" s="21" t="s">
        <v>496</v>
      </c>
      <c r="E38" s="13">
        <v>42895.318831018521</v>
      </c>
      <c r="F38" s="13">
        <v>42895.321157407408</v>
      </c>
      <c r="G38" s="7">
        <v>1</v>
      </c>
      <c r="H38" s="21" t="s">
        <v>363</v>
      </c>
      <c r="I38" s="13">
        <v>42895.34878472222</v>
      </c>
      <c r="J38" s="7">
        <v>0</v>
      </c>
      <c r="K38" s="92" t="str">
        <f t="shared" si="0"/>
        <v>4009/4010</v>
      </c>
      <c r="L38" s="21" t="str">
        <f>VLOOKUP(A38,'Trips&amp;Operators'!$C$1:$G$99999,5,FALSE)</f>
        <v>STARKS ANGELINA</v>
      </c>
      <c r="M38" s="6">
        <f t="shared" si="1"/>
        <v>2.7627314811979886E-2</v>
      </c>
      <c r="N38" s="7">
        <f t="shared" si="18"/>
        <v>39.783333329251036</v>
      </c>
      <c r="O38" s="7"/>
      <c r="P38" s="7"/>
      <c r="Q38" s="22"/>
      <c r="R38" s="173"/>
      <c r="S38" s="176">
        <f t="shared" si="2"/>
        <v>1</v>
      </c>
      <c r="T38" s="202" t="str">
        <f t="shared" si="3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4"/>
        <v>https://d0f6bd738d7f1b3e5a7ca70fe4ff75f0.us-east-1.aws.found.io/app/kibana#/discover/Steve-Slow-Train-Analysis-(2080s-and-2083s)?_g=(refreshInterval:(display:Off,pause:!f,section:0,value:0),time:(from:'2017-06-09T06:39:07-0600',mode:absolute,to:'2017-06-09T09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8" s="204" t="str">
        <f t="shared" si="5"/>
        <v>N</v>
      </c>
      <c r="X38" s="204">
        <f t="shared" si="6"/>
        <v>1</v>
      </c>
      <c r="Y38" s="204">
        <f t="shared" si="7"/>
        <v>23.298300000000001</v>
      </c>
      <c r="Z38" s="204">
        <f t="shared" si="8"/>
        <v>1.41E-2</v>
      </c>
      <c r="AA38" s="204">
        <f t="shared" si="9"/>
        <v>23.284200000000002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0"/>
        <v>0126-09</v>
      </c>
      <c r="AE38" s="80" t="str">
        <f t="shared" si="11"/>
        <v>aws s3 cp s3://rtdc.mdm.uploadarchive.raw/RTDC4009/ "%USERPROFILE%\AppData\Local\Temp\OnboardLogs"\RTDC4009\2017-06-09 --exclude "*" --recursive --include "*20170609*" &amp; "%USERPROFILE%\Documents\GitHub\mrs-test-scripts\Headless Mode &amp; Sideloading\WalkAndUnGZ.bat" "%USERPROFILE%\AppData\Local\Temp\OnboardLogs"\RTDC4009\2017-06-09 &amp; aws s3 cp s3://rtdc.mdm.uploadarchive.raw/RTDC4009/ "%USERPROFILE%\AppData\Local\Temp\OnboardLogs"\RTDC4009\2017-06-10 --exclude "*" --recursive --include "*20170610*" &amp; "%USERPROFILE%\Documents\GitHub\mrs-test-scripts\Headless Mode &amp; Sideloading\WalkAndUnGZ.bat" "%USERPROFILE%\AppData\Local\Temp\OnboardLogs"\RTDC4009\2017-06-10</v>
      </c>
      <c r="AF38" s="77" t="str">
        <f t="shared" si="12"/>
        <v>"C:\Program Files (x86)\AstroGrep\AstroGrep.exe" /e /r /s /spath="%USERPROFILE%\AppData\Local\Temp\OnboardLogs" /stypes="app*4009*20170609*" /stext=" 14:.+((SYSTEM_STATE.+slice.+state.+changed )|(ment ac)|(multiple cpu faults)|(system.+state.+changed )|(\[timeout)|(PRM\|1\|D)|(kpr)|(kdp)|(train st.+moving)|(\|lc)|(penalty))"</v>
      </c>
      <c r="AG38" s="1" t="str">
        <f t="shared" si="13"/>
        <v>EC</v>
      </c>
      <c r="AH38" s="81" t="str">
        <f t="shared" si="19"/>
        <v>"%USERPROFILE%\Documents\GitHub\eaglep3\Utilities\RefineRTDCRunTimes.py" --tripid 126-09 --locoid 4009 --swversion DE.1.0.9.0 --startMP 204:232983 --initTime 2017-06-09T07:39:07 --startdatetime 2017-06-09T07:42:28 --delay 1 --endMP 204:141 --enddatetime 2017-06-09T08:22:15 --enforcementcount 0 &gt;&gt;C:\Users\stu\Documents\GitHub\eaglep3-reporting\EC\2017-06-09-refined-times.txt</v>
      </c>
      <c r="AI38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{"issue":{"subject":"","project_id":79,"tracker_id":40,"status_id":1,"priority_id":2,"assigned_to_id":23,"start_date":"2017-06-09","description":"","custom_fields":[{"id":1,"name":"Subdivision","value":"EC"},{"id":4,"name":"Milepost","value":"0.0141"},{"id":17,"name":"Train ID","value":"126-09"},{"id":16,"name":"Locomotive ID","value":"4009"},{"id":130,"name":"Impact","value":""},{"id":150,"name":"Time of Event (Mountain Time)","value":"08:22:15"},{"id":151,"name":"Denver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4009 --day 2017-06-09</v>
      </c>
      <c r="AN38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14:22:15"},{"id":29,"name":"Sharepoint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676</v>
      </c>
      <c r="B39" s="7">
        <v>4012</v>
      </c>
      <c r="C39" s="21" t="s">
        <v>204</v>
      </c>
      <c r="D39" s="21" t="s">
        <v>397</v>
      </c>
      <c r="E39" s="13">
        <v>42895.287442129629</v>
      </c>
      <c r="F39" s="13">
        <v>42895.291851851849</v>
      </c>
      <c r="G39" s="7">
        <v>1</v>
      </c>
      <c r="H39" s="21" t="s">
        <v>839</v>
      </c>
      <c r="I39" s="13">
        <v>42895.31726851852</v>
      </c>
      <c r="J39" s="7">
        <v>0</v>
      </c>
      <c r="K39" s="92" t="str">
        <f t="shared" si="0"/>
        <v>4011/4012</v>
      </c>
      <c r="L39" s="21" t="str">
        <f>VLOOKUP(A39,'Trips&amp;Operators'!$C$1:$G$99999,5,FALSE)</f>
        <v>DAVIDSON DAVID</v>
      </c>
      <c r="M39" s="6">
        <f t="shared" si="1"/>
        <v>2.5416666670935228E-2</v>
      </c>
      <c r="N39" s="7">
        <f t="shared" si="18"/>
        <v>36.600000006146729</v>
      </c>
      <c r="O39" s="7"/>
      <c r="P39" s="7"/>
      <c r="Q39" s="22"/>
      <c r="R39" s="173"/>
      <c r="S39" s="176">
        <f t="shared" si="2"/>
        <v>1</v>
      </c>
      <c r="T39" s="202" t="str">
        <f t="shared" si="3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4"/>
        <v>https://d0f6bd738d7f1b3e5a7ca70fe4ff75f0.us-east-1.aws.found.io/app/kibana#/discover/Steve-Slow-Train-Analysis-(2080s-and-2083s)?_g=(refreshInterval:(display:Off,pause:!f,section:0,value:0),time:(from:'2017-06-09T05:53:55-0600',mode:absolute,to:'2017-06-09T08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9" s="204" t="str">
        <f t="shared" si="5"/>
        <v>N</v>
      </c>
      <c r="X39" s="204">
        <f t="shared" si="6"/>
        <v>1</v>
      </c>
      <c r="Y39" s="204">
        <f t="shared" si="7"/>
        <v>4.6199999999999998E-2</v>
      </c>
      <c r="Z39" s="204">
        <f t="shared" si="8"/>
        <v>23.330100000000002</v>
      </c>
      <c r="AA39" s="204">
        <f t="shared" si="9"/>
        <v>23.283900000000003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0"/>
        <v>0127-09</v>
      </c>
      <c r="AE39" s="80" t="str">
        <f t="shared" si="11"/>
        <v>aws s3 cp s3://rtdc.mdm.uploadarchive.raw/RTDC4012/ "%USERPROFILE%\AppData\Local\Temp\OnboardLogs"\RTDC4012\2017-06-09 --exclude "*" --recursive --include "*20170609*" &amp; "%USERPROFILE%\Documents\GitHub\mrs-test-scripts\Headless Mode &amp; Sideloading\WalkAndUnGZ.bat" "%USERPROFILE%\AppData\Local\Temp\OnboardLogs"\RTDC4012\2017-06-09 &amp; aws s3 cp s3://rtdc.mdm.uploadarchive.raw/RTDC4012/ "%USERPROFILE%\AppData\Local\Temp\OnboardLogs"\RTDC4012\2017-06-10 --exclude "*" --recursive --include "*20170610*" &amp; "%USERPROFILE%\Documents\GitHub\mrs-test-scripts\Headless Mode &amp; Sideloading\WalkAndUnGZ.bat" "%USERPROFILE%\AppData\Local\Temp\OnboardLogs"\RTDC4012\2017-06-10</v>
      </c>
      <c r="AF39" s="77" t="str">
        <f t="shared" si="12"/>
        <v>"C:\Program Files (x86)\AstroGrep\AstroGrep.exe" /e /r /s /spath="%USERPROFILE%\AppData\Local\Temp\OnboardLogs" /stypes="app*4012*20170609*" /stext=" 13:.+((SYSTEM_STATE.+slice.+state.+changed )|(ment ac)|(multiple cpu faults)|(system.+state.+changed )|(\[timeout)|(PRM\|1\|D)|(kpr)|(kdp)|(train st.+moving)|(\|lc)|(penalty))"</v>
      </c>
      <c r="AG39" s="1" t="str">
        <f t="shared" si="13"/>
        <v>EC</v>
      </c>
      <c r="AH39" s="81" t="str">
        <f t="shared" si="19"/>
        <v>"%USERPROFILE%\Documents\GitHub\eaglep3\Utilities\RefineRTDCRunTimes.py" --tripid 127-09 --locoid 4012 --swversion DE.1.0.9.0 --startMP 204:462 --initTime 2017-06-09T06:53:55 --startdatetime 2017-06-09T07:00:16 --delay 1 --endMP 204:233301 --enddatetime 2017-06-09T07:36:52 --enforcementcount 0 &gt;&gt;C:\Users\stu\Documents\GitHub\eaglep3-reporting\EC\2017-06-09-refined-times.txt</v>
      </c>
      <c r="AI39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{"issue":{"subject":"","project_id":79,"tracker_id":40,"status_id":1,"priority_id":2,"assigned_to_id":23,"start_date":"2017-06-09","description":"","custom_fields":[{"id":1,"name":"Subdivision","value":"EC"},{"id":4,"name":"Milepost","value":"23.3301"},{"id":17,"name":"Train ID","value":"127-09"},{"id":16,"name":"Locomotive ID","value":"4012"},{"id":130,"name":"Impact","value":""},{"id":150,"name":"Time of Event (Mountain Time)","value":"07:36:52"},{"id":151,"name":"Denver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4012 --day 2017-06-09</v>
      </c>
      <c r="AN39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686</v>
      </c>
      <c r="B40" s="7">
        <v>4011</v>
      </c>
      <c r="C40" s="21" t="s">
        <v>204</v>
      </c>
      <c r="D40" s="21" t="s">
        <v>497</v>
      </c>
      <c r="E40" s="13">
        <v>42895.319039351853</v>
      </c>
      <c r="F40" s="13">
        <v>42895.331550925926</v>
      </c>
      <c r="G40" s="7">
        <v>1</v>
      </c>
      <c r="H40" s="21" t="s">
        <v>431</v>
      </c>
      <c r="I40" s="13">
        <v>42895.359837962962</v>
      </c>
      <c r="J40" s="7">
        <v>0</v>
      </c>
      <c r="K40" s="92" t="str">
        <f t="shared" si="0"/>
        <v>4011/4012</v>
      </c>
      <c r="L40" s="21" t="str">
        <f>VLOOKUP(A40,'Trips&amp;Operators'!$C$1:$G$99999,5,FALSE)</f>
        <v>DAVIDSON DAVID</v>
      </c>
      <c r="M40" s="6">
        <f t="shared" si="1"/>
        <v>2.8287037035624962E-2</v>
      </c>
      <c r="N40" s="7">
        <f t="shared" si="18"/>
        <v>40.733333331299946</v>
      </c>
      <c r="O40" s="7"/>
      <c r="P40" s="7"/>
      <c r="Q40" s="22"/>
      <c r="R40" s="173"/>
      <c r="S40" s="176">
        <f t="shared" si="2"/>
        <v>1</v>
      </c>
      <c r="T40" s="202" t="str">
        <f t="shared" si="3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4"/>
        <v>https://d0f6bd738d7f1b3e5a7ca70fe4ff75f0.us-east-1.aws.found.io/app/kibana#/discover/Steve-Slow-Train-Analysis-(2080s-and-2083s)?_g=(refreshInterval:(display:Off,pause:!f,section:0,value:0),time:(from:'2017-06-09T06:39:25-0600',mode:absolute,to:'2017-06-09T09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204" t="str">
        <f t="shared" si="5"/>
        <v>N</v>
      </c>
      <c r="X40" s="204">
        <f t="shared" si="6"/>
        <v>1</v>
      </c>
      <c r="Y40" s="204">
        <f t="shared" si="7"/>
        <v>23.297499999999999</v>
      </c>
      <c r="Z40" s="204">
        <f t="shared" si="8"/>
        <v>1.4500000000000001E-2</v>
      </c>
      <c r="AA40" s="204">
        <f t="shared" si="9"/>
        <v>23.282999999999998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0"/>
        <v>0128-09</v>
      </c>
      <c r="AE40" s="80" t="str">
        <f t="shared" si="11"/>
        <v>aws s3 cp s3://rtdc.mdm.uploadarchive.raw/RTDC4011/ "%USERPROFILE%\AppData\Local\Temp\OnboardLogs"\RTDC4011\2017-06-09 --exclude "*" --recursive --include "*20170609*" &amp; "%USERPROFILE%\Documents\GitHub\mrs-test-scripts\Headless Mode &amp; Sideloading\WalkAndUnGZ.bat" "%USERPROFILE%\AppData\Local\Temp\OnboardLogs"\RTDC4011\2017-06-09 &amp; aws s3 cp s3://rtdc.mdm.uploadarchive.raw/RTDC4011/ "%USERPROFILE%\AppData\Local\Temp\OnboardLogs"\RTDC4011\2017-06-10 --exclude "*" --recursive --include "*20170610*" &amp; "%USERPROFILE%\Documents\GitHub\mrs-test-scripts\Headless Mode &amp; Sideloading\WalkAndUnGZ.bat" "%USERPROFILE%\AppData\Local\Temp\OnboardLogs"\RTDC4011\2017-06-10</v>
      </c>
      <c r="AF40" s="77" t="str">
        <f t="shared" si="12"/>
        <v>"C:\Program Files (x86)\AstroGrep\AstroGrep.exe" /e /r /s /spath="%USERPROFILE%\AppData\Local\Temp\OnboardLogs" /stypes="app*4011*20170609*" /stext=" 14:.+((SYSTEM_STATE.+slice.+state.+changed )|(ment ac)|(multiple cpu faults)|(system.+state.+changed )|(\[timeout)|(PRM\|1\|D)|(kpr)|(kdp)|(train st.+moving)|(\|lc)|(penalty))"</v>
      </c>
      <c r="AG40" s="1" t="str">
        <f t="shared" si="13"/>
        <v>EC</v>
      </c>
      <c r="AH40" s="81" t="str">
        <f t="shared" si="19"/>
        <v>"%USERPROFILE%\Documents\GitHub\eaglep3\Utilities\RefineRTDCRunTimes.py" --tripid 128-09 --locoid 4011 --swversion DE.1.0.9.0 --startMP 204:232975 --initTime 2017-06-09T07:39:25 --startdatetime 2017-06-09T07:57:26 --delay 1 --endMP 204:145 --enddatetime 2017-06-09T08:38:10 --enforcementcount 0 &gt;&gt;C:\Users\stu\Documents\GitHub\eaglep3-reporting\EC\2017-06-09-refined-times.txt</v>
      </c>
      <c r="AI40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{"issue":{"subject":"","project_id":79,"tracker_id":40,"status_id":1,"priority_id":2,"assigned_to_id":23,"start_date":"2017-06-09","description":"","custom_fields":[{"id":1,"name":"Subdivision","value":"EC"},{"id":4,"name":"Milepost","value":"0.0145"},{"id":17,"name":"Train ID","value":"128-09"},{"id":16,"name":"Locomotive ID","value":"4011"},{"id":130,"name":"Impact","value":""},{"id":150,"name":"Time of Event (Mountain Time)","value":"08:38:10"},{"id":151,"name":"Denver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4011 --day 2017-06-09</v>
      </c>
      <c r="AN40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14:38:10"},{"id":29,"name":"Sharepoint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679</v>
      </c>
      <c r="B41" s="7">
        <v>4046</v>
      </c>
      <c r="C41" s="21" t="s">
        <v>204</v>
      </c>
      <c r="D41" s="21" t="s">
        <v>355</v>
      </c>
      <c r="E41" s="13">
        <v>42895.298611111109</v>
      </c>
      <c r="F41" s="13">
        <v>42895.302337962959</v>
      </c>
      <c r="G41" s="7">
        <v>2</v>
      </c>
      <c r="H41" s="21" t="s">
        <v>572</v>
      </c>
      <c r="I41" s="13">
        <v>42895.329780092594</v>
      </c>
      <c r="J41" s="7">
        <v>0</v>
      </c>
      <c r="K41" s="92" t="str">
        <f t="shared" si="0"/>
        <v>4045/4046</v>
      </c>
      <c r="L41" s="21" t="str">
        <f>VLOOKUP(A41,'Trips&amp;Operators'!$C$1:$G$99999,5,FALSE)</f>
        <v>WILLIAMS DONTE</v>
      </c>
      <c r="M41" s="6">
        <f t="shared" si="1"/>
        <v>2.7442129634437151E-2</v>
      </c>
      <c r="N41" s="7">
        <f t="shared" si="18"/>
        <v>39.516666673589498</v>
      </c>
      <c r="O41" s="7"/>
      <c r="P41" s="7"/>
      <c r="Q41" s="22"/>
      <c r="R41" s="173"/>
      <c r="S41" s="176">
        <f t="shared" si="2"/>
        <v>1</v>
      </c>
      <c r="T41" s="202" t="str">
        <f t="shared" si="3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4"/>
        <v>https://d0f6bd738d7f1b3e5a7ca70fe4ff75f0.us-east-1.aws.found.io/app/kibana#/discover/Steve-Slow-Train-Analysis-(2080s-and-2083s)?_g=(refreshInterval:(display:Off,pause:!f,section:0,value:0),time:(from:'2017-06-09T06:10:00-0600',mode:absolute,to:'2017-06-09T08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1" s="204" t="str">
        <f t="shared" si="5"/>
        <v>N</v>
      </c>
      <c r="X41" s="204">
        <f t="shared" si="6"/>
        <v>1</v>
      </c>
      <c r="Y41" s="204">
        <f t="shared" si="7"/>
        <v>4.6600000000000003E-2</v>
      </c>
      <c r="Z41" s="204">
        <f t="shared" si="8"/>
        <v>23.333100000000002</v>
      </c>
      <c r="AA41" s="204">
        <f t="shared" si="9"/>
        <v>23.2865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0"/>
        <v>0129-09</v>
      </c>
      <c r="AE41" s="80" t="str">
        <f t="shared" si="11"/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AF41" s="77" t="str">
        <f t="shared" si="12"/>
        <v>"C:\Program Files (x86)\AstroGrep\AstroGrep.exe" /e /r /s /spath="%USERPROFILE%\AppData\Local\Temp\OnboardLogs" /stypes="app*4046*20170609*" /stext=" 13:.+((SYSTEM_STATE.+slice.+state.+changed )|(ment ac)|(multiple cpu faults)|(system.+state.+changed )|(\[timeout)|(PRM\|1\|D)|(kpr)|(kdp)|(train st.+moving)|(\|lc)|(penalty))"</v>
      </c>
      <c r="AG41" s="1" t="str">
        <f t="shared" si="13"/>
        <v>EC</v>
      </c>
      <c r="AH41" s="81" t="str">
        <f t="shared" si="19"/>
        <v>"%USERPROFILE%\Documents\GitHub\eaglep3\Utilities\RefineRTDCRunTimes.py" --tripid 129-09 --locoid 4046 --swversion DE.1.0.9.0 --startMP 204:466 --initTime 2017-06-09T07:10:00 --startdatetime 2017-06-09T07:15:22 --delay 2 --endMP 204:233331 --enddatetime 2017-06-09T07:54:53 --enforcementcount 0 &gt;&gt;C:\Users\stu\Documents\GitHub\eaglep3-reporting\EC\2017-06-09-refined-times.txt</v>
      </c>
      <c r="AI41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{"issue":{"subject":"","project_id":79,"tracker_id":40,"status_id":1,"priority_id":2,"assigned_to_id":23,"start_date":"2017-06-09","description":"","custom_fields":[{"id":1,"name":"Subdivision","value":"EC"},{"id":4,"name":"Milepost","value":"23.3331"},{"id":17,"name":"Train ID","value":"129-09"},{"id":16,"name":"Locomotive ID","value":"4046"},{"id":130,"name":"Impact","value":""},{"id":150,"name":"Time of Event (Mountain Time)","value":"07:54:53"},{"id":151,"name":"Denver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4046 --day 2017-06-09</v>
      </c>
      <c r="AN41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689</v>
      </c>
      <c r="B42" s="7">
        <v>4045</v>
      </c>
      <c r="C42" s="21" t="s">
        <v>204</v>
      </c>
      <c r="D42" s="21" t="s">
        <v>557</v>
      </c>
      <c r="E42" s="13">
        <v>42895.331932870373</v>
      </c>
      <c r="F42" s="13">
        <v>42895.342442129629</v>
      </c>
      <c r="G42" s="7">
        <v>1</v>
      </c>
      <c r="H42" s="21" t="s">
        <v>361</v>
      </c>
      <c r="I42" s="13">
        <v>42895.369872685187</v>
      </c>
      <c r="J42" s="7">
        <v>0</v>
      </c>
      <c r="K42" s="92" t="str">
        <f t="shared" si="0"/>
        <v>4045/4046</v>
      </c>
      <c r="L42" s="21" t="str">
        <f>VLOOKUP(A42,'Trips&amp;Operators'!$C$1:$G$99999,5,FALSE)</f>
        <v>WILLIAMS DONTE</v>
      </c>
      <c r="M42" s="6">
        <f t="shared" si="1"/>
        <v>2.7430555557657499E-2</v>
      </c>
      <c r="N42" s="7">
        <f t="shared" si="18"/>
        <v>39.500000003026798</v>
      </c>
      <c r="O42" s="7"/>
      <c r="P42" s="7"/>
      <c r="Q42" s="22"/>
      <c r="R42" s="173"/>
      <c r="S42" s="176">
        <f t="shared" si="2"/>
        <v>1</v>
      </c>
      <c r="T42" s="202" t="str">
        <f t="shared" si="3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4"/>
        <v>https://d0f6bd738d7f1b3e5a7ca70fe4ff75f0.us-east-1.aws.found.io/app/kibana#/discover/Steve-Slow-Train-Analysis-(2080s-and-2083s)?_g=(refreshInterval:(display:Off,pause:!f,section:0,value:0),time:(from:'2017-06-09T06:57:59-0600',mode:absolute,to:'2017-06-09T09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2" s="204" t="str">
        <f t="shared" si="5"/>
        <v>N</v>
      </c>
      <c r="X42" s="204">
        <f t="shared" si="6"/>
        <v>1</v>
      </c>
      <c r="Y42" s="204">
        <f t="shared" si="7"/>
        <v>23.3002</v>
      </c>
      <c r="Z42" s="204">
        <f t="shared" si="8"/>
        <v>1.3899999999999999E-2</v>
      </c>
      <c r="AA42" s="204">
        <f t="shared" si="9"/>
        <v>23.286300000000001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0"/>
        <v>0130-09</v>
      </c>
      <c r="AE42" s="80" t="str">
        <f t="shared" si="11"/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AF42" s="77" t="str">
        <f t="shared" si="12"/>
        <v>"C:\Program Files (x86)\AstroGrep\AstroGrep.exe" /e /r /s /spath="%USERPROFILE%\AppData\Local\Temp\OnboardLogs" /stypes="app*4045*20170609*" /stext=" 14:.+((SYSTEM_STATE.+slice.+state.+changed )|(ment ac)|(multiple cpu faults)|(system.+state.+changed )|(\[timeout)|(PRM\|1\|D)|(kpr)|(kdp)|(train st.+moving)|(\|lc)|(penalty))"</v>
      </c>
      <c r="AG42" s="1" t="str">
        <f t="shared" si="13"/>
        <v>EC</v>
      </c>
      <c r="AH42" s="81" t="str">
        <f t="shared" si="19"/>
        <v>"%USERPROFILE%\Documents\GitHub\eaglep3\Utilities\RefineRTDCRunTimes.py" --tripid 130-09 --locoid 4045 --swversion DE.1.0.9.0 --startMP 204:233002 --initTime 2017-06-09T07:57:59 --startdatetime 2017-06-09T08:13:07 --delay 1 --endMP 204:139 --enddatetime 2017-06-09T08:52:37 --enforcementcount 0 &gt;&gt;C:\Users\stu\Documents\GitHub\eaglep3-reporting\EC\2017-06-09-refined-times.txt</v>
      </c>
      <c r="AI42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{"issue":{"subject":"","project_id":79,"tracker_id":40,"status_id":1,"priority_id":2,"assigned_to_id":23,"start_date":"2017-06-09","description":"","custom_fields":[{"id":1,"name":"Subdivision","value":"EC"},{"id":4,"name":"Milepost","value":"0.0139"},{"id":17,"name":"Train ID","value":"130-09"},{"id":16,"name":"Locomotive ID","value":"4045"},{"id":130,"name":"Impact","value":""},{"id":150,"name":"Time of Event (Mountain Time)","value":"08:52:37"},{"id":151,"name":"Denver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4045 --day 2017-06-09</v>
      </c>
      <c r="AN42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14:52:37"},{"id":29,"name":"Sharepoint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681</v>
      </c>
      <c r="B43" s="7">
        <v>4062</v>
      </c>
      <c r="C43" s="21" t="s">
        <v>204</v>
      </c>
      <c r="D43" s="21" t="s">
        <v>499</v>
      </c>
      <c r="E43" s="13">
        <v>42895.309155092589</v>
      </c>
      <c r="F43" s="13">
        <v>42895.312696759262</v>
      </c>
      <c r="G43" s="7">
        <v>2</v>
      </c>
      <c r="H43" s="21" t="s">
        <v>533</v>
      </c>
      <c r="I43" s="13">
        <v>42895.337777777779</v>
      </c>
      <c r="J43" s="7">
        <v>0</v>
      </c>
      <c r="K43" s="92" t="str">
        <f t="shared" si="0"/>
        <v>4061/4062</v>
      </c>
      <c r="L43" s="21" t="str">
        <f>VLOOKUP(A43,'Trips&amp;Operators'!$C$1:$G$99999,5,FALSE)</f>
        <v>LOZA FIDEL</v>
      </c>
      <c r="M43" s="6">
        <f t="shared" si="1"/>
        <v>2.5081018517084885E-2</v>
      </c>
      <c r="N43" s="7">
        <f t="shared" si="18"/>
        <v>36.116666664602235</v>
      </c>
      <c r="O43" s="7"/>
      <c r="P43" s="7"/>
      <c r="Q43" s="22"/>
      <c r="R43" s="173"/>
      <c r="S43" s="176">
        <f t="shared" si="2"/>
        <v>1</v>
      </c>
      <c r="T43" s="202" t="str">
        <f t="shared" si="3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4"/>
        <v>https://d0f6bd738d7f1b3e5a7ca70fe4ff75f0.us-east-1.aws.found.io/app/kibana#/discover/Steve-Slow-Train-Analysis-(2080s-and-2083s)?_g=(refreshInterval:(display:Off,pause:!f,section:0,value:0),time:(from:'2017-06-09T06:25:11-0600',mode:absolute,to:'2017-06-09T09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3" s="204" t="str">
        <f t="shared" si="5"/>
        <v>N</v>
      </c>
      <c r="X43" s="204">
        <f t="shared" si="6"/>
        <v>1</v>
      </c>
      <c r="Y43" s="204">
        <f t="shared" si="7"/>
        <v>4.7100000000000003E-2</v>
      </c>
      <c r="Z43" s="204">
        <f t="shared" si="8"/>
        <v>23.331099999999999</v>
      </c>
      <c r="AA43" s="204">
        <f t="shared" si="9"/>
        <v>23.283999999999999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0"/>
        <v>0131-09</v>
      </c>
      <c r="AE43" s="80" t="str">
        <f t="shared" si="11"/>
        <v>aws s3 cp s3://rtdc.mdm.uploadarchive.raw/RTDC4062/ "%USERPROFILE%\AppData\Local\Temp\OnboardLogs"\RTDC4062\2017-06-09 --exclude "*" --recursive --include "*20170609*" &amp; "%USERPROFILE%\Documents\GitHub\mrs-test-scripts\Headless Mode &amp; Sideloading\WalkAndUnGZ.bat" "%USERPROFILE%\AppData\Local\Temp\OnboardLogs"\RTDC4062\2017-06-09 &amp; 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</v>
      </c>
      <c r="AF43" s="77" t="str">
        <f t="shared" si="12"/>
        <v>"C:\Program Files (x86)\AstroGrep\AstroGrep.exe" /e /r /s /spath="%USERPROFILE%\AppData\Local\Temp\OnboardLogs" /stypes="app*4062*20170609*" /stext=" 14:.+((SYSTEM_STATE.+slice.+state.+changed )|(ment ac)|(multiple cpu faults)|(system.+state.+changed )|(\[timeout)|(PRM\|1\|D)|(kpr)|(kdp)|(train st.+moving)|(\|lc)|(penalty))"</v>
      </c>
      <c r="AG43" s="1" t="str">
        <f t="shared" si="13"/>
        <v>EC</v>
      </c>
      <c r="AH43" s="81" t="str">
        <f t="shared" si="19"/>
        <v>"%USERPROFILE%\Documents\GitHub\eaglep3\Utilities\RefineRTDCRunTimes.py" --tripid 131-09 --locoid 4062 --swversion DE.1.0.9.0 --startMP 204:471 --initTime 2017-06-09T07:25:11 --startdatetime 2017-06-09T07:30:17 --delay 2 --endMP 204:233311 --enddatetime 2017-06-09T08:06:24 --enforcementcount 0 &gt;&gt;C:\Users\stu\Documents\GitHub\eaglep3-reporting\EC\2017-06-09-refined-times.txt</v>
      </c>
      <c r="AI43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{"issue":{"subject":"","project_id":79,"tracker_id":40,"status_id":1,"priority_id":2,"assigned_to_id":23,"start_date":"2017-06-09","description":"","custom_fields":[{"id":1,"name":"Subdivision","value":"EC"},{"id":4,"name":"Milepost","value":"23.3311"},{"id":17,"name":"Train ID","value":"131-09"},{"id":16,"name":"Locomotive ID","value":"4062"},{"id":130,"name":"Impact","value":""},{"id":150,"name":"Time of Event (Mountain Time)","value":"08:06:24"},{"id":151,"name":"Denver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4062 --day 2017-06-09</v>
      </c>
      <c r="AN43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14:06:24"},{"id":29,"name":"Sharepoint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691</v>
      </c>
      <c r="B44" s="7">
        <v>4061</v>
      </c>
      <c r="C44" s="21" t="s">
        <v>204</v>
      </c>
      <c r="D44" s="21" t="s">
        <v>558</v>
      </c>
      <c r="E44" s="13">
        <v>42895.349212962959</v>
      </c>
      <c r="F44" s="13">
        <v>42895.352314814816</v>
      </c>
      <c r="G44" s="7">
        <v>2</v>
      </c>
      <c r="H44" s="21" t="s">
        <v>457</v>
      </c>
      <c r="I44" s="13">
        <v>42895.378298611111</v>
      </c>
      <c r="J44" s="7">
        <v>0</v>
      </c>
      <c r="K44" s="92" t="str">
        <f t="shared" si="0"/>
        <v>4061/4062</v>
      </c>
      <c r="L44" s="21" t="str">
        <f>VLOOKUP(A44,'Trips&amp;Operators'!$C$1:$G$99999,5,FALSE)</f>
        <v>LOZA FIDEL</v>
      </c>
      <c r="M44" s="6">
        <f t="shared" si="1"/>
        <v>2.5983796294895001E-2</v>
      </c>
      <c r="N44" s="7">
        <f t="shared" si="18"/>
        <v>37.416666664648801</v>
      </c>
      <c r="O44" s="7"/>
      <c r="P44" s="7"/>
      <c r="Q44" s="22"/>
      <c r="R44" s="173"/>
      <c r="S44" s="176">
        <f t="shared" si="2"/>
        <v>1</v>
      </c>
      <c r="T44" s="202" t="str">
        <f t="shared" si="3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4"/>
        <v>https://d0f6bd738d7f1b3e5a7ca70fe4ff75f0.us-east-1.aws.found.io/app/kibana#/discover/Steve-Slow-Train-Analysis-(2080s-and-2083s)?_g=(refreshInterval:(display:Off,pause:!f,section:0,value:0),time:(from:'2017-06-09T07:22:52-0600',mode:absolute,to:'2017-06-09T10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4" s="204" t="str">
        <f t="shared" si="5"/>
        <v>N</v>
      </c>
      <c r="X44" s="204">
        <f t="shared" si="6"/>
        <v>1</v>
      </c>
      <c r="Y44" s="204">
        <f t="shared" si="7"/>
        <v>23.298400000000001</v>
      </c>
      <c r="Z44" s="204">
        <f t="shared" si="8"/>
        <v>1.5599999999999999E-2</v>
      </c>
      <c r="AA44" s="204">
        <f t="shared" si="9"/>
        <v>23.282800000000002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0"/>
        <v>0132-09</v>
      </c>
      <c r="AE44" s="80" t="str">
        <f t="shared" si="11"/>
        <v>aws s3 cp s3://rtdc.mdm.uploadarchive.raw/RTDC4061/ "%USERPROFILE%\AppData\Local\Temp\OnboardLogs"\RTDC4061\2017-06-09 --exclude "*" --recursive --include "*20170609*" &amp; "%USERPROFILE%\Documents\GitHub\mrs-test-scripts\Headless Mode &amp; Sideloading\WalkAndUnGZ.bat" "%USERPROFILE%\AppData\Local\Temp\OnboardLogs"\RTDC4061\2017-06-09 &amp; 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</v>
      </c>
      <c r="AF44" s="77" t="str">
        <f t="shared" si="12"/>
        <v>"C:\Program Files (x86)\AstroGrep\AstroGrep.exe" /e /r /s /spath="%USERPROFILE%\AppData\Local\Temp\OnboardLogs" /stypes="app*4061*20170609*" /stext=" 15:.+((SYSTEM_STATE.+slice.+state.+changed )|(ment ac)|(multiple cpu faults)|(system.+state.+changed )|(\[timeout)|(PRM\|1\|D)|(kpr)|(kdp)|(train st.+moving)|(\|lc)|(penalty))"</v>
      </c>
      <c r="AG44" s="1" t="str">
        <f t="shared" si="13"/>
        <v>EC</v>
      </c>
      <c r="AH44" s="81" t="str">
        <f t="shared" si="19"/>
        <v>"%USERPROFILE%\Documents\GitHub\eaglep3\Utilities\RefineRTDCRunTimes.py" --tripid 132-09 --locoid 4061 --swversion DE.1.0.9.0 --startMP 204:232984 --initTime 2017-06-09T08:22:52 --startdatetime 2017-06-09T08:27:20 --delay 2 --endMP 204:156 --enddatetime 2017-06-09T09:04:45 --enforcementcount 0 &gt;&gt;C:\Users\stu\Documents\GitHub\eaglep3-reporting\EC\2017-06-09-refined-times.txt</v>
      </c>
      <c r="AI44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{"issue":{"subject":"","project_id":79,"tracker_id":40,"status_id":1,"priority_id":2,"assigned_to_id":23,"start_date":"2017-06-09","description":"","custom_fields":[{"id":1,"name":"Subdivision","value":"EC"},{"id":4,"name":"Milepost","value":"0.0156"},{"id":17,"name":"Train ID","value":"132-09"},{"id":16,"name":"Locomotive ID","value":"4061"},{"id":130,"name":"Impact","value":""},{"id":150,"name":"Time of Event (Mountain Time)","value":"09:04:45"},{"id":151,"name":"Denver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4061 --day 2017-06-09</v>
      </c>
      <c r="AN44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15:04:45"},{"id":29,"name":"Sharepoint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684</v>
      </c>
      <c r="B45" s="7">
        <v>4030</v>
      </c>
      <c r="C45" s="21" t="s">
        <v>204</v>
      </c>
      <c r="D45" s="21" t="s">
        <v>397</v>
      </c>
      <c r="E45" s="13">
        <v>42895.318854166668</v>
      </c>
      <c r="F45" s="13">
        <v>42895.323136574072</v>
      </c>
      <c r="G45" s="7">
        <v>2</v>
      </c>
      <c r="H45" s="21" t="s">
        <v>563</v>
      </c>
      <c r="I45" s="13">
        <v>42895.349259259259</v>
      </c>
      <c r="J45" s="7">
        <v>0</v>
      </c>
      <c r="K45" s="92" t="str">
        <f t="shared" si="0"/>
        <v>4029/4030</v>
      </c>
      <c r="L45" s="21" t="str">
        <f>VLOOKUP(A45,'Trips&amp;Operators'!$C$1:$G$99999,5,FALSE)</f>
        <v>BONDS REYNALDO</v>
      </c>
      <c r="M45" s="6">
        <f t="shared" si="1"/>
        <v>2.6122685187146999E-2</v>
      </c>
      <c r="N45" s="7">
        <f t="shared" si="18"/>
        <v>37.616666669491678</v>
      </c>
      <c r="O45" s="7"/>
      <c r="P45" s="7"/>
      <c r="Q45" s="22"/>
      <c r="R45" s="173"/>
      <c r="S45" s="176">
        <f t="shared" ref="S45:S76" si="23">SUM(U45:U45)/IF(AG45="EC",12,1)</f>
        <v>1</v>
      </c>
      <c r="T45" s="202" t="str">
        <f t="shared" si="3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4"/>
        <v>https://d0f6bd738d7f1b3e5a7ca70fe4ff75f0.us-east-1.aws.found.io/app/kibana#/discover/Steve-Slow-Train-Analysis-(2080s-and-2083s)?_g=(refreshInterval:(display:Off,pause:!f,section:0,value:0),time:(from:'2017-06-09T06:39:09-0600',mode:absolute,to:'2017-06-09T09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5" s="204" t="str">
        <f t="shared" si="5"/>
        <v>N</v>
      </c>
      <c r="X45" s="204">
        <f t="shared" si="6"/>
        <v>1</v>
      </c>
      <c r="Y45" s="204">
        <f t="shared" ref="Y45:Y76" si="24">RIGHT(D45,LEN(D45)-4)/10000</f>
        <v>4.6199999999999998E-2</v>
      </c>
      <c r="Z45" s="204">
        <f t="shared" ref="Z45:Z76" si="25">RIGHT(H45,LEN(H45)-4)/10000</f>
        <v>23.329499999999999</v>
      </c>
      <c r="AA45" s="204">
        <f t="shared" si="9"/>
        <v>23.283300000000001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0"/>
        <v>0133-09</v>
      </c>
      <c r="AE45" s="80" t="str">
        <f t="shared" si="11"/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AF45" s="77" t="str">
        <f t="shared" si="12"/>
        <v>"C:\Program Files (x86)\AstroGrep\AstroGrep.exe" /e /r /s /spath="%USERPROFILE%\AppData\Local\Temp\OnboardLogs" /stypes="app*4030*20170609*" /stext=" 14:.+((SYSTEM_STATE.+slice.+state.+changed )|(ment ac)|(multiple cpu faults)|(system.+state.+changed )|(\[timeout)|(PRM\|1\|D)|(kpr)|(kdp)|(train st.+moving)|(\|lc)|(penalty))"</v>
      </c>
      <c r="AG45" s="1" t="str">
        <f t="shared" si="13"/>
        <v>EC</v>
      </c>
      <c r="AH45" s="81" t="str">
        <f t="shared" si="19"/>
        <v>"%USERPROFILE%\Documents\GitHub\eaglep3\Utilities\RefineRTDCRunTimes.py" --tripid 133-09 --locoid 4030 --swversion DE.1.0.9.0 --startMP 204:462 --initTime 2017-06-09T07:39:09 --startdatetime 2017-06-09T07:45:19 --delay 2 --endMP 204:233295 --enddatetime 2017-06-09T08:22:56 --enforcementcount 0 &gt;&gt;C:\Users\stu\Documents\GitHub\eaglep3-reporting\EC\2017-06-09-refined-times.txt</v>
      </c>
      <c r="AI45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{"issue":{"subject":"","project_id":79,"tracker_id":40,"status_id":1,"priority_id":2,"assigned_to_id":23,"start_date":"2017-06-09","description":"","custom_fields":[{"id":1,"name":"Subdivision","value":"EC"},{"id":4,"name":"Milepost","value":"23.3295"},{"id":17,"name":"Train ID","value":"133-09"},{"id":16,"name":"Locomotive ID","value":"4030"},{"id":130,"name":"Impact","value":""},{"id":150,"name":"Time of Event (Mountain Time)","value":"08:22:56"},{"id":151,"name":"Denver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4030 --day 2017-06-09</v>
      </c>
      <c r="AN45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14:22:56"},{"id":29,"name":"Sharepoint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694</v>
      </c>
      <c r="B46" s="7">
        <v>4029</v>
      </c>
      <c r="C46" s="21" t="s">
        <v>204</v>
      </c>
      <c r="D46" s="21" t="s">
        <v>496</v>
      </c>
      <c r="E46" s="13">
        <v>42895.358344907407</v>
      </c>
      <c r="F46" s="13">
        <v>42895.363368055558</v>
      </c>
      <c r="G46" s="7">
        <v>1</v>
      </c>
      <c r="H46" s="21" t="s">
        <v>354</v>
      </c>
      <c r="I46" s="13">
        <v>42895.389907407407</v>
      </c>
      <c r="J46" s="7">
        <v>0</v>
      </c>
      <c r="K46" s="92" t="str">
        <f t="shared" si="0"/>
        <v>4029/4030</v>
      </c>
      <c r="L46" s="21" t="str">
        <f>VLOOKUP(A46,'Trips&amp;Operators'!$C$1:$G$99999,5,FALSE)</f>
        <v>BONDS REYNALDO</v>
      </c>
      <c r="M46" s="6">
        <f t="shared" si="1"/>
        <v>2.6539351849351078E-2</v>
      </c>
      <c r="N46" s="7">
        <f t="shared" ref="N46:N77" si="26">24*60*SUM($M46:$M46)</f>
        <v>38.216666663065553</v>
      </c>
      <c r="O46" s="7"/>
      <c r="P46" s="7"/>
      <c r="Q46" s="22"/>
      <c r="R46" s="173"/>
      <c r="S46" s="176">
        <f t="shared" si="23"/>
        <v>1</v>
      </c>
      <c r="T46" s="202" t="str">
        <f t="shared" si="3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4"/>
        <v>https://d0f6bd738d7f1b3e5a7ca70fe4ff75f0.us-east-1.aws.found.io/app/kibana#/discover/Steve-Slow-Train-Analysis-(2080s-and-2083s)?_g=(refreshInterval:(display:Off,pause:!f,section:0,value:0),time:(from:'2017-06-09T07:36:01-0600',mode:absolute,to:'2017-06-09T10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6" s="204" t="str">
        <f t="shared" si="5"/>
        <v>N</v>
      </c>
      <c r="X46" s="204">
        <f t="shared" si="6"/>
        <v>1</v>
      </c>
      <c r="Y46" s="204">
        <f t="shared" si="24"/>
        <v>23.298300000000001</v>
      </c>
      <c r="Z46" s="204">
        <f t="shared" si="25"/>
        <v>1.43E-2</v>
      </c>
      <c r="AA46" s="204">
        <f t="shared" si="9"/>
        <v>23.284000000000002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0"/>
        <v>0134-09</v>
      </c>
      <c r="AE46" s="80" t="str">
        <f t="shared" si="11"/>
        <v>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 &amp; 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</v>
      </c>
      <c r="AF46" s="77" t="str">
        <f t="shared" si="12"/>
        <v>"C:\Program Files (x86)\AstroGrep\AstroGrep.exe" /e /r /s /spath="%USERPROFILE%\AppData\Local\Temp\OnboardLogs" /stypes="app*4029*20170609*" /stext=" 15:.+((SYSTEM_STATE.+slice.+state.+changed )|(ment ac)|(multiple cpu faults)|(system.+state.+changed )|(\[timeout)|(PRM\|1\|D)|(kpr)|(kdp)|(train st.+moving)|(\|lc)|(penalty))"</v>
      </c>
      <c r="AG46" s="1" t="str">
        <f t="shared" si="13"/>
        <v>EC</v>
      </c>
      <c r="AH46" s="81" t="str">
        <f t="shared" si="19"/>
        <v>"%USERPROFILE%\Documents\GitHub\eaglep3\Utilities\RefineRTDCRunTimes.py" --tripid 134-09 --locoid 4029 --swversion DE.1.0.9.0 --startMP 204:232983 --initTime 2017-06-09T08:36:01 --startdatetime 2017-06-09T08:43:15 --delay 1 --endMP 204:143 --enddatetime 2017-06-09T09:21:28 --enforcementcount 0 &gt;&gt;C:\Users\stu\Documents\GitHub\eaglep3-reporting\EC\2017-06-09-refined-times.txt</v>
      </c>
      <c r="AI46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{"issue":{"subject":"","project_id":79,"tracker_id":40,"status_id":1,"priority_id":2,"assigned_to_id":23,"start_date":"2017-06-09","description":"","custom_fields":[{"id":1,"name":"Subdivision","value":"EC"},{"id":4,"name":"Milepost","value":"0.0143"},{"id":17,"name":"Train ID","value":"134-09"},{"id":16,"name":"Locomotive ID","value":"4029"},{"id":130,"name":"Impact","value":""},{"id":150,"name":"Time of Event (Mountain Time)","value":"09:21:28"},{"id":151,"name":"Denver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4029 --day 2017-06-09</v>
      </c>
      <c r="AN46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15:21:28"},{"id":29,"name":"Sharepoint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687</v>
      </c>
      <c r="B47" s="7">
        <v>4006</v>
      </c>
      <c r="C47" s="21" t="s">
        <v>204</v>
      </c>
      <c r="D47" s="21" t="s">
        <v>359</v>
      </c>
      <c r="E47" s="13">
        <v>42895.328564814816</v>
      </c>
      <c r="F47" s="13">
        <v>42895.333518518521</v>
      </c>
      <c r="G47" s="7">
        <v>1</v>
      </c>
      <c r="H47" s="21" t="s">
        <v>398</v>
      </c>
      <c r="I47" s="13">
        <v>42895.357847222222</v>
      </c>
      <c r="J47" s="7">
        <v>0</v>
      </c>
      <c r="K47" s="92" t="str">
        <f t="shared" si="0"/>
        <v>4005/4006</v>
      </c>
      <c r="L47" s="21" t="str">
        <f>VLOOKUP(A47,'Trips&amp;Operators'!$C$1:$G$99999,5,FALSE)</f>
        <v>GEBRETEKLE DAGNEW</v>
      </c>
      <c r="M47" s="6">
        <f t="shared" si="1"/>
        <v>2.4328703701030463E-2</v>
      </c>
      <c r="N47" s="7">
        <f t="shared" si="26"/>
        <v>35.033333329483867</v>
      </c>
      <c r="O47" s="7"/>
      <c r="P47" s="7"/>
      <c r="Q47" s="22"/>
      <c r="R47" s="173"/>
      <c r="S47" s="176">
        <f t="shared" si="23"/>
        <v>1</v>
      </c>
      <c r="T47" s="202" t="str">
        <f t="shared" si="3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4"/>
        <v>https://d0f6bd738d7f1b3e5a7ca70fe4ff75f0.us-east-1.aws.found.io/app/kibana#/discover/Steve-Slow-Train-Analysis-(2080s-and-2083s)?_g=(refreshInterval:(display:Off,pause:!f,section:0,value:0),time:(from:'2017-06-09T06:53:08-0600',mode:absolute,to:'2017-06-09T09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7" s="204" t="str">
        <f t="shared" si="5"/>
        <v>N</v>
      </c>
      <c r="X47" s="204">
        <f t="shared" si="6"/>
        <v>1</v>
      </c>
      <c r="Y47" s="204">
        <f t="shared" si="24"/>
        <v>4.53E-2</v>
      </c>
      <c r="Z47" s="204">
        <f t="shared" si="25"/>
        <v>23.3293</v>
      </c>
      <c r="AA47" s="204">
        <f t="shared" si="9"/>
        <v>23.283999999999999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0"/>
        <v>0135-09</v>
      </c>
      <c r="AE47" s="80" t="str">
        <f t="shared" si="11"/>
        <v>aws s3 cp s3://rtdc.mdm.uploadarchive.raw/RTDC4006/ "%USERPROFILE%\AppData\Local\Temp\OnboardLogs"\RTDC4006\2017-06-09 --exclude "*" --recursive --include "*20170609*" &amp; "%USERPROFILE%\Documents\GitHub\mrs-test-scripts\Headless Mode &amp; Sideloading\WalkAndUnGZ.bat" "%USERPROFILE%\AppData\Local\Temp\OnboardLogs"\RTDC4006\2017-06-09 &amp; 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</v>
      </c>
      <c r="AF47" s="77" t="str">
        <f t="shared" si="12"/>
        <v>"C:\Program Files (x86)\AstroGrep\AstroGrep.exe" /e /r /s /spath="%USERPROFILE%\AppData\Local\Temp\OnboardLogs" /stypes="app*4006*20170609*" /stext=" 14:.+((SYSTEM_STATE.+slice.+state.+changed )|(ment ac)|(multiple cpu faults)|(system.+state.+changed )|(\[timeout)|(PRM\|1\|D)|(kpr)|(kdp)|(train st.+moving)|(\|lc)|(penalty))"</v>
      </c>
      <c r="AG47" s="1" t="str">
        <f t="shared" si="13"/>
        <v>EC</v>
      </c>
      <c r="AH47" s="81" t="str">
        <f t="shared" si="19"/>
        <v>"%USERPROFILE%\Documents\GitHub\eaglep3\Utilities\RefineRTDCRunTimes.py" --tripid 135-09 --locoid 4006 --swversion DE.1.0.9.0 --startMP 204:453 --initTime 2017-06-09T07:53:08 --startdatetime 2017-06-09T08:00:16 --delay 1 --endMP 204:233293 --enddatetime 2017-06-09T08:35:18 --enforcementcount 0 &gt;&gt;C:\Users\stu\Documents\GitHub\eaglep3-reporting\EC\2017-06-09-refined-times.txt</v>
      </c>
      <c r="AI47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{"issue":{"subject":"","project_id":79,"tracker_id":40,"status_id":1,"priority_id":2,"assigned_to_id":23,"start_date":"2017-06-09","description":"","custom_fields":[{"id":1,"name":"Subdivision","value":"EC"},{"id":4,"name":"Milepost","value":"23.3293"},{"id":17,"name":"Train ID","value":"135-09"},{"id":16,"name":"Locomotive ID","value":"4006"},{"id":130,"name":"Impact","value":""},{"id":150,"name":"Time of Event (Mountain Time)","value":"08:35:18"},{"id":151,"name":"Denver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4006 --day 2017-06-09</v>
      </c>
      <c r="AN47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14:35:18"},{"id":29,"name":"Sharepoint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695</v>
      </c>
      <c r="B48" s="7">
        <v>4005</v>
      </c>
      <c r="C48" s="21" t="s">
        <v>204</v>
      </c>
      <c r="D48" s="21" t="s">
        <v>840</v>
      </c>
      <c r="E48" s="13">
        <v>42895.359224537038</v>
      </c>
      <c r="F48" s="13">
        <v>42895.373113425929</v>
      </c>
      <c r="G48" s="7">
        <v>0</v>
      </c>
      <c r="H48" s="21" t="s">
        <v>457</v>
      </c>
      <c r="I48" s="13">
        <v>42895.399953703702</v>
      </c>
      <c r="J48" s="7">
        <v>0</v>
      </c>
      <c r="K48" s="92" t="str">
        <f t="shared" si="0"/>
        <v>4005/4006</v>
      </c>
      <c r="L48" s="21" t="str">
        <f>VLOOKUP(A48,'Trips&amp;Operators'!$C$1:$G$99999,5,FALSE)</f>
        <v>GEBRETEKLE DAGNEW</v>
      </c>
      <c r="M48" s="6">
        <f t="shared" si="1"/>
        <v>2.6840277772862464E-2</v>
      </c>
      <c r="N48" s="7">
        <f t="shared" si="26"/>
        <v>38.649999992921948</v>
      </c>
      <c r="O48" s="7"/>
      <c r="P48" s="7"/>
      <c r="Q48" s="22"/>
      <c r="R48" s="173"/>
      <c r="S48" s="176">
        <f t="shared" si="23"/>
        <v>1</v>
      </c>
      <c r="T48" s="202" t="str">
        <f t="shared" si="3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4"/>
        <v>https://d0f6bd738d7f1b3e5a7ca70fe4ff75f0.us-east-1.aws.found.io/app/kibana#/discover/Steve-Slow-Train-Analysis-(2080s-and-2083s)?_g=(refreshInterval:(display:Off,pause:!f,section:0,value:0),time:(from:'2017-06-09T07:37:17-0600',mode:absolute,to:'2017-06-09T10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8" s="204" t="str">
        <f t="shared" si="5"/>
        <v>N</v>
      </c>
      <c r="X48" s="204">
        <f t="shared" si="6"/>
        <v>1</v>
      </c>
      <c r="Y48" s="204">
        <f t="shared" si="24"/>
        <v>23.2973</v>
      </c>
      <c r="Z48" s="204">
        <f t="shared" si="25"/>
        <v>1.5599999999999999E-2</v>
      </c>
      <c r="AA48" s="204">
        <f t="shared" si="9"/>
        <v>23.281700000000001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0"/>
        <v>0136-09</v>
      </c>
      <c r="AE48" s="80" t="str">
        <f t="shared" si="11"/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AF48" s="77" t="str">
        <f t="shared" si="12"/>
        <v>"C:\Program Files (x86)\AstroGrep\AstroGrep.exe" /e /r /s /spath="%USERPROFILE%\AppData\Local\Temp\OnboardLogs" /stypes="app*4005*20170609*" /stext=" 15:.+((SYSTEM_STATE.+slice.+state.+changed )|(ment ac)|(multiple cpu faults)|(system.+state.+changed )|(\[timeout)|(PRM\|1\|D)|(kpr)|(kdp)|(train st.+moving)|(\|lc)|(penalty))"</v>
      </c>
      <c r="AG48" s="1" t="str">
        <f t="shared" si="13"/>
        <v>EC</v>
      </c>
      <c r="AH48" s="81" t="str">
        <f t="shared" si="19"/>
        <v>"%USERPROFILE%\Documents\GitHub\eaglep3\Utilities\RefineRTDCRunTimes.py" --tripid 136-09 --locoid 4005 --swversion DE.1.0.9.0 --startMP 204:232973 --initTime 2017-06-09T08:37:17 --startdatetime 2017-06-09T08:57:17 --delay 0 --endMP 204:156 --enddatetime 2017-06-09T09:35:56 --enforcementcount 0 &gt;&gt;C:\Users\stu\Documents\GitHub\eaglep3-reporting\EC\2017-06-09-refined-times.txt</v>
      </c>
      <c r="AI48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{"issue":{"subject":"","project_id":79,"tracker_id":40,"status_id":1,"priority_id":2,"assigned_to_id":23,"start_date":"2017-06-09","description":"","custom_fields":[{"id":1,"name":"Subdivision","value":"EC"},{"id":4,"name":"Milepost","value":"0.0156"},{"id":17,"name":"Train ID","value":"136-09"},{"id":16,"name":"Locomotive ID","value":"4005"},{"id":130,"name":"Impact","value":""},{"id":150,"name":"Time of Event (Mountain Time)","value":"09:35:56"},{"id":151,"name":"Denver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4005 --day 2017-06-09</v>
      </c>
      <c r="AN48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15:35:56"},{"id":29,"name":"Sharepoint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690</v>
      </c>
      <c r="B49" s="7">
        <v>4054</v>
      </c>
      <c r="C49" s="21" t="s">
        <v>204</v>
      </c>
      <c r="D49" s="21" t="s">
        <v>359</v>
      </c>
      <c r="E49" s="13">
        <v>42895.340173611112</v>
      </c>
      <c r="F49" s="13">
        <v>42895.343923611108</v>
      </c>
      <c r="G49" s="7">
        <v>1</v>
      </c>
      <c r="H49" s="21" t="s">
        <v>841</v>
      </c>
      <c r="I49" s="13">
        <v>42895.369687500002</v>
      </c>
      <c r="J49" s="7">
        <v>0</v>
      </c>
      <c r="K49" s="92" t="str">
        <f t="shared" si="0"/>
        <v>4053/4054</v>
      </c>
      <c r="L49" s="21" t="str">
        <f>VLOOKUP(A49,'Trips&amp;Operators'!$C$1:$G$99999,5,FALSE)</f>
        <v>DAVIS WENDY</v>
      </c>
      <c r="M49" s="6">
        <f t="shared" si="1"/>
        <v>2.5763888894289266E-2</v>
      </c>
      <c r="N49" s="7">
        <f t="shared" si="26"/>
        <v>37.100000007776543</v>
      </c>
      <c r="O49" s="7"/>
      <c r="P49" s="7"/>
      <c r="Q49" s="22"/>
      <c r="R49" s="173"/>
      <c r="S49" s="176">
        <f t="shared" si="23"/>
        <v>1</v>
      </c>
      <c r="T49" s="202" t="str">
        <f t="shared" si="3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4"/>
        <v>https://d0f6bd738d7f1b3e5a7ca70fe4ff75f0.us-east-1.aws.found.io/app/kibana#/discover/Steve-Slow-Train-Analysis-(2080s-and-2083s)?_g=(refreshInterval:(display:Off,pause:!f,section:0,value:0),time:(from:'2017-06-09T07:09:51-0600',mode:absolute,to:'2017-06-09T09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9" s="204" t="str">
        <f t="shared" si="5"/>
        <v>N</v>
      </c>
      <c r="X49" s="204">
        <f t="shared" si="6"/>
        <v>1</v>
      </c>
      <c r="Y49" s="204">
        <f t="shared" si="24"/>
        <v>4.53E-2</v>
      </c>
      <c r="Z49" s="204">
        <f t="shared" si="25"/>
        <v>23.331</v>
      </c>
      <c r="AA49" s="204">
        <f t="shared" si="9"/>
        <v>23.285699999999999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0"/>
        <v>0137-09</v>
      </c>
      <c r="AE49" s="80" t="str">
        <f t="shared" si="11"/>
        <v>aws s3 cp s3://rtdc.mdm.uploadarchive.raw/RTDC4054/ "%USERPROFILE%\AppData\Local\Temp\OnboardLogs"\RTDC4054\2017-06-09 --exclude "*" --recursive --include "*20170609*" &amp; "%USERPROFILE%\Documents\GitHub\mrs-test-scripts\Headless Mode &amp; Sideloading\WalkAndUnGZ.bat" "%USERPROFILE%\AppData\Local\Temp\OnboardLogs"\RTDC4054\2017-06-09 &amp; 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</v>
      </c>
      <c r="AF49" s="77" t="str">
        <f t="shared" si="12"/>
        <v>"C:\Program Files (x86)\AstroGrep\AstroGrep.exe" /e /r /s /spath="%USERPROFILE%\AppData\Local\Temp\OnboardLogs" /stypes="app*4054*20170609*" /stext=" 14:.+((SYSTEM_STATE.+slice.+state.+changed )|(ment ac)|(multiple cpu faults)|(system.+state.+changed )|(\[timeout)|(PRM\|1\|D)|(kpr)|(kdp)|(train st.+moving)|(\|lc)|(penalty))"</v>
      </c>
      <c r="AG49" s="1" t="str">
        <f t="shared" si="13"/>
        <v>EC</v>
      </c>
      <c r="AH49" s="81" t="str">
        <f t="shared" si="19"/>
        <v>"%USERPROFILE%\Documents\GitHub\eaglep3\Utilities\RefineRTDCRunTimes.py" --tripid 137-09 --locoid 4054 --swversion DE.1.0.9.0 --startMP 204:453 --initTime 2017-06-09T08:09:51 --startdatetime 2017-06-09T08:15:15 --delay 1 --endMP 204:233310 --enddatetime 2017-06-09T08:52:21 --enforcementcount 0 &gt;&gt;C:\Users\stu\Documents\GitHub\eaglep3-reporting\EC\2017-06-09-refined-times.txt</v>
      </c>
      <c r="AI49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{"issue":{"subject":"","project_id":79,"tracker_id":40,"status_id":1,"priority_id":2,"assigned_to_id":23,"start_date":"2017-06-09","description":"","custom_fields":[{"id":1,"name":"Subdivision","value":"EC"},{"id":4,"name":"Milepost","value":"23.331"},{"id":17,"name":"Train ID","value":"137-09"},{"id":16,"name":"Locomotive ID","value":"4054"},{"id":130,"name":"Impact","value":""},{"id":150,"name":"Time of Event (Mountain Time)","value":"08:52:21"},{"id":151,"name":"Denver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4054 --day 2017-06-09</v>
      </c>
      <c r="AN49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14:52:21"},{"id":29,"name":"Sharepoint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699</v>
      </c>
      <c r="B50" s="7">
        <v>4053</v>
      </c>
      <c r="C50" s="21" t="s">
        <v>204</v>
      </c>
      <c r="D50" s="21" t="s">
        <v>555</v>
      </c>
      <c r="E50" s="13">
        <v>42895.381041666667</v>
      </c>
      <c r="F50" s="13">
        <v>42895.383564814816</v>
      </c>
      <c r="G50" s="7">
        <v>1</v>
      </c>
      <c r="H50" s="21" t="s">
        <v>196</v>
      </c>
      <c r="I50" s="13">
        <v>42895.410486111112</v>
      </c>
      <c r="J50" s="7">
        <v>0</v>
      </c>
      <c r="K50" s="92" t="str">
        <f t="shared" si="0"/>
        <v>4053/4054</v>
      </c>
      <c r="L50" s="21" t="str">
        <f>VLOOKUP(A50,'Trips&amp;Operators'!$C$1:$G$99999,5,FALSE)</f>
        <v>DAVIS WENDY</v>
      </c>
      <c r="M50" s="6">
        <f t="shared" si="1"/>
        <v>2.6921296295768116E-2</v>
      </c>
      <c r="N50" s="7">
        <f t="shared" si="26"/>
        <v>38.766666665906087</v>
      </c>
      <c r="O50" s="7"/>
      <c r="P50" s="7"/>
      <c r="Q50" s="22"/>
      <c r="R50" s="173"/>
      <c r="S50" s="176">
        <f t="shared" si="23"/>
        <v>1</v>
      </c>
      <c r="T50" s="202" t="str">
        <f t="shared" si="3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4"/>
        <v>https://d0f6bd738d7f1b3e5a7ca70fe4ff75f0.us-east-1.aws.found.io/app/kibana#/discover/Steve-Slow-Train-Analysis-(2080s-and-2083s)?_g=(refreshInterval:(display:Off,pause:!f,section:0,value:0),time:(from:'2017-06-09T08:08:42-0600',mode:absolute,to:'2017-06-09T10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0" s="204" t="str">
        <f t="shared" si="5"/>
        <v>N</v>
      </c>
      <c r="X50" s="204">
        <f t="shared" si="6"/>
        <v>1</v>
      </c>
      <c r="Y50" s="204">
        <f t="shared" si="24"/>
        <v>23.299800000000001</v>
      </c>
      <c r="Z50" s="204">
        <f t="shared" si="25"/>
        <v>1.5800000000000002E-2</v>
      </c>
      <c r="AA50" s="204">
        <f t="shared" si="9"/>
        <v>23.284000000000002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0"/>
        <v>0138-09</v>
      </c>
      <c r="AE50" s="80" t="str">
        <f t="shared" si="11"/>
        <v>aws s3 cp s3://rtdc.mdm.uploadarchive.raw/RTDC4053/ "%USERPROFILE%\AppData\Local\Temp\OnboardLogs"\RTDC4053\2017-06-09 --exclude "*" --recursive --include "*20170609*" &amp; "%USERPROFILE%\Documents\GitHub\mrs-test-scripts\Headless Mode &amp; Sideloading\WalkAndUnGZ.bat" "%USERPROFILE%\AppData\Local\Temp\OnboardLogs"\RTDC4053\2017-06-09 &amp; aws s3 cp s3://rtdc.mdm.uploadarchive.raw/RTDC4053/ "%USERPROFILE%\AppData\Local\Temp\OnboardLogs"\RTDC4053\2017-06-10 --exclude "*" --recursive --include "*20170610*" &amp; "%USERPROFILE%\Documents\GitHub\mrs-test-scripts\Headless Mode &amp; Sideloading\WalkAndUnGZ.bat" "%USERPROFILE%\AppData\Local\Temp\OnboardLogs"\RTDC4053\2017-06-10</v>
      </c>
      <c r="AF50" s="77" t="str">
        <f t="shared" si="12"/>
        <v>"C:\Program Files (x86)\AstroGrep\AstroGrep.exe" /e /r /s /spath="%USERPROFILE%\AppData\Local\Temp\OnboardLogs" /stypes="app*4053*20170609*" /stext=" 15:.+((SYSTEM_STATE.+slice.+state.+changed )|(ment ac)|(multiple cpu faults)|(system.+state.+changed )|(\[timeout)|(PRM\|1\|D)|(kpr)|(kdp)|(train st.+moving)|(\|lc)|(penalty))"</v>
      </c>
      <c r="AG50" s="1" t="str">
        <f t="shared" si="13"/>
        <v>EC</v>
      </c>
      <c r="AH50" s="81" t="str">
        <f t="shared" si="19"/>
        <v>"%USERPROFILE%\Documents\GitHub\eaglep3\Utilities\RefineRTDCRunTimes.py" --tripid 138-09 --locoid 4053 --swversion DE.1.0.9.0 --startMP 204:232998 --initTime 2017-06-09T09:08:42 --startdatetime 2017-06-09T09:12:20 --delay 1 --endMP 204:158 --enddatetime 2017-06-09T09:51:06 --enforcementcount 0 &gt;&gt;C:\Users\stu\Documents\GitHub\eaglep3-reporting\EC\2017-06-09-refined-times.txt</v>
      </c>
      <c r="AI50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{"issue":{"subject":"","project_id":79,"tracker_id":40,"status_id":1,"priority_id":2,"assigned_to_id":23,"start_date":"2017-06-09","description":"","custom_fields":[{"id":1,"name":"Subdivision","value":"EC"},{"id":4,"name":"Milepost","value":"0.0158"},{"id":17,"name":"Train ID","value":"138-09"},{"id":16,"name":"Locomotive ID","value":"4053"},{"id":130,"name":"Impact","value":""},{"id":150,"name":"Time of Event (Mountain Time)","value":"09:51:06"},{"id":151,"name":"Denver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4053 --day 2017-06-09</v>
      </c>
      <c r="AN50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15:51:06"},{"id":29,"name":"Sharepoint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595</v>
      </c>
      <c r="B51" s="7">
        <v>4010</v>
      </c>
      <c r="C51" s="21" t="s">
        <v>204</v>
      </c>
      <c r="D51" s="21" t="s">
        <v>842</v>
      </c>
      <c r="E51" s="13">
        <v>42895.350717592592</v>
      </c>
      <c r="F51" s="13">
        <v>42895.354328703703</v>
      </c>
      <c r="G51" s="7">
        <v>1</v>
      </c>
      <c r="H51" s="21" t="s">
        <v>453</v>
      </c>
      <c r="I51" s="13">
        <v>42895.380115740743</v>
      </c>
      <c r="J51" s="7">
        <v>0</v>
      </c>
      <c r="K51" s="92" t="str">
        <f t="shared" si="0"/>
        <v>4009/4010</v>
      </c>
      <c r="L51" s="21" t="str">
        <f>VLOOKUP(A51,'Trips&amp;Operators'!$C$1:$G$99999,5,FALSE)</f>
        <v>STARKS ANGELINA</v>
      </c>
      <c r="M51" s="6">
        <f t="shared" si="1"/>
        <v>2.5787037040572613E-2</v>
      </c>
      <c r="N51" s="7">
        <f t="shared" si="26"/>
        <v>37.133333338424563</v>
      </c>
      <c r="O51" s="7"/>
      <c r="P51" s="7"/>
      <c r="Q51" s="22"/>
      <c r="R51" s="173"/>
      <c r="S51" s="176">
        <f t="shared" si="23"/>
        <v>1</v>
      </c>
      <c r="T51" s="202" t="str">
        <f t="shared" si="3"/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4"/>
        <v>https://d0f6bd738d7f1b3e5a7ca70fe4ff75f0.us-east-1.aws.found.io/app/kibana#/discover/Steve-Slow-Train-Analysis-(2080s-and-2083s)?_g=(refreshInterval:(display:Off,pause:!f,section:0,value:0),time:(from:'2017-06-09T07:25:02-0600',mode:absolute,to:'2017-06-09T10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1" s="204" t="str">
        <f t="shared" si="5"/>
        <v>N</v>
      </c>
      <c r="X51" s="204">
        <f t="shared" si="6"/>
        <v>1</v>
      </c>
      <c r="Y51" s="204">
        <f t="shared" si="24"/>
        <v>4.6899999999999997E-2</v>
      </c>
      <c r="Z51" s="204">
        <f t="shared" si="25"/>
        <v>23.329699999999999</v>
      </c>
      <c r="AA51" s="204">
        <f t="shared" si="9"/>
        <v>23.282799999999998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0"/>
        <v>0139-09</v>
      </c>
      <c r="AE51" s="80" t="str">
        <f t="shared" si="11"/>
        <v>aws s3 cp s3://rtdc.mdm.uploadarchive.raw/RTDC4010/ "%USERPROFILE%\AppData\Local\Temp\OnboardLogs"\RTDC4010\2017-06-09 --exclude "*" --recursive --include "*20170609*" &amp; "%USERPROFILE%\Documents\GitHub\mrs-test-scripts\Headless Mode &amp; Sideloading\WalkAndUnGZ.bat" "%USERPROFILE%\AppData\Local\Temp\OnboardLogs"\RTDC4010\2017-06-09 &amp; aws s3 cp s3://rtdc.mdm.uploadarchive.raw/RTDC4010/ "%USERPROFILE%\AppData\Local\Temp\OnboardLogs"\RTDC4010\2017-06-10 --exclude "*" --recursive --include "*20170610*" &amp; "%USERPROFILE%\Documents\GitHub\mrs-test-scripts\Headless Mode &amp; Sideloading\WalkAndUnGZ.bat" "%USERPROFILE%\AppData\Local\Temp\OnboardLogs"\RTDC4010\2017-06-10</v>
      </c>
      <c r="AF51" s="77" t="str">
        <f t="shared" si="12"/>
        <v>"C:\Program Files (x86)\AstroGrep\AstroGrep.exe" /e /r /s /spath="%USERPROFILE%\AppData\Local\Temp\OnboardLogs" /stypes="app*4010*20170609*" /stext=" 15:.+((SYSTEM_STATE.+slice.+state.+changed )|(ment ac)|(multiple cpu faults)|(system.+state.+changed )|(\[timeout)|(PRM\|1\|D)|(kpr)|(kdp)|(train st.+moving)|(\|lc)|(penalty))"</v>
      </c>
      <c r="AG51" s="1" t="str">
        <f t="shared" si="13"/>
        <v>EC</v>
      </c>
      <c r="AH51" s="81" t="str">
        <f t="shared" si="19"/>
        <v>"%USERPROFILE%\Documents\GitHub\eaglep3\Utilities\RefineRTDCRunTimes.py" --tripid 139-09 --locoid 4010 --swversion DE.1.0.9.0 --startMP 204:469 --initTime 2017-06-09T08:25:02 --startdatetime 2017-06-09T08:30:14 --delay 1 --endMP 204:233297 --enddatetime 2017-06-09T09:07:22 --enforcementcount 0 &gt;&gt;C:\Users\stu\Documents\GitHub\eaglep3-reporting\EC\2017-06-09-refined-times.txt</v>
      </c>
      <c r="AI51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{"issue":{"subject":"","project_id":79,"tracker_id":40,"status_id":1,"priority_id":2,"assigned_to_id":23,"start_date":"2017-06-09","description":"","custom_fields":[{"id":1,"name":"Subdivision","value":"EC"},{"id":4,"name":"Milepost","value":"23.3297"},{"id":17,"name":"Train ID","value":"139-09"},{"id":16,"name":"Locomotive ID","value":"4010"},{"id":130,"name":"Impact","value":""},{"id":150,"name":"Time of Event (Mountain Time)","value":"09:07:22"},{"id":151,"name":"Denver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4010 --day 2017-06-09</v>
      </c>
      <c r="AN51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15:07:22"},{"id":29,"name":"Sharepoint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702</v>
      </c>
      <c r="B52" s="7">
        <v>4009</v>
      </c>
      <c r="C52" s="21" t="s">
        <v>204</v>
      </c>
      <c r="D52" s="21" t="s">
        <v>541</v>
      </c>
      <c r="E52" s="13">
        <v>42895.393171296295</v>
      </c>
      <c r="F52" s="13">
        <v>42895.394293981481</v>
      </c>
      <c r="G52" s="7">
        <v>1</v>
      </c>
      <c r="H52" s="21" t="s">
        <v>354</v>
      </c>
      <c r="I52" s="13">
        <v>42895.421863425923</v>
      </c>
      <c r="J52" s="7">
        <v>0</v>
      </c>
      <c r="K52" s="92" t="str">
        <f t="shared" si="0"/>
        <v>4009/4010</v>
      </c>
      <c r="L52" s="21" t="str">
        <f>VLOOKUP(A52,'Trips&amp;Operators'!$C$1:$G$99999,5,FALSE)</f>
        <v>STARKS ANGELINA</v>
      </c>
      <c r="M52" s="6">
        <f t="shared" si="1"/>
        <v>2.7569444442633539E-2</v>
      </c>
      <c r="N52" s="7">
        <f t="shared" si="26"/>
        <v>39.699999997392297</v>
      </c>
      <c r="O52" s="7"/>
      <c r="P52" s="7"/>
      <c r="Q52" s="22"/>
      <c r="R52" s="173"/>
      <c r="S52" s="176">
        <f t="shared" si="23"/>
        <v>1</v>
      </c>
      <c r="T52" s="202" t="str">
        <f t="shared" si="3"/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4"/>
        <v>https://d0f6bd738d7f1b3e5a7ca70fe4ff75f0.us-east-1.aws.found.io/app/kibana#/discover/Steve-Slow-Train-Analysis-(2080s-and-2083s)?_g=(refreshInterval:(display:Off,pause:!f,section:0,value:0),time:(from:'2017-06-09T08:26:10-0600',mode:absolute,to:'2017-06-09T11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2" s="204" t="str">
        <f t="shared" si="5"/>
        <v>N</v>
      </c>
      <c r="X52" s="204">
        <f t="shared" si="6"/>
        <v>1</v>
      </c>
      <c r="Y52" s="204">
        <f t="shared" si="24"/>
        <v>23.296500000000002</v>
      </c>
      <c r="Z52" s="204">
        <f t="shared" si="25"/>
        <v>1.43E-2</v>
      </c>
      <c r="AA52" s="204">
        <f t="shared" si="9"/>
        <v>23.282200000000003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0"/>
        <v>0140-09</v>
      </c>
      <c r="AE52" s="80" t="str">
        <f t="shared" si="11"/>
        <v>aws s3 cp s3://rtdc.mdm.uploadarchive.raw/RTDC4009/ "%USERPROFILE%\AppData\Local\Temp\OnboardLogs"\RTDC4009\2017-06-09 --exclude "*" --recursive --include "*20170609*" &amp; "%USERPROFILE%\Documents\GitHub\mrs-test-scripts\Headless Mode &amp; Sideloading\WalkAndUnGZ.bat" "%USERPROFILE%\AppData\Local\Temp\OnboardLogs"\RTDC4009\2017-06-09 &amp; aws s3 cp s3://rtdc.mdm.uploadarchive.raw/RTDC4009/ "%USERPROFILE%\AppData\Local\Temp\OnboardLogs"\RTDC4009\2017-06-10 --exclude "*" --recursive --include "*20170610*" &amp; "%USERPROFILE%\Documents\GitHub\mrs-test-scripts\Headless Mode &amp; Sideloading\WalkAndUnGZ.bat" "%USERPROFILE%\AppData\Local\Temp\OnboardLogs"\RTDC4009\2017-06-10</v>
      </c>
      <c r="AF52" s="77" t="str">
        <f t="shared" si="12"/>
        <v>"C:\Program Files (x86)\AstroGrep\AstroGrep.exe" /e /r /s /spath="%USERPROFILE%\AppData\Local\Temp\OnboardLogs" /stypes="app*4009*20170609*" /stext=" 16:.+((SYSTEM_STATE.+slice.+state.+changed )|(ment ac)|(multiple cpu faults)|(system.+state.+changed )|(\[timeout)|(PRM\|1\|D)|(kpr)|(kdp)|(train st.+moving)|(\|lc)|(penalty))"</v>
      </c>
      <c r="AG52" s="1" t="str">
        <f t="shared" si="13"/>
        <v>EC</v>
      </c>
      <c r="AH52" s="81" t="str">
        <f t="shared" si="19"/>
        <v>"%USERPROFILE%\Documents\GitHub\eaglep3\Utilities\RefineRTDCRunTimes.py" --tripid 140-09 --locoid 4009 --swversion DE.1.0.9.0 --startMP 204:232965 --initTime 2017-06-09T09:26:10 --startdatetime 2017-06-09T09:27:47 --delay 1 --endMP 204:143 --enddatetime 2017-06-09T10:07:29 --enforcementcount 0 &gt;&gt;C:\Users\stu\Documents\GitHub\eaglep3-reporting\EC\2017-06-09-refined-times.txt</v>
      </c>
      <c r="AI52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{"issue":{"subject":"","project_id":79,"tracker_id":40,"status_id":1,"priority_id":2,"assigned_to_id":23,"start_date":"2017-06-09","description":"","custom_fields":[{"id":1,"name":"Subdivision","value":"EC"},{"id":4,"name":"Milepost","value":"0.0143"},{"id":17,"name":"Train ID","value":"140-09"},{"id":16,"name":"Locomotive ID","value":"4009"},{"id":130,"name":"Impact","value":""},{"id":150,"name":"Time of Event (Mountain Time)","value":"10:07:29"},{"id":151,"name":"Denver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4009 --day 2017-06-09</v>
      </c>
      <c r="AN52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16:07:29"},{"id":29,"name":"Sharepoint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696</v>
      </c>
      <c r="B53" s="7">
        <v>4012</v>
      </c>
      <c r="C53" s="21" t="s">
        <v>204</v>
      </c>
      <c r="D53" s="21" t="s">
        <v>351</v>
      </c>
      <c r="E53" s="13">
        <v>42895.361168981479</v>
      </c>
      <c r="F53" s="13">
        <v>42895.36478009259</v>
      </c>
      <c r="G53" s="7">
        <v>1</v>
      </c>
      <c r="H53" s="21" t="s">
        <v>534</v>
      </c>
      <c r="I53" s="13">
        <v>42895.390173611115</v>
      </c>
      <c r="J53" s="7">
        <v>0</v>
      </c>
      <c r="K53" s="92" t="str">
        <f t="shared" si="0"/>
        <v>4011/4012</v>
      </c>
      <c r="L53" s="21" t="str">
        <f>VLOOKUP(A53,'Trips&amp;Operators'!$C$1:$G$99999,5,FALSE)</f>
        <v>DAVIDSON DAVID</v>
      </c>
      <c r="M53" s="6">
        <f t="shared" si="1"/>
        <v>2.5393518524651881E-2</v>
      </c>
      <c r="N53" s="7">
        <f t="shared" si="26"/>
        <v>36.566666675498709</v>
      </c>
      <c r="O53" s="7"/>
      <c r="P53" s="7"/>
      <c r="Q53" s="22"/>
      <c r="R53" s="173"/>
      <c r="S53" s="176">
        <f t="shared" si="23"/>
        <v>1</v>
      </c>
      <c r="T53" s="202" t="str">
        <f t="shared" si="3"/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4"/>
        <v>https://d0f6bd738d7f1b3e5a7ca70fe4ff75f0.us-east-1.aws.found.io/app/kibana#/discover/Steve-Slow-Train-Analysis-(2080s-and-2083s)?_g=(refreshInterval:(display:Off,pause:!f,section:0,value:0),time:(from:'2017-06-09T07:40:05-0600',mode:absolute,to:'2017-06-09T10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204" t="str">
        <f t="shared" si="5"/>
        <v>N</v>
      </c>
      <c r="X53" s="204">
        <f t="shared" si="6"/>
        <v>1</v>
      </c>
      <c r="Y53" s="204">
        <f t="shared" si="24"/>
        <v>4.58E-2</v>
      </c>
      <c r="Z53" s="204">
        <f t="shared" si="25"/>
        <v>23.330200000000001</v>
      </c>
      <c r="AA53" s="204">
        <f t="shared" si="9"/>
        <v>23.284400000000002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0"/>
        <v>0141-09</v>
      </c>
      <c r="AE53" s="80" t="str">
        <f t="shared" si="11"/>
        <v>aws s3 cp s3://rtdc.mdm.uploadarchive.raw/RTDC4012/ "%USERPROFILE%\AppData\Local\Temp\OnboardLogs"\RTDC4012\2017-06-09 --exclude "*" --recursive --include "*20170609*" &amp; "%USERPROFILE%\Documents\GitHub\mrs-test-scripts\Headless Mode &amp; Sideloading\WalkAndUnGZ.bat" "%USERPROFILE%\AppData\Local\Temp\OnboardLogs"\RTDC4012\2017-06-09 &amp; aws s3 cp s3://rtdc.mdm.uploadarchive.raw/RTDC4012/ "%USERPROFILE%\AppData\Local\Temp\OnboardLogs"\RTDC4012\2017-06-10 --exclude "*" --recursive --include "*20170610*" &amp; "%USERPROFILE%\Documents\GitHub\mrs-test-scripts\Headless Mode &amp; Sideloading\WalkAndUnGZ.bat" "%USERPROFILE%\AppData\Local\Temp\OnboardLogs"\RTDC4012\2017-06-10</v>
      </c>
      <c r="AF53" s="77" t="str">
        <f t="shared" si="12"/>
        <v>"C:\Program Files (x86)\AstroGrep\AstroGrep.exe" /e /r /s /spath="%USERPROFILE%\AppData\Local\Temp\OnboardLogs" /stypes="app*4012*20170609*" /stext=" 15:.+((SYSTEM_STATE.+slice.+state.+changed )|(ment ac)|(multiple cpu faults)|(system.+state.+changed )|(\[timeout)|(PRM\|1\|D)|(kpr)|(kdp)|(train st.+moving)|(\|lc)|(penalty))"</v>
      </c>
      <c r="AG53" s="1" t="str">
        <f t="shared" si="13"/>
        <v>EC</v>
      </c>
      <c r="AH53" s="81" t="str">
        <f t="shared" si="19"/>
        <v>"%USERPROFILE%\Documents\GitHub\eaglep3\Utilities\RefineRTDCRunTimes.py" --tripid 141-09 --locoid 4012 --swversion DE.1.0.9.0 --startMP 204:458 --initTime 2017-06-09T08:40:05 --startdatetime 2017-06-09T08:45:17 --delay 1 --endMP 204:233302 --enddatetime 2017-06-09T09:21:51 --enforcementcount 0 &gt;&gt;C:\Users\stu\Documents\GitHub\eaglep3-reporting\EC\2017-06-09-refined-times.txt</v>
      </c>
      <c r="AI53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{"issue":{"subject":"","project_id":79,"tracker_id":40,"status_id":1,"priority_id":2,"assigned_to_id":23,"start_date":"2017-06-09","description":"","custom_fields":[{"id":1,"name":"Subdivision","value":"EC"},{"id":4,"name":"Milepost","value":"23.3302"},{"id":17,"name":"Train ID","value":"141-09"},{"id":16,"name":"Locomotive ID","value":"4012"},{"id":130,"name":"Impact","value":""},{"id":150,"name":"Time of Event (Mountain Time)","value":"09:21:51"},{"id":151,"name":"Denver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4012 --day 2017-06-09</v>
      </c>
      <c r="AN53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15:21:51"},{"id":29,"name":"Sharepoint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598</v>
      </c>
      <c r="B54" s="7">
        <v>4011</v>
      </c>
      <c r="C54" s="21" t="s">
        <v>204</v>
      </c>
      <c r="D54" s="21" t="s">
        <v>538</v>
      </c>
      <c r="E54" s="13">
        <v>42895.391469907408</v>
      </c>
      <c r="F54" s="13">
        <v>42895.404421296298</v>
      </c>
      <c r="G54" s="7">
        <v>1</v>
      </c>
      <c r="H54" s="21" t="s">
        <v>196</v>
      </c>
      <c r="I54" s="13">
        <v>42895.432384259257</v>
      </c>
      <c r="J54" s="7">
        <v>0</v>
      </c>
      <c r="K54" s="92" t="str">
        <f t="shared" si="0"/>
        <v>4011/4012</v>
      </c>
      <c r="L54" s="21" t="str">
        <f>VLOOKUP(A54,'Trips&amp;Operators'!$C$1:$G$99999,5,FALSE)</f>
        <v>DAVIDSON DAVID</v>
      </c>
      <c r="M54" s="6">
        <f t="shared" si="1"/>
        <v>2.7962962958554272E-2</v>
      </c>
      <c r="N54" s="7">
        <f t="shared" si="26"/>
        <v>40.266666660318151</v>
      </c>
      <c r="O54" s="7"/>
      <c r="P54" s="7"/>
      <c r="Q54" s="22"/>
      <c r="R54" s="173" t="s">
        <v>1012</v>
      </c>
      <c r="S54" s="176">
        <f t="shared" si="23"/>
        <v>1</v>
      </c>
      <c r="T54" s="202" t="str">
        <f t="shared" si="3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4"/>
        <v>https://d0f6bd738d7f1b3e5a7ca70fe4ff75f0.us-east-1.aws.found.io/app/kibana#/discover/Steve-Slow-Train-Analysis-(2080s-and-2083s)?_g=(refreshInterval:(display:Off,pause:!f,section:0,value:0),time:(from:'2017-06-09T08:23:43-0600',mode:absolute,to:'2017-06-09T11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204" t="str">
        <f t="shared" si="5"/>
        <v>N</v>
      </c>
      <c r="X54" s="204">
        <f t="shared" si="6"/>
        <v>1</v>
      </c>
      <c r="Y54" s="204">
        <f t="shared" si="24"/>
        <v>23.298500000000001</v>
      </c>
      <c r="Z54" s="204">
        <f t="shared" si="25"/>
        <v>1.5800000000000002E-2</v>
      </c>
      <c r="AA54" s="204">
        <f t="shared" si="9"/>
        <v>23.282700000000002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0"/>
        <v>0142-09</v>
      </c>
      <c r="AE54" s="80" t="str">
        <f t="shared" si="11"/>
        <v>aws s3 cp s3://rtdc.mdm.uploadarchive.raw/RTDC4011/ "%USERPROFILE%\AppData\Local\Temp\OnboardLogs"\RTDC4011\2017-06-09 --exclude "*" --recursive --include "*20170609*" &amp; "%USERPROFILE%\Documents\GitHub\mrs-test-scripts\Headless Mode &amp; Sideloading\WalkAndUnGZ.bat" "%USERPROFILE%\AppData\Local\Temp\OnboardLogs"\RTDC4011\2017-06-09 &amp; aws s3 cp s3://rtdc.mdm.uploadarchive.raw/RTDC4011/ "%USERPROFILE%\AppData\Local\Temp\OnboardLogs"\RTDC4011\2017-06-10 --exclude "*" --recursive --include "*20170610*" &amp; "%USERPROFILE%\Documents\GitHub\mrs-test-scripts\Headless Mode &amp; Sideloading\WalkAndUnGZ.bat" "%USERPROFILE%\AppData\Local\Temp\OnboardLogs"\RTDC4011\2017-06-10</v>
      </c>
      <c r="AF54" s="77" t="str">
        <f t="shared" si="12"/>
        <v>"C:\Program Files (x86)\AstroGrep\AstroGrep.exe" /e /r /s /spath="%USERPROFILE%\AppData\Local\Temp\OnboardLogs" /stypes="app*4011*20170609*" /stext=" 16:.+((SYSTEM_STATE.+slice.+state.+changed )|(ment ac)|(multiple cpu faults)|(system.+state.+changed )|(\[timeout)|(PRM\|1\|D)|(kpr)|(kdp)|(train st.+moving)|(\|lc)|(penalty))"</v>
      </c>
      <c r="AG54" s="1" t="str">
        <f t="shared" si="13"/>
        <v>EC</v>
      </c>
      <c r="AH54" s="81" t="str">
        <f t="shared" si="19"/>
        <v>"%USERPROFILE%\Documents\GitHub\eaglep3\Utilities\RefineRTDCRunTimes.py" --tripid 142-09 --locoid 4011 --swversion DE.1.0.9.0 --startMP 204:232985 --initTime 2017-06-09T09:23:43 --startdatetime 2017-06-09T09:42:22 --delay 1 --endMP 204:158 --enddatetime 2017-06-09T10:22:38 --enforcementcount 0 &gt;&gt;C:\Users\stu\Documents\GitHub\eaglep3-reporting\EC\2017-06-09-refined-times.txt</v>
      </c>
      <c r="AI54" s="99" t="str">
        <f t="shared" si="20"/>
        <v>echo {"issue":{"subject":"Incident about unhealthy @ Chambers - actually an Early Arrival enforcement at SB Quebec","project_id":79,"tracker_id":40,"status_id":1,"priority_id":2,"assigned_to_id":23,"start_date":"2017-06-09","description":"","custom_fields":[{"id":1,"name":"Subdivision","value":"EC"},{"id":4,"name":"Milepost","value":"0.0158"},{"id":17,"name":"Train ID","value":"142-09"},{"id":16,"name":"Locomotive ID","value":"4011"},{"id":130,"name":"Impact","value":""},{"id":150,"name":"Time of Event (Mountain Time)","value":"10:22:38"},{"id":151,"name":"Denver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4011 --day 2017-06-09</v>
      </c>
      <c r="AN54" s="154" t="str">
        <f t="shared" si="22"/>
        <v>echo {"issue":{"subject":"Incident about unhealthy @ Chambers - actually an Early Arrival enforcement at SB Quebec","project_id":30,"tracker_id":4,"status_id":1,"priority_id":1,"assigned_to_id":10,"start_date":"2017-06-09","description":"","custom_fields":[{"id":30,"name":"Category","value":"Issue"},{"id":3,"name":"Functional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16:22:38"},{"id":29,"name":"Sharepoint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697</v>
      </c>
      <c r="B55" s="7">
        <v>4046</v>
      </c>
      <c r="C55" s="21" t="s">
        <v>204</v>
      </c>
      <c r="D55" s="21" t="s">
        <v>843</v>
      </c>
      <c r="E55" s="13">
        <v>42895.371712962966</v>
      </c>
      <c r="F55" s="13">
        <v>42895.375173611108</v>
      </c>
      <c r="G55" s="7">
        <v>1</v>
      </c>
      <c r="H55" s="21" t="s">
        <v>460</v>
      </c>
      <c r="I55" s="13">
        <v>42895.40084490741</v>
      </c>
      <c r="J55" s="7">
        <v>0</v>
      </c>
      <c r="K55" s="92" t="str">
        <f t="shared" si="0"/>
        <v>4045/4046</v>
      </c>
      <c r="L55" s="21" t="str">
        <f>VLOOKUP(A55,'Trips&amp;Operators'!$C$1:$G$99999,5,FALSE)</f>
        <v>WILLIAMS DONTE</v>
      </c>
      <c r="M55" s="6">
        <f t="shared" si="1"/>
        <v>2.567129630187992E-2</v>
      </c>
      <c r="N55" s="7">
        <f t="shared" si="26"/>
        <v>36.966666674707085</v>
      </c>
      <c r="O55" s="7"/>
      <c r="P55" s="7"/>
      <c r="Q55" s="22"/>
      <c r="R55" s="173"/>
      <c r="S55" s="176">
        <f t="shared" si="23"/>
        <v>1</v>
      </c>
      <c r="T55" s="202" t="str">
        <f t="shared" si="3"/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4"/>
        <v>https://d0f6bd738d7f1b3e5a7ca70fe4ff75f0.us-east-1.aws.found.io/app/kibana#/discover/Steve-Slow-Train-Analysis-(2080s-and-2083s)?_g=(refreshInterval:(display:Off,pause:!f,section:0,value:0),time:(from:'2017-06-09T07:55:16-0600',mode:absolute,to:'2017-06-09T10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5" s="204" t="str">
        <f t="shared" si="5"/>
        <v>N</v>
      </c>
      <c r="X55" s="204">
        <f t="shared" si="6"/>
        <v>1</v>
      </c>
      <c r="Y55" s="204">
        <f t="shared" si="24"/>
        <v>4.2700000000000002E-2</v>
      </c>
      <c r="Z55" s="204">
        <f t="shared" si="25"/>
        <v>23.331199999999999</v>
      </c>
      <c r="AA55" s="204">
        <f t="shared" si="9"/>
        <v>23.288499999999999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0"/>
        <v>0143-09</v>
      </c>
      <c r="AE55" s="80" t="str">
        <f t="shared" si="11"/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AF55" s="77" t="str">
        <f t="shared" si="12"/>
        <v>"C:\Program Files (x86)\AstroGrep\AstroGrep.exe" /e /r /s /spath="%USERPROFILE%\AppData\Local\Temp\OnboardLogs" /stypes="app*4046*20170609*" /stext=" 15:.+((SYSTEM_STATE.+slice.+state.+changed )|(ment ac)|(multiple cpu faults)|(system.+state.+changed )|(\[timeout)|(PRM\|1\|D)|(kpr)|(kdp)|(train st.+moving)|(\|lc)|(penalty))"</v>
      </c>
      <c r="AG55" s="1" t="str">
        <f t="shared" si="13"/>
        <v>EC</v>
      </c>
      <c r="AH55" s="81" t="str">
        <f t="shared" si="19"/>
        <v>"%USERPROFILE%\Documents\GitHub\eaglep3\Utilities\RefineRTDCRunTimes.py" --tripid 143-09 --locoid 4046 --swversion DE.1.0.9.0 --startMP 204:427 --initTime 2017-06-09T08:55:16 --startdatetime 2017-06-09T09:00:15 --delay 1 --endMP 204:233312 --enddatetime 2017-06-09T09:37:13 --enforcementcount 0 &gt;&gt;C:\Users\stu\Documents\GitHub\eaglep3-reporting\EC\2017-06-09-refined-times.txt</v>
      </c>
      <c r="AI55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{"issue":{"subject":"","project_id":79,"tracker_id":40,"status_id":1,"priority_id":2,"assigned_to_id":23,"start_date":"2017-06-09","description":"","custom_fields":[{"id":1,"name":"Subdivision","value":"EC"},{"id":4,"name":"Milepost","value":"23.3312"},{"id":17,"name":"Train ID","value":"143-09"},{"id":16,"name":"Locomotive ID","value":"4046"},{"id":130,"name":"Impact","value":""},{"id":150,"name":"Time of Event (Mountain Time)","value":"09:37:13"},{"id":151,"name":"Denver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4046 --day 2017-06-09</v>
      </c>
      <c r="AN55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15:37:13"},{"id":29,"name":"Sharepoint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705</v>
      </c>
      <c r="B56" s="7">
        <v>4045</v>
      </c>
      <c r="C56" s="21" t="s">
        <v>204</v>
      </c>
      <c r="D56" s="21" t="s">
        <v>514</v>
      </c>
      <c r="E56" s="13">
        <v>42895.403113425928</v>
      </c>
      <c r="F56" s="13">
        <v>42895.414768518516</v>
      </c>
      <c r="G56" s="7">
        <v>1</v>
      </c>
      <c r="H56" s="21" t="s">
        <v>352</v>
      </c>
      <c r="I56" s="13">
        <v>42895.443206018521</v>
      </c>
      <c r="J56" s="7">
        <v>0</v>
      </c>
      <c r="K56" s="92" t="str">
        <f t="shared" si="0"/>
        <v>4045/4046</v>
      </c>
      <c r="L56" s="21" t="str">
        <f>VLOOKUP(A56,'Trips&amp;Operators'!$C$1:$G$99999,5,FALSE)</f>
        <v>WILLIAMS DONTE</v>
      </c>
      <c r="M56" s="6">
        <f t="shared" si="1"/>
        <v>2.8437500004656613E-2</v>
      </c>
      <c r="N56" s="7">
        <f t="shared" si="26"/>
        <v>40.950000006705523</v>
      </c>
      <c r="O56" s="7"/>
      <c r="P56" s="7"/>
      <c r="Q56" s="22"/>
      <c r="R56" s="173"/>
      <c r="S56" s="176">
        <f t="shared" si="23"/>
        <v>1</v>
      </c>
      <c r="T56" s="202" t="str">
        <f t="shared" si="3"/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4"/>
        <v>https://d0f6bd738d7f1b3e5a7ca70fe4ff75f0.us-east-1.aws.found.io/app/kibana#/discover/Steve-Slow-Train-Analysis-(2080s-and-2083s)?_g=(refreshInterval:(display:Off,pause:!f,section:0,value:0),time:(from:'2017-06-09T08:40:29-0600',mode:absolute,to:'2017-06-09T11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6" s="204" t="str">
        <f t="shared" si="5"/>
        <v>N</v>
      </c>
      <c r="X56" s="204">
        <f t="shared" si="6"/>
        <v>1</v>
      </c>
      <c r="Y56" s="204">
        <f t="shared" si="24"/>
        <v>23.299600000000002</v>
      </c>
      <c r="Z56" s="204">
        <f t="shared" si="25"/>
        <v>1.4999999999999999E-2</v>
      </c>
      <c r="AA56" s="204">
        <f t="shared" si="9"/>
        <v>23.284600000000001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0"/>
        <v>0144-09</v>
      </c>
      <c r="AE56" s="80" t="str">
        <f t="shared" si="11"/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AF56" s="77" t="str">
        <f t="shared" si="12"/>
        <v>"C:\Program Files (x86)\AstroGrep\AstroGrep.exe" /e /r /s /spath="%USERPROFILE%\AppData\Local\Temp\OnboardLogs" /stypes="app*4045*20170609*" /stext=" 16:.+((SYSTEM_STATE.+slice.+state.+changed )|(ment ac)|(multiple cpu faults)|(system.+state.+changed )|(\[timeout)|(PRM\|1\|D)|(kpr)|(kdp)|(train st.+moving)|(\|lc)|(penalty))"</v>
      </c>
      <c r="AG56" s="1" t="str">
        <f t="shared" si="13"/>
        <v>EC</v>
      </c>
      <c r="AH56" s="81" t="str">
        <f t="shared" si="19"/>
        <v>"%USERPROFILE%\Documents\GitHub\eaglep3\Utilities\RefineRTDCRunTimes.py" --tripid 144-09 --locoid 4045 --swversion DE.1.0.9.0 --startMP 204:232996 --initTime 2017-06-09T09:40:29 --startdatetime 2017-06-09T09:57:16 --delay 1 --endMP 204:150 --enddatetime 2017-06-09T10:38:13 --enforcementcount 0 &gt;&gt;C:\Users\stu\Documents\GitHub\eaglep3-reporting\EC\2017-06-09-refined-times.txt</v>
      </c>
      <c r="AI56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{"issue":{"subject":"","project_id":79,"tracker_id":40,"status_id":1,"priority_id":2,"assigned_to_id":23,"start_date":"2017-06-09","description":"","custom_fields":[{"id":1,"name":"Subdivision","value":"EC"},{"id":4,"name":"Milepost","value":"0.015"},{"id":17,"name":"Train ID","value":"144-09"},{"id":16,"name":"Locomotive ID","value":"4045"},{"id":130,"name":"Impact","value":""},{"id":150,"name":"Time of Event (Mountain Time)","value":"10:38:13"},{"id":151,"name":"Denver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4045 --day 2017-06-09</v>
      </c>
      <c r="AN56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16:38:13"},{"id":29,"name":"Sharepoint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698</v>
      </c>
      <c r="B57" s="7">
        <v>4062</v>
      </c>
      <c r="C57" s="21" t="s">
        <v>204</v>
      </c>
      <c r="D57" s="21" t="s">
        <v>351</v>
      </c>
      <c r="E57" s="13">
        <v>42895.381041666667</v>
      </c>
      <c r="F57" s="13">
        <v>42895.38559027778</v>
      </c>
      <c r="G57" s="7">
        <v>1</v>
      </c>
      <c r="H57" s="21" t="s">
        <v>546</v>
      </c>
      <c r="I57" s="13">
        <v>42895.411400462966</v>
      </c>
      <c r="J57" s="7">
        <v>0</v>
      </c>
      <c r="K57" s="92" t="str">
        <f t="shared" si="0"/>
        <v>4061/4062</v>
      </c>
      <c r="L57" s="21" t="str">
        <f>VLOOKUP(A57,'Trips&amp;Operators'!$C$1:$G$99999,5,FALSE)</f>
        <v>LOZA FIDEL</v>
      </c>
      <c r="M57" s="6">
        <f t="shared" si="1"/>
        <v>2.5810185186855961E-2</v>
      </c>
      <c r="N57" s="7">
        <f t="shared" si="26"/>
        <v>37.166666669072583</v>
      </c>
      <c r="O57" s="7"/>
      <c r="P57" s="7"/>
      <c r="Q57" s="22"/>
      <c r="R57" s="173"/>
      <c r="S57" s="176">
        <f t="shared" si="23"/>
        <v>1</v>
      </c>
      <c r="T57" s="202" t="str">
        <f t="shared" si="3"/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4"/>
        <v>https://d0f6bd738d7f1b3e5a7ca70fe4ff75f0.us-east-1.aws.found.io/app/kibana#/discover/Steve-Slow-Train-Analysis-(2080s-and-2083s)?_g=(refreshInterval:(display:Off,pause:!f,section:0,value:0),time:(from:'2017-06-09T08:08:42-0600',mode:absolute,to:'2017-06-09T10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7" s="204" t="str">
        <f t="shared" si="5"/>
        <v>N</v>
      </c>
      <c r="X57" s="204">
        <f t="shared" si="6"/>
        <v>1</v>
      </c>
      <c r="Y57" s="204">
        <f t="shared" si="24"/>
        <v>4.58E-2</v>
      </c>
      <c r="Z57" s="204">
        <f t="shared" si="25"/>
        <v>23.3291</v>
      </c>
      <c r="AA57" s="204">
        <f t="shared" si="9"/>
        <v>23.283300000000001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0"/>
        <v>0145-09</v>
      </c>
      <c r="AE57" s="80" t="str">
        <f t="shared" si="11"/>
        <v>aws s3 cp s3://rtdc.mdm.uploadarchive.raw/RTDC4062/ "%USERPROFILE%\AppData\Local\Temp\OnboardLogs"\RTDC4062\2017-06-09 --exclude "*" --recursive --include "*20170609*" &amp; "%USERPROFILE%\Documents\GitHub\mrs-test-scripts\Headless Mode &amp; Sideloading\WalkAndUnGZ.bat" "%USERPROFILE%\AppData\Local\Temp\OnboardLogs"\RTDC4062\2017-06-09 &amp; 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</v>
      </c>
      <c r="AF57" s="77" t="str">
        <f t="shared" si="12"/>
        <v>"C:\Program Files (x86)\AstroGrep\AstroGrep.exe" /e /r /s /spath="%USERPROFILE%\AppData\Local\Temp\OnboardLogs" /stypes="app*4062*20170609*" /stext=" 15:.+((SYSTEM_STATE.+slice.+state.+changed )|(ment ac)|(multiple cpu faults)|(system.+state.+changed )|(\[timeout)|(PRM\|1\|D)|(kpr)|(kdp)|(train st.+moving)|(\|lc)|(penalty))"</v>
      </c>
      <c r="AG57" s="1" t="str">
        <f t="shared" si="13"/>
        <v>EC</v>
      </c>
      <c r="AH57" s="81" t="str">
        <f t="shared" si="19"/>
        <v>"%USERPROFILE%\Documents\GitHub\eaglep3\Utilities\RefineRTDCRunTimes.py" --tripid 145-09 --locoid 4062 --swversion DE.1.0.9.0 --startMP 204:458 --initTime 2017-06-09T09:08:42 --startdatetime 2017-06-09T09:15:15 --delay 1 --endMP 204:233291 --enddatetime 2017-06-09T09:52:25 --enforcementcount 0 &gt;&gt;C:\Users\stu\Documents\GitHub\eaglep3-reporting\EC\2017-06-09-refined-times.txt</v>
      </c>
      <c r="AI57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{"issue":{"subject":"","project_id":79,"tracker_id":40,"status_id":1,"priority_id":2,"assigned_to_id":23,"start_date":"2017-06-09","description":"","custom_fields":[{"id":1,"name":"Subdivision","value":"EC"},{"id":4,"name":"Milepost","value":"23.3291"},{"id":17,"name":"Train ID","value":"145-09"},{"id":16,"name":"Locomotive ID","value":"4062"},{"id":130,"name":"Impact","value":""},{"id":150,"name":"Time of Event (Mountain Time)","value":"09:52:25"},{"id":151,"name":"Denver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4062 --day 2017-06-09</v>
      </c>
      <c r="AN57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15:52:25"},{"id":29,"name":"Sharepoint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599</v>
      </c>
      <c r="B58" s="7">
        <v>4061</v>
      </c>
      <c r="C58" s="21" t="s">
        <v>204</v>
      </c>
      <c r="D58" s="21" t="s">
        <v>844</v>
      </c>
      <c r="E58" s="13">
        <v>42895.423148148147</v>
      </c>
      <c r="F58" s="13">
        <v>42895.425891203704</v>
      </c>
      <c r="G58" s="7">
        <v>1</v>
      </c>
      <c r="H58" s="21" t="s">
        <v>354</v>
      </c>
      <c r="I58" s="13">
        <v>42895.457766203705</v>
      </c>
      <c r="J58" s="7">
        <v>0</v>
      </c>
      <c r="K58" s="92" t="str">
        <f t="shared" si="0"/>
        <v>4061/4062</v>
      </c>
      <c r="L58" s="21" t="str">
        <f>VLOOKUP(A58,'Trips&amp;Operators'!$C$1:$G$99999,5,FALSE)</f>
        <v>LOZA FIDEL</v>
      </c>
      <c r="M58" s="6">
        <f t="shared" si="1"/>
        <v>3.1875000000582077E-2</v>
      </c>
      <c r="N58" s="7">
        <f t="shared" si="26"/>
        <v>45.90000000083819</v>
      </c>
      <c r="O58" s="7"/>
      <c r="P58" s="7"/>
      <c r="Q58" s="22"/>
      <c r="R58" s="173"/>
      <c r="S58" s="176">
        <f t="shared" si="23"/>
        <v>1</v>
      </c>
      <c r="T58" s="202" t="str">
        <f t="shared" si="3"/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4"/>
        <v>https://d0f6bd738d7f1b3e5a7ca70fe4ff75f0.us-east-1.aws.found.io/app/kibana#/discover/Steve-Slow-Train-Analysis-(2080s-and-2083s)?_g=(refreshInterval:(display:Off,pause:!f,section:0,value:0),time:(from:'2017-06-09T09:09:20-0600',mode:absolute,to:'2017-06-09T11:59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8" s="204" t="str">
        <f t="shared" si="5"/>
        <v>N</v>
      </c>
      <c r="X58" s="204">
        <f t="shared" si="6"/>
        <v>1</v>
      </c>
      <c r="Y58" s="204">
        <f t="shared" si="24"/>
        <v>23.296600000000002</v>
      </c>
      <c r="Z58" s="204">
        <f t="shared" si="25"/>
        <v>1.43E-2</v>
      </c>
      <c r="AA58" s="204">
        <f t="shared" si="9"/>
        <v>23.282300000000003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0"/>
        <v>0146-09</v>
      </c>
      <c r="AE58" s="80" t="str">
        <f t="shared" si="11"/>
        <v>aws s3 cp s3://rtdc.mdm.uploadarchive.raw/RTDC4061/ "%USERPROFILE%\AppData\Local\Temp\OnboardLogs"\RTDC4061\2017-06-09 --exclude "*" --recursive --include "*20170609*" &amp; "%USERPROFILE%\Documents\GitHub\mrs-test-scripts\Headless Mode &amp; Sideloading\WalkAndUnGZ.bat" "%USERPROFILE%\AppData\Local\Temp\OnboardLogs"\RTDC4061\2017-06-09 &amp; 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</v>
      </c>
      <c r="AF58" s="77" t="str">
        <f t="shared" si="12"/>
        <v>"C:\Program Files (x86)\AstroGrep\AstroGrep.exe" /e /r /s /spath="%USERPROFILE%\AppData\Local\Temp\OnboardLogs" /stypes="app*4061*20170609*" /stext=" 16:.+((SYSTEM_STATE.+slice.+state.+changed )|(ment ac)|(multiple cpu faults)|(system.+state.+changed )|(\[timeout)|(PRM\|1\|D)|(kpr)|(kdp)|(train st.+moving)|(\|lc)|(penalty))"</v>
      </c>
      <c r="AG58" s="1" t="str">
        <f t="shared" si="13"/>
        <v>EC</v>
      </c>
      <c r="AH58" s="81" t="str">
        <f t="shared" si="19"/>
        <v>"%USERPROFILE%\Documents\GitHub\eaglep3\Utilities\RefineRTDCRunTimes.py" --tripid 146-09 --locoid 4061 --swversion DE.1.0.9.0 --startMP 204:232966 --initTime 2017-06-09T10:09:20 --startdatetime 2017-06-09T10:13:17 --delay 1 --endMP 204:143 --enddatetime 2017-06-09T10:59:11 --enforcementcount 0 &gt;&gt;C:\Users\stu\Documents\GitHub\eaglep3-reporting\EC\2017-06-09-refined-times.txt</v>
      </c>
      <c r="AI58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{"issue":{"subject":"","project_id":79,"tracker_id":40,"status_id":1,"priority_id":2,"assigned_to_id":23,"start_date":"2017-06-09","description":"","custom_fields":[{"id":1,"name":"Subdivision","value":"EC"},{"id":4,"name":"Milepost","value":"0.0143"},{"id":17,"name":"Train ID","value":"146-09"},{"id":16,"name":"Locomotive ID","value":"4061"},{"id":130,"name":"Impact","value":""},{"id":150,"name":"Time of Event (Mountain Time)","value":"10:59:11"},{"id":151,"name":"Denver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4061 --day 2017-06-09</v>
      </c>
      <c r="AN58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16:59:11"},{"id":29,"name":"Sharepoint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700</v>
      </c>
      <c r="B59" s="7">
        <v>4030</v>
      </c>
      <c r="C59" s="21" t="s">
        <v>204</v>
      </c>
      <c r="D59" s="21" t="s">
        <v>476</v>
      </c>
      <c r="E59" s="13">
        <v>42895.391655092593</v>
      </c>
      <c r="F59" s="13">
        <v>42895.396157407406</v>
      </c>
      <c r="G59" s="7">
        <v>1</v>
      </c>
      <c r="H59" s="21" t="s">
        <v>845</v>
      </c>
      <c r="I59" s="13">
        <v>42895.421435185184</v>
      </c>
      <c r="J59" s="7">
        <v>0</v>
      </c>
      <c r="K59" s="92" t="str">
        <f t="shared" si="0"/>
        <v>4029/4030</v>
      </c>
      <c r="L59" s="21" t="str">
        <f>VLOOKUP(A59,'Trips&amp;Operators'!$C$1:$G$99999,5,FALSE)</f>
        <v>BONDS REYNALDO</v>
      </c>
      <c r="M59" s="6">
        <f t="shared" si="1"/>
        <v>2.527777777868323E-2</v>
      </c>
      <c r="N59" s="7">
        <f t="shared" si="26"/>
        <v>36.400000001303852</v>
      </c>
      <c r="O59" s="7"/>
      <c r="P59" s="7"/>
      <c r="Q59" s="22"/>
      <c r="R59" s="173"/>
      <c r="S59" s="176">
        <f t="shared" si="23"/>
        <v>1</v>
      </c>
      <c r="T59" s="202" t="str">
        <f t="shared" si="3"/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4"/>
        <v>https://d0f6bd738d7f1b3e5a7ca70fe4ff75f0.us-east-1.aws.found.io/app/kibana#/discover/Steve-Slow-Train-Analysis-(2080s-and-2083s)?_g=(refreshInterval:(display:Off,pause:!f,section:0,value:0),time:(from:'2017-06-09T08:23:59-0600',mode:absolute,to:'2017-06-09T11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9" s="204" t="str">
        <f t="shared" si="5"/>
        <v>N</v>
      </c>
      <c r="X59" s="204">
        <f t="shared" si="6"/>
        <v>1</v>
      </c>
      <c r="Y59" s="204">
        <f t="shared" si="24"/>
        <v>4.3700000000000003E-2</v>
      </c>
      <c r="Z59" s="204">
        <f t="shared" si="25"/>
        <v>23.337599999999998</v>
      </c>
      <c r="AA59" s="204">
        <f t="shared" si="9"/>
        <v>23.293899999999997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0"/>
        <v>0147-09</v>
      </c>
      <c r="AE59" s="80" t="str">
        <f t="shared" si="11"/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AF59" s="77" t="str">
        <f t="shared" si="12"/>
        <v>"C:\Program Files (x86)\AstroGrep\AstroGrep.exe" /e /r /s /spath="%USERPROFILE%\AppData\Local\Temp\OnboardLogs" /stypes="app*4030*20170609*" /stext=" 16:.+((SYSTEM_STATE.+slice.+state.+changed )|(ment ac)|(multiple cpu faults)|(system.+state.+changed )|(\[timeout)|(PRM\|1\|D)|(kpr)|(kdp)|(train st.+moving)|(\|lc)|(penalty))"</v>
      </c>
      <c r="AG59" s="1" t="str">
        <f t="shared" si="13"/>
        <v>EC</v>
      </c>
      <c r="AH59" s="81" t="str">
        <f t="shared" si="19"/>
        <v>"%USERPROFILE%\Documents\GitHub\eaglep3\Utilities\RefineRTDCRunTimes.py" --tripid 147-09 --locoid 4030 --swversion DE.1.0.9.0 --startMP 204:437 --initTime 2017-06-09T09:23:59 --startdatetime 2017-06-09T09:30:28 --delay 1 --endMP 204:233376 --enddatetime 2017-06-09T10:06:52 --enforcementcount 0 &gt;&gt;C:\Users\stu\Documents\GitHub\eaglep3-reporting\EC\2017-06-09-refined-times.txt</v>
      </c>
      <c r="AI59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{"issue":{"subject":"","project_id":79,"tracker_id":40,"status_id":1,"priority_id":2,"assigned_to_id":23,"start_date":"2017-06-09","description":"","custom_fields":[{"id":1,"name":"Subdivision","value":"EC"},{"id":4,"name":"Milepost","value":"23.3376"},{"id":17,"name":"Train ID","value":"147-09"},{"id":16,"name":"Locomotive ID","value":"4030"},{"id":130,"name":"Impact","value":""},{"id":150,"name":"Time of Event (Mountain Time)","value":"10:06:52"},{"id":151,"name":"Denver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4030 --day 2017-06-09</v>
      </c>
      <c r="AN59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16:06:52"},{"id":29,"name":"Sharepoint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708</v>
      </c>
      <c r="B60" s="7">
        <v>4029</v>
      </c>
      <c r="C60" s="21" t="s">
        <v>204</v>
      </c>
      <c r="D60" s="21" t="s">
        <v>497</v>
      </c>
      <c r="E60" s="13">
        <v>42895.431863425925</v>
      </c>
      <c r="F60" s="13">
        <v>42895.435578703706</v>
      </c>
      <c r="G60" s="7">
        <v>0</v>
      </c>
      <c r="H60" s="21" t="s">
        <v>352</v>
      </c>
      <c r="I60" s="13">
        <v>42895.464537037034</v>
      </c>
      <c r="J60" s="7">
        <v>0</v>
      </c>
      <c r="K60" s="92" t="str">
        <f t="shared" si="0"/>
        <v>4029/4030</v>
      </c>
      <c r="L60" s="21" t="str">
        <f>VLOOKUP(A60,'Trips&amp;Operators'!$C$1:$G$99999,5,FALSE)</f>
        <v>BONDS REYNALDO</v>
      </c>
      <c r="M60" s="6">
        <f t="shared" si="1"/>
        <v>2.8958333328773733E-2</v>
      </c>
      <c r="N60" s="7">
        <f t="shared" si="26"/>
        <v>41.699999993434176</v>
      </c>
      <c r="O60" s="7"/>
      <c r="P60" s="7"/>
      <c r="Q60" s="22"/>
      <c r="R60" s="173"/>
      <c r="S60" s="176">
        <f t="shared" si="23"/>
        <v>1</v>
      </c>
      <c r="T60" s="202" t="str">
        <f t="shared" si="3"/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4"/>
        <v>https://d0f6bd738d7f1b3e5a7ca70fe4ff75f0.us-east-1.aws.found.io/app/kibana#/discover/Steve-Slow-Train-Analysis-(2080s-and-2083s)?_g=(refreshInterval:(display:Off,pause:!f,section:0,value:0),time:(from:'2017-06-09T09:21:53-0600',mode:absolute,to:'2017-06-09T12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0" s="204" t="str">
        <f t="shared" si="5"/>
        <v>N</v>
      </c>
      <c r="X60" s="204">
        <f t="shared" si="6"/>
        <v>1</v>
      </c>
      <c r="Y60" s="204">
        <f t="shared" si="24"/>
        <v>23.297499999999999</v>
      </c>
      <c r="Z60" s="204">
        <f t="shared" si="25"/>
        <v>1.4999999999999999E-2</v>
      </c>
      <c r="AA60" s="204">
        <f t="shared" si="9"/>
        <v>23.282499999999999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0"/>
        <v>0148-09</v>
      </c>
      <c r="AE60" s="80" t="str">
        <f t="shared" si="11"/>
        <v>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 &amp; 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</v>
      </c>
      <c r="AF60" s="77" t="str">
        <f t="shared" si="12"/>
        <v>"C:\Program Files (x86)\AstroGrep\AstroGrep.exe" /e /r /s /spath="%USERPROFILE%\AppData\Local\Temp\OnboardLogs" /stypes="app*4029*20170609*" /stext=" 17:.+((SYSTEM_STATE.+slice.+state.+changed )|(ment ac)|(multiple cpu faults)|(system.+state.+changed )|(\[timeout)|(PRM\|1\|D)|(kpr)|(kdp)|(train st.+moving)|(\|lc)|(penalty))"</v>
      </c>
      <c r="AG60" s="1" t="str">
        <f t="shared" si="13"/>
        <v>EC</v>
      </c>
      <c r="AH60" s="81" t="str">
        <f t="shared" si="19"/>
        <v>"%USERPROFILE%\Documents\GitHub\eaglep3\Utilities\RefineRTDCRunTimes.py" --tripid 148-09 --locoid 4029 --swversion DE.1.0.9.0 --startMP 204:232975 --initTime 2017-06-09T10:21:53 --startdatetime 2017-06-09T10:27:14 --delay 0 --endMP 204:150 --enddatetime 2017-06-09T11:08:56 --enforcementcount 0 &gt;&gt;C:\Users\stu\Documents\GitHub\eaglep3-reporting\EC\2017-06-09-refined-times.txt</v>
      </c>
      <c r="AI60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{"issue":{"subject":"","project_id":79,"tracker_id":40,"status_id":1,"priority_id":2,"assigned_to_id":23,"start_date":"2017-06-09","description":"","custom_fields":[{"id":1,"name":"Subdivision","value":"EC"},{"id":4,"name":"Milepost","value":"0.015"},{"id":17,"name":"Train ID","value":"148-09"},{"id":16,"name":"Locomotive ID","value":"4029"},{"id":130,"name":"Impact","value":""},{"id":150,"name":"Time of Event (Mountain Time)","value":"11:08:56"},{"id":151,"name":"Denver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4029 --day 2017-06-09</v>
      </c>
      <c r="AN60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17:08:56"},{"id":29,"name":"Sharepoint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704</v>
      </c>
      <c r="B61" s="7">
        <v>4006</v>
      </c>
      <c r="C61" s="21" t="s">
        <v>204</v>
      </c>
      <c r="D61" s="21" t="s">
        <v>200</v>
      </c>
      <c r="E61" s="13">
        <v>42895.403055555558</v>
      </c>
      <c r="F61" s="13">
        <v>42895.406435185185</v>
      </c>
      <c r="G61" s="7">
        <v>1</v>
      </c>
      <c r="H61" s="21" t="s">
        <v>545</v>
      </c>
      <c r="I61" s="13">
        <v>42895.431458333333</v>
      </c>
      <c r="J61" s="7">
        <v>0</v>
      </c>
      <c r="K61" s="92" t="str">
        <f t="shared" si="0"/>
        <v>4005/4006</v>
      </c>
      <c r="L61" s="21" t="str">
        <f>VLOOKUP(A61,'Trips&amp;Operators'!$C$1:$G$99999,5,FALSE)</f>
        <v>GEBRETEKLE DAGNEW</v>
      </c>
      <c r="M61" s="6">
        <f t="shared" si="1"/>
        <v>2.5023148147738539E-2</v>
      </c>
      <c r="N61" s="7">
        <f t="shared" si="26"/>
        <v>36.033333332743496</v>
      </c>
      <c r="O61" s="7"/>
      <c r="P61" s="7"/>
      <c r="Q61" s="22"/>
      <c r="R61" s="173"/>
      <c r="S61" s="176">
        <f t="shared" si="23"/>
        <v>1</v>
      </c>
      <c r="T61" s="202" t="str">
        <f t="shared" si="3"/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4"/>
        <v>https://d0f6bd738d7f1b3e5a7ca70fe4ff75f0.us-east-1.aws.found.io/app/kibana#/discover/Steve-Slow-Train-Analysis-(2080s-and-2083s)?_g=(refreshInterval:(display:Off,pause:!f,section:0,value:0),time:(from:'2017-06-09T08:40:24-0600',mode:absolute,to:'2017-06-09T11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1" s="204" t="str">
        <f t="shared" si="5"/>
        <v>N</v>
      </c>
      <c r="X61" s="204">
        <f t="shared" si="6"/>
        <v>1</v>
      </c>
      <c r="Y61" s="204">
        <f t="shared" si="24"/>
        <v>4.5699999999999998E-2</v>
      </c>
      <c r="Z61" s="204">
        <f t="shared" si="25"/>
        <v>23.331499999999998</v>
      </c>
      <c r="AA61" s="204">
        <f t="shared" si="9"/>
        <v>23.285799999999998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0"/>
        <v>0149-09</v>
      </c>
      <c r="AE61" s="80" t="str">
        <f t="shared" si="11"/>
        <v>aws s3 cp s3://rtdc.mdm.uploadarchive.raw/RTDC4006/ "%USERPROFILE%\AppData\Local\Temp\OnboardLogs"\RTDC4006\2017-06-09 --exclude "*" --recursive --include "*20170609*" &amp; "%USERPROFILE%\Documents\GitHub\mrs-test-scripts\Headless Mode &amp; Sideloading\WalkAndUnGZ.bat" "%USERPROFILE%\AppData\Local\Temp\OnboardLogs"\RTDC4006\2017-06-09 &amp; 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</v>
      </c>
      <c r="AF61" s="77" t="str">
        <f t="shared" si="12"/>
        <v>"C:\Program Files (x86)\AstroGrep\AstroGrep.exe" /e /r /s /spath="%USERPROFILE%\AppData\Local\Temp\OnboardLogs" /stypes="app*4006*20170609*" /stext=" 16:.+((SYSTEM_STATE.+slice.+state.+changed )|(ment ac)|(multiple cpu faults)|(system.+state.+changed )|(\[timeout)|(PRM\|1\|D)|(kpr)|(kdp)|(train st.+moving)|(\|lc)|(penalty))"</v>
      </c>
      <c r="AG61" s="1" t="str">
        <f t="shared" si="13"/>
        <v>EC</v>
      </c>
      <c r="AH61" s="81" t="str">
        <f t="shared" si="19"/>
        <v>"%USERPROFILE%\Documents\GitHub\eaglep3\Utilities\RefineRTDCRunTimes.py" --tripid 149-09 --locoid 4006 --swversion DE.1.0.9.0 --startMP 204:457 --initTime 2017-06-09T09:40:24 --startdatetime 2017-06-09T09:45:16 --delay 1 --endMP 204:233315 --enddatetime 2017-06-09T10:21:18 --enforcementcount 0 &gt;&gt;C:\Users\stu\Documents\GitHub\eaglep3-reporting\EC\2017-06-09-refined-times.txt</v>
      </c>
      <c r="AI61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{"issue":{"subject":"","project_id":79,"tracker_id":40,"status_id":1,"priority_id":2,"assigned_to_id":23,"start_date":"2017-06-09","description":"","custom_fields":[{"id":1,"name":"Subdivision","value":"EC"},{"id":4,"name":"Milepost","value":"23.3315"},{"id":17,"name":"Train ID","value":"149-09"},{"id":16,"name":"Locomotive ID","value":"4006"},{"id":130,"name":"Impact","value":""},{"id":150,"name":"Time of Event (Mountain Time)","value":"10:21:18"},{"id":151,"name":"Denver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4006 --day 2017-06-09</v>
      </c>
      <c r="AN61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16:21:18"},{"id":29,"name":"Sharepoint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602</v>
      </c>
      <c r="B62" s="7">
        <v>4005</v>
      </c>
      <c r="C62" s="21" t="s">
        <v>204</v>
      </c>
      <c r="D62" s="21" t="s">
        <v>515</v>
      </c>
      <c r="E62" s="13">
        <v>42895.43310185185</v>
      </c>
      <c r="F62" s="13">
        <v>42895.446527777778</v>
      </c>
      <c r="G62" s="7">
        <v>1</v>
      </c>
      <c r="H62" s="21" t="s">
        <v>457</v>
      </c>
      <c r="I62" s="13">
        <v>42895.474965277775</v>
      </c>
      <c r="J62" s="7">
        <v>0</v>
      </c>
      <c r="K62" s="92" t="str">
        <f t="shared" si="0"/>
        <v>4005/4006</v>
      </c>
      <c r="L62" s="21" t="str">
        <f>VLOOKUP(A62,'Trips&amp;Operators'!$C$1:$G$99999,5,FALSE)</f>
        <v>GEBRETEKLE DAGNEW</v>
      </c>
      <c r="M62" s="6">
        <f t="shared" si="1"/>
        <v>2.8437499997380655E-2</v>
      </c>
      <c r="N62" s="7">
        <f t="shared" si="26"/>
        <v>40.949999996228144</v>
      </c>
      <c r="O62" s="7"/>
      <c r="P62" s="7"/>
      <c r="Q62" s="22"/>
      <c r="R62" s="173"/>
      <c r="S62" s="176">
        <f t="shared" si="23"/>
        <v>1</v>
      </c>
      <c r="T62" s="202" t="str">
        <f t="shared" si="3"/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4"/>
        <v>https://d0f6bd738d7f1b3e5a7ca70fe4ff75f0.us-east-1.aws.found.io/app/kibana#/discover/Steve-Slow-Train-Analysis-(2080s-and-2083s)?_g=(refreshInterval:(display:Off,pause:!f,section:0,value:0),time:(from:'2017-06-09T09:23:40-0600',mode:absolute,to:'2017-06-09T12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2" s="204" t="str">
        <f t="shared" si="5"/>
        <v>N</v>
      </c>
      <c r="X62" s="204">
        <f t="shared" si="6"/>
        <v>1</v>
      </c>
      <c r="Y62" s="204">
        <f t="shared" si="24"/>
        <v>23.3</v>
      </c>
      <c r="Z62" s="204">
        <f t="shared" si="25"/>
        <v>1.5599999999999999E-2</v>
      </c>
      <c r="AA62" s="204">
        <f t="shared" si="9"/>
        <v>23.284400000000002</v>
      </c>
      <c r="AB62" s="57" t="str">
        <f>VLOOKUP(A62,Enforcements!$C$7:$K$13,8,0)</f>
        <v>Bulletin (2)</v>
      </c>
      <c r="AC62" s="53" t="str">
        <f>VLOOKUP(A62,Enforcements!$C$7:$E$13,3,0)</f>
        <v>GRADE CROSSING</v>
      </c>
      <c r="AD62" s="54" t="str">
        <f t="shared" si="10"/>
        <v>0150-09</v>
      </c>
      <c r="AE62" s="80" t="str">
        <f t="shared" si="11"/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AF62" s="77" t="str">
        <f t="shared" si="12"/>
        <v>"C:\Program Files (x86)\AstroGrep\AstroGrep.exe" /e /r /s /spath="%USERPROFILE%\AppData\Local\Temp\OnboardLogs" /stypes="app*4005*20170609*" /stext=" 17:.+((SYSTEM_STATE.+slice.+state.+changed )|(ment ac)|(multiple cpu faults)|(system.+state.+changed )|(\[timeout)|(PRM\|1\|D)|(kpr)|(kdp)|(train st.+moving)|(\|lc)|(penalty))"</v>
      </c>
      <c r="AG62" s="1" t="str">
        <f t="shared" si="13"/>
        <v>EC</v>
      </c>
      <c r="AH62" s="81" t="str">
        <f t="shared" si="19"/>
        <v>"%USERPROFILE%\Documents\GitHub\eaglep3\Utilities\RefineRTDCRunTimes.py" --tripid 150-09 --locoid 4005 --swversion DE.1.0.9.0 --startMP 204:233000 --initTime 2017-06-09T10:23:40 --startdatetime 2017-06-09T10:43:00 --delay 1 --endMP 204:156 --enddatetime 2017-06-09T11:23:57 --enforcementcount 0 &gt;&gt;C:\Users\stu\Documents\GitHub\eaglep3-reporting\EC\2017-06-09-refined-times.txt</v>
      </c>
      <c r="AI62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{"issue":{"subject":"","project_id":79,"tracker_id":40,"status_id":1,"priority_id":2,"assigned_to_id":23,"start_date":"2017-06-09","description":"","custom_fields":[{"id":1,"name":"Subdivision","value":"EC"},{"id":4,"name":"Milepost","value":"0.0156"},{"id":17,"name":"Train ID","value":"150-09"},{"id":16,"name":"Locomotive ID","value":"4005"},{"id":130,"name":"Impact","value":""},{"id":150,"name":"Time of Event (Mountain Time)","value":"11:23:57"},{"id":151,"name":"Denver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4005 --day 2017-06-09</v>
      </c>
      <c r="AN62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17:23:57"},{"id":29,"name":"Sharepoint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706</v>
      </c>
      <c r="B63" s="7">
        <v>4054</v>
      </c>
      <c r="C63" s="21" t="s">
        <v>204</v>
      </c>
      <c r="D63" s="21" t="s">
        <v>842</v>
      </c>
      <c r="E63" s="13">
        <v>42895.412604166668</v>
      </c>
      <c r="F63" s="13">
        <v>42895.416944444441</v>
      </c>
      <c r="G63" s="7">
        <v>1</v>
      </c>
      <c r="H63" s="21" t="s">
        <v>566</v>
      </c>
      <c r="I63" s="13">
        <v>42895.442916666667</v>
      </c>
      <c r="J63" s="7">
        <v>0</v>
      </c>
      <c r="K63" s="92" t="str">
        <f t="shared" si="0"/>
        <v>4053/4054</v>
      </c>
      <c r="L63" s="21" t="str">
        <f>VLOOKUP(A63,'Trips&amp;Operators'!$C$1:$G$99999,5,FALSE)</f>
        <v>DAVIS WENDY</v>
      </c>
      <c r="M63" s="6">
        <f t="shared" si="1"/>
        <v>2.5972222225391306E-2</v>
      </c>
      <c r="N63" s="7">
        <f t="shared" si="26"/>
        <v>37.400000004563481</v>
      </c>
      <c r="O63" s="7"/>
      <c r="P63" s="7"/>
      <c r="Q63" s="22"/>
      <c r="R63" s="173"/>
      <c r="S63" s="176">
        <f t="shared" si="23"/>
        <v>1</v>
      </c>
      <c r="T63" s="202" t="str">
        <f t="shared" si="3"/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4"/>
        <v>https://d0f6bd738d7f1b3e5a7ca70fe4ff75f0.us-east-1.aws.found.io/app/kibana#/discover/Steve-Slow-Train-Analysis-(2080s-and-2083s)?_g=(refreshInterval:(display:Off,pause:!f,section:0,value:0),time:(from:'2017-06-09T08:54:09-0600',mode:absolute,to:'2017-06-09T11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3" s="204" t="str">
        <f t="shared" si="5"/>
        <v>N</v>
      </c>
      <c r="X63" s="204">
        <f t="shared" si="6"/>
        <v>1</v>
      </c>
      <c r="Y63" s="204">
        <f t="shared" si="24"/>
        <v>4.6899999999999997E-2</v>
      </c>
      <c r="Z63" s="204">
        <f t="shared" si="25"/>
        <v>23.329899999999999</v>
      </c>
      <c r="AA63" s="204">
        <f t="shared" si="9"/>
        <v>23.282999999999998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0"/>
        <v>0151-09</v>
      </c>
      <c r="AE63" s="80" t="str">
        <f t="shared" si="11"/>
        <v>aws s3 cp s3://rtdc.mdm.uploadarchive.raw/RTDC4054/ "%USERPROFILE%\AppData\Local\Temp\OnboardLogs"\RTDC4054\2017-06-09 --exclude "*" --recursive --include "*20170609*" &amp; "%USERPROFILE%\Documents\GitHub\mrs-test-scripts\Headless Mode &amp; Sideloading\WalkAndUnGZ.bat" "%USERPROFILE%\AppData\Local\Temp\OnboardLogs"\RTDC4054\2017-06-09 &amp; 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</v>
      </c>
      <c r="AF63" s="77" t="str">
        <f t="shared" si="12"/>
        <v>"C:\Program Files (x86)\AstroGrep\AstroGrep.exe" /e /r /s /spath="%USERPROFILE%\AppData\Local\Temp\OnboardLogs" /stypes="app*4054*20170609*" /stext=" 16:.+((SYSTEM_STATE.+slice.+state.+changed )|(ment ac)|(multiple cpu faults)|(system.+state.+changed )|(\[timeout)|(PRM\|1\|D)|(kpr)|(kdp)|(train st.+moving)|(\|lc)|(penalty))"</v>
      </c>
      <c r="AG63" s="1" t="str">
        <f t="shared" si="13"/>
        <v>EC</v>
      </c>
      <c r="AH63" s="81" t="str">
        <f t="shared" si="19"/>
        <v>"%USERPROFILE%\Documents\GitHub\eaglep3\Utilities\RefineRTDCRunTimes.py" --tripid 151-09 --locoid 4054 --swversion DE.1.0.9.0 --startMP 204:469 --initTime 2017-06-09T09:54:09 --startdatetime 2017-06-09T10:00:24 --delay 1 --endMP 204:233299 --enddatetime 2017-06-09T10:37:48 --enforcementcount 0 &gt;&gt;C:\Users\stu\Documents\GitHub\eaglep3-reporting\EC\2017-06-09-refined-times.txt</v>
      </c>
      <c r="AI63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{"issue":{"subject":"","project_id":79,"tracker_id":40,"status_id":1,"priority_id":2,"assigned_to_id":23,"start_date":"2017-06-09","description":"","custom_fields":[{"id":1,"name":"Subdivision","value":"EC"},{"id":4,"name":"Milepost","value":"23.3299"},{"id":17,"name":"Train ID","value":"151-09"},{"id":16,"name":"Locomotive ID","value":"4054"},{"id":130,"name":"Impact","value":""},{"id":150,"name":"Time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4054 --day 2017-06-09</v>
      </c>
      <c r="AN63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16:37:48"},{"id":29,"name":"Sharepoint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717</v>
      </c>
      <c r="B64" s="7">
        <v>4053</v>
      </c>
      <c r="C64" s="21" t="s">
        <v>204</v>
      </c>
      <c r="D64" s="21" t="s">
        <v>511</v>
      </c>
      <c r="E64" s="13">
        <v>42895.453796296293</v>
      </c>
      <c r="F64" s="13">
        <v>42895.456354166665</v>
      </c>
      <c r="G64" s="7">
        <v>1</v>
      </c>
      <c r="H64" s="21" t="s">
        <v>350</v>
      </c>
      <c r="I64" s="13">
        <v>42895.486932870372</v>
      </c>
      <c r="J64" s="7">
        <v>0</v>
      </c>
      <c r="K64" s="92" t="str">
        <f t="shared" si="0"/>
        <v>4053/4054</v>
      </c>
      <c r="L64" s="21" t="str">
        <f>VLOOKUP(A64,'Trips&amp;Operators'!$C$1:$G$99999,5,FALSE)</f>
        <v>DAVIS WENDY</v>
      </c>
      <c r="M64" s="6">
        <f t="shared" si="1"/>
        <v>3.0578703706851229E-2</v>
      </c>
      <c r="N64" s="7">
        <f t="shared" si="26"/>
        <v>44.03333333786577</v>
      </c>
      <c r="O64" s="7"/>
      <c r="P64" s="7"/>
      <c r="Q64" s="22"/>
      <c r="R64" s="173"/>
      <c r="S64" s="176">
        <f t="shared" si="23"/>
        <v>1</v>
      </c>
      <c r="T64" s="202" t="str">
        <f t="shared" si="3"/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4"/>
        <v>https://d0f6bd738d7f1b3e5a7ca70fe4ff75f0.us-east-1.aws.found.io/app/kibana#/discover/Steve-Slow-Train-Analysis-(2080s-and-2083s)?_g=(refreshInterval:(display:Off,pause:!f,section:0,value:0),time:(from:'2017-06-09T09:53:28-0600',mode:absolute,to:'2017-06-09T12:41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4" s="204" t="str">
        <f t="shared" si="5"/>
        <v>N</v>
      </c>
      <c r="X64" s="204">
        <f t="shared" si="6"/>
        <v>1</v>
      </c>
      <c r="Y64" s="204">
        <f t="shared" si="24"/>
        <v>23.298999999999999</v>
      </c>
      <c r="Z64" s="204">
        <f t="shared" si="25"/>
        <v>1.6E-2</v>
      </c>
      <c r="AA64" s="204">
        <f t="shared" si="9"/>
        <v>23.283000000000001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0"/>
        <v>0152-09</v>
      </c>
      <c r="AE64" s="80" t="str">
        <f t="shared" si="11"/>
        <v>aws s3 cp s3://rtdc.mdm.uploadarchive.raw/RTDC4053/ "%USERPROFILE%\AppData\Local\Temp\OnboardLogs"\RTDC4053\2017-06-09 --exclude "*" --recursive --include "*20170609*" &amp; "%USERPROFILE%\Documents\GitHub\mrs-test-scripts\Headless Mode &amp; Sideloading\WalkAndUnGZ.bat" "%USERPROFILE%\AppData\Local\Temp\OnboardLogs"\RTDC4053\2017-06-09 &amp; aws s3 cp s3://rtdc.mdm.uploadarchive.raw/RTDC4053/ "%USERPROFILE%\AppData\Local\Temp\OnboardLogs"\RTDC4053\2017-06-10 --exclude "*" --recursive --include "*20170610*" &amp; "%USERPROFILE%\Documents\GitHub\mrs-test-scripts\Headless Mode &amp; Sideloading\WalkAndUnGZ.bat" "%USERPROFILE%\AppData\Local\Temp\OnboardLogs"\RTDC4053\2017-06-10</v>
      </c>
      <c r="AF64" s="77" t="str">
        <f t="shared" si="12"/>
        <v>"C:\Program Files (x86)\AstroGrep\AstroGrep.exe" /e /r /s /spath="%USERPROFILE%\AppData\Local\Temp\OnboardLogs" /stypes="app*4053*20170609*" /stext=" 17:.+((SYSTEM_STATE.+slice.+state.+changed )|(ment ac)|(multiple cpu faults)|(system.+state.+changed )|(\[timeout)|(PRM\|1\|D)|(kpr)|(kdp)|(train st.+moving)|(\|lc)|(penalty))"</v>
      </c>
      <c r="AG64" s="1" t="str">
        <f t="shared" si="13"/>
        <v>EC</v>
      </c>
      <c r="AH64" s="81" t="str">
        <f t="shared" si="19"/>
        <v>"%USERPROFILE%\Documents\GitHub\eaglep3\Utilities\RefineRTDCRunTimes.py" --tripid 152-09 --locoid 4053 --swversion DE.1.0.9.0 --startMP 204:232990 --initTime 2017-06-09T10:53:28 --startdatetime 2017-06-09T10:57:09 --delay 1 --endMP 204:160 --enddatetime 2017-06-09T11:41:11 --enforcementcount 0 &gt;&gt;C:\Users\stu\Documents\GitHub\eaglep3-reporting\EC\2017-06-09-refined-times.txt</v>
      </c>
      <c r="AI64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{"issue":{"subject":"","project_id":79,"tracker_id":40,"status_id":1,"priority_id":2,"assigned_to_id":23,"start_date":"2017-06-09","description":"","custom_fields":[{"id":1,"name":"Subdivision","value":"EC"},{"id":4,"name":"Milepost","value":"0.016"},{"id":17,"name":"Train ID","value":"152-09"},{"id":16,"name":"Locomotive ID","value":"4053"},{"id":130,"name":"Impact","value":""},{"id":150,"name":"Time of Event (Mountain Time)","value":"11:41:11"},{"id":151,"name":"Denver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4053 --day 2017-06-09</v>
      </c>
      <c r="AN64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17:41:11"},{"id":29,"name":"Sharepoint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701</v>
      </c>
      <c r="B65" s="7">
        <v>4010</v>
      </c>
      <c r="C65" s="21" t="s">
        <v>204</v>
      </c>
      <c r="D65" s="21" t="s">
        <v>351</v>
      </c>
      <c r="E65" s="13">
        <v>42895.426458333335</v>
      </c>
      <c r="F65" s="13">
        <v>42895.42765046296</v>
      </c>
      <c r="G65" s="7">
        <v>1</v>
      </c>
      <c r="H65" s="21" t="s">
        <v>453</v>
      </c>
      <c r="I65" s="13">
        <v>42895.453009259261</v>
      </c>
      <c r="J65" s="7">
        <v>0</v>
      </c>
      <c r="K65" s="92" t="str">
        <f t="shared" si="0"/>
        <v>4009/4010</v>
      </c>
      <c r="L65" s="21" t="str">
        <f>VLOOKUP(A65,'Trips&amp;Operators'!$C$1:$G$99999,5,FALSE)</f>
        <v>STARKS ANGELINA</v>
      </c>
      <c r="M65" s="6">
        <f t="shared" si="1"/>
        <v>2.5358796301588882E-2</v>
      </c>
      <c r="N65" s="7">
        <f t="shared" si="26"/>
        <v>36.51666667428799</v>
      </c>
      <c r="O65" s="7"/>
      <c r="P65" s="7"/>
      <c r="Q65" s="22"/>
      <c r="R65" s="173"/>
      <c r="S65" s="176">
        <f t="shared" si="23"/>
        <v>1</v>
      </c>
      <c r="T65" s="202" t="str">
        <f t="shared" si="3"/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4"/>
        <v>https://d0f6bd738d7f1b3e5a7ca70fe4ff75f0.us-east-1.aws.found.io/app/kibana#/discover/Steve-Slow-Train-Analysis-(2080s-and-2083s)?_g=(refreshInterval:(display:Off,pause:!f,section:0,value:0),time:(from:'2017-06-09T09:14:06-0600',mode:absolute,to:'2017-06-09T11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5" s="204" t="str">
        <f t="shared" si="5"/>
        <v>N</v>
      </c>
      <c r="X65" s="204">
        <f t="shared" si="6"/>
        <v>1</v>
      </c>
      <c r="Y65" s="204">
        <f t="shared" si="24"/>
        <v>4.58E-2</v>
      </c>
      <c r="Z65" s="204">
        <f t="shared" si="25"/>
        <v>23.329699999999999</v>
      </c>
      <c r="AA65" s="204">
        <f t="shared" si="9"/>
        <v>23.283899999999999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0"/>
        <v>0153-09</v>
      </c>
      <c r="AE65" s="80" t="str">
        <f t="shared" si="11"/>
        <v>aws s3 cp s3://rtdc.mdm.uploadarchive.raw/RTDC4010/ "%USERPROFILE%\AppData\Local\Temp\OnboardLogs"\RTDC4010\2017-06-09 --exclude "*" --recursive --include "*20170609*" &amp; "%USERPROFILE%\Documents\GitHub\mrs-test-scripts\Headless Mode &amp; Sideloading\WalkAndUnGZ.bat" "%USERPROFILE%\AppData\Local\Temp\OnboardLogs"\RTDC4010\2017-06-09 &amp; aws s3 cp s3://rtdc.mdm.uploadarchive.raw/RTDC4010/ "%USERPROFILE%\AppData\Local\Temp\OnboardLogs"\RTDC4010\2017-06-10 --exclude "*" --recursive --include "*20170610*" &amp; "%USERPROFILE%\Documents\GitHub\mrs-test-scripts\Headless Mode &amp; Sideloading\WalkAndUnGZ.bat" "%USERPROFILE%\AppData\Local\Temp\OnboardLogs"\RTDC4010\2017-06-10</v>
      </c>
      <c r="AF65" s="77" t="str">
        <f t="shared" si="12"/>
        <v>"C:\Program Files (x86)\AstroGrep\AstroGrep.exe" /e /r /s /spath="%USERPROFILE%\AppData\Local\Temp\OnboardLogs" /stypes="app*4010*20170609*" /stext=" 16:.+((SYSTEM_STATE.+slice.+state.+changed )|(ment ac)|(multiple cpu faults)|(system.+state.+changed )|(\[timeout)|(PRM\|1\|D)|(kpr)|(kdp)|(train st.+moving)|(\|lc)|(penalty))"</v>
      </c>
      <c r="AG65" s="1" t="str">
        <f t="shared" si="13"/>
        <v>EC</v>
      </c>
      <c r="AH65" s="81" t="str">
        <f t="shared" si="19"/>
        <v>"%USERPROFILE%\Documents\GitHub\eaglep3\Utilities\RefineRTDCRunTimes.py" --tripid 153-09 --locoid 4010 --swversion DE.1.0.9.0 --startMP 204:458 --initTime 2017-06-09T10:14:06 --startdatetime 2017-06-09T10:15:49 --delay 1 --endMP 204:233297 --enddatetime 2017-06-09T10:52:20 --enforcementcount 0 &gt;&gt;C:\Users\stu\Documents\GitHub\eaglep3-reporting\EC\2017-06-09-refined-times.txt</v>
      </c>
      <c r="AI65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{"issue":{"subject":"","project_id":79,"tracker_id":40,"status_id":1,"priority_id":2,"assigned_to_id":23,"start_date":"2017-06-09","description":"","custom_fields":[{"id":1,"name":"Subdivision","value":"EC"},{"id":4,"name":"Milepost","value":"23.3297"},{"id":17,"name":"Train ID","value":"153-09"},{"id":16,"name":"Locomotive ID","value":"4010"},{"id":130,"name":"Impact","value":""},{"id":150,"name":"Time of Event (Mountain Time)","value":"10:52:20"},{"id":151,"name":"Denver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4010 --day 2017-06-09</v>
      </c>
      <c r="AN65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16:52:20"},{"id":29,"name":"Sharepoint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718</v>
      </c>
      <c r="B66" s="7">
        <v>4009</v>
      </c>
      <c r="C66" s="21" t="s">
        <v>204</v>
      </c>
      <c r="D66" s="21" t="s">
        <v>836</v>
      </c>
      <c r="E66" s="13">
        <v>42895.454895833333</v>
      </c>
      <c r="F66" s="13">
        <v>42895.466840277775</v>
      </c>
      <c r="G66" s="7">
        <v>1</v>
      </c>
      <c r="H66" s="21" t="s">
        <v>354</v>
      </c>
      <c r="I66" s="13">
        <v>42895.496041666665</v>
      </c>
      <c r="J66" s="7">
        <v>0</v>
      </c>
      <c r="K66" s="92" t="str">
        <f t="shared" si="0"/>
        <v>4009/4010</v>
      </c>
      <c r="L66" s="21" t="str">
        <f>VLOOKUP(A66,'Trips&amp;Operators'!$C$1:$G$99999,5,FALSE)</f>
        <v>GUZMAN DANNY</v>
      </c>
      <c r="M66" s="6">
        <f t="shared" si="1"/>
        <v>2.920138889021473E-2</v>
      </c>
      <c r="N66" s="7">
        <f t="shared" si="26"/>
        <v>42.050000001909211</v>
      </c>
      <c r="O66" s="7"/>
      <c r="P66" s="7"/>
      <c r="Q66" s="22"/>
      <c r="R66" s="173"/>
      <c r="S66" s="176">
        <f t="shared" si="23"/>
        <v>1</v>
      </c>
      <c r="T66" s="202" t="str">
        <f t="shared" si="3"/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4"/>
        <v>https://d0f6bd738d7f1b3e5a7ca70fe4ff75f0.us-east-1.aws.found.io/app/kibana#/discover/Steve-Slow-Train-Analysis-(2080s-and-2083s)?_g=(refreshInterval:(display:Off,pause:!f,section:0,value:0),time:(from:'2017-06-09T09:55:03-0600',mode:absolute,to:'2017-06-09T12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6" s="204" t="str">
        <f t="shared" si="5"/>
        <v>N</v>
      </c>
      <c r="X66" s="204">
        <f t="shared" si="6"/>
        <v>1</v>
      </c>
      <c r="Y66" s="204">
        <f t="shared" si="24"/>
        <v>23.299299999999999</v>
      </c>
      <c r="Z66" s="204">
        <f t="shared" si="25"/>
        <v>1.43E-2</v>
      </c>
      <c r="AA66" s="204">
        <f t="shared" si="9"/>
        <v>23.285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0"/>
        <v>0154-09</v>
      </c>
      <c r="AE66" s="80" t="str">
        <f t="shared" si="11"/>
        <v>aws s3 cp s3://rtdc.mdm.uploadarchive.raw/RTDC4009/ "%USERPROFILE%\AppData\Local\Temp\OnboardLogs"\RTDC4009\2017-06-09 --exclude "*" --recursive --include "*20170609*" &amp; "%USERPROFILE%\Documents\GitHub\mrs-test-scripts\Headless Mode &amp; Sideloading\WalkAndUnGZ.bat" "%USERPROFILE%\AppData\Local\Temp\OnboardLogs"\RTDC4009\2017-06-09 &amp; aws s3 cp s3://rtdc.mdm.uploadarchive.raw/RTDC4009/ "%USERPROFILE%\AppData\Local\Temp\OnboardLogs"\RTDC4009\2017-06-10 --exclude "*" --recursive --include "*20170610*" &amp; "%USERPROFILE%\Documents\GitHub\mrs-test-scripts\Headless Mode &amp; Sideloading\WalkAndUnGZ.bat" "%USERPROFILE%\AppData\Local\Temp\OnboardLogs"\RTDC4009\2017-06-10</v>
      </c>
      <c r="AF66" s="77" t="str">
        <f t="shared" si="12"/>
        <v>"C:\Program Files (x86)\AstroGrep\AstroGrep.exe" /e /r /s /spath="%USERPROFILE%\AppData\Local\Temp\OnboardLogs" /stypes="app*4009*20170609*" /stext=" 17:.+((SYSTEM_STATE.+slice.+state.+changed )|(ment ac)|(multiple cpu faults)|(system.+state.+changed )|(\[timeout)|(PRM\|1\|D)|(kpr)|(kdp)|(train st.+moving)|(\|lc)|(penalty))"</v>
      </c>
      <c r="AG66" s="1" t="str">
        <f t="shared" si="13"/>
        <v>EC</v>
      </c>
      <c r="AH66" s="81" t="str">
        <f t="shared" si="19"/>
        <v>"%USERPROFILE%\Documents\GitHub\eaglep3\Utilities\RefineRTDCRunTimes.py" --tripid 154-09 --locoid 4009 --swversion DE.1.0.9.0 --startMP 204:232993 --initTime 2017-06-09T10:55:03 --startdatetime 2017-06-09T11:12:15 --delay 1 --endMP 204:143 --enddatetime 2017-06-09T11:54:18 --enforcementcount 0 &gt;&gt;C:\Users\stu\Documents\GitHub\eaglep3-reporting\EC\2017-06-09-refined-times.txt</v>
      </c>
      <c r="AI66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{"issue":{"subject":"","project_id":79,"tracker_id":40,"status_id":1,"priority_id":2,"assigned_to_id":23,"start_date":"2017-06-09","description":"","custom_fields":[{"id":1,"name":"Subdivision","value":"EC"},{"id":4,"name":"Milepost","value":"0.0143"},{"id":17,"name":"Train ID","value":"154-09"},{"id":16,"name":"Locomotive ID","value":"4009"},{"id":130,"name":"Impact","value":""},{"id":150,"name":"Time of Event (Mountain Time)","value":"11:54:18"},{"id":151,"name":"Denver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4009 --day 2017-06-09</v>
      </c>
      <c r="AN66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17:54:18"},{"id":29,"name":"Sharepoint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709</v>
      </c>
      <c r="B67" s="7">
        <v>4012</v>
      </c>
      <c r="C67" s="21" t="s">
        <v>204</v>
      </c>
      <c r="D67" s="21" t="s">
        <v>201</v>
      </c>
      <c r="E67" s="13">
        <v>42895.434247685182</v>
      </c>
      <c r="F67" s="13">
        <v>42895.437708333331</v>
      </c>
      <c r="G67" s="7">
        <v>1</v>
      </c>
      <c r="H67" s="21" t="s">
        <v>839</v>
      </c>
      <c r="I67" s="13">
        <v>42895.465289351851</v>
      </c>
      <c r="J67" s="7">
        <v>0</v>
      </c>
      <c r="K67" s="92" t="str">
        <f t="shared" si="0"/>
        <v>4011/4012</v>
      </c>
      <c r="L67" s="21" t="str">
        <f>VLOOKUP(A67,'Trips&amp;Operators'!$C$1:$G$99999,5,FALSE)</f>
        <v>DAVIDSON DAVID</v>
      </c>
      <c r="M67" s="6">
        <f t="shared" si="1"/>
        <v>2.7581018519413192E-2</v>
      </c>
      <c r="N67" s="7">
        <f t="shared" si="26"/>
        <v>39.716666667954996</v>
      </c>
      <c r="O67" s="7"/>
      <c r="P67" s="7"/>
      <c r="Q67" s="22"/>
      <c r="R67" s="173"/>
      <c r="S67" s="176">
        <f t="shared" si="23"/>
        <v>1</v>
      </c>
      <c r="T67" s="202" t="str">
        <f t="shared" si="3"/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4"/>
        <v>https://d0f6bd738d7f1b3e5a7ca70fe4ff75f0.us-east-1.aws.found.io/app/kibana#/discover/Steve-Slow-Train-Analysis-(2080s-and-2083s)?_g=(refreshInterval:(display:Off,pause:!f,section:0,value:0),time:(from:'2017-06-09T09:25:19-0600',mode:absolute,to:'2017-06-09T12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7" s="204" t="str">
        <f t="shared" si="5"/>
        <v>N</v>
      </c>
      <c r="X67" s="204">
        <f t="shared" si="6"/>
        <v>1</v>
      </c>
      <c r="Y67" s="204">
        <f t="shared" si="24"/>
        <v>4.5999999999999999E-2</v>
      </c>
      <c r="Z67" s="204">
        <f t="shared" si="25"/>
        <v>23.330100000000002</v>
      </c>
      <c r="AA67" s="204">
        <f t="shared" si="9"/>
        <v>23.284100000000002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0"/>
        <v>0155-09</v>
      </c>
      <c r="AE67" s="80" t="str">
        <f t="shared" si="11"/>
        <v>aws s3 cp s3://rtdc.mdm.uploadarchive.raw/RTDC4012/ "%USERPROFILE%\AppData\Local\Temp\OnboardLogs"\RTDC4012\2017-06-09 --exclude "*" --recursive --include "*20170609*" &amp; "%USERPROFILE%\Documents\GitHub\mrs-test-scripts\Headless Mode &amp; Sideloading\WalkAndUnGZ.bat" "%USERPROFILE%\AppData\Local\Temp\OnboardLogs"\RTDC4012\2017-06-09 &amp; aws s3 cp s3://rtdc.mdm.uploadarchive.raw/RTDC4012/ "%USERPROFILE%\AppData\Local\Temp\OnboardLogs"\RTDC4012\2017-06-10 --exclude "*" --recursive --include "*20170610*" &amp; "%USERPROFILE%\Documents\GitHub\mrs-test-scripts\Headless Mode &amp; Sideloading\WalkAndUnGZ.bat" "%USERPROFILE%\AppData\Local\Temp\OnboardLogs"\RTDC4012\2017-06-10</v>
      </c>
      <c r="AF67" s="77" t="str">
        <f t="shared" si="12"/>
        <v>"C:\Program Files (x86)\AstroGrep\AstroGrep.exe" /e /r /s /spath="%USERPROFILE%\AppData\Local\Temp\OnboardLogs" /stypes="app*4012*20170609*" /stext=" 17:.+((SYSTEM_STATE.+slice.+state.+changed )|(ment ac)|(multiple cpu faults)|(system.+state.+changed )|(\[timeout)|(PRM\|1\|D)|(kpr)|(kdp)|(train st.+moving)|(\|lc)|(penalty))"</v>
      </c>
      <c r="AG67" s="1" t="str">
        <f t="shared" si="13"/>
        <v>EC</v>
      </c>
      <c r="AH67" s="81" t="str">
        <f t="shared" si="19"/>
        <v>"%USERPROFILE%\Documents\GitHub\eaglep3\Utilities\RefineRTDCRunTimes.py" --tripid 155-09 --locoid 4012 --swversion DE.1.0.9.0 --startMP 204:460 --initTime 2017-06-09T10:25:19 --startdatetime 2017-06-09T10:30:18 --delay 1 --endMP 204:233301 --enddatetime 2017-06-09T11:10:01 --enforcementcount 0 &gt;&gt;C:\Users\stu\Documents\GitHub\eaglep3-reporting\EC\2017-06-09-refined-times.txt</v>
      </c>
      <c r="AI67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{"issue":{"subject":"","project_id":79,"tracker_id":40,"status_id":1,"priority_id":2,"assigned_to_id":23,"start_date":"2017-06-09","description":"","custom_fields":[{"id":1,"name":"Subdivision","value":"EC"},{"id":4,"name":"Milepost","value":"23.3301"},{"id":17,"name":"Train ID","value":"155-09"},{"id":16,"name":"Locomotive ID","value":"4012"},{"id":130,"name":"Impact","value":""},{"id":150,"name":"Time of Event (Mountain Time)","value":"11:10:01"},{"id":151,"name":"Denver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4012 --day 2017-06-09</v>
      </c>
      <c r="AN67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17:10:01"},{"id":29,"name":"Sharepoint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724</v>
      </c>
      <c r="B68" s="7">
        <v>4011</v>
      </c>
      <c r="C68" s="21" t="s">
        <v>204</v>
      </c>
      <c r="D68" s="21" t="s">
        <v>403</v>
      </c>
      <c r="E68" s="13">
        <v>42895.466990740744</v>
      </c>
      <c r="F68" s="13">
        <v>42895.477337962962</v>
      </c>
      <c r="G68" s="7">
        <v>1</v>
      </c>
      <c r="H68" s="21" t="s">
        <v>457</v>
      </c>
      <c r="I68" s="13">
        <v>42895.508032407408</v>
      </c>
      <c r="J68" s="7">
        <v>0</v>
      </c>
      <c r="K68" s="92" t="str">
        <f t="shared" si="0"/>
        <v>4011/4012</v>
      </c>
      <c r="L68" s="21" t="str">
        <f>VLOOKUP(A68,'Trips&amp;Operators'!$C$1:$G$99999,5,FALSE)</f>
        <v>DAVIDSON DAVID</v>
      </c>
      <c r="M68" s="6">
        <f t="shared" si="1"/>
        <v>3.0694444445543922E-2</v>
      </c>
      <c r="N68" s="7">
        <f t="shared" si="26"/>
        <v>44.200000001583248</v>
      </c>
      <c r="O68" s="7"/>
      <c r="P68" s="7"/>
      <c r="Q68" s="22"/>
      <c r="R68" s="173"/>
      <c r="S68" s="176">
        <f t="shared" si="23"/>
        <v>1</v>
      </c>
      <c r="T68" s="202" t="str">
        <f t="shared" si="3"/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 t="shared" si="4"/>
        <v>https://d0f6bd738d7f1b3e5a7ca70fe4ff75f0.us-east-1.aws.found.io/app/kibana#/discover/Steve-Slow-Train-Analysis-(2080s-and-2083s)?_g=(refreshInterval:(display:Off,pause:!f,section:0,value:0),time:(from:'2017-06-09T10:12:28-0600',mode:absolute,to:'2017-06-09T13:11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204" t="str">
        <f t="shared" si="5"/>
        <v>N</v>
      </c>
      <c r="X68" s="204">
        <f t="shared" si="6"/>
        <v>1</v>
      </c>
      <c r="Y68" s="204">
        <f t="shared" si="24"/>
        <v>23.298200000000001</v>
      </c>
      <c r="Z68" s="204">
        <f t="shared" si="25"/>
        <v>1.5599999999999999E-2</v>
      </c>
      <c r="AA68" s="204">
        <f t="shared" si="9"/>
        <v>23.282600000000002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0"/>
        <v>0156-09</v>
      </c>
      <c r="AE68" s="80" t="str">
        <f t="shared" si="11"/>
        <v>aws s3 cp s3://rtdc.mdm.uploadarchive.raw/RTDC4011/ "%USERPROFILE%\AppData\Local\Temp\OnboardLogs"\RTDC4011\2017-06-09 --exclude "*" --recursive --include "*20170609*" &amp; "%USERPROFILE%\Documents\GitHub\mrs-test-scripts\Headless Mode &amp; Sideloading\WalkAndUnGZ.bat" "%USERPROFILE%\AppData\Local\Temp\OnboardLogs"\RTDC4011\2017-06-09 &amp; aws s3 cp s3://rtdc.mdm.uploadarchive.raw/RTDC4011/ "%USERPROFILE%\AppData\Local\Temp\OnboardLogs"\RTDC4011\2017-06-10 --exclude "*" --recursive --include "*20170610*" &amp; "%USERPROFILE%\Documents\GitHub\mrs-test-scripts\Headless Mode &amp; Sideloading\WalkAndUnGZ.bat" "%USERPROFILE%\AppData\Local\Temp\OnboardLogs"\RTDC4011\2017-06-10</v>
      </c>
      <c r="AF68" s="77" t="str">
        <f t="shared" si="12"/>
        <v>"C:\Program Files (x86)\AstroGrep\AstroGrep.exe" /e /r /s /spath="%USERPROFILE%\AppData\Local\Temp\OnboardLogs" /stypes="app*4011*20170609*" /stext=" 18:.+((SYSTEM_STATE.+slice.+state.+changed )|(ment ac)|(multiple cpu faults)|(system.+state.+changed )|(\[timeout)|(PRM\|1\|D)|(kpr)|(kdp)|(train st.+moving)|(\|lc)|(penalty))"</v>
      </c>
      <c r="AG68" s="1" t="str">
        <f t="shared" si="13"/>
        <v>EC</v>
      </c>
      <c r="AH68" s="81" t="str">
        <f t="shared" si="19"/>
        <v>"%USERPROFILE%\Documents\GitHub\eaglep3\Utilities\RefineRTDCRunTimes.py" --tripid 156-09 --locoid 4011 --swversion DE.1.0.9.0 --startMP 204:232982 --initTime 2017-06-09T11:12:28 --startdatetime 2017-06-09T11:27:22 --delay 1 --endMP 204:156 --enddatetime 2017-06-09T12:11:34 --enforcementcount 0 &gt;&gt;C:\Users\stu\Documents\GitHub\eaglep3-reporting\EC\2017-06-09-refined-times.txt</v>
      </c>
      <c r="AI68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{"issue":{"subject":"","project_id":79,"tracker_id":40,"status_id":1,"priority_id":2,"assigned_to_id":23,"start_date":"2017-06-09","description":"","custom_fields":[{"id":1,"name":"Subdivision","value":"EC"},{"id":4,"name":"Milepost","value":"0.0156"},{"id":17,"name":"Train ID","value":"156-09"},{"id":16,"name":"Locomotive ID","value":"4011"},{"id":130,"name":"Impact","value":""},{"id":150,"name":"Time of Event (Mountain Time)","value":"12:11:34"},{"id":151,"name":"Denver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4011 --day 2017-06-09</v>
      </c>
      <c r="AN68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18:11:34"},{"id":29,"name":"Sharepoint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600</v>
      </c>
      <c r="B69" s="7">
        <v>4046</v>
      </c>
      <c r="C69" s="21" t="s">
        <v>204</v>
      </c>
      <c r="D69" s="21" t="s">
        <v>356</v>
      </c>
      <c r="E69" s="13">
        <v>42895.445914351854</v>
      </c>
      <c r="F69" s="13">
        <v>42895.449317129627</v>
      </c>
      <c r="G69" s="7">
        <v>2</v>
      </c>
      <c r="H69" s="21" t="s">
        <v>398</v>
      </c>
      <c r="I69" s="13">
        <v>42895.474710648145</v>
      </c>
      <c r="J69" s="7">
        <v>0</v>
      </c>
      <c r="K69" s="92" t="str">
        <f t="shared" si="0"/>
        <v>4045/4046</v>
      </c>
      <c r="L69" s="21" t="str">
        <f>VLOOKUP(A69,'Trips&amp;Operators'!$C$1:$G$99999,5,FALSE)</f>
        <v>MAYBERRY BILL</v>
      </c>
      <c r="M69" s="6">
        <f t="shared" si="1"/>
        <v>2.5393518517375924E-2</v>
      </c>
      <c r="N69" s="7">
        <f t="shared" si="26"/>
        <v>36.56666666502133</v>
      </c>
      <c r="O69" s="7"/>
      <c r="P69" s="7"/>
      <c r="Q69" s="22"/>
      <c r="R69" s="173"/>
      <c r="S69" s="176">
        <f t="shared" si="23"/>
        <v>1</v>
      </c>
      <c r="T69" s="202" t="str">
        <f t="shared" si="3"/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4"/>
        <v>https://d0f6bd738d7f1b3e5a7ca70fe4ff75f0.us-east-1.aws.found.io/app/kibana#/discover/Steve-Slow-Train-Analysis-(2080s-and-2083s)?_g=(refreshInterval:(display:Off,pause:!f,section:0,value:0),time:(from:'2017-06-09T09:42:07-0600',mode:absolute,to:'2017-06-09T12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9" s="204" t="str">
        <f t="shared" si="5"/>
        <v>N</v>
      </c>
      <c r="X69" s="204">
        <f t="shared" si="6"/>
        <v>1</v>
      </c>
      <c r="Y69" s="204">
        <f t="shared" si="24"/>
        <v>4.5100000000000001E-2</v>
      </c>
      <c r="Z69" s="204">
        <f t="shared" si="25"/>
        <v>23.3293</v>
      </c>
      <c r="AA69" s="204">
        <f t="shared" si="9"/>
        <v>23.284199999999998</v>
      </c>
      <c r="AB69" s="57" t="str">
        <f>VLOOKUP(A69,Enforcements!$C$7:$K$13,8,0)</f>
        <v>Bulletin (2)</v>
      </c>
      <c r="AC69" s="53" t="str">
        <f>VLOOKUP(A69,Enforcements!$C$7:$E$13,3,0)</f>
        <v>GRADE CROSSING</v>
      </c>
      <c r="AD69" s="54" t="str">
        <f t="shared" si="10"/>
        <v>0157-09</v>
      </c>
      <c r="AE69" s="80" t="str">
        <f t="shared" si="11"/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AF69" s="77" t="str">
        <f t="shared" si="12"/>
        <v>"C:\Program Files (x86)\AstroGrep\AstroGrep.exe" /e /r /s /spath="%USERPROFILE%\AppData\Local\Temp\OnboardLogs" /stypes="app*4046*20170609*" /stext=" 17:.+((SYSTEM_STATE.+slice.+state.+changed )|(ment ac)|(multiple cpu faults)|(system.+state.+changed )|(\[timeout)|(PRM\|1\|D)|(kpr)|(kdp)|(train st.+moving)|(\|lc)|(penalty))"</v>
      </c>
      <c r="AG69" s="1" t="str">
        <f t="shared" si="13"/>
        <v>EC</v>
      </c>
      <c r="AH69" s="81" t="str">
        <f t="shared" si="19"/>
        <v>"%USERPROFILE%\Documents\GitHub\eaglep3\Utilities\RefineRTDCRunTimes.py" --tripid 157-09 --locoid 4046 --swversion DE.1.0.9.0 --startMP 204:451 --initTime 2017-06-09T10:42:07 --startdatetime 2017-06-09T10:47:01 --delay 2 --endMP 204:233293 --enddatetime 2017-06-09T11:23:35 --enforcementcount 0 &gt;&gt;C:\Users\stu\Documents\GitHub\eaglep3-reporting\EC\2017-06-09-refined-times.txt</v>
      </c>
      <c r="AI69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{"issue":{"subject":"","project_id":79,"tracker_id":40,"status_id":1,"priority_id":2,"assigned_to_id":23,"start_date":"2017-06-09","description":"","custom_fields":[{"id":1,"name":"Subdivision","value":"EC"},{"id":4,"name":"Milepost","value":"23.3293"},{"id":17,"name":"Train ID","value":"157-09"},{"id":16,"name":"Locomotive ID","value":"4046"},{"id":130,"name":"Impact","value":""},{"id":150,"name":"Time of Event (Mountain Time)","value":"11:23:35"},{"id":151,"name":"Denver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4046 --day 2017-06-09</v>
      </c>
      <c r="AN69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17:23:35"},{"id":29,"name":"Sharepoint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604</v>
      </c>
      <c r="B70" s="7">
        <v>4045</v>
      </c>
      <c r="C70" s="21" t="s">
        <v>204</v>
      </c>
      <c r="D70" s="21" t="s">
        <v>557</v>
      </c>
      <c r="E70" s="13">
        <v>42895.479108796295</v>
      </c>
      <c r="F70" s="13">
        <v>42895.487824074073</v>
      </c>
      <c r="G70" s="7">
        <v>3</v>
      </c>
      <c r="H70" s="21" t="s">
        <v>352</v>
      </c>
      <c r="I70" s="13">
        <v>42895.516122685185</v>
      </c>
      <c r="J70" s="7">
        <v>0</v>
      </c>
      <c r="K70" s="92" t="str">
        <f t="shared" si="0"/>
        <v>4045/4046</v>
      </c>
      <c r="L70" s="21" t="str">
        <f>VLOOKUP(A70,'Trips&amp;Operators'!$C$1:$G$99999,5,FALSE)</f>
        <v>MAYBERRY BILL</v>
      </c>
      <c r="M70" s="6">
        <f t="shared" si="1"/>
        <v>2.8298611112404615E-2</v>
      </c>
      <c r="N70" s="7">
        <f t="shared" si="26"/>
        <v>40.750000001862645</v>
      </c>
      <c r="O70" s="7"/>
      <c r="P70" s="7"/>
      <c r="Q70" s="22"/>
      <c r="R70" s="173"/>
      <c r="S70" s="176">
        <f t="shared" si="23"/>
        <v>1</v>
      </c>
      <c r="T70" s="202" t="str">
        <f t="shared" si="3"/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4"/>
        <v>https://d0f6bd738d7f1b3e5a7ca70fe4ff75f0.us-east-1.aws.found.io/app/kibana#/discover/Steve-Slow-Train-Analysis-(2080s-and-2083s)?_g=(refreshInterval:(display:Off,pause:!f,section:0,value:0),time:(from:'2017-06-09T10:29:55-0600',mode:absolute,to:'2017-06-09T13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0" s="204" t="str">
        <f t="shared" si="5"/>
        <v>N</v>
      </c>
      <c r="X70" s="204">
        <f t="shared" si="6"/>
        <v>1</v>
      </c>
      <c r="Y70" s="204">
        <f t="shared" si="24"/>
        <v>23.3002</v>
      </c>
      <c r="Z70" s="204">
        <f t="shared" si="25"/>
        <v>1.4999999999999999E-2</v>
      </c>
      <c r="AA70" s="204">
        <f t="shared" si="9"/>
        <v>23.2852</v>
      </c>
      <c r="AB70" s="57" t="str">
        <f>VLOOKUP(A70,Enforcements!$C$7:$K$13,8,0)</f>
        <v>Bulletin (2)</v>
      </c>
      <c r="AC70" s="53" t="str">
        <f>VLOOKUP(A70,Enforcements!$C$7:$E$13,3,0)</f>
        <v>GRADE CROSSING</v>
      </c>
      <c r="AD70" s="54" t="str">
        <f t="shared" si="10"/>
        <v>0158-09</v>
      </c>
      <c r="AE70" s="80" t="str">
        <f t="shared" si="11"/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AF70" s="77" t="str">
        <f t="shared" si="12"/>
        <v>"C:\Program Files (x86)\AstroGrep\AstroGrep.exe" /e /r /s /spath="%USERPROFILE%\AppData\Local\Temp\OnboardLogs" /stypes="app*4045*20170609*" /stext=" 18:.+((SYSTEM_STATE.+slice.+state.+changed )|(ment ac)|(multiple cpu faults)|(system.+state.+changed )|(\[timeout)|(PRM\|1\|D)|(kpr)|(kdp)|(train st.+moving)|(\|lc)|(penalty))"</v>
      </c>
      <c r="AG70" s="1" t="str">
        <f t="shared" si="13"/>
        <v>EC</v>
      </c>
      <c r="AH70" s="81" t="str">
        <f t="shared" si="19"/>
        <v>"%USERPROFILE%\Documents\GitHub\eaglep3\Utilities\RefineRTDCRunTimes.py" --tripid 158-09 --locoid 4045 --swversion DE.1.0.9.0 --startMP 204:233002 --initTime 2017-06-09T11:29:55 --startdatetime 2017-06-09T11:42:28 --delay 3 --endMP 204:150 --enddatetime 2017-06-09T12:23:13 --enforcementcount 0 &gt;&gt;C:\Users\stu\Documents\GitHub\eaglep3-reporting\EC\2017-06-09-refined-times.txt</v>
      </c>
      <c r="AI70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{"issue":{"subject":"","project_id":79,"tracker_id":40,"status_id":1,"priority_id":2,"assigned_to_id":23,"start_date":"2017-06-09","description":"","custom_fields":[{"id":1,"name":"Subdivision","value":"EC"},{"id":4,"name":"Milepost","value":"0.015"},{"id":17,"name":"Train ID","value":"158-09"},{"id":16,"name":"Locomotive ID","value":"4045"},{"id":130,"name":"Impact","value":""},{"id":150,"name":"Time of Event (Mountain Time)","value":"12:23:13"},{"id":151,"name":"Denver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4045 --day 2017-06-09</v>
      </c>
      <c r="AN70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18:23:13"},{"id":29,"name":"Sharepoint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716</v>
      </c>
      <c r="B71" s="7">
        <v>4020</v>
      </c>
      <c r="C71" s="21" t="s">
        <v>204</v>
      </c>
      <c r="D71" s="21" t="s">
        <v>846</v>
      </c>
      <c r="E71" s="13">
        <v>42895.453298611108</v>
      </c>
      <c r="F71" s="13">
        <v>42895.458668981482</v>
      </c>
      <c r="G71" s="7">
        <v>1</v>
      </c>
      <c r="H71" s="21" t="s">
        <v>453</v>
      </c>
      <c r="I71" s="13">
        <v>42895.487199074072</v>
      </c>
      <c r="J71" s="7">
        <v>0</v>
      </c>
      <c r="K71" s="92" t="str">
        <f t="shared" si="0"/>
        <v>4019/4020</v>
      </c>
      <c r="L71" s="21" t="str">
        <f>VLOOKUP(A71,'Trips&amp;Operators'!$C$1:$G$99999,5,FALSE)</f>
        <v>CHANDLER KELVIN</v>
      </c>
      <c r="M71" s="6">
        <f t="shared" si="1"/>
        <v>2.8530092589790002E-2</v>
      </c>
      <c r="N71" s="7">
        <f t="shared" si="26"/>
        <v>41.083333329297602</v>
      </c>
      <c r="O71" s="7"/>
      <c r="P71" s="7"/>
      <c r="Q71" s="22"/>
      <c r="R71" s="173"/>
      <c r="S71" s="176">
        <f t="shared" si="23"/>
        <v>1</v>
      </c>
      <c r="T71" s="202" t="str">
        <f t="shared" si="3"/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4"/>
        <v>https://d0f6bd738d7f1b3e5a7ca70fe4ff75f0.us-east-1.aws.found.io/app/kibana#/discover/Steve-Slow-Train-Analysis-(2080s-and-2083s)?_g=(refreshInterval:(display:Off,pause:!f,section:0,value:0),time:(from:'2017-06-09T09:52:45-0600',mode:absolute,to:'2017-06-09T12:41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204" t="str">
        <f t="shared" si="5"/>
        <v>N</v>
      </c>
      <c r="X71" s="204">
        <f t="shared" si="6"/>
        <v>1</v>
      </c>
      <c r="Y71" s="204">
        <f t="shared" si="24"/>
        <v>0.1484</v>
      </c>
      <c r="Z71" s="204">
        <f t="shared" si="25"/>
        <v>23.329699999999999</v>
      </c>
      <c r="AA71" s="204">
        <f t="shared" si="9"/>
        <v>23.1813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0"/>
        <v>0159-09</v>
      </c>
      <c r="AE71" s="80" t="str">
        <f t="shared" si="11"/>
        <v>aws s3 cp s3://rtdc.mdm.uploadarchive.raw/RTDC4020/ "%USERPROFILE%\AppData\Local\Temp\OnboardLogs"\RTDC4020\2017-06-09 --exclude "*" --recursive --include "*20170609*" &amp; "%USERPROFILE%\Documents\GitHub\mrs-test-scripts\Headless Mode &amp; Sideloading\WalkAndUnGZ.bat" "%USERPROFILE%\AppData\Local\Temp\OnboardLogs"\RTDC4020\2017-06-09 &amp; aws s3 cp s3://rtdc.mdm.uploadarchive.raw/RTDC4020/ "%USERPROFILE%\AppData\Local\Temp\OnboardLogs"\RTDC4020\2017-06-10 --exclude "*" --recursive --include "*20170610*" &amp; "%USERPROFILE%\Documents\GitHub\mrs-test-scripts\Headless Mode &amp; Sideloading\WalkAndUnGZ.bat" "%USERPROFILE%\AppData\Local\Temp\OnboardLogs"\RTDC4020\2017-06-10</v>
      </c>
      <c r="AF71" s="77" t="str">
        <f t="shared" si="12"/>
        <v>"C:\Program Files (x86)\AstroGrep\AstroGrep.exe" /e /r /s /spath="%USERPROFILE%\AppData\Local\Temp\OnboardLogs" /stypes="app*4020*20170609*" /stext=" 17:.+((SYSTEM_STATE.+slice.+state.+changed )|(ment ac)|(multiple cpu faults)|(system.+state.+changed )|(\[timeout)|(PRM\|1\|D)|(kpr)|(kdp)|(train st.+moving)|(\|lc)|(penalty))"</v>
      </c>
      <c r="AG71" s="1" t="str">
        <f t="shared" si="13"/>
        <v>EC</v>
      </c>
      <c r="AH71" s="81" t="str">
        <f t="shared" si="19"/>
        <v>"%USERPROFILE%\Documents\GitHub\eaglep3\Utilities\RefineRTDCRunTimes.py" --tripid 159-09 --locoid 4020 --swversion DE.1.0.9.0 --startMP 204:1484 --initTime 2017-06-09T10:52:45 --startdatetime 2017-06-09T11:00:29 --delay 1 --endMP 204:233297 --enddatetime 2017-06-09T11:41:34 --enforcementcount 0 &gt;&gt;C:\Users\stu\Documents\GitHub\eaglep3-reporting\EC\2017-06-09-refined-times.txt</v>
      </c>
      <c r="AI71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{"issue":{"subject":"","project_id":79,"tracker_id":40,"status_id":1,"priority_id":2,"assigned_to_id":23,"start_date":"2017-06-09","description":"","custom_fields":[{"id":1,"name":"Subdivision","value":"EC"},{"id":4,"name":"Milepost","value":"23.3297"},{"id":17,"name":"Train ID","value":"159-09"},{"id":16,"name":"Locomotive ID","value":"4020"},{"id":130,"name":"Impact","value":""},{"id":150,"name":"Time of Event (Mountain Time)","value":"11:41:34"},{"id":151,"name":"Denver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4020 --day 2017-06-09</v>
      </c>
      <c r="AN71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17:41:34"},{"id":29,"name":"Sharepoint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728</v>
      </c>
      <c r="B72" s="7">
        <v>4019</v>
      </c>
      <c r="C72" s="21" t="s">
        <v>204</v>
      </c>
      <c r="D72" s="21" t="s">
        <v>847</v>
      </c>
      <c r="E72" s="13">
        <v>42895.496168981481</v>
      </c>
      <c r="F72" s="13">
        <v>42895.498206018521</v>
      </c>
      <c r="G72" s="7">
        <v>1</v>
      </c>
      <c r="H72" s="21" t="s">
        <v>195</v>
      </c>
      <c r="I72" s="13">
        <v>42895.528171296297</v>
      </c>
      <c r="J72" s="7">
        <v>0</v>
      </c>
      <c r="K72" s="92" t="str">
        <f t="shared" si="0"/>
        <v>4019/4020</v>
      </c>
      <c r="L72" s="21" t="str">
        <f>VLOOKUP(A72,'Trips&amp;Operators'!$C$1:$G$99999,5,FALSE)</f>
        <v>CHANDLER KELVIN</v>
      </c>
      <c r="M72" s="6">
        <f t="shared" si="1"/>
        <v>2.9965277775772847E-2</v>
      </c>
      <c r="N72" s="7">
        <f t="shared" si="26"/>
        <v>43.1499999971129</v>
      </c>
      <c r="O72" s="7"/>
      <c r="P72" s="7"/>
      <c r="Q72" s="22"/>
      <c r="R72" s="173"/>
      <c r="S72" s="176">
        <f t="shared" si="23"/>
        <v>1</v>
      </c>
      <c r="T72" s="202" t="str">
        <f t="shared" si="3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4"/>
        <v>https://d0f6bd738d7f1b3e5a7ca70fe4ff75f0.us-east-1.aws.found.io/app/kibana#/discover/Steve-Slow-Train-Analysis-(2080s-and-2083s)?_g=(refreshInterval:(display:Off,pause:!f,section:0,value:0),time:(from:'2017-06-09T10:54:29-0600',mode:absolute,to:'2017-06-09T13:40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204" t="str">
        <f t="shared" si="5"/>
        <v>N</v>
      </c>
      <c r="X72" s="204">
        <f t="shared" si="6"/>
        <v>1</v>
      </c>
      <c r="Y72" s="204">
        <f t="shared" si="24"/>
        <v>23.299199999999999</v>
      </c>
      <c r="Z72" s="204">
        <f t="shared" si="25"/>
        <v>1.52E-2</v>
      </c>
      <c r="AA72" s="204">
        <f t="shared" si="9"/>
        <v>23.283999999999999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0"/>
        <v>0160-09</v>
      </c>
      <c r="AE72" s="80" t="str">
        <f t="shared" si="11"/>
        <v>aws s3 cp s3://rtdc.mdm.uploadarchive.raw/RTDC4019/ "%USERPROFILE%\AppData\Local\Temp\OnboardLogs"\RTDC4019\2017-06-09 --exclude "*" --recursive --include "*20170609*" &amp; "%USERPROFILE%\Documents\GitHub\mrs-test-scripts\Headless Mode &amp; Sideloading\WalkAndUnGZ.bat" "%USERPROFILE%\AppData\Local\Temp\OnboardLogs"\RTDC4019\2017-06-09 &amp; aws s3 cp s3://rtdc.mdm.uploadarchive.raw/RTDC4019/ "%USERPROFILE%\AppData\Local\Temp\OnboardLogs"\RTDC4019\2017-06-10 --exclude "*" --recursive --include "*20170610*" &amp; "%USERPROFILE%\Documents\GitHub\mrs-test-scripts\Headless Mode &amp; Sideloading\WalkAndUnGZ.bat" "%USERPROFILE%\AppData\Local\Temp\OnboardLogs"\RTDC4019\2017-06-10</v>
      </c>
      <c r="AF72" s="77" t="str">
        <f t="shared" si="12"/>
        <v>"C:\Program Files (x86)\AstroGrep\AstroGrep.exe" /e /r /s /spath="%USERPROFILE%\AppData\Local\Temp\OnboardLogs" /stypes="app*4019*20170609*" /stext=" 18:.+((SYSTEM_STATE.+slice.+state.+changed )|(ment ac)|(multiple cpu faults)|(system.+state.+changed )|(\[timeout)|(PRM\|1\|D)|(kpr)|(kdp)|(train st.+moving)|(\|lc)|(penalty))"</v>
      </c>
      <c r="AG72" s="1" t="str">
        <f t="shared" si="13"/>
        <v>EC</v>
      </c>
      <c r="AH72" s="81" t="str">
        <f t="shared" si="19"/>
        <v>"%USERPROFILE%\Documents\GitHub\eaglep3\Utilities\RefineRTDCRunTimes.py" --tripid 160-09 --locoid 4019 --swversion DE.1.0.9.0 --startMP 204:232992 --initTime 2017-06-09T11:54:29 --startdatetime 2017-06-09T11:57:25 --delay 1 --endMP 204:152 --enddatetime 2017-06-09T12:40:34 --enforcementcount 0 &gt;&gt;C:\Users\stu\Documents\GitHub\eaglep3-reporting\EC\2017-06-09-refined-times.txt</v>
      </c>
      <c r="AI72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{"issue":{"subject":"","project_id":79,"tracker_id":40,"status_id":1,"priority_id":2,"assigned_to_id":23,"start_date":"2017-06-09","description":"","custom_fields":[{"id":1,"name":"Subdivision","value":"EC"},{"id":4,"name":"Milepost","value":"0.0152"},{"id":17,"name":"Train ID","value":"160-09"},{"id":16,"name":"Locomotive ID","value":"4019"},{"id":130,"name":"Impact","value":""},{"id":150,"name":"Time of Event (Mountain Time)","value":"12:40:34"},{"id":151,"name":"Denver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4019 --day 2017-06-09</v>
      </c>
      <c r="AN72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18:40:34"},{"id":29,"name":"Sharepoint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721</v>
      </c>
      <c r="B73" s="7">
        <v>4030</v>
      </c>
      <c r="C73" s="21" t="s">
        <v>204</v>
      </c>
      <c r="D73" s="21" t="s">
        <v>200</v>
      </c>
      <c r="E73" s="13">
        <v>42895.466736111113</v>
      </c>
      <c r="F73" s="13">
        <v>42895.469490740739</v>
      </c>
      <c r="G73" s="7">
        <v>1</v>
      </c>
      <c r="H73" s="21" t="s">
        <v>848</v>
      </c>
      <c r="I73" s="13">
        <v>42895.496087962965</v>
      </c>
      <c r="J73" s="7">
        <v>0</v>
      </c>
      <c r="K73" s="92" t="str">
        <f t="shared" si="0"/>
        <v>4029/4030</v>
      </c>
      <c r="L73" s="21" t="str">
        <f>VLOOKUP(A73,'Trips&amp;Operators'!$C$1:$G$99999,5,FALSE)</f>
        <v>BRANDNER MELINDA</v>
      </c>
      <c r="M73" s="6">
        <f t="shared" si="1"/>
        <v>2.6597222225973383E-2</v>
      </c>
      <c r="N73" s="7">
        <f t="shared" si="26"/>
        <v>38.300000005401671</v>
      </c>
      <c r="O73" s="7"/>
      <c r="P73" s="7"/>
      <c r="Q73" s="22"/>
      <c r="R73" s="173"/>
      <c r="S73" s="176">
        <f t="shared" si="23"/>
        <v>1</v>
      </c>
      <c r="T73" s="202" t="str">
        <f t="shared" si="3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4"/>
        <v>https://d0f6bd738d7f1b3e5a7ca70fe4ff75f0.us-east-1.aws.found.io/app/kibana#/discover/Steve-Slow-Train-Analysis-(2080s-and-2083s)?_g=(refreshInterval:(display:Off,pause:!f,section:0,value:0),time:(from:'2017-06-09T10:12:06-0600',mode:absolute,to:'2017-06-09T12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3" s="204" t="str">
        <f t="shared" si="5"/>
        <v>N</v>
      </c>
      <c r="X73" s="204">
        <f t="shared" si="6"/>
        <v>1</v>
      </c>
      <c r="Y73" s="204">
        <f t="shared" si="24"/>
        <v>4.5699999999999998E-2</v>
      </c>
      <c r="Z73" s="204">
        <f t="shared" si="25"/>
        <v>23.344799999999999</v>
      </c>
      <c r="AA73" s="204">
        <f t="shared" si="9"/>
        <v>23.299099999999999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0"/>
        <v>0161-09</v>
      </c>
      <c r="AE73" s="80" t="str">
        <f t="shared" si="11"/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AF73" s="77" t="str">
        <f t="shared" si="12"/>
        <v>"C:\Program Files (x86)\AstroGrep\AstroGrep.exe" /e /r /s /spath="%USERPROFILE%\AppData\Local\Temp\OnboardLogs" /stypes="app*4030*20170609*" /stext=" 17:.+((SYSTEM_STATE.+slice.+state.+changed )|(ment ac)|(multiple cpu faults)|(system.+state.+changed )|(\[timeout)|(PRM\|1\|D)|(kpr)|(kdp)|(train st.+moving)|(\|lc)|(penalty))"</v>
      </c>
      <c r="AG73" s="1" t="str">
        <f t="shared" si="13"/>
        <v>EC</v>
      </c>
      <c r="AH73" s="81" t="str">
        <f t="shared" si="19"/>
        <v>"%USERPROFILE%\Documents\GitHub\eaglep3\Utilities\RefineRTDCRunTimes.py" --tripid 161-09 --locoid 4030 --swversion DE.1.0.9.0 --startMP 204:457 --initTime 2017-06-09T11:12:06 --startdatetime 2017-06-09T11:16:04 --delay 1 --endMP 204:233448 --enddatetime 2017-06-09T11:54:22 --enforcementcount 0 &gt;&gt;C:\Users\stu\Documents\GitHub\eaglep3-reporting\EC\2017-06-09-refined-times.txt</v>
      </c>
      <c r="AI73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{"issue":{"subject":"","project_id":79,"tracker_id":40,"status_id":1,"priority_id":2,"assigned_to_id":23,"start_date":"2017-06-09","description":"","custom_fields":[{"id":1,"name":"Subdivision","value":"EC"},{"id":4,"name":"Milepost","value":"23.3448"},{"id":17,"name":"Train ID","value":"161-09"},{"id":16,"name":"Locomotive ID","value":"4030"},{"id":130,"name":"Impact","value":""},{"id":150,"name":"Time of Event (Mountain Time)","value":"11:54:22"},{"id":151,"name":"Denver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4030 --day 2017-06-09</v>
      </c>
      <c r="AN73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17:54:22"},{"id":29,"name":"Sharepoint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731</v>
      </c>
      <c r="B74" s="7">
        <v>4029</v>
      </c>
      <c r="C74" s="21" t="s">
        <v>204</v>
      </c>
      <c r="D74" s="21" t="s">
        <v>849</v>
      </c>
      <c r="E74" s="13">
        <v>42895.504571759258</v>
      </c>
      <c r="F74" s="13">
        <v>42895.508553240739</v>
      </c>
      <c r="G74" s="7">
        <v>1</v>
      </c>
      <c r="H74" s="21" t="s">
        <v>431</v>
      </c>
      <c r="I74" s="13">
        <v>42895.538148148145</v>
      </c>
      <c r="J74" s="7">
        <v>0</v>
      </c>
      <c r="K74" s="92" t="str">
        <f t="shared" si="0"/>
        <v>4029/4030</v>
      </c>
      <c r="L74" s="21" t="str">
        <f>VLOOKUP(A74,'Trips&amp;Operators'!$C$1:$G$99999,5,FALSE)</f>
        <v>BRANDNER MELINDA</v>
      </c>
      <c r="M74" s="6">
        <f t="shared" si="1"/>
        <v>2.9594907406135462E-2</v>
      </c>
      <c r="N74" s="7">
        <f t="shared" si="26"/>
        <v>42.616666664835066</v>
      </c>
      <c r="O74" s="7"/>
      <c r="P74" s="7"/>
      <c r="Q74" s="22"/>
      <c r="R74" s="173"/>
      <c r="S74" s="176">
        <f t="shared" si="23"/>
        <v>1</v>
      </c>
      <c r="T74" s="202" t="str">
        <f t="shared" si="3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4"/>
        <v>https://d0f6bd738d7f1b3e5a7ca70fe4ff75f0.us-east-1.aws.found.io/app/kibana#/discover/Steve-Slow-Train-Analysis-(2080s-and-2083s)?_g=(refreshInterval:(display:Off,pause:!f,section:0,value:0),time:(from:'2017-06-09T11:06:35-0600',mode:absolute,to:'2017-06-09T13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204" t="str">
        <f t="shared" si="5"/>
        <v>N</v>
      </c>
      <c r="X74" s="204">
        <f t="shared" si="6"/>
        <v>1</v>
      </c>
      <c r="Y74" s="204">
        <f t="shared" si="24"/>
        <v>23.315100000000001</v>
      </c>
      <c r="Z74" s="204">
        <f t="shared" si="25"/>
        <v>1.4500000000000001E-2</v>
      </c>
      <c r="AA74" s="204">
        <f t="shared" si="9"/>
        <v>23.300599999999999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0"/>
        <v>0162-09</v>
      </c>
      <c r="AE74" s="80" t="str">
        <f t="shared" si="11"/>
        <v>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 &amp; 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</v>
      </c>
      <c r="AF74" s="77" t="str">
        <f t="shared" si="12"/>
        <v>"C:\Program Files (x86)\AstroGrep\AstroGrep.exe" /e /r /s /spath="%USERPROFILE%\AppData\Local\Temp\OnboardLogs" /stypes="app*4029*20170609*" /stext=" 18:.+((SYSTEM_STATE.+slice.+state.+changed )|(ment ac)|(multiple cpu faults)|(system.+state.+changed )|(\[timeout)|(PRM\|1\|D)|(kpr)|(kdp)|(train st.+moving)|(\|lc)|(penalty))"</v>
      </c>
      <c r="AG74" s="1" t="str">
        <f t="shared" si="13"/>
        <v>EC</v>
      </c>
      <c r="AH74" s="81" t="str">
        <f t="shared" si="19"/>
        <v>"%USERPROFILE%\Documents\GitHub\eaglep3\Utilities\RefineRTDCRunTimes.py" --tripid 162-09 --locoid 4029 --swversion DE.1.0.9.0 --startMP 204:233151 --initTime 2017-06-09T12:06:35 --startdatetime 2017-06-09T12:12:19 --delay 1 --endMP 204:145 --enddatetime 2017-06-09T12:54:56 --enforcementcount 0 &gt;&gt;C:\Users\stu\Documents\GitHub\eaglep3-reporting\EC\2017-06-09-refined-times.txt</v>
      </c>
      <c r="AI74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{"issue":{"subject":"","project_id":79,"tracker_id":40,"status_id":1,"priority_id":2,"assigned_to_id":23,"start_date":"2017-06-09","description":"","custom_fields":[{"id":1,"name":"Subdivision","value":"EC"},{"id":4,"name":"Milepost","value":"0.0145"},{"id":17,"name":"Train ID","value":"162-09"},{"id":16,"name":"Locomotive ID","value":"4029"},{"id":130,"name":"Impact","value":""},{"id":150,"name":"Time of Event (Mountain Time)","value":"12:54:56"},{"id":151,"name":"Denver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4029 --day 2017-06-09</v>
      </c>
      <c r="AN74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18:54:56"},{"id":29,"name":"Sharepoint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725</v>
      </c>
      <c r="B75" s="7">
        <v>4006</v>
      </c>
      <c r="C75" s="21" t="s">
        <v>204</v>
      </c>
      <c r="D75" s="21" t="s">
        <v>349</v>
      </c>
      <c r="E75" s="13">
        <v>42895.477106481485</v>
      </c>
      <c r="F75" s="13">
        <v>42895.479710648149</v>
      </c>
      <c r="G75" s="7">
        <v>1</v>
      </c>
      <c r="H75" s="21" t="s">
        <v>839</v>
      </c>
      <c r="I75" s="13">
        <v>42895.504965277774</v>
      </c>
      <c r="J75" s="7">
        <v>0</v>
      </c>
      <c r="K75" s="92" t="str">
        <f t="shared" si="0"/>
        <v>4005/4006</v>
      </c>
      <c r="L75" s="21" t="str">
        <f>VLOOKUP(A75,'Trips&amp;Operators'!$C$1:$G$99999,5,FALSE)</f>
        <v>STEWART MICHAEL</v>
      </c>
      <c r="M75" s="6">
        <f t="shared" si="1"/>
        <v>2.5254629625123926E-2</v>
      </c>
      <c r="N75" s="7">
        <f t="shared" si="26"/>
        <v>36.366666660178453</v>
      </c>
      <c r="O75" s="7"/>
      <c r="P75" s="7"/>
      <c r="Q75" s="22"/>
      <c r="R75" s="173"/>
      <c r="S75" s="176">
        <f t="shared" si="23"/>
        <v>1</v>
      </c>
      <c r="T75" s="202" t="str">
        <f t="shared" si="3"/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4"/>
        <v>https://d0f6bd738d7f1b3e5a7ca70fe4ff75f0.us-east-1.aws.found.io/app/kibana#/discover/Steve-Slow-Train-Analysis-(2080s-and-2083s)?_g=(refreshInterval:(display:Off,pause:!f,section:0,value:0),time:(from:'2017-06-09T10:27:02-0600',mode:absolute,to:'2017-06-09T13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5" s="204" t="str">
        <f t="shared" si="5"/>
        <v>N</v>
      </c>
      <c r="X75" s="204">
        <f t="shared" si="6"/>
        <v>1</v>
      </c>
      <c r="Y75" s="204">
        <f t="shared" si="24"/>
        <v>4.4600000000000001E-2</v>
      </c>
      <c r="Z75" s="204">
        <f t="shared" si="25"/>
        <v>23.330100000000002</v>
      </c>
      <c r="AA75" s="204">
        <f t="shared" si="9"/>
        <v>23.285500000000003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0"/>
        <v>0163-09</v>
      </c>
      <c r="AE75" s="80" t="str">
        <f t="shared" si="11"/>
        <v>aws s3 cp s3://rtdc.mdm.uploadarchive.raw/RTDC4006/ "%USERPROFILE%\AppData\Local\Temp\OnboardLogs"\RTDC4006\2017-06-09 --exclude "*" --recursive --include "*20170609*" &amp; "%USERPROFILE%\Documents\GitHub\mrs-test-scripts\Headless Mode &amp; Sideloading\WalkAndUnGZ.bat" "%USERPROFILE%\AppData\Local\Temp\OnboardLogs"\RTDC4006\2017-06-09 &amp; 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</v>
      </c>
      <c r="AF75" s="77" t="str">
        <f t="shared" si="12"/>
        <v>"C:\Program Files (x86)\AstroGrep\AstroGrep.exe" /e /r /s /spath="%USERPROFILE%\AppData\Local\Temp\OnboardLogs" /stypes="app*4006*20170609*" /stext=" 18:.+((SYSTEM_STATE.+slice.+state.+changed )|(ment ac)|(multiple cpu faults)|(system.+state.+changed )|(\[timeout)|(PRM\|1\|D)|(kpr)|(kdp)|(train st.+moving)|(\|lc)|(penalty))"</v>
      </c>
      <c r="AG75" s="1" t="str">
        <f t="shared" si="13"/>
        <v>EC</v>
      </c>
      <c r="AH75" s="81" t="str">
        <f t="shared" si="19"/>
        <v>"%USERPROFILE%\Documents\GitHub\eaglep3\Utilities\RefineRTDCRunTimes.py" --tripid 163-09 --locoid 4006 --swversion DE.1.0.9.0 --startMP 204:446 --initTime 2017-06-09T11:27:02 --startdatetime 2017-06-09T11:30:47 --delay 1 --endMP 204:233301 --enddatetime 2017-06-09T12:07:09 --enforcementcount 0 &gt;&gt;C:\Users\stu\Documents\GitHub\eaglep3-reporting\EC\2017-06-09-refined-times.txt</v>
      </c>
      <c r="AI75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{"issue":{"subject":"","project_id":79,"tracker_id":40,"status_id":1,"priority_id":2,"assigned_to_id":23,"start_date":"2017-06-09","description":"","custom_fields":[{"id":1,"name":"Subdivision","value":"EC"},{"id":4,"name":"Milepost","value":"23.3301"},{"id":17,"name":"Train ID","value":"163-09"},{"id":16,"name":"Locomotive ID","value":"4006"},{"id":130,"name":"Impact","value":""},{"id":150,"name":"Time of Event (Mountain Time)","value":"12:07:09"},{"id":151,"name":"Denver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4006 --day 2017-06-09</v>
      </c>
      <c r="AN75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18:07:09"},{"id":29,"name":"Sharepoint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733</v>
      </c>
      <c r="B76" s="7">
        <v>4005</v>
      </c>
      <c r="C76" s="21" t="s">
        <v>204</v>
      </c>
      <c r="D76" s="21" t="s">
        <v>497</v>
      </c>
      <c r="E76" s="13">
        <v>42895.514814814815</v>
      </c>
      <c r="F76" s="13">
        <v>42895.518969907411</v>
      </c>
      <c r="G76" s="7">
        <v>2</v>
      </c>
      <c r="H76" s="21" t="s">
        <v>350</v>
      </c>
      <c r="I76" s="13">
        <v>42895.547129629631</v>
      </c>
      <c r="J76" s="7">
        <v>0</v>
      </c>
      <c r="K76" s="92" t="str">
        <f t="shared" si="0"/>
        <v>4005/4006</v>
      </c>
      <c r="L76" s="21" t="str">
        <f>VLOOKUP(A76,'Trips&amp;Operators'!$C$1:$G$99999,5,FALSE)</f>
        <v>STEWART MICHAEL</v>
      </c>
      <c r="M76" s="6">
        <f t="shared" si="1"/>
        <v>2.8159722220152617E-2</v>
      </c>
      <c r="N76" s="7">
        <f t="shared" si="26"/>
        <v>40.549999997019768</v>
      </c>
      <c r="O76" s="7"/>
      <c r="P76" s="7"/>
      <c r="Q76" s="22"/>
      <c r="R76" s="173"/>
      <c r="S76" s="176">
        <f t="shared" si="23"/>
        <v>1</v>
      </c>
      <c r="T76" s="202" t="str">
        <f t="shared" si="3"/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4"/>
        <v>https://d0f6bd738d7f1b3e5a7ca70fe4ff75f0.us-east-1.aws.found.io/app/kibana#/discover/Steve-Slow-Train-Analysis-(2080s-and-2083s)?_g=(refreshInterval:(display:Off,pause:!f,section:0,value:0),time:(from:'2017-06-09T11:21:20-0600',mode:absolute,to:'2017-06-09T14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6" s="204" t="str">
        <f t="shared" si="5"/>
        <v>N</v>
      </c>
      <c r="X76" s="204">
        <f t="shared" si="6"/>
        <v>1</v>
      </c>
      <c r="Y76" s="204">
        <f t="shared" si="24"/>
        <v>23.297499999999999</v>
      </c>
      <c r="Z76" s="204">
        <f t="shared" si="25"/>
        <v>1.6E-2</v>
      </c>
      <c r="AA76" s="204">
        <f t="shared" si="9"/>
        <v>23.281500000000001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0"/>
        <v>0164-09</v>
      </c>
      <c r="AE76" s="80" t="str">
        <f t="shared" si="11"/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AF76" s="77" t="str">
        <f t="shared" si="12"/>
        <v>"C:\Program Files (x86)\AstroGrep\AstroGrep.exe" /e /r /s /spath="%USERPROFILE%\AppData\Local\Temp\OnboardLogs" /stypes="app*4005*20170609*" /stext=" 19:.+((SYSTEM_STATE.+slice.+state.+changed )|(ment ac)|(multiple cpu faults)|(system.+state.+changed )|(\[timeout)|(PRM\|1\|D)|(kpr)|(kdp)|(train st.+moving)|(\|lc)|(penalty))"</v>
      </c>
      <c r="AG76" s="1" t="str">
        <f t="shared" si="13"/>
        <v>EC</v>
      </c>
      <c r="AH76" s="81" t="str">
        <f t="shared" si="19"/>
        <v>"%USERPROFILE%\Documents\GitHub\eaglep3\Utilities\RefineRTDCRunTimes.py" --tripid 164-09 --locoid 4005 --swversion DE.1.0.9.0 --startMP 204:232975 --initTime 2017-06-09T12:21:20 --startdatetime 2017-06-09T12:27:19 --delay 2 --endMP 204:160 --enddatetime 2017-06-09T13:07:52 --enforcementcount 0 &gt;&gt;C:\Users\stu\Documents\GitHub\eaglep3-reporting\EC\2017-06-09-refined-times.txt</v>
      </c>
      <c r="AI76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{"issue":{"subject":"","project_id":79,"tracker_id":40,"status_id":1,"priority_id":2,"assigned_to_id":23,"start_date":"2017-06-09","description":"","custom_fields":[{"id":1,"name":"Subdivision","value":"EC"},{"id":4,"name":"Milepost","value":"0.016"},{"id":17,"name":"Train ID","value":"164-09"},{"id":16,"name":"Locomotive ID","value":"4005"},{"id":130,"name":"Impact","value":""},{"id":150,"name":"Time of Event (Mountain Time)","value":"13:07:52"},{"id":151,"name":"Denver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4005 --day 2017-06-09</v>
      </c>
      <c r="AN76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19:07:52"},{"id":29,"name":"Sharepoint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727</v>
      </c>
      <c r="B77" s="7">
        <v>4054</v>
      </c>
      <c r="C77" s="21" t="s">
        <v>204</v>
      </c>
      <c r="D77" s="21" t="s">
        <v>397</v>
      </c>
      <c r="E77" s="13">
        <v>42895.489351851851</v>
      </c>
      <c r="F77" s="13">
        <v>42895.492210648146</v>
      </c>
      <c r="G77" s="7">
        <v>3</v>
      </c>
      <c r="H77" s="21" t="s">
        <v>841</v>
      </c>
      <c r="I77" s="13">
        <v>42895.516736111109</v>
      </c>
      <c r="J77" s="7">
        <v>0</v>
      </c>
      <c r="K77" s="92" t="str">
        <f t="shared" ref="K77:K140" si="27">IF(ISEVEN(B77),(B77-1)&amp;"/"&amp;B77,B77&amp;"/"&amp;(B77+1))</f>
        <v>4053/4054</v>
      </c>
      <c r="L77" s="21" t="str">
        <f>VLOOKUP(A77,'Trips&amp;Operators'!$C$1:$G$99999,5,FALSE)</f>
        <v>NEWELL JAMES</v>
      </c>
      <c r="M77" s="6">
        <f t="shared" ref="M77:M140" si="28">I77-F77</f>
        <v>2.4525462962628808E-2</v>
      </c>
      <c r="N77" s="7">
        <f t="shared" si="26"/>
        <v>35.316666666185483</v>
      </c>
      <c r="O77" s="7"/>
      <c r="P77" s="7"/>
      <c r="Q77" s="22"/>
      <c r="R77" s="173"/>
      <c r="S77" s="176">
        <f t="shared" ref="S77:S97" si="29">SUM(U77:U77)/IF(AG77="EC",12,1)</f>
        <v>1</v>
      </c>
      <c r="T77" s="202" t="str">
        <f t="shared" ref="T77:T140" si="30">IF(ISEVEN(LEFT(AD77,4)),"Southbound","NorthBound")</f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-09T10:44:40-0600',mode:absolute,to:'2017-06-09T13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7" s="204" t="str">
        <f t="shared" ref="W77:W140" si="32">IF(AA77&lt;IF(AG77="EC",23,5.65),"Y","N")</f>
        <v>N</v>
      </c>
      <c r="X77" s="204">
        <f t="shared" ref="X77:X140" si="33">VALUE(LEFT(AD77,4))-VALUE(LEFT(AD76,4))</f>
        <v>1</v>
      </c>
      <c r="Y77" s="204">
        <f t="shared" ref="Y77:Y108" si="34">RIGHT(D77,LEN(D77)-4)/10000</f>
        <v>4.6199999999999998E-2</v>
      </c>
      <c r="Z77" s="204">
        <f t="shared" ref="Z77:Z108" si="35">RIGHT(H77,LEN(H77)-4)/10000</f>
        <v>23.331</v>
      </c>
      <c r="AA77" s="204">
        <f t="shared" ref="AA77:AA140" si="36">ABS(Z77-Y77)</f>
        <v>23.284800000000001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7">IF(LEN(A77)=6,"0"&amp;A77,A77)</f>
        <v>0165-09</v>
      </c>
      <c r="AE77" s="80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s3://rtdc.mdm.uploadarchive.raw/RTDC4054/ "%USERPROFILE%\AppData\Local\Temp\OnboardLogs"\RTDC4054\2017-06-09 --exclude "*" --recursive --include "*20170609*" &amp; "%USERPROFILE%\Documents\GitHub\mrs-test-scripts\Headless Mode &amp; Sideloading\WalkAndUnGZ.bat" "%USERPROFILE%\AppData\Local\Temp\OnboardLogs"\RTDC4054\2017-06-09 &amp; 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</v>
      </c>
      <c r="AF77" s="77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/stypes="app*4054*20170609*"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0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165-09 --locoid 4054 --swversion DE.1.0.9.0 --startMP 204:462 --initTime 2017-06-09T11:44:40 --startdatetime 2017-06-09T11:48:47 --delay 3 --endMP 204:233310 --enddatetime 2017-06-09T12:24:06 --enforcementcount 0 &gt;&gt;C:\Users\stu\Documents\GitHub\eaglep3-reporting\EC\2017-06-09-refined-times.txt</v>
      </c>
      <c r="AI77" s="99" t="str">
        <f t="shared" si="20"/>
        <v>echo {"issue":{"subject":"","project_id":79,"tracker_id":40,"status_id":1,"priority_id":2,"assigned_to_id":23,"start_date":"2017-06-09","description":"","custom_fields":[{"id":1,"name":"Subdivision","value":"EC"},{"id":4,"name":"Milepost","value":"23.331"},{"id":17,"name":"Train ID","value":"165-09"},{"id":16,"name":"Locomotive ID","value":"4054"},{"id":130,"name":"Impact","value":""},{"id":150,"name":"Time of Event (Mountain Time)","value":"12:24:06"},{"id":151,"name":"Denver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4054 --day 2017-06-09</v>
      </c>
      <c r="AN77" s="154" t="str">
        <f t="shared" si="22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18:24:06"},{"id":29,"name":"Sharepoint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606</v>
      </c>
      <c r="B78" s="7">
        <v>4053</v>
      </c>
      <c r="C78" s="21" t="s">
        <v>204</v>
      </c>
      <c r="D78" s="21" t="s">
        <v>496</v>
      </c>
      <c r="E78" s="13">
        <v>42895.519409722219</v>
      </c>
      <c r="F78" s="13">
        <v>42895.529328703706</v>
      </c>
      <c r="G78" s="7">
        <v>2</v>
      </c>
      <c r="H78" s="21" t="s">
        <v>401</v>
      </c>
      <c r="I78" s="13">
        <v>42895.556261574071</v>
      </c>
      <c r="J78" s="7">
        <v>0</v>
      </c>
      <c r="K78" s="92" t="str">
        <f t="shared" si="27"/>
        <v>4053/4054</v>
      </c>
      <c r="L78" s="21" t="str">
        <f>VLOOKUP(A78,'Trips&amp;Operators'!$C$1:$G$99999,5,FALSE)</f>
        <v>NEWELL JAMES</v>
      </c>
      <c r="M78" s="6">
        <f t="shared" si="28"/>
        <v>2.693287036527181E-2</v>
      </c>
      <c r="N78" s="7">
        <f t="shared" ref="N78:N96" si="41">24*60*SUM($M78:$M78)</f>
        <v>38.783333325991407</v>
      </c>
      <c r="O78" s="7"/>
      <c r="P78" s="7"/>
      <c r="Q78" s="22"/>
      <c r="R78" s="173"/>
      <c r="S78" s="176">
        <f t="shared" si="29"/>
        <v>1</v>
      </c>
      <c r="T78" s="202" t="str">
        <f t="shared" si="30"/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si="31"/>
        <v>https://d0f6bd738d7f1b3e5a7ca70fe4ff75f0.us-east-1.aws.found.io/app/kibana#/discover/Steve-Slow-Train-Analysis-(2080s-and-2083s)?_g=(refreshInterval:(display:Off,pause:!f,section:0,value:0),time:(from:'2017-06-09T11:27:57-0600',mode:absolute,to:'2017-06-09T14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8" s="204" t="str">
        <f t="shared" si="32"/>
        <v>N</v>
      </c>
      <c r="X78" s="204">
        <f t="shared" si="33"/>
        <v>1</v>
      </c>
      <c r="Y78" s="204">
        <f t="shared" si="34"/>
        <v>23.298300000000001</v>
      </c>
      <c r="Z78" s="204">
        <f t="shared" si="35"/>
        <v>1.54E-2</v>
      </c>
      <c r="AA78" s="204">
        <f t="shared" si="36"/>
        <v>23.282900000000001</v>
      </c>
      <c r="AB78" s="57" t="str">
        <f>VLOOKUP(A78,Enforcements!$C$7:$K$13,8,0)</f>
        <v>Bulletin (2)</v>
      </c>
      <c r="AC78" s="53" t="str">
        <f>VLOOKUP(A78,Enforcements!$C$7:$E$13,3,0)</f>
        <v>GRADE CROSSING</v>
      </c>
      <c r="AD78" s="54" t="str">
        <f t="shared" si="37"/>
        <v>0166-09</v>
      </c>
      <c r="AE78" s="80" t="str">
        <f t="shared" si="38"/>
        <v>aws s3 cp s3://rtdc.mdm.uploadarchive.raw/RTDC4053/ "%USERPROFILE%\AppData\Local\Temp\OnboardLogs"\RTDC4053\2017-06-09 --exclude "*" --recursive --include "*20170609*" &amp; "%USERPROFILE%\Documents\GitHub\mrs-test-scripts\Headless Mode &amp; Sideloading\WalkAndUnGZ.bat" "%USERPROFILE%\AppData\Local\Temp\OnboardLogs"\RTDC4053\2017-06-09 &amp; aws s3 cp s3://rtdc.mdm.uploadarchive.raw/RTDC4053/ "%USERPROFILE%\AppData\Local\Temp\OnboardLogs"\RTDC4053\2017-06-10 --exclude "*" --recursive --include "*20170610*" &amp; "%USERPROFILE%\Documents\GitHub\mrs-test-scripts\Headless Mode &amp; Sideloading\WalkAndUnGZ.bat" "%USERPROFILE%\AppData\Local\Temp\OnboardLogs"\RTDC4053\2017-06-10</v>
      </c>
      <c r="AF78" s="77" t="str">
        <f t="shared" si="39"/>
        <v>"C:\Program Files (x86)\AstroGrep\AstroGrep.exe" /e /r /s /spath="%USERPROFILE%\AppData\Local\Temp\OnboardLogs" /stypes="app*4053*20170609*" /stext=" 19:.+((SYSTEM_STATE.+slice.+state.+changed )|(ment ac)|(multiple cpu faults)|(system.+state.+changed )|(\[timeout)|(PRM\|1\|D)|(kpr)|(kdp)|(train st.+moving)|(\|lc)|(penalty))"</v>
      </c>
      <c r="AG78" s="1" t="str">
        <f t="shared" si="40"/>
        <v>EC</v>
      </c>
      <c r="AH78" s="81" t="str">
        <f t="shared" ref="AH78:AH143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166-09 --locoid 4053 --swversion DE.1.0.9.0 --startMP 204:232983 --initTime 2017-06-09T12:27:57 --startdatetime 2017-06-09T12:42:14 --delay 2 --endMP 204:154 --enddatetime 2017-06-09T13:21:01 --enforcementcount 0 &gt;&gt;C:\Users\stu\Documents\GitHub\eaglep3-reporting\EC\2017-06-09-refined-times.txt</v>
      </c>
      <c r="AI78" s="99" t="str">
        <f t="shared" ref="AI78:AI143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{"issue":{"subject":"","project_id":79,"tracker_id":40,"status_id":1,"priority_id":2,"assigned_to_id":23,"start_date":"2017-06-09","description":"","custom_fields":[{"id":1,"name":"Subdivision","value":"EC"},{"id":4,"name":"Milepost","value":"0.0154"},{"id":17,"name":"Train ID","value":"166-09"},{"id":16,"name":"Locomotive ID","value":"4053"},{"id":130,"name":"Impact","value":""},{"id":150,"name":"Time of Event (Mountain Time)","value":"13:21:01"},{"id":151,"name":"Denver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3" si="44">"start /low /b "&amp;dls3logs&amp;" --loco "&amp;B78&amp;" --day "&amp;TEXT(F78,"YYYY-MM-DD")</f>
        <v>start /low /b %USERPROFILE%\Documents\GitHub\eaglep3\Utilities\DownloadLogsFromS3.py --loco 4053 --day 2017-06-09</v>
      </c>
      <c r="AN78" s="154" t="str">
        <f t="shared" ref="AN78:AN143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19:21:01"},{"id":29,"name":"Sharepoint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730</v>
      </c>
      <c r="B79" s="7">
        <v>4010</v>
      </c>
      <c r="C79" s="21" t="s">
        <v>204</v>
      </c>
      <c r="D79" s="21" t="s">
        <v>356</v>
      </c>
      <c r="E79" s="13">
        <v>42895.498055555552</v>
      </c>
      <c r="F79" s="13">
        <v>42895.50068287037</v>
      </c>
      <c r="G79" s="7">
        <v>1</v>
      </c>
      <c r="H79" s="21" t="s">
        <v>513</v>
      </c>
      <c r="I79" s="13">
        <v>42895.526562500003</v>
      </c>
      <c r="J79" s="7">
        <v>0</v>
      </c>
      <c r="K79" s="92" t="str">
        <f t="shared" si="27"/>
        <v>4009/4010</v>
      </c>
      <c r="L79" s="21" t="str">
        <f>VLOOKUP(A79,'Trips&amp;Operators'!$C$1:$G$99999,5,FALSE)</f>
        <v>YANG JAN</v>
      </c>
      <c r="M79" s="6">
        <f t="shared" si="28"/>
        <v>2.587962963298196E-2</v>
      </c>
      <c r="N79" s="7">
        <f t="shared" si="41"/>
        <v>37.266666671494022</v>
      </c>
      <c r="O79" s="7"/>
      <c r="P79" s="7"/>
      <c r="Q79" s="22"/>
      <c r="R79" s="173"/>
      <c r="S79" s="176">
        <f t="shared" si="29"/>
        <v>1</v>
      </c>
      <c r="T79" s="202" t="str">
        <f t="shared" si="30"/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31"/>
        <v>https://d0f6bd738d7f1b3e5a7ca70fe4ff75f0.us-east-1.aws.found.io/app/kibana#/discover/Steve-Slow-Train-Analysis-(2080s-and-2083s)?_g=(refreshInterval:(display:Off,pause:!f,section:0,value:0),time:(from:'2017-06-09T10:57:12-0600',mode:absolute,to:'2017-06-09T13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9" s="204" t="str">
        <f t="shared" si="32"/>
        <v>N</v>
      </c>
      <c r="X79" s="204">
        <f t="shared" si="33"/>
        <v>1</v>
      </c>
      <c r="Y79" s="204">
        <f t="shared" si="34"/>
        <v>4.5100000000000001E-2</v>
      </c>
      <c r="Z79" s="204">
        <f t="shared" si="35"/>
        <v>23.328199999999999</v>
      </c>
      <c r="AA79" s="204">
        <f t="shared" si="36"/>
        <v>23.283099999999997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7"/>
        <v>0167-09</v>
      </c>
      <c r="AE79" s="80" t="str">
        <f t="shared" si="38"/>
        <v>aws s3 cp s3://rtdc.mdm.uploadarchive.raw/RTDC4010/ "%USERPROFILE%\AppData\Local\Temp\OnboardLogs"\RTDC4010\2017-06-09 --exclude "*" --recursive --include "*20170609*" &amp; "%USERPROFILE%\Documents\GitHub\mrs-test-scripts\Headless Mode &amp; Sideloading\WalkAndUnGZ.bat" "%USERPROFILE%\AppData\Local\Temp\OnboardLogs"\RTDC4010\2017-06-09 &amp; aws s3 cp s3://rtdc.mdm.uploadarchive.raw/RTDC4010/ "%USERPROFILE%\AppData\Local\Temp\OnboardLogs"\RTDC4010\2017-06-10 --exclude "*" --recursive --include "*20170610*" &amp; "%USERPROFILE%\Documents\GitHub\mrs-test-scripts\Headless Mode &amp; Sideloading\WalkAndUnGZ.bat" "%USERPROFILE%\AppData\Local\Temp\OnboardLogs"\RTDC4010\2017-06-10</v>
      </c>
      <c r="AF79" s="77" t="str">
        <f t="shared" si="39"/>
        <v>"C:\Program Files (x86)\AstroGrep\AstroGrep.exe" /e /r /s /spath="%USERPROFILE%\AppData\Local\Temp\OnboardLogs" /stypes="app*4010*20170609*" /stext=" 18:.+((SYSTEM_STATE.+slice.+state.+changed )|(ment ac)|(multiple cpu faults)|(system.+state.+changed )|(\[timeout)|(PRM\|1\|D)|(kpr)|(kdp)|(train st.+moving)|(\|lc)|(penalty))"</v>
      </c>
      <c r="AG79" s="1" t="str">
        <f t="shared" si="40"/>
        <v>EC</v>
      </c>
      <c r="AH79" s="81" t="str">
        <f t="shared" si="42"/>
        <v>"%USERPROFILE%\Documents\GitHub\eaglep3\Utilities\RefineRTDCRunTimes.py" --tripid 167-09 --locoid 4010 --swversion DE.1.0.9.0 --startMP 204:451 --initTime 2017-06-09T11:57:12 --startdatetime 2017-06-09T12:00:59 --delay 1 --endMP 204:233282 --enddatetime 2017-06-09T12:38:15 --enforcementcount 0 &gt;&gt;C:\Users\stu\Documents\GitHub\eaglep3-reporting\EC\2017-06-09-refined-times.txt</v>
      </c>
      <c r="AI79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{"issue":{"subject":"","project_id":79,"tracker_id":40,"status_id":1,"priority_id":2,"assigned_to_id":23,"start_date":"2017-06-09","description":"","custom_fields":[{"id":1,"name":"Subdivision","value":"EC"},{"id":4,"name":"Milepost","value":"23.3282"},{"id":17,"name":"Train ID","value":"167-09"},{"id":16,"name":"Locomotive ID","value":"4010"},{"id":130,"name":"Impact","value":""},{"id":150,"name":"Time of Event (Mountain Time)","value":"12:38:15"},{"id":151,"name":"Denver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4"/>
        <v>start /low /b %USERPROFILE%\Documents\GitHub\eaglep3\Utilities\DownloadLogsFromS3.py --loco 4010 --day 2017-06-09</v>
      </c>
      <c r="AN79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18:38:15"},{"id":29,"name":"Sharepoint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736</v>
      </c>
      <c r="B80" s="7">
        <v>4009</v>
      </c>
      <c r="C80" s="21" t="s">
        <v>204</v>
      </c>
      <c r="D80" s="21" t="s">
        <v>497</v>
      </c>
      <c r="E80" s="13">
        <v>42895.536076388889</v>
      </c>
      <c r="F80" s="13">
        <v>42895.539965277778</v>
      </c>
      <c r="G80" s="7">
        <v>1</v>
      </c>
      <c r="H80" s="21" t="s">
        <v>354</v>
      </c>
      <c r="I80" s="13">
        <v>42895.567569444444</v>
      </c>
      <c r="J80" s="7">
        <v>0</v>
      </c>
      <c r="K80" s="92" t="str">
        <f t="shared" si="27"/>
        <v>4009/4010</v>
      </c>
      <c r="L80" s="21" t="str">
        <f>VLOOKUP(A80,'Trips&amp;Operators'!$C$1:$G$99999,5,FALSE)</f>
        <v>YANG JAN</v>
      </c>
      <c r="M80" s="6">
        <f t="shared" si="28"/>
        <v>2.7604166665696539E-2</v>
      </c>
      <c r="N80" s="7">
        <f t="shared" si="41"/>
        <v>39.749999998603016</v>
      </c>
      <c r="O80" s="7"/>
      <c r="P80" s="7"/>
      <c r="Q80" s="22"/>
      <c r="R80" s="173"/>
      <c r="S80" s="176">
        <f t="shared" si="29"/>
        <v>1</v>
      </c>
      <c r="T80" s="202" t="str">
        <f t="shared" si="30"/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31"/>
        <v>https://d0f6bd738d7f1b3e5a7ca70fe4ff75f0.us-east-1.aws.found.io/app/kibana#/discover/Steve-Slow-Train-Analysis-(2080s-and-2083s)?_g=(refreshInterval:(display:Off,pause:!f,section:0,value:0),time:(from:'2017-06-09T11:51:57-0600',mode:absolute,to:'2017-06-09T14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0" s="204" t="str">
        <f t="shared" si="32"/>
        <v>N</v>
      </c>
      <c r="X80" s="204">
        <f t="shared" si="33"/>
        <v>1</v>
      </c>
      <c r="Y80" s="204">
        <f t="shared" si="34"/>
        <v>23.297499999999999</v>
      </c>
      <c r="Z80" s="204">
        <f t="shared" si="35"/>
        <v>1.43E-2</v>
      </c>
      <c r="AA80" s="204">
        <f t="shared" si="36"/>
        <v>23.283200000000001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7"/>
        <v>0168-09</v>
      </c>
      <c r="AE80" s="80" t="str">
        <f t="shared" si="38"/>
        <v>aws s3 cp s3://rtdc.mdm.uploadarchive.raw/RTDC4009/ "%USERPROFILE%\AppData\Local\Temp\OnboardLogs"\RTDC4009\2017-06-09 --exclude "*" --recursive --include "*20170609*" &amp; "%USERPROFILE%\Documents\GitHub\mrs-test-scripts\Headless Mode &amp; Sideloading\WalkAndUnGZ.bat" "%USERPROFILE%\AppData\Local\Temp\OnboardLogs"\RTDC4009\2017-06-09 &amp; aws s3 cp s3://rtdc.mdm.uploadarchive.raw/RTDC4009/ "%USERPROFILE%\AppData\Local\Temp\OnboardLogs"\RTDC4009\2017-06-10 --exclude "*" --recursive --include "*20170610*" &amp; "%USERPROFILE%\Documents\GitHub\mrs-test-scripts\Headless Mode &amp; Sideloading\WalkAndUnGZ.bat" "%USERPROFILE%\AppData\Local\Temp\OnboardLogs"\RTDC4009\2017-06-10</v>
      </c>
      <c r="AF80" s="77" t="str">
        <f t="shared" si="39"/>
        <v>"C:\Program Files (x86)\AstroGrep\AstroGrep.exe" /e /r /s /spath="%USERPROFILE%\AppData\Local\Temp\OnboardLogs" /stypes="app*4009*20170609*" /stext=" 19:.+((SYSTEM_STATE.+slice.+state.+changed )|(ment ac)|(multiple cpu faults)|(system.+state.+changed )|(\[timeout)|(PRM\|1\|D)|(kpr)|(kdp)|(train st.+moving)|(\|lc)|(penalty))"</v>
      </c>
      <c r="AG80" s="1" t="str">
        <f t="shared" si="40"/>
        <v>EC</v>
      </c>
      <c r="AH80" s="81" t="str">
        <f t="shared" si="42"/>
        <v>"%USERPROFILE%\Documents\GitHub\eaglep3\Utilities\RefineRTDCRunTimes.py" --tripid 168-09 --locoid 4009 --swversion DE.1.0.9.0 --startMP 204:232975 --initTime 2017-06-09T12:51:57 --startdatetime 2017-06-09T12:57:33 --delay 1 --endMP 204:143 --enddatetime 2017-06-09T13:37:18 --enforcementcount 0 &gt;&gt;C:\Users\stu\Documents\GitHub\eaglep3-reporting\EC\2017-06-09-refined-times.txt</v>
      </c>
      <c r="AI80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{"issue":{"subject":"","project_id":79,"tracker_id":40,"status_id":1,"priority_id":2,"assigned_to_id":23,"start_date":"2017-06-09","description":"","custom_fields":[{"id":1,"name":"Subdivision","value":"EC"},{"id":4,"name":"Milepost","value":"0.0143"},{"id":17,"name":"Train ID","value":"168-09"},{"id":16,"name":"Locomotive ID","value":"4009"},{"id":130,"name":"Impact","value":""},{"id":150,"name":"Time of Event (Mountain Time)","value":"13:37:18"},{"id":151,"name":"Denver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4"/>
        <v>start /low /b %USERPROFILE%\Documents\GitHub\eaglep3\Utilities\DownloadLogsFromS3.py --loco 4009 --day 2017-06-09</v>
      </c>
      <c r="AN80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19:37:18"},{"id":29,"name":"Sharepoint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732</v>
      </c>
      <c r="B81" s="7">
        <v>4012</v>
      </c>
      <c r="C81" s="21" t="s">
        <v>204</v>
      </c>
      <c r="D81" s="21" t="s">
        <v>499</v>
      </c>
      <c r="E81" s="13">
        <v>42895.509710648148</v>
      </c>
      <c r="F81" s="13">
        <v>42895.511550925927</v>
      </c>
      <c r="G81" s="7">
        <v>1</v>
      </c>
      <c r="H81" s="21" t="s">
        <v>850</v>
      </c>
      <c r="I81" s="13">
        <v>42895.53601851852</v>
      </c>
      <c r="J81" s="7">
        <v>0</v>
      </c>
      <c r="K81" s="92" t="str">
        <f t="shared" si="27"/>
        <v>4011/4012</v>
      </c>
      <c r="L81" s="21" t="str">
        <f>VLOOKUP(A81,'Trips&amp;Operators'!$C$1:$G$99999,5,FALSE)</f>
        <v>LEVIN SCOTT</v>
      </c>
      <c r="M81" s="6">
        <f t="shared" si="28"/>
        <v>2.4467592593282461E-2</v>
      </c>
      <c r="N81" s="7">
        <f t="shared" si="41"/>
        <v>35.233333334326744</v>
      </c>
      <c r="O81" s="7"/>
      <c r="P81" s="7"/>
      <c r="Q81" s="22"/>
      <c r="R81" s="173"/>
      <c r="S81" s="176">
        <f t="shared" si="29"/>
        <v>1</v>
      </c>
      <c r="T81" s="202" t="str">
        <f t="shared" si="30"/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31"/>
        <v>https://d0f6bd738d7f1b3e5a7ca70fe4ff75f0.us-east-1.aws.found.io/app/kibana#/discover/Steve-Slow-Train-Analysis-(2080s-and-2083s)?_g=(refreshInterval:(display:Off,pause:!f,section:0,value:0),time:(from:'2017-06-09T11:13:59-0600',mode:absolute,to:'2017-06-09T13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1" s="204" t="str">
        <f t="shared" si="32"/>
        <v>N</v>
      </c>
      <c r="X81" s="204">
        <f t="shared" si="33"/>
        <v>1</v>
      </c>
      <c r="Y81" s="204">
        <f t="shared" si="34"/>
        <v>4.7100000000000003E-2</v>
      </c>
      <c r="Z81" s="204">
        <f t="shared" si="35"/>
        <v>23.3414</v>
      </c>
      <c r="AA81" s="204">
        <f t="shared" si="36"/>
        <v>23.2943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7"/>
        <v>0169-09</v>
      </c>
      <c r="AE81" s="80" t="str">
        <f t="shared" si="38"/>
        <v>aws s3 cp s3://rtdc.mdm.uploadarchive.raw/RTDC4012/ "%USERPROFILE%\AppData\Local\Temp\OnboardLogs"\RTDC4012\2017-06-09 --exclude "*" --recursive --include "*20170609*" &amp; "%USERPROFILE%\Documents\GitHub\mrs-test-scripts\Headless Mode &amp; Sideloading\WalkAndUnGZ.bat" "%USERPROFILE%\AppData\Local\Temp\OnboardLogs"\RTDC4012\2017-06-09 &amp; aws s3 cp s3://rtdc.mdm.uploadarchive.raw/RTDC4012/ "%USERPROFILE%\AppData\Local\Temp\OnboardLogs"\RTDC4012\2017-06-10 --exclude "*" --recursive --include "*20170610*" &amp; "%USERPROFILE%\Documents\GitHub\mrs-test-scripts\Headless Mode &amp; Sideloading\WalkAndUnGZ.bat" "%USERPROFILE%\AppData\Local\Temp\OnboardLogs"\RTDC4012\2017-06-10</v>
      </c>
      <c r="AF81" s="77" t="str">
        <f t="shared" si="39"/>
        <v>"C:\Program Files (x86)\AstroGrep\AstroGrep.exe" /e /r /s /spath="%USERPROFILE%\AppData\Local\Temp\OnboardLogs" /stypes="app*4012*20170609*" /stext=" 18:.+((SYSTEM_STATE.+slice.+state.+changed )|(ment ac)|(multiple cpu faults)|(system.+state.+changed )|(\[timeout)|(PRM\|1\|D)|(kpr)|(kdp)|(train st.+moving)|(\|lc)|(penalty))"</v>
      </c>
      <c r="AG81" s="1" t="str">
        <f t="shared" si="40"/>
        <v>EC</v>
      </c>
      <c r="AH81" s="81" t="str">
        <f t="shared" si="42"/>
        <v>"%USERPROFILE%\Documents\GitHub\eaglep3\Utilities\RefineRTDCRunTimes.py" --tripid 169-09 --locoid 4012 --swversion DE.1.0.9.0 --startMP 204:471 --initTime 2017-06-09T12:13:59 --startdatetime 2017-06-09T12:16:38 --delay 1 --endMP 204:233414 --enddatetime 2017-06-09T12:51:52 --enforcementcount 0 &gt;&gt;C:\Users\stu\Documents\GitHub\eaglep3-reporting\EC\2017-06-09-refined-times.txt</v>
      </c>
      <c r="AI81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{"issue":{"subject":"","project_id":79,"tracker_id":40,"status_id":1,"priority_id":2,"assigned_to_id":23,"start_date":"2017-06-09","description":"","custom_fields":[{"id":1,"name":"Subdivision","value":"EC"},{"id":4,"name":"Milepost","value":"23.3414"},{"id":17,"name":"Train ID","value":"169-09"},{"id":16,"name":"Locomotive ID","value":"4012"},{"id":130,"name":"Impact","value":""},{"id":150,"name":"Time of Event (Mountain Time)","value":"12:51:52"},{"id":151,"name":"Denver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4"/>
        <v>start /low /b %USERPROFILE%\Documents\GitHub\eaglep3\Utilities\DownloadLogsFromS3.py --loco 4012 --day 2017-06-09</v>
      </c>
      <c r="AN81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18:51:52"},{"id":29,"name":"Sharepoint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738</v>
      </c>
      <c r="B82" s="7">
        <v>4011</v>
      </c>
      <c r="C82" s="21" t="s">
        <v>204</v>
      </c>
      <c r="D82" s="21" t="s">
        <v>851</v>
      </c>
      <c r="E82" s="13">
        <v>42895.547743055555</v>
      </c>
      <c r="F82" s="13">
        <v>42895.584050925929</v>
      </c>
      <c r="G82" s="7">
        <v>1</v>
      </c>
      <c r="H82" s="21" t="s">
        <v>458</v>
      </c>
      <c r="I82" s="13">
        <v>42895.611585648148</v>
      </c>
      <c r="J82" s="7">
        <v>0</v>
      </c>
      <c r="K82" s="92" t="str">
        <f t="shared" si="27"/>
        <v>4011/4012</v>
      </c>
      <c r="L82" s="21" t="str">
        <f>VLOOKUP(A82,'Trips&amp;Operators'!$C$1:$G$99999,5,FALSE)</f>
        <v>LEVIN SCOTT</v>
      </c>
      <c r="M82" s="6">
        <f t="shared" si="28"/>
        <v>2.753472221957054E-2</v>
      </c>
      <c r="N82" s="7">
        <f t="shared" si="41"/>
        <v>39.649999996181577</v>
      </c>
      <c r="O82" s="7"/>
      <c r="P82" s="7"/>
      <c r="Q82" s="22"/>
      <c r="R82" s="173"/>
      <c r="S82" s="176">
        <f t="shared" si="29"/>
        <v>1</v>
      </c>
      <c r="T82" s="202" t="str">
        <f t="shared" si="30"/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31"/>
        <v>https://d0f6bd738d7f1b3e5a7ca70fe4ff75f0.us-east-1.aws.found.io/app/kibana#/discover/Steve-Slow-Train-Analysis-(2080s-and-2083s)?_g=(refreshInterval:(display:Off,pause:!f,section:0,value:0),time:(from:'2017-06-09T12:08:45-0600',mode:absolute,to:'2017-06-09T15:40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204" t="str">
        <f t="shared" si="32"/>
        <v>N</v>
      </c>
      <c r="X82" s="204">
        <f t="shared" si="33"/>
        <v>1</v>
      </c>
      <c r="Y82" s="204">
        <f t="shared" si="34"/>
        <v>23.3081</v>
      </c>
      <c r="Z82" s="204">
        <f t="shared" si="35"/>
        <v>1.38E-2</v>
      </c>
      <c r="AA82" s="204">
        <f t="shared" si="36"/>
        <v>23.2943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7"/>
        <v>0170-09</v>
      </c>
      <c r="AE82" s="80" t="str">
        <f t="shared" si="38"/>
        <v>aws s3 cp s3://rtdc.mdm.uploadarchive.raw/RTDC4011/ "%USERPROFILE%\AppData\Local\Temp\OnboardLogs"\RTDC4011\2017-06-09 --exclude "*" --recursive --include "*20170609*" &amp; "%USERPROFILE%\Documents\GitHub\mrs-test-scripts\Headless Mode &amp; Sideloading\WalkAndUnGZ.bat" "%USERPROFILE%\AppData\Local\Temp\OnboardLogs"\RTDC4011\2017-06-09 &amp; aws s3 cp s3://rtdc.mdm.uploadarchive.raw/RTDC4011/ "%USERPROFILE%\AppData\Local\Temp\OnboardLogs"\RTDC4011\2017-06-10 --exclude "*" --recursive --include "*20170610*" &amp; "%USERPROFILE%\Documents\GitHub\mrs-test-scripts\Headless Mode &amp; Sideloading\WalkAndUnGZ.bat" "%USERPROFILE%\AppData\Local\Temp\OnboardLogs"\RTDC4011\2017-06-10</v>
      </c>
      <c r="AF82" s="77" t="str">
        <f t="shared" si="39"/>
        <v>"C:\Program Files (x86)\AstroGrep\AstroGrep.exe" /e /r /s /spath="%USERPROFILE%\AppData\Local\Temp\OnboardLogs" /stypes="app*4011*20170609*" /stext=" 20:.+((SYSTEM_STATE.+slice.+state.+changed )|(ment ac)|(multiple cpu faults)|(system.+state.+changed )|(\[timeout)|(PRM\|1\|D)|(kpr)|(kdp)|(train st.+moving)|(\|lc)|(penalty))"</v>
      </c>
      <c r="AG82" s="1" t="str">
        <f t="shared" si="40"/>
        <v>EC</v>
      </c>
      <c r="AH82" s="81" t="str">
        <f t="shared" si="42"/>
        <v>"%USERPROFILE%\Documents\GitHub\eaglep3\Utilities\RefineRTDCRunTimes.py" --tripid 170-09 --locoid 4011 --swversion DE.1.0.9.0 --startMP 204:233081 --initTime 2017-06-09T13:08:45 --startdatetime 2017-06-09T14:01:02 --delay 1 --endMP 204:138 --enddatetime 2017-06-09T14:40:41 --enforcementcount 0 &gt;&gt;C:\Users\stu\Documents\GitHub\eaglep3-reporting\EC\2017-06-09-refined-times.txt</v>
      </c>
      <c r="AI82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{"issue":{"subject":"","project_id":79,"tracker_id":40,"status_id":1,"priority_id":2,"assigned_to_id":23,"start_date":"2017-06-09","description":"","custom_fields":[{"id":1,"name":"Subdivision","value":"EC"},{"id":4,"name":"Milepost","value":"0.0138"},{"id":17,"name":"Train ID","value":"170-09"},{"id":16,"name":"Locomotive ID","value":"4011"},{"id":130,"name":"Impact","value":""},{"id":150,"name":"Time of Event (Mountain Time)","value":"14:40:41"},{"id":151,"name":"Denver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4"/>
        <v>start /low /b %USERPROFILE%\Documents\GitHub\eaglep3\Utilities\DownloadLogsFromS3.py --loco 4011 --day 2017-06-09</v>
      </c>
      <c r="AN82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20:40:41"},{"id":29,"name":"Sharepoint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734</v>
      </c>
      <c r="B83" s="7">
        <v>4046</v>
      </c>
      <c r="C83" s="21" t="s">
        <v>204</v>
      </c>
      <c r="D83" s="21" t="s">
        <v>499</v>
      </c>
      <c r="E83" s="13">
        <v>42895.517847222225</v>
      </c>
      <c r="F83" s="13">
        <v>42895.521249999998</v>
      </c>
      <c r="G83" s="7">
        <v>1</v>
      </c>
      <c r="H83" s="21" t="s">
        <v>852</v>
      </c>
      <c r="I83" s="13">
        <v>42895.546956018516</v>
      </c>
      <c r="J83" s="7">
        <v>0</v>
      </c>
      <c r="K83" s="92" t="str">
        <f t="shared" si="27"/>
        <v>4045/4046</v>
      </c>
      <c r="L83" s="21" t="str">
        <f>VLOOKUP(A83,'Trips&amp;Operators'!$C$1:$G$99999,5,FALSE)</f>
        <v>MAYBERRY BILL</v>
      </c>
      <c r="M83" s="6">
        <f t="shared" si="28"/>
        <v>2.5706018517666962E-2</v>
      </c>
      <c r="N83" s="7">
        <f t="shared" si="41"/>
        <v>37.016666665440425</v>
      </c>
      <c r="O83" s="7"/>
      <c r="P83" s="7"/>
      <c r="Q83" s="22"/>
      <c r="R83" s="173"/>
      <c r="S83" s="176">
        <f t="shared" si="29"/>
        <v>1</v>
      </c>
      <c r="T83" s="202" t="str">
        <f t="shared" si="30"/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31"/>
        <v>https://d0f6bd738d7f1b3e5a7ca70fe4ff75f0.us-east-1.aws.found.io/app/kibana#/discover/Steve-Slow-Train-Analysis-(2080s-and-2083s)?_g=(refreshInterval:(display:Off,pause:!f,section:0,value:0),time:(from:'2017-06-09T11:25:42-0600',mode:absolute,to:'2017-06-09T14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3" s="204" t="str">
        <f t="shared" si="32"/>
        <v>N</v>
      </c>
      <c r="X83" s="204">
        <f t="shared" si="33"/>
        <v>1</v>
      </c>
      <c r="Y83" s="204">
        <f t="shared" si="34"/>
        <v>4.7100000000000003E-2</v>
      </c>
      <c r="Z83" s="204">
        <f t="shared" si="35"/>
        <v>23.327999999999999</v>
      </c>
      <c r="AA83" s="204">
        <f t="shared" si="36"/>
        <v>23.280899999999999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7"/>
        <v>0171-09</v>
      </c>
      <c r="AE83" s="80" t="str">
        <f t="shared" si="38"/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AF83" s="77" t="str">
        <f t="shared" si="39"/>
        <v>"C:\Program Files (x86)\AstroGrep\AstroGrep.exe" /e /r /s /spath="%USERPROFILE%\AppData\Local\Temp\OnboardLogs" /stypes="app*4046*20170609*" /stext=" 19:.+((SYSTEM_STATE.+slice.+state.+changed )|(ment ac)|(multiple cpu faults)|(system.+state.+changed )|(\[timeout)|(PRM\|1\|D)|(kpr)|(kdp)|(train st.+moving)|(\|lc)|(penalty))"</v>
      </c>
      <c r="AG83" s="1" t="str">
        <f t="shared" si="40"/>
        <v>EC</v>
      </c>
      <c r="AH83" s="81" t="str">
        <f t="shared" si="42"/>
        <v>"%USERPROFILE%\Documents\GitHub\eaglep3\Utilities\RefineRTDCRunTimes.py" --tripid 171-09 --locoid 4046 --swversion DE.1.0.9.0 --startMP 204:471 --initTime 2017-06-09T12:25:42 --startdatetime 2017-06-09T12:30:36 --delay 1 --endMP 204:233280 --enddatetime 2017-06-09T13:07:37 --enforcementcount 0 &gt;&gt;C:\Users\stu\Documents\GitHub\eaglep3-reporting\EC\2017-06-09-refined-times.txt</v>
      </c>
      <c r="AI83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{"issue":{"subject":"","project_id":79,"tracker_id":40,"status_id":1,"priority_id":2,"assigned_to_id":23,"start_date":"2017-06-09","description":"","custom_fields":[{"id":1,"name":"Subdivision","value":"EC"},{"id":4,"name":"Milepost","value":"23.328"},{"id":17,"name":"Train ID","value":"171-09"},{"id":16,"name":"Locomotive ID","value":"4046"},{"id":130,"name":"Impact","value":""},{"id":150,"name":"Time of Event (Mountain Time)","value":"13:07:37"},{"id":151,"name":"Denver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4"/>
        <v>start /low /b %USERPROFILE%\Documents\GitHub\eaglep3\Utilities\DownloadLogsFromS3.py --loco 4046 --day 2017-06-09</v>
      </c>
      <c r="AN83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19:07:37"},{"id":29,"name":"Sharepoint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740</v>
      </c>
      <c r="B84" s="7">
        <v>4045</v>
      </c>
      <c r="C84" s="21" t="s">
        <v>204</v>
      </c>
      <c r="D84" s="21" t="s">
        <v>840</v>
      </c>
      <c r="E84" s="13">
        <v>42895.555798611109</v>
      </c>
      <c r="F84" s="13">
        <v>42895.560694444444</v>
      </c>
      <c r="G84" s="7">
        <v>1</v>
      </c>
      <c r="H84" s="21" t="s">
        <v>401</v>
      </c>
      <c r="I84" s="13">
        <v>42895.589074074072</v>
      </c>
      <c r="J84" s="7">
        <v>0</v>
      </c>
      <c r="K84" s="92" t="str">
        <f t="shared" si="27"/>
        <v>4045/4046</v>
      </c>
      <c r="L84" s="21" t="str">
        <f>VLOOKUP(A84,'Trips&amp;Operators'!$C$1:$G$99999,5,FALSE)</f>
        <v>MAYBERRY BILL</v>
      </c>
      <c r="M84" s="6">
        <f t="shared" si="28"/>
        <v>2.8379629628034309E-2</v>
      </c>
      <c r="N84" s="7">
        <f t="shared" si="41"/>
        <v>40.866666664369404</v>
      </c>
      <c r="O84" s="7"/>
      <c r="P84" s="7"/>
      <c r="Q84" s="22"/>
      <c r="R84" s="173"/>
      <c r="S84" s="176">
        <f t="shared" si="29"/>
        <v>1</v>
      </c>
      <c r="T84" s="202" t="str">
        <f t="shared" si="30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31"/>
        <v>https://d0f6bd738d7f1b3e5a7ca70fe4ff75f0.us-east-1.aws.found.io/app/kibana#/discover/Steve-Slow-Train-Analysis-(2080s-and-2083s)?_g=(refreshInterval:(display:Off,pause:!f,section:0,value:0),time:(from:'2017-06-09T12:20:21-0600',mode:absolute,to:'2017-06-09T15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4" s="204" t="str">
        <f t="shared" si="32"/>
        <v>N</v>
      </c>
      <c r="X84" s="204">
        <f t="shared" si="33"/>
        <v>1</v>
      </c>
      <c r="Y84" s="204">
        <f t="shared" si="34"/>
        <v>23.2973</v>
      </c>
      <c r="Z84" s="204">
        <f t="shared" si="35"/>
        <v>1.54E-2</v>
      </c>
      <c r="AA84" s="204">
        <f t="shared" si="36"/>
        <v>23.2819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7"/>
        <v>0172-09</v>
      </c>
      <c r="AE84" s="80" t="str">
        <f t="shared" si="38"/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AF84" s="77" t="str">
        <f t="shared" si="39"/>
        <v>"C:\Program Files (x86)\AstroGrep\AstroGrep.exe" /e /r /s /spath="%USERPROFILE%\AppData\Local\Temp\OnboardLogs" /stypes="app*4045*20170609*" /stext=" 20:.+((SYSTEM_STATE.+slice.+state.+changed )|(ment ac)|(multiple cpu faults)|(system.+state.+changed )|(\[timeout)|(PRM\|1\|D)|(kpr)|(kdp)|(train st.+moving)|(\|lc)|(penalty))"</v>
      </c>
      <c r="AG84" s="1" t="str">
        <f t="shared" si="40"/>
        <v>EC</v>
      </c>
      <c r="AH84" s="81" t="str">
        <f t="shared" si="42"/>
        <v>"%USERPROFILE%\Documents\GitHub\eaglep3\Utilities\RefineRTDCRunTimes.py" --tripid 172-09 --locoid 4045 --swversion DE.1.0.9.0 --startMP 204:232973 --initTime 2017-06-09T13:20:21 --startdatetime 2017-06-09T13:27:24 --delay 1 --endMP 204:154 --enddatetime 2017-06-09T14:08:16 --enforcementcount 0 &gt;&gt;C:\Users\stu\Documents\GitHub\eaglep3-reporting\EC\2017-06-09-refined-times.txt</v>
      </c>
      <c r="AI84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{"issue":{"subject":"","project_id":79,"tracker_id":40,"status_id":1,"priority_id":2,"assigned_to_id":23,"start_date":"2017-06-09","description":"","custom_fields":[{"id":1,"name":"Subdivision","value":"EC"},{"id":4,"name":"Milepost","value":"0.0154"},{"id":17,"name":"Train ID","value":"172-09"},{"id":16,"name":"Locomotive ID","value":"4045"},{"id":130,"name":"Impact","value":""},{"id":150,"name":"Time of Event (Mountain Time)","value":"14:08:16"},{"id":151,"name":"Denver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4"/>
        <v>start /low /b %USERPROFILE%\Documents\GitHub\eaglep3\Utilities\DownloadLogsFromS3.py --loco 4045 --day 2017-06-09</v>
      </c>
      <c r="AN84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20:08:16"},{"id":29,"name":"Sharepoint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735</v>
      </c>
      <c r="B85" s="7">
        <v>4020</v>
      </c>
      <c r="C85" s="21" t="s">
        <v>204</v>
      </c>
      <c r="D85" s="21" t="s">
        <v>368</v>
      </c>
      <c r="E85" s="13">
        <v>42895.529131944444</v>
      </c>
      <c r="F85" s="13">
        <v>42895.531435185185</v>
      </c>
      <c r="G85" s="7">
        <v>1</v>
      </c>
      <c r="H85" s="21" t="s">
        <v>534</v>
      </c>
      <c r="I85" s="13">
        <v>42895.55746527778</v>
      </c>
      <c r="J85" s="7">
        <v>0</v>
      </c>
      <c r="K85" s="92" t="str">
        <f t="shared" si="27"/>
        <v>4019/4020</v>
      </c>
      <c r="L85" s="21" t="str">
        <f>VLOOKUP(A85,'Trips&amp;Operators'!$C$1:$G$99999,5,FALSE)</f>
        <v>DE LA ROSA ALEX</v>
      </c>
      <c r="M85" s="6">
        <f t="shared" si="28"/>
        <v>2.6030092594737653E-2</v>
      </c>
      <c r="N85" s="7">
        <f t="shared" si="41"/>
        <v>37.48333333642222</v>
      </c>
      <c r="O85" s="7"/>
      <c r="P85" s="7"/>
      <c r="Q85" s="22"/>
      <c r="R85" s="173"/>
      <c r="S85" s="176">
        <f t="shared" si="29"/>
        <v>1</v>
      </c>
      <c r="T85" s="202" t="str">
        <f t="shared" si="30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31"/>
        <v>https://d0f6bd738d7f1b3e5a7ca70fe4ff75f0.us-east-1.aws.found.io/app/kibana#/discover/Steve-Slow-Train-Analysis-(2080s-and-2083s)?_g=(refreshInterval:(display:Off,pause:!f,section:0,value:0),time:(from:'2017-06-09T11:41:57-0600',mode:absolute,to:'2017-06-09T14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5" s="204" t="str">
        <f t="shared" si="32"/>
        <v>N</v>
      </c>
      <c r="X85" s="204">
        <f t="shared" si="33"/>
        <v>1</v>
      </c>
      <c r="Y85" s="204">
        <f t="shared" si="34"/>
        <v>4.5499999999999999E-2</v>
      </c>
      <c r="Z85" s="204">
        <f t="shared" si="35"/>
        <v>23.330200000000001</v>
      </c>
      <c r="AA85" s="204">
        <f t="shared" si="36"/>
        <v>23.284700000000001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7"/>
        <v>0173-09</v>
      </c>
      <c r="AE85" s="80" t="str">
        <f t="shared" si="38"/>
        <v>aws s3 cp s3://rtdc.mdm.uploadarchive.raw/RTDC4020/ "%USERPROFILE%\AppData\Local\Temp\OnboardLogs"\RTDC4020\2017-06-09 --exclude "*" --recursive --include "*20170609*" &amp; "%USERPROFILE%\Documents\GitHub\mrs-test-scripts\Headless Mode &amp; Sideloading\WalkAndUnGZ.bat" "%USERPROFILE%\AppData\Local\Temp\OnboardLogs"\RTDC4020\2017-06-09 &amp; aws s3 cp s3://rtdc.mdm.uploadarchive.raw/RTDC4020/ "%USERPROFILE%\AppData\Local\Temp\OnboardLogs"\RTDC4020\2017-06-10 --exclude "*" --recursive --include "*20170610*" &amp; "%USERPROFILE%\Documents\GitHub\mrs-test-scripts\Headless Mode &amp; Sideloading\WalkAndUnGZ.bat" "%USERPROFILE%\AppData\Local\Temp\OnboardLogs"\RTDC4020\2017-06-10</v>
      </c>
      <c r="AF85" s="77" t="str">
        <f t="shared" si="39"/>
        <v>"C:\Program Files (x86)\AstroGrep\AstroGrep.exe" /e /r /s /spath="%USERPROFILE%\AppData\Local\Temp\OnboardLogs" /stypes="app*4020*20170609*" /stext=" 19:.+((SYSTEM_STATE.+slice.+state.+changed )|(ment ac)|(multiple cpu faults)|(system.+state.+changed )|(\[timeout)|(PRM\|1\|D)|(kpr)|(kdp)|(train st.+moving)|(\|lc)|(penalty))"</v>
      </c>
      <c r="AG85" s="1" t="str">
        <f t="shared" si="40"/>
        <v>EC</v>
      </c>
      <c r="AH85" s="81" t="str">
        <f t="shared" si="42"/>
        <v>"%USERPROFILE%\Documents\GitHub\eaglep3\Utilities\RefineRTDCRunTimes.py" --tripid 173-09 --locoid 4020 --swversion DE.1.0.9.0 --startMP 204:455 --initTime 2017-06-09T12:41:57 --startdatetime 2017-06-09T12:45:16 --delay 1 --endMP 204:233302 --enddatetime 2017-06-09T13:22:45 --enforcementcount 0 &gt;&gt;C:\Users\stu\Documents\GitHub\eaglep3-reporting\EC\2017-06-09-refined-times.txt</v>
      </c>
      <c r="AI85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{"issue":{"subject":"","project_id":79,"tracker_id":40,"status_id":1,"priority_id":2,"assigned_to_id":23,"start_date":"2017-06-09","description":"","custom_fields":[{"id":1,"name":"Subdivision","value":"EC"},{"id":4,"name":"Milepost","value":"23.3302"},{"id":17,"name":"Train ID","value":"173-09"},{"id":16,"name":"Locomotive ID","value":"4020"},{"id":130,"name":"Impact","value":""},{"id":150,"name":"Time of Event (Mountain Time)","value":"13:22:45"},{"id":151,"name":"Denver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4"/>
        <v>start /low /b %USERPROFILE%\Documents\GitHub\eaglep3\Utilities\DownloadLogsFromS3.py --loco 4020 --day 2017-06-09</v>
      </c>
      <c r="AN85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19:22:45"},{"id":29,"name":"Sharepoint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744</v>
      </c>
      <c r="B86" s="7">
        <v>4019</v>
      </c>
      <c r="C86" s="21" t="s">
        <v>204</v>
      </c>
      <c r="D86" s="21" t="s">
        <v>853</v>
      </c>
      <c r="E86" s="13">
        <v>42895.566967592589</v>
      </c>
      <c r="F86" s="13">
        <v>42895.571006944447</v>
      </c>
      <c r="G86" s="7">
        <v>1</v>
      </c>
      <c r="H86" s="21" t="s">
        <v>364</v>
      </c>
      <c r="I86" s="13">
        <v>42895.598541666666</v>
      </c>
      <c r="J86" s="7">
        <v>0</v>
      </c>
      <c r="K86" s="92" t="str">
        <f t="shared" si="27"/>
        <v>4019/4020</v>
      </c>
      <c r="L86" s="21" t="str">
        <f>VLOOKUP(A86,'Trips&amp;Operators'!$C$1:$G$99999,5,FALSE)</f>
        <v>DE LA ROSA ALEX</v>
      </c>
      <c r="M86" s="6">
        <f t="shared" si="28"/>
        <v>2.753472221957054E-2</v>
      </c>
      <c r="N86" s="7">
        <f t="shared" si="41"/>
        <v>39.649999996181577</v>
      </c>
      <c r="O86" s="7"/>
      <c r="P86" s="7"/>
      <c r="Q86" s="22"/>
      <c r="R86" s="173"/>
      <c r="S86" s="176">
        <f t="shared" si="29"/>
        <v>1</v>
      </c>
      <c r="T86" s="202" t="str">
        <f t="shared" si="30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31"/>
        <v>https://d0f6bd738d7f1b3e5a7ca70fe4ff75f0.us-east-1.aws.found.io/app/kibana#/discover/Steve-Slow-Train-Analysis-(2080s-and-2083s)?_g=(refreshInterval:(display:Off,pause:!f,section:0,value:0),time:(from:'2017-06-09T12:36:26-0600',mode:absolute,to:'2017-06-09T15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6" s="204" t="str">
        <f t="shared" si="32"/>
        <v>N</v>
      </c>
      <c r="X86" s="204">
        <f t="shared" si="33"/>
        <v>1</v>
      </c>
      <c r="Y86" s="204">
        <f t="shared" si="34"/>
        <v>23.299099999999999</v>
      </c>
      <c r="Z86" s="204">
        <f t="shared" si="35"/>
        <v>1.47E-2</v>
      </c>
      <c r="AA86" s="204">
        <f t="shared" si="36"/>
        <v>23.284399999999998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7"/>
        <v>0174-09</v>
      </c>
      <c r="AE86" s="80" t="str">
        <f t="shared" si="38"/>
        <v>aws s3 cp s3://rtdc.mdm.uploadarchive.raw/RTDC4019/ "%USERPROFILE%\AppData\Local\Temp\OnboardLogs"\RTDC4019\2017-06-09 --exclude "*" --recursive --include "*20170609*" &amp; "%USERPROFILE%\Documents\GitHub\mrs-test-scripts\Headless Mode &amp; Sideloading\WalkAndUnGZ.bat" "%USERPROFILE%\AppData\Local\Temp\OnboardLogs"\RTDC4019\2017-06-09 &amp; aws s3 cp s3://rtdc.mdm.uploadarchive.raw/RTDC4019/ "%USERPROFILE%\AppData\Local\Temp\OnboardLogs"\RTDC4019\2017-06-10 --exclude "*" --recursive --include "*20170610*" &amp; "%USERPROFILE%\Documents\GitHub\mrs-test-scripts\Headless Mode &amp; Sideloading\WalkAndUnGZ.bat" "%USERPROFILE%\AppData\Local\Temp\OnboardLogs"\RTDC4019\2017-06-10</v>
      </c>
      <c r="AF86" s="77" t="str">
        <f t="shared" si="39"/>
        <v>"C:\Program Files (x86)\AstroGrep\AstroGrep.exe" /e /r /s /spath="%USERPROFILE%\AppData\Local\Temp\OnboardLogs" /stypes="app*4019*20170609*" /stext=" 20:.+((SYSTEM_STATE.+slice.+state.+changed )|(ment ac)|(multiple cpu faults)|(system.+state.+changed )|(\[timeout)|(PRM\|1\|D)|(kpr)|(kdp)|(train st.+moving)|(\|lc)|(penalty))"</v>
      </c>
      <c r="AG86" s="1" t="str">
        <f t="shared" si="40"/>
        <v>EC</v>
      </c>
      <c r="AH86" s="81" t="str">
        <f t="shared" si="42"/>
        <v>"%USERPROFILE%\Documents\GitHub\eaglep3\Utilities\RefineRTDCRunTimes.py" --tripid 174-09 --locoid 4019 --swversion DE.1.0.9.0 --startMP 204:232991 --initTime 2017-06-09T13:36:26 --startdatetime 2017-06-09T13:42:15 --delay 1 --endMP 204:147 --enddatetime 2017-06-09T14:21:54 --enforcementcount 0 &gt;&gt;C:\Users\stu\Documents\GitHub\eaglep3-reporting\EC\2017-06-09-refined-times.txt</v>
      </c>
      <c r="AI86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{"issue":{"subject":"","project_id":79,"tracker_id":40,"status_id":1,"priority_id":2,"assigned_to_id":23,"start_date":"2017-06-09","description":"","custom_fields":[{"id":1,"name":"Subdivision","value":"EC"},{"id":4,"name":"Milepost","value":"0.0147"},{"id":17,"name":"Train ID","value":"174-09"},{"id":16,"name":"Locomotive ID","value":"4019"},{"id":130,"name":"Impact","value":""},{"id":150,"name":"Time of Event (Mountain Time)","value":"14:21:54"},{"id":151,"name":"Denver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4"/>
        <v>start /low /b %USERPROFILE%\Documents\GitHub\eaglep3\Utilities\DownloadLogsFromS3.py --loco 4019 --day 2017-06-09</v>
      </c>
      <c r="AN86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20:21:54"},{"id":29,"name":"Sharepoint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607</v>
      </c>
      <c r="B87" s="7">
        <v>4030</v>
      </c>
      <c r="C87" s="21" t="s">
        <v>204</v>
      </c>
      <c r="D87" s="21" t="s">
        <v>368</v>
      </c>
      <c r="E87" s="13">
        <v>42895.54</v>
      </c>
      <c r="F87" s="13">
        <v>42895.541875000003</v>
      </c>
      <c r="G87" s="7">
        <v>2</v>
      </c>
      <c r="H87" s="21" t="s">
        <v>854</v>
      </c>
      <c r="I87" s="13">
        <v>42895.568101851852</v>
      </c>
      <c r="J87" s="7">
        <v>0</v>
      </c>
      <c r="K87" s="92" t="str">
        <f t="shared" si="27"/>
        <v>4029/4030</v>
      </c>
      <c r="L87" s="21" t="str">
        <f>VLOOKUP(A87,'Trips&amp;Operators'!$C$1:$G$99999,5,FALSE)</f>
        <v>BRANDNER MELINDA</v>
      </c>
      <c r="M87" s="6">
        <f t="shared" si="28"/>
        <v>2.622685184906004E-2</v>
      </c>
      <c r="N87" s="7">
        <f t="shared" si="41"/>
        <v>37.766666662646458</v>
      </c>
      <c r="O87" s="7"/>
      <c r="P87" s="7"/>
      <c r="Q87" s="22"/>
      <c r="R87" s="173"/>
      <c r="S87" s="176">
        <f t="shared" si="29"/>
        <v>1</v>
      </c>
      <c r="T87" s="202" t="str">
        <f t="shared" si="30"/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31"/>
        <v>https://d0f6bd738d7f1b3e5a7ca70fe4ff75f0.us-east-1.aws.found.io/app/kibana#/discover/Steve-Slow-Train-Analysis-(2080s-and-2083s)?_g=(refreshInterval:(display:Off,pause:!f,section:0,value:0),time:(from:'2017-06-09T11:57:36-0600',mode:absolute,to:'2017-06-09T14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7" s="204" t="str">
        <f t="shared" si="32"/>
        <v>N</v>
      </c>
      <c r="X87" s="204">
        <f t="shared" si="33"/>
        <v>1</v>
      </c>
      <c r="Y87" s="204">
        <f t="shared" si="34"/>
        <v>4.5499999999999999E-2</v>
      </c>
      <c r="Z87" s="204">
        <f t="shared" si="35"/>
        <v>23.342199999999998</v>
      </c>
      <c r="AA87" s="204">
        <f t="shared" si="36"/>
        <v>23.296699999999998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7"/>
        <v>0175-09</v>
      </c>
      <c r="AE87" s="80" t="str">
        <f t="shared" si="38"/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AF87" s="77" t="str">
        <f t="shared" si="39"/>
        <v>"C:\Program Files (x86)\AstroGrep\AstroGrep.exe" /e /r /s /spath="%USERPROFILE%\AppData\Local\Temp\OnboardLogs" /stypes="app*4030*20170609*" /stext=" 19:.+((SYSTEM_STATE.+slice.+state.+changed )|(ment ac)|(multiple cpu faults)|(system.+state.+changed )|(\[timeout)|(PRM\|1\|D)|(kpr)|(kdp)|(train st.+moving)|(\|lc)|(penalty))"</v>
      </c>
      <c r="AG87" s="1" t="str">
        <f t="shared" si="40"/>
        <v>EC</v>
      </c>
      <c r="AH87" s="81" t="str">
        <f t="shared" si="42"/>
        <v>"%USERPROFILE%\Documents\GitHub\eaglep3\Utilities\RefineRTDCRunTimes.py" --tripid 175-09 --locoid 4030 --swversion DE.1.0.9.0 --startMP 204:455 --initTime 2017-06-09T12:57:36 --startdatetime 2017-06-09T13:00:18 --delay 2 --endMP 204:233422 --enddatetime 2017-06-09T13:38:04 --enforcementcount 0 &gt;&gt;C:\Users\stu\Documents\GitHub\eaglep3-reporting\EC\2017-06-09-refined-times.txt</v>
      </c>
      <c r="AI87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{"issue":{"subject":"","project_id":79,"tracker_id":40,"status_id":1,"priority_id":2,"assigned_to_id":23,"start_date":"2017-06-09","description":"","custom_fields":[{"id":1,"name":"Subdivision","value":"EC"},{"id":4,"name":"Milepost","value":"23.3422"},{"id":17,"name":"Train ID","value":"175-09"},{"id":16,"name":"Locomotive ID","value":"4030"},{"id":130,"name":"Impact","value":""},{"id":150,"name":"Time of Event (Mountain Time)","value":"13:38:04"},{"id":151,"name":"Denver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44"/>
        <v>start /low /b %USERPROFILE%\Documents\GitHub\eaglep3\Utilities\DownloadLogsFromS3.py --loco 4030 --day 2017-06-09</v>
      </c>
      <c r="AN87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19:38:04"},{"id":29,"name":"Sharepoint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608</v>
      </c>
      <c r="B88" s="7">
        <v>4029</v>
      </c>
      <c r="C88" s="21" t="s">
        <v>204</v>
      </c>
      <c r="D88" s="21" t="s">
        <v>855</v>
      </c>
      <c r="E88" s="13">
        <v>42895.578680555554</v>
      </c>
      <c r="F88" s="13">
        <v>42895.581469907411</v>
      </c>
      <c r="G88" s="7">
        <v>1</v>
      </c>
      <c r="H88" s="21" t="s">
        <v>353</v>
      </c>
      <c r="I88" s="13">
        <v>42895.610879629632</v>
      </c>
      <c r="J88" s="7">
        <v>0</v>
      </c>
      <c r="K88" s="92" t="str">
        <f t="shared" si="27"/>
        <v>4029/4030</v>
      </c>
      <c r="L88" s="21" t="str">
        <f>VLOOKUP(A88,'Trips&amp;Operators'!$C$1:$G$99999,5,FALSE)</f>
        <v>BRANDNER MELINDA</v>
      </c>
      <c r="M88" s="6">
        <f t="shared" si="28"/>
        <v>2.940972222131677E-2</v>
      </c>
      <c r="N88" s="7">
        <f t="shared" si="41"/>
        <v>42.349999998696148</v>
      </c>
      <c r="O88" s="7"/>
      <c r="P88" s="7"/>
      <c r="Q88" s="22"/>
      <c r="R88" s="173"/>
      <c r="S88" s="176">
        <f t="shared" si="29"/>
        <v>1</v>
      </c>
      <c r="T88" s="202" t="str">
        <f t="shared" si="30"/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31"/>
        <v>https://d0f6bd738d7f1b3e5a7ca70fe4ff75f0.us-east-1.aws.found.io/app/kibana#/discover/Steve-Slow-Train-Analysis-(2080s-and-2083s)?_g=(refreshInterval:(display:Off,pause:!f,section:0,value:0),time:(from:'2017-06-09T12:53:18-0600',mode:absolute,to:'2017-06-09T15:39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8" s="204" t="str">
        <f t="shared" si="32"/>
        <v>N</v>
      </c>
      <c r="X88" s="204">
        <f t="shared" si="33"/>
        <v>1</v>
      </c>
      <c r="Y88" s="204">
        <f t="shared" si="34"/>
        <v>23.309000000000001</v>
      </c>
      <c r="Z88" s="204">
        <f t="shared" si="35"/>
        <v>1.49E-2</v>
      </c>
      <c r="AA88" s="204">
        <f t="shared" si="36"/>
        <v>23.2941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7"/>
        <v>0176-09</v>
      </c>
      <c r="AE88" s="80" t="str">
        <f t="shared" si="38"/>
        <v>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 &amp; 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</v>
      </c>
      <c r="AF88" s="77" t="str">
        <f t="shared" si="39"/>
        <v>"C:\Program Files (x86)\AstroGrep\AstroGrep.exe" /e /r /s /spath="%USERPROFILE%\AppData\Local\Temp\OnboardLogs" /stypes="app*4029*20170609*" /stext=" 20:.+((SYSTEM_STATE.+slice.+state.+changed )|(ment ac)|(multiple cpu faults)|(system.+state.+changed )|(\[timeout)|(PRM\|1\|D)|(kpr)|(kdp)|(train st.+moving)|(\|lc)|(penalty))"</v>
      </c>
      <c r="AG88" s="1" t="str">
        <f t="shared" si="40"/>
        <v>EC</v>
      </c>
      <c r="AH88" s="81" t="str">
        <f t="shared" si="42"/>
        <v>"%USERPROFILE%\Documents\GitHub\eaglep3\Utilities\RefineRTDCRunTimes.py" --tripid 176-09 --locoid 4029 --swversion DE.1.0.9.0 --startMP 204:233090 --initTime 2017-06-09T13:53:18 --startdatetime 2017-06-09T13:57:19 --delay 1 --endMP 204:149 --enddatetime 2017-06-09T14:39:40 --enforcementcount 0 &gt;&gt;C:\Users\stu\Documents\GitHub\eaglep3-reporting\EC\2017-06-09-refined-times.txt</v>
      </c>
      <c r="AI88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{"issue":{"subject":"","project_id":79,"tracker_id":40,"status_id":1,"priority_id":2,"assigned_to_id":23,"start_date":"2017-06-09","description":"","custom_fields":[{"id":1,"name":"Subdivision","value":"EC"},{"id":4,"name":"Milepost","value":"0.0149"},{"id":17,"name":"Train ID","value":"176-09"},{"id":16,"name":"Locomotive ID","value":"4029"},{"id":130,"name":"Impact","value":""},{"id":150,"name":"Time of Event (Mountain Time)","value":"14:39:40"},{"id":151,"name":"Denver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44"/>
        <v>start /low /b %USERPROFILE%\Documents\GitHub\eaglep3\Utilities\DownloadLogsFromS3.py --loco 4029 --day 2017-06-09</v>
      </c>
      <c r="AN88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20:39:40"},{"id":29,"name":"Sharepoint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739</v>
      </c>
      <c r="B89" s="7">
        <v>4006</v>
      </c>
      <c r="C89" s="21" t="s">
        <v>204</v>
      </c>
      <c r="D89" s="21" t="s">
        <v>397</v>
      </c>
      <c r="E89" s="13">
        <v>42895.549629629626</v>
      </c>
      <c r="F89" s="13">
        <v>42895.55228009259</v>
      </c>
      <c r="G89" s="7">
        <v>1</v>
      </c>
      <c r="H89" s="21" t="s">
        <v>498</v>
      </c>
      <c r="I89" s="13">
        <v>42895.577986111108</v>
      </c>
      <c r="J89" s="7">
        <v>0</v>
      </c>
      <c r="K89" s="92" t="str">
        <f t="shared" si="27"/>
        <v>4005/4006</v>
      </c>
      <c r="L89" s="21" t="str">
        <f>VLOOKUP(A89,'Trips&amp;Operators'!$C$1:$G$99999,5,FALSE)</f>
        <v>STEWART MICHAEL</v>
      </c>
      <c r="M89" s="6">
        <f t="shared" si="28"/>
        <v>2.5706018517666962E-2</v>
      </c>
      <c r="N89" s="7">
        <f t="shared" si="41"/>
        <v>37.016666665440425</v>
      </c>
      <c r="O89" s="7"/>
      <c r="P89" s="7"/>
      <c r="Q89" s="22"/>
      <c r="R89" s="173"/>
      <c r="S89" s="176">
        <f t="shared" si="29"/>
        <v>1</v>
      </c>
      <c r="T89" s="202" t="str">
        <f t="shared" si="30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31"/>
        <v>https://d0f6bd738d7f1b3e5a7ca70fe4ff75f0.us-east-1.aws.found.io/app/kibana#/discover/Steve-Slow-Train-Analysis-(2080s-and-2083s)?_g=(refreshInterval:(display:Off,pause:!f,section:0,value:0),time:(from:'2017-06-09T12:11:28-0600',mode:absolute,to:'2017-06-09T14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9" s="204" t="str">
        <f t="shared" si="32"/>
        <v>N</v>
      </c>
      <c r="X89" s="204">
        <f t="shared" si="33"/>
        <v>1</v>
      </c>
      <c r="Y89" s="204">
        <f t="shared" si="34"/>
        <v>4.6199999999999998E-2</v>
      </c>
      <c r="Z89" s="204">
        <f t="shared" si="35"/>
        <v>23.329799999999999</v>
      </c>
      <c r="AA89" s="204">
        <f t="shared" si="36"/>
        <v>23.2836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7"/>
        <v>0177-09</v>
      </c>
      <c r="AE89" s="80" t="str">
        <f t="shared" si="38"/>
        <v>aws s3 cp s3://rtdc.mdm.uploadarchive.raw/RTDC4006/ "%USERPROFILE%\AppData\Local\Temp\OnboardLogs"\RTDC4006\2017-06-09 --exclude "*" --recursive --include "*20170609*" &amp; "%USERPROFILE%\Documents\GitHub\mrs-test-scripts\Headless Mode &amp; Sideloading\WalkAndUnGZ.bat" "%USERPROFILE%\AppData\Local\Temp\OnboardLogs"\RTDC4006\2017-06-09 &amp; 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</v>
      </c>
      <c r="AF89" s="77" t="str">
        <f t="shared" si="39"/>
        <v>"C:\Program Files (x86)\AstroGrep\AstroGrep.exe" /e /r /s /spath="%USERPROFILE%\AppData\Local\Temp\OnboardLogs" /stypes="app*4006*20170609*" /stext=" 19:.+((SYSTEM_STATE.+slice.+state.+changed )|(ment ac)|(multiple cpu faults)|(system.+state.+changed )|(\[timeout)|(PRM\|1\|D)|(kpr)|(kdp)|(train st.+moving)|(\|lc)|(penalty))"</v>
      </c>
      <c r="AG89" s="1" t="str">
        <f t="shared" si="40"/>
        <v>EC</v>
      </c>
      <c r="AH89" s="81" t="str">
        <f t="shared" si="42"/>
        <v>"%USERPROFILE%\Documents\GitHub\eaglep3\Utilities\RefineRTDCRunTimes.py" --tripid 177-09 --locoid 4006 --swversion DE.1.0.9.0 --startMP 204:462 --initTime 2017-06-09T13:11:28 --startdatetime 2017-06-09T13:15:17 --delay 1 --endMP 204:233298 --enddatetime 2017-06-09T13:52:18 --enforcementcount 0 &gt;&gt;C:\Users\stu\Documents\GitHub\eaglep3-reporting\EC\2017-06-09-refined-times.txt</v>
      </c>
      <c r="AI89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{"issue":{"subject":"","project_id":79,"tracker_id":40,"status_id":1,"priority_id":2,"assigned_to_id":23,"start_date":"2017-06-09","description":"","custom_fields":[{"id":1,"name":"Subdivision","value":"EC"},{"id":4,"name":"Milepost","value":"23.3298"},{"id":17,"name":"Train ID","value":"177-09"},{"id":16,"name":"Locomotive ID","value":"4006"},{"id":130,"name":"Impact","value":""},{"id":150,"name":"Time of Event (Mountain Time)","value":"13:52:18"},{"id":151,"name":"Denver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44"/>
        <v>start /low /b %USERPROFILE%\Documents\GitHub\eaglep3\Utilities\DownloadLogsFromS3.py --loco 4006 --day 2017-06-09</v>
      </c>
      <c r="AN89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19:52:18"},{"id":29,"name":"Sharepoint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749</v>
      </c>
      <c r="B90" s="7">
        <v>4005</v>
      </c>
      <c r="C90" s="21" t="s">
        <v>204</v>
      </c>
      <c r="D90" s="21" t="s">
        <v>560</v>
      </c>
      <c r="E90" s="13">
        <v>42895.588703703703</v>
      </c>
      <c r="F90" s="13">
        <v>42895.591851851852</v>
      </c>
      <c r="G90" s="7">
        <v>1</v>
      </c>
      <c r="H90" s="21" t="s">
        <v>401</v>
      </c>
      <c r="I90" s="13">
        <v>42895.620150462964</v>
      </c>
      <c r="J90" s="7">
        <v>0</v>
      </c>
      <c r="K90" s="92" t="str">
        <f t="shared" si="27"/>
        <v>4005/4006</v>
      </c>
      <c r="L90" s="21" t="str">
        <f>VLOOKUP(A90,'Trips&amp;Operators'!$C$1:$G$99999,5,FALSE)</f>
        <v>STEWART MICHAEL</v>
      </c>
      <c r="M90" s="6">
        <f t="shared" si="28"/>
        <v>2.8298611112404615E-2</v>
      </c>
      <c r="N90" s="7">
        <f t="shared" si="41"/>
        <v>40.750000001862645</v>
      </c>
      <c r="O90" s="7"/>
      <c r="P90" s="7"/>
      <c r="Q90" s="22"/>
      <c r="R90" s="173"/>
      <c r="S90" s="176">
        <f t="shared" si="29"/>
        <v>1</v>
      </c>
      <c r="T90" s="202" t="str">
        <f t="shared" si="30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31"/>
        <v>https://d0f6bd738d7f1b3e5a7ca70fe4ff75f0.us-east-1.aws.found.io/app/kibana#/discover/Steve-Slow-Train-Analysis-(2080s-and-2083s)?_g=(refreshInterval:(display:Off,pause:!f,section:0,value:0),time:(from:'2017-06-09T13:07:44-0600',mode:absolute,to:'2017-06-09T15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0" s="204" t="str">
        <f t="shared" si="32"/>
        <v>N</v>
      </c>
      <c r="X90" s="204">
        <f t="shared" si="33"/>
        <v>1</v>
      </c>
      <c r="Y90" s="204">
        <f t="shared" si="34"/>
        <v>23.297899999999998</v>
      </c>
      <c r="Z90" s="204">
        <f t="shared" si="35"/>
        <v>1.54E-2</v>
      </c>
      <c r="AA90" s="204">
        <f t="shared" si="36"/>
        <v>23.282499999999999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7"/>
        <v>0178-09</v>
      </c>
      <c r="AE90" s="80" t="str">
        <f t="shared" si="38"/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AF90" s="77" t="str">
        <f t="shared" si="39"/>
        <v>"C:\Program Files (x86)\AstroGrep\AstroGrep.exe" /e /r /s /spath="%USERPROFILE%\AppData\Local\Temp\OnboardLogs" /stypes="app*4005*20170609*" /stext=" 20:.+((SYSTEM_STATE.+slice.+state.+changed )|(ment ac)|(multiple cpu faults)|(system.+state.+changed )|(\[timeout)|(PRM\|1\|D)|(kpr)|(kdp)|(train st.+moving)|(\|lc)|(penalty))"</v>
      </c>
      <c r="AG90" s="1" t="str">
        <f t="shared" si="40"/>
        <v>EC</v>
      </c>
      <c r="AH90" s="81" t="str">
        <f t="shared" si="42"/>
        <v>"%USERPROFILE%\Documents\GitHub\eaglep3\Utilities\RefineRTDCRunTimes.py" --tripid 178-09 --locoid 4005 --swversion DE.1.0.9.0 --startMP 204:232979 --initTime 2017-06-09T14:07:44 --startdatetime 2017-06-09T14:12:16 --delay 1 --endMP 204:154 --enddatetime 2017-06-09T14:53:01 --enforcementcount 0 &gt;&gt;C:\Users\stu\Documents\GitHub\eaglep3-reporting\EC\2017-06-09-refined-times.txt</v>
      </c>
      <c r="AI90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{"issue":{"subject":"","project_id":79,"tracker_id":40,"status_id":1,"priority_id":2,"assigned_to_id":23,"start_date":"2017-06-09","description":"","custom_fields":[{"id":1,"name":"Subdivision","value":"EC"},{"id":4,"name":"Milepost","value":"0.0154"},{"id":17,"name":"Train ID","value":"178-09"},{"id":16,"name":"Locomotive ID","value":"4005"},{"id":130,"name":"Impact","value":""},{"id":150,"name":"Time of Event (Mountain Time)","value":"14:53:01"},{"id":151,"name":"Denver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44"/>
        <v>start /low /b %USERPROFILE%\Documents\GitHub\eaglep3\Utilities\DownloadLogsFromS3.py --loco 4005 --day 2017-06-09</v>
      </c>
      <c r="AN90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20:53:01"},{"id":29,"name":"Sharepoint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741</v>
      </c>
      <c r="B91" s="7">
        <v>4054</v>
      </c>
      <c r="C91" s="21" t="s">
        <v>204</v>
      </c>
      <c r="D91" s="21" t="s">
        <v>456</v>
      </c>
      <c r="E91" s="13">
        <v>42895.557384259257</v>
      </c>
      <c r="F91" s="13">
        <v>42895.562673611108</v>
      </c>
      <c r="G91" s="7">
        <v>1</v>
      </c>
      <c r="H91" s="21" t="s">
        <v>562</v>
      </c>
      <c r="I91" s="13">
        <v>42895.588287037041</v>
      </c>
      <c r="J91" s="7">
        <v>0</v>
      </c>
      <c r="K91" s="92" t="str">
        <f t="shared" si="27"/>
        <v>4053/4054</v>
      </c>
      <c r="L91" s="21" t="str">
        <f>VLOOKUP(A91,'Trips&amp;Operators'!$C$1:$G$99999,5,FALSE)</f>
        <v>SANTIZO D. EDY</v>
      </c>
      <c r="M91" s="6">
        <f t="shared" si="28"/>
        <v>2.5613425932533573E-2</v>
      </c>
      <c r="N91" s="7">
        <f t="shared" si="41"/>
        <v>36.883333342848346</v>
      </c>
      <c r="O91" s="7"/>
      <c r="P91" s="7"/>
      <c r="Q91" s="22"/>
      <c r="R91" s="173"/>
      <c r="S91" s="176">
        <f t="shared" si="29"/>
        <v>1</v>
      </c>
      <c r="T91" s="202" t="str">
        <f t="shared" si="30"/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31"/>
        <v>https://d0f6bd738d7f1b3e5a7ca70fe4ff75f0.us-east-1.aws.found.io/app/kibana#/discover/Steve-Slow-Train-Analysis-(2080s-and-2083s)?_g=(refreshInterval:(display:Off,pause:!f,section:0,value:0),time:(from:'2017-06-09T12:22:38-0600',mode:absolute,to:'2017-06-09T15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1" s="204" t="str">
        <f t="shared" si="32"/>
        <v>N</v>
      </c>
      <c r="X91" s="204">
        <f t="shared" si="33"/>
        <v>1</v>
      </c>
      <c r="Y91" s="204">
        <f t="shared" si="34"/>
        <v>4.6699999999999998E-2</v>
      </c>
      <c r="Z91" s="204">
        <f t="shared" si="35"/>
        <v>23.328600000000002</v>
      </c>
      <c r="AA91" s="204">
        <f t="shared" si="36"/>
        <v>23.2819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7"/>
        <v>0179-09</v>
      </c>
      <c r="AE91" s="80" t="str">
        <f t="shared" si="38"/>
        <v>aws s3 cp s3://rtdc.mdm.uploadarchive.raw/RTDC4054/ "%USERPROFILE%\AppData\Local\Temp\OnboardLogs"\RTDC4054\2017-06-09 --exclude "*" --recursive --include "*20170609*" &amp; "%USERPROFILE%\Documents\GitHub\mrs-test-scripts\Headless Mode &amp; Sideloading\WalkAndUnGZ.bat" "%USERPROFILE%\AppData\Local\Temp\OnboardLogs"\RTDC4054\2017-06-09 &amp; 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</v>
      </c>
      <c r="AF91" s="77" t="str">
        <f t="shared" si="39"/>
        <v>"C:\Program Files (x86)\AstroGrep\AstroGrep.exe" /e /r /s /spath="%USERPROFILE%\AppData\Local\Temp\OnboardLogs" /stypes="app*4054*20170609*" /stext=" 20:.+((SYSTEM_STATE.+slice.+state.+changed )|(ment ac)|(multiple cpu faults)|(system.+state.+changed )|(\[timeout)|(PRM\|1\|D)|(kpr)|(kdp)|(train st.+moving)|(\|lc)|(penalty))"</v>
      </c>
      <c r="AG91" s="1" t="str">
        <f t="shared" si="40"/>
        <v>EC</v>
      </c>
      <c r="AH91" s="81" t="str">
        <f t="shared" si="42"/>
        <v>"%USERPROFILE%\Documents\GitHub\eaglep3\Utilities\RefineRTDCRunTimes.py" --tripid 179-09 --locoid 4054 --swversion DE.1.0.9.0 --startMP 204:467 --initTime 2017-06-09T13:22:38 --startdatetime 2017-06-09T13:30:15 --delay 1 --endMP 204:233286 --enddatetime 2017-06-09T14:07:08 --enforcementcount 0 &gt;&gt;C:\Users\stu\Documents\GitHub\eaglep3-reporting\EC\2017-06-09-refined-times.txt</v>
      </c>
      <c r="AI91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{"issue":{"subject":"","project_id":79,"tracker_id":40,"status_id":1,"priority_id":2,"assigned_to_id":23,"start_date":"2017-06-09","description":"","custom_fields":[{"id":1,"name":"Subdivision","value":"EC"},{"id":4,"name":"Milepost","value":"23.3286"},{"id":17,"name":"Train ID","value":"179-09"},{"id":16,"name":"Locomotive ID","value":"4054"},{"id":130,"name":"Impact","value":""},{"id":150,"name":"Time of Event (Mountain Time)","value":"14:07:08"},{"id":151,"name":"Denver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4"/>
        <v>start /low /b %USERPROFILE%\Documents\GitHub\eaglep3\Utilities\DownloadLogsFromS3.py --loco 4054 --day 2017-06-09</v>
      </c>
      <c r="AN91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20:07:08"},{"id":29,"name":"Sharepoint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612</v>
      </c>
      <c r="B92" s="7">
        <v>4053</v>
      </c>
      <c r="C92" s="21" t="s">
        <v>204</v>
      </c>
      <c r="D92" s="21" t="s">
        <v>856</v>
      </c>
      <c r="E92" s="13">
        <v>42895.589826388888</v>
      </c>
      <c r="F92" s="13">
        <v>42895.602337962962</v>
      </c>
      <c r="G92" s="7">
        <v>1</v>
      </c>
      <c r="H92" s="21" t="s">
        <v>857</v>
      </c>
      <c r="I92" s="13">
        <v>42895.631840277776</v>
      </c>
      <c r="J92" s="7">
        <v>0</v>
      </c>
      <c r="K92" s="92" t="str">
        <f t="shared" si="27"/>
        <v>4053/4054</v>
      </c>
      <c r="L92" s="21" t="str">
        <f>VLOOKUP(A92,'Trips&amp;Operators'!$C$1:$G$99999,5,FALSE)</f>
        <v>SANTIZO D. EDY</v>
      </c>
      <c r="M92" s="6">
        <f t="shared" si="28"/>
        <v>2.9502314813726116E-2</v>
      </c>
      <c r="N92" s="7">
        <f t="shared" si="41"/>
        <v>42.483333331765607</v>
      </c>
      <c r="O92" s="7"/>
      <c r="P92" s="7"/>
      <c r="Q92" s="22"/>
      <c r="R92" s="173"/>
      <c r="S92" s="176">
        <f t="shared" si="29"/>
        <v>1</v>
      </c>
      <c r="T92" s="202" t="str">
        <f t="shared" si="30"/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31"/>
        <v>https://d0f6bd738d7f1b3e5a7ca70fe4ff75f0.us-east-1.aws.found.io/app/kibana#/discover/Steve-Slow-Train-Analysis-(2080s-and-2083s)?_g=(refreshInterval:(display:Off,pause:!f,section:0,value:0),time:(from:'2017-06-09T13:09:21-0600',mode:absolute,to:'2017-06-09T16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2" s="204" t="str">
        <f t="shared" si="32"/>
        <v>N</v>
      </c>
      <c r="X92" s="204">
        <f t="shared" si="33"/>
        <v>1</v>
      </c>
      <c r="Y92" s="204">
        <f t="shared" si="34"/>
        <v>23.295500000000001</v>
      </c>
      <c r="Z92" s="204">
        <f t="shared" si="35"/>
        <v>1.72E-2</v>
      </c>
      <c r="AA92" s="204">
        <f t="shared" si="36"/>
        <v>23.278300000000002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7"/>
        <v>0180-09</v>
      </c>
      <c r="AE92" s="80" t="str">
        <f t="shared" si="38"/>
        <v>aws s3 cp s3://rtdc.mdm.uploadarchive.raw/RTDC4053/ "%USERPROFILE%\AppData\Local\Temp\OnboardLogs"\RTDC4053\2017-06-09 --exclude "*" --recursive --include "*20170609*" &amp; "%USERPROFILE%\Documents\GitHub\mrs-test-scripts\Headless Mode &amp; Sideloading\WalkAndUnGZ.bat" "%USERPROFILE%\AppData\Local\Temp\OnboardLogs"\RTDC4053\2017-06-09 &amp; aws s3 cp s3://rtdc.mdm.uploadarchive.raw/RTDC4053/ "%USERPROFILE%\AppData\Local\Temp\OnboardLogs"\RTDC4053\2017-06-10 --exclude "*" --recursive --include "*20170610*" &amp; "%USERPROFILE%\Documents\GitHub\mrs-test-scripts\Headless Mode &amp; Sideloading\WalkAndUnGZ.bat" "%USERPROFILE%\AppData\Local\Temp\OnboardLogs"\RTDC4053\2017-06-10</v>
      </c>
      <c r="AF92" s="77" t="str">
        <f t="shared" si="39"/>
        <v>"C:\Program Files (x86)\AstroGrep\AstroGrep.exe" /e /r /s /spath="%USERPROFILE%\AppData\Local\Temp\OnboardLogs" /stypes="app*4053*20170609*" /stext=" 21:.+((SYSTEM_STATE.+slice.+state.+changed )|(ment ac)|(multiple cpu faults)|(system.+state.+changed )|(\[timeout)|(PRM\|1\|D)|(kpr)|(kdp)|(train st.+moving)|(\|lc)|(penalty))"</v>
      </c>
      <c r="AG92" s="1" t="str">
        <f t="shared" si="40"/>
        <v>EC</v>
      </c>
      <c r="AH92" s="81" t="str">
        <f t="shared" si="42"/>
        <v>"%USERPROFILE%\Documents\GitHub\eaglep3\Utilities\RefineRTDCRunTimes.py" --tripid 180-09 --locoid 4053 --swversion DE.1.0.9.0 --startMP 204:232955 --initTime 2017-06-09T14:09:21 --startdatetime 2017-06-09T14:27:22 --delay 1 --endMP 204:172 --enddatetime 2017-06-09T15:09:51 --enforcementcount 0 &gt;&gt;C:\Users\stu\Documents\GitHub\eaglep3-reporting\EC\2017-06-09-refined-times.txt</v>
      </c>
      <c r="AI92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{"issue":{"subject":"","project_id":79,"tracker_id":40,"status_id":1,"priority_id":2,"assigned_to_id":23,"start_date":"2017-06-09","description":"","custom_fields":[{"id":1,"name":"Subdivision","value":"EC"},{"id":4,"name":"Milepost","value":"0.0172"},{"id":17,"name":"Train ID","value":"180-09"},{"id":16,"name":"Locomotive ID","value":"4053"},{"id":130,"name":"Impact","value":""},{"id":150,"name":"Time of Event (Mountain Time)","value":"15:09:51"},{"id":151,"name":"Denver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4"/>
        <v>start /low /b %USERPROFILE%\Documents\GitHub\eaglep3\Utilities\DownloadLogsFromS3.py --loco 4053 --day 2017-06-09</v>
      </c>
      <c r="AN92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21:09:51"},{"id":29,"name":"Sharepoint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746</v>
      </c>
      <c r="B93" s="7">
        <v>4010</v>
      </c>
      <c r="C93" s="21" t="s">
        <v>204</v>
      </c>
      <c r="D93" s="21" t="s">
        <v>368</v>
      </c>
      <c r="E93" s="13">
        <v>42895.569247685184</v>
      </c>
      <c r="F93" s="13">
        <v>42895.573101851849</v>
      </c>
      <c r="G93" s="7">
        <v>1</v>
      </c>
      <c r="H93" s="21" t="s">
        <v>546</v>
      </c>
      <c r="I93" s="13">
        <v>42895.599548611113</v>
      </c>
      <c r="J93" s="7">
        <v>0</v>
      </c>
      <c r="K93" s="92" t="str">
        <f t="shared" si="27"/>
        <v>4009/4010</v>
      </c>
      <c r="L93" s="21" t="str">
        <f>VLOOKUP(A93,'Trips&amp;Operators'!$C$1:$G$99999,5,FALSE)</f>
        <v>YANG JAN</v>
      </c>
      <c r="M93" s="6">
        <f t="shared" si="28"/>
        <v>2.644675926421769E-2</v>
      </c>
      <c r="N93" s="7">
        <f t="shared" si="41"/>
        <v>38.083333340473473</v>
      </c>
      <c r="O93" s="7"/>
      <c r="P93" s="7"/>
      <c r="Q93" s="22"/>
      <c r="R93" s="173"/>
      <c r="S93" s="176">
        <f t="shared" si="29"/>
        <v>1</v>
      </c>
      <c r="T93" s="202" t="str">
        <f t="shared" si="30"/>
        <v>NorthBound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31"/>
        <v>https://d0f6bd738d7f1b3e5a7ca70fe4ff75f0.us-east-1.aws.found.io/app/kibana#/discover/Steve-Slow-Train-Analysis-(2080s-and-2083s)?_g=(refreshInterval:(display:Off,pause:!f,section:0,value:0),time:(from:'2017-06-09T12:39:43-0600',mode:absolute,to:'2017-06-09T15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3" s="204" t="str">
        <f t="shared" si="32"/>
        <v>N</v>
      </c>
      <c r="X93" s="204">
        <f t="shared" si="33"/>
        <v>1</v>
      </c>
      <c r="Y93" s="204">
        <f t="shared" si="34"/>
        <v>4.5499999999999999E-2</v>
      </c>
      <c r="Z93" s="204">
        <f t="shared" si="35"/>
        <v>23.3291</v>
      </c>
      <c r="AA93" s="204">
        <f t="shared" si="36"/>
        <v>23.2836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7"/>
        <v>0181-09</v>
      </c>
      <c r="AE93" s="80" t="str">
        <f t="shared" si="38"/>
        <v>aws s3 cp s3://rtdc.mdm.uploadarchive.raw/RTDC4010/ "%USERPROFILE%\AppData\Local\Temp\OnboardLogs"\RTDC4010\2017-06-09 --exclude "*" --recursive --include "*20170609*" &amp; "%USERPROFILE%\Documents\GitHub\mrs-test-scripts\Headless Mode &amp; Sideloading\WalkAndUnGZ.bat" "%USERPROFILE%\AppData\Local\Temp\OnboardLogs"\RTDC4010\2017-06-09 &amp; aws s3 cp s3://rtdc.mdm.uploadarchive.raw/RTDC4010/ "%USERPROFILE%\AppData\Local\Temp\OnboardLogs"\RTDC4010\2017-06-10 --exclude "*" --recursive --include "*20170610*" &amp; "%USERPROFILE%\Documents\GitHub\mrs-test-scripts\Headless Mode &amp; Sideloading\WalkAndUnGZ.bat" "%USERPROFILE%\AppData\Local\Temp\OnboardLogs"\RTDC4010\2017-06-10</v>
      </c>
      <c r="AF93" s="77" t="str">
        <f t="shared" si="39"/>
        <v>"C:\Program Files (x86)\AstroGrep\AstroGrep.exe" /e /r /s /spath="%USERPROFILE%\AppData\Local\Temp\OnboardLogs" /stypes="app*4010*20170609*" /stext=" 20:.+((SYSTEM_STATE.+slice.+state.+changed )|(ment ac)|(multiple cpu faults)|(system.+state.+changed )|(\[timeout)|(PRM\|1\|D)|(kpr)|(kdp)|(train st.+moving)|(\|lc)|(penalty))"</v>
      </c>
      <c r="AG93" s="1" t="str">
        <f t="shared" si="40"/>
        <v>EC</v>
      </c>
      <c r="AH93" s="81" t="str">
        <f t="shared" si="42"/>
        <v>"%USERPROFILE%\Documents\GitHub\eaglep3\Utilities\RefineRTDCRunTimes.py" --tripid 181-09 --locoid 4010 --swversion DE.1.0.9.0 --startMP 204:455 --initTime 2017-06-09T13:39:43 --startdatetime 2017-06-09T13:45:16 --delay 1 --endMP 204:233291 --enddatetime 2017-06-09T14:23:21 --enforcementcount 0 &gt;&gt;C:\Users\stu\Documents\GitHub\eaglep3-reporting\EC\2017-06-09-refined-times.txt</v>
      </c>
      <c r="AI93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{"issue":{"subject":"","project_id":79,"tracker_id":40,"status_id":1,"priority_id":2,"assigned_to_id":23,"start_date":"2017-06-09","description":"","custom_fields":[{"id":1,"name":"Subdivision","value":"EC"},{"id":4,"name":"Milepost","value":"23.3291"},{"id":17,"name":"Train ID","value":"181-09"},{"id":16,"name":"Locomotive ID","value":"4010"},{"id":130,"name":"Impact","value":""},{"id":150,"name":"Time of Event (Mountain Time)","value":"14:23:21"},{"id":151,"name":"Denver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4"/>
        <v>start /low /b %USERPROFILE%\Documents\GitHub\eaglep3\Utilities\DownloadLogsFromS3.py --loco 4010 --day 2017-06-09</v>
      </c>
      <c r="AN93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20:23:21"},{"id":29,"name":"Sharepoint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750</v>
      </c>
      <c r="B94" s="7">
        <v>4009</v>
      </c>
      <c r="C94" s="21" t="s">
        <v>204</v>
      </c>
      <c r="D94" s="21" t="s">
        <v>858</v>
      </c>
      <c r="E94" s="13">
        <v>42895.608819444446</v>
      </c>
      <c r="F94" s="13">
        <v>42895.612627314818</v>
      </c>
      <c r="G94" s="7">
        <v>0</v>
      </c>
      <c r="H94" s="21" t="s">
        <v>457</v>
      </c>
      <c r="I94" s="13">
        <v>42895.638969907406</v>
      </c>
      <c r="J94" s="7">
        <v>0</v>
      </c>
      <c r="K94" s="92" t="str">
        <f t="shared" si="27"/>
        <v>4009/4010</v>
      </c>
      <c r="L94" s="21" t="str">
        <f>VLOOKUP(A94,'Trips&amp;Operators'!$C$1:$G$99999,5,FALSE)</f>
        <v>YANG JAN</v>
      </c>
      <c r="M94" s="6">
        <f t="shared" si="28"/>
        <v>2.6342592587752733E-2</v>
      </c>
      <c r="N94" s="7">
        <f t="shared" si="41"/>
        <v>37.933333326363936</v>
      </c>
      <c r="O94" s="7"/>
      <c r="P94" s="7"/>
      <c r="Q94" s="22"/>
      <c r="R94" s="173"/>
      <c r="S94" s="176">
        <f t="shared" si="29"/>
        <v>1</v>
      </c>
      <c r="T94" s="202" t="str">
        <f t="shared" si="30"/>
        <v>Southbound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31"/>
        <v>https://d0f6bd738d7f1b3e5a7ca70fe4ff75f0.us-east-1.aws.found.io/app/kibana#/discover/Steve-Slow-Train-Analysis-(2080s-and-2083s)?_g=(refreshInterval:(display:Off,pause:!f,section:0,value:0),time:(from:'2017-06-09T13:36:42-0600',mode:absolute,to:'2017-06-09T16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4" s="204" t="str">
        <f t="shared" si="32"/>
        <v>N</v>
      </c>
      <c r="X94" s="204">
        <f t="shared" si="33"/>
        <v>1</v>
      </c>
      <c r="Y94" s="204">
        <f t="shared" si="34"/>
        <v>23.2972</v>
      </c>
      <c r="Z94" s="204">
        <f t="shared" si="35"/>
        <v>1.5599999999999999E-2</v>
      </c>
      <c r="AA94" s="204">
        <f t="shared" si="36"/>
        <v>23.281600000000001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7"/>
        <v>0182-09</v>
      </c>
      <c r="AE94" s="80" t="str">
        <f t="shared" si="38"/>
        <v>aws s3 cp s3://rtdc.mdm.uploadarchive.raw/RTDC4009/ "%USERPROFILE%\AppData\Local\Temp\OnboardLogs"\RTDC4009\2017-06-09 --exclude "*" --recursive --include "*20170609*" &amp; "%USERPROFILE%\Documents\GitHub\mrs-test-scripts\Headless Mode &amp; Sideloading\WalkAndUnGZ.bat" "%USERPROFILE%\AppData\Local\Temp\OnboardLogs"\RTDC4009\2017-06-09 &amp; aws s3 cp s3://rtdc.mdm.uploadarchive.raw/RTDC4009/ "%USERPROFILE%\AppData\Local\Temp\OnboardLogs"\RTDC4009\2017-06-10 --exclude "*" --recursive --include "*20170610*" &amp; "%USERPROFILE%\Documents\GitHub\mrs-test-scripts\Headless Mode &amp; Sideloading\WalkAndUnGZ.bat" "%USERPROFILE%\AppData\Local\Temp\OnboardLogs"\RTDC4009\2017-06-10</v>
      </c>
      <c r="AF94" s="77" t="str">
        <f t="shared" si="39"/>
        <v>"C:\Program Files (x86)\AstroGrep\AstroGrep.exe" /e /r /s /spath="%USERPROFILE%\AppData\Local\Temp\OnboardLogs" /stypes="app*4009*20170609*" /stext=" 21:.+((SYSTEM_STATE.+slice.+state.+changed )|(ment ac)|(multiple cpu faults)|(system.+state.+changed )|(\[timeout)|(PRM\|1\|D)|(kpr)|(kdp)|(train st.+moving)|(\|lc)|(penalty))"</v>
      </c>
      <c r="AG94" s="1" t="str">
        <f t="shared" si="40"/>
        <v>EC</v>
      </c>
      <c r="AH94" s="81" t="str">
        <f t="shared" si="42"/>
        <v>"%USERPROFILE%\Documents\GitHub\eaglep3\Utilities\RefineRTDCRunTimes.py" --tripid 182-09 --locoid 4009 --swversion DE.1.0.9.0 --startMP 204:232972 --initTime 2017-06-09T14:36:42 --startdatetime 2017-06-09T14:42:11 --delay 0 --endMP 204:156 --enddatetime 2017-06-09T15:20:07 --enforcementcount 0 &gt;&gt;C:\Users\stu\Documents\GitHub\eaglep3-reporting\EC\2017-06-09-refined-times.txt</v>
      </c>
      <c r="AI94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{"issue":{"subject":"","project_id":79,"tracker_id":40,"status_id":1,"priority_id":2,"assigned_to_id":23,"start_date":"2017-06-09","description":"","custom_fields":[{"id":1,"name":"Subdivision","value":"EC"},{"id":4,"name":"Milepost","value":"0.0156"},{"id":17,"name":"Train ID","value":"182-09"},{"id":16,"name":"Locomotive ID","value":"4009"},{"id":130,"name":"Impact","value":""},{"id":150,"name":"Time of Event (Mountain Time)","value":"15:20:07"},{"id":151,"name":"Denver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44"/>
        <v>start /low /b %USERPROFILE%\Documents\GitHub\eaglep3\Utilities\DownloadLogsFromS3.py --loco 4009 --day 2017-06-09</v>
      </c>
      <c r="AN94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21:20:07"},{"id":29,"name":"Sharepoint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5" spans="1:91" s="20" customFormat="1" x14ac:dyDescent="0.25">
      <c r="A95" s="32" t="s">
        <v>747</v>
      </c>
      <c r="B95" s="7">
        <v>4012</v>
      </c>
      <c r="C95" s="21" t="s">
        <v>204</v>
      </c>
      <c r="D95" s="21" t="s">
        <v>355</v>
      </c>
      <c r="E95" s="13">
        <v>42895.581828703704</v>
      </c>
      <c r="F95" s="13">
        <v>42895.584050925929</v>
      </c>
      <c r="G95" s="7">
        <v>1</v>
      </c>
      <c r="H95" s="21" t="s">
        <v>859</v>
      </c>
      <c r="I95" s="13">
        <v>42895.611585648148</v>
      </c>
      <c r="J95" s="7">
        <v>0</v>
      </c>
      <c r="K95" s="92" t="str">
        <f t="shared" si="27"/>
        <v>4011/4012</v>
      </c>
      <c r="L95" s="21" t="str">
        <f>VLOOKUP(A95,'Trips&amp;Operators'!$C$1:$G$99999,5,FALSE)</f>
        <v>LEVIN SCOTT</v>
      </c>
      <c r="M95" s="6">
        <f t="shared" si="28"/>
        <v>2.753472221957054E-2</v>
      </c>
      <c r="N95" s="7">
        <f t="shared" si="41"/>
        <v>39.649999996181577</v>
      </c>
      <c r="O95" s="7"/>
      <c r="P95" s="7"/>
      <c r="Q95" s="22"/>
      <c r="R95" s="173"/>
      <c r="S95" s="176">
        <f t="shared" si="29"/>
        <v>1</v>
      </c>
      <c r="T95" s="202" t="str">
        <f t="shared" si="30"/>
        <v>NorthBound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31"/>
        <v>https://d0f6bd738d7f1b3e5a7ca70fe4ff75f0.us-east-1.aws.found.io/app/kibana#/discover/Steve-Slow-Train-Analysis-(2080s-and-2083s)?_g=(refreshInterval:(display:Off,pause:!f,section:0,value:0),time:(from:'2017-06-09T12:57:50-0600',mode:absolute,to:'2017-06-09T15:40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204" t="str">
        <f t="shared" si="32"/>
        <v>N</v>
      </c>
      <c r="X95" s="204">
        <f t="shared" si="33"/>
        <v>1</v>
      </c>
      <c r="Y95" s="204">
        <f t="shared" si="34"/>
        <v>4.6600000000000003E-2</v>
      </c>
      <c r="Z95" s="204">
        <f t="shared" si="35"/>
        <v>23.337199999999999</v>
      </c>
      <c r="AA95" s="204">
        <f t="shared" si="36"/>
        <v>23.290599999999998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7"/>
        <v>0183-09</v>
      </c>
      <c r="AE95" s="80" t="str">
        <f t="shared" si="38"/>
        <v>aws s3 cp s3://rtdc.mdm.uploadarchive.raw/RTDC4012/ "%USERPROFILE%\AppData\Local\Temp\OnboardLogs"\RTDC4012\2017-06-09 --exclude "*" --recursive --include "*20170609*" &amp; "%USERPROFILE%\Documents\GitHub\mrs-test-scripts\Headless Mode &amp; Sideloading\WalkAndUnGZ.bat" "%USERPROFILE%\AppData\Local\Temp\OnboardLogs"\RTDC4012\2017-06-09 &amp; aws s3 cp s3://rtdc.mdm.uploadarchive.raw/RTDC4012/ "%USERPROFILE%\AppData\Local\Temp\OnboardLogs"\RTDC4012\2017-06-10 --exclude "*" --recursive --include "*20170610*" &amp; "%USERPROFILE%\Documents\GitHub\mrs-test-scripts\Headless Mode &amp; Sideloading\WalkAndUnGZ.bat" "%USERPROFILE%\AppData\Local\Temp\OnboardLogs"\RTDC4012\2017-06-10</v>
      </c>
      <c r="AF95" s="77" t="str">
        <f t="shared" si="39"/>
        <v>"C:\Program Files (x86)\AstroGrep\AstroGrep.exe" /e /r /s /spath="%USERPROFILE%\AppData\Local\Temp\OnboardLogs" /stypes="app*4012*20170609*" /stext=" 20:.+((SYSTEM_STATE.+slice.+state.+changed )|(ment ac)|(multiple cpu faults)|(system.+state.+changed )|(\[timeout)|(PRM\|1\|D)|(kpr)|(kdp)|(train st.+moving)|(\|lc)|(penalty))"</v>
      </c>
      <c r="AG95" s="1" t="str">
        <f t="shared" si="40"/>
        <v>EC</v>
      </c>
      <c r="AH95" s="81" t="str">
        <f t="shared" si="42"/>
        <v>"%USERPROFILE%\Documents\GitHub\eaglep3\Utilities\RefineRTDCRunTimes.py" --tripid 183-09 --locoid 4012 --swversion DE.1.0.9.0 --startMP 204:466 --initTime 2017-06-09T13:57:50 --startdatetime 2017-06-09T14:01:02 --delay 1 --endMP 204:233372 --enddatetime 2017-06-09T14:40:41 --enforcementcount 0 &gt;&gt;C:\Users\stu\Documents\GitHub\eaglep3-reporting\EC\2017-06-09-refined-times.txt</v>
      </c>
      <c r="AI95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{"issue":{"subject":"","project_id":79,"tracker_id":40,"status_id":1,"priority_id":2,"assigned_to_id":23,"start_date":"2017-06-09","description":"","custom_fields":[{"id":1,"name":"Subdivision","value":"EC"},{"id":4,"name":"Milepost","value":"23.3372"},{"id":17,"name":"Train ID","value":"183-09"},{"id":16,"name":"Locomotive ID","value":"4012"},{"id":130,"name":"Impact","value":""},{"id":150,"name":"Time of Event (Mountain Time)","value":"14:40:41"},{"id":151,"name":"Denver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4"/>
        <v>start /low /b %USERPROFILE%\Documents\GitHub\eaglep3\Utilities\DownloadLogsFromS3.py --loco 4012 --day 2017-06-09</v>
      </c>
      <c r="AN95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20:40:41"},{"id":29,"name":"Sharepoint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751</v>
      </c>
      <c r="B96" s="7">
        <v>4011</v>
      </c>
      <c r="C96" s="21" t="s">
        <v>204</v>
      </c>
      <c r="D96" s="21" t="s">
        <v>540</v>
      </c>
      <c r="E96" s="13">
        <v>42895.619456018518</v>
      </c>
      <c r="F96" s="13">
        <v>42895.623206018521</v>
      </c>
      <c r="G96" s="7">
        <v>1</v>
      </c>
      <c r="H96" s="21" t="s">
        <v>860</v>
      </c>
      <c r="I96" s="13">
        <v>42895.649155092593</v>
      </c>
      <c r="J96" s="7">
        <v>0</v>
      </c>
      <c r="K96" s="92" t="str">
        <f t="shared" si="27"/>
        <v>4011/4012</v>
      </c>
      <c r="L96" s="21" t="str">
        <f>VLOOKUP(A96,'Trips&amp;Operators'!$C$1:$G$99999,5,FALSE)</f>
        <v>LEVIN SCOTT</v>
      </c>
      <c r="M96" s="6">
        <f t="shared" si="28"/>
        <v>2.5949074071832001E-2</v>
      </c>
      <c r="N96" s="7">
        <f t="shared" si="41"/>
        <v>37.366666663438082</v>
      </c>
      <c r="O96" s="7"/>
      <c r="P96" s="7"/>
      <c r="Q96" s="22"/>
      <c r="R96" s="173"/>
      <c r="S96" s="176">
        <f t="shared" si="29"/>
        <v>1</v>
      </c>
      <c r="T96" s="202" t="str">
        <f t="shared" si="30"/>
        <v>Southbound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31"/>
        <v>https://d0f6bd738d7f1b3e5a7ca70fe4ff75f0.us-east-1.aws.found.io/app/kibana#/discover/Steve-Slow-Train-Analysis-(2080s-and-2083s)?_g=(refreshInterval:(display:Off,pause:!f,section:0,value:0),time:(from:'2017-06-09T13:52:01-0600',mode:absolute,to:'2017-06-09T16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6" s="204" t="str">
        <f t="shared" si="32"/>
        <v>N</v>
      </c>
      <c r="X96" s="204">
        <f t="shared" si="33"/>
        <v>1</v>
      </c>
      <c r="Y96" s="204">
        <f t="shared" si="34"/>
        <v>23.305099999999999</v>
      </c>
      <c r="Z96" s="204">
        <f t="shared" si="35"/>
        <v>1.1900000000000001E-2</v>
      </c>
      <c r="AA96" s="204">
        <f t="shared" si="36"/>
        <v>23.293199999999999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7"/>
        <v>0184-09</v>
      </c>
      <c r="AE96" s="80" t="str">
        <f t="shared" si="38"/>
        <v>aws s3 cp s3://rtdc.mdm.uploadarchive.raw/RTDC4011/ "%USERPROFILE%\AppData\Local\Temp\OnboardLogs"\RTDC4011\2017-06-09 --exclude "*" --recursive --include "*20170609*" &amp; "%USERPROFILE%\Documents\GitHub\mrs-test-scripts\Headless Mode &amp; Sideloading\WalkAndUnGZ.bat" "%USERPROFILE%\AppData\Local\Temp\OnboardLogs"\RTDC4011\2017-06-09 &amp; aws s3 cp s3://rtdc.mdm.uploadarchive.raw/RTDC4011/ "%USERPROFILE%\AppData\Local\Temp\OnboardLogs"\RTDC4011\2017-06-10 --exclude "*" --recursive --include "*20170610*" &amp; "%USERPROFILE%\Documents\GitHub\mrs-test-scripts\Headless Mode &amp; Sideloading\WalkAndUnGZ.bat" "%USERPROFILE%\AppData\Local\Temp\OnboardLogs"\RTDC4011\2017-06-10</v>
      </c>
      <c r="AF96" s="77" t="str">
        <f t="shared" si="39"/>
        <v>"C:\Program Files (x86)\AstroGrep\AstroGrep.exe" /e /r /s /spath="%USERPROFILE%\AppData\Local\Temp\OnboardLogs" /stypes="app*4011*20170609*" /stext=" 21:.+((SYSTEM_STATE.+slice.+state.+changed )|(ment ac)|(multiple cpu faults)|(system.+state.+changed )|(\[timeout)|(PRM\|1\|D)|(kpr)|(kdp)|(train st.+moving)|(\|lc)|(penalty))"</v>
      </c>
      <c r="AG96" s="1" t="str">
        <f t="shared" si="40"/>
        <v>EC</v>
      </c>
      <c r="AH96" s="81" t="str">
        <f t="shared" si="42"/>
        <v>"%USERPROFILE%\Documents\GitHub\eaglep3\Utilities\RefineRTDCRunTimes.py" --tripid 184-09 --locoid 4011 --swversion DE.1.0.9.0 --startMP 204:233051 --initTime 2017-06-09T14:52:01 --startdatetime 2017-06-09T14:57:25 --delay 1 --endMP 204:119 --enddatetime 2017-06-09T15:34:47 --enforcementcount 0 &gt;&gt;C:\Users\stu\Documents\GitHub\eaglep3-reporting\EC\2017-06-09-refined-times.txt</v>
      </c>
      <c r="AI96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{"issue":{"subject":"","project_id":79,"tracker_id":40,"status_id":1,"priority_id":2,"assigned_to_id":23,"start_date":"2017-06-09","description":"","custom_fields":[{"id":1,"name":"Subdivision","value":"EC"},{"id":4,"name":"Milepost","value":"0.0119"},{"id":17,"name":"Train ID","value":"184-09"},{"id":16,"name":"Locomotive ID","value":"4011"},{"id":130,"name":"Impact","value":""},{"id":150,"name":"Time of Event (Mountain Time)","value":"15:34:47"},{"id":151,"name":"Denver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4"/>
        <v>start /low /b %USERPROFILE%\Documents\GitHub\eaglep3\Utilities\DownloadLogsFromS3.py --loco 4011 --day 2017-06-09</v>
      </c>
      <c r="AN96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21:34:47"},{"id":29,"name":"Sharepoint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611</v>
      </c>
      <c r="B97" s="7">
        <v>4046</v>
      </c>
      <c r="C97" s="21" t="s">
        <v>204</v>
      </c>
      <c r="D97" s="21" t="s">
        <v>861</v>
      </c>
      <c r="E97" s="13">
        <v>42895.590370370373</v>
      </c>
      <c r="F97" s="13">
        <v>42895.602175925924</v>
      </c>
      <c r="G97" s="7">
        <v>16</v>
      </c>
      <c r="H97" s="21" t="s">
        <v>398</v>
      </c>
      <c r="I97" s="13">
        <v>42895.626759259256</v>
      </c>
      <c r="J97" s="7">
        <v>0</v>
      </c>
      <c r="K97" s="92" t="str">
        <f t="shared" si="27"/>
        <v>4045/4046</v>
      </c>
      <c r="L97" s="21" t="str">
        <f>VLOOKUP(A97,'Trips&amp;Operators'!$C$1:$G$99999,5,FALSE)</f>
        <v>MAYBERRY BILL</v>
      </c>
      <c r="M97" s="6">
        <f t="shared" si="28"/>
        <v>2.4583333331975155E-2</v>
      </c>
      <c r="N97" s="7"/>
      <c r="O97" s="7"/>
      <c r="P97" s="7">
        <f>24*60*SUM($M97:$M97)</f>
        <v>35.399999998044223</v>
      </c>
      <c r="Q97" s="22"/>
      <c r="R97" s="173" t="s">
        <v>585</v>
      </c>
      <c r="S97" s="176">
        <f t="shared" si="29"/>
        <v>1</v>
      </c>
      <c r="T97" s="202" t="str">
        <f t="shared" si="30"/>
        <v>NorthBound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31"/>
        <v>https://d0f6bd738d7f1b3e5a7ca70fe4ff75f0.us-east-1.aws.found.io/app/kibana#/discover/Steve-Slow-Train-Analysis-(2080s-and-2083s)?_g=(refreshInterval:(display:Off,pause:!f,section:0,value:0),time:(from:'2017-06-09T13:10:08-0600',mode:absolute,to:'2017-06-09T16:02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7" s="204" t="str">
        <f t="shared" si="32"/>
        <v>Y</v>
      </c>
      <c r="X97" s="204">
        <f t="shared" si="33"/>
        <v>1</v>
      </c>
      <c r="Y97" s="204">
        <f t="shared" si="34"/>
        <v>1.9128000000000001</v>
      </c>
      <c r="Z97" s="204">
        <f t="shared" si="35"/>
        <v>23.3293</v>
      </c>
      <c r="AA97" s="204">
        <f t="shared" si="36"/>
        <v>21.416499999999999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7"/>
        <v>0185-09</v>
      </c>
      <c r="AE97" s="80" t="str">
        <f t="shared" si="38"/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AF97" s="77" t="str">
        <f t="shared" si="39"/>
        <v>"C:\Program Files (x86)\AstroGrep\AstroGrep.exe" /e /r /s /spath="%USERPROFILE%\AppData\Local\Temp\OnboardLogs" /stypes="app*4046*20170609*" /stext=" 21:.+((SYSTEM_STATE.+slice.+state.+changed )|(ment ac)|(multiple cpu faults)|(system.+state.+changed )|(\[timeout)|(PRM\|1\|D)|(kpr)|(kdp)|(train st.+moving)|(\|lc)|(penalty))"</v>
      </c>
      <c r="AG97" s="1" t="str">
        <f t="shared" si="40"/>
        <v>EC</v>
      </c>
      <c r="AH97" s="81" t="str">
        <f t="shared" si="42"/>
        <v>"%USERPROFILE%\Documents\GitHub\eaglep3\Utilities\RefineRTDCRunTimes.py" --tripid 185-09 --locoid 4046 --swversion DE.1.0.9.0 --startMP 204:19128 --initTime 2017-06-09T14:10:08 --startdatetime 2017-06-09T14:27:08 --delay 16 --endMP 204:233293 --enddatetime 2017-06-09T15:02:32 --enforcementcount 0 &gt;&gt;C:\Users\stu\Documents\GitHub\eaglep3-reporting\EC\2017-06-09-refined-times.txt</v>
      </c>
      <c r="AI97" s="99" t="str">
        <f t="shared" si="43"/>
        <v>echo {"issue":{"subject":"Onboard in-route failure","project_id":79,"tracker_id":40,"status_id":1,"priority_id":2,"assigned_to_id":23,"start_date":"2017-06-09","description":"","custom_fields":[{"id":1,"name":"Subdivision","value":"EC"},{"id":4,"name":"Milepost","value":"23.3293"},{"id":17,"name":"Train ID","value":"185-09"},{"id":16,"name":"Locomotive ID","value":"4046"},{"id":130,"name":"Impact","value":""},{"id":150,"name":"Time of Event (Mountain Time)","value":"15:02:32"},{"id":151,"name":"Denver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4"/>
        <v>start /low /b %USERPROFILE%\Documents\GitHub\eaglep3\Utilities\DownloadLogsFromS3.py --loco 4046 --day 2017-06-09</v>
      </c>
      <c r="AN97" s="154" t="str">
        <f t="shared" si="45"/>
        <v>echo {"issue":{"subject":"Onboard in-route failure","project_id":30,"tracker_id":4,"status_id":1,"priority_id":1,"assigned_to_id":10,"start_date":"2017-06-09","description":"","custom_fields":[{"id":30,"name":"Category","value":"Issue"},{"id":3,"name":"Functional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21:02:32"},{"id":29,"name":"Sharepoint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611</v>
      </c>
      <c r="B98" s="7">
        <v>4046</v>
      </c>
      <c r="C98" s="21" t="s">
        <v>204</v>
      </c>
      <c r="D98" s="21" t="s">
        <v>358</v>
      </c>
      <c r="E98" s="13">
        <v>42895.590370370373</v>
      </c>
      <c r="F98" s="13">
        <v>42895.602175925924</v>
      </c>
      <c r="G98" s="7">
        <v>2</v>
      </c>
      <c r="H98" s="21" t="s">
        <v>398</v>
      </c>
      <c r="I98" s="13">
        <v>42895.626759259256</v>
      </c>
      <c r="J98" s="7">
        <v>0</v>
      </c>
      <c r="K98" s="92" t="str">
        <f t="shared" si="27"/>
        <v>4045/4046</v>
      </c>
      <c r="L98" s="21" t="str">
        <f>VLOOKUP(A98,'Trips&amp;Operators'!$C$1:$G$99999,5,FALSE)</f>
        <v>MAYBERRY BILL</v>
      </c>
      <c r="M98" s="6">
        <f t="shared" si="28"/>
        <v>2.4583333331975155E-2</v>
      </c>
      <c r="N98" s="7"/>
      <c r="O98" s="7"/>
      <c r="P98" s="7"/>
      <c r="Q98" s="22"/>
      <c r="R98" s="173"/>
      <c r="S98" s="176"/>
      <c r="T98" s="202" t="str">
        <f t="shared" si="30"/>
        <v>NorthBound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31"/>
        <v>https://d0f6bd738d7f1b3e5a7ca70fe4ff75f0.us-east-1.aws.found.io/app/kibana#/discover/Steve-Slow-Train-Analysis-(2080s-and-2083s)?_g=(refreshInterval:(display:Off,pause:!f,section:0,value:0),time:(from:'2017-06-09T13:10:08-0600',mode:absolute,to:'2017-06-09T16:02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8" s="204" t="str">
        <f t="shared" si="32"/>
        <v>N</v>
      </c>
      <c r="X98" s="204">
        <f t="shared" si="33"/>
        <v>0</v>
      </c>
      <c r="Y98" s="204">
        <f t="shared" si="34"/>
        <v>4.6399999999999997E-2</v>
      </c>
      <c r="Z98" s="204">
        <f t="shared" si="35"/>
        <v>23.3293</v>
      </c>
      <c r="AA98" s="204">
        <f t="shared" si="36"/>
        <v>23.282900000000001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7"/>
        <v>0185-09</v>
      </c>
      <c r="AE98" s="80" t="str">
        <f t="shared" si="38"/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AF98" s="77" t="str">
        <f t="shared" si="39"/>
        <v>"C:\Program Files (x86)\AstroGrep\AstroGrep.exe" /e /r /s /spath="%USERPROFILE%\AppData\Local\Temp\OnboardLogs" /stypes="app*4046*20170609*" /stext=" 21:.+((SYSTEM_STATE.+slice.+state.+changed )|(ment ac)|(multiple cpu faults)|(system.+state.+changed )|(\[timeout)|(PRM\|1\|D)|(kpr)|(kdp)|(train st.+moving)|(\|lc)|(penalty))"</v>
      </c>
      <c r="AG98" s="1" t="str">
        <f t="shared" si="40"/>
        <v>EC</v>
      </c>
      <c r="AH98" s="81" t="str">
        <f t="shared" si="42"/>
        <v>"%USERPROFILE%\Documents\GitHub\eaglep3\Utilities\RefineRTDCRunTimes.py" --tripid 185-09 --locoid 4046 --swversion DE.1.0.9.0 --startMP 204:464 --initTime 2017-06-09T14:10:08 --startdatetime 2017-06-09T14:27:08 --delay 2 --endMP 204:233293 --enddatetime 2017-06-09T15:02:32 --enforcementcount 0 &gt;&gt;C:\Users\stu\Documents\GitHub\eaglep3-reporting\EC\2017-06-09-refined-times.txt</v>
      </c>
      <c r="AI98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{"issue":{"subject":"","project_id":79,"tracker_id":40,"status_id":1,"priority_id":2,"assigned_to_id":23,"start_date":"2017-06-09","description":"","custom_fields":[{"id":1,"name":"Subdivision","value":"EC"},{"id":4,"name":"Milepost","value":"23.3293"},{"id":17,"name":"Train ID","value":"185-09"},{"id":16,"name":"Locomotive ID","value":"4046"},{"id":130,"name":"Impact","value":""},{"id":150,"name":"Time of Event (Mountain Time)","value":"15:02:32"},{"id":151,"name":"Denver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4"/>
        <v>start /low /b %USERPROFILE%\Documents\GitHub\eaglep3\Utilities\DownloadLogsFromS3.py --loco 4046 --day 2017-06-09</v>
      </c>
      <c r="AN98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21:02:32"},{"id":29,"name":"Sharepoint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753</v>
      </c>
      <c r="B99" s="7">
        <v>4045</v>
      </c>
      <c r="C99" s="21" t="s">
        <v>204</v>
      </c>
      <c r="D99" s="21" t="s">
        <v>844</v>
      </c>
      <c r="E99" s="13">
        <v>42895.62835648148</v>
      </c>
      <c r="F99" s="13">
        <v>42895.633750000001</v>
      </c>
      <c r="G99" s="7">
        <v>2</v>
      </c>
      <c r="H99" s="21" t="s">
        <v>352</v>
      </c>
      <c r="I99" s="13">
        <v>42895.660636574074</v>
      </c>
      <c r="J99" s="7">
        <v>0</v>
      </c>
      <c r="K99" s="92" t="str">
        <f t="shared" si="27"/>
        <v>4045/4046</v>
      </c>
      <c r="L99" s="21" t="str">
        <f>VLOOKUP(A99,'Trips&amp;Operators'!$C$1:$G$99999,5,FALSE)</f>
        <v>MAYBERRY BILL</v>
      </c>
      <c r="M99" s="6">
        <f t="shared" si="28"/>
        <v>2.6886574072705116E-2</v>
      </c>
      <c r="N99" s="7">
        <f t="shared" ref="N99:N122" si="46">24*60*SUM($M99:$M99)</f>
        <v>38.716666664695367</v>
      </c>
      <c r="O99" s="7"/>
      <c r="P99" s="7"/>
      <c r="Q99" s="22"/>
      <c r="R99" s="173"/>
      <c r="S99" s="176">
        <f t="shared" ref="S99:S130" si="47">SUM(U99:U99)/IF(AG99="EC",12,1)</f>
        <v>1</v>
      </c>
      <c r="T99" s="202" t="str">
        <f t="shared" si="30"/>
        <v>Southbound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31"/>
        <v>https://d0f6bd738d7f1b3e5a7ca70fe4ff75f0.us-east-1.aws.found.io/app/kibana#/discover/Steve-Slow-Train-Analysis-(2080s-and-2083s)?_g=(refreshInterval:(display:Off,pause:!f,section:0,value:0),time:(from:'2017-06-09T14:04:50-0600',mode:absolute,to:'2017-06-09T16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9" s="204" t="str">
        <f t="shared" si="32"/>
        <v>N</v>
      </c>
      <c r="X99" s="204">
        <f t="shared" si="33"/>
        <v>1</v>
      </c>
      <c r="Y99" s="204">
        <f t="shared" si="34"/>
        <v>23.296600000000002</v>
      </c>
      <c r="Z99" s="204">
        <f t="shared" si="35"/>
        <v>1.4999999999999999E-2</v>
      </c>
      <c r="AA99" s="204">
        <f t="shared" si="36"/>
        <v>23.281600000000001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7"/>
        <v>0186-09</v>
      </c>
      <c r="AE99" s="80" t="str">
        <f t="shared" si="38"/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AF99" s="77" t="str">
        <f t="shared" si="39"/>
        <v>"C:\Program Files (x86)\AstroGrep\AstroGrep.exe" /e /r /s /spath="%USERPROFILE%\AppData\Local\Temp\OnboardLogs" /stypes="app*4045*20170609*" /stext=" 21:.+((SYSTEM_STATE.+slice.+state.+changed )|(ment ac)|(multiple cpu faults)|(system.+state.+changed )|(\[timeout)|(PRM\|1\|D)|(kpr)|(kdp)|(train st.+moving)|(\|lc)|(penalty))"</v>
      </c>
      <c r="AG99" s="1" t="str">
        <f t="shared" si="40"/>
        <v>EC</v>
      </c>
      <c r="AH99" s="81" t="str">
        <f t="shared" si="42"/>
        <v>"%USERPROFILE%\Documents\GitHub\eaglep3\Utilities\RefineRTDCRunTimes.py" --tripid 186-09 --locoid 4045 --swversion DE.1.0.9.0 --startMP 204:232966 --initTime 2017-06-09T15:04:50 --startdatetime 2017-06-09T15:12:36 --delay 2 --endMP 204:150 --enddatetime 2017-06-09T15:51:19 --enforcementcount 0 &gt;&gt;C:\Users\stu\Documents\GitHub\eaglep3-reporting\EC\2017-06-09-refined-times.txt</v>
      </c>
      <c r="AI99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{"issue":{"subject":"","project_id":79,"tracker_id":40,"status_id":1,"priority_id":2,"assigned_to_id":23,"start_date":"2017-06-09","description":"","custom_fields":[{"id":1,"name":"Subdivision","value":"EC"},{"id":4,"name":"Milepost","value":"0.015"},{"id":17,"name":"Train ID","value":"186-09"},{"id":16,"name":"Locomotive ID","value":"4045"},{"id":130,"name":"Impact","value":""},{"id":150,"name":"Time of Event (Mountain Time)","value":"15:51:19"},{"id":151,"name":"Denver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4"/>
        <v>start /low /b %USERPROFILE%\Documents\GitHub\eaglep3\Utilities\DownloadLogsFromS3.py --loco 4045 --day 2017-06-09</v>
      </c>
      <c r="AN99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21:51:19"},{"id":29,"name":"Sharepoint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609</v>
      </c>
      <c r="B100" s="7">
        <v>4020</v>
      </c>
      <c r="C100" s="21" t="s">
        <v>204</v>
      </c>
      <c r="D100" s="21" t="s">
        <v>345</v>
      </c>
      <c r="E100" s="13">
        <v>42895.60260416667</v>
      </c>
      <c r="F100" s="13">
        <v>42895.604641203703</v>
      </c>
      <c r="G100" s="7">
        <v>2</v>
      </c>
      <c r="H100" s="21" t="s">
        <v>467</v>
      </c>
      <c r="I100" s="13">
        <v>42895.63076388889</v>
      </c>
      <c r="J100" s="7">
        <v>0</v>
      </c>
      <c r="K100" s="92" t="str">
        <f t="shared" si="27"/>
        <v>4019/4020</v>
      </c>
      <c r="L100" s="21" t="str">
        <f>VLOOKUP(A100,'Trips&amp;Operators'!$C$1:$G$99999,5,FALSE)</f>
        <v>HOLCOMB KAMDEN</v>
      </c>
      <c r="M100" s="6">
        <f t="shared" si="28"/>
        <v>2.6122685187146999E-2</v>
      </c>
      <c r="N100" s="7">
        <f t="shared" si="46"/>
        <v>37.616666669491678</v>
      </c>
      <c r="O100" s="7"/>
      <c r="P100" s="7"/>
      <c r="Q100" s="22"/>
      <c r="R100" s="173"/>
      <c r="S100" s="176">
        <f t="shared" si="47"/>
        <v>1</v>
      </c>
      <c r="T100" s="202" t="str">
        <f t="shared" si="30"/>
        <v>NorthBound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31"/>
        <v>https://d0f6bd738d7f1b3e5a7ca70fe4ff75f0.us-east-1.aws.found.io/app/kibana#/discover/Steve-Slow-Train-Analysis-(2080s-and-2083s)?_g=(refreshInterval:(display:Off,pause:!f,section:0,value:0),time:(from:'2017-06-09T13:27:45-0600',mode:absolute,to:'2017-06-09T16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0" s="204" t="str">
        <f t="shared" si="32"/>
        <v>N</v>
      </c>
      <c r="X100" s="204">
        <f t="shared" si="33"/>
        <v>1</v>
      </c>
      <c r="Y100" s="204">
        <f t="shared" si="34"/>
        <v>4.4900000000000002E-2</v>
      </c>
      <c r="Z100" s="204">
        <f t="shared" si="35"/>
        <v>23.328900000000001</v>
      </c>
      <c r="AA100" s="204">
        <f t="shared" si="36"/>
        <v>23.284000000000002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7"/>
        <v>0187-09</v>
      </c>
      <c r="AE100" s="80" t="str">
        <f t="shared" si="38"/>
        <v>aws s3 cp s3://rtdc.mdm.uploadarchive.raw/RTDC4020/ "%USERPROFILE%\AppData\Local\Temp\OnboardLogs"\RTDC4020\2017-06-09 --exclude "*" --recursive --include "*20170609*" &amp; "%USERPROFILE%\Documents\GitHub\mrs-test-scripts\Headless Mode &amp; Sideloading\WalkAndUnGZ.bat" "%USERPROFILE%\AppData\Local\Temp\OnboardLogs"\RTDC4020\2017-06-09 &amp; aws s3 cp s3://rtdc.mdm.uploadarchive.raw/RTDC4020/ "%USERPROFILE%\AppData\Local\Temp\OnboardLogs"\RTDC4020\2017-06-10 --exclude "*" --recursive --include "*20170610*" &amp; "%USERPROFILE%\Documents\GitHub\mrs-test-scripts\Headless Mode &amp; Sideloading\WalkAndUnGZ.bat" "%USERPROFILE%\AppData\Local\Temp\OnboardLogs"\RTDC4020\2017-06-10</v>
      </c>
      <c r="AF100" s="77" t="str">
        <f t="shared" si="39"/>
        <v>"C:\Program Files (x86)\AstroGrep\AstroGrep.exe" /e /r /s /spath="%USERPROFILE%\AppData\Local\Temp\OnboardLogs" /stypes="app*4020*20170609*" /stext=" 21:.+((SYSTEM_STATE.+slice.+state.+changed )|(ment ac)|(multiple cpu faults)|(system.+state.+changed )|(\[timeout)|(PRM\|1\|D)|(kpr)|(kdp)|(train st.+moving)|(\|lc)|(penalty))"</v>
      </c>
      <c r="AG100" s="1" t="str">
        <f t="shared" si="40"/>
        <v>EC</v>
      </c>
      <c r="AH100" s="81" t="str">
        <f t="shared" si="42"/>
        <v>"%USERPROFILE%\Documents\GitHub\eaglep3\Utilities\RefineRTDCRunTimes.py" --tripid 187-09 --locoid 4020 --swversion DE.1.0.9.0 --startMP 204:449 --initTime 2017-06-09T14:27:45 --startdatetime 2017-06-09T14:30:41 --delay 2 --endMP 204:233289 --enddatetime 2017-06-09T15:08:18 --enforcementcount 0 &gt;&gt;C:\Users\stu\Documents\GitHub\eaglep3-reporting\EC\2017-06-09-refined-times.txt</v>
      </c>
      <c r="AI100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{"issue":{"subject":"","project_id":79,"tracker_id":40,"status_id":1,"priority_id":2,"assigned_to_id":23,"start_date":"2017-06-09","description":"","custom_fields":[{"id":1,"name":"Subdivision","value":"EC"},{"id":4,"name":"Milepost","value":"23.3289"},{"id":17,"name":"Train ID","value":"187-09"},{"id":16,"name":"Locomotive ID","value":"4020"},{"id":130,"name":"Impact","value":""},{"id":150,"name":"Time of Event (Mountain Time)","value":"15:08:18"},{"id":151,"name":"Denver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5" t="str">
        <f t="shared" si="44"/>
        <v>start /low /b %USERPROFILE%\Documents\GitHub\eaglep3\Utilities\DownloadLogsFromS3.py --loco 4020 --day 2017-06-09</v>
      </c>
      <c r="AN100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21:08:18"},{"id":29,"name":"Sharepoint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1" spans="1:91" s="20" customFormat="1" x14ac:dyDescent="0.25">
      <c r="A101" s="32" t="s">
        <v>756</v>
      </c>
      <c r="B101" s="7">
        <v>4019</v>
      </c>
      <c r="C101" s="21" t="s">
        <v>204</v>
      </c>
      <c r="D101" s="21" t="s">
        <v>840</v>
      </c>
      <c r="E101" s="13">
        <v>42895.639305555553</v>
      </c>
      <c r="F101" s="13">
        <v>42895.644155092596</v>
      </c>
      <c r="G101" s="7">
        <v>2</v>
      </c>
      <c r="H101" s="21" t="s">
        <v>542</v>
      </c>
      <c r="I101" s="13">
        <v>42895.670405092591</v>
      </c>
      <c r="J101" s="7">
        <v>0</v>
      </c>
      <c r="K101" s="92" t="str">
        <f t="shared" si="27"/>
        <v>4019/4020</v>
      </c>
      <c r="L101" s="21" t="str">
        <f>VLOOKUP(A101,'Trips&amp;Operators'!$C$1:$G$99999,5,FALSE)</f>
        <v>HOLCOMB KAMDEN</v>
      </c>
      <c r="M101" s="6">
        <f t="shared" si="28"/>
        <v>2.6249999995343387E-2</v>
      </c>
      <c r="N101" s="7">
        <f t="shared" si="46"/>
        <v>37.799999993294477</v>
      </c>
      <c r="O101" s="7"/>
      <c r="P101" s="7"/>
      <c r="Q101" s="22"/>
      <c r="R101" s="173"/>
      <c r="S101" s="176">
        <f t="shared" si="47"/>
        <v>1</v>
      </c>
      <c r="T101" s="202" t="str">
        <f t="shared" si="30"/>
        <v>Southbound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31"/>
        <v>https://d0f6bd738d7f1b3e5a7ca70fe4ff75f0.us-east-1.aws.found.io/app/kibana#/discover/Steve-Slow-Train-Analysis-(2080s-and-2083s)?_g=(refreshInterval:(display:Off,pause:!f,section:0,value:0),time:(from:'2017-06-09T14:20:36-0600',mode:absolute,to:'2017-06-09T17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1" s="204" t="str">
        <f t="shared" si="32"/>
        <v>N</v>
      </c>
      <c r="X101" s="204">
        <f t="shared" si="33"/>
        <v>1</v>
      </c>
      <c r="Y101" s="204">
        <f t="shared" si="34"/>
        <v>23.2973</v>
      </c>
      <c r="Z101" s="204">
        <f t="shared" si="35"/>
        <v>1.2500000000000001E-2</v>
      </c>
      <c r="AA101" s="204">
        <f t="shared" si="36"/>
        <v>23.284800000000001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7"/>
        <v>0188-09</v>
      </c>
      <c r="AE101" s="80" t="str">
        <f t="shared" si="38"/>
        <v>aws s3 cp s3://rtdc.mdm.uploadarchive.raw/RTDC4019/ "%USERPROFILE%\AppData\Local\Temp\OnboardLogs"\RTDC4019\2017-06-09 --exclude "*" --recursive --include "*20170609*" &amp; "%USERPROFILE%\Documents\GitHub\mrs-test-scripts\Headless Mode &amp; Sideloading\WalkAndUnGZ.bat" "%USERPROFILE%\AppData\Local\Temp\OnboardLogs"\RTDC4019\2017-06-09 &amp; aws s3 cp s3://rtdc.mdm.uploadarchive.raw/RTDC4019/ "%USERPROFILE%\AppData\Local\Temp\OnboardLogs"\RTDC4019\2017-06-10 --exclude "*" --recursive --include "*20170610*" &amp; "%USERPROFILE%\Documents\GitHub\mrs-test-scripts\Headless Mode &amp; Sideloading\WalkAndUnGZ.bat" "%USERPROFILE%\AppData\Local\Temp\OnboardLogs"\RTDC4019\2017-06-10</v>
      </c>
      <c r="AF101" s="77" t="str">
        <f t="shared" si="39"/>
        <v>"C:\Program Files (x86)\AstroGrep\AstroGrep.exe" /e /r /s /spath="%USERPROFILE%\AppData\Local\Temp\OnboardLogs" /stypes="app*4019*20170609*" /stext=" 22:.+((SYSTEM_STATE.+slice.+state.+changed )|(ment ac)|(multiple cpu faults)|(system.+state.+changed )|(\[timeout)|(PRM\|1\|D)|(kpr)|(kdp)|(train st.+moving)|(\|lc)|(penalty))"</v>
      </c>
      <c r="AG101" s="1" t="str">
        <f t="shared" si="40"/>
        <v>EC</v>
      </c>
      <c r="AH101" s="81" t="str">
        <f t="shared" si="42"/>
        <v>"%USERPROFILE%\Documents\GitHub\eaglep3\Utilities\RefineRTDCRunTimes.py" --tripid 188-09 --locoid 4019 --swversion DE.1.0.9.0 --startMP 204:232973 --initTime 2017-06-09T15:20:36 --startdatetime 2017-06-09T15:27:35 --delay 2 --endMP 204:125 --enddatetime 2017-06-09T16:05:23 --enforcementcount 0 &gt;&gt;C:\Users\stu\Documents\GitHub\eaglep3-reporting\EC\2017-06-09-refined-times.txt</v>
      </c>
      <c r="AI101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{"issue":{"subject":"","project_id":79,"tracker_id":40,"status_id":1,"priority_id":2,"assigned_to_id":23,"start_date":"2017-06-09","description":"","custom_fields":[{"id":1,"name":"Subdivision","value":"EC"},{"id":4,"name":"Milepost","value":"0.0125"},{"id":17,"name":"Train ID","value":"188-09"},{"id":16,"name":"Locomotive ID","value":"4019"},{"id":130,"name":"Impact","value":""},{"id":150,"name":"Time of Event (Mountain Time)","value":"16:05:23"},{"id":151,"name":"Denver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4"/>
        <v>start /low /b %USERPROFILE%\Documents\GitHub\eaglep3\Utilities\DownloadLogsFromS3.py --loco 4019 --day 2017-06-09</v>
      </c>
      <c r="AN101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613</v>
      </c>
      <c r="B102" s="7">
        <v>4030</v>
      </c>
      <c r="C102" s="21" t="s">
        <v>204</v>
      </c>
      <c r="D102" s="21" t="s">
        <v>510</v>
      </c>
      <c r="E102" s="13">
        <v>42895.612488425926</v>
      </c>
      <c r="F102" s="13">
        <v>42895.614722222221</v>
      </c>
      <c r="G102" s="7">
        <v>1</v>
      </c>
      <c r="H102" s="21" t="s">
        <v>862</v>
      </c>
      <c r="I102" s="13">
        <v>42895.640729166669</v>
      </c>
      <c r="J102" s="7">
        <v>0</v>
      </c>
      <c r="K102" s="92" t="str">
        <f t="shared" si="27"/>
        <v>4029/4030</v>
      </c>
      <c r="L102" s="21" t="str">
        <f>VLOOKUP(A102,'Trips&amp;Operators'!$C$1:$G$99999,5,FALSE)</f>
        <v>BRANDNER MELINDA</v>
      </c>
      <c r="M102" s="6">
        <f t="shared" si="28"/>
        <v>2.6006944448454306E-2</v>
      </c>
      <c r="N102" s="7">
        <f t="shared" si="46"/>
        <v>37.4500000057742</v>
      </c>
      <c r="O102" s="7"/>
      <c r="P102" s="7"/>
      <c r="Q102" s="22"/>
      <c r="R102" s="173"/>
      <c r="S102" s="176">
        <f t="shared" si="47"/>
        <v>1</v>
      </c>
      <c r="T102" s="202" t="str">
        <f t="shared" si="30"/>
        <v>NorthBound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31"/>
        <v>https://d0f6bd738d7f1b3e5a7ca70fe4ff75f0.us-east-1.aws.found.io/app/kibana#/discover/Steve-Slow-Train-Analysis-(2080s-and-2083s)?_g=(refreshInterval:(display:Off,pause:!f,section:0,value:0),time:(from:'2017-06-09T13:41:59-0600',mode:absolute,to:'2017-06-09T16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2" s="204" t="str">
        <f t="shared" si="32"/>
        <v>N</v>
      </c>
      <c r="X102" s="204">
        <f t="shared" si="33"/>
        <v>1</v>
      </c>
      <c r="Y102" s="204">
        <f t="shared" si="34"/>
        <v>4.3799999999999999E-2</v>
      </c>
      <c r="Z102" s="204">
        <f t="shared" si="35"/>
        <v>23.3385</v>
      </c>
      <c r="AA102" s="204">
        <f t="shared" si="36"/>
        <v>23.294699999999999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7"/>
        <v>0189-09</v>
      </c>
      <c r="AE102" s="80" t="str">
        <f t="shared" si="38"/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AF102" s="77" t="str">
        <f t="shared" si="39"/>
        <v>"C:\Program Files (x86)\AstroGrep\AstroGrep.exe" /e /r /s /spath="%USERPROFILE%\AppData\Local\Temp\OnboardLogs" /stypes="app*4030*20170609*" /stext=" 21:.+((SYSTEM_STATE.+slice.+state.+changed )|(ment ac)|(multiple cpu faults)|(system.+state.+changed )|(\[timeout)|(PRM\|1\|D)|(kpr)|(kdp)|(train st.+moving)|(\|lc)|(penalty))"</v>
      </c>
      <c r="AG102" s="1" t="str">
        <f t="shared" si="40"/>
        <v>EC</v>
      </c>
      <c r="AH102" s="81" t="str">
        <f t="shared" si="42"/>
        <v>"%USERPROFILE%\Documents\GitHub\eaglep3\Utilities\RefineRTDCRunTimes.py" --tripid 189-09 --locoid 4030 --swversion DE.1.0.9.0 --startMP 204:438 --initTime 2017-06-09T14:41:59 --startdatetime 2017-06-09T14:45:12 --delay 1 --endMP 204:233385 --enddatetime 2017-06-09T15:22:39 --enforcementcount 0 &gt;&gt;C:\Users\stu\Documents\GitHub\eaglep3-reporting\EC\2017-06-09-refined-times.txt</v>
      </c>
      <c r="AI102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{"issue":{"subject":"","project_id":79,"tracker_id":40,"status_id":1,"priority_id":2,"assigned_to_id":23,"start_date":"2017-06-09","description":"","custom_fields":[{"id":1,"name":"Subdivision","value":"EC"},{"id":4,"name":"Milepost","value":"23.3385"},{"id":17,"name":"Train ID","value":"189-09"},{"id":16,"name":"Locomotive ID","value":"4030"},{"id":130,"name":"Impact","value":""},{"id":150,"name":"Time of Event (Mountain Time)","value":"15:22:39"},{"id":151,"name":"Denver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4"/>
        <v>start /low /b %USERPROFILE%\Documents\GitHub\eaglep3\Utilities\DownloadLogsFromS3.py --loco 4030 --day 2017-06-09</v>
      </c>
      <c r="AN102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21:22:39"},{"id":29,"name":"Sharepoint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761</v>
      </c>
      <c r="B103" s="7">
        <v>4029</v>
      </c>
      <c r="C103" s="21" t="s">
        <v>204</v>
      </c>
      <c r="D103" s="21" t="s">
        <v>863</v>
      </c>
      <c r="E103" s="13">
        <v>42895.651979166665</v>
      </c>
      <c r="F103" s="13">
        <v>42895.654513888891</v>
      </c>
      <c r="G103" s="7">
        <v>1</v>
      </c>
      <c r="H103" s="21" t="s">
        <v>864</v>
      </c>
      <c r="I103" s="13">
        <v>42895.681643518517</v>
      </c>
      <c r="J103" s="7">
        <v>0</v>
      </c>
      <c r="K103" s="92" t="str">
        <f t="shared" si="27"/>
        <v>4029/4030</v>
      </c>
      <c r="L103" s="21" t="str">
        <f>VLOOKUP(A103,'Trips&amp;Operators'!$C$1:$G$99999,5,FALSE)</f>
        <v>BRANDNER MELINDA</v>
      </c>
      <c r="M103" s="6">
        <f t="shared" si="28"/>
        <v>2.7129629626870155E-2</v>
      </c>
      <c r="N103" s="7">
        <f t="shared" si="46"/>
        <v>39.066666662693024</v>
      </c>
      <c r="O103" s="7"/>
      <c r="P103" s="7"/>
      <c r="Q103" s="22"/>
      <c r="R103" s="173"/>
      <c r="S103" s="176">
        <f t="shared" si="47"/>
        <v>1</v>
      </c>
      <c r="T103" s="202" t="str">
        <f t="shared" si="30"/>
        <v>Southbound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31"/>
        <v>https://d0f6bd738d7f1b3e5a7ca70fe4ff75f0.us-east-1.aws.found.io/app/kibana#/discover/Steve-Slow-Train-Analysis-(2080s-and-2083s)?_g=(refreshInterval:(display:Off,pause:!f,section:0,value:0),time:(from:'2017-06-09T14:38:51-0600',mode:absolute,to:'2017-06-09T17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3" s="204" t="str">
        <f t="shared" si="32"/>
        <v>N</v>
      </c>
      <c r="X103" s="204">
        <f t="shared" si="33"/>
        <v>1</v>
      </c>
      <c r="Y103" s="204">
        <f t="shared" si="34"/>
        <v>23.307200000000002</v>
      </c>
      <c r="Z103" s="204">
        <f t="shared" si="35"/>
        <v>1.1599999999999999E-2</v>
      </c>
      <c r="AA103" s="204">
        <f t="shared" si="36"/>
        <v>23.2956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7"/>
        <v>0190-09</v>
      </c>
      <c r="AE103" s="80" t="str">
        <f t="shared" si="38"/>
        <v>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 &amp; 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</v>
      </c>
      <c r="AF103" s="77" t="str">
        <f t="shared" si="39"/>
        <v>"C:\Program Files (x86)\AstroGrep\AstroGrep.exe" /e /r /s /spath="%USERPROFILE%\AppData\Local\Temp\OnboardLogs" /stypes="app*4029*20170609*" /stext=" 22:.+((SYSTEM_STATE.+slice.+state.+changed )|(ment ac)|(multiple cpu faults)|(system.+state.+changed )|(\[timeout)|(PRM\|1\|D)|(kpr)|(kdp)|(train st.+moving)|(\|lc)|(penalty))"</v>
      </c>
      <c r="AG103" s="1" t="str">
        <f t="shared" si="40"/>
        <v>EC</v>
      </c>
      <c r="AH103" s="81" t="str">
        <f t="shared" si="42"/>
        <v>"%USERPROFILE%\Documents\GitHub\eaglep3\Utilities\RefineRTDCRunTimes.py" --tripid 190-09 --locoid 4029 --swversion DE.1.0.9.0 --startMP 204:233072 --initTime 2017-06-09T15:38:51 --startdatetime 2017-06-09T15:42:30 --delay 1 --endMP 204:116 --enddatetime 2017-06-09T16:21:34 --enforcementcount 0 &gt;&gt;C:\Users\stu\Documents\GitHub\eaglep3-reporting\EC\2017-06-09-refined-times.txt</v>
      </c>
      <c r="AI103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{"issue":{"subject":"","project_id":79,"tracker_id":40,"status_id":1,"priority_id":2,"assigned_to_id":23,"start_date":"2017-06-09","description":"","custom_fields":[{"id":1,"name":"Subdivision","value":"EC"},{"id":4,"name":"Milepost","value":"0.0116"},{"id":17,"name":"Train ID","value":"190-09"},{"id":16,"name":"Locomotive ID","value":"4029"},{"id":130,"name":"Impact","value":""},{"id":150,"name":"Time of Event (Mountain Time)","value":"16:21:34"},{"id":151,"name":"Denver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4"/>
        <v>start /low /b %USERPROFILE%\Documents\GitHub\eaglep3\Utilities\DownloadLogsFromS3.py --loco 4029 --day 2017-06-09</v>
      </c>
      <c r="AN103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22:21:34"},{"id":29,"name":"Sharepoint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752</v>
      </c>
      <c r="B104" s="7">
        <v>4006</v>
      </c>
      <c r="C104" s="21" t="s">
        <v>204</v>
      </c>
      <c r="D104" s="21" t="s">
        <v>351</v>
      </c>
      <c r="E104" s="13">
        <v>42895.622303240743</v>
      </c>
      <c r="F104" s="13">
        <v>42895.625300925924</v>
      </c>
      <c r="G104" s="7">
        <v>1</v>
      </c>
      <c r="H104" s="21" t="s">
        <v>513</v>
      </c>
      <c r="I104" s="13">
        <v>42895.651678240742</v>
      </c>
      <c r="J104" s="7">
        <v>0</v>
      </c>
      <c r="K104" s="92" t="str">
        <f t="shared" si="27"/>
        <v>4005/4006</v>
      </c>
      <c r="L104" s="21" t="str">
        <f>VLOOKUP(A104,'Trips&amp;Operators'!$C$1:$G$99999,5,FALSE)</f>
        <v>STEWART MICHAEL</v>
      </c>
      <c r="M104" s="6">
        <f t="shared" si="28"/>
        <v>2.6377314818091691E-2</v>
      </c>
      <c r="N104" s="7">
        <f t="shared" si="46"/>
        <v>37.983333338052034</v>
      </c>
      <c r="O104" s="7"/>
      <c r="P104" s="7"/>
      <c r="Q104" s="22"/>
      <c r="R104" s="173"/>
      <c r="S104" s="176">
        <f t="shared" si="47"/>
        <v>1</v>
      </c>
      <c r="T104" s="202" t="str">
        <f t="shared" si="30"/>
        <v>NorthBound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31"/>
        <v>https://d0f6bd738d7f1b3e5a7ca70fe4ff75f0.us-east-1.aws.found.io/app/kibana#/discover/Steve-Slow-Train-Analysis-(2080s-and-2083s)?_g=(refreshInterval:(display:Off,pause:!f,section:0,value:0),time:(from:'2017-06-09T13:56:07-0600',mode:absolute,to:'2017-06-09T16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4" s="204" t="str">
        <f t="shared" si="32"/>
        <v>N</v>
      </c>
      <c r="X104" s="204">
        <f t="shared" si="33"/>
        <v>1</v>
      </c>
      <c r="Y104" s="204">
        <f t="shared" si="34"/>
        <v>4.58E-2</v>
      </c>
      <c r="Z104" s="204">
        <f t="shared" si="35"/>
        <v>23.328199999999999</v>
      </c>
      <c r="AA104" s="204">
        <f t="shared" si="36"/>
        <v>23.282399999999999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7"/>
        <v>0191-09</v>
      </c>
      <c r="AE104" s="80" t="str">
        <f t="shared" si="38"/>
        <v>aws s3 cp s3://rtdc.mdm.uploadarchive.raw/RTDC4006/ "%USERPROFILE%\AppData\Local\Temp\OnboardLogs"\RTDC4006\2017-06-09 --exclude "*" --recursive --include "*20170609*" &amp; "%USERPROFILE%\Documents\GitHub\mrs-test-scripts\Headless Mode &amp; Sideloading\WalkAndUnGZ.bat" "%USERPROFILE%\AppData\Local\Temp\OnboardLogs"\RTDC4006\2017-06-09 &amp; 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</v>
      </c>
      <c r="AF104" s="77" t="str">
        <f t="shared" si="39"/>
        <v>"C:\Program Files (x86)\AstroGrep\AstroGrep.exe" /e /r /s /spath="%USERPROFILE%\AppData\Local\Temp\OnboardLogs" /stypes="app*4006*20170609*" /stext=" 21:.+((SYSTEM_STATE.+slice.+state.+changed )|(ment ac)|(multiple cpu faults)|(system.+state.+changed )|(\[timeout)|(PRM\|1\|D)|(kpr)|(kdp)|(train st.+moving)|(\|lc)|(penalty))"</v>
      </c>
      <c r="AG104" s="1" t="str">
        <f t="shared" si="40"/>
        <v>EC</v>
      </c>
      <c r="AH104" s="81" t="str">
        <f t="shared" si="42"/>
        <v>"%USERPROFILE%\Documents\GitHub\eaglep3\Utilities\RefineRTDCRunTimes.py" --tripid 191-09 --locoid 4006 --swversion DE.1.0.9.0 --startMP 204:458 --initTime 2017-06-09T14:56:07 --startdatetime 2017-06-09T15:00:26 --delay 1 --endMP 204:233282 --enddatetime 2017-06-09T15:38:25 --enforcementcount 0 &gt;&gt;C:\Users\stu\Documents\GitHub\eaglep3-reporting\EC\2017-06-09-refined-times.txt</v>
      </c>
      <c r="AI104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{"issue":{"subject":"","project_id":79,"tracker_id":40,"status_id":1,"priority_id":2,"assigned_to_id":23,"start_date":"2017-06-09","description":"","custom_fields":[{"id":1,"name":"Subdivision","value":"EC"},{"id":4,"name":"Milepost","value":"23.3282"},{"id":17,"name":"Train ID","value":"191-09"},{"id":16,"name":"Locomotive ID","value":"4006"},{"id":130,"name":"Impact","value":""},{"id":150,"name":"Time of Event (Mountain Time)","value":"15:38:25"},{"id":151,"name":"Denver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4"/>
        <v>start /low /b %USERPROFILE%\Documents\GitHub\eaglep3\Utilities\DownloadLogsFromS3.py --loco 4006 --day 2017-06-09</v>
      </c>
      <c r="AN104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21:38:25"},{"id":29,"name":"Sharepoint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764</v>
      </c>
      <c r="B105" s="7">
        <v>4005</v>
      </c>
      <c r="C105" s="21" t="s">
        <v>204</v>
      </c>
      <c r="D105" s="21" t="s">
        <v>865</v>
      </c>
      <c r="E105" s="13">
        <v>42895.661759259259</v>
      </c>
      <c r="F105" s="13">
        <v>42895.664756944447</v>
      </c>
      <c r="G105" s="7">
        <v>1</v>
      </c>
      <c r="H105" s="21" t="s">
        <v>195</v>
      </c>
      <c r="I105" s="13">
        <v>42895.692326388889</v>
      </c>
      <c r="J105" s="7">
        <v>0</v>
      </c>
      <c r="K105" s="92" t="str">
        <f t="shared" si="27"/>
        <v>4005/4006</v>
      </c>
      <c r="L105" s="21" t="str">
        <f>VLOOKUP(A105,'Trips&amp;Operators'!$C$1:$G$99999,5,FALSE)</f>
        <v>STEWART MICHAEL</v>
      </c>
      <c r="M105" s="6">
        <f t="shared" si="28"/>
        <v>2.7569444442633539E-2</v>
      </c>
      <c r="N105" s="7">
        <f t="shared" si="46"/>
        <v>39.699999997392297</v>
      </c>
      <c r="O105" s="7"/>
      <c r="P105" s="7"/>
      <c r="Q105" s="22"/>
      <c r="R105" s="173"/>
      <c r="S105" s="176">
        <f t="shared" si="47"/>
        <v>1</v>
      </c>
      <c r="T105" s="202" t="str">
        <f t="shared" si="30"/>
        <v>Southbound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31"/>
        <v>https://d0f6bd738d7f1b3e5a7ca70fe4ff75f0.us-east-1.aws.found.io/app/kibana#/discover/Steve-Slow-Train-Analysis-(2080s-and-2083s)?_g=(refreshInterval:(display:Off,pause:!f,section:0,value:0),time:(from:'2017-06-09T14:52:56-0600',mode:absolute,to:'2017-06-09T17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5" s="204" t="str">
        <f t="shared" si="32"/>
        <v>N</v>
      </c>
      <c r="X105" s="204">
        <f t="shared" si="33"/>
        <v>1</v>
      </c>
      <c r="Y105" s="204">
        <f t="shared" si="34"/>
        <v>23.296099999999999</v>
      </c>
      <c r="Z105" s="204">
        <f t="shared" si="35"/>
        <v>1.52E-2</v>
      </c>
      <c r="AA105" s="204">
        <f t="shared" si="36"/>
        <v>23.280899999999999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7"/>
        <v>0192-09</v>
      </c>
      <c r="AE105" s="80" t="str">
        <f t="shared" si="38"/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AF105" s="77" t="str">
        <f t="shared" si="39"/>
        <v>"C:\Program Files (x86)\AstroGrep\AstroGrep.exe" /e /r /s /spath="%USERPROFILE%\AppData\Local\Temp\OnboardLogs" /stypes="app*4005*20170609*" /stext=" 22:.+((SYSTEM_STATE.+slice.+state.+changed )|(ment ac)|(multiple cpu faults)|(system.+state.+changed )|(\[timeout)|(PRM\|1\|D)|(kpr)|(kdp)|(train st.+moving)|(\|lc)|(penalty))"</v>
      </c>
      <c r="AG105" s="1" t="str">
        <f t="shared" si="40"/>
        <v>EC</v>
      </c>
      <c r="AH105" s="81" t="str">
        <f t="shared" si="42"/>
        <v>"%USERPROFILE%\Documents\GitHub\eaglep3\Utilities\RefineRTDCRunTimes.py" --tripid 192-09 --locoid 4005 --swversion DE.1.0.9.0 --startMP 204:232961 --initTime 2017-06-09T15:52:56 --startdatetime 2017-06-09T15:57:15 --delay 1 --endMP 204:152 --enddatetime 2017-06-09T16:36:57 --enforcementcount 0 &gt;&gt;C:\Users\stu\Documents\GitHub\eaglep3-reporting\EC\2017-06-09-refined-times.txt</v>
      </c>
      <c r="AI105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{"issue":{"subject":"","project_id":79,"tracker_id":40,"status_id":1,"priority_id":2,"assigned_to_id":23,"start_date":"2017-06-09","description":"","custom_fields":[{"id":1,"name":"Subdivision","value":"EC"},{"id":4,"name":"Milepost","value":"0.0152"},{"id":17,"name":"Train ID","value":"192-09"},{"id":16,"name":"Locomotive ID","value":"4005"},{"id":130,"name":"Impact","value":""},{"id":150,"name":"Time of Event (Mountain Time)","value":"16:36:57"},{"id":151,"name":"Denver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4"/>
        <v>start /low /b %USERPROFILE%\Documents\GitHub\eaglep3\Utilities\DownloadLogsFromS3.py --loco 4005 --day 2017-06-09</v>
      </c>
      <c r="AN105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22:36:57"},{"id":29,"name":"Sharepoint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2" t="s">
        <v>755</v>
      </c>
      <c r="B106" s="7">
        <v>4054</v>
      </c>
      <c r="C106" s="21" t="s">
        <v>204</v>
      </c>
      <c r="D106" s="21" t="s">
        <v>201</v>
      </c>
      <c r="E106" s="13">
        <v>42895.632962962962</v>
      </c>
      <c r="F106" s="13">
        <v>42895.635601851849</v>
      </c>
      <c r="G106" s="7">
        <v>1</v>
      </c>
      <c r="H106" s="21" t="s">
        <v>460</v>
      </c>
      <c r="I106" s="13">
        <v>42895.660127314812</v>
      </c>
      <c r="J106" s="7">
        <v>0</v>
      </c>
      <c r="K106" s="92" t="str">
        <f t="shared" si="27"/>
        <v>4053/4054</v>
      </c>
      <c r="L106" s="21" t="str">
        <f>VLOOKUP(A106,'Trips&amp;Operators'!$C$1:$G$99999,5,FALSE)</f>
        <v>NEWELL JAMES</v>
      </c>
      <c r="M106" s="6">
        <f t="shared" si="28"/>
        <v>2.4525462962628808E-2</v>
      </c>
      <c r="N106" s="7">
        <f t="shared" si="46"/>
        <v>35.316666666185483</v>
      </c>
      <c r="O106" s="7"/>
      <c r="P106" s="7"/>
      <c r="Q106" s="22"/>
      <c r="R106" s="173"/>
      <c r="S106" s="176">
        <f t="shared" si="47"/>
        <v>1</v>
      </c>
      <c r="T106" s="202" t="str">
        <f t="shared" si="30"/>
        <v>NorthBound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31"/>
        <v>https://d0f6bd738d7f1b3e5a7ca70fe4ff75f0.us-east-1.aws.found.io/app/kibana#/discover/Steve-Slow-Train-Analysis-(2080s-and-2083s)?_g=(refreshInterval:(display:Off,pause:!f,section:0,value:0),time:(from:'2017-06-09T14:11:28-0600',mode:absolute,to:'2017-06-09T16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6" s="204" t="str">
        <f t="shared" si="32"/>
        <v>N</v>
      </c>
      <c r="X106" s="204">
        <f t="shared" si="33"/>
        <v>1</v>
      </c>
      <c r="Y106" s="204">
        <f t="shared" si="34"/>
        <v>4.5999999999999999E-2</v>
      </c>
      <c r="Z106" s="204">
        <f t="shared" si="35"/>
        <v>23.331199999999999</v>
      </c>
      <c r="AA106" s="204">
        <f t="shared" si="36"/>
        <v>23.2852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7"/>
        <v>0193-09</v>
      </c>
      <c r="AE106" s="80" t="str">
        <f t="shared" si="38"/>
        <v>aws s3 cp s3://rtdc.mdm.uploadarchive.raw/RTDC4054/ "%USERPROFILE%\AppData\Local\Temp\OnboardLogs"\RTDC4054\2017-06-09 --exclude "*" --recursive --include "*20170609*" &amp; "%USERPROFILE%\Documents\GitHub\mrs-test-scripts\Headless Mode &amp; Sideloading\WalkAndUnGZ.bat" "%USERPROFILE%\AppData\Local\Temp\OnboardLogs"\RTDC4054\2017-06-09 &amp; 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</v>
      </c>
      <c r="AF106" s="77" t="str">
        <f t="shared" si="39"/>
        <v>"C:\Program Files (x86)\AstroGrep\AstroGrep.exe" /e /r /s /spath="%USERPROFILE%\AppData\Local\Temp\OnboardLogs" /stypes="app*4054*20170609*" /stext=" 21:.+((SYSTEM_STATE.+slice.+state.+changed )|(ment ac)|(multiple cpu faults)|(system.+state.+changed )|(\[timeout)|(PRM\|1\|D)|(kpr)|(kdp)|(train st.+moving)|(\|lc)|(penalty))"</v>
      </c>
      <c r="AG106" s="1" t="str">
        <f t="shared" si="40"/>
        <v>EC</v>
      </c>
      <c r="AH106" s="81" t="str">
        <f t="shared" si="42"/>
        <v>"%USERPROFILE%\Documents\GitHub\eaglep3\Utilities\RefineRTDCRunTimes.py" --tripid 193-09 --locoid 4054 --swversion DE.1.0.9.0 --startMP 204:460 --initTime 2017-06-09T15:11:28 --startdatetime 2017-06-09T15:15:16 --delay 1 --endMP 204:233312 --enddatetime 2017-06-09T15:50:35 --enforcementcount 0 &gt;&gt;C:\Users\stu\Documents\GitHub\eaglep3-reporting\EC\2017-06-09-refined-times.txt</v>
      </c>
      <c r="AI106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{"issue":{"subject":"","project_id":79,"tracker_id":40,"status_id":1,"priority_id":2,"assigned_to_id":23,"start_date":"2017-06-09","description":"","custom_fields":[{"id":1,"name":"Subdivision","value":"EC"},{"id":4,"name":"Milepost","value":"23.3312"},{"id":17,"name":"Train ID","value":"193-09"},{"id":16,"name":"Locomotive ID","value":"4054"},{"id":130,"name":"Impact","value":""},{"id":150,"name":"Time of Event (Mountain Time)","value":"15:50:35"},{"id":151,"name":"Denver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20"/>
      <c r="AK106" s="47"/>
      <c r="AL106" s="47"/>
      <c r="AM106" s="145" t="str">
        <f t="shared" si="44"/>
        <v>start /low /b %USERPROFILE%\Documents\GitHub\eaglep3\Utilities\DownloadLogsFromS3.py --loco 4054 --day 2017-06-09</v>
      </c>
      <c r="AN106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21:50:35"},{"id":29,"name":"Sharepoint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7" spans="1:91" s="20" customFormat="1" x14ac:dyDescent="0.25">
      <c r="A107" s="32" t="s">
        <v>765</v>
      </c>
      <c r="B107" s="7">
        <v>4053</v>
      </c>
      <c r="C107" s="21" t="s">
        <v>204</v>
      </c>
      <c r="D107" s="21" t="s">
        <v>514</v>
      </c>
      <c r="E107" s="13">
        <v>42895.669351851851</v>
      </c>
      <c r="F107" s="13">
        <v>42895.675219907411</v>
      </c>
      <c r="G107" s="7">
        <v>1</v>
      </c>
      <c r="H107" s="21" t="s">
        <v>364</v>
      </c>
      <c r="I107" s="13">
        <v>42895.701365740744</v>
      </c>
      <c r="J107" s="7">
        <v>0</v>
      </c>
      <c r="K107" s="92" t="str">
        <f t="shared" si="27"/>
        <v>4053/4054</v>
      </c>
      <c r="L107" s="21" t="str">
        <f>VLOOKUP(A107,'Trips&amp;Operators'!$C$1:$G$99999,5,FALSE)</f>
        <v>NEWELL JAMES</v>
      </c>
      <c r="M107" s="6">
        <f t="shared" si="28"/>
        <v>2.6145833333430346E-2</v>
      </c>
      <c r="N107" s="7">
        <f t="shared" si="46"/>
        <v>37.650000000139698</v>
      </c>
      <c r="O107" s="7"/>
      <c r="P107" s="7"/>
      <c r="Q107" s="22"/>
      <c r="R107" s="173"/>
      <c r="S107" s="176">
        <f t="shared" si="47"/>
        <v>1</v>
      </c>
      <c r="T107" s="202" t="str">
        <f t="shared" si="30"/>
        <v>Southbound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31"/>
        <v>https://d0f6bd738d7f1b3e5a7ca70fe4ff75f0.us-east-1.aws.found.io/app/kibana#/discover/Steve-Slow-Train-Analysis-(2080s-and-2083s)?_g=(refreshInterval:(display:Off,pause:!f,section:0,value:0),time:(from:'2017-06-09T15:03:52-0600',mode:absolute,to:'2017-06-09T17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7" s="204" t="str">
        <f t="shared" si="32"/>
        <v>N</v>
      </c>
      <c r="X107" s="204">
        <f t="shared" si="33"/>
        <v>1</v>
      </c>
      <c r="Y107" s="204">
        <f t="shared" si="34"/>
        <v>23.299600000000002</v>
      </c>
      <c r="Z107" s="204">
        <f t="shared" si="35"/>
        <v>1.47E-2</v>
      </c>
      <c r="AA107" s="204">
        <f t="shared" si="36"/>
        <v>23.2849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7"/>
        <v>0194-09</v>
      </c>
      <c r="AE107" s="80" t="str">
        <f t="shared" si="38"/>
        <v>aws s3 cp s3://rtdc.mdm.uploadarchive.raw/RTDC4053/ "%USERPROFILE%\AppData\Local\Temp\OnboardLogs"\RTDC4053\2017-06-09 --exclude "*" --recursive --include "*20170609*" &amp; "%USERPROFILE%\Documents\GitHub\mrs-test-scripts\Headless Mode &amp; Sideloading\WalkAndUnGZ.bat" "%USERPROFILE%\AppData\Local\Temp\OnboardLogs"\RTDC4053\2017-06-09 &amp; aws s3 cp s3://rtdc.mdm.uploadarchive.raw/RTDC4053/ "%USERPROFILE%\AppData\Local\Temp\OnboardLogs"\RTDC4053\2017-06-10 --exclude "*" --recursive --include "*20170610*" &amp; "%USERPROFILE%\Documents\GitHub\mrs-test-scripts\Headless Mode &amp; Sideloading\WalkAndUnGZ.bat" "%USERPROFILE%\AppData\Local\Temp\OnboardLogs"\RTDC4053\2017-06-10</v>
      </c>
      <c r="AF107" s="77" t="str">
        <f t="shared" si="39"/>
        <v>"C:\Program Files (x86)\AstroGrep\AstroGrep.exe" /e /r /s /spath="%USERPROFILE%\AppData\Local\Temp\OnboardLogs" /stypes="app*4053*20170609*" /stext=" 22:.+((SYSTEM_STATE.+slice.+state.+changed )|(ment ac)|(multiple cpu faults)|(system.+state.+changed )|(\[timeout)|(PRM\|1\|D)|(kpr)|(kdp)|(train st.+moving)|(\|lc)|(penalty))"</v>
      </c>
      <c r="AG107" s="1" t="str">
        <f t="shared" si="40"/>
        <v>EC</v>
      </c>
      <c r="AH107" s="81" t="str">
        <f t="shared" si="42"/>
        <v>"%USERPROFILE%\Documents\GitHub\eaglep3\Utilities\RefineRTDCRunTimes.py" --tripid 194-09 --locoid 4053 --swversion DE.1.0.9.0 --startMP 204:232996 --initTime 2017-06-09T16:03:52 --startdatetime 2017-06-09T16:12:19 --delay 1 --endMP 204:147 --enddatetime 2017-06-09T16:49:58 --enforcementcount 0 &gt;&gt;C:\Users\stu\Documents\GitHub\eaglep3-reporting\EC\2017-06-09-refined-times.txt</v>
      </c>
      <c r="AI107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{"issue":{"subject":"","project_id":79,"tracker_id":40,"status_id":1,"priority_id":2,"assigned_to_id":23,"start_date":"2017-06-09","description":"","custom_fields":[{"id":1,"name":"Subdivision","value":"EC"},{"id":4,"name":"Milepost","value":"0.0147"},{"id":17,"name":"Train ID","value":"194-09"},{"id":16,"name":"Locomotive ID","value":"4053"},{"id":130,"name":"Impact","value":""},{"id":150,"name":"Time of Event (Mountain Time)","value":"16:49:58"},{"id":151,"name":"Denver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4"/>
        <v>start /low /b %USERPROFILE%\Documents\GitHub\eaglep3\Utilities\DownloadLogsFromS3.py --loco 4053 --day 2017-06-09</v>
      </c>
      <c r="AN107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22:49:58"},{"id":29,"name":"Sharepoint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760</v>
      </c>
      <c r="B108" s="7">
        <v>4010</v>
      </c>
      <c r="C108" s="21" t="s">
        <v>204</v>
      </c>
      <c r="D108" s="21" t="s">
        <v>433</v>
      </c>
      <c r="E108" s="13">
        <v>42895.642025462963</v>
      </c>
      <c r="F108" s="13">
        <v>42895.646168981482</v>
      </c>
      <c r="G108" s="7">
        <v>1</v>
      </c>
      <c r="H108" s="21" t="s">
        <v>866</v>
      </c>
      <c r="I108" s="13">
        <v>42895.672175925924</v>
      </c>
      <c r="J108" s="7">
        <v>0</v>
      </c>
      <c r="K108" s="92" t="str">
        <f t="shared" si="27"/>
        <v>4009/4010</v>
      </c>
      <c r="L108" s="21" t="str">
        <f>VLOOKUP(A108,'Trips&amp;Operators'!$C$1:$G$99999,5,FALSE)</f>
        <v>YANG JAN</v>
      </c>
      <c r="M108" s="6">
        <f t="shared" si="28"/>
        <v>2.6006944441178348E-2</v>
      </c>
      <c r="N108" s="7">
        <f t="shared" si="46"/>
        <v>37.449999995296821</v>
      </c>
      <c r="O108" s="7"/>
      <c r="P108" s="7"/>
      <c r="Q108" s="22"/>
      <c r="R108" s="173"/>
      <c r="S108" s="176">
        <f t="shared" si="47"/>
        <v>1</v>
      </c>
      <c r="T108" s="202" t="str">
        <f t="shared" si="30"/>
        <v>NorthBound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31"/>
        <v>https://d0f6bd738d7f1b3e5a7ca70fe4ff75f0.us-east-1.aws.found.io/app/kibana#/discover/Steve-Slow-Train-Analysis-(2080s-and-2083s)?_g=(refreshInterval:(display:Off,pause:!f,section:0,value:0),time:(from:'2017-06-09T14:24:31-0600',mode:absolute,to:'2017-06-09T17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204" t="str">
        <f t="shared" si="32"/>
        <v>N</v>
      </c>
      <c r="X108" s="204">
        <f t="shared" si="33"/>
        <v>1</v>
      </c>
      <c r="Y108" s="204">
        <f t="shared" si="34"/>
        <v>4.4200000000000003E-2</v>
      </c>
      <c r="Z108" s="204">
        <f t="shared" si="35"/>
        <v>23.328399999999998</v>
      </c>
      <c r="AA108" s="204">
        <f t="shared" si="36"/>
        <v>23.284199999999998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7"/>
        <v>0195-09</v>
      </c>
      <c r="AE108" s="80" t="str">
        <f t="shared" si="38"/>
        <v>aws s3 cp s3://rtdc.mdm.uploadarchive.raw/RTDC4010/ "%USERPROFILE%\AppData\Local\Temp\OnboardLogs"\RTDC4010\2017-06-09 --exclude "*" --recursive --include "*20170609*" &amp; "%USERPROFILE%\Documents\GitHub\mrs-test-scripts\Headless Mode &amp; Sideloading\WalkAndUnGZ.bat" "%USERPROFILE%\AppData\Local\Temp\OnboardLogs"\RTDC4010\2017-06-09 &amp; aws s3 cp s3://rtdc.mdm.uploadarchive.raw/RTDC4010/ "%USERPROFILE%\AppData\Local\Temp\OnboardLogs"\RTDC4010\2017-06-10 --exclude "*" --recursive --include "*20170610*" &amp; "%USERPROFILE%\Documents\GitHub\mrs-test-scripts\Headless Mode &amp; Sideloading\WalkAndUnGZ.bat" "%USERPROFILE%\AppData\Local\Temp\OnboardLogs"\RTDC4010\2017-06-10</v>
      </c>
      <c r="AF108" s="77" t="str">
        <f t="shared" si="39"/>
        <v>"C:\Program Files (x86)\AstroGrep\AstroGrep.exe" /e /r /s /spath="%USERPROFILE%\AppData\Local\Temp\OnboardLogs" /stypes="app*4010*20170609*" /stext=" 22:.+((SYSTEM_STATE.+slice.+state.+changed )|(ment ac)|(multiple cpu faults)|(system.+state.+changed )|(\[timeout)|(PRM\|1\|D)|(kpr)|(kdp)|(train st.+moving)|(\|lc)|(penalty))"</v>
      </c>
      <c r="AG108" s="1" t="str">
        <f t="shared" si="40"/>
        <v>EC</v>
      </c>
      <c r="AH108" s="81" t="str">
        <f t="shared" si="42"/>
        <v>"%USERPROFILE%\Documents\GitHub\eaglep3\Utilities\RefineRTDCRunTimes.py" --tripid 195-09 --locoid 4010 --swversion DE.1.0.9.0 --startMP 204:442 --initTime 2017-06-09T15:24:31 --startdatetime 2017-06-09T15:30:29 --delay 1 --endMP 204:233284 --enddatetime 2017-06-09T16:07:56 --enforcementcount 0 &gt;&gt;C:\Users\stu\Documents\GitHub\eaglep3-reporting\EC\2017-06-09-refined-times.txt</v>
      </c>
      <c r="AI108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{"issue":{"subject":"","project_id":79,"tracker_id":40,"status_id":1,"priority_id":2,"assigned_to_id":23,"start_date":"2017-06-09","description":"","custom_fields":[{"id":1,"name":"Subdivision","value":"EC"},{"id":4,"name":"Milepost","value":"23.3284"},{"id":17,"name":"Train ID","value":"195-09"},{"id":16,"name":"Locomotive ID","value":"4010"},{"id":130,"name":"Impact","value":""},{"id":150,"name":"Time of Event (Mountain Time)","value":"16:07:56"},{"id":151,"name":"Denver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4"/>
        <v>start /low /b %USERPROFILE%\Documents\GitHub\eaglep3\Utilities\DownloadLogsFromS3.py --loco 4010 --day 2017-06-09</v>
      </c>
      <c r="AN108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22:07:56"},{"id":29,"name":"Sharepoint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768</v>
      </c>
      <c r="B109" s="7">
        <v>4009</v>
      </c>
      <c r="C109" s="21" t="s">
        <v>204</v>
      </c>
      <c r="D109" s="21" t="s">
        <v>466</v>
      </c>
      <c r="E109" s="13">
        <v>42895.681990740741</v>
      </c>
      <c r="F109" s="13">
        <v>42895.685810185183</v>
      </c>
      <c r="G109" s="7">
        <v>0</v>
      </c>
      <c r="H109" s="21" t="s">
        <v>561</v>
      </c>
      <c r="I109" s="13">
        <v>42895.712534722225</v>
      </c>
      <c r="J109" s="7">
        <v>0</v>
      </c>
      <c r="K109" s="92" t="str">
        <f t="shared" si="27"/>
        <v>4009/4010</v>
      </c>
      <c r="L109" s="21" t="str">
        <f>VLOOKUP(A109,'Trips&amp;Operators'!$C$1:$G$99999,5,FALSE)</f>
        <v>YANG JAN</v>
      </c>
      <c r="M109" s="6">
        <f t="shared" si="28"/>
        <v>2.6724537041445728E-2</v>
      </c>
      <c r="N109" s="7">
        <f t="shared" si="46"/>
        <v>38.483333339681849</v>
      </c>
      <c r="O109" s="7"/>
      <c r="P109" s="7"/>
      <c r="Q109" s="22"/>
      <c r="R109" s="173"/>
      <c r="S109" s="176">
        <f t="shared" si="47"/>
        <v>1</v>
      </c>
      <c r="T109" s="202" t="str">
        <f t="shared" si="30"/>
        <v>Southbound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31"/>
        <v>https://d0f6bd738d7f1b3e5a7ca70fe4ff75f0.us-east-1.aws.found.io/app/kibana#/discover/Steve-Slow-Train-Analysis-(2080s-and-2083s)?_g=(refreshInterval:(display:Off,pause:!f,section:0,value:0),time:(from:'2017-06-09T15:22:04-0600',mode:absolute,to:'2017-06-09T18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204" t="str">
        <f t="shared" si="32"/>
        <v>N</v>
      </c>
      <c r="X109" s="204">
        <f t="shared" si="33"/>
        <v>1</v>
      </c>
      <c r="Y109" s="204">
        <f t="shared" ref="Y109:Y122" si="48">RIGHT(D109,LEN(D109)-4)/10000</f>
        <v>23.2988</v>
      </c>
      <c r="Z109" s="204">
        <f t="shared" ref="Z109:Z122" si="49">RIGHT(H109,LEN(H109)-4)/10000</f>
        <v>1.34E-2</v>
      </c>
      <c r="AA109" s="204">
        <f t="shared" si="36"/>
        <v>23.285399999999999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7"/>
        <v>0196-09</v>
      </c>
      <c r="AE109" s="80" t="str">
        <f t="shared" si="38"/>
        <v>aws s3 cp s3://rtdc.mdm.uploadarchive.raw/RTDC4009/ "%USERPROFILE%\AppData\Local\Temp\OnboardLogs"\RTDC4009\2017-06-09 --exclude "*" --recursive --include "*20170609*" &amp; "%USERPROFILE%\Documents\GitHub\mrs-test-scripts\Headless Mode &amp; Sideloading\WalkAndUnGZ.bat" "%USERPROFILE%\AppData\Local\Temp\OnboardLogs"\RTDC4009\2017-06-09 &amp; aws s3 cp s3://rtdc.mdm.uploadarchive.raw/RTDC4009/ "%USERPROFILE%\AppData\Local\Temp\OnboardLogs"\RTDC4009\2017-06-10 --exclude "*" --recursive --include "*20170610*" &amp; "%USERPROFILE%\Documents\GitHub\mrs-test-scripts\Headless Mode &amp; Sideloading\WalkAndUnGZ.bat" "%USERPROFILE%\AppData\Local\Temp\OnboardLogs"\RTDC4009\2017-06-10</v>
      </c>
      <c r="AF109" s="77" t="str">
        <f t="shared" si="39"/>
        <v>"C:\Program Files (x86)\AstroGrep\AstroGrep.exe" /e /r /s /spath="%USERPROFILE%\AppData\Local\Temp\OnboardLogs" /stypes="app*4009*20170609*" /stext=" 23:.+((SYSTEM_STATE.+slice.+state.+changed )|(ment ac)|(multiple cpu faults)|(system.+state.+changed )|(\[timeout)|(PRM\|1\|D)|(kpr)|(kdp)|(train st.+moving)|(\|lc)|(penalty))"</v>
      </c>
      <c r="AG109" s="1" t="str">
        <f t="shared" si="40"/>
        <v>EC</v>
      </c>
      <c r="AH109" s="81" t="str">
        <f t="shared" si="42"/>
        <v>"%USERPROFILE%\Documents\GitHub\eaglep3\Utilities\RefineRTDCRunTimes.py" --tripid 196-09 --locoid 4009 --swversion DE.1.0.9.0 --startMP 204:232988 --initTime 2017-06-09T16:22:04 --startdatetime 2017-06-09T16:27:34 --delay 0 --endMP 204:134 --enddatetime 2017-06-09T17:06:03 --enforcementcount 0 &gt;&gt;C:\Users\stu\Documents\GitHub\eaglep3-reporting\EC\2017-06-09-refined-times.txt</v>
      </c>
      <c r="AI109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{"issue":{"subject":"","project_id":79,"tracker_id":40,"status_id":1,"priority_id":2,"assigned_to_id":23,"start_date":"2017-06-09","description":"","custom_fields":[{"id":1,"name":"Subdivision","value":"EC"},{"id":4,"name":"Milepost","value":"0.0134"},{"id":17,"name":"Train ID","value":"196-09"},{"id":16,"name":"Locomotive ID","value":"4009"},{"id":130,"name":"Impact","value":""},{"id":150,"name":"Time of Event (Mountain Time)","value":"17:06:03"},{"id":151,"name":"Denver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4"/>
        <v>start /low /b %USERPROFILE%\Documents\GitHub\eaglep3\Utilities\DownloadLogsFromS3.py --loco 4009 --day 2017-06-09</v>
      </c>
      <c r="AN109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23:06:03"},{"id":29,"name":"Sharepoint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762</v>
      </c>
      <c r="B110" s="7">
        <v>4012</v>
      </c>
      <c r="C110" s="21" t="s">
        <v>204</v>
      </c>
      <c r="D110" s="21" t="s">
        <v>867</v>
      </c>
      <c r="E110" s="13">
        <v>42895.654189814813</v>
      </c>
      <c r="F110" s="13">
        <v>42895.6565162037</v>
      </c>
      <c r="G110" s="7">
        <v>1</v>
      </c>
      <c r="H110" s="21" t="s">
        <v>868</v>
      </c>
      <c r="I110" s="13">
        <v>42895.681504629632</v>
      </c>
      <c r="J110" s="7">
        <v>0</v>
      </c>
      <c r="K110" s="92" t="str">
        <f t="shared" si="27"/>
        <v>4011/4012</v>
      </c>
      <c r="L110" s="21" t="str">
        <f>VLOOKUP(A110,'Trips&amp;Operators'!$C$1:$G$99999,5,FALSE)</f>
        <v>LEVIN SCOTT</v>
      </c>
      <c r="M110" s="6">
        <f t="shared" si="28"/>
        <v>2.4988425931951497E-2</v>
      </c>
      <c r="N110" s="7">
        <f t="shared" si="46"/>
        <v>35.983333342010155</v>
      </c>
      <c r="O110" s="7"/>
      <c r="P110" s="7"/>
      <c r="Q110" s="22"/>
      <c r="R110" s="173"/>
      <c r="S110" s="176">
        <f t="shared" si="47"/>
        <v>1</v>
      </c>
      <c r="T110" s="202" t="str">
        <f t="shared" si="30"/>
        <v>NorthBound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31"/>
        <v>https://d0f6bd738d7f1b3e5a7ca70fe4ff75f0.us-east-1.aws.found.io/app/kibana#/discover/Steve-Slow-Train-Analysis-(2080s-and-2083s)?_g=(refreshInterval:(display:Off,pause:!f,section:0,value:0),time:(from:'2017-06-09T14:42:02-0600',mode:absolute,to:'2017-06-09T17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0" s="204" t="str">
        <f t="shared" si="32"/>
        <v>N</v>
      </c>
      <c r="X110" s="204">
        <f t="shared" si="33"/>
        <v>1</v>
      </c>
      <c r="Y110" s="204">
        <f t="shared" si="48"/>
        <v>4.3499999999999997E-2</v>
      </c>
      <c r="Z110" s="204">
        <f t="shared" si="49"/>
        <v>23.339099999999998</v>
      </c>
      <c r="AA110" s="204">
        <f t="shared" si="36"/>
        <v>23.295599999999997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7"/>
        <v>0197-09</v>
      </c>
      <c r="AE110" s="80" t="str">
        <f t="shared" si="38"/>
        <v>aws s3 cp s3://rtdc.mdm.uploadarchive.raw/RTDC4012/ "%USERPROFILE%\AppData\Local\Temp\OnboardLogs"\RTDC4012\2017-06-09 --exclude "*" --recursive --include "*20170609*" &amp; "%USERPROFILE%\Documents\GitHub\mrs-test-scripts\Headless Mode &amp; Sideloading\WalkAndUnGZ.bat" "%USERPROFILE%\AppData\Local\Temp\OnboardLogs"\RTDC4012\2017-06-09 &amp; aws s3 cp s3://rtdc.mdm.uploadarchive.raw/RTDC4012/ "%USERPROFILE%\AppData\Local\Temp\OnboardLogs"\RTDC4012\2017-06-10 --exclude "*" --recursive --include "*20170610*" &amp; "%USERPROFILE%\Documents\GitHub\mrs-test-scripts\Headless Mode &amp; Sideloading\WalkAndUnGZ.bat" "%USERPROFILE%\AppData\Local\Temp\OnboardLogs"\RTDC4012\2017-06-10</v>
      </c>
      <c r="AF110" s="77" t="str">
        <f t="shared" si="39"/>
        <v>"C:\Program Files (x86)\AstroGrep\AstroGrep.exe" /e /r /s /spath="%USERPROFILE%\AppData\Local\Temp\OnboardLogs" /stypes="app*4012*20170609*" /stext=" 22:.+((SYSTEM_STATE.+slice.+state.+changed )|(ment ac)|(multiple cpu faults)|(system.+state.+changed )|(\[timeout)|(PRM\|1\|D)|(kpr)|(kdp)|(train st.+moving)|(\|lc)|(penalty))"</v>
      </c>
      <c r="AG110" s="1" t="str">
        <f t="shared" si="40"/>
        <v>EC</v>
      </c>
      <c r="AH110" s="81" t="str">
        <f t="shared" si="42"/>
        <v>"%USERPROFILE%\Documents\GitHub\eaglep3\Utilities\RefineRTDCRunTimes.py" --tripid 197-09 --locoid 4012 --swversion DE.1.0.9.0 --startMP 204:435 --initTime 2017-06-09T15:42:02 --startdatetime 2017-06-09T15:45:23 --delay 1 --endMP 204:233391 --enddatetime 2017-06-09T16:21:22 --enforcementcount 0 &gt;&gt;C:\Users\stu\Documents\GitHub\eaglep3-reporting\EC\2017-06-09-refined-times.txt</v>
      </c>
      <c r="AI110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{"issue":{"subject":"","project_id":79,"tracker_id":40,"status_id":1,"priority_id":2,"assigned_to_id":23,"start_date":"2017-06-09","description":"","custom_fields":[{"id":1,"name":"Subdivision","value":"EC"},{"id":4,"name":"Milepost","value":"23.3391"},{"id":17,"name":"Train ID","value":"197-09"},{"id":16,"name":"Locomotive ID","value":"4012"},{"id":130,"name":"Impact","value":""},{"id":150,"name":"Time of Event (Mountain Time)","value":"16:21:22"},{"id":151,"name":"Denver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4"/>
        <v>start /low /b %USERPROFILE%\Documents\GitHub\eaglep3\Utilities\DownloadLogsFromS3.py --loco 4012 --day 2017-06-09</v>
      </c>
      <c r="AN110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22:21:22"},{"id":29,"name":"Sharepoint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618</v>
      </c>
      <c r="B111" s="7">
        <v>4011</v>
      </c>
      <c r="C111" s="21" t="s">
        <v>204</v>
      </c>
      <c r="D111" s="21" t="s">
        <v>869</v>
      </c>
      <c r="E111" s="13">
        <v>42895.692708333336</v>
      </c>
      <c r="F111" s="13">
        <v>42895.696099537039</v>
      </c>
      <c r="G111" s="7">
        <v>1</v>
      </c>
      <c r="H111" s="21" t="s">
        <v>544</v>
      </c>
      <c r="I111" s="13">
        <v>42895.723032407404</v>
      </c>
      <c r="J111" s="7">
        <v>0</v>
      </c>
      <c r="K111" s="92" t="str">
        <f t="shared" si="27"/>
        <v>4011/4012</v>
      </c>
      <c r="L111" s="21" t="str">
        <f>VLOOKUP(A111,'Trips&amp;Operators'!$C$1:$G$99999,5,FALSE)</f>
        <v>LEVIN SCOTT</v>
      </c>
      <c r="M111" s="6">
        <f t="shared" si="28"/>
        <v>2.693287036527181E-2</v>
      </c>
      <c r="N111" s="7">
        <f t="shared" si="46"/>
        <v>38.783333325991407</v>
      </c>
      <c r="O111" s="7"/>
      <c r="P111" s="7"/>
      <c r="Q111" s="22"/>
      <c r="R111" s="173"/>
      <c r="S111" s="176">
        <f t="shared" si="47"/>
        <v>1</v>
      </c>
      <c r="T111" s="202" t="str">
        <f t="shared" si="30"/>
        <v>Southbound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31"/>
        <v>https://d0f6bd738d7f1b3e5a7ca70fe4ff75f0.us-east-1.aws.found.io/app/kibana#/discover/Steve-Slow-Train-Analysis-(2080s-and-2083s)?_g=(refreshInterval:(display:Off,pause:!f,section:0,value:0),time:(from:'2017-06-09T15:37:30-0600',mode:absolute,to:'2017-06-09T18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1" s="204" t="str">
        <f t="shared" si="32"/>
        <v>N</v>
      </c>
      <c r="X111" s="204">
        <f t="shared" si="33"/>
        <v>1</v>
      </c>
      <c r="Y111" s="204">
        <f t="shared" si="48"/>
        <v>23.3079</v>
      </c>
      <c r="Z111" s="204">
        <f t="shared" si="49"/>
        <v>1.32E-2</v>
      </c>
      <c r="AA111" s="204">
        <f t="shared" si="36"/>
        <v>23.294699999999999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7"/>
        <v>0198-09</v>
      </c>
      <c r="AE111" s="80" t="str">
        <f t="shared" si="38"/>
        <v>aws s3 cp s3://rtdc.mdm.uploadarchive.raw/RTDC4011/ "%USERPROFILE%\AppData\Local\Temp\OnboardLogs"\RTDC4011\2017-06-09 --exclude "*" --recursive --include "*20170609*" &amp; "%USERPROFILE%\Documents\GitHub\mrs-test-scripts\Headless Mode &amp; Sideloading\WalkAndUnGZ.bat" "%USERPROFILE%\AppData\Local\Temp\OnboardLogs"\RTDC4011\2017-06-09 &amp; aws s3 cp s3://rtdc.mdm.uploadarchive.raw/RTDC4011/ "%USERPROFILE%\AppData\Local\Temp\OnboardLogs"\RTDC4011\2017-06-10 --exclude "*" --recursive --include "*20170610*" &amp; "%USERPROFILE%\Documents\GitHub\mrs-test-scripts\Headless Mode &amp; Sideloading\WalkAndUnGZ.bat" "%USERPROFILE%\AppData\Local\Temp\OnboardLogs"\RTDC4011\2017-06-10</v>
      </c>
      <c r="AF111" s="77" t="str">
        <f t="shared" si="39"/>
        <v>"C:\Program Files (x86)\AstroGrep\AstroGrep.exe" /e /r /s /spath="%USERPROFILE%\AppData\Local\Temp\OnboardLogs" /stypes="app*4011*20170609*" /stext=" 23:.+((SYSTEM_STATE.+slice.+state.+changed )|(ment ac)|(multiple cpu faults)|(system.+state.+changed )|(\[timeout)|(PRM\|1\|D)|(kpr)|(kdp)|(train st.+moving)|(\|lc)|(penalty))"</v>
      </c>
      <c r="AG111" s="1" t="str">
        <f t="shared" si="40"/>
        <v>EC</v>
      </c>
      <c r="AH111" s="81" t="str">
        <f t="shared" si="42"/>
        <v>"%USERPROFILE%\Documents\GitHub\eaglep3\Utilities\RefineRTDCRunTimes.py" --tripid 198-09 --locoid 4011 --swversion DE.1.0.9.0 --startMP 204:233079 --initTime 2017-06-09T16:37:30 --startdatetime 2017-06-09T16:42:23 --delay 1 --endMP 204:132 --enddatetime 2017-06-09T17:21:10 --enforcementcount 0 &gt;&gt;C:\Users\stu\Documents\GitHub\eaglep3-reporting\EC\2017-06-09-refined-times.txt</v>
      </c>
      <c r="AI111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{"issue":{"subject":"","project_id":79,"tracker_id":40,"status_id":1,"priority_id":2,"assigned_to_id":23,"start_date":"2017-06-09","description":"","custom_fields":[{"id":1,"name":"Subdivision","value":"EC"},{"id":4,"name":"Milepost","value":"0.0132"},{"id":17,"name":"Train ID","value":"198-09"},{"id":16,"name":"Locomotive ID","value":"4011"},{"id":130,"name":"Impact","value":""},{"id":150,"name":"Time of Event (Mountain Time)","value":"17:21:10"},{"id":151,"name":"Denver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4"/>
        <v>start /low /b %USERPROFILE%\Documents\GitHub\eaglep3\Utilities\DownloadLogsFromS3.py --loco 4011 --day 2017-06-09</v>
      </c>
      <c r="AN111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23:21:10"},{"id":29,"name":"Sharepoint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615</v>
      </c>
      <c r="B112" s="7">
        <v>4046</v>
      </c>
      <c r="C112" s="21" t="s">
        <v>204</v>
      </c>
      <c r="D112" s="21" t="s">
        <v>835</v>
      </c>
      <c r="E112" s="13">
        <v>42895.662106481483</v>
      </c>
      <c r="F112" s="13">
        <v>42895.667407407411</v>
      </c>
      <c r="G112" s="7">
        <v>2</v>
      </c>
      <c r="H112" s="21" t="s">
        <v>556</v>
      </c>
      <c r="I112" s="13">
        <v>42895.693738425929</v>
      </c>
      <c r="J112" s="7">
        <v>0</v>
      </c>
      <c r="K112" s="92" t="str">
        <f t="shared" si="27"/>
        <v>4045/4046</v>
      </c>
      <c r="L112" s="21" t="str">
        <f>VLOOKUP(A112,'Trips&amp;Operators'!$C$1:$G$99999,5,FALSE)</f>
        <v>MAYBERRY BILL</v>
      </c>
      <c r="M112" s="6">
        <f t="shared" si="28"/>
        <v>2.6331018518249039E-2</v>
      </c>
      <c r="N112" s="7">
        <f t="shared" si="46"/>
        <v>37.916666666278616</v>
      </c>
      <c r="O112" s="7"/>
      <c r="P112" s="7"/>
      <c r="Q112" s="22"/>
      <c r="R112" s="173"/>
      <c r="S112" s="176">
        <f t="shared" si="47"/>
        <v>1</v>
      </c>
      <c r="T112" s="202" t="str">
        <f t="shared" si="30"/>
        <v>NorthBound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31"/>
        <v>https://d0f6bd738d7f1b3e5a7ca70fe4ff75f0.us-east-1.aws.found.io/app/kibana#/discover/Steve-Slow-Train-Analysis-(2080s-and-2083s)?_g=(refreshInterval:(display:Off,pause:!f,section:0,value:0),time:(from:'2017-06-09T14:53:26-0600',mode:absolute,to:'2017-06-09T17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2" s="204" t="str">
        <f t="shared" si="32"/>
        <v>N</v>
      </c>
      <c r="X112" s="204">
        <f t="shared" si="33"/>
        <v>1</v>
      </c>
      <c r="Y112" s="204">
        <f t="shared" si="48"/>
        <v>4.3999999999999997E-2</v>
      </c>
      <c r="Z112" s="204">
        <f t="shared" si="49"/>
        <v>23.330500000000001</v>
      </c>
      <c r="AA112" s="204">
        <f t="shared" si="36"/>
        <v>23.2865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7"/>
        <v>0199-09</v>
      </c>
      <c r="AE112" s="80" t="str">
        <f t="shared" si="38"/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AF112" s="77" t="str">
        <f t="shared" si="39"/>
        <v>"C:\Program Files (x86)\AstroGrep\AstroGrep.exe" /e /r /s /spath="%USERPROFILE%\AppData\Local\Temp\OnboardLogs" /stypes="app*4046*20170609*" /stext=" 22:.+((SYSTEM_STATE.+slice.+state.+changed )|(ment ac)|(multiple cpu faults)|(system.+state.+changed )|(\[timeout)|(PRM\|1\|D)|(kpr)|(kdp)|(train st.+moving)|(\|lc)|(penalty))"</v>
      </c>
      <c r="AG112" s="1" t="str">
        <f t="shared" si="40"/>
        <v>EC</v>
      </c>
      <c r="AH112" s="81" t="str">
        <f t="shared" si="42"/>
        <v>"%USERPROFILE%\Documents\GitHub\eaglep3\Utilities\RefineRTDCRunTimes.py" --tripid 199-09 --locoid 4046 --swversion DE.1.0.9.0 --startMP 204:440 --initTime 2017-06-09T15:53:26 --startdatetime 2017-06-09T16:01:04 --delay 2 --endMP 204:233305 --enddatetime 2017-06-09T16:38:59 --enforcementcount 0 &gt;&gt;C:\Users\stu\Documents\GitHub\eaglep3-reporting\EC\2017-06-09-refined-times.txt</v>
      </c>
      <c r="AI112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{"issue":{"subject":"","project_id":79,"tracker_id":40,"status_id":1,"priority_id":2,"assigned_to_id":23,"start_date":"2017-06-09","description":"","custom_fields":[{"id":1,"name":"Subdivision","value":"EC"},{"id":4,"name":"Milepost","value":"23.3305"},{"id":17,"name":"Train ID","value":"199-09"},{"id":16,"name":"Locomotive ID","value":"4046"},{"id":130,"name":"Impact","value":""},{"id":150,"name":"Time of Event (Mountain Time)","value":"16:38:59"},{"id":151,"name":"Denver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4"/>
        <v>start /low /b %USERPROFILE%\Documents\GitHub\eaglep3\Utilities\DownloadLogsFromS3.py --loco 4046 --day 2017-06-09</v>
      </c>
      <c r="AN112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22:38:59"},{"id":29,"name":"Sharepoint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620</v>
      </c>
      <c r="B113" s="7">
        <v>4045</v>
      </c>
      <c r="C113" s="21" t="s">
        <v>204</v>
      </c>
      <c r="D113" s="21" t="s">
        <v>432</v>
      </c>
      <c r="E113" s="13">
        <v>42895.699502314812</v>
      </c>
      <c r="F113" s="13">
        <v>42895.706724537034</v>
      </c>
      <c r="G113" s="7">
        <v>2</v>
      </c>
      <c r="H113" s="21" t="s">
        <v>353</v>
      </c>
      <c r="I113" s="13">
        <v>42895.734016203707</v>
      </c>
      <c r="J113" s="7">
        <v>0</v>
      </c>
      <c r="K113" s="92" t="str">
        <f t="shared" si="27"/>
        <v>4045/4046</v>
      </c>
      <c r="L113" s="21" t="str">
        <f>VLOOKUP(A113,'Trips&amp;Operators'!$C$1:$G$99999,5,FALSE)</f>
        <v>MAYBERRY BILL</v>
      </c>
      <c r="M113" s="6">
        <f t="shared" si="28"/>
        <v>2.7291666672681458E-2</v>
      </c>
      <c r="N113" s="7">
        <f t="shared" si="46"/>
        <v>39.3000000086613</v>
      </c>
      <c r="O113" s="7"/>
      <c r="P113" s="7"/>
      <c r="Q113" s="22"/>
      <c r="R113" s="173"/>
      <c r="S113" s="176">
        <f t="shared" si="47"/>
        <v>1</v>
      </c>
      <c r="T113" s="202" t="str">
        <f t="shared" si="30"/>
        <v>Southbound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31"/>
        <v>https://d0f6bd738d7f1b3e5a7ca70fe4ff75f0.us-east-1.aws.found.io/app/kibana#/discover/Steve-Slow-Train-Analysis-(2080s-and-2083s)?_g=(refreshInterval:(display:Off,pause:!f,section:0,value:0),time:(from:'2017-06-09T15:47:17-0600',mode:absolute,to:'2017-06-09T18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3" s="204" t="str">
        <f t="shared" si="32"/>
        <v>N</v>
      </c>
      <c r="X113" s="204">
        <f t="shared" si="33"/>
        <v>1</v>
      </c>
      <c r="Y113" s="204">
        <f t="shared" si="48"/>
        <v>23.297999999999998</v>
      </c>
      <c r="Z113" s="204">
        <f t="shared" si="49"/>
        <v>1.49E-2</v>
      </c>
      <c r="AA113" s="204">
        <f t="shared" si="36"/>
        <v>23.283099999999997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7"/>
        <v>0200-09</v>
      </c>
      <c r="AE113" s="80" t="str">
        <f t="shared" si="38"/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AF113" s="77" t="str">
        <f t="shared" si="39"/>
        <v>"C:\Program Files (x86)\AstroGrep\AstroGrep.exe" /e /r /s /spath="%USERPROFILE%\AppData\Local\Temp\OnboardLogs" /stypes="app*4045*20170609*" /stext=" 23:.+((SYSTEM_STATE.+slice.+state.+changed )|(ment ac)|(multiple cpu faults)|(system.+state.+changed )|(\[timeout)|(PRM\|1\|D)|(kpr)|(kdp)|(train st.+moving)|(\|lc)|(penalty))"</v>
      </c>
      <c r="AG113" s="1" t="str">
        <f t="shared" si="40"/>
        <v>EC</v>
      </c>
      <c r="AH113" s="81" t="str">
        <f t="shared" si="42"/>
        <v>"%USERPROFILE%\Documents\GitHub\eaglep3\Utilities\RefineRTDCRunTimes.py" --tripid 200-09 --locoid 4045 --swversion DE.1.0.9.0 --startMP 204:232980 --initTime 2017-06-09T16:47:17 --startdatetime 2017-06-09T16:57:41 --delay 2 --endMP 204:149 --enddatetime 2017-06-09T17:36:59 --enforcementcount 0 &gt;&gt;C:\Users\stu\Documents\GitHub\eaglep3-reporting\EC\2017-06-09-refined-times.txt</v>
      </c>
      <c r="AI113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{"issue":{"subject":"","project_id":79,"tracker_id":40,"status_id":1,"priority_id":2,"assigned_to_id":23,"start_date":"2017-06-09","description":"","custom_fields":[{"id":1,"name":"Subdivision","value":"EC"},{"id":4,"name":"Milepost","value":"0.0149"},{"id":17,"name":"Train ID","value":"200-09"},{"id":16,"name":"Locomotive ID","value":"4045"},{"id":130,"name":"Impact","value":""},{"id":150,"name":"Time of Event (Mountain Time)","value":"17:36:59"},{"id":151,"name":"Denver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4"/>
        <v>start /low /b %USERPROFILE%\Documents\GitHub\eaglep3\Utilities\DownloadLogsFromS3.py --loco 4045 --day 2017-06-09</v>
      </c>
      <c r="AN113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23:36:59"},{"id":29,"name":"Sharepoint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767</v>
      </c>
      <c r="B114" s="7">
        <v>4020</v>
      </c>
      <c r="C114" s="21" t="s">
        <v>204</v>
      </c>
      <c r="D114" s="21" t="s">
        <v>569</v>
      </c>
      <c r="E114" s="13">
        <v>42895.672256944446</v>
      </c>
      <c r="F114" s="13">
        <v>42895.677453703705</v>
      </c>
      <c r="G114" s="7">
        <v>1</v>
      </c>
      <c r="H114" s="21" t="s">
        <v>841</v>
      </c>
      <c r="I114" s="13">
        <v>42895.704189814816</v>
      </c>
      <c r="J114" s="7">
        <v>0</v>
      </c>
      <c r="K114" s="92" t="str">
        <f t="shared" si="27"/>
        <v>4019/4020</v>
      </c>
      <c r="L114" s="21" t="str">
        <f>VLOOKUP(A114,'Trips&amp;Operators'!$C$1:$G$99999,5,FALSE)</f>
        <v>HOLCOMB KAMDEN</v>
      </c>
      <c r="M114" s="6">
        <f t="shared" si="28"/>
        <v>2.6736111110949423E-2</v>
      </c>
      <c r="N114" s="7">
        <f t="shared" si="46"/>
        <v>38.499999999767169</v>
      </c>
      <c r="O114" s="7"/>
      <c r="P114" s="7"/>
      <c r="Q114" s="22"/>
      <c r="R114" s="173"/>
      <c r="S114" s="176">
        <f t="shared" si="47"/>
        <v>1</v>
      </c>
      <c r="T114" s="202" t="str">
        <f t="shared" si="30"/>
        <v>NorthBound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31"/>
        <v>https://d0f6bd738d7f1b3e5a7ca70fe4ff75f0.us-east-1.aws.found.io/app/kibana#/discover/Steve-Slow-Train-Analysis-(2080s-and-2083s)?_g=(refreshInterval:(display:Off,pause:!f,section:0,value:0),time:(from:'2017-06-09T15:08:03-0600',mode:absolute,to:'2017-06-09T17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4" s="204" t="str">
        <f t="shared" si="32"/>
        <v>N</v>
      </c>
      <c r="X114" s="204">
        <f t="shared" si="33"/>
        <v>1</v>
      </c>
      <c r="Y114" s="204">
        <f t="shared" si="48"/>
        <v>4.24E-2</v>
      </c>
      <c r="Z114" s="204">
        <f t="shared" si="49"/>
        <v>23.331</v>
      </c>
      <c r="AA114" s="204">
        <f t="shared" si="36"/>
        <v>23.288599999999999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7"/>
        <v>0201-09</v>
      </c>
      <c r="AE114" s="80" t="str">
        <f t="shared" si="38"/>
        <v>aws s3 cp s3://rtdc.mdm.uploadarchive.raw/RTDC4020/ "%USERPROFILE%\AppData\Local\Temp\OnboardLogs"\RTDC4020\2017-06-09 --exclude "*" --recursive --include "*20170609*" &amp; "%USERPROFILE%\Documents\GitHub\mrs-test-scripts\Headless Mode &amp; Sideloading\WalkAndUnGZ.bat" "%USERPROFILE%\AppData\Local\Temp\OnboardLogs"\RTDC4020\2017-06-09 &amp; aws s3 cp s3://rtdc.mdm.uploadarchive.raw/RTDC4020/ "%USERPROFILE%\AppData\Local\Temp\OnboardLogs"\RTDC4020\2017-06-10 --exclude "*" --recursive --include "*20170610*" &amp; "%USERPROFILE%\Documents\GitHub\mrs-test-scripts\Headless Mode &amp; Sideloading\WalkAndUnGZ.bat" "%USERPROFILE%\AppData\Local\Temp\OnboardLogs"\RTDC4020\2017-06-10</v>
      </c>
      <c r="AF114" s="77" t="str">
        <f t="shared" si="39"/>
        <v>"C:\Program Files (x86)\AstroGrep\AstroGrep.exe" /e /r /s /spath="%USERPROFILE%\AppData\Local\Temp\OnboardLogs" /stypes="app*4020*20170609*" /stext=" 22:.+((SYSTEM_STATE.+slice.+state.+changed )|(ment ac)|(multiple cpu faults)|(system.+state.+changed )|(\[timeout)|(PRM\|1\|D)|(kpr)|(kdp)|(train st.+moving)|(\|lc)|(penalty))"</v>
      </c>
      <c r="AG114" s="1" t="str">
        <f t="shared" si="40"/>
        <v>EC</v>
      </c>
      <c r="AH114" s="81" t="str">
        <f t="shared" si="42"/>
        <v>"%USERPROFILE%\Documents\GitHub\eaglep3\Utilities\RefineRTDCRunTimes.py" --tripid 201-09 --locoid 4020 --swversion DE.1.0.9.0 --startMP 204:424 --initTime 2017-06-09T16:08:03 --startdatetime 2017-06-09T16:15:32 --delay 1 --endMP 204:233310 --enddatetime 2017-06-09T16:54:02 --enforcementcount 0 &gt;&gt;C:\Users\stu\Documents\GitHub\eaglep3-reporting\EC\2017-06-09-refined-times.txt</v>
      </c>
      <c r="AI114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{"issue":{"subject":"","project_id":79,"tracker_id":40,"status_id":1,"priority_id":2,"assigned_to_id":23,"start_date":"2017-06-09","description":"","custom_fields":[{"id":1,"name":"Subdivision","value":"EC"},{"id":4,"name":"Milepost","value":"23.331"},{"id":17,"name":"Train ID","value":"201-09"},{"id":16,"name":"Locomotive ID","value":"4020"},{"id":130,"name":"Impact","value":""},{"id":150,"name":"Time of Event (Mountain Time)","value":"16:54:02"},{"id":151,"name":"Denver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4"/>
        <v>start /low /b %USERPROFILE%\Documents\GitHub\eaglep3\Utilities\DownloadLogsFromS3.py --loco 4020 --day 2017-06-09</v>
      </c>
      <c r="AN114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22:54:02"},{"id":29,"name":"Sharepoint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624</v>
      </c>
      <c r="B115" s="7">
        <v>4019</v>
      </c>
      <c r="C115" s="21" t="s">
        <v>204</v>
      </c>
      <c r="D115" s="21" t="s">
        <v>555</v>
      </c>
      <c r="E115" s="13">
        <v>42895.715555555558</v>
      </c>
      <c r="F115" s="13">
        <v>42895.717199074075</v>
      </c>
      <c r="G115" s="7">
        <v>1</v>
      </c>
      <c r="H115" s="21" t="s">
        <v>457</v>
      </c>
      <c r="I115" s="13">
        <v>42895.745219907411</v>
      </c>
      <c r="J115" s="7">
        <v>0</v>
      </c>
      <c r="K115" s="92" t="str">
        <f t="shared" si="27"/>
        <v>4019/4020</v>
      </c>
      <c r="L115" s="21" t="str">
        <f>VLOOKUP(A115,'Trips&amp;Operators'!$C$1:$G$99999,5,FALSE)</f>
        <v>HOLCOMB KAMDEN</v>
      </c>
      <c r="M115" s="6">
        <f t="shared" si="28"/>
        <v>2.8020833335176576E-2</v>
      </c>
      <c r="N115" s="7">
        <f t="shared" si="46"/>
        <v>40.350000002654269</v>
      </c>
      <c r="O115" s="7"/>
      <c r="P115" s="7"/>
      <c r="Q115" s="22"/>
      <c r="R115" s="173"/>
      <c r="S115" s="176">
        <f t="shared" si="47"/>
        <v>1</v>
      </c>
      <c r="T115" s="202" t="str">
        <f t="shared" si="30"/>
        <v>Southbound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31"/>
        <v>https://d0f6bd738d7f1b3e5a7ca70fe4ff75f0.us-east-1.aws.found.io/app/kibana#/discover/Steve-Slow-Train-Analysis-(2080s-and-2083s)?_g=(refreshInterval:(display:Off,pause:!f,section:0,value:0),time:(from:'2017-06-09T16:10:24-0600',mode:absolute,to:'2017-06-09T18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5" s="204" t="str">
        <f t="shared" si="32"/>
        <v>N</v>
      </c>
      <c r="X115" s="204">
        <f t="shared" si="33"/>
        <v>1</v>
      </c>
      <c r="Y115" s="204">
        <f t="shared" si="48"/>
        <v>23.299800000000001</v>
      </c>
      <c r="Z115" s="204">
        <f t="shared" si="49"/>
        <v>1.5599999999999999E-2</v>
      </c>
      <c r="AA115" s="204">
        <f t="shared" si="36"/>
        <v>23.284200000000002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7"/>
        <v>0202-09</v>
      </c>
      <c r="AE115" s="80" t="str">
        <f t="shared" si="38"/>
        <v>aws s3 cp s3://rtdc.mdm.uploadarchive.raw/RTDC4019/ "%USERPROFILE%\AppData\Local\Temp\OnboardLogs"\RTDC4019\2017-06-09 --exclude "*" --recursive --include "*20170609*" &amp; "%USERPROFILE%\Documents\GitHub\mrs-test-scripts\Headless Mode &amp; Sideloading\WalkAndUnGZ.bat" "%USERPROFILE%\AppData\Local\Temp\OnboardLogs"\RTDC4019\2017-06-09 &amp; aws s3 cp s3://rtdc.mdm.uploadarchive.raw/RTDC4019/ "%USERPROFILE%\AppData\Local\Temp\OnboardLogs"\RTDC4019\2017-06-10 --exclude "*" --recursive --include "*20170610*" &amp; "%USERPROFILE%\Documents\GitHub\mrs-test-scripts\Headless Mode &amp; Sideloading\WalkAndUnGZ.bat" "%USERPROFILE%\AppData\Local\Temp\OnboardLogs"\RTDC4019\2017-06-10</v>
      </c>
      <c r="AF115" s="77" t="str">
        <f t="shared" si="39"/>
        <v>"C:\Program Files (x86)\AstroGrep\AstroGrep.exe" /e /r /s /spath="%USERPROFILE%\AppData\Local\Temp\OnboardLogs" /stypes="app*4019*20170609*" /stext=" 23:.+((SYSTEM_STATE.+slice.+state.+changed )|(ment ac)|(multiple cpu faults)|(system.+state.+changed )|(\[timeout)|(PRM\|1\|D)|(kpr)|(kdp)|(train st.+moving)|(\|lc)|(penalty))"</v>
      </c>
      <c r="AG115" s="1" t="str">
        <f t="shared" si="40"/>
        <v>EC</v>
      </c>
      <c r="AH115" s="81" t="str">
        <f t="shared" si="42"/>
        <v>"%USERPROFILE%\Documents\GitHub\eaglep3\Utilities\RefineRTDCRunTimes.py" --tripid 202-09 --locoid 4019 --swversion DE.1.0.9.0 --startMP 204:232998 --initTime 2017-06-09T17:10:24 --startdatetime 2017-06-09T17:12:46 --delay 1 --endMP 204:156 --enddatetime 2017-06-09T17:53:07 --enforcementcount 0 &gt;&gt;C:\Users\stu\Documents\GitHub\eaglep3-reporting\EC\2017-06-09-refined-times.txt</v>
      </c>
      <c r="AI115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{"issue":{"subject":"","project_id":79,"tracker_id":40,"status_id":1,"priority_id":2,"assigned_to_id":23,"start_date":"2017-06-09","description":"","custom_fields":[{"id":1,"name":"Subdivision","value":"EC"},{"id":4,"name":"Milepost","value":"0.0156"},{"id":17,"name":"Train ID","value":"202-09"},{"id":16,"name":"Locomotive ID","value":"4019"},{"id":130,"name":"Impact","value":""},{"id":150,"name":"Time of Event (Mountain Time)","value":"17:53:07"},{"id":151,"name":"Denver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4"/>
        <v>start /low /b %USERPROFILE%\Documents\GitHub\eaglep3\Utilities\DownloadLogsFromS3.py --loco 4019 --day 2017-06-09</v>
      </c>
      <c r="AN115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23:53:07"},{"id":29,"name":"Sharepoint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619</v>
      </c>
      <c r="B116" s="7">
        <v>4030</v>
      </c>
      <c r="C116" s="21" t="s">
        <v>204</v>
      </c>
      <c r="D116" s="21" t="s">
        <v>433</v>
      </c>
      <c r="E116" s="13">
        <v>42895.683622685188</v>
      </c>
      <c r="F116" s="13">
        <v>42895.68822916667</v>
      </c>
      <c r="G116" s="7">
        <v>1</v>
      </c>
      <c r="H116" s="21" t="s">
        <v>870</v>
      </c>
      <c r="I116" s="13">
        <v>42895.71434027778</v>
      </c>
      <c r="J116" s="7">
        <v>0</v>
      </c>
      <c r="K116" s="92" t="str">
        <f t="shared" si="27"/>
        <v>4029/4030</v>
      </c>
      <c r="L116" s="21" t="str">
        <f>VLOOKUP(A116,'Trips&amp;Operators'!$C$1:$G$99999,5,FALSE)</f>
        <v>BRANDNER MELINDA</v>
      </c>
      <c r="M116" s="6">
        <f t="shared" si="28"/>
        <v>2.6111111110367347E-2</v>
      </c>
      <c r="N116" s="7">
        <f t="shared" si="46"/>
        <v>37.599999998928979</v>
      </c>
      <c r="O116" s="7"/>
      <c r="P116" s="7"/>
      <c r="Q116" s="22"/>
      <c r="R116" s="173"/>
      <c r="S116" s="176">
        <f t="shared" si="47"/>
        <v>1</v>
      </c>
      <c r="T116" s="202" t="str">
        <f t="shared" si="30"/>
        <v>NorthBound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31"/>
        <v>https://d0f6bd738d7f1b3e5a7ca70fe4ff75f0.us-east-1.aws.found.io/app/kibana#/discover/Steve-Slow-Train-Analysis-(2080s-and-2083s)?_g=(refreshInterval:(display:Off,pause:!f,section:0,value:0),time:(from:'2017-06-09T15:24:25-0600',mode:absolute,to:'2017-06-09T18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6" s="204" t="str">
        <f t="shared" si="32"/>
        <v>N</v>
      </c>
      <c r="X116" s="204">
        <f t="shared" si="33"/>
        <v>1</v>
      </c>
      <c r="Y116" s="204">
        <f t="shared" si="48"/>
        <v>4.4200000000000003E-2</v>
      </c>
      <c r="Z116" s="204">
        <f t="shared" si="49"/>
        <v>23.345099999999999</v>
      </c>
      <c r="AA116" s="204">
        <f t="shared" si="36"/>
        <v>23.300899999999999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7"/>
        <v>0203-09</v>
      </c>
      <c r="AE116" s="80" t="str">
        <f t="shared" si="38"/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AF116" s="77" t="str">
        <f t="shared" si="39"/>
        <v>"C:\Program Files (x86)\AstroGrep\AstroGrep.exe" /e /r /s /spath="%USERPROFILE%\AppData\Local\Temp\OnboardLogs" /stypes="app*4030*20170609*" /stext=" 23:.+((SYSTEM_STATE.+slice.+state.+changed )|(ment ac)|(multiple cpu faults)|(system.+state.+changed )|(\[timeout)|(PRM\|1\|D)|(kpr)|(kdp)|(train st.+moving)|(\|lc)|(penalty))"</v>
      </c>
      <c r="AG116" s="1" t="str">
        <f t="shared" si="40"/>
        <v>EC</v>
      </c>
      <c r="AH116" s="81" t="str">
        <f t="shared" si="42"/>
        <v>"%USERPROFILE%\Documents\GitHub\eaglep3\Utilities\RefineRTDCRunTimes.py" --tripid 203-09 --locoid 4030 --swversion DE.1.0.9.0 --startMP 204:442 --initTime 2017-06-09T16:24:25 --startdatetime 2017-06-09T16:31:03 --delay 1 --endMP 204:233451 --enddatetime 2017-06-09T17:08:39 --enforcementcount 0 &gt;&gt;C:\Users\stu\Documents\GitHub\eaglep3-reporting\EC\2017-06-09-refined-times.txt</v>
      </c>
      <c r="AI116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{"issue":{"subject":"","project_id":79,"tracker_id":40,"status_id":1,"priority_id":2,"assigned_to_id":23,"start_date":"2017-06-09","description":"","custom_fields":[{"id":1,"name":"Subdivision","value":"EC"},{"id":4,"name":"Milepost","value":"23.3451"},{"id":17,"name":"Train ID","value":"203-09"},{"id":16,"name":"Locomotive ID","value":"4030"},{"id":130,"name":"Impact","value":""},{"id":150,"name":"Time of Event (Mountain Time)","value":"17:08:39"},{"id":151,"name":"Denver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4"/>
        <v>start /low /b %USERPROFILE%\Documents\GitHub\eaglep3\Utilities\DownloadLogsFromS3.py --loco 4030 --day 2017-06-09</v>
      </c>
      <c r="AN116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23:08:39"},{"id":29,"name":"Sharepoint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776</v>
      </c>
      <c r="B117" s="7">
        <v>4029</v>
      </c>
      <c r="C117" s="21" t="s">
        <v>204</v>
      </c>
      <c r="D117" s="21" t="s">
        <v>871</v>
      </c>
      <c r="E117" s="13">
        <v>42895.724386574075</v>
      </c>
      <c r="F117" s="13">
        <v>42895.727546296293</v>
      </c>
      <c r="G117" s="7">
        <v>1</v>
      </c>
      <c r="H117" s="21" t="s">
        <v>364</v>
      </c>
      <c r="I117" s="13">
        <v>42895.756030092591</v>
      </c>
      <c r="J117" s="7">
        <v>0</v>
      </c>
      <c r="K117" s="92" t="str">
        <f t="shared" si="27"/>
        <v>4029/4030</v>
      </c>
      <c r="L117" s="21" t="str">
        <f>VLOOKUP(A117,'Trips&amp;Operators'!$C$1:$G$99999,5,FALSE)</f>
        <v>BRANDNER MELINDA</v>
      </c>
      <c r="M117" s="6">
        <f t="shared" si="28"/>
        <v>2.8483796297223307E-2</v>
      </c>
      <c r="N117" s="7">
        <f t="shared" si="46"/>
        <v>41.016666668001562</v>
      </c>
      <c r="O117" s="7"/>
      <c r="P117" s="7"/>
      <c r="Q117" s="22"/>
      <c r="R117" s="173"/>
      <c r="S117" s="176">
        <f t="shared" si="47"/>
        <v>1</v>
      </c>
      <c r="T117" s="202" t="str">
        <f t="shared" si="30"/>
        <v>Southbound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31"/>
        <v>https://d0f6bd738d7f1b3e5a7ca70fe4ff75f0.us-east-1.aws.found.io/app/kibana#/discover/Steve-Slow-Train-Analysis-(2080s-and-2083s)?_g=(refreshInterval:(display:Off,pause:!f,section:0,value:0),time:(from:'2017-06-09T16:23:07-0600',mode:absolute,to:'2017-06-09T19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7" s="204" t="str">
        <f t="shared" si="32"/>
        <v>N</v>
      </c>
      <c r="X117" s="204">
        <f t="shared" si="33"/>
        <v>1</v>
      </c>
      <c r="Y117" s="204">
        <f t="shared" si="48"/>
        <v>23.3094</v>
      </c>
      <c r="Z117" s="204">
        <f t="shared" si="49"/>
        <v>1.47E-2</v>
      </c>
      <c r="AA117" s="204">
        <f t="shared" si="36"/>
        <v>23.294699999999999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7"/>
        <v>0204-09</v>
      </c>
      <c r="AE117" s="80" t="str">
        <f t="shared" si="38"/>
        <v>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 &amp; 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</v>
      </c>
      <c r="AF117" s="77" t="str">
        <f t="shared" si="39"/>
        <v>"C:\Program Files (x86)\AstroGrep\AstroGrep.exe" /e /r /s /spath="%USERPROFILE%\AppData\Local\Temp\OnboardLogs" /stypes="app*4029*20170610*" /stext=" 00:.+((SYSTEM_STATE.+slice.+state.+changed )|(ment ac)|(multiple cpu faults)|(system.+state.+changed )|(\[timeout)|(PRM\|1\|D)|(kpr)|(kdp)|(train st.+moving)|(\|lc)|(penalty))"</v>
      </c>
      <c r="AG117" s="1" t="str">
        <f t="shared" si="40"/>
        <v>EC</v>
      </c>
      <c r="AH117" s="81" t="str">
        <f t="shared" si="42"/>
        <v>"%USERPROFILE%\Documents\GitHub\eaglep3\Utilities\RefineRTDCRunTimes.py" --tripid 204-09 --locoid 4029 --swversion DE.1.0.9.0 --startMP 204:233094 --initTime 2017-06-09T17:23:07 --startdatetime 2017-06-09T17:27:40 --delay 1 --endMP 204:147 --enddatetime 2017-06-09T18:08:41 --enforcementcount 0 &gt;&gt;C:\Users\stu\Documents\GitHub\eaglep3-reporting\EC\2017-06-09-refined-times.txt</v>
      </c>
      <c r="AI117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{"issue":{"subject":"","project_id":79,"tracker_id":40,"status_id":1,"priority_id":2,"assigned_to_id":23,"start_date":"2017-06-09","description":"","custom_fields":[{"id":1,"name":"Subdivision","value":"EC"},{"id":4,"name":"Milepost","value":"0.0147"},{"id":17,"name":"Train ID","value":"204-09"},{"id":16,"name":"Locomotive ID","value":"4029"},{"id":130,"name":"Impact","value":""},{"id":150,"name":"Time of Event (Mountain Time)","value":"18:08:41"},{"id":151,"name":"Denver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4"/>
        <v>start /low /b %USERPROFILE%\Documents\GitHub\eaglep3\Utilities\DownloadLogsFromS3.py --loco 4029 --day 2017-06-09</v>
      </c>
      <c r="AN117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00:08:41"},{"id":29,"name":"Sharepoint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769</v>
      </c>
      <c r="B118" s="7">
        <v>4006</v>
      </c>
      <c r="C118" s="21" t="s">
        <v>204</v>
      </c>
      <c r="D118" s="21" t="s">
        <v>872</v>
      </c>
      <c r="E118" s="13">
        <v>42895.695451388892</v>
      </c>
      <c r="F118" s="13">
        <v>42895.698136574072</v>
      </c>
      <c r="G118" s="7">
        <v>1</v>
      </c>
      <c r="H118" s="21" t="s">
        <v>873</v>
      </c>
      <c r="I118" s="13">
        <v>42895.723599537036</v>
      </c>
      <c r="J118" s="7">
        <v>0</v>
      </c>
      <c r="K118" s="92" t="str">
        <f t="shared" si="27"/>
        <v>4005/4006</v>
      </c>
      <c r="L118" s="21" t="str">
        <f>VLOOKUP(A118,'Trips&amp;Operators'!$C$1:$G$99999,5,FALSE)</f>
        <v>STEWART MICHAEL</v>
      </c>
      <c r="M118" s="6">
        <f t="shared" si="28"/>
        <v>2.5462962963501923E-2</v>
      </c>
      <c r="N118" s="7">
        <f t="shared" si="46"/>
        <v>36.666666667442769</v>
      </c>
      <c r="O118" s="7"/>
      <c r="P118" s="7"/>
      <c r="Q118" s="22"/>
      <c r="R118" s="173"/>
      <c r="S118" s="176">
        <f t="shared" si="47"/>
        <v>1</v>
      </c>
      <c r="T118" s="202" t="str">
        <f t="shared" si="30"/>
        <v>NorthBound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31"/>
        <v>https://d0f6bd738d7f1b3e5a7ca70fe4ff75f0.us-east-1.aws.found.io/app/kibana#/discover/Steve-Slow-Train-Analysis-(2080s-and-2083s)?_g=(refreshInterval:(display:Off,pause:!f,section:0,value:0),time:(from:'2017-06-09T15:41:27-0600',mode:absolute,to:'2017-06-09T18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8" s="204" t="str">
        <f t="shared" si="32"/>
        <v>N</v>
      </c>
      <c r="X118" s="204">
        <f t="shared" si="33"/>
        <v>1</v>
      </c>
      <c r="Y118" s="204">
        <f t="shared" si="48"/>
        <v>4.8399999999999999E-2</v>
      </c>
      <c r="Z118" s="204">
        <f t="shared" si="49"/>
        <v>23.3264</v>
      </c>
      <c r="AA118" s="204">
        <f t="shared" si="36"/>
        <v>23.277999999999999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7"/>
        <v>0205-09</v>
      </c>
      <c r="AE118" s="80" t="str">
        <f t="shared" si="38"/>
        <v>aws s3 cp s3://rtdc.mdm.uploadarchive.raw/RTDC4006/ "%USERPROFILE%\AppData\Local\Temp\OnboardLogs"\RTDC4006\2017-06-09 --exclude "*" --recursive --include "*20170609*" &amp; "%USERPROFILE%\Documents\GitHub\mrs-test-scripts\Headless Mode &amp; Sideloading\WalkAndUnGZ.bat" "%USERPROFILE%\AppData\Local\Temp\OnboardLogs"\RTDC4006\2017-06-09 &amp; 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</v>
      </c>
      <c r="AF118" s="77" t="str">
        <f t="shared" si="39"/>
        <v>"C:\Program Files (x86)\AstroGrep\AstroGrep.exe" /e /r /s /spath="%USERPROFILE%\AppData\Local\Temp\OnboardLogs" /stypes="app*4006*20170609*" /stext=" 23:.+((SYSTEM_STATE.+slice.+state.+changed )|(ment ac)|(multiple cpu faults)|(system.+state.+changed )|(\[timeout)|(PRM\|1\|D)|(kpr)|(kdp)|(train st.+moving)|(\|lc)|(penalty))"</v>
      </c>
      <c r="AG118" s="1" t="str">
        <f t="shared" si="40"/>
        <v>EC</v>
      </c>
      <c r="AH118" s="81" t="str">
        <f t="shared" si="42"/>
        <v>"%USERPROFILE%\Documents\GitHub\eaglep3\Utilities\RefineRTDCRunTimes.py" --tripid 205-09 --locoid 4006 --swversion DE.1.0.9.0 --startMP 204:484 --initTime 2017-06-09T16:41:27 --startdatetime 2017-06-09T16:45:19 --delay 1 --endMP 204:233264 --enddatetime 2017-06-09T17:21:59 --enforcementcount 0 &gt;&gt;C:\Users\stu\Documents\GitHub\eaglep3-reporting\EC\2017-06-09-refined-times.txt</v>
      </c>
      <c r="AI118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{"issue":{"subject":"","project_id":79,"tracker_id":40,"status_id":1,"priority_id":2,"assigned_to_id":23,"start_date":"2017-06-09","description":"","custom_fields":[{"id":1,"name":"Subdivision","value":"EC"},{"id":4,"name":"Milepost","value":"23.3264"},{"id":17,"name":"Train ID","value":"205-09"},{"id":16,"name":"Locomotive ID","value":"4006"},{"id":130,"name":"Impact","value":""},{"id":150,"name":"Time of Event (Mountain Time)","value":"17:21:59"},{"id":151,"name":"Denver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4"/>
        <v>start /low /b %USERPROFILE%\Documents\GitHub\eaglep3\Utilities\DownloadLogsFromS3.py --loco 4006 --day 2017-06-09</v>
      </c>
      <c r="AN118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23:21:59"},{"id":29,"name":"Sharepoint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626</v>
      </c>
      <c r="B119" s="7">
        <v>4005</v>
      </c>
      <c r="C119" s="21" t="s">
        <v>204</v>
      </c>
      <c r="D119" s="21" t="s">
        <v>874</v>
      </c>
      <c r="E119" s="13">
        <v>42895.735995370371</v>
      </c>
      <c r="F119" s="13">
        <v>42895.737835648149</v>
      </c>
      <c r="G119" s="7">
        <v>1</v>
      </c>
      <c r="H119" s="21" t="s">
        <v>875</v>
      </c>
      <c r="I119" s="13">
        <v>42895.764872685184</v>
      </c>
      <c r="J119" s="7">
        <v>0</v>
      </c>
      <c r="K119" s="92" t="str">
        <f t="shared" si="27"/>
        <v>4005/4006</v>
      </c>
      <c r="L119" s="21" t="str">
        <f>VLOOKUP(A119,'Trips&amp;Operators'!$C$1:$G$99999,5,FALSE)</f>
        <v>STEWART MICHAEL</v>
      </c>
      <c r="M119" s="6">
        <f t="shared" si="28"/>
        <v>2.7037037034460809E-2</v>
      </c>
      <c r="N119" s="7">
        <f t="shared" si="46"/>
        <v>38.933333329623565</v>
      </c>
      <c r="O119" s="7"/>
      <c r="P119" s="7"/>
      <c r="Q119" s="22"/>
      <c r="R119" s="173"/>
      <c r="S119" s="176">
        <f t="shared" si="47"/>
        <v>1</v>
      </c>
      <c r="T119" s="202" t="str">
        <f t="shared" si="30"/>
        <v>Southbound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31"/>
        <v>https://d0f6bd738d7f1b3e5a7ca70fe4ff75f0.us-east-1.aws.found.io/app/kibana#/discover/Steve-Slow-Train-Analysis-(2080s-and-2083s)?_g=(refreshInterval:(display:Off,pause:!f,section:0,value:0),time:(from:'2017-06-09T16:39:50-0600',mode:absolute,to:'2017-06-09T19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9" s="204" t="str">
        <f t="shared" si="32"/>
        <v>N</v>
      </c>
      <c r="X119" s="204">
        <f t="shared" si="33"/>
        <v>1</v>
      </c>
      <c r="Y119" s="204">
        <f t="shared" si="48"/>
        <v>23.297000000000001</v>
      </c>
      <c r="Z119" s="204">
        <f t="shared" si="49"/>
        <v>1.83E-2</v>
      </c>
      <c r="AA119" s="204">
        <f t="shared" si="36"/>
        <v>23.278700000000001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7"/>
        <v>0206-09</v>
      </c>
      <c r="AE119" s="80" t="str">
        <f t="shared" si="38"/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AF119" s="77" t="str">
        <f t="shared" si="39"/>
        <v>"C:\Program Files (x86)\AstroGrep\AstroGrep.exe" /e /r /s /spath="%USERPROFILE%\AppData\Local\Temp\OnboardLogs" /stypes="app*4005*20170610*" /stext=" 00:.+((SYSTEM_STATE.+slice.+state.+changed )|(ment ac)|(multiple cpu faults)|(system.+state.+changed )|(\[timeout)|(PRM\|1\|D)|(kpr)|(kdp)|(train st.+moving)|(\|lc)|(penalty))"</v>
      </c>
      <c r="AG119" s="1" t="str">
        <f t="shared" si="40"/>
        <v>EC</v>
      </c>
      <c r="AH119" s="81" t="str">
        <f t="shared" si="42"/>
        <v>"%USERPROFILE%\Documents\GitHub\eaglep3\Utilities\RefineRTDCRunTimes.py" --tripid 206-09 --locoid 4005 --swversion DE.1.0.9.0 --startMP 204:232970 --initTime 2017-06-09T17:39:50 --startdatetime 2017-06-09T17:42:29 --delay 1 --endMP 204:183 --enddatetime 2017-06-09T18:21:25 --enforcementcount 0 &gt;&gt;C:\Users\stu\Documents\GitHub\eaglep3-reporting\EC\2017-06-09-refined-times.txt</v>
      </c>
      <c r="AI119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{"issue":{"subject":"","project_id":79,"tracker_id":40,"status_id":1,"priority_id":2,"assigned_to_id":23,"start_date":"2017-06-09","description":"","custom_fields":[{"id":1,"name":"Subdivision","value":"EC"},{"id":4,"name":"Milepost","value":"0.0183"},{"id":17,"name":"Train ID","value":"206-09"},{"id":16,"name":"Locomotive ID","value":"4005"},{"id":130,"name":"Impact","value":""},{"id":150,"name":"Time of Event (Mountain Time)","value":"18:21:25"},{"id":151,"name":"Denver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4"/>
        <v>start /low /b %USERPROFILE%\Documents\GitHub\eaglep3\Utilities\DownloadLogsFromS3.py --loco 4005 --day 2017-06-09</v>
      </c>
      <c r="AN119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00:21:25"},{"id":29,"name":"Sharepoint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771</v>
      </c>
      <c r="B120" s="7">
        <v>4054</v>
      </c>
      <c r="C120" s="21" t="s">
        <v>204</v>
      </c>
      <c r="D120" s="21" t="s">
        <v>867</v>
      </c>
      <c r="E120" s="13">
        <v>42895.704594907409</v>
      </c>
      <c r="F120" s="13">
        <v>42895.708472222221</v>
      </c>
      <c r="G120" s="7">
        <v>1</v>
      </c>
      <c r="H120" s="21" t="s">
        <v>852</v>
      </c>
      <c r="I120" s="13">
        <v>42895.734629629631</v>
      </c>
      <c r="J120" s="7">
        <v>0</v>
      </c>
      <c r="K120" s="92" t="str">
        <f t="shared" si="27"/>
        <v>4053/4054</v>
      </c>
      <c r="L120" s="21" t="str">
        <f>VLOOKUP(A120,'Trips&amp;Operators'!$C$1:$G$99999,5,FALSE)</f>
        <v>NEWELL JAMES</v>
      </c>
      <c r="M120" s="6">
        <f t="shared" si="28"/>
        <v>2.6157407410209998E-2</v>
      </c>
      <c r="N120" s="7">
        <f t="shared" si="46"/>
        <v>37.666666670702398</v>
      </c>
      <c r="O120" s="7"/>
      <c r="P120" s="7"/>
      <c r="Q120" s="22"/>
      <c r="R120" s="173"/>
      <c r="S120" s="176">
        <f t="shared" si="47"/>
        <v>1</v>
      </c>
      <c r="T120" s="202" t="str">
        <f t="shared" si="30"/>
        <v>NorthBound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31"/>
        <v>https://d0f6bd738d7f1b3e5a7ca70fe4ff75f0.us-east-1.aws.found.io/app/kibana#/discover/Steve-Slow-Train-Analysis-(2080s-and-2083s)?_g=(refreshInterval:(display:Off,pause:!f,section:0,value:0),time:(from:'2017-06-09T15:54:37-0600',mode:absolute,to:'2017-06-09T18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0" s="204" t="str">
        <f t="shared" si="32"/>
        <v>N</v>
      </c>
      <c r="X120" s="204">
        <f t="shared" si="33"/>
        <v>1</v>
      </c>
      <c r="Y120" s="204">
        <f t="shared" si="48"/>
        <v>4.3499999999999997E-2</v>
      </c>
      <c r="Z120" s="204">
        <f t="shared" si="49"/>
        <v>23.327999999999999</v>
      </c>
      <c r="AA120" s="204">
        <f t="shared" si="36"/>
        <v>23.284499999999998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7"/>
        <v>0207-09</v>
      </c>
      <c r="AE120" s="80" t="str">
        <f t="shared" si="38"/>
        <v>aws s3 cp s3://rtdc.mdm.uploadarchive.raw/RTDC4054/ "%USERPROFILE%\AppData\Local\Temp\OnboardLogs"\RTDC4054\2017-06-09 --exclude "*" --recursive --include "*20170609*" &amp; "%USERPROFILE%\Documents\GitHub\mrs-test-scripts\Headless Mode &amp; Sideloading\WalkAndUnGZ.bat" "%USERPROFILE%\AppData\Local\Temp\OnboardLogs"\RTDC4054\2017-06-09 &amp; 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</v>
      </c>
      <c r="AF120" s="77" t="str">
        <f t="shared" si="39"/>
        <v>"C:\Program Files (x86)\AstroGrep\AstroGrep.exe" /e /r /s /spath="%USERPROFILE%\AppData\Local\Temp\OnboardLogs" /stypes="app*4054*20170609*" /stext=" 23:.+((SYSTEM_STATE.+slice.+state.+changed )|(ment ac)|(multiple cpu faults)|(system.+state.+changed )|(\[timeout)|(PRM\|1\|D)|(kpr)|(kdp)|(train st.+moving)|(\|lc)|(penalty))"</v>
      </c>
      <c r="AG120" s="1" t="str">
        <f t="shared" si="40"/>
        <v>EC</v>
      </c>
      <c r="AH120" s="81" t="str">
        <f t="shared" si="42"/>
        <v>"%USERPROFILE%\Documents\GitHub\eaglep3\Utilities\RefineRTDCRunTimes.py" --tripid 207-09 --locoid 4054 --swversion DE.1.0.9.0 --startMP 204:435 --initTime 2017-06-09T16:54:37 --startdatetime 2017-06-09T17:00:12 --delay 1 --endMP 204:233280 --enddatetime 2017-06-09T17:37:52 --enforcementcount 0 &gt;&gt;C:\Users\stu\Documents\GitHub\eaglep3-reporting\EC\2017-06-09-refined-times.txt</v>
      </c>
      <c r="AI120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{"issue":{"subject":"","project_id":79,"tracker_id":40,"status_id":1,"priority_id":2,"assigned_to_id":23,"start_date":"2017-06-09","description":"","custom_fields":[{"id":1,"name":"Subdivision","value":"EC"},{"id":4,"name":"Milepost","value":"23.328"},{"id":17,"name":"Train ID","value":"207-09"},{"id":16,"name":"Locomotive ID","value":"4054"},{"id":130,"name":"Impact","value":""},{"id":150,"name":"Time of Event (Mountain Time)","value":"17:37:52"},{"id":151,"name":"Denver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4"/>
        <v>start /low /b %USERPROFILE%\Documents\GitHub\eaglep3\Utilities\DownloadLogsFromS3.py --loco 4054 --day 2017-06-09</v>
      </c>
      <c r="AN120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23:37:52"},{"id":29,"name":"Sharepoint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780</v>
      </c>
      <c r="B121" s="7">
        <v>4053</v>
      </c>
      <c r="C121" s="21" t="s">
        <v>204</v>
      </c>
      <c r="D121" s="21" t="s">
        <v>876</v>
      </c>
      <c r="E121" s="13">
        <v>42895.737673611111</v>
      </c>
      <c r="F121" s="13">
        <v>42895.74827546296</v>
      </c>
      <c r="G121" s="7">
        <v>1</v>
      </c>
      <c r="H121" s="21" t="s">
        <v>353</v>
      </c>
      <c r="I121" s="13">
        <v>42895.773715277777</v>
      </c>
      <c r="J121" s="7">
        <v>0</v>
      </c>
      <c r="K121" s="92" t="str">
        <f t="shared" si="27"/>
        <v>4053/4054</v>
      </c>
      <c r="L121" s="21" t="str">
        <f>VLOOKUP(A121,'Trips&amp;Operators'!$C$1:$G$99999,5,FALSE)</f>
        <v>NEWELL JAMES</v>
      </c>
      <c r="M121" s="6">
        <f t="shared" si="28"/>
        <v>2.5439814817218576E-2</v>
      </c>
      <c r="N121" s="7">
        <f t="shared" si="46"/>
        <v>36.633333336794749</v>
      </c>
      <c r="O121" s="7"/>
      <c r="P121" s="7"/>
      <c r="Q121" s="22"/>
      <c r="R121" s="173"/>
      <c r="S121" s="176">
        <f t="shared" si="47"/>
        <v>1</v>
      </c>
      <c r="T121" s="202" t="str">
        <f t="shared" si="30"/>
        <v>Southbound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31"/>
        <v>https://d0f6bd738d7f1b3e5a7ca70fe4ff75f0.us-east-1.aws.found.io/app/kibana#/discover/Steve-Slow-Train-Analysis-(2080s-and-2083s)?_g=(refreshInterval:(display:Off,pause:!f,section:0,value:0),time:(from:'2017-06-09T16:42:15-0600',mode:absolute,to:'2017-06-09T19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1" s="204" t="str">
        <f t="shared" si="32"/>
        <v>N</v>
      </c>
      <c r="X121" s="204">
        <f t="shared" si="33"/>
        <v>1</v>
      </c>
      <c r="Y121" s="204">
        <f t="shared" si="48"/>
        <v>23.296700000000001</v>
      </c>
      <c r="Z121" s="204">
        <f t="shared" si="49"/>
        <v>1.49E-2</v>
      </c>
      <c r="AA121" s="204">
        <f t="shared" si="36"/>
        <v>23.2818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7"/>
        <v>0208-09</v>
      </c>
      <c r="AE121" s="80" t="str">
        <f t="shared" si="38"/>
        <v>aws s3 cp s3://rtdc.mdm.uploadarchive.raw/RTDC4053/ "%USERPROFILE%\AppData\Local\Temp\OnboardLogs"\RTDC4053\2017-06-09 --exclude "*" --recursive --include "*20170609*" &amp; "%USERPROFILE%\Documents\GitHub\mrs-test-scripts\Headless Mode &amp; Sideloading\WalkAndUnGZ.bat" "%USERPROFILE%\AppData\Local\Temp\OnboardLogs"\RTDC4053\2017-06-09 &amp; aws s3 cp s3://rtdc.mdm.uploadarchive.raw/RTDC4053/ "%USERPROFILE%\AppData\Local\Temp\OnboardLogs"\RTDC4053\2017-06-10 --exclude "*" --recursive --include "*20170610*" &amp; "%USERPROFILE%\Documents\GitHub\mrs-test-scripts\Headless Mode &amp; Sideloading\WalkAndUnGZ.bat" "%USERPROFILE%\AppData\Local\Temp\OnboardLogs"\RTDC4053\2017-06-10</v>
      </c>
      <c r="AF121" s="77" t="str">
        <f t="shared" si="39"/>
        <v>"C:\Program Files (x86)\AstroGrep\AstroGrep.exe" /e /r /s /spath="%USERPROFILE%\AppData\Local\Temp\OnboardLogs" /stypes="app*4053*20170610*" /stext=" 00:.+((SYSTEM_STATE.+slice.+state.+changed )|(ment ac)|(multiple cpu faults)|(system.+state.+changed )|(\[timeout)|(PRM\|1\|D)|(kpr)|(kdp)|(train st.+moving)|(\|lc)|(penalty))"</v>
      </c>
      <c r="AG121" s="1" t="str">
        <f t="shared" si="40"/>
        <v>EC</v>
      </c>
      <c r="AH121" s="81" t="str">
        <f t="shared" si="42"/>
        <v>"%USERPROFILE%\Documents\GitHub\eaglep3\Utilities\RefineRTDCRunTimes.py" --tripid 208-09 --locoid 4053 --swversion DE.1.0.9.0 --startMP 204:232967 --initTime 2017-06-09T17:42:15 --startdatetime 2017-06-09T17:57:31 --delay 1 --endMP 204:149 --enddatetime 2017-06-09T18:34:09 --enforcementcount 0 &gt;&gt;C:\Users\stu\Documents\GitHub\eaglep3-reporting\EC\2017-06-09-refined-times.txt</v>
      </c>
      <c r="AI121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{"issue":{"subject":"","project_id":79,"tracker_id":40,"status_id":1,"priority_id":2,"assigned_to_id":23,"start_date":"2017-06-09","description":"","custom_fields":[{"id":1,"name":"Subdivision","value":"EC"},{"id":4,"name":"Milepost","value":"0.0149"},{"id":17,"name":"Train ID","value":"208-09"},{"id":16,"name":"Locomotive ID","value":"4053"},{"id":130,"name":"Impact","value":""},{"id":150,"name":"Time of Event (Mountain Time)","value":"18:34:09"},{"id":151,"name":"Denver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4"/>
        <v>start /low /b %USERPROFILE%\Documents\GitHub\eaglep3\Utilities\DownloadLogsFromS3.py --loco 4053 --day 2017-06-09</v>
      </c>
      <c r="AN121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00:34:09"},{"id":29,"name":"Sharepoint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775</v>
      </c>
      <c r="B122" s="7">
        <v>4010</v>
      </c>
      <c r="C122" s="21" t="s">
        <v>204</v>
      </c>
      <c r="D122" s="21" t="s">
        <v>356</v>
      </c>
      <c r="E122" s="13">
        <v>42895.716631944444</v>
      </c>
      <c r="F122" s="13">
        <v>42895.719074074077</v>
      </c>
      <c r="G122" s="7">
        <v>2</v>
      </c>
      <c r="H122" s="21" t="s">
        <v>563</v>
      </c>
      <c r="I122" s="13">
        <v>42895.744849537034</v>
      </c>
      <c r="J122" s="7">
        <v>0</v>
      </c>
      <c r="K122" s="92" t="str">
        <f t="shared" si="27"/>
        <v>4009/4010</v>
      </c>
      <c r="L122" s="21" t="str">
        <f>VLOOKUP(A122,'Trips&amp;Operators'!$C$1:$G$99999,5,FALSE)</f>
        <v>YANG JAN</v>
      </c>
      <c r="M122" s="6">
        <f t="shared" si="28"/>
        <v>2.5775462956517003E-2</v>
      </c>
      <c r="N122" s="7">
        <f t="shared" si="46"/>
        <v>37.116666657384485</v>
      </c>
      <c r="O122" s="7"/>
      <c r="P122" s="7"/>
      <c r="Q122" s="22"/>
      <c r="R122" s="173"/>
      <c r="S122" s="176">
        <f t="shared" si="47"/>
        <v>1</v>
      </c>
      <c r="T122" s="202" t="str">
        <f t="shared" si="30"/>
        <v>NorthBound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31"/>
        <v>https://d0f6bd738d7f1b3e5a7ca70fe4ff75f0.us-east-1.aws.found.io/app/kibana#/discover/Steve-Slow-Train-Analysis-(2080s-and-2083s)?_g=(refreshInterval:(display:Off,pause:!f,section:0,value:0),time:(from:'2017-06-09T16:11:57-0600',mode:absolute,to:'2017-06-09T18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204" t="str">
        <f t="shared" si="32"/>
        <v>N</v>
      </c>
      <c r="X122" s="204">
        <f t="shared" si="33"/>
        <v>1</v>
      </c>
      <c r="Y122" s="204">
        <f t="shared" si="48"/>
        <v>4.5100000000000001E-2</v>
      </c>
      <c r="Z122" s="204">
        <f t="shared" si="49"/>
        <v>23.329499999999999</v>
      </c>
      <c r="AA122" s="204">
        <f t="shared" si="36"/>
        <v>23.284399999999998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7"/>
        <v>0209-09</v>
      </c>
      <c r="AE122" s="80" t="str">
        <f t="shared" si="38"/>
        <v>aws s3 cp s3://rtdc.mdm.uploadarchive.raw/RTDC4010/ "%USERPROFILE%\AppData\Local\Temp\OnboardLogs"\RTDC4010\2017-06-09 --exclude "*" --recursive --include "*20170609*" &amp; "%USERPROFILE%\Documents\GitHub\mrs-test-scripts\Headless Mode &amp; Sideloading\WalkAndUnGZ.bat" "%USERPROFILE%\AppData\Local\Temp\OnboardLogs"\RTDC4010\2017-06-09 &amp; aws s3 cp s3://rtdc.mdm.uploadarchive.raw/RTDC4010/ "%USERPROFILE%\AppData\Local\Temp\OnboardLogs"\RTDC4010\2017-06-10 --exclude "*" --recursive --include "*20170610*" &amp; "%USERPROFILE%\Documents\GitHub\mrs-test-scripts\Headless Mode &amp; Sideloading\WalkAndUnGZ.bat" "%USERPROFILE%\AppData\Local\Temp\OnboardLogs"\RTDC4010\2017-06-10</v>
      </c>
      <c r="AF122" s="77" t="str">
        <f t="shared" si="39"/>
        <v>"C:\Program Files (x86)\AstroGrep\AstroGrep.exe" /e /r /s /spath="%USERPROFILE%\AppData\Local\Temp\OnboardLogs" /stypes="app*4010*20170609*" /stext=" 23:.+((SYSTEM_STATE.+slice.+state.+changed )|(ment ac)|(multiple cpu faults)|(system.+state.+changed )|(\[timeout)|(PRM\|1\|D)|(kpr)|(kdp)|(train st.+moving)|(\|lc)|(penalty))"</v>
      </c>
      <c r="AG122" s="1" t="str">
        <f t="shared" si="40"/>
        <v>EC</v>
      </c>
      <c r="AH122" s="81" t="str">
        <f t="shared" si="42"/>
        <v>"%USERPROFILE%\Documents\GitHub\eaglep3\Utilities\RefineRTDCRunTimes.py" --tripid 209-09 --locoid 4010 --swversion DE.1.0.9.0 --startMP 204:451 --initTime 2017-06-09T17:11:57 --startdatetime 2017-06-09T17:15:28 --delay 2 --endMP 204:233295 --enddatetime 2017-06-09T17:52:35 --enforcementcount 0 &gt;&gt;C:\Users\stu\Documents\GitHub\eaglep3-reporting\EC\2017-06-09-refined-times.txt</v>
      </c>
      <c r="AI122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{"issue":{"subject":"","project_id":79,"tracker_id":40,"status_id":1,"priority_id":2,"assigned_to_id":23,"start_date":"2017-06-09","description":"","custom_fields":[{"id":1,"name":"Subdivision","value":"EC"},{"id":4,"name":"Milepost","value":"23.3295"},{"id":17,"name":"Train ID","value":"209-09"},{"id":16,"name":"Locomotive ID","value":"4010"},{"id":130,"name":"Impact","value":""},{"id":150,"name":"Time of Event (Mountain Time)","value":"17:52:35"},{"id":151,"name":"Denver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4"/>
        <v>start /low /b %USERPROFILE%\Documents\GitHub\eaglep3\Utilities\DownloadLogsFromS3.py --loco 4010 --day 2017-06-09</v>
      </c>
      <c r="AN122" s="154" t="str">
        <f t="shared" si="45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23:52:35"},{"id":29,"name":"Sharepoint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783</v>
      </c>
      <c r="B123" s="7">
        <v>4009</v>
      </c>
      <c r="C123" s="21" t="s">
        <v>204</v>
      </c>
      <c r="D123" s="21" t="s">
        <v>356</v>
      </c>
      <c r="E123" s="13">
        <v>42895.716631944444</v>
      </c>
      <c r="F123" s="13">
        <v>42895.755555555559</v>
      </c>
      <c r="G123" s="7">
        <v>2</v>
      </c>
      <c r="H123" s="21" t="s">
        <v>563</v>
      </c>
      <c r="I123" s="13">
        <v>42895.756249999999</v>
      </c>
      <c r="J123" s="7">
        <v>0</v>
      </c>
      <c r="K123" s="92" t="str">
        <f t="shared" si="27"/>
        <v>4009/4010</v>
      </c>
      <c r="L123" s="21" t="str">
        <f>VLOOKUP(A123,'Trips&amp;Operators'!$C$1:$G$99999,5,FALSE)</f>
        <v>YANG JAN</v>
      </c>
      <c r="M123" s="6">
        <f t="shared" si="28"/>
        <v>6.9444443943211809E-4</v>
      </c>
      <c r="N123" s="7"/>
      <c r="O123" s="7"/>
      <c r="P123" s="7">
        <f>24*60*SUM($M123:$M123)</f>
        <v>0.99999999278225005</v>
      </c>
      <c r="Q123" s="22"/>
      <c r="R123" s="173" t="s">
        <v>585</v>
      </c>
      <c r="S123" s="176">
        <f t="shared" si="47"/>
        <v>0</v>
      </c>
      <c r="T123" s="202" t="str">
        <f t="shared" si="30"/>
        <v>Southbound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0</v>
      </c>
      <c r="V123" s="203" t="str">
        <f t="shared" si="31"/>
        <v>https://d0f6bd738d7f1b3e5a7ca70fe4ff75f0.us-east-1.aws.found.io/app/kibana#/discover/Steve-Slow-Train-Analysis-(2080s-and-2083s)?_g=(refreshInterval:(display:Off,pause:!f,section:0,value:0),time:(from:'2017-06-09T16:11:57-0600',mode:absolute,to:'2017-06-09T19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204" t="str">
        <f t="shared" si="32"/>
        <v>Y</v>
      </c>
      <c r="X123" s="204">
        <f t="shared" si="33"/>
        <v>1</v>
      </c>
      <c r="Y123" s="204">
        <v>0</v>
      </c>
      <c r="Z123" s="204">
        <v>0</v>
      </c>
      <c r="AA123" s="204">
        <f t="shared" si="36"/>
        <v>0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7"/>
        <v>0210-09</v>
      </c>
      <c r="AE123" s="80" t="str">
        <f t="shared" si="38"/>
        <v>aws s3 cp s3://rtdc.mdm.uploadarchive.raw/RTDC4009/ "%USERPROFILE%\AppData\Local\Temp\OnboardLogs"\RTDC4009\2017-06-09 --exclude "*" --recursive --include "*20170609*" &amp; "%USERPROFILE%\Documents\GitHub\mrs-test-scripts\Headless Mode &amp; Sideloading\WalkAndUnGZ.bat" "%USERPROFILE%\AppData\Local\Temp\OnboardLogs"\RTDC4009\2017-06-09 &amp; aws s3 cp s3://rtdc.mdm.uploadarchive.raw/RTDC4009/ "%USERPROFILE%\AppData\Local\Temp\OnboardLogs"\RTDC4009\2017-06-10 --exclude "*" --recursive --include "*20170610*" &amp; "%USERPROFILE%\Documents\GitHub\mrs-test-scripts\Headless Mode &amp; Sideloading\WalkAndUnGZ.bat" "%USERPROFILE%\AppData\Local\Temp\OnboardLogs"\RTDC4009\2017-06-10</v>
      </c>
      <c r="AF123" s="77" t="str">
        <f t="shared" si="39"/>
        <v>"C:\Program Files (x86)\AstroGrep\AstroGrep.exe" /e /r /s /spath="%USERPROFILE%\AppData\Local\Temp\OnboardLogs" /stypes="app*4009*20170610*" /stext=" 00:.+((SYSTEM_STATE.+slice.+state.+changed )|(ment ac)|(multiple cpu faults)|(system.+state.+changed )|(\[timeout)|(PRM\|1\|D)|(kpr)|(kdp)|(train st.+moving)|(\|lc)|(penalty))"</v>
      </c>
      <c r="AG123" s="1" t="str">
        <f t="shared" si="40"/>
        <v>EC</v>
      </c>
      <c r="AH123" s="81" t="str">
        <f t="shared" ref="AH123" si="50">refinertdcruntimes&amp;" --tripid "&amp;A123&amp;" --locoid "&amp;B123&amp;" --swversion "&amp;C123&amp;" --startMP "&amp;D123&amp;" --initTime "&amp;TEXT(E123,"yyyy-mm-ddTHH:MM:SS")&amp;" --startdatetime "&amp;TEXT(F123,"yyyy-mm-ddTHH:MM:SS")&amp;" --delay "&amp;G123&amp;" --endMP "&amp;H123&amp;" --enddatetime "&amp;TEXT(I123,"yyyy-mm-ddTHH:MM:SS")&amp;" --enforcementcount "&amp;J123&amp;IF(outputrefinedruntimes," &gt;&gt;"&amp;RefinedRTDCRunTimesOutputFile,"")</f>
        <v>"%USERPROFILE%\Documents\GitHub\eaglep3\Utilities\RefineRTDCRunTimes.py" --tripid 210-09 --locoid 4009 --swversion DE.1.0.9.0 --startMP 204:451 --initTime 2017-06-09T17:11:57 --startdatetime 2017-06-09T18:08:00 --delay 2 --endMP 204:233295 --enddatetime 2017-06-09T18:09:00 --enforcementcount 0 &gt;&gt;C:\Users\stu\Documents\GitHub\eaglep3-reporting\EC\2017-06-09-refined-times.txt</v>
      </c>
      <c r="AI123" s="99" t="str">
        <f t="shared" ref="AI123" si="51">"echo {""issue"":{""subject"":"""&amp;R123&amp;""",""project_id"":79,""tracker_id"":40,""status_id"":"&amp;redmine_status&amp;",""priority_id"":"&amp;redmine_priority&amp;",""assigned_to_id"":"&amp;redmine_assignee&amp;",""start_date"":"""&amp;TEXT(I123,"YYYY-mm-dd")&amp;""",""description"":"""&amp;AJ123&amp;""",""custom_fields"":[{""id"":1,""name"":""Subdivision"",""value"":"""&amp;AG123&amp;"""},{""id"":4,""name"":""Milepost"",""value"":"""&amp;Z123&amp;"""},{""id"":17,""name"":""Train ID"",""value"":"""&amp;A123&amp;"""},{""id"":16,""name"":""Locomotive ID"",""value"":"""&amp;B123&amp;"""},{""id"":130,""name"":""Impact"",""value"":"""&amp;AK123&amp;"""},{""id"":150,""name"":""Time of Event (Mountain Time)"",""value"":"""&amp;TEXT(I123,"hh:mm:ss")&amp;"""},{""id"":151,""name"":""Denver Issue ID"",""value"":"""&amp;"""},{""id"":178,""name"":""Operational Impact"",""value"":"""&amp;redmine_op_impact&amp;"""},{""id"":179,""name"":""Denver Segment Assigned"",""value"":"""&amp;AL123&amp;"""}]}}"&amp;"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failure","project_id":79,"tracker_id":40,"status_id":1,"priority_id":2,"assigned_to_id":23,"start_date":"2017-06-09","description":"","custom_fields":[{"id":1,"name":"Subdivision","value":"EC"},{"id":4,"name":"Milepost","value":"0"},{"id":17,"name":"Train ID","value":"210-09"},{"id":16,"name":"Locomotive ID","value":"4009"},{"id":130,"name":"Impact","value":""},{"id":150,"name":"Time of Event (Mountain Time)","value":"18:09:00"},{"id":151,"name":"Denver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ref="AM123" si="52">"start /low /b "&amp;dls3logs&amp;" --loco "&amp;B123&amp;" --day "&amp;TEXT(F123,"YYYY-MM-DD")</f>
        <v>start /low /b %USERPROFILE%\Documents\GitHub\eaglep3\Utilities\DownloadLogsFromS3.py --loco 4009 --day 2017-06-09</v>
      </c>
      <c r="AN123" s="154" t="str">
        <f t="shared" ref="AN123" si="53">"echo {""issue"":{""subject"":"""&amp;R123&amp;""",""project_id"":30,""tracker_id"":4,""status_id"":"&amp;redmine_status_wcr&amp;",""priority_id"":"&amp;redmine_priority_wcr&amp;",""assigned_to_id"":"&amp;redmine_assignee_wcr&amp;",""start_date"":"""&amp;TEXT(I123-utc_offset/24,"YYYY-mm-dd")&amp;""",""description"":"""&amp;AJ123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00:09:00"},{"id":29,"name":"Sharepoint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4" spans="1:91" s="20" customFormat="1" x14ac:dyDescent="0.25">
      <c r="A124" s="32" t="s">
        <v>777</v>
      </c>
      <c r="B124" s="7">
        <v>4012</v>
      </c>
      <c r="C124" s="21" t="s">
        <v>204</v>
      </c>
      <c r="D124" s="21" t="s">
        <v>359</v>
      </c>
      <c r="E124" s="13">
        <v>42895.725590277776</v>
      </c>
      <c r="F124" s="13">
        <v>42895.72934027778</v>
      </c>
      <c r="G124" s="7">
        <v>1</v>
      </c>
      <c r="H124" s="21" t="s">
        <v>862</v>
      </c>
      <c r="I124" s="13">
        <v>42895.755590277775</v>
      </c>
      <c r="J124" s="7">
        <v>0</v>
      </c>
      <c r="K124" s="92" t="str">
        <f t="shared" si="27"/>
        <v>4011/4012</v>
      </c>
      <c r="L124" s="21" t="str">
        <f>VLOOKUP(A124,'Trips&amp;Operators'!$C$1:$G$99999,5,FALSE)</f>
        <v>LEVIN SCOTT</v>
      </c>
      <c r="M124" s="6">
        <f t="shared" si="28"/>
        <v>2.6249999995343387E-2</v>
      </c>
      <c r="N124" s="7">
        <f>24*60*SUM($M124:$M124)</f>
        <v>37.799999993294477</v>
      </c>
      <c r="O124" s="7"/>
      <c r="P124" s="7"/>
      <c r="Q124" s="22"/>
      <c r="R124" s="173"/>
      <c r="S124" s="176">
        <f t="shared" si="47"/>
        <v>1</v>
      </c>
      <c r="T124" s="202" t="str">
        <f t="shared" si="30"/>
        <v>NorthBound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31"/>
        <v>https://d0f6bd738d7f1b3e5a7ca70fe4ff75f0.us-east-1.aws.found.io/app/kibana#/discover/Steve-Slow-Train-Analysis-(2080s-and-2083s)?_g=(refreshInterval:(display:Off,pause:!f,section:0,value:0),time:(from:'2017-06-09T16:24:51-0600',mode:absolute,to:'2017-06-09T19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4" s="204" t="str">
        <f t="shared" si="32"/>
        <v>N</v>
      </c>
      <c r="X124" s="204">
        <f t="shared" si="33"/>
        <v>1</v>
      </c>
      <c r="Y124" s="204">
        <f>RIGHT(D124,LEN(D124)-4)/10000</f>
        <v>4.53E-2</v>
      </c>
      <c r="Z124" s="204">
        <f>RIGHT(H124,LEN(H124)-4)/10000</f>
        <v>23.3385</v>
      </c>
      <c r="AA124" s="204">
        <f t="shared" si="36"/>
        <v>23.293199999999999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7"/>
        <v>0211-09</v>
      </c>
      <c r="AE124" s="80" t="str">
        <f t="shared" si="38"/>
        <v>aws s3 cp s3://rtdc.mdm.uploadarchive.raw/RTDC4012/ "%USERPROFILE%\AppData\Local\Temp\OnboardLogs"\RTDC4012\2017-06-09 --exclude "*" --recursive --include "*20170609*" &amp; "%USERPROFILE%\Documents\GitHub\mrs-test-scripts\Headless Mode &amp; Sideloading\WalkAndUnGZ.bat" "%USERPROFILE%\AppData\Local\Temp\OnboardLogs"\RTDC4012\2017-06-09 &amp; aws s3 cp s3://rtdc.mdm.uploadarchive.raw/RTDC4012/ "%USERPROFILE%\AppData\Local\Temp\OnboardLogs"\RTDC4012\2017-06-10 --exclude "*" --recursive --include "*20170610*" &amp; "%USERPROFILE%\Documents\GitHub\mrs-test-scripts\Headless Mode &amp; Sideloading\WalkAndUnGZ.bat" "%USERPROFILE%\AppData\Local\Temp\OnboardLogs"\RTDC4012\2017-06-10</v>
      </c>
      <c r="AF124" s="77" t="str">
        <f t="shared" si="39"/>
        <v>"C:\Program Files (x86)\AstroGrep\AstroGrep.exe" /e /r /s /spath="%USERPROFILE%\AppData\Local\Temp\OnboardLogs" /stypes="app*4012*20170610*" /stext=" 00:.+((SYSTEM_STATE.+slice.+state.+changed )|(ment ac)|(multiple cpu faults)|(system.+state.+changed )|(\[timeout)|(PRM\|1\|D)|(kpr)|(kdp)|(train st.+moving)|(\|lc)|(penalty))"</v>
      </c>
      <c r="AG124" s="1" t="str">
        <f t="shared" si="40"/>
        <v>EC</v>
      </c>
      <c r="AH124" s="81" t="str">
        <f t="shared" si="42"/>
        <v>"%USERPROFILE%\Documents\GitHub\eaglep3\Utilities\RefineRTDCRunTimes.py" --tripid 211-09 --locoid 4012 --swversion DE.1.0.9.0 --startMP 204:453 --initTime 2017-06-09T17:24:51 --startdatetime 2017-06-09T17:30:15 --delay 1 --endMP 204:233385 --enddatetime 2017-06-09T18:08:03 --enforcementcount 0 &gt;&gt;C:\Users\stu\Documents\GitHub\eaglep3-reporting\EC\2017-06-09-refined-times.txt</v>
      </c>
      <c r="AI124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{"issue":{"subject":"","project_id":79,"tracker_id":40,"status_id":1,"priority_id":2,"assigned_to_id":23,"start_date":"2017-06-09","description":"","custom_fields":[{"id":1,"name":"Subdivision","value":"EC"},{"id":4,"name":"Milepost","value":"23.3385"},{"id":17,"name":"Train ID","value":"211-09"},{"id":16,"name":"Locomotive ID","value":"4012"},{"id":130,"name":"Impact","value":""},{"id":150,"name":"Time of Event (Mountain Time)","value":"18:08:03"},{"id":151,"name":"Denver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4"/>
        <v>start /low /b %USERPROFILE%\Documents\GitHub\eaglep3\Utilities\DownloadLogsFromS3.py --loco 4012 --day 2017-06-09</v>
      </c>
      <c r="AN124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00:08:03"},{"id":29,"name":"Sharepoint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787</v>
      </c>
      <c r="B125" s="7">
        <v>4011</v>
      </c>
      <c r="C125" s="21" t="s">
        <v>204</v>
      </c>
      <c r="D125" s="21" t="s">
        <v>877</v>
      </c>
      <c r="E125" s="13">
        <v>42895.766238425924</v>
      </c>
      <c r="F125" s="13">
        <v>42895.76898148148</v>
      </c>
      <c r="G125" s="7">
        <v>1</v>
      </c>
      <c r="H125" s="21" t="s">
        <v>561</v>
      </c>
      <c r="I125" s="13">
        <v>42895.795312499999</v>
      </c>
      <c r="J125" s="7">
        <v>0</v>
      </c>
      <c r="K125" s="92" t="str">
        <f t="shared" si="27"/>
        <v>4011/4012</v>
      </c>
      <c r="L125" s="21" t="str">
        <f>VLOOKUP(A125,'Trips&amp;Operators'!$C$1:$G$99999,5,FALSE)</f>
        <v>LEVIN SCOTT</v>
      </c>
      <c r="M125" s="6">
        <f t="shared" si="28"/>
        <v>2.6331018518249039E-2</v>
      </c>
      <c r="N125" s="7">
        <f>24*60*SUM($M125:$M125)</f>
        <v>37.916666666278616</v>
      </c>
      <c r="O125" s="7"/>
      <c r="P125" s="7"/>
      <c r="Q125" s="22"/>
      <c r="R125" s="173"/>
      <c r="S125" s="176">
        <f t="shared" si="47"/>
        <v>1</v>
      </c>
      <c r="T125" s="202" t="str">
        <f t="shared" si="30"/>
        <v>Southbound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31"/>
        <v>https://d0f6bd738d7f1b3e5a7ca70fe4ff75f0.us-east-1.aws.found.io/app/kibana#/discover/Steve-Slow-Train-Analysis-(2080s-and-2083s)?_g=(refreshInterval:(display:Off,pause:!f,section:0,value:0),time:(from:'2017-06-09T17:23:23-0600',mode:absolute,to:'2017-06-09T20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5" s="204" t="str">
        <f t="shared" si="32"/>
        <v>N</v>
      </c>
      <c r="X125" s="204">
        <f t="shared" si="33"/>
        <v>1</v>
      </c>
      <c r="Y125" s="204">
        <f>RIGHT(D125,LEN(D125)-4)/10000</f>
        <v>23.3078</v>
      </c>
      <c r="Z125" s="204">
        <f>RIGHT(H125,LEN(H125)-4)/10000</f>
        <v>1.34E-2</v>
      </c>
      <c r="AA125" s="204">
        <f t="shared" si="36"/>
        <v>23.2944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7"/>
        <v>0212-09</v>
      </c>
      <c r="AE125" s="80" t="str">
        <f t="shared" si="38"/>
        <v>aws s3 cp s3://rtdc.mdm.uploadarchive.raw/RTDC4011/ "%USERPROFILE%\AppData\Local\Temp\OnboardLogs"\RTDC4011\2017-06-09 --exclude "*" --recursive --include "*20170609*" &amp; "%USERPROFILE%\Documents\GitHub\mrs-test-scripts\Headless Mode &amp; Sideloading\WalkAndUnGZ.bat" "%USERPROFILE%\AppData\Local\Temp\OnboardLogs"\RTDC4011\2017-06-09 &amp; aws s3 cp s3://rtdc.mdm.uploadarchive.raw/RTDC4011/ "%USERPROFILE%\AppData\Local\Temp\OnboardLogs"\RTDC4011\2017-06-10 --exclude "*" --recursive --include "*20170610*" &amp; "%USERPROFILE%\Documents\GitHub\mrs-test-scripts\Headless Mode &amp; Sideloading\WalkAndUnGZ.bat" "%USERPROFILE%\AppData\Local\Temp\OnboardLogs"\RTDC4011\2017-06-10</v>
      </c>
      <c r="AF125" s="77" t="str">
        <f t="shared" si="39"/>
        <v>"C:\Program Files (x86)\AstroGrep\AstroGrep.exe" /e /r /s /spath="%USERPROFILE%\AppData\Local\Temp\OnboardLogs" /stypes="app*4011*20170610*" /stext=" 01:.+((SYSTEM_STATE.+slice.+state.+changed )|(ment ac)|(multiple cpu faults)|(system.+state.+changed )|(\[timeout)|(PRM\|1\|D)|(kpr)|(kdp)|(train st.+moving)|(\|lc)|(penalty))"</v>
      </c>
      <c r="AG125" s="1" t="str">
        <f t="shared" si="40"/>
        <v>EC</v>
      </c>
      <c r="AH125" s="81" t="str">
        <f t="shared" si="42"/>
        <v>"%USERPROFILE%\Documents\GitHub\eaglep3\Utilities\RefineRTDCRunTimes.py" --tripid 212-09 --locoid 4011 --swversion DE.1.0.9.0 --startMP 204:233078 --initTime 2017-06-09T18:23:23 --startdatetime 2017-06-09T18:27:20 --delay 1 --endMP 204:134 --enddatetime 2017-06-09T19:05:15 --enforcementcount 0 &gt;&gt;C:\Users\stu\Documents\GitHub\eaglep3-reporting\EC\2017-06-09-refined-times.txt</v>
      </c>
      <c r="AI125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{"issue":{"subject":"","project_id":79,"tracker_id":40,"status_id":1,"priority_id":2,"assigned_to_id":23,"start_date":"2017-06-09","description":"","custom_fields":[{"id":1,"name":"Subdivision","value":"EC"},{"id":4,"name":"Milepost","value":"0.0134"},{"id":17,"name":"Train ID","value":"212-09"},{"id":16,"name":"Locomotive ID","value":"4011"},{"id":130,"name":"Impact","value":""},{"id":150,"name":"Time of Event (Mountain Time)","value":"19:05:15"},{"id":151,"name":"Denver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4"/>
        <v>start /low /b %USERPROFILE%\Documents\GitHub\eaglep3\Utilities\DownloadLogsFromS3.py --loco 4011 --day 2017-06-09</v>
      </c>
      <c r="AN125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01:05:15"},{"id":29,"name":"Sharepoint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781</v>
      </c>
      <c r="B126" s="7">
        <v>4046</v>
      </c>
      <c r="C126" s="21" t="s">
        <v>204</v>
      </c>
      <c r="D126" s="21" t="s">
        <v>368</v>
      </c>
      <c r="E126" s="13">
        <v>42895.738067129627</v>
      </c>
      <c r="F126" s="13">
        <v>42895.739895833336</v>
      </c>
      <c r="G126" s="7">
        <v>1</v>
      </c>
      <c r="H126" s="21" t="s">
        <v>567</v>
      </c>
      <c r="I126" s="13">
        <v>42895.767962962964</v>
      </c>
      <c r="J126" s="7">
        <v>0</v>
      </c>
      <c r="K126" s="92" t="str">
        <f t="shared" si="27"/>
        <v>4045/4046</v>
      </c>
      <c r="L126" s="21" t="str">
        <f>VLOOKUP(A126,'Trips&amp;Operators'!$C$1:$G$99999,5,FALSE)</f>
        <v>HELVIE ADAM</v>
      </c>
      <c r="M126" s="6">
        <f t="shared" si="28"/>
        <v>2.806712962774327E-2</v>
      </c>
      <c r="N126" s="7">
        <f>24*60*SUM($M126:$M126)</f>
        <v>40.416666663950309</v>
      </c>
      <c r="O126" s="7"/>
      <c r="P126" s="7"/>
      <c r="Q126" s="22"/>
      <c r="R126" s="173"/>
      <c r="S126" s="176">
        <f t="shared" si="47"/>
        <v>1</v>
      </c>
      <c r="T126" s="202" t="str">
        <f t="shared" si="30"/>
        <v>NorthBound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31"/>
        <v>https://d0f6bd738d7f1b3e5a7ca70fe4ff75f0.us-east-1.aws.found.io/app/kibana#/discover/Steve-Slow-Train-Analysis-(2080s-and-2083s)?_g=(refreshInterval:(display:Off,pause:!f,section:0,value:0),time:(from:'2017-06-09T16:42:49-0600',mode:absolute,to:'2017-06-09T19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6" s="204" t="str">
        <f t="shared" si="32"/>
        <v>N</v>
      </c>
      <c r="X126" s="204">
        <f t="shared" si="33"/>
        <v>1</v>
      </c>
      <c r="Y126" s="204">
        <f>RIGHT(D126,LEN(D126)-4)/10000</f>
        <v>4.5499999999999999E-2</v>
      </c>
      <c r="Z126" s="204">
        <f>RIGHT(H126,LEN(H126)-4)/10000</f>
        <v>23.3308</v>
      </c>
      <c r="AA126" s="204">
        <f t="shared" si="36"/>
        <v>23.285299999999999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7"/>
        <v>0213-09</v>
      </c>
      <c r="AE126" s="80" t="str">
        <f t="shared" si="38"/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AF126" s="77" t="str">
        <f t="shared" si="39"/>
        <v>"C:\Program Files (x86)\AstroGrep\AstroGrep.exe" /e /r /s /spath="%USERPROFILE%\AppData\Local\Temp\OnboardLogs" /stypes="app*4046*20170610*" /stext=" 00:.+((SYSTEM_STATE.+slice.+state.+changed )|(ment ac)|(multiple cpu faults)|(system.+state.+changed )|(\[timeout)|(PRM\|1\|D)|(kpr)|(kdp)|(train st.+moving)|(\|lc)|(penalty))"</v>
      </c>
      <c r="AG126" s="1" t="str">
        <f t="shared" si="40"/>
        <v>EC</v>
      </c>
      <c r="AH126" s="81" t="str">
        <f t="shared" si="42"/>
        <v>"%USERPROFILE%\Documents\GitHub\eaglep3\Utilities\RefineRTDCRunTimes.py" --tripid 213-09 --locoid 4046 --swversion DE.1.0.9.0 --startMP 204:455 --initTime 2017-06-09T17:42:49 --startdatetime 2017-06-09T17:45:27 --delay 1 --endMP 204:233308 --enddatetime 2017-06-09T18:25:52 --enforcementcount 0 &gt;&gt;C:\Users\stu\Documents\GitHub\eaglep3-reporting\EC\2017-06-09-refined-times.txt</v>
      </c>
      <c r="AI126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{"issue":{"subject":"","project_id":79,"tracker_id":40,"status_id":1,"priority_id":2,"assigned_to_id":23,"start_date":"2017-06-09","description":"","custom_fields":[{"id":1,"name":"Subdivision","value":"EC"},{"id":4,"name":"Milepost","value":"23.3308"},{"id":17,"name":"Train ID","value":"213-09"},{"id":16,"name":"Locomotive ID","value":"4046"},{"id":130,"name":"Impact","value":""},{"id":150,"name":"Time of Event (Mountain Time)","value":"18:25:52"},{"id":151,"name":"Denver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4"/>
        <v>start /low /b %USERPROFILE%\Documents\GitHub\eaglep3\Utilities\DownloadLogsFromS3.py --loco 4046 --day 2017-06-09</v>
      </c>
      <c r="AN126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00:25:52"},{"id":29,"name":"Sharepoint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790</v>
      </c>
      <c r="B127" s="7">
        <v>4045</v>
      </c>
      <c r="C127" s="21" t="s">
        <v>204</v>
      </c>
      <c r="D127" s="21" t="s">
        <v>368</v>
      </c>
      <c r="E127" s="13">
        <v>42895.738067129627</v>
      </c>
      <c r="F127" s="13">
        <v>42895.777268518519</v>
      </c>
      <c r="G127" s="7">
        <v>1</v>
      </c>
      <c r="H127" s="21" t="s">
        <v>567</v>
      </c>
      <c r="I127" s="13">
        <v>42895.777777777781</v>
      </c>
      <c r="J127" s="7">
        <v>0</v>
      </c>
      <c r="K127" s="92" t="str">
        <f t="shared" si="27"/>
        <v>4045/4046</v>
      </c>
      <c r="L127" s="21" t="str">
        <f>VLOOKUP(A127,'Trips&amp;Operators'!$C$1:$G$99999,5,FALSE)</f>
        <v>HELVIE ADAM</v>
      </c>
      <c r="M127" s="6">
        <f t="shared" si="28"/>
        <v>5.092592618893832E-4</v>
      </c>
      <c r="N127" s="7"/>
      <c r="O127" s="7"/>
      <c r="P127" s="7">
        <f>24*60*SUM($M127:$M127)</f>
        <v>0.7333333371207118</v>
      </c>
      <c r="Q127" s="22"/>
      <c r="R127" s="173" t="s">
        <v>585</v>
      </c>
      <c r="S127" s="176">
        <f t="shared" si="47"/>
        <v>0</v>
      </c>
      <c r="T127" s="202" t="str">
        <f t="shared" si="30"/>
        <v>Southbound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0</v>
      </c>
      <c r="V127" s="203" t="str">
        <f t="shared" si="31"/>
        <v>https://d0f6bd738d7f1b3e5a7ca70fe4ff75f0.us-east-1.aws.found.io/app/kibana#/discover/Steve-Slow-Train-Analysis-(2080s-and-2083s)?_g=(refreshInterval:(display:Off,pause:!f,section:0,value:0),time:(from:'2017-06-09T16:42:49-0600',mode:absolute,to:'2017-06-09T19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7" s="204" t="str">
        <f t="shared" si="32"/>
        <v>Y</v>
      </c>
      <c r="X127" s="204">
        <f t="shared" si="33"/>
        <v>1</v>
      </c>
      <c r="Y127" s="204">
        <v>0</v>
      </c>
      <c r="Z127" s="204">
        <v>0</v>
      </c>
      <c r="AA127" s="204">
        <f t="shared" si="36"/>
        <v>0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7"/>
        <v>0214-09</v>
      </c>
      <c r="AE127" s="80" t="str">
        <f t="shared" si="38"/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AF127" s="77" t="str">
        <f t="shared" si="39"/>
        <v>"C:\Program Files (x86)\AstroGrep\AstroGrep.exe" /e /r /s /spath="%USERPROFILE%\AppData\Local\Temp\OnboardLogs" /stypes="app*4045*20170610*" /stext=" 00:.+((SYSTEM_STATE.+slice.+state.+changed )|(ment ac)|(multiple cpu faults)|(system.+state.+changed )|(\[timeout)|(PRM\|1\|D)|(kpr)|(kdp)|(train st.+moving)|(\|lc)|(penalty))"</v>
      </c>
      <c r="AG127" s="1" t="str">
        <f t="shared" si="40"/>
        <v>EC</v>
      </c>
      <c r="AH127" s="81" t="str">
        <f t="shared" ref="AH127" si="54"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214-09 --locoid 4045 --swversion DE.1.0.9.0 --startMP 204:455 --initTime 2017-06-09T17:42:49 --startdatetime 2017-06-09T18:39:16 --delay 1 --endMP 204:233308 --enddatetime 2017-06-09T18:40:00 --enforcementcount 0 &gt;&gt;C:\Users\stu\Documents\GitHub\eaglep3-reporting\EC\2017-06-09-refined-times.txt</v>
      </c>
      <c r="AI127" s="99" t="str">
        <f t="shared" ref="AI127" si="55"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failure","project_id":79,"tracker_id":40,"status_id":1,"priority_id":2,"assigned_to_id":23,"start_date":"2017-06-09","description":"","custom_fields":[{"id":1,"name":"Subdivision","value":"EC"},{"id":4,"name":"Milepost","value":"0"},{"id":17,"name":"Train ID","value":"214-09"},{"id":16,"name":"Locomotive ID","value":"4045"},{"id":130,"name":"Impact","value":""},{"id":150,"name":"Time of Event (Mountain Time)","value":"18:40:00"},{"id":151,"name":"Denver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ref="AM127" si="56">"start /low /b "&amp;dls3logs&amp;" --loco "&amp;B127&amp;" --day "&amp;TEXT(F127,"YYYY-MM-DD")</f>
        <v>start /low /b %USERPROFILE%\Documents\GitHub\eaglep3\Utilities\DownloadLogsFromS3.py --loco 4045 --day 2017-06-09</v>
      </c>
      <c r="AN127" s="154" t="str">
        <f t="shared" ref="AN127" si="57">"echo {""issue"":{""subject"":"""&amp;R127&amp;""",""project_id"":30,""tracker_id"":4,""status_id"":"&amp;redmine_status_wcr&amp;",""priority_id"":"&amp;redmine_priority_wcr&amp;",""assigned_to_id"":"&amp;redmine_assignee_wcr&amp;",""start_date"":"""&amp;TEXT(I127-utc_offset/24,"YYYY-mm-dd")&amp;""",""description"":"""&amp;AJ127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00:40:00"},{"id":29,"name":"Sharepoint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8" spans="1:91" s="20" customFormat="1" x14ac:dyDescent="0.25">
      <c r="A128" s="32" t="s">
        <v>782</v>
      </c>
      <c r="B128" s="7">
        <v>4020</v>
      </c>
      <c r="C128" s="21" t="s">
        <v>204</v>
      </c>
      <c r="D128" s="21" t="s">
        <v>559</v>
      </c>
      <c r="E128" s="13">
        <v>42895.746261574073</v>
      </c>
      <c r="F128" s="13">
        <v>42895.7502662037</v>
      </c>
      <c r="G128" s="7">
        <v>1</v>
      </c>
      <c r="H128" s="21" t="s">
        <v>562</v>
      </c>
      <c r="I128" s="13">
        <v>42895.777094907404</v>
      </c>
      <c r="J128" s="7">
        <v>0</v>
      </c>
      <c r="K128" s="92" t="str">
        <f t="shared" si="27"/>
        <v>4019/4020</v>
      </c>
      <c r="L128" s="21" t="str">
        <f>VLOOKUP(A128,'Trips&amp;Operators'!$C$1:$G$99999,5,FALSE)</f>
        <v>HOLCOMB KAMDEN</v>
      </c>
      <c r="M128" s="6">
        <f t="shared" si="28"/>
        <v>2.6828703703358769E-2</v>
      </c>
      <c r="N128" s="7">
        <f t="shared" ref="N128:N153" si="58">24*60*SUM($M128:$M128)</f>
        <v>38.633333332836628</v>
      </c>
      <c r="O128" s="7"/>
      <c r="P128" s="7"/>
      <c r="Q128" s="22"/>
      <c r="R128" s="173"/>
      <c r="S128" s="176">
        <f t="shared" si="47"/>
        <v>1</v>
      </c>
      <c r="T128" s="202" t="str">
        <f t="shared" si="30"/>
        <v>NorthBound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31"/>
        <v>https://d0f6bd738d7f1b3e5a7ca70fe4ff75f0.us-east-1.aws.found.io/app/kibana#/discover/Steve-Slow-Train-Analysis-(2080s-and-2083s)?_g=(refreshInterval:(display:Off,pause:!f,section:0,value:0),time:(from:'2017-06-09T16:54:37-0600',mode:absolute,to:'2017-06-09T19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8" s="204" t="str">
        <f t="shared" si="32"/>
        <v>N</v>
      </c>
      <c r="X128" s="204">
        <f t="shared" si="33"/>
        <v>1</v>
      </c>
      <c r="Y128" s="204">
        <f t="shared" ref="Y128:Y159" si="59">RIGHT(D128,LEN(D128)-4)/10000</f>
        <v>4.82E-2</v>
      </c>
      <c r="Z128" s="204">
        <f t="shared" ref="Z128:Z159" si="60">RIGHT(H128,LEN(H128)-4)/10000</f>
        <v>23.328600000000002</v>
      </c>
      <c r="AA128" s="204">
        <f t="shared" si="36"/>
        <v>23.2804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7"/>
        <v>0215-09</v>
      </c>
      <c r="AE128" s="80" t="str">
        <f t="shared" si="38"/>
        <v>aws s3 cp s3://rtdc.mdm.uploadarchive.raw/RTDC4020/ "%USERPROFILE%\AppData\Local\Temp\OnboardLogs"\RTDC4020\2017-06-09 --exclude "*" --recursive --include "*20170609*" &amp; "%USERPROFILE%\Documents\GitHub\mrs-test-scripts\Headless Mode &amp; Sideloading\WalkAndUnGZ.bat" "%USERPROFILE%\AppData\Local\Temp\OnboardLogs"\RTDC4020\2017-06-09 &amp; aws s3 cp s3://rtdc.mdm.uploadarchive.raw/RTDC4020/ "%USERPROFILE%\AppData\Local\Temp\OnboardLogs"\RTDC4020\2017-06-10 --exclude "*" --recursive --include "*20170610*" &amp; "%USERPROFILE%\Documents\GitHub\mrs-test-scripts\Headless Mode &amp; Sideloading\WalkAndUnGZ.bat" "%USERPROFILE%\AppData\Local\Temp\OnboardLogs"\RTDC4020\2017-06-10</v>
      </c>
      <c r="AF128" s="77" t="str">
        <f t="shared" si="39"/>
        <v>"C:\Program Files (x86)\AstroGrep\AstroGrep.exe" /e /r /s /spath="%USERPROFILE%\AppData\Local\Temp\OnboardLogs" /stypes="app*4020*20170610*" /stext=" 00:.+((SYSTEM_STATE.+slice.+state.+changed )|(ment ac)|(multiple cpu faults)|(system.+state.+changed )|(\[timeout)|(PRM\|1\|D)|(kpr)|(kdp)|(train st.+moving)|(\|lc)|(penalty))"</v>
      </c>
      <c r="AG128" s="1" t="str">
        <f t="shared" si="40"/>
        <v>EC</v>
      </c>
      <c r="AH128" s="81" t="str">
        <f t="shared" si="42"/>
        <v>"%USERPROFILE%\Documents\GitHub\eaglep3\Utilities\RefineRTDCRunTimes.py" --tripid 215-09 --locoid 4020 --swversion DE.1.0.9.0 --startMP 204:482 --initTime 2017-06-09T17:54:37 --startdatetime 2017-06-09T18:00:23 --delay 1 --endMP 204:233286 --enddatetime 2017-06-09T18:39:01 --enforcementcount 0 &gt;&gt;C:\Users\stu\Documents\GitHub\eaglep3-reporting\EC\2017-06-09-refined-times.txt</v>
      </c>
      <c r="AI128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{"issue":{"subject":"","project_id":79,"tracker_id":40,"status_id":1,"priority_id":2,"assigned_to_id":23,"start_date":"2017-06-09","description":"","custom_fields":[{"id":1,"name":"Subdivision","value":"EC"},{"id":4,"name":"Milepost","value":"23.3286"},{"id":17,"name":"Train ID","value":"215-09"},{"id":16,"name":"Locomotive ID","value":"4020"},{"id":130,"name":"Impact","value":""},{"id":150,"name":"Time of Event (Mountain Time)","value":"18:39:01"},{"id":151,"name":"Denver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4"/>
        <v>start /low /b %USERPROFILE%\Documents\GitHub\eaglep3\Utilities\DownloadLogsFromS3.py --loco 4020 --day 2017-06-09</v>
      </c>
      <c r="AN128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00:39:01"},{"id":29,"name":"Sharepoint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793</v>
      </c>
      <c r="B129" s="7">
        <v>4019</v>
      </c>
      <c r="C129" s="21" t="s">
        <v>204</v>
      </c>
      <c r="D129" s="21" t="s">
        <v>536</v>
      </c>
      <c r="E129" s="13">
        <v>42895.788703703707</v>
      </c>
      <c r="F129" s="13">
        <v>42895.790300925924</v>
      </c>
      <c r="G129" s="7">
        <v>1</v>
      </c>
      <c r="H129" s="21" t="s">
        <v>878</v>
      </c>
      <c r="I129" s="13">
        <v>42895.816458333335</v>
      </c>
      <c r="J129" s="7">
        <v>0</v>
      </c>
      <c r="K129" s="92" t="str">
        <f t="shared" si="27"/>
        <v>4019/4020</v>
      </c>
      <c r="L129" s="21" t="str">
        <f>VLOOKUP(A129,'Trips&amp;Operators'!$C$1:$G$99999,5,FALSE)</f>
        <v>HOLCOMB KAMDEN</v>
      </c>
      <c r="M129" s="6">
        <f t="shared" si="28"/>
        <v>2.6157407410209998E-2</v>
      </c>
      <c r="N129" s="7">
        <f t="shared" si="58"/>
        <v>37.666666670702398</v>
      </c>
      <c r="O129" s="7"/>
      <c r="P129" s="7"/>
      <c r="Q129" s="22"/>
      <c r="R129" s="173"/>
      <c r="S129" s="176">
        <f t="shared" si="47"/>
        <v>1</v>
      </c>
      <c r="T129" s="202" t="str">
        <f t="shared" si="30"/>
        <v>Southbound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31"/>
        <v>https://d0f6bd738d7f1b3e5a7ca70fe4ff75f0.us-east-1.aws.found.io/app/kibana#/discover/Steve-Slow-Train-Analysis-(2080s-and-2083s)?_g=(refreshInterval:(display:Off,pause:!f,section:0,value:0),time:(from:'2017-06-09T17:55:44-0600',mode:absolute,to:'2017-06-09T20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9" s="204" t="str">
        <f t="shared" si="32"/>
        <v>N</v>
      </c>
      <c r="X129" s="204">
        <f t="shared" si="33"/>
        <v>1</v>
      </c>
      <c r="Y129" s="204">
        <f t="shared" si="59"/>
        <v>23.296900000000001</v>
      </c>
      <c r="Z129" s="204">
        <f t="shared" si="60"/>
        <v>0.1426</v>
      </c>
      <c r="AA129" s="204">
        <f t="shared" si="36"/>
        <v>23.154299999999999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7"/>
        <v>0216-09</v>
      </c>
      <c r="AE129" s="80" t="str">
        <f t="shared" si="38"/>
        <v>aws s3 cp s3://rtdc.mdm.uploadarchive.raw/RTDC4019/ "%USERPROFILE%\AppData\Local\Temp\OnboardLogs"\RTDC4019\2017-06-09 --exclude "*" --recursive --include "*20170609*" &amp; "%USERPROFILE%\Documents\GitHub\mrs-test-scripts\Headless Mode &amp; Sideloading\WalkAndUnGZ.bat" "%USERPROFILE%\AppData\Local\Temp\OnboardLogs"\RTDC4019\2017-06-09 &amp; aws s3 cp s3://rtdc.mdm.uploadarchive.raw/RTDC4019/ "%USERPROFILE%\AppData\Local\Temp\OnboardLogs"\RTDC4019\2017-06-10 --exclude "*" --recursive --include "*20170610*" &amp; "%USERPROFILE%\Documents\GitHub\mrs-test-scripts\Headless Mode &amp; Sideloading\WalkAndUnGZ.bat" "%USERPROFILE%\AppData\Local\Temp\OnboardLogs"\RTDC4019\2017-06-10</v>
      </c>
      <c r="AF129" s="77" t="str">
        <f t="shared" si="39"/>
        <v>"C:\Program Files (x86)\AstroGrep\AstroGrep.exe" /e /r /s /spath="%USERPROFILE%\AppData\Local\Temp\OnboardLogs" /stypes="app*4019*20170610*" /stext=" 01:.+((SYSTEM_STATE.+slice.+state.+changed )|(ment ac)|(multiple cpu faults)|(system.+state.+changed )|(\[timeout)|(PRM\|1\|D)|(kpr)|(kdp)|(train st.+moving)|(\|lc)|(penalty))"</v>
      </c>
      <c r="AG129" s="1" t="str">
        <f t="shared" si="40"/>
        <v>EC</v>
      </c>
      <c r="AH129" s="81" t="str">
        <f t="shared" si="42"/>
        <v>"%USERPROFILE%\Documents\GitHub\eaglep3\Utilities\RefineRTDCRunTimes.py" --tripid 216-09 --locoid 4019 --swversion DE.1.0.9.0 --startMP 204:232969 --initTime 2017-06-09T18:55:44 --startdatetime 2017-06-09T18:58:02 --delay 1 --endMP 204:1426 --enddatetime 2017-06-09T19:35:42 --enforcementcount 0 &gt;&gt;C:\Users\stu\Documents\GitHub\eaglep3-reporting\EC\2017-06-09-refined-times.txt</v>
      </c>
      <c r="AI129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{"issue":{"subject":"","project_id":79,"tracker_id":40,"status_id":1,"priority_id":2,"assigned_to_id":23,"start_date":"2017-06-09","description":"","custom_fields":[{"id":1,"name":"Subdivision","value":"EC"},{"id":4,"name":"Milepost","value":"0.1426"},{"id":17,"name":"Train ID","value":"216-09"},{"id":16,"name":"Locomotive ID","value":"4019"},{"id":130,"name":"Impact","value":""},{"id":150,"name":"Time of Event (Mountain Time)","value":"19:35:42"},{"id":151,"name":"Denver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4"/>
        <v>start /low /b %USERPROFILE%\Documents\GitHub\eaglep3\Utilities\DownloadLogsFromS3.py --loco 4019 --day 2017-06-09</v>
      </c>
      <c r="AN129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785</v>
      </c>
      <c r="B130" s="7">
        <v>4030</v>
      </c>
      <c r="C130" s="21" t="s">
        <v>204</v>
      </c>
      <c r="D130" s="21" t="s">
        <v>201</v>
      </c>
      <c r="E130" s="13">
        <v>42895.758217592593</v>
      </c>
      <c r="F130" s="13">
        <v>42895.760578703703</v>
      </c>
      <c r="G130" s="7">
        <v>1</v>
      </c>
      <c r="H130" s="21" t="s">
        <v>546</v>
      </c>
      <c r="I130" s="13">
        <v>42895.786134259259</v>
      </c>
      <c r="J130" s="7">
        <v>0</v>
      </c>
      <c r="K130" s="92" t="str">
        <f t="shared" si="27"/>
        <v>4029/4030</v>
      </c>
      <c r="L130" s="21" t="str">
        <f>VLOOKUP(A130,'Trips&amp;Operators'!$C$1:$G$99999,5,FALSE)</f>
        <v>BIRENBAUM THOMAS</v>
      </c>
      <c r="M130" s="6">
        <f t="shared" si="28"/>
        <v>2.5555555555911269E-2</v>
      </c>
      <c r="N130" s="7">
        <f t="shared" si="58"/>
        <v>36.800000000512227</v>
      </c>
      <c r="O130" s="7"/>
      <c r="P130" s="7"/>
      <c r="Q130" s="22"/>
      <c r="R130" s="173"/>
      <c r="S130" s="176">
        <f t="shared" si="47"/>
        <v>1</v>
      </c>
      <c r="T130" s="202" t="str">
        <f t="shared" si="30"/>
        <v>NorthBound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31"/>
        <v>https://d0f6bd738d7f1b3e5a7ca70fe4ff75f0.us-east-1.aws.found.io/app/kibana#/discover/Steve-Slow-Train-Analysis-(2080s-and-2083s)?_g=(refreshInterval:(display:Off,pause:!f,section:0,value:0),time:(from:'2017-06-09T17:11:50-0600',mode:absolute,to:'2017-06-09T19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0" s="204" t="str">
        <f t="shared" si="32"/>
        <v>N</v>
      </c>
      <c r="X130" s="204">
        <f t="shared" si="33"/>
        <v>1</v>
      </c>
      <c r="Y130" s="204">
        <f t="shared" si="59"/>
        <v>4.5999999999999999E-2</v>
      </c>
      <c r="Z130" s="204">
        <f t="shared" si="60"/>
        <v>23.3291</v>
      </c>
      <c r="AA130" s="204">
        <f t="shared" si="36"/>
        <v>23.283100000000001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7"/>
        <v>0217-09</v>
      </c>
      <c r="AE130" s="80" t="str">
        <f t="shared" si="38"/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AF130" s="77" t="str">
        <f t="shared" si="39"/>
        <v>"C:\Program Files (x86)\AstroGrep\AstroGrep.exe" /e /r /s /spath="%USERPROFILE%\AppData\Local\Temp\OnboardLogs" /stypes="app*4030*20170610*" /stext=" 00:.+((SYSTEM_STATE.+slice.+state.+changed )|(ment ac)|(multiple cpu faults)|(system.+state.+changed )|(\[timeout)|(PRM\|1\|D)|(kpr)|(kdp)|(train st.+moving)|(\|lc)|(penalty))"</v>
      </c>
      <c r="AG130" s="1" t="str">
        <f t="shared" si="40"/>
        <v>EC</v>
      </c>
      <c r="AH130" s="81" t="str">
        <f t="shared" si="42"/>
        <v>"%USERPROFILE%\Documents\GitHub\eaglep3\Utilities\RefineRTDCRunTimes.py" --tripid 217-09 --locoid 4030 --swversion DE.1.0.9.0 --startMP 204:460 --initTime 2017-06-09T18:11:50 --startdatetime 2017-06-09T18:15:14 --delay 1 --endMP 204:233291 --enddatetime 2017-06-09T18:52:02 --enforcementcount 0 &gt;&gt;C:\Users\stu\Documents\GitHub\eaglep3-reporting\EC\2017-06-09-refined-times.txt</v>
      </c>
      <c r="AI130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{"issue":{"subject":"","project_id":79,"tracker_id":40,"status_id":1,"priority_id":2,"assigned_to_id":23,"start_date":"2017-06-09","description":"","custom_fields":[{"id":1,"name":"Subdivision","value":"EC"},{"id":4,"name":"Milepost","value":"23.3291"},{"id":17,"name":"Train ID","value":"217-09"},{"id":16,"name":"Locomotive ID","value":"4030"},{"id":130,"name":"Impact","value":""},{"id":150,"name":"Time of Event (Mountain Time)","value":"18:52:02"},{"id":151,"name":"Denver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4"/>
        <v>start /low /b %USERPROFILE%\Documents\GitHub\eaglep3\Utilities\DownloadLogsFromS3.py --loco 4030 --day 2017-06-09</v>
      </c>
      <c r="AN130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628</v>
      </c>
      <c r="B131" s="7">
        <v>4029</v>
      </c>
      <c r="C131" s="21" t="s">
        <v>204</v>
      </c>
      <c r="D131" s="21" t="s">
        <v>836</v>
      </c>
      <c r="E131" s="13">
        <v>42895.796307870369</v>
      </c>
      <c r="F131" s="13">
        <v>42895.800150462965</v>
      </c>
      <c r="G131" s="7">
        <v>1</v>
      </c>
      <c r="H131" s="21" t="s">
        <v>196</v>
      </c>
      <c r="I131" s="13">
        <v>42895.826203703706</v>
      </c>
      <c r="J131" s="7">
        <v>0</v>
      </c>
      <c r="K131" s="92" t="str">
        <f t="shared" si="27"/>
        <v>4029/4030</v>
      </c>
      <c r="L131" s="21" t="str">
        <f>VLOOKUP(A131,'Trips&amp;Operators'!$C$1:$G$99999,5,FALSE)</f>
        <v>BIRENBAUM THOMAS</v>
      </c>
      <c r="M131" s="6">
        <f t="shared" si="28"/>
        <v>2.6053240741021E-2</v>
      </c>
      <c r="N131" s="7">
        <f t="shared" si="58"/>
        <v>37.51666666707024</v>
      </c>
      <c r="O131" s="7"/>
      <c r="P131" s="7"/>
      <c r="Q131" s="22"/>
      <c r="R131" s="173"/>
      <c r="S131" s="176">
        <f t="shared" ref="S131:S153" si="61">SUM(U131:U131)/IF(AG131="EC",12,1)</f>
        <v>1</v>
      </c>
      <c r="T131" s="202" t="str">
        <f t="shared" si="30"/>
        <v>Southbound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31"/>
        <v>https://d0f6bd738d7f1b3e5a7ca70fe4ff75f0.us-east-1.aws.found.io/app/kibana#/discover/Steve-Slow-Train-Analysis-(2080s-and-2083s)?_g=(refreshInterval:(display:Off,pause:!f,section:0,value:0),time:(from:'2017-06-09T18:06:41-0600',mode:absolute,to:'2017-06-09T20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1" s="204" t="str">
        <f t="shared" si="32"/>
        <v>N</v>
      </c>
      <c r="X131" s="204">
        <f t="shared" si="33"/>
        <v>1</v>
      </c>
      <c r="Y131" s="204">
        <f t="shared" si="59"/>
        <v>23.299299999999999</v>
      </c>
      <c r="Z131" s="204">
        <f t="shared" si="60"/>
        <v>1.5800000000000002E-2</v>
      </c>
      <c r="AA131" s="204">
        <f t="shared" si="36"/>
        <v>23.2835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7"/>
        <v>0218-09</v>
      </c>
      <c r="AE131" s="80" t="str">
        <f t="shared" si="38"/>
        <v>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 &amp; 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</v>
      </c>
      <c r="AF131" s="77" t="str">
        <f t="shared" si="39"/>
        <v>"C:\Program Files (x86)\AstroGrep\AstroGrep.exe" /e /r /s /spath="%USERPROFILE%\AppData\Local\Temp\OnboardLogs" /stypes="app*4029*20170610*" /stext=" 01:.+((SYSTEM_STATE.+slice.+state.+changed )|(ment ac)|(multiple cpu faults)|(system.+state.+changed )|(\[timeout)|(PRM\|1\|D)|(kpr)|(kdp)|(train st.+moving)|(\|lc)|(penalty))"</v>
      </c>
      <c r="AG131" s="1" t="str">
        <f t="shared" si="40"/>
        <v>EC</v>
      </c>
      <c r="AH131" s="81" t="str">
        <f t="shared" si="42"/>
        <v>"%USERPROFILE%\Documents\GitHub\eaglep3\Utilities\RefineRTDCRunTimes.py" --tripid 218-09 --locoid 4029 --swversion DE.1.0.9.0 --startMP 204:232993 --initTime 2017-06-09T19:06:41 --startdatetime 2017-06-09T19:12:13 --delay 1 --endMP 204:158 --enddatetime 2017-06-09T19:49:44 --enforcementcount 0 &gt;&gt;C:\Users\stu\Documents\GitHub\eaglep3-reporting\EC\2017-06-09-refined-times.txt</v>
      </c>
      <c r="AI131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{"issue":{"subject":"","project_id":79,"tracker_id":40,"status_id":1,"priority_id":2,"assigned_to_id":23,"start_date":"2017-06-09","description":"","custom_fields":[{"id":1,"name":"Subdivision","value":"EC"},{"id":4,"name":"Milepost","value":"0.0158"},{"id":17,"name":"Train ID","value":"218-09"},{"id":16,"name":"Locomotive ID","value":"4029"},{"id":130,"name":"Impact","value":""},{"id":150,"name":"Time of Event (Mountain Time)","value":"19:49:44"},{"id":151,"name":"Denver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4"/>
        <v>start /low /b %USERPROFILE%\Documents\GitHub\eaglep3\Utilities\DownloadLogsFromS3.py --loco 4029 --day 2017-06-09</v>
      </c>
      <c r="AN131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01:49:44"},{"id":29,"name":"Sharepoint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788</v>
      </c>
      <c r="B132" s="7">
        <v>4006</v>
      </c>
      <c r="C132" s="21" t="s">
        <v>204</v>
      </c>
      <c r="D132" s="21" t="s">
        <v>842</v>
      </c>
      <c r="E132" s="13">
        <v>42895.766597222224</v>
      </c>
      <c r="F132" s="13">
        <v>42895.770995370367</v>
      </c>
      <c r="G132" s="7">
        <v>1</v>
      </c>
      <c r="H132" s="21" t="s">
        <v>459</v>
      </c>
      <c r="I132" s="13">
        <v>42895.798344907409</v>
      </c>
      <c r="J132" s="7">
        <v>0</v>
      </c>
      <c r="K132" s="92" t="str">
        <f t="shared" si="27"/>
        <v>4005/4006</v>
      </c>
      <c r="L132" s="21" t="str">
        <f>VLOOKUP(A132,'Trips&amp;Operators'!$C$1:$G$99999,5,FALSE)</f>
        <v>FORTUNATO FRANK</v>
      </c>
      <c r="M132" s="6">
        <f t="shared" si="28"/>
        <v>2.7349537042027805E-2</v>
      </c>
      <c r="N132" s="7">
        <f t="shared" si="58"/>
        <v>39.383333340520039</v>
      </c>
      <c r="O132" s="7"/>
      <c r="P132" s="7"/>
      <c r="Q132" s="22"/>
      <c r="R132" s="173"/>
      <c r="S132" s="176">
        <f t="shared" si="61"/>
        <v>1</v>
      </c>
      <c r="T132" s="202" t="str">
        <f t="shared" si="30"/>
        <v>NorthBound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31"/>
        <v>https://d0f6bd738d7f1b3e5a7ca70fe4ff75f0.us-east-1.aws.found.io/app/kibana#/discover/Steve-Slow-Train-Analysis-(2080s-and-2083s)?_g=(refreshInterval:(display:Off,pause:!f,section:0,value:0),time:(from:'2017-06-09T17:23:54-0600',mode:absolute,to:'2017-06-09T20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2" s="204" t="str">
        <f t="shared" si="32"/>
        <v>N</v>
      </c>
      <c r="X132" s="204">
        <f t="shared" si="33"/>
        <v>1</v>
      </c>
      <c r="Y132" s="204">
        <f t="shared" si="59"/>
        <v>4.6899999999999997E-2</v>
      </c>
      <c r="Z132" s="204">
        <f t="shared" si="60"/>
        <v>23.3309</v>
      </c>
      <c r="AA132" s="204">
        <f t="shared" si="36"/>
        <v>23.283999999999999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7"/>
        <v>0219-09</v>
      </c>
      <c r="AE132" s="80" t="str">
        <f t="shared" si="38"/>
        <v>aws s3 cp s3://rtdc.mdm.uploadarchive.raw/RTDC4006/ "%USERPROFILE%\AppData\Local\Temp\OnboardLogs"\RTDC4006\2017-06-09 --exclude "*" --recursive --include "*20170609*" &amp; "%USERPROFILE%\Documents\GitHub\mrs-test-scripts\Headless Mode &amp; Sideloading\WalkAndUnGZ.bat" "%USERPROFILE%\AppData\Local\Temp\OnboardLogs"\RTDC4006\2017-06-09 &amp; 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</v>
      </c>
      <c r="AF132" s="77" t="str">
        <f t="shared" si="39"/>
        <v>"C:\Program Files (x86)\AstroGrep\AstroGrep.exe" /e /r /s /spath="%USERPROFILE%\AppData\Local\Temp\OnboardLogs" /stypes="app*4006*20170610*" /stext=" 01:.+((SYSTEM_STATE.+slice.+state.+changed )|(ment ac)|(multiple cpu faults)|(system.+state.+changed )|(\[timeout)|(PRM\|1\|D)|(kpr)|(kdp)|(train st.+moving)|(\|lc)|(penalty))"</v>
      </c>
      <c r="AG132" s="1" t="str">
        <f t="shared" si="40"/>
        <v>EC</v>
      </c>
      <c r="AH132" s="81" t="str">
        <f t="shared" si="42"/>
        <v>"%USERPROFILE%\Documents\GitHub\eaglep3\Utilities\RefineRTDCRunTimes.py" --tripid 219-09 --locoid 4006 --swversion DE.1.0.9.0 --startMP 204:469 --initTime 2017-06-09T18:23:54 --startdatetime 2017-06-09T18:30:14 --delay 1 --endMP 204:233309 --enddatetime 2017-06-09T19:09:37 --enforcementcount 0 &gt;&gt;C:\Users\stu\Documents\GitHub\eaglep3-reporting\EC\2017-06-09-refined-times.txt</v>
      </c>
      <c r="AI132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{"issue":{"subject":"","project_id":79,"tracker_id":40,"status_id":1,"priority_id":2,"assigned_to_id":23,"start_date":"2017-06-09","description":"","custom_fields":[{"id":1,"name":"Subdivision","value":"EC"},{"id":4,"name":"Milepost","value":"23.3309"},{"id":17,"name":"Train ID","value":"219-09"},{"id":16,"name":"Locomotive ID","value":"4006"},{"id":130,"name":"Impact","value":""},{"id":150,"name":"Time of Event (Mountain Time)","value":"19:09:37"},{"id":151,"name":"Denver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4"/>
        <v>start /low /b %USERPROFILE%\Documents\GitHub\eaglep3\Utilities\DownloadLogsFromS3.py --loco 4006 --day 2017-06-09</v>
      </c>
      <c r="AN132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01:09:37"},{"id":29,"name":"Sharepoint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797</v>
      </c>
      <c r="B133" s="7">
        <v>4005</v>
      </c>
      <c r="C133" s="21" t="s">
        <v>204</v>
      </c>
      <c r="D133" s="21" t="s">
        <v>558</v>
      </c>
      <c r="E133" s="13">
        <v>42895.806296296294</v>
      </c>
      <c r="F133" s="13">
        <v>42895.810613425929</v>
      </c>
      <c r="G133" s="7">
        <v>1</v>
      </c>
      <c r="H133" s="21" t="s">
        <v>465</v>
      </c>
      <c r="I133" s="13">
        <v>42895.838483796295</v>
      </c>
      <c r="J133" s="7">
        <v>0</v>
      </c>
      <c r="K133" s="92" t="str">
        <f t="shared" si="27"/>
        <v>4005/4006</v>
      </c>
      <c r="L133" s="21" t="str">
        <f>VLOOKUP(A133,'Trips&amp;Operators'!$C$1:$G$99999,5,FALSE)</f>
        <v>FORTUNATO FRANK</v>
      </c>
      <c r="M133" s="6">
        <f t="shared" si="28"/>
        <v>2.7870370366144925E-2</v>
      </c>
      <c r="N133" s="7">
        <f t="shared" si="58"/>
        <v>40.133333327248693</v>
      </c>
      <c r="O133" s="7"/>
      <c r="P133" s="7"/>
      <c r="Q133" s="22"/>
      <c r="R133" s="173"/>
      <c r="S133" s="176">
        <f t="shared" si="61"/>
        <v>1</v>
      </c>
      <c r="T133" s="202" t="str">
        <f t="shared" si="30"/>
        <v>Southbound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31"/>
        <v>https://d0f6bd738d7f1b3e5a7ca70fe4ff75f0.us-east-1.aws.found.io/app/kibana#/discover/Steve-Slow-Train-Analysis-(2080s-and-2083s)?_g=(refreshInterval:(display:Off,pause:!f,section:0,value:0),time:(from:'2017-06-09T18:21:04-0600',mode:absolute,to:'2017-06-09T21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3" s="204" t="str">
        <f t="shared" si="32"/>
        <v>N</v>
      </c>
      <c r="X133" s="204">
        <f t="shared" si="33"/>
        <v>1</v>
      </c>
      <c r="Y133" s="204">
        <f t="shared" si="59"/>
        <v>23.298400000000001</v>
      </c>
      <c r="Z133" s="204">
        <f t="shared" si="60"/>
        <v>1.6299999999999999E-2</v>
      </c>
      <c r="AA133" s="204">
        <f t="shared" si="36"/>
        <v>23.2821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7"/>
        <v>0220-09</v>
      </c>
      <c r="AE133" s="80" t="str">
        <f t="shared" si="38"/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AF133" s="77" t="str">
        <f t="shared" si="39"/>
        <v>"C:\Program Files (x86)\AstroGrep\AstroGrep.exe" /e /r /s /spath="%USERPROFILE%\AppData\Local\Temp\OnboardLogs" /stypes="app*4005*20170610*" /stext=" 02:.+((SYSTEM_STATE.+slice.+state.+changed )|(ment ac)|(multiple cpu faults)|(system.+state.+changed )|(\[timeout)|(PRM\|1\|D)|(kpr)|(kdp)|(train st.+moving)|(\|lc)|(penalty))"</v>
      </c>
      <c r="AG133" s="1" t="str">
        <f t="shared" si="40"/>
        <v>EC</v>
      </c>
      <c r="AH133" s="81" t="str">
        <f t="shared" si="42"/>
        <v>"%USERPROFILE%\Documents\GitHub\eaglep3\Utilities\RefineRTDCRunTimes.py" --tripid 220-09 --locoid 4005 --swversion DE.1.0.9.0 --startMP 204:232984 --initTime 2017-06-09T19:21:04 --startdatetime 2017-06-09T19:27:17 --delay 1 --endMP 204:163 --enddatetime 2017-06-09T20:07:25 --enforcementcount 0 &gt;&gt;C:\Users\stu\Documents\GitHub\eaglep3-reporting\EC\2017-06-09-refined-times.txt</v>
      </c>
      <c r="AI133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{"issue":{"subject":"","project_id":79,"tracker_id":40,"status_id":1,"priority_id":2,"assigned_to_id":23,"start_date":"2017-06-09","description":"","custom_fields":[{"id":1,"name":"Subdivision","value":"EC"},{"id":4,"name":"Milepost","value":"0.0163"},{"id":17,"name":"Train ID","value":"220-09"},{"id":16,"name":"Locomotive ID","value":"4005"},{"id":130,"name":"Impact","value":""},{"id":150,"name":"Time of Event (Mountain Time)","value":"20:07:25"},{"id":151,"name":"Denver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4"/>
        <v>start /low /b %USERPROFILE%\Documents\GitHub\eaglep3\Utilities\DownloadLogsFromS3.py --loco 4005 --day 2017-06-09</v>
      </c>
      <c r="AN133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02:07:25"},{"id":29,"name":"Sharepoint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792</v>
      </c>
      <c r="B134" s="7">
        <v>4054</v>
      </c>
      <c r="C134" s="21" t="s">
        <v>204</v>
      </c>
      <c r="D134" s="21" t="s">
        <v>360</v>
      </c>
      <c r="E134" s="13">
        <v>42895.782824074071</v>
      </c>
      <c r="F134" s="13">
        <v>42895.793379629627</v>
      </c>
      <c r="G134" s="7">
        <v>3</v>
      </c>
      <c r="H134" s="21" t="s">
        <v>460</v>
      </c>
      <c r="I134" s="13">
        <v>42895.817986111113</v>
      </c>
      <c r="J134" s="7">
        <v>0</v>
      </c>
      <c r="K134" s="92" t="str">
        <f t="shared" si="27"/>
        <v>4053/4054</v>
      </c>
      <c r="L134" s="21" t="str">
        <f>VLOOKUP(A134,'Trips&amp;Operators'!$C$1:$G$99999,5,FALSE)</f>
        <v>ZEWDU DEREJE</v>
      </c>
      <c r="M134" s="6">
        <f t="shared" si="28"/>
        <v>2.4606481485534459E-2</v>
      </c>
      <c r="N134" s="7">
        <f t="shared" si="58"/>
        <v>35.433333339169621</v>
      </c>
      <c r="O134" s="7"/>
      <c r="P134" s="7"/>
      <c r="Q134" s="22"/>
      <c r="R134" s="173"/>
      <c r="S134" s="176">
        <f t="shared" si="61"/>
        <v>1</v>
      </c>
      <c r="T134" s="202" t="str">
        <f t="shared" si="30"/>
        <v>NorthBound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31"/>
        <v>https://d0f6bd738d7f1b3e5a7ca70fe4ff75f0.us-east-1.aws.found.io/app/kibana#/discover/Steve-Slow-Train-Analysis-(2080s-and-2083s)?_g=(refreshInterval:(display:Off,pause:!f,section:0,value:0),time:(from:'2017-06-09T17:47:16-0600',mode:absolute,to:'2017-06-09T20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4" s="204" t="str">
        <f t="shared" si="32"/>
        <v>N</v>
      </c>
      <c r="X134" s="204">
        <f t="shared" si="33"/>
        <v>1</v>
      </c>
      <c r="Y134" s="204">
        <f t="shared" si="59"/>
        <v>4.4699999999999997E-2</v>
      </c>
      <c r="Z134" s="204">
        <f t="shared" si="60"/>
        <v>23.331199999999999</v>
      </c>
      <c r="AA134" s="204">
        <f t="shared" si="36"/>
        <v>23.2865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7"/>
        <v>0221-09</v>
      </c>
      <c r="AE134" s="80" t="str">
        <f t="shared" si="38"/>
        <v>aws s3 cp s3://rtdc.mdm.uploadarchive.raw/RTDC4054/ "%USERPROFILE%\AppData\Local\Temp\OnboardLogs"\RTDC4054\2017-06-09 --exclude "*" --recursive --include "*20170609*" &amp; "%USERPROFILE%\Documents\GitHub\mrs-test-scripts\Headless Mode &amp; Sideloading\WalkAndUnGZ.bat" "%USERPROFILE%\AppData\Local\Temp\OnboardLogs"\RTDC4054\2017-06-09 &amp; 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</v>
      </c>
      <c r="AF134" s="77" t="str">
        <f t="shared" si="39"/>
        <v>"C:\Program Files (x86)\AstroGrep\AstroGrep.exe" /e /r /s /spath="%USERPROFILE%\AppData\Local\Temp\OnboardLogs" /stypes="app*4054*20170610*" /stext=" 01:.+((SYSTEM_STATE.+slice.+state.+changed )|(ment ac)|(multiple cpu faults)|(system.+state.+changed )|(\[timeout)|(PRM\|1\|D)|(kpr)|(kdp)|(train st.+moving)|(\|lc)|(penalty))"</v>
      </c>
      <c r="AG134" s="1" t="str">
        <f t="shared" si="40"/>
        <v>EC</v>
      </c>
      <c r="AH134" s="81" t="str">
        <f t="shared" si="42"/>
        <v>"%USERPROFILE%\Documents\GitHub\eaglep3\Utilities\RefineRTDCRunTimes.py" --tripid 221-09 --locoid 4054 --swversion DE.1.0.9.0 --startMP 204:447 --initTime 2017-06-09T18:47:16 --startdatetime 2017-06-09T19:02:28 --delay 3 --endMP 204:233312 --enddatetime 2017-06-09T19:37:54 --enforcementcount 0 &gt;&gt;C:\Users\stu\Documents\GitHub\eaglep3-reporting\EC\2017-06-09-refined-times.txt</v>
      </c>
      <c r="AI134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{"issue":{"subject":"","project_id":79,"tracker_id":40,"status_id":1,"priority_id":2,"assigned_to_id":23,"start_date":"2017-06-09","description":"","custom_fields":[{"id":1,"name":"Subdivision","value":"EC"},{"id":4,"name":"Milepost","value":"23.3312"},{"id":17,"name":"Train ID","value":"221-09"},{"id":16,"name":"Locomotive ID","value":"4054"},{"id":130,"name":"Impact","value":""},{"id":150,"name":"Time of Event (Mountain Time)","value":"19:37:54"},{"id":151,"name":"Denver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4"/>
        <v>start /low /b %USERPROFILE%\Documents\GitHub\eaglep3\Utilities\DownloadLogsFromS3.py --loco 4054 --day 2017-06-09</v>
      </c>
      <c r="AN134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01:37:54"},{"id":29,"name":"Sharepoint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800</v>
      </c>
      <c r="B135" s="7">
        <v>4053</v>
      </c>
      <c r="C135" s="21" t="s">
        <v>204</v>
      </c>
      <c r="D135" s="21" t="s">
        <v>555</v>
      </c>
      <c r="E135" s="13">
        <v>42895.828912037039</v>
      </c>
      <c r="F135" s="13">
        <v>42895.875358796293</v>
      </c>
      <c r="G135" s="7">
        <v>1</v>
      </c>
      <c r="H135" s="21" t="s">
        <v>879</v>
      </c>
      <c r="I135" s="13">
        <v>42895.90284722222</v>
      </c>
      <c r="J135" s="7">
        <v>0</v>
      </c>
      <c r="K135" s="92" t="str">
        <f t="shared" si="27"/>
        <v>4053/4054</v>
      </c>
      <c r="L135" s="21" t="str">
        <f>VLOOKUP(A135,'Trips&amp;Operators'!$C$1:$G$99999,5,FALSE)</f>
        <v>ZEWDU DEREJE</v>
      </c>
      <c r="M135" s="6">
        <f t="shared" si="28"/>
        <v>2.7488425927003846E-2</v>
      </c>
      <c r="N135" s="7">
        <f t="shared" si="58"/>
        <v>39.583333334885538</v>
      </c>
      <c r="O135" s="7"/>
      <c r="P135" s="7"/>
      <c r="Q135" s="22"/>
      <c r="R135" s="173"/>
      <c r="S135" s="176">
        <f t="shared" si="61"/>
        <v>1</v>
      </c>
      <c r="T135" s="202" t="str">
        <f t="shared" si="30"/>
        <v>Southbound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31"/>
        <v>https://d0f6bd738d7f1b3e5a7ca70fe4ff75f0.us-east-1.aws.found.io/app/kibana#/discover/Steve-Slow-Train-Analysis-(2080s-and-2083s)?_g=(refreshInterval:(display:Off,pause:!f,section:0,value:0),time:(from:'2017-06-09T18:53:38-0600',mode:absolute,to:'2017-06-09T22:40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5" s="204" t="str">
        <f t="shared" si="32"/>
        <v>N</v>
      </c>
      <c r="X135" s="204">
        <f t="shared" si="33"/>
        <v>1</v>
      </c>
      <c r="Y135" s="204">
        <f t="shared" si="59"/>
        <v>23.299800000000001</v>
      </c>
      <c r="Z135" s="204">
        <f t="shared" si="60"/>
        <v>9.2399999999999996E-2</v>
      </c>
      <c r="AA135" s="204">
        <f t="shared" si="36"/>
        <v>23.2074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7"/>
        <v>0222-09</v>
      </c>
      <c r="AE135" s="80" t="str">
        <f t="shared" si="38"/>
        <v>aws s3 cp s3://rtdc.mdm.uploadarchive.raw/RTDC4053/ "%USERPROFILE%\AppData\Local\Temp\OnboardLogs"\RTDC4053\2017-06-09 --exclude "*" --recursive --include "*20170609*" &amp; "%USERPROFILE%\Documents\GitHub\mrs-test-scripts\Headless Mode &amp; Sideloading\WalkAndUnGZ.bat" "%USERPROFILE%\AppData\Local\Temp\OnboardLogs"\RTDC4053\2017-06-09 &amp; aws s3 cp s3://rtdc.mdm.uploadarchive.raw/RTDC4053/ "%USERPROFILE%\AppData\Local\Temp\OnboardLogs"\RTDC4053\2017-06-10 --exclude "*" --recursive --include "*20170610*" &amp; "%USERPROFILE%\Documents\GitHub\mrs-test-scripts\Headless Mode &amp; Sideloading\WalkAndUnGZ.bat" "%USERPROFILE%\AppData\Local\Temp\OnboardLogs"\RTDC4053\2017-06-10</v>
      </c>
      <c r="AF135" s="77" t="str">
        <f t="shared" si="39"/>
        <v>"C:\Program Files (x86)\AstroGrep\AstroGrep.exe" /e /r /s /spath="%USERPROFILE%\AppData\Local\Temp\OnboardLogs" /stypes="app*4053*20170610*" /stext=" 03:.+((SYSTEM_STATE.+slice.+state.+changed )|(ment ac)|(multiple cpu faults)|(system.+state.+changed )|(\[timeout)|(PRM\|1\|D)|(kpr)|(kdp)|(train st.+moving)|(\|lc)|(penalty))"</v>
      </c>
      <c r="AG135" s="1" t="str">
        <f t="shared" si="40"/>
        <v>EC</v>
      </c>
      <c r="AH135" s="81" t="str">
        <f t="shared" si="42"/>
        <v>"%USERPROFILE%\Documents\GitHub\eaglep3\Utilities\RefineRTDCRunTimes.py" --tripid 222-09 --locoid 4053 --swversion DE.1.0.9.0 --startMP 204:232998 --initTime 2017-06-09T19:53:38 --startdatetime 2017-06-09T21:00:31 --delay 1 --endMP 204:924 --enddatetime 2017-06-09T21:40:06 --enforcementcount 0 &gt;&gt;C:\Users\stu\Documents\GitHub\eaglep3-reporting\EC\2017-06-09-refined-times.txt</v>
      </c>
      <c r="AI135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{"issue":{"subject":"","project_id":79,"tracker_id":40,"status_id":1,"priority_id":2,"assigned_to_id":23,"start_date":"2017-06-09","description":"","custom_fields":[{"id":1,"name":"Subdivision","value":"EC"},{"id":4,"name":"Milepost","value":"0.0924"},{"id":17,"name":"Train ID","value":"222-09"},{"id":16,"name":"Locomotive ID","value":"4053"},{"id":130,"name":"Impact","value":""},{"id":150,"name":"Time of Event (Mountain Time)","value":"21:40:06"},{"id":151,"name":"Denver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4"/>
        <v>start /low /b %USERPROFILE%\Documents\GitHub\eaglep3\Utilities\DownloadLogsFromS3.py --loco 4053 --day 2017-06-09</v>
      </c>
      <c r="AN135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03:40:06"},{"id":29,"name":"Sharepoint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629</v>
      </c>
      <c r="B136" s="7">
        <v>4046</v>
      </c>
      <c r="C136" s="21" t="s">
        <v>204</v>
      </c>
      <c r="D136" s="21" t="s">
        <v>838</v>
      </c>
      <c r="E136" s="13">
        <v>42895.8124537037</v>
      </c>
      <c r="F136" s="13">
        <v>42895.814351851855</v>
      </c>
      <c r="G136" s="7">
        <v>2</v>
      </c>
      <c r="H136" s="21" t="s">
        <v>398</v>
      </c>
      <c r="I136" s="13">
        <v>42895.844768518517</v>
      </c>
      <c r="J136" s="7">
        <v>0</v>
      </c>
      <c r="K136" s="92" t="str">
        <f t="shared" si="27"/>
        <v>4045/4046</v>
      </c>
      <c r="L136" s="21" t="str">
        <f>VLOOKUP(A136,'Trips&amp;Operators'!$C$1:$G$99999,5,FALSE)</f>
        <v>HELVIE ADAM</v>
      </c>
      <c r="M136" s="6">
        <f t="shared" si="28"/>
        <v>3.0416666661039926E-2</v>
      </c>
      <c r="N136" s="7">
        <f t="shared" si="58"/>
        <v>43.799999991897494</v>
      </c>
      <c r="O136" s="7"/>
      <c r="P136" s="7"/>
      <c r="Q136" s="22"/>
      <c r="R136" s="173" t="s">
        <v>1014</v>
      </c>
      <c r="S136" s="176">
        <f t="shared" si="61"/>
        <v>1</v>
      </c>
      <c r="T136" s="202" t="str">
        <f t="shared" si="30"/>
        <v>NorthBound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31"/>
        <v>https://d0f6bd738d7f1b3e5a7ca70fe4ff75f0.us-east-1.aws.found.io/app/kibana#/discover/Steve-Slow-Train-Analysis-(2080s-and-2083s)?_g=(refreshInterval:(display:Off,pause:!f,section:0,value:0),time:(from:'2017-06-09T18:29:56-0600',mode:absolute,to:'2017-06-09T21:16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204" t="str">
        <f t="shared" si="32"/>
        <v>N</v>
      </c>
      <c r="X136" s="204">
        <f t="shared" si="33"/>
        <v>1</v>
      </c>
      <c r="Y136" s="204">
        <f t="shared" si="59"/>
        <v>4.8000000000000001E-2</v>
      </c>
      <c r="Z136" s="204">
        <f t="shared" si="60"/>
        <v>23.3293</v>
      </c>
      <c r="AA136" s="204">
        <f t="shared" si="36"/>
        <v>23.281300000000002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7"/>
        <v>0223-09</v>
      </c>
      <c r="AE136" s="80" t="str">
        <f t="shared" si="38"/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AF136" s="77" t="str">
        <f t="shared" si="39"/>
        <v>"C:\Program Files (x86)\AstroGrep\AstroGrep.exe" /e /r /s /spath="%USERPROFILE%\AppData\Local\Temp\OnboardLogs" /stypes="app*4046*20170610*" /stext=" 02:.+((SYSTEM_STATE.+slice.+state.+changed )|(ment ac)|(multiple cpu faults)|(system.+state.+changed )|(\[timeout)|(PRM\|1\|D)|(kpr)|(kdp)|(train st.+moving)|(\|lc)|(penalty))"</v>
      </c>
      <c r="AG136" s="1" t="str">
        <f t="shared" si="40"/>
        <v>EC</v>
      </c>
      <c r="AH136" s="81" t="str">
        <f t="shared" si="42"/>
        <v>"%USERPROFILE%\Documents\GitHub\eaglep3\Utilities\RefineRTDCRunTimes.py" --tripid 223-09 --locoid 4046 --swversion DE.1.0.9.0 --startMP 204:480 --initTime 2017-06-09T19:29:56 --startdatetime 2017-06-09T19:32:40 --delay 2 --endMP 204:233293 --enddatetime 2017-06-09T20:16:28 --enforcementcount 0 &gt;&gt;C:\Users\stu\Documents\GitHub\eaglep3-reporting\EC\2017-06-09-refined-times.txt</v>
      </c>
      <c r="AI136" s="99" t="str">
        <f t="shared" si="43"/>
        <v>echo {"issue":{"subject":"Delayed by onboard in-route failure","project_id":79,"tracker_id":40,"status_id":1,"priority_id":2,"assigned_to_id":23,"start_date":"2017-06-09","description":"","custom_fields":[{"id":1,"name":"Subdivision","value":"EC"},{"id":4,"name":"Milepost","value":"23.3293"},{"id":17,"name":"Train ID","value":"223-09"},{"id":16,"name":"Locomotive ID","value":"4046"},{"id":130,"name":"Impact","value":""},{"id":150,"name":"Time of Event (Mountain Time)","value":"20:16:28"},{"id":151,"name":"Denver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4"/>
        <v>start /low /b %USERPROFILE%\Documents\GitHub\eaglep3\Utilities\DownloadLogsFromS3.py --loco 4046 --day 2017-06-09</v>
      </c>
      <c r="AN136" s="154" t="str">
        <f t="shared" si="45"/>
        <v>echo {"issue":{"subject":"Delayed by onboard in-route failure","project_id":30,"tracker_id":4,"status_id":1,"priority_id":1,"assigned_to_id":10,"start_date":"2017-06-10","description":"","custom_fields":[{"id":30,"name":"Category","value":"Issue"},{"id":3,"name":"Functional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02:16:28"},{"id":29,"name":"Sharepoint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805</v>
      </c>
      <c r="B137" s="7">
        <v>4045</v>
      </c>
      <c r="C137" s="21" t="s">
        <v>204</v>
      </c>
      <c r="D137" s="21" t="s">
        <v>536</v>
      </c>
      <c r="E137" s="13">
        <v>42895.852314814816</v>
      </c>
      <c r="F137" s="13">
        <v>42895.853414351855</v>
      </c>
      <c r="G137" s="7">
        <v>0</v>
      </c>
      <c r="H137" s="21" t="s">
        <v>196</v>
      </c>
      <c r="I137" s="13">
        <v>42895.880949074075</v>
      </c>
      <c r="J137" s="7">
        <v>0</v>
      </c>
      <c r="K137" s="92" t="str">
        <f t="shared" si="27"/>
        <v>4045/4046</v>
      </c>
      <c r="L137" s="21" t="str">
        <f>VLOOKUP(A137,'Trips&amp;Operators'!$C$1:$G$99999,5,FALSE)</f>
        <v>HELVIE ADAM</v>
      </c>
      <c r="M137" s="6">
        <f t="shared" si="28"/>
        <v>2.753472221957054E-2</v>
      </c>
      <c r="N137" s="7">
        <f t="shared" si="58"/>
        <v>39.649999996181577</v>
      </c>
      <c r="O137" s="7"/>
      <c r="P137" s="7"/>
      <c r="Q137" s="22"/>
      <c r="R137" s="173"/>
      <c r="S137" s="176">
        <f t="shared" si="61"/>
        <v>1</v>
      </c>
      <c r="T137" s="202" t="str">
        <f t="shared" si="30"/>
        <v>Southbound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31"/>
        <v>https://d0f6bd738d7f1b3e5a7ca70fe4ff75f0.us-east-1.aws.found.io/app/kibana#/discover/Steve-Slow-Train-Analysis-(2080s-and-2083s)?_g=(refreshInterval:(display:Off,pause:!f,section:0,value:0),time:(from:'2017-06-09T19:27:20-0600',mode:absolute,to:'2017-06-09T22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204" t="str">
        <f t="shared" si="32"/>
        <v>N</v>
      </c>
      <c r="X137" s="204">
        <f t="shared" si="33"/>
        <v>1</v>
      </c>
      <c r="Y137" s="204">
        <f t="shared" si="59"/>
        <v>23.296900000000001</v>
      </c>
      <c r="Z137" s="204">
        <f t="shared" si="60"/>
        <v>1.5800000000000002E-2</v>
      </c>
      <c r="AA137" s="204">
        <f t="shared" si="36"/>
        <v>23.281100000000002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7"/>
        <v>0224-09</v>
      </c>
      <c r="AE137" s="80" t="str">
        <f t="shared" si="38"/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AF137" s="77" t="str">
        <f t="shared" si="39"/>
        <v>"C:\Program Files (x86)\AstroGrep\AstroGrep.exe" /e /r /s /spath="%USERPROFILE%\AppData\Local\Temp\OnboardLogs" /stypes="app*4045*20170610*" /stext=" 03:.+((SYSTEM_STATE.+slice.+state.+changed )|(ment ac)|(multiple cpu faults)|(system.+state.+changed )|(\[timeout)|(PRM\|1\|D)|(kpr)|(kdp)|(train st.+moving)|(\|lc)|(penalty))"</v>
      </c>
      <c r="AG137" s="1" t="str">
        <f t="shared" si="40"/>
        <v>EC</v>
      </c>
      <c r="AH137" s="81" t="str">
        <f t="shared" si="42"/>
        <v>"%USERPROFILE%\Documents\GitHub\eaglep3\Utilities\RefineRTDCRunTimes.py" --tripid 224-09 --locoid 4045 --swversion DE.1.0.9.0 --startMP 204:232969 --initTime 2017-06-09T20:27:20 --startdatetime 2017-06-09T20:28:55 --delay 0 --endMP 204:158 --enddatetime 2017-06-09T21:08:34 --enforcementcount 0 &gt;&gt;C:\Users\stu\Documents\GitHub\eaglep3-reporting\EC\2017-06-09-refined-times.txt</v>
      </c>
      <c r="AI137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{"issue":{"subject":"","project_id":79,"tracker_id":40,"status_id":1,"priority_id":2,"assigned_to_id":23,"start_date":"2017-06-09","description":"","custom_fields":[{"id":1,"name":"Subdivision","value":"EC"},{"id":4,"name":"Milepost","value":"0.0158"},{"id":17,"name":"Train ID","value":"224-09"},{"id":16,"name":"Locomotive ID","value":"4045"},{"id":130,"name":"Impact","value":""},{"id":150,"name":"Time of Event (Mountain Time)","value":"21:08:34"},{"id":151,"name":"Denver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4"/>
        <v>start /low /b %USERPROFILE%\Documents\GitHub\eaglep3\Utilities\DownloadLogsFromS3.py --loco 4045 --day 2017-06-09</v>
      </c>
      <c r="AN137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03:08:34"},{"id":29,"name":"Sharepoint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801</v>
      </c>
      <c r="B138" s="7">
        <v>4030</v>
      </c>
      <c r="C138" s="21" t="s">
        <v>204</v>
      </c>
      <c r="D138" s="21" t="s">
        <v>201</v>
      </c>
      <c r="E138" s="13">
        <v>42895.829652777778</v>
      </c>
      <c r="F138" s="13">
        <v>42895.833912037036</v>
      </c>
      <c r="G138" s="7">
        <v>1</v>
      </c>
      <c r="H138" s="21" t="s">
        <v>545</v>
      </c>
      <c r="I138" s="13">
        <v>42895.858032407406</v>
      </c>
      <c r="J138" s="7">
        <v>0</v>
      </c>
      <c r="K138" s="92" t="str">
        <f t="shared" si="27"/>
        <v>4029/4030</v>
      </c>
      <c r="L138" s="21" t="str">
        <f>VLOOKUP(A138,'Trips&amp;Operators'!$C$1:$G$99999,5,FALSE)</f>
        <v>BIRENBAUM THOMAS</v>
      </c>
      <c r="M138" s="6">
        <f t="shared" si="28"/>
        <v>2.4120370369928423E-2</v>
      </c>
      <c r="N138" s="7">
        <f t="shared" si="58"/>
        <v>34.73333333269693</v>
      </c>
      <c r="O138" s="7"/>
      <c r="P138" s="7"/>
      <c r="Q138" s="22"/>
      <c r="R138" s="173"/>
      <c r="S138" s="176">
        <f t="shared" si="61"/>
        <v>1</v>
      </c>
      <c r="T138" s="202" t="str">
        <f t="shared" si="30"/>
        <v>NorthBound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31"/>
        <v>https://d0f6bd738d7f1b3e5a7ca70fe4ff75f0.us-east-1.aws.found.io/app/kibana#/discover/Steve-Slow-Train-Analysis-(2080s-and-2083s)?_g=(refreshInterval:(display:Off,pause:!f,section:0,value:0),time:(from:'2017-06-09T18:54:42-0600',mode:absolute,to:'2017-06-09T21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8" s="204" t="str">
        <f t="shared" si="32"/>
        <v>N</v>
      </c>
      <c r="X138" s="204">
        <f t="shared" si="33"/>
        <v>1</v>
      </c>
      <c r="Y138" s="204">
        <f t="shared" si="59"/>
        <v>4.5999999999999999E-2</v>
      </c>
      <c r="Z138" s="204">
        <f t="shared" si="60"/>
        <v>23.331499999999998</v>
      </c>
      <c r="AA138" s="204">
        <f t="shared" si="36"/>
        <v>23.285499999999999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7"/>
        <v>0225-09</v>
      </c>
      <c r="AE138" s="80" t="str">
        <f t="shared" si="38"/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AF138" s="77" t="str">
        <f t="shared" si="39"/>
        <v>"C:\Program Files (x86)\AstroGrep\AstroGrep.exe" /e /r /s /spath="%USERPROFILE%\AppData\Local\Temp\OnboardLogs" /stypes="app*4030*20170610*" /stext=" 02:.+((SYSTEM_STATE.+slice.+state.+changed )|(ment ac)|(multiple cpu faults)|(system.+state.+changed )|(\[timeout)|(PRM\|1\|D)|(kpr)|(kdp)|(train st.+moving)|(\|lc)|(penalty))"</v>
      </c>
      <c r="AG138" s="1" t="str">
        <f t="shared" si="40"/>
        <v>EC</v>
      </c>
      <c r="AH138" s="81" t="str">
        <f t="shared" si="42"/>
        <v>"%USERPROFILE%\Documents\GitHub\eaglep3\Utilities\RefineRTDCRunTimes.py" --tripid 225-09 --locoid 4030 --swversion DE.1.0.9.0 --startMP 204:460 --initTime 2017-06-09T19:54:42 --startdatetime 2017-06-09T20:00:50 --delay 1 --endMP 204:233315 --enddatetime 2017-06-09T20:35:34 --enforcementcount 0 &gt;&gt;C:\Users\stu\Documents\GitHub\eaglep3-reporting\EC\2017-06-09-refined-times.txt</v>
      </c>
      <c r="AI138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{"issue":{"subject":"","project_id":79,"tracker_id":40,"status_id":1,"priority_id":2,"assigned_to_id":23,"start_date":"2017-06-09","description":"","custom_fields":[{"id":1,"name":"Subdivision","value":"EC"},{"id":4,"name":"Milepost","value":"23.3315"},{"id":17,"name":"Train ID","value":"225-09"},{"id":16,"name":"Locomotive ID","value":"4030"},{"id":130,"name":"Impact","value":""},{"id":150,"name":"Time of Event (Mountain Time)","value":"20:35:34"},{"id":151,"name":"Denver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4"/>
        <v>start /low /b %USERPROFILE%\Documents\GitHub\eaglep3\Utilities\DownloadLogsFromS3.py --loco 4030 --day 2017-06-09</v>
      </c>
      <c r="AN138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02:35:34"},{"id":29,"name":"Sharepoint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806</v>
      </c>
      <c r="B139" s="7">
        <v>4029</v>
      </c>
      <c r="C139" s="21" t="s">
        <v>204</v>
      </c>
      <c r="D139" s="21" t="s">
        <v>532</v>
      </c>
      <c r="E139" s="13">
        <v>42895.867037037038</v>
      </c>
      <c r="F139" s="13">
        <v>42895.873090277775</v>
      </c>
      <c r="G139" s="7">
        <v>1</v>
      </c>
      <c r="H139" s="21" t="s">
        <v>465</v>
      </c>
      <c r="I139" s="13">
        <v>42895.902094907404</v>
      </c>
      <c r="J139" s="7">
        <v>0</v>
      </c>
      <c r="K139" s="92" t="str">
        <f t="shared" si="27"/>
        <v>4029/4030</v>
      </c>
      <c r="L139" s="21" t="str">
        <f>VLOOKUP(A139,'Trips&amp;Operators'!$C$1:$G$99999,5,FALSE)</f>
        <v>BIRENBAUM THOMAS</v>
      </c>
      <c r="M139" s="6">
        <f t="shared" si="28"/>
        <v>2.9004629628616385E-2</v>
      </c>
      <c r="N139" s="7">
        <f t="shared" si="58"/>
        <v>41.766666665207595</v>
      </c>
      <c r="O139" s="7"/>
      <c r="P139" s="7"/>
      <c r="Q139" s="22"/>
      <c r="R139" s="173"/>
      <c r="S139" s="176">
        <f t="shared" si="61"/>
        <v>1</v>
      </c>
      <c r="T139" s="202" t="str">
        <f t="shared" si="30"/>
        <v>Southbound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31"/>
        <v>https://d0f6bd738d7f1b3e5a7ca70fe4ff75f0.us-east-1.aws.found.io/app/kibana#/discover/Steve-Slow-Train-Analysis-(2080s-and-2083s)?_g=(refreshInterval:(display:Off,pause:!f,section:0,value:0),time:(from:'2017-06-09T19:48:32-0600',mode:absolute,to:'2017-06-09T22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9" s="204" t="str">
        <f t="shared" si="32"/>
        <v>N</v>
      </c>
      <c r="X139" s="204">
        <f t="shared" si="33"/>
        <v>1</v>
      </c>
      <c r="Y139" s="204">
        <f t="shared" si="59"/>
        <v>23.299399999999999</v>
      </c>
      <c r="Z139" s="204">
        <f t="shared" si="60"/>
        <v>1.6299999999999999E-2</v>
      </c>
      <c r="AA139" s="204">
        <f t="shared" si="36"/>
        <v>23.283099999999997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7"/>
        <v>0226-09</v>
      </c>
      <c r="AE139" s="80" t="str">
        <f t="shared" si="38"/>
        <v>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 &amp; 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</v>
      </c>
      <c r="AF139" s="77" t="str">
        <f t="shared" si="39"/>
        <v>"C:\Program Files (x86)\AstroGrep\AstroGrep.exe" /e /r /s /spath="%USERPROFILE%\AppData\Local\Temp\OnboardLogs" /stypes="app*4029*20170610*" /stext=" 03:.+((SYSTEM_STATE.+slice.+state.+changed )|(ment ac)|(multiple cpu faults)|(system.+state.+changed )|(\[timeout)|(PRM\|1\|D)|(kpr)|(kdp)|(train st.+moving)|(\|lc)|(penalty))"</v>
      </c>
      <c r="AG139" s="1" t="str">
        <f t="shared" si="40"/>
        <v>EC</v>
      </c>
      <c r="AH139" s="81" t="str">
        <f t="shared" si="42"/>
        <v>"%USERPROFILE%\Documents\GitHub\eaglep3\Utilities\RefineRTDCRunTimes.py" --tripid 226-09 --locoid 4029 --swversion DE.1.0.9.0 --startMP 204:232994 --initTime 2017-06-09T20:48:32 --startdatetime 2017-06-09T20:57:15 --delay 1 --endMP 204:163 --enddatetime 2017-06-09T21:39:01 --enforcementcount 0 &gt;&gt;C:\Users\stu\Documents\GitHub\eaglep3-reporting\EC\2017-06-09-refined-times.txt</v>
      </c>
      <c r="AI139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{"issue":{"subject":"","project_id":79,"tracker_id":40,"status_id":1,"priority_id":2,"assigned_to_id":23,"start_date":"2017-06-09","description":"","custom_fields":[{"id":1,"name":"Subdivision","value":"EC"},{"id":4,"name":"Milepost","value":"0.0163"},{"id":17,"name":"Train ID","value":"226-09"},{"id":16,"name":"Locomotive ID","value":"4029"},{"id":130,"name":"Impact","value":""},{"id":150,"name":"Time of Event (Mountain Time)","value":"21:39:01"},{"id":151,"name":"Denver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4"/>
        <v>start /low /b %USERPROFILE%\Documents\GitHub\eaglep3\Utilities\DownloadLogsFromS3.py --loco 4029 --day 2017-06-09</v>
      </c>
      <c r="AN139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03:39:01"},{"id":29,"name":"Sharepoint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804</v>
      </c>
      <c r="B140" s="7">
        <v>4006</v>
      </c>
      <c r="C140" s="21" t="s">
        <v>204</v>
      </c>
      <c r="D140" s="21" t="s">
        <v>880</v>
      </c>
      <c r="E140" s="13">
        <v>42895.846886574072</v>
      </c>
      <c r="F140" s="13">
        <v>42895.854305555556</v>
      </c>
      <c r="G140" s="7">
        <v>1</v>
      </c>
      <c r="H140" s="21" t="s">
        <v>881</v>
      </c>
      <c r="I140" s="13">
        <v>42895.882337962961</v>
      </c>
      <c r="J140" s="7">
        <v>0</v>
      </c>
      <c r="K140" s="92" t="str">
        <f t="shared" si="27"/>
        <v>4005/4006</v>
      </c>
      <c r="L140" s="21" t="str">
        <f>VLOOKUP(A140,'Trips&amp;Operators'!$C$1:$G$99999,5,FALSE)</f>
        <v>FORTUNATO FRANK</v>
      </c>
      <c r="M140" s="6">
        <f t="shared" si="28"/>
        <v>2.8032407404680271E-2</v>
      </c>
      <c r="N140" s="7">
        <f t="shared" si="58"/>
        <v>40.36666666273959</v>
      </c>
      <c r="O140" s="7"/>
      <c r="P140" s="7"/>
      <c r="Q140" s="22"/>
      <c r="R140" s="173"/>
      <c r="S140" s="176">
        <f t="shared" si="61"/>
        <v>1</v>
      </c>
      <c r="T140" s="202" t="str">
        <f t="shared" si="30"/>
        <v>NorthBound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31"/>
        <v>https://d0f6bd738d7f1b3e5a7ca70fe4ff75f0.us-east-1.aws.found.io/app/kibana#/discover/Steve-Slow-Train-Analysis-(2080s-and-2083s)?_g=(refreshInterval:(display:Off,pause:!f,section:0,value:0),time:(from:'2017-06-09T19:19:31-0600',mode:absolute,to:'2017-06-09T22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0" s="204" t="str">
        <f t="shared" si="32"/>
        <v>N</v>
      </c>
      <c r="X140" s="204">
        <f t="shared" si="33"/>
        <v>1</v>
      </c>
      <c r="Y140" s="204">
        <f t="shared" si="59"/>
        <v>4.3299999999999998E-2</v>
      </c>
      <c r="Z140" s="204">
        <f t="shared" si="60"/>
        <v>23.331600000000002</v>
      </c>
      <c r="AA140" s="204">
        <f t="shared" si="36"/>
        <v>23.288300000000003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7"/>
        <v>0227-09</v>
      </c>
      <c r="AE140" s="80" t="str">
        <f t="shared" si="38"/>
        <v>aws s3 cp s3://rtdc.mdm.uploadarchive.raw/RTDC4006/ "%USERPROFILE%\AppData\Local\Temp\OnboardLogs"\RTDC4006\2017-06-09 --exclude "*" --recursive --include "*20170609*" &amp; "%USERPROFILE%\Documents\GitHub\mrs-test-scripts\Headless Mode &amp; Sideloading\WalkAndUnGZ.bat" "%USERPROFILE%\AppData\Local\Temp\OnboardLogs"\RTDC4006\2017-06-09 &amp; 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</v>
      </c>
      <c r="AF140" s="77" t="str">
        <f t="shared" si="39"/>
        <v>"C:\Program Files (x86)\AstroGrep\AstroGrep.exe" /e /r /s /spath="%USERPROFILE%\AppData\Local\Temp\OnboardLogs" /stypes="app*4006*20170610*" /stext=" 03:.+((SYSTEM_STATE.+slice.+state.+changed )|(ment ac)|(multiple cpu faults)|(system.+state.+changed )|(\[timeout)|(PRM\|1\|D)|(kpr)|(kdp)|(train st.+moving)|(\|lc)|(penalty))"</v>
      </c>
      <c r="AG140" s="1" t="str">
        <f t="shared" si="40"/>
        <v>EC</v>
      </c>
      <c r="AH140" s="81" t="str">
        <f t="shared" si="42"/>
        <v>"%USERPROFILE%\Documents\GitHub\eaglep3\Utilities\RefineRTDCRunTimes.py" --tripid 227-09 --locoid 4006 --swversion DE.1.0.9.0 --startMP 204:433 --initTime 2017-06-09T20:19:31 --startdatetime 2017-06-09T20:30:12 --delay 1 --endMP 204:233316 --enddatetime 2017-06-09T21:10:34 --enforcementcount 0 &gt;&gt;C:\Users\stu\Documents\GitHub\eaglep3-reporting\EC\2017-06-09-refined-times.txt</v>
      </c>
      <c r="AI140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{"issue":{"subject":"","project_id":79,"tracker_id":40,"status_id":1,"priority_id":2,"assigned_to_id":23,"start_date":"2017-06-09","description":"","custom_fields":[{"id":1,"name":"Subdivision","value":"EC"},{"id":4,"name":"Milepost","value":"23.3316"},{"id":17,"name":"Train ID","value":"227-09"},{"id":16,"name":"Locomotive ID","value":"4006"},{"id":130,"name":"Impact","value":""},{"id":150,"name":"Time of Event (Mountain Time)","value":"21:10:34"},{"id":151,"name":"Denver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4"/>
        <v>start /low /b %USERPROFILE%\Documents\GitHub\eaglep3\Utilities\DownloadLogsFromS3.py --loco 4006 --day 2017-06-09</v>
      </c>
      <c r="AN140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03:10:34"},{"id":29,"name":"Sharepoint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809</v>
      </c>
      <c r="B141" s="7">
        <v>4005</v>
      </c>
      <c r="C141" s="21" t="s">
        <v>204</v>
      </c>
      <c r="D141" s="21" t="s">
        <v>511</v>
      </c>
      <c r="E141" s="13">
        <v>42895.884340277778</v>
      </c>
      <c r="F141" s="13">
        <v>42895.893912037034</v>
      </c>
      <c r="G141" s="7">
        <v>1</v>
      </c>
      <c r="H141" s="21" t="s">
        <v>401</v>
      </c>
      <c r="I141" s="13">
        <v>42895.924224537041</v>
      </c>
      <c r="J141" s="7">
        <v>0</v>
      </c>
      <c r="K141" s="92" t="str">
        <f t="shared" ref="K141:K204" si="62">IF(ISEVEN(B141),(B141-1)&amp;"/"&amp;B141,B141&amp;"/"&amp;(B141+1))</f>
        <v>4005/4006</v>
      </c>
      <c r="L141" s="21" t="str">
        <f>VLOOKUP(A141,'Trips&amp;Operators'!$C$1:$G$99999,5,FALSE)</f>
        <v>FORTUNATO FRANK</v>
      </c>
      <c r="M141" s="6">
        <f t="shared" ref="M141:M204" si="63">I141-F141</f>
        <v>3.0312500006402843E-2</v>
      </c>
      <c r="N141" s="7">
        <f t="shared" si="58"/>
        <v>43.650000009220093</v>
      </c>
      <c r="O141" s="7"/>
      <c r="P141" s="7"/>
      <c r="Q141" s="22"/>
      <c r="R141" s="173"/>
      <c r="S141" s="176">
        <f t="shared" si="61"/>
        <v>1</v>
      </c>
      <c r="T141" s="202" t="str">
        <f t="shared" ref="T141:T204" si="64">IF(ISEVEN(LEFT(AD141,4)),"Southbound","NorthBound")</f>
        <v>Southbound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-09T20:13:27-0600',mode:absolute,to:'2017-06-09T23:10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1" s="204" t="str">
        <f t="shared" ref="W141:W204" si="66">IF(AA141&lt;IF(AG141="EC",23,5.65),"Y","N")</f>
        <v>N</v>
      </c>
      <c r="X141" s="204">
        <f t="shared" ref="X141:X204" si="67">VALUE(LEFT(AD141,4))-VALUE(LEFT(AD140,4))</f>
        <v>1</v>
      </c>
      <c r="Y141" s="204">
        <f t="shared" si="59"/>
        <v>23.298999999999999</v>
      </c>
      <c r="Z141" s="204">
        <f t="shared" si="60"/>
        <v>1.54E-2</v>
      </c>
      <c r="AA141" s="204">
        <f t="shared" ref="AA141:AA204" si="68">ABS(Z141-Y141)</f>
        <v>23.2836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9">IF(LEN(A141)=6,"0"&amp;A141,A141)</f>
        <v>0228-09</v>
      </c>
      <c r="AE141" s="80" t="str">
        <f t="shared" ref="AE141:AE204" si="7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AF141" s="77" t="str">
        <f t="shared" ref="AF141:AF204" si="7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/stypes="app*4005*20170610*" /stext=" 04:.+((SYSTEM_STATE.+slice.+state.+changed )|(ment ac)|(multiple cpu faults)|(system.+state.+changed )|(\[timeout)|(PRM\|1\|D)|(kpr)|(kdp)|(train st.+moving)|(\|lc)|(penalty))"</v>
      </c>
      <c r="AG141" s="1" t="str">
        <f t="shared" ref="AG141:AG204" si="72">IFERROR(IF(VALUE(LEFT(AD141,2))&lt;=2,"EC",IF(OR(VALUE(LEFT(AD141,2))=8,VALUE(LEFT(AD141,2))=18),"NW","Other")),"Other")</f>
        <v>EC</v>
      </c>
      <c r="AH141" s="81" t="str">
        <f t="shared" si="42"/>
        <v>"%USERPROFILE%\Documents\GitHub\eaglep3\Utilities\RefineRTDCRunTimes.py" --tripid 228-09 --locoid 4005 --swversion DE.1.0.9.0 --startMP 204:232990 --initTime 2017-06-09T21:13:27 --startdatetime 2017-06-09T21:27:14 --delay 1 --endMP 204:154 --enddatetime 2017-06-09T22:10:53 --enforcementcount 0 &gt;&gt;C:\Users\stu\Documents\GitHub\eaglep3-reporting\EC\2017-06-09-refined-times.txt</v>
      </c>
      <c r="AI141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{"issue":{"subject":"","project_id":79,"tracker_id":40,"status_id":1,"priority_id":2,"assigned_to_id":23,"start_date":"2017-06-09","description":"","custom_fields":[{"id":1,"name":"Subdivision","value":"EC"},{"id":4,"name":"Milepost","value":"0.0154"},{"id":17,"name":"Train ID","value":"228-09"},{"id":16,"name":"Locomotive ID","value":"4005"},{"id":130,"name":"Impact","value":""},{"id":150,"name":"Time of Event (Mountain Time)","value":"22:10:53"},{"id":151,"name":"Denver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4"/>
        <v>start /low /b %USERPROFILE%\Documents\GitHub\eaglep3\Utilities\DownloadLogsFromS3.py --loco 4005 --day 2017-06-09</v>
      </c>
      <c r="AN141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04:10:53"},{"id":29,"name":"Sharepoint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807</v>
      </c>
      <c r="B142" s="7">
        <v>4022</v>
      </c>
      <c r="C142" s="21" t="s">
        <v>204</v>
      </c>
      <c r="D142" s="21" t="s">
        <v>474</v>
      </c>
      <c r="E142" s="13">
        <v>42895.871307870373</v>
      </c>
      <c r="F142" s="13">
        <v>42895.875358796293</v>
      </c>
      <c r="G142" s="7">
        <v>1</v>
      </c>
      <c r="H142" s="21" t="s">
        <v>539</v>
      </c>
      <c r="I142" s="13">
        <v>42895.90284722222</v>
      </c>
      <c r="J142" s="7">
        <v>0</v>
      </c>
      <c r="K142" s="92" t="str">
        <f t="shared" si="62"/>
        <v>4021/4022</v>
      </c>
      <c r="L142" s="21" t="str">
        <f>VLOOKUP(A142,'Trips&amp;Operators'!$C$1:$G$99999,5,FALSE)</f>
        <v>LAMAR NEKESHA</v>
      </c>
      <c r="M142" s="6">
        <f t="shared" si="63"/>
        <v>2.7488425927003846E-2</v>
      </c>
      <c r="N142" s="7">
        <f t="shared" si="58"/>
        <v>39.583333334885538</v>
      </c>
      <c r="O142" s="7"/>
      <c r="P142" s="7"/>
      <c r="Q142" s="22"/>
      <c r="R142" s="173"/>
      <c r="S142" s="176">
        <f t="shared" si="61"/>
        <v>1</v>
      </c>
      <c r="T142" s="202" t="str">
        <f t="shared" si="64"/>
        <v>NorthBound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65"/>
        <v>https://d0f6bd738d7f1b3e5a7ca70fe4ff75f0.us-east-1.aws.found.io/app/kibana#/discover/Steve-Slow-Train-Analysis-(2080s-and-2083s)?_g=(refreshInterval:(display:Off,pause:!f,section:0,value:0),time:(from:'2017-06-09T19:54:41-0600',mode:absolute,to:'2017-06-09T22:40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2" s="204" t="str">
        <f t="shared" si="66"/>
        <v>N</v>
      </c>
      <c r="X142" s="204">
        <f t="shared" si="67"/>
        <v>1</v>
      </c>
      <c r="Y142" s="204">
        <f t="shared" si="59"/>
        <v>4.4400000000000002E-2</v>
      </c>
      <c r="Z142" s="204">
        <f t="shared" si="60"/>
        <v>23.332100000000001</v>
      </c>
      <c r="AA142" s="204">
        <f t="shared" si="68"/>
        <v>23.287700000000001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9"/>
        <v>0229-09</v>
      </c>
      <c r="AE142" s="80" t="str">
        <f t="shared" si="70"/>
        <v>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 &amp; 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</v>
      </c>
      <c r="AF142" s="77" t="str">
        <f t="shared" si="71"/>
        <v>"C:\Program Files (x86)\AstroGrep\AstroGrep.exe" /e /r /s /spath="%USERPROFILE%\AppData\Local\Temp\OnboardLogs" /stypes="app*4022*20170610*" /stext=" 03:.+((SYSTEM_STATE.+slice.+state.+changed )|(ment ac)|(multiple cpu faults)|(system.+state.+changed )|(\[timeout)|(PRM\|1\|D)|(kpr)|(kdp)|(train st.+moving)|(\|lc)|(penalty))"</v>
      </c>
      <c r="AG142" s="1" t="str">
        <f t="shared" si="72"/>
        <v>EC</v>
      </c>
      <c r="AH142" s="81" t="str">
        <f t="shared" si="42"/>
        <v>"%USERPROFILE%\Documents\GitHub\eaglep3\Utilities\RefineRTDCRunTimes.py" --tripid 229-09 --locoid 4022 --swversion DE.1.0.9.0 --startMP 204:444 --initTime 2017-06-09T20:54:41 --startdatetime 2017-06-09T21:00:31 --delay 1 --endMP 204:233321 --enddatetime 2017-06-09T21:40:06 --enforcementcount 0 &gt;&gt;C:\Users\stu\Documents\GitHub\eaglep3-reporting\EC\2017-06-09-refined-times.txt</v>
      </c>
      <c r="AI142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{"issue":{"subject":"","project_id":79,"tracker_id":40,"status_id":1,"priority_id":2,"assigned_to_id":23,"start_date":"2017-06-09","description":"","custom_fields":[{"id":1,"name":"Subdivision","value":"EC"},{"id":4,"name":"Milepost","value":"23.3321"},{"id":17,"name":"Train ID","value":"229-09"},{"id":16,"name":"Locomotive ID","value":"4022"},{"id":130,"name":"Impact","value":""},{"id":150,"name":"Time of Event (Mountain Time)","value":"21:40:06"},{"id":151,"name":"Denver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44"/>
        <v>start /low /b %USERPROFILE%\Documents\GitHub\eaglep3\Utilities\DownloadLogsFromS3.py --loco 4022 --day 2017-06-09</v>
      </c>
      <c r="AN142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03:40:06"},{"id":29,"name":"Sharepoint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812</v>
      </c>
      <c r="B143" s="7">
        <v>4021</v>
      </c>
      <c r="C143" s="21" t="s">
        <v>204</v>
      </c>
      <c r="D143" s="21" t="s">
        <v>532</v>
      </c>
      <c r="E143" s="13">
        <v>42895.90898148148</v>
      </c>
      <c r="F143" s="13">
        <v>42895.914826388886</v>
      </c>
      <c r="G143" s="7">
        <v>2</v>
      </c>
      <c r="H143" s="21" t="s">
        <v>354</v>
      </c>
      <c r="I143" s="13">
        <v>42895.943981481483</v>
      </c>
      <c r="J143" s="7">
        <v>0</v>
      </c>
      <c r="K143" s="92" t="str">
        <f t="shared" si="62"/>
        <v>4021/4022</v>
      </c>
      <c r="L143" s="21" t="str">
        <f>VLOOKUP(A143,'Trips&amp;Operators'!$C$1:$G$99999,5,FALSE)</f>
        <v>LAMAR NEKESHA</v>
      </c>
      <c r="M143" s="6">
        <f t="shared" si="63"/>
        <v>2.9155092597648036E-2</v>
      </c>
      <c r="N143" s="7">
        <f t="shared" si="58"/>
        <v>41.983333340613171</v>
      </c>
      <c r="O143" s="7"/>
      <c r="P143" s="7"/>
      <c r="Q143" s="22"/>
      <c r="R143" s="173"/>
      <c r="S143" s="176">
        <f t="shared" si="61"/>
        <v>1</v>
      </c>
      <c r="T143" s="202" t="str">
        <f t="shared" si="64"/>
        <v>Southbound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65"/>
        <v>https://d0f6bd738d7f1b3e5a7ca70fe4ff75f0.us-east-1.aws.found.io/app/kibana#/discover/Steve-Slow-Train-Analysis-(2080s-and-2083s)?_g=(refreshInterval:(display:Off,pause:!f,section:0,value:0),time:(from:'2017-06-09T20:48:56-0600',mode:absolute,to:'2017-06-09T23:39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3" s="204" t="str">
        <f t="shared" si="66"/>
        <v>N</v>
      </c>
      <c r="X143" s="204">
        <f t="shared" si="67"/>
        <v>1</v>
      </c>
      <c r="Y143" s="204">
        <f t="shared" si="59"/>
        <v>23.299399999999999</v>
      </c>
      <c r="Z143" s="204">
        <f t="shared" si="60"/>
        <v>1.43E-2</v>
      </c>
      <c r="AA143" s="204">
        <f t="shared" si="68"/>
        <v>23.2851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9"/>
        <v>0230-09</v>
      </c>
      <c r="AE143" s="80" t="str">
        <f t="shared" si="70"/>
        <v>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 &amp; 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</v>
      </c>
      <c r="AF143" s="77" t="str">
        <f t="shared" si="71"/>
        <v>"C:\Program Files (x86)\AstroGrep\AstroGrep.exe" /e /r /s /spath="%USERPROFILE%\AppData\Local\Temp\OnboardLogs" /stypes="app*4021*20170610*" /stext=" 04:.+((SYSTEM_STATE.+slice.+state.+changed )|(ment ac)|(multiple cpu faults)|(system.+state.+changed )|(\[timeout)|(PRM\|1\|D)|(kpr)|(kdp)|(train st.+moving)|(\|lc)|(penalty))"</v>
      </c>
      <c r="AG143" s="1" t="str">
        <f t="shared" si="72"/>
        <v>EC</v>
      </c>
      <c r="AH143" s="81" t="str">
        <f t="shared" si="42"/>
        <v>"%USERPROFILE%\Documents\GitHub\eaglep3\Utilities\RefineRTDCRunTimes.py" --tripid 230-09 --locoid 4021 --swversion DE.1.0.9.0 --startMP 204:232994 --initTime 2017-06-09T21:48:56 --startdatetime 2017-06-09T21:57:21 --delay 2 --endMP 204:143 --enddatetime 2017-06-09T22:39:20 --enforcementcount 0 &gt;&gt;C:\Users\stu\Documents\GitHub\eaglep3-reporting\EC\2017-06-09-refined-times.txt</v>
      </c>
      <c r="AI143" s="99" t="str">
        <f t="shared" si="43"/>
        <v>echo {"issue":{"subject":"","project_id":79,"tracker_id":40,"status_id":1,"priority_id":2,"assigned_to_id":23,"start_date":"2017-06-09","description":"","custom_fields":[{"id":1,"name":"Subdivision","value":"EC"},{"id":4,"name":"Milepost","value":"0.0143"},{"id":17,"name":"Train ID","value":"230-09"},{"id":16,"name":"Locomotive ID","value":"4021"},{"id":130,"name":"Impact","value":""},{"id":150,"name":"Time of Event (Mountain Time)","value":"22:39:20"},{"id":151,"name":"Denver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44"/>
        <v>start /low /b %USERPROFILE%\Documents\GitHub\eaglep3\Utilities\DownloadLogsFromS3.py --loco 4021 --day 2017-06-09</v>
      </c>
      <c r="AN143" s="154" t="str">
        <f t="shared" si="45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04:39:20"},{"id":29,"name":"Sharepoint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810</v>
      </c>
      <c r="B144" s="7">
        <v>4046</v>
      </c>
      <c r="C144" s="21" t="s">
        <v>204</v>
      </c>
      <c r="D144" s="21" t="s">
        <v>397</v>
      </c>
      <c r="E144" s="13">
        <v>42895.893472222226</v>
      </c>
      <c r="F144" s="13">
        <v>42895.896006944444</v>
      </c>
      <c r="G144" s="7">
        <v>1</v>
      </c>
      <c r="H144" s="21" t="s">
        <v>467</v>
      </c>
      <c r="I144" s="13">
        <v>42895.922060185185</v>
      </c>
      <c r="J144" s="7">
        <v>0</v>
      </c>
      <c r="K144" s="92" t="str">
        <f t="shared" si="62"/>
        <v>4045/4046</v>
      </c>
      <c r="L144" s="21" t="str">
        <f>VLOOKUP(A144,'Trips&amp;Operators'!$C$1:$G$99999,5,FALSE)</f>
        <v>HELVIE ADAM</v>
      </c>
      <c r="M144" s="6">
        <f t="shared" si="63"/>
        <v>2.6053240741021E-2</v>
      </c>
      <c r="N144" s="7">
        <f t="shared" si="58"/>
        <v>37.51666666707024</v>
      </c>
      <c r="O144" s="7"/>
      <c r="P144" s="7"/>
      <c r="Q144" s="22"/>
      <c r="R144" s="173"/>
      <c r="S144" s="176">
        <f t="shared" si="61"/>
        <v>1</v>
      </c>
      <c r="T144" s="202" t="str">
        <f t="shared" si="64"/>
        <v>NorthBound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65"/>
        <v>https://d0f6bd738d7f1b3e5a7ca70fe4ff75f0.us-east-1.aws.found.io/app/kibana#/discover/Steve-Slow-Train-Analysis-(2080s-and-2083s)?_g=(refreshInterval:(display:Off,pause:!f,section:0,value:0),time:(from:'2017-06-09T20:26:36-0600',mode:absolute,to:'2017-06-09T23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204" t="str">
        <f t="shared" si="66"/>
        <v>N</v>
      </c>
      <c r="X144" s="204">
        <f t="shared" si="67"/>
        <v>1</v>
      </c>
      <c r="Y144" s="204">
        <f t="shared" si="59"/>
        <v>4.6199999999999998E-2</v>
      </c>
      <c r="Z144" s="204">
        <f t="shared" si="60"/>
        <v>23.328900000000001</v>
      </c>
      <c r="AA144" s="204">
        <f t="shared" si="68"/>
        <v>23.282700000000002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9"/>
        <v>0231-09</v>
      </c>
      <c r="AE144" s="80" t="str">
        <f t="shared" si="70"/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AF144" s="77" t="str">
        <f t="shared" si="71"/>
        <v>"C:\Program Files (x86)\AstroGrep\AstroGrep.exe" /e /r /s /spath="%USERPROFILE%\AppData\Local\Temp\OnboardLogs" /stypes="app*4046*20170610*" /stext=" 04:.+((SYSTEM_STATE.+slice.+state.+changed )|(ment ac)|(multiple cpu faults)|(system.+state.+changed )|(\[timeout)|(PRM\|1\|D)|(kpr)|(kdp)|(train st.+moving)|(\|lc)|(penalty))"</v>
      </c>
      <c r="AG144" s="1" t="str">
        <f t="shared" si="72"/>
        <v>EC</v>
      </c>
      <c r="AH144" s="81" t="str">
        <f t="shared" ref="AH144:AH207" si="73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231-09 --locoid 4046 --swversion DE.1.0.9.0 --startMP 204:462 --initTime 2017-06-09T21:26:36 --startdatetime 2017-06-09T21:30:15 --delay 1 --endMP 204:233289 --enddatetime 2017-06-09T22:07:46 --enforcementcount 0 &gt;&gt;C:\Users\stu\Documents\GitHub\eaglep3-reporting\EC\2017-06-09-refined-times.txt</v>
      </c>
      <c r="AI144" s="99" t="str">
        <f t="shared" ref="AI144:AI207" si="74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{"issue":{"subject":"","project_id":79,"tracker_id":40,"status_id":1,"priority_id":2,"assigned_to_id":23,"start_date":"2017-06-09","description":"","custom_fields":[{"id":1,"name":"Subdivision","value":"EC"},{"id":4,"name":"Milepost","value":"23.3289"},{"id":17,"name":"Train ID","value":"231-09"},{"id":16,"name":"Locomotive ID","value":"4046"},{"id":130,"name":"Impact","value":""},{"id":150,"name":"Time of Event (Mountain Time)","value":"22:07:46"},{"id":151,"name":"Denver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ref="AM144:AM207" si="75">"start /low /b "&amp;dls3logs&amp;" --loco "&amp;B144&amp;" --day "&amp;TEXT(F144,"YYYY-MM-DD")</f>
        <v>start /low /b %USERPROFILE%\Documents\GitHub\eaglep3\Utilities\DownloadLogsFromS3.py --loco 4046 --day 2017-06-09</v>
      </c>
      <c r="AN144" s="154" t="str">
        <f t="shared" ref="AN144:AN207" si="76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04:07:46"},{"id":29,"name":"Sharepoint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815</v>
      </c>
      <c r="B145" s="7">
        <v>4045</v>
      </c>
      <c r="C145" s="21" t="s">
        <v>204</v>
      </c>
      <c r="D145" s="21" t="s">
        <v>876</v>
      </c>
      <c r="E145" s="13">
        <v>42895.931828703702</v>
      </c>
      <c r="F145" s="13">
        <v>42895.935891203706</v>
      </c>
      <c r="G145" s="7">
        <v>1</v>
      </c>
      <c r="H145" s="21" t="s">
        <v>195</v>
      </c>
      <c r="I145" s="13">
        <v>42895.963796296295</v>
      </c>
      <c r="J145" s="7">
        <v>0</v>
      </c>
      <c r="K145" s="92" t="str">
        <f t="shared" si="62"/>
        <v>4045/4046</v>
      </c>
      <c r="L145" s="21" t="str">
        <f>VLOOKUP(A145,'Trips&amp;Operators'!$C$1:$G$99999,5,FALSE)</f>
        <v>HELVIE ADAM</v>
      </c>
      <c r="M145" s="6">
        <f t="shared" si="63"/>
        <v>2.7905092589207925E-2</v>
      </c>
      <c r="N145" s="7">
        <f t="shared" si="58"/>
        <v>40.183333328459412</v>
      </c>
      <c r="O145" s="7"/>
      <c r="P145" s="7"/>
      <c r="Q145" s="22"/>
      <c r="R145" s="173"/>
      <c r="S145" s="176">
        <f t="shared" si="61"/>
        <v>1</v>
      </c>
      <c r="T145" s="202" t="str">
        <f t="shared" si="64"/>
        <v>Southbound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65"/>
        <v>https://d0f6bd738d7f1b3e5a7ca70fe4ff75f0.us-east-1.aws.found.io/app/kibana#/discover/Steve-Slow-Train-Analysis-(2080s-and-2083s)?_g=(refreshInterval:(display:Off,pause:!f,section:0,value:0),time:(from:'2017-06-09T21:21:50-0600',mode:absolute,to:'2017-06-10T00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204" t="str">
        <f t="shared" si="66"/>
        <v>N</v>
      </c>
      <c r="X145" s="204">
        <f t="shared" si="67"/>
        <v>1</v>
      </c>
      <c r="Y145" s="204">
        <f t="shared" si="59"/>
        <v>23.296700000000001</v>
      </c>
      <c r="Z145" s="204">
        <f t="shared" si="60"/>
        <v>1.52E-2</v>
      </c>
      <c r="AA145" s="204">
        <f t="shared" si="68"/>
        <v>23.281500000000001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9"/>
        <v>0232-09</v>
      </c>
      <c r="AE145" s="80" t="str">
        <f t="shared" si="70"/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AF145" s="77" t="str">
        <f t="shared" si="71"/>
        <v>"C:\Program Files (x86)\AstroGrep\AstroGrep.exe" /e /r /s /spath="%USERPROFILE%\AppData\Local\Temp\OnboardLogs" /stypes="app*4045*20170610*" /stext=" 05:.+((SYSTEM_STATE.+slice.+state.+changed )|(ment ac)|(multiple cpu faults)|(system.+state.+changed )|(\[timeout)|(PRM\|1\|D)|(kpr)|(kdp)|(train st.+moving)|(\|lc)|(penalty))"</v>
      </c>
      <c r="AG145" s="1" t="str">
        <f t="shared" si="72"/>
        <v>EC</v>
      </c>
      <c r="AH145" s="81" t="str">
        <f t="shared" si="73"/>
        <v>"%USERPROFILE%\Documents\GitHub\eaglep3\Utilities\RefineRTDCRunTimes.py" --tripid 232-09 --locoid 4045 --swversion DE.1.0.9.0 --startMP 204:232967 --initTime 2017-06-09T22:21:50 --startdatetime 2017-06-09T22:27:41 --delay 1 --endMP 204:152 --enddatetime 2017-06-09T23:07:52 --enforcementcount 0 &gt;&gt;C:\Users\stu\Documents\GitHub\eaglep3-reporting\EC\2017-06-09-refined-times.txt</v>
      </c>
      <c r="AI145" s="99" t="str">
        <f t="shared" si="74"/>
        <v>echo {"issue":{"subject":"","project_id":79,"tracker_id":40,"status_id":1,"priority_id":2,"assigned_to_id":23,"start_date":"2017-06-09","description":"","custom_fields":[{"id":1,"name":"Subdivision","value":"EC"},{"id":4,"name":"Milepost","value":"0.0152"},{"id":17,"name":"Train ID","value":"232-09"},{"id":16,"name":"Locomotive ID","value":"4045"},{"id":130,"name":"Impact","value":""},{"id":150,"name":"Time of Event (Mountain Time)","value":"23:07:52"},{"id":151,"name":"Denver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75"/>
        <v>start /low /b %USERPROFILE%\Documents\GitHub\eaglep3\Utilities\DownloadLogsFromS3.py --loco 4045 --day 2017-06-09</v>
      </c>
      <c r="AN145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05:07:52"},{"id":29,"name":"Sharepoint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813</v>
      </c>
      <c r="B146" s="7">
        <v>4030</v>
      </c>
      <c r="C146" s="21" t="s">
        <v>204</v>
      </c>
      <c r="D146" s="21" t="s">
        <v>872</v>
      </c>
      <c r="E146" s="13">
        <v>42895.912685185183</v>
      </c>
      <c r="F146" s="13">
        <v>42895.916875000003</v>
      </c>
      <c r="G146" s="7">
        <v>1</v>
      </c>
      <c r="H146" s="21" t="s">
        <v>882</v>
      </c>
      <c r="I146" s="13">
        <v>42895.943020833336</v>
      </c>
      <c r="J146" s="7">
        <v>0</v>
      </c>
      <c r="K146" s="92" t="str">
        <f t="shared" si="62"/>
        <v>4029/4030</v>
      </c>
      <c r="L146" s="21" t="str">
        <f>VLOOKUP(A146,'Trips&amp;Operators'!$C$1:$G$99999,5,FALSE)</f>
        <v>BIRENBAUM THOMAS</v>
      </c>
      <c r="M146" s="6">
        <f t="shared" si="63"/>
        <v>2.6145833333430346E-2</v>
      </c>
      <c r="N146" s="7">
        <f t="shared" si="58"/>
        <v>37.650000000139698</v>
      </c>
      <c r="O146" s="7"/>
      <c r="P146" s="7"/>
      <c r="Q146" s="22"/>
      <c r="R146" s="173"/>
      <c r="S146" s="176">
        <f t="shared" si="61"/>
        <v>1</v>
      </c>
      <c r="T146" s="202" t="str">
        <f t="shared" si="64"/>
        <v>NorthBound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65"/>
        <v>https://d0f6bd738d7f1b3e5a7ca70fe4ff75f0.us-east-1.aws.found.io/app/kibana#/discover/Steve-Slow-Train-Analysis-(2080s-and-2083s)?_g=(refreshInterval:(display:Off,pause:!f,section:0,value:0),time:(from:'2017-06-09T20:54:16-0600',mode:absolute,to:'2017-06-09T23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6" s="204" t="str">
        <f t="shared" si="66"/>
        <v>N</v>
      </c>
      <c r="X146" s="204">
        <f t="shared" si="67"/>
        <v>1</v>
      </c>
      <c r="Y146" s="204">
        <f t="shared" si="59"/>
        <v>4.8399999999999999E-2</v>
      </c>
      <c r="Z146" s="204">
        <f t="shared" si="60"/>
        <v>23.3261</v>
      </c>
      <c r="AA146" s="204">
        <f t="shared" si="68"/>
        <v>23.277699999999999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9"/>
        <v>0233-09</v>
      </c>
      <c r="AE146" s="80" t="str">
        <f t="shared" si="70"/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AF146" s="77" t="str">
        <f t="shared" si="71"/>
        <v>"C:\Program Files (x86)\AstroGrep\AstroGrep.exe" /e /r /s /spath="%USERPROFILE%\AppData\Local\Temp\OnboardLogs" /stypes="app*4030*20170610*" /stext=" 04:.+((SYSTEM_STATE.+slice.+state.+changed )|(ment ac)|(multiple cpu faults)|(system.+state.+changed )|(\[timeout)|(PRM\|1\|D)|(kpr)|(kdp)|(train st.+moving)|(\|lc)|(penalty))"</v>
      </c>
      <c r="AG146" s="1" t="str">
        <f t="shared" si="72"/>
        <v>EC</v>
      </c>
      <c r="AH146" s="81" t="str">
        <f t="shared" si="73"/>
        <v>"%USERPROFILE%\Documents\GitHub\eaglep3\Utilities\RefineRTDCRunTimes.py" --tripid 233-09 --locoid 4030 --swversion DE.1.0.9.0 --startMP 204:484 --initTime 2017-06-09T21:54:16 --startdatetime 2017-06-09T22:00:18 --delay 1 --endMP 204:233261 --enddatetime 2017-06-09T22:37:57 --enforcementcount 0 &gt;&gt;C:\Users\stu\Documents\GitHub\eaglep3-reporting\EC\2017-06-09-refined-times.txt</v>
      </c>
      <c r="AI146" s="99" t="str">
        <f t="shared" si="74"/>
        <v>echo {"issue":{"subject":"","project_id":79,"tracker_id":40,"status_id":1,"priority_id":2,"assigned_to_id":23,"start_date":"2017-06-09","description":"","custom_fields":[{"id":1,"name":"Subdivision","value":"EC"},{"id":4,"name":"Milepost","value":"23.3261"},{"id":17,"name":"Train ID","value":"233-09"},{"id":16,"name":"Locomotive ID","value":"4030"},{"id":130,"name":"Impact","value":""},{"id":150,"name":"Time of Event (Mountain Time)","value":"22:37:57"},{"id":151,"name":"Denver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75"/>
        <v>start /low /b %USERPROFILE%\Documents\GitHub\eaglep3\Utilities\DownloadLogsFromS3.py --loco 4030 --day 2017-06-09</v>
      </c>
      <c r="AN146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04:37:57"},{"id":29,"name":"Sharepoint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817</v>
      </c>
      <c r="B147" s="7">
        <v>4029</v>
      </c>
      <c r="C147" s="21" t="s">
        <v>204</v>
      </c>
      <c r="D147" s="21" t="s">
        <v>430</v>
      </c>
      <c r="E147" s="13">
        <v>42895.953576388885</v>
      </c>
      <c r="F147" s="13">
        <v>42895.956400462965</v>
      </c>
      <c r="G147" s="7">
        <v>0</v>
      </c>
      <c r="H147" s="21" t="s">
        <v>350</v>
      </c>
      <c r="I147" s="13">
        <v>42895.983275462961</v>
      </c>
      <c r="J147" s="7">
        <v>0</v>
      </c>
      <c r="K147" s="92" t="str">
        <f t="shared" si="62"/>
        <v>4029/4030</v>
      </c>
      <c r="L147" s="21" t="str">
        <f>VLOOKUP(A147,'Trips&amp;Operators'!$C$1:$G$99999,5,FALSE)</f>
        <v>BIRENBAUM THOMAS</v>
      </c>
      <c r="M147" s="6">
        <f t="shared" si="63"/>
        <v>2.6874999995925464E-2</v>
      </c>
      <c r="N147" s="7">
        <f t="shared" si="58"/>
        <v>38.699999994132668</v>
      </c>
      <c r="O147" s="7"/>
      <c r="P147" s="7"/>
      <c r="Q147" s="22"/>
      <c r="R147" s="173"/>
      <c r="S147" s="176">
        <f t="shared" si="61"/>
        <v>1</v>
      </c>
      <c r="T147" s="202" t="str">
        <f t="shared" si="64"/>
        <v>Southbound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65"/>
        <v>https://d0f6bd738d7f1b3e5a7ca70fe4ff75f0.us-east-1.aws.found.io/app/kibana#/discover/Steve-Slow-Train-Analysis-(2080s-and-2083s)?_g=(refreshInterval:(display:Off,pause:!f,section:0,value:0),time:(from:'2017-06-09T21:53:09-0600',mode:absolute,to:'2017-06-10T00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7" s="204" t="str">
        <f t="shared" si="66"/>
        <v>N</v>
      </c>
      <c r="X147" s="204">
        <f t="shared" si="67"/>
        <v>1</v>
      </c>
      <c r="Y147" s="204">
        <f t="shared" si="59"/>
        <v>23.297699999999999</v>
      </c>
      <c r="Z147" s="204">
        <f t="shared" si="60"/>
        <v>1.6E-2</v>
      </c>
      <c r="AA147" s="204">
        <f t="shared" si="68"/>
        <v>23.281700000000001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9"/>
        <v>0234-09</v>
      </c>
      <c r="AE147" s="80" t="str">
        <f t="shared" si="70"/>
        <v>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 &amp; 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</v>
      </c>
      <c r="AF147" s="77" t="str">
        <f t="shared" si="71"/>
        <v>"C:\Program Files (x86)\AstroGrep\AstroGrep.exe" /e /r /s /spath="%USERPROFILE%\AppData\Local\Temp\OnboardLogs" /stypes="app*4029*20170610*" /stext=" 05:.+((SYSTEM_STATE.+slice.+state.+changed )|(ment ac)|(multiple cpu faults)|(system.+state.+changed )|(\[timeout)|(PRM\|1\|D)|(kpr)|(kdp)|(train st.+moving)|(\|lc)|(penalty))"</v>
      </c>
      <c r="AG147" s="1" t="str">
        <f t="shared" si="72"/>
        <v>EC</v>
      </c>
      <c r="AH147" s="81" t="str">
        <f t="shared" si="73"/>
        <v>"%USERPROFILE%\Documents\GitHub\eaglep3\Utilities\RefineRTDCRunTimes.py" --tripid 234-09 --locoid 4029 --swversion DE.1.0.9.0 --startMP 204:232977 --initTime 2017-06-09T22:53:09 --startdatetime 2017-06-09T22:57:13 --delay 0 --endMP 204:160 --enddatetime 2017-06-09T23:35:55 --enforcementcount 0 &gt;&gt;C:\Users\stu\Documents\GitHub\eaglep3-reporting\EC\2017-06-09-refined-times.txt</v>
      </c>
      <c r="AI147" s="99" t="str">
        <f t="shared" si="74"/>
        <v>echo {"issue":{"subject":"","project_id":79,"tracker_id":40,"status_id":1,"priority_id":2,"assigned_to_id":23,"start_date":"2017-06-09","description":"","custom_fields":[{"id":1,"name":"Subdivision","value":"EC"},{"id":4,"name":"Milepost","value":"0.016"},{"id":17,"name":"Train ID","value":"234-09"},{"id":16,"name":"Locomotive ID","value":"4029"},{"id":130,"name":"Impact","value":""},{"id":150,"name":"Time of Event (Mountain Time)","value":"23:35:55"},{"id":151,"name":"Denver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75"/>
        <v>start /low /b %USERPROFILE%\Documents\GitHub\eaglep3\Utilities\DownloadLogsFromS3.py --loco 4029 --day 2017-06-09</v>
      </c>
      <c r="AN147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05:35:55"},{"id":29,"name":"Sharepoint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631</v>
      </c>
      <c r="B148" s="7">
        <v>4006</v>
      </c>
      <c r="C148" s="21" t="s">
        <v>204</v>
      </c>
      <c r="D148" s="21" t="s">
        <v>564</v>
      </c>
      <c r="E148" s="13">
        <v>42895.926076388889</v>
      </c>
      <c r="F148" s="13">
        <v>42895.937685185185</v>
      </c>
      <c r="G148" s="7">
        <v>1</v>
      </c>
      <c r="H148" s="21" t="s">
        <v>883</v>
      </c>
      <c r="I148" s="13">
        <v>42895.964212962965</v>
      </c>
      <c r="J148" s="7">
        <v>0</v>
      </c>
      <c r="K148" s="92" t="str">
        <f t="shared" si="62"/>
        <v>4005/4006</v>
      </c>
      <c r="L148" s="21" t="str">
        <f>VLOOKUP(A148,'Trips&amp;Operators'!$C$1:$G$99999,5,FALSE)</f>
        <v>FORTUNATO FRANK</v>
      </c>
      <c r="M148" s="6">
        <f t="shared" si="63"/>
        <v>2.6527777779847383E-2</v>
      </c>
      <c r="N148" s="7">
        <f t="shared" si="58"/>
        <v>38.200000002980232</v>
      </c>
      <c r="O148" s="7"/>
      <c r="P148" s="7"/>
      <c r="Q148" s="22"/>
      <c r="R148" s="173"/>
      <c r="S148" s="176">
        <f t="shared" si="61"/>
        <v>1</v>
      </c>
      <c r="T148" s="202" t="str">
        <f t="shared" si="64"/>
        <v>NorthBound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65"/>
        <v>https://d0f6bd738d7f1b3e5a7ca70fe4ff75f0.us-east-1.aws.found.io/app/kibana#/discover/Steve-Slow-Train-Analysis-(2080s-and-2083s)?_g=(refreshInterval:(display:Off,pause:!f,section:0,value:0),time:(from:'2017-06-09T21:13:33-0600',mode:absolute,to:'2017-06-10T00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8" s="204" t="str">
        <f t="shared" si="66"/>
        <v>N</v>
      </c>
      <c r="X148" s="204">
        <f t="shared" si="67"/>
        <v>1</v>
      </c>
      <c r="Y148" s="204">
        <f t="shared" si="59"/>
        <v>4.7300000000000002E-2</v>
      </c>
      <c r="Z148" s="204">
        <f t="shared" si="60"/>
        <v>23.3322</v>
      </c>
      <c r="AA148" s="204">
        <f t="shared" si="68"/>
        <v>23.2849</v>
      </c>
      <c r="AB148" s="57" t="str">
        <f>VLOOKUP(A148,Enforcements!$C$7:$K$13,8,0)</f>
        <v>Bulletin (2)</v>
      </c>
      <c r="AC148" s="53" t="str">
        <f>VLOOKUP(A148,Enforcements!$C$7:$E$13,3,0)</f>
        <v>GRADE CROSSING</v>
      </c>
      <c r="AD148" s="54" t="str">
        <f t="shared" si="69"/>
        <v>0235-09</v>
      </c>
      <c r="AE148" s="80" t="str">
        <f t="shared" si="70"/>
        <v>aws s3 cp s3://rtdc.mdm.uploadarchive.raw/RTDC4006/ "%USERPROFILE%\AppData\Local\Temp\OnboardLogs"\RTDC4006\2017-06-09 --exclude "*" --recursive --include "*20170609*" &amp; "%USERPROFILE%\Documents\GitHub\mrs-test-scripts\Headless Mode &amp; Sideloading\WalkAndUnGZ.bat" "%USERPROFILE%\AppData\Local\Temp\OnboardLogs"\RTDC4006\2017-06-09 &amp; 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</v>
      </c>
      <c r="AF148" s="77" t="str">
        <f t="shared" si="71"/>
        <v>"C:\Program Files (x86)\AstroGrep\AstroGrep.exe" /e /r /s /spath="%USERPROFILE%\AppData\Local\Temp\OnboardLogs" /stypes="app*4006*20170610*" /stext=" 05:.+((SYSTEM_STATE.+slice.+state.+changed )|(ment ac)|(multiple cpu faults)|(system.+state.+changed )|(\[timeout)|(PRM\|1\|D)|(kpr)|(kdp)|(train st.+moving)|(\|lc)|(penalty))"</v>
      </c>
      <c r="AG148" s="1" t="str">
        <f t="shared" si="72"/>
        <v>EC</v>
      </c>
      <c r="AH148" s="81" t="str">
        <f t="shared" si="73"/>
        <v>"%USERPROFILE%\Documents\GitHub\eaglep3\Utilities\RefineRTDCRunTimes.py" --tripid 235-09 --locoid 4006 --swversion DE.1.0.9.0 --startMP 204:473 --initTime 2017-06-09T22:13:33 --startdatetime 2017-06-09T22:30:16 --delay 1 --endMP 204:233322 --enddatetime 2017-06-09T23:08:28 --enforcementcount 0 &gt;&gt;C:\Users\stu\Documents\GitHub\eaglep3-reporting\EC\2017-06-09-refined-times.txt</v>
      </c>
      <c r="AI148" s="99" t="str">
        <f t="shared" si="74"/>
        <v>echo {"issue":{"subject":"","project_id":79,"tracker_id":40,"status_id":1,"priority_id":2,"assigned_to_id":23,"start_date":"2017-06-09","description":"","custom_fields":[{"id":1,"name":"Subdivision","value":"EC"},{"id":4,"name":"Milepost","value":"23.3322"},{"id":17,"name":"Train ID","value":"235-09"},{"id":16,"name":"Locomotive ID","value":"4006"},{"id":130,"name":"Impact","value":""},{"id":150,"name":"Time of Event (Mountain Time)","value":"23:08:28"},{"id":151,"name":"Denver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75"/>
        <v>start /low /b %USERPROFILE%\Documents\GitHub\eaglep3\Utilities\DownloadLogsFromS3.py --loco 4006 --day 2017-06-09</v>
      </c>
      <c r="AN148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05:08:28"},{"id":29,"name":"Sharepoint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820</v>
      </c>
      <c r="B149" s="7">
        <v>4005</v>
      </c>
      <c r="C149" s="21" t="s">
        <v>204</v>
      </c>
      <c r="D149" s="21" t="s">
        <v>543</v>
      </c>
      <c r="E149" s="13">
        <v>42895.965844907405</v>
      </c>
      <c r="F149" s="13">
        <v>42895.97792824074</v>
      </c>
      <c r="G149" s="7">
        <v>1</v>
      </c>
      <c r="H149" s="21" t="s">
        <v>457</v>
      </c>
      <c r="I149" s="13">
        <v>42896.004884259259</v>
      </c>
      <c r="J149" s="7">
        <v>0</v>
      </c>
      <c r="K149" s="92" t="str">
        <f t="shared" si="62"/>
        <v>4005/4006</v>
      </c>
      <c r="L149" s="21" t="str">
        <f>VLOOKUP(A149,'Trips&amp;Operators'!$C$1:$G$99999,5,FALSE)</f>
        <v>FORTUNATO FRANK</v>
      </c>
      <c r="M149" s="6">
        <f t="shared" si="63"/>
        <v>2.6956018518831115E-2</v>
      </c>
      <c r="N149" s="7">
        <f t="shared" si="58"/>
        <v>38.816666667116806</v>
      </c>
      <c r="O149" s="7"/>
      <c r="P149" s="7"/>
      <c r="Q149" s="22"/>
      <c r="R149" s="173"/>
      <c r="S149" s="176">
        <f t="shared" si="61"/>
        <v>1</v>
      </c>
      <c r="T149" s="202" t="str">
        <f t="shared" si="64"/>
        <v>Southbound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65"/>
        <v>https://d0f6bd738d7f1b3e5a7ca70fe4ff75f0.us-east-1.aws.found.io/app/kibana#/discover/Steve-Slow-Train-Analysis-(2080s-and-2083s)?_g=(refreshInterval:(display:Off,pause:!f,section:0,value:0),time:(from:'2017-06-09T22:10:49-0600',mode:absolute,to:'2017-06-10T01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9" s="204" t="str">
        <f t="shared" si="66"/>
        <v>N</v>
      </c>
      <c r="X149" s="204">
        <f t="shared" si="67"/>
        <v>1</v>
      </c>
      <c r="Y149" s="204">
        <f t="shared" si="59"/>
        <v>23.3005</v>
      </c>
      <c r="Z149" s="204">
        <f t="shared" si="60"/>
        <v>1.5599999999999999E-2</v>
      </c>
      <c r="AA149" s="204">
        <f t="shared" si="68"/>
        <v>23.2849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9"/>
        <v>0236-09</v>
      </c>
      <c r="AE149" s="80" t="str">
        <f t="shared" si="70"/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AF149" s="77" t="str">
        <f t="shared" si="71"/>
        <v>"C:\Program Files (x86)\AstroGrep\AstroGrep.exe" /e /r /s /spath="%USERPROFILE%\AppData\Local\Temp\OnboardLogs" /stypes="app*4005*20170610*" /stext=" 06:.+((SYSTEM_STATE.+slice.+state.+changed )|(ment ac)|(multiple cpu faults)|(system.+state.+changed )|(\[timeout)|(PRM\|1\|D)|(kpr)|(kdp)|(train st.+moving)|(\|lc)|(penalty))"</v>
      </c>
      <c r="AG149" s="1" t="str">
        <f t="shared" si="72"/>
        <v>EC</v>
      </c>
      <c r="AH149" s="81" t="str">
        <f t="shared" si="73"/>
        <v>"%USERPROFILE%\Documents\GitHub\eaglep3\Utilities\RefineRTDCRunTimes.py" --tripid 236-09 --locoid 4005 --swversion DE.1.0.9.0 --startMP 204:233005 --initTime 2017-06-09T23:10:49 --startdatetime 2017-06-09T23:28:13 --delay 1 --endMP 204:156 --enddatetime 2017-06-10T00:07:02 --enforcementcount 0 &gt;&gt;C:\Users\stu\Documents\GitHub\eaglep3-reporting\EC\2017-06-09-refined-times.txt</v>
      </c>
      <c r="AI149" s="99" t="str">
        <f t="shared" si="74"/>
        <v>echo {"issue":{"subject":"","project_id":79,"tracker_id":40,"status_id":1,"priority_id":2,"assigned_to_id":23,"start_date":"2017-06-10","description":"","custom_fields":[{"id":1,"name":"Subdivision","value":"EC"},{"id":4,"name":"Milepost","value":"0.0156"},{"id":17,"name":"Train ID","value":"236-09"},{"id":16,"name":"Locomotive ID","value":"4005"},{"id":130,"name":"Impact","value":""},{"id":150,"name":"Time of Event (Mountain Time)","value":"00:07:02"},{"id":151,"name":"Denver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75"/>
        <v>start /low /b %USERPROFILE%\Documents\GitHub\eaglep3\Utilities\DownloadLogsFromS3.py --loco 4005 --day 2017-06-09</v>
      </c>
      <c r="AN149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06:07:02"},{"id":29,"name":"Sharepoint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818</v>
      </c>
      <c r="B150" s="7">
        <v>4022</v>
      </c>
      <c r="C150" s="21" t="s">
        <v>204</v>
      </c>
      <c r="D150" s="21" t="s">
        <v>872</v>
      </c>
      <c r="E150" s="13">
        <v>42895.953449074077</v>
      </c>
      <c r="F150" s="13">
        <v>42895.958680555559</v>
      </c>
      <c r="G150" s="7">
        <v>5</v>
      </c>
      <c r="H150" s="21" t="s">
        <v>884</v>
      </c>
      <c r="I150" s="13">
        <v>42895.9844212963</v>
      </c>
      <c r="J150" s="7">
        <v>0</v>
      </c>
      <c r="K150" s="92" t="str">
        <f t="shared" si="62"/>
        <v>4021/4022</v>
      </c>
      <c r="L150" s="21" t="str">
        <f>VLOOKUP(A150,'Trips&amp;Operators'!$C$1:$G$99999,5,FALSE)</f>
        <v>ZEWDU DEREJE</v>
      </c>
      <c r="M150" s="6">
        <f t="shared" si="63"/>
        <v>2.5740740740729962E-2</v>
      </c>
      <c r="N150" s="7">
        <f t="shared" si="58"/>
        <v>37.066666666651145</v>
      </c>
      <c r="O150" s="7"/>
      <c r="P150" s="7"/>
      <c r="Q150" s="22"/>
      <c r="R150" s="173"/>
      <c r="S150" s="176">
        <f t="shared" si="61"/>
        <v>1</v>
      </c>
      <c r="T150" s="202" t="str">
        <f t="shared" si="64"/>
        <v>NorthBound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65"/>
        <v>https://d0f6bd738d7f1b3e5a7ca70fe4ff75f0.us-east-1.aws.found.io/app/kibana#/discover/Steve-Slow-Train-Analysis-(2080s-and-2083s)?_g=(refreshInterval:(display:Off,pause:!f,section:0,value:0),time:(from:'2017-06-09T21:52:58-0600',mode:absolute,to:'2017-06-10T00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0" s="204" t="str">
        <f t="shared" si="66"/>
        <v>N</v>
      </c>
      <c r="X150" s="204">
        <f t="shared" si="67"/>
        <v>1</v>
      </c>
      <c r="Y150" s="204">
        <f t="shared" si="59"/>
        <v>4.8399999999999999E-2</v>
      </c>
      <c r="Z150" s="204">
        <f t="shared" si="60"/>
        <v>23.334399999999999</v>
      </c>
      <c r="AA150" s="204">
        <f t="shared" si="68"/>
        <v>23.285999999999998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9"/>
        <v>0237-09</v>
      </c>
      <c r="AE150" s="80" t="str">
        <f t="shared" si="70"/>
        <v>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 &amp; 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</v>
      </c>
      <c r="AF150" s="77" t="str">
        <f t="shared" si="71"/>
        <v>"C:\Program Files (x86)\AstroGrep\AstroGrep.exe" /e /r /s /spath="%USERPROFILE%\AppData\Local\Temp\OnboardLogs" /stypes="app*4022*20170610*" /stext=" 05:.+((SYSTEM_STATE.+slice.+state.+changed )|(ment ac)|(multiple cpu faults)|(system.+state.+changed )|(\[timeout)|(PRM\|1\|D)|(kpr)|(kdp)|(train st.+moving)|(\|lc)|(penalty))"</v>
      </c>
      <c r="AG150" s="1" t="str">
        <f t="shared" si="72"/>
        <v>EC</v>
      </c>
      <c r="AH150" s="81" t="str">
        <f t="shared" si="73"/>
        <v>"%USERPROFILE%\Documents\GitHub\eaglep3\Utilities\RefineRTDCRunTimes.py" --tripid 237-09 --locoid 4022 --swversion DE.1.0.9.0 --startMP 204:484 --initTime 2017-06-09T22:52:58 --startdatetime 2017-06-09T23:00:30 --delay 5 --endMP 204:233344 --enddatetime 2017-06-09T23:37:34 --enforcementcount 0 &gt;&gt;C:\Users\stu\Documents\GitHub\eaglep3-reporting\EC\2017-06-09-refined-times.txt</v>
      </c>
      <c r="AI150" s="99" t="str">
        <f t="shared" si="74"/>
        <v>echo {"issue":{"subject":"","project_id":79,"tracker_id":40,"status_id":1,"priority_id":2,"assigned_to_id":23,"start_date":"2017-06-09","description":"","custom_fields":[{"id":1,"name":"Subdivision","value":"EC"},{"id":4,"name":"Milepost","value":"23.3344"},{"id":17,"name":"Train ID","value":"237-09"},{"id":16,"name":"Locomotive ID","value":"4022"},{"id":130,"name":"Impact","value":""},{"id":150,"name":"Time of Event (Mountain Time)","value":"23:37:34"},{"id":151,"name":"Denver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75"/>
        <v>start /low /b %USERPROFILE%\Documents\GitHub\eaglep3\Utilities\DownloadLogsFromS3.py --loco 4022 --day 2017-06-09</v>
      </c>
      <c r="AN150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05:37:34"},{"id":29,"name":"Sharepoint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633</v>
      </c>
      <c r="B151" s="7">
        <v>4021</v>
      </c>
      <c r="C151" s="21" t="s">
        <v>204</v>
      </c>
      <c r="D151" s="21" t="s">
        <v>885</v>
      </c>
      <c r="E151" s="13">
        <v>42895.991805555554</v>
      </c>
      <c r="F151" s="13">
        <v>42895.998252314814</v>
      </c>
      <c r="G151" s="7">
        <v>1</v>
      </c>
      <c r="H151" s="21" t="s">
        <v>886</v>
      </c>
      <c r="I151" s="13">
        <v>42896.026018518518</v>
      </c>
      <c r="J151" s="7">
        <v>0</v>
      </c>
      <c r="K151" s="92" t="str">
        <f t="shared" si="62"/>
        <v>4021/4022</v>
      </c>
      <c r="L151" s="21" t="str">
        <f>VLOOKUP(A151,'Trips&amp;Operators'!$C$1:$G$99999,5,FALSE)</f>
        <v>LAMAR NEKESHA</v>
      </c>
      <c r="M151" s="6">
        <f t="shared" si="63"/>
        <v>2.7766203704231884E-2</v>
      </c>
      <c r="N151" s="7">
        <f t="shared" si="58"/>
        <v>39.983333334093913</v>
      </c>
      <c r="O151" s="7"/>
      <c r="P151" s="7"/>
      <c r="Q151" s="22"/>
      <c r="R151" s="173"/>
      <c r="S151" s="176">
        <f t="shared" si="61"/>
        <v>1</v>
      </c>
      <c r="T151" s="202" t="str">
        <f t="shared" si="64"/>
        <v>Southbound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65"/>
        <v>https://d0f6bd738d7f1b3e5a7ca70fe4ff75f0.us-east-1.aws.found.io/app/kibana#/discover/Steve-Slow-Train-Analysis-(2080s-and-2083s)?_g=(refreshInterval:(display:Off,pause:!f,section:0,value:0),time:(from:'2017-06-09T22:48:12-0600',mode:absolute,to:'2017-06-10T01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1" s="204" t="str">
        <f t="shared" si="66"/>
        <v>N</v>
      </c>
      <c r="X151" s="204">
        <f t="shared" si="67"/>
        <v>1</v>
      </c>
      <c r="Y151" s="204">
        <f t="shared" si="59"/>
        <v>23.300999999999998</v>
      </c>
      <c r="Z151" s="204">
        <f t="shared" si="60"/>
        <v>9.2200000000000004E-2</v>
      </c>
      <c r="AA151" s="204">
        <f t="shared" si="68"/>
        <v>23.2088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9"/>
        <v>0238-09</v>
      </c>
      <c r="AE151" s="80" t="str">
        <f t="shared" si="70"/>
        <v>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 &amp; 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</v>
      </c>
      <c r="AF151" s="77" t="str">
        <f t="shared" si="71"/>
        <v>"C:\Program Files (x86)\AstroGrep\AstroGrep.exe" /e /r /s /spath="%USERPROFILE%\AppData\Local\Temp\OnboardLogs" /stypes="app*4021*20170610*" /stext=" 06:.+((SYSTEM_STATE.+slice.+state.+changed )|(ment ac)|(multiple cpu faults)|(system.+state.+changed )|(\[timeout)|(PRM\|1\|D)|(kpr)|(kdp)|(train st.+moving)|(\|lc)|(penalty))"</v>
      </c>
      <c r="AG151" s="1" t="str">
        <f t="shared" si="72"/>
        <v>EC</v>
      </c>
      <c r="AH151" s="81" t="str">
        <f t="shared" si="73"/>
        <v>"%USERPROFILE%\Documents\GitHub\eaglep3\Utilities\RefineRTDCRunTimes.py" --tripid 238-09 --locoid 4021 --swversion DE.1.0.9.0 --startMP 204:233010 --initTime 2017-06-09T23:48:12 --startdatetime 2017-06-09T23:57:29 --delay 1 --endMP 204:922 --enddatetime 2017-06-10T00:37:28 --enforcementcount 0 &gt;&gt;C:\Users\stu\Documents\GitHub\eaglep3-reporting\EC\2017-06-09-refined-times.txt</v>
      </c>
      <c r="AI151" s="99" t="str">
        <f t="shared" si="74"/>
        <v>echo {"issue":{"subject":"","project_id":79,"tracker_id":40,"status_id":1,"priority_id":2,"assigned_to_id":23,"start_date":"2017-06-10","description":"","custom_fields":[{"id":1,"name":"Subdivision","value":"EC"},{"id":4,"name":"Milepost","value":"0.0922"},{"id":17,"name":"Train ID","value":"238-09"},{"id":16,"name":"Locomotive ID","value":"4021"},{"id":130,"name":"Impact","value":""},{"id":150,"name":"Time of Event (Mountain Time)","value":"00:37:28"},{"id":151,"name":"Denver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75"/>
        <v>start /low /b %USERPROFILE%\Documents\GitHub\eaglep3\Utilities\DownloadLogsFromS3.py --loco 4021 --day 2017-06-09</v>
      </c>
      <c r="AN151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06:37:28"},{"id":29,"name":"Sharepoint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822</v>
      </c>
      <c r="B152" s="7">
        <v>4046</v>
      </c>
      <c r="C152" s="21" t="s">
        <v>204</v>
      </c>
      <c r="D152" s="21" t="s">
        <v>200</v>
      </c>
      <c r="E152" s="13">
        <v>42895.974861111114</v>
      </c>
      <c r="F152" s="13">
        <v>42895.979351851849</v>
      </c>
      <c r="G152" s="7">
        <v>1</v>
      </c>
      <c r="H152" s="21" t="s">
        <v>866</v>
      </c>
      <c r="I152" s="13">
        <v>42896.003923611112</v>
      </c>
      <c r="J152" s="7">
        <v>0</v>
      </c>
      <c r="K152" s="92" t="str">
        <f t="shared" si="62"/>
        <v>4045/4046</v>
      </c>
      <c r="L152" s="21" t="str">
        <f>VLOOKUP(A152,'Trips&amp;Operators'!$C$1:$G$99999,5,FALSE)</f>
        <v>HELVIE ADAM</v>
      </c>
      <c r="M152" s="6">
        <f t="shared" si="63"/>
        <v>2.457175926247146E-2</v>
      </c>
      <c r="N152" s="7">
        <f t="shared" si="58"/>
        <v>35.383333337958902</v>
      </c>
      <c r="O152" s="7"/>
      <c r="P152" s="7"/>
      <c r="Q152" s="22"/>
      <c r="R152" s="173"/>
      <c r="S152" s="176">
        <f t="shared" si="61"/>
        <v>1</v>
      </c>
      <c r="T152" s="202" t="str">
        <f t="shared" si="64"/>
        <v>NorthBound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65"/>
        <v>https://d0f6bd738d7f1b3e5a7ca70fe4ff75f0.us-east-1.aws.found.io/app/kibana#/discover/Steve-Slow-Train-Analysis-(2080s-and-2083s)?_g=(refreshInterval:(display:Off,pause:!f,section:0,value:0),time:(from:'2017-06-09T22:23:48-0600',mode:absolute,to:'2017-06-10T01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204" t="str">
        <f t="shared" si="66"/>
        <v>N</v>
      </c>
      <c r="X152" s="204">
        <f t="shared" si="67"/>
        <v>1</v>
      </c>
      <c r="Y152" s="204">
        <f t="shared" si="59"/>
        <v>4.5699999999999998E-2</v>
      </c>
      <c r="Z152" s="204">
        <f t="shared" si="60"/>
        <v>23.328399999999998</v>
      </c>
      <c r="AA152" s="204">
        <f t="shared" si="68"/>
        <v>23.282699999999998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9"/>
        <v>0239-09</v>
      </c>
      <c r="AE152" s="80" t="str">
        <f t="shared" si="70"/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AF152" s="77" t="str">
        <f t="shared" si="71"/>
        <v>"C:\Program Files (x86)\AstroGrep\AstroGrep.exe" /e /r /s /spath="%USERPROFILE%\AppData\Local\Temp\OnboardLogs" /stypes="app*4046*20170610*" /stext=" 06:.+((SYSTEM_STATE.+slice.+state.+changed )|(ment ac)|(multiple cpu faults)|(system.+state.+changed )|(\[timeout)|(PRM\|1\|D)|(kpr)|(kdp)|(train st.+moving)|(\|lc)|(penalty))"</v>
      </c>
      <c r="AG152" s="1" t="str">
        <f t="shared" si="72"/>
        <v>EC</v>
      </c>
      <c r="AH152" s="81" t="str">
        <f t="shared" si="73"/>
        <v>"%USERPROFILE%\Documents\GitHub\eaglep3\Utilities\RefineRTDCRunTimes.py" --tripid 239-09 --locoid 4046 --swversion DE.1.0.9.0 --startMP 204:457 --initTime 2017-06-09T23:23:48 --startdatetime 2017-06-09T23:30:16 --delay 1 --endMP 204:233284 --enddatetime 2017-06-10T00:05:39 --enforcementcount 0 &gt;&gt;C:\Users\stu\Documents\GitHub\eaglep3-reporting\EC\2017-06-09-refined-times.txt</v>
      </c>
      <c r="AI152" s="99" t="str">
        <f t="shared" si="74"/>
        <v>echo {"issue":{"subject":"","project_id":79,"tracker_id":40,"status_id":1,"priority_id":2,"assigned_to_id":23,"start_date":"2017-06-10","description":"","custom_fields":[{"id":1,"name":"Subdivision","value":"EC"},{"id":4,"name":"Milepost","value":"23.3284"},{"id":17,"name":"Train ID","value":"239-09"},{"id":16,"name":"Locomotive ID","value":"4046"},{"id":130,"name":"Impact","value":""},{"id":150,"name":"Time of Event (Mountain Time)","value":"00:05:39"},{"id":151,"name":"Denver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75"/>
        <v>start /low /b %USERPROFILE%\Documents\GitHub\eaglep3\Utilities\DownloadLogsFromS3.py --loco 4046 --day 2017-06-09</v>
      </c>
      <c r="AN152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06:05:39"},{"id":29,"name":"Sharepoint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634</v>
      </c>
      <c r="B153" s="7">
        <v>4045</v>
      </c>
      <c r="C153" s="21" t="s">
        <v>204</v>
      </c>
      <c r="D153" s="21" t="s">
        <v>887</v>
      </c>
      <c r="E153" s="13">
        <v>42896.014421296299</v>
      </c>
      <c r="F153" s="13">
        <v>42896.01902777778</v>
      </c>
      <c r="G153" s="7">
        <v>1</v>
      </c>
      <c r="H153" s="21" t="s">
        <v>457</v>
      </c>
      <c r="I153" s="13">
        <v>42896.048263888886</v>
      </c>
      <c r="J153" s="7">
        <v>0</v>
      </c>
      <c r="K153" s="92" t="str">
        <f t="shared" si="62"/>
        <v>4045/4046</v>
      </c>
      <c r="L153" s="21" t="str">
        <f>VLOOKUP(A153,'Trips&amp;Operators'!$C$1:$G$99999,5,FALSE)</f>
        <v>HELVIE ADAM</v>
      </c>
      <c r="M153" s="6">
        <f t="shared" si="63"/>
        <v>2.9236111106001772E-2</v>
      </c>
      <c r="N153" s="7">
        <f t="shared" si="58"/>
        <v>42.099999992642552</v>
      </c>
      <c r="O153" s="7"/>
      <c r="P153" s="7"/>
      <c r="Q153" s="22"/>
      <c r="R153" s="173"/>
      <c r="S153" s="176">
        <f t="shared" si="61"/>
        <v>1</v>
      </c>
      <c r="T153" s="202" t="str">
        <f t="shared" si="64"/>
        <v>Southbound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65"/>
        <v>https://d0f6bd738d7f1b3e5a7ca70fe4ff75f0.us-east-1.aws.found.io/app/kibana#/discover/Steve-Slow-Train-Analysis-(2080s-and-2083s)?_g=(refreshInterval:(display:Off,pause:!f,section:0,value:0),time:(from:'2017-06-09T23:20:46-0600',mode:absolute,to:'2017-06-10T02:09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204" t="str">
        <f t="shared" si="66"/>
        <v>N</v>
      </c>
      <c r="X153" s="204">
        <f t="shared" si="67"/>
        <v>1</v>
      </c>
      <c r="Y153" s="204">
        <f t="shared" si="59"/>
        <v>23.2957</v>
      </c>
      <c r="Z153" s="204">
        <f t="shared" si="60"/>
        <v>1.5599999999999999E-2</v>
      </c>
      <c r="AA153" s="204">
        <f t="shared" si="68"/>
        <v>23.280100000000001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9"/>
        <v>0240-09</v>
      </c>
      <c r="AE153" s="80" t="str">
        <f t="shared" si="70"/>
        <v>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 &amp; aws s3 cp s3://rtdc.mdm.uploadarchive.raw/RTDC4045/ "%USERPROFILE%\AppData\Local\Temp\OnboardLogs"\RTDC4045\2017-06-11 --exclude "*" --recursive --include "*20170611*" &amp; "%USERPROFILE%\Documents\GitHub\mrs-test-scripts\Headless Mode &amp; Sideloading\WalkAndUnGZ.bat" "%USERPROFILE%\AppData\Local\Temp\OnboardLogs"\RTDC4045\2017-06-11</v>
      </c>
      <c r="AF153" s="77" t="str">
        <f t="shared" si="71"/>
        <v>"C:\Program Files (x86)\AstroGrep\AstroGrep.exe" /e /r /s /spath="%USERPROFILE%\AppData\Local\Temp\OnboardLogs" /stypes="app*4045*20170610*" /stext=" 07:.+((SYSTEM_STATE.+slice.+state.+changed )|(ment ac)|(multiple cpu faults)|(system.+state.+changed )|(\[timeout)|(PRM\|1\|D)|(kpr)|(kdp)|(train st.+moving)|(\|lc)|(penalty))"</v>
      </c>
      <c r="AG153" s="1" t="str">
        <f t="shared" si="72"/>
        <v>EC</v>
      </c>
      <c r="AH153" s="81" t="str">
        <f t="shared" si="73"/>
        <v>"%USERPROFILE%\Documents\GitHub\eaglep3\Utilities\RefineRTDCRunTimes.py" --tripid 240-09 --locoid 4045 --swversion DE.1.0.9.0 --startMP 204:232957 --initTime 2017-06-10T00:20:46 --startdatetime 2017-06-10T00:27:24 --delay 1 --endMP 204:156 --enddatetime 2017-06-10T01:09:30 --enforcementcount 0 &gt;&gt;C:\Users\stu\Documents\GitHub\eaglep3-reporting\EC\2017-06-09-refined-times.txt</v>
      </c>
      <c r="AI153" s="99" t="str">
        <f t="shared" si="74"/>
        <v>echo {"issue":{"subject":"","project_id":79,"tracker_id":40,"status_id":1,"priority_id":2,"assigned_to_id":23,"start_date":"2017-06-10","description":"","custom_fields":[{"id":1,"name":"Subdivision","value":"EC"},{"id":4,"name":"Milepost","value":"0.0156"},{"id":17,"name":"Train ID","value":"240-09"},{"id":16,"name":"Locomotive ID","value":"4045"},{"id":130,"name":"Impact","value":""},{"id":150,"name":"Time of Event (Mountain Time)","value":"01:09:30"},{"id":151,"name":"Denver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75"/>
        <v>start /low /b %USERPROFILE%\Documents\GitHub\eaglep3\Utilities\DownloadLogsFromS3.py --loco 4045 --day 2017-06-10</v>
      </c>
      <c r="AN153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07:09:30"},{"id":29,"name":"Sharepoint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632</v>
      </c>
      <c r="B154" s="7">
        <v>4030</v>
      </c>
      <c r="C154" s="21" t="s">
        <v>204</v>
      </c>
      <c r="D154" s="21" t="s">
        <v>516</v>
      </c>
      <c r="E154" s="13">
        <v>42895.995567129627</v>
      </c>
      <c r="F154" s="13">
        <v>42895.996469907404</v>
      </c>
      <c r="G154" s="7">
        <v>1</v>
      </c>
      <c r="H154" s="21" t="s">
        <v>888</v>
      </c>
      <c r="I154" s="13">
        <v>42896.009942129633</v>
      </c>
      <c r="J154" s="7">
        <v>2</v>
      </c>
      <c r="K154" s="92" t="str">
        <f t="shared" si="62"/>
        <v>4029/4030</v>
      </c>
      <c r="L154" s="21" t="str">
        <f>VLOOKUP(A154,'Trips&amp;Operators'!$C$1:$G$99999,5,FALSE)</f>
        <v>BIRENBAUM THOMAS</v>
      </c>
      <c r="M154" s="6">
        <f t="shared" si="63"/>
        <v>1.3472222228301689E-2</v>
      </c>
      <c r="N154" s="7"/>
      <c r="O154" s="7"/>
      <c r="P154" s="7">
        <f>24*60*SUM($M154:$M155)</f>
        <v>42.666666676523164</v>
      </c>
      <c r="Q154" s="22"/>
      <c r="R154" s="173" t="s">
        <v>418</v>
      </c>
      <c r="S154" s="176">
        <f>SUM(U154:U155)/IF(AG154="EC",12,1)</f>
        <v>1</v>
      </c>
      <c r="T154" s="202" t="str">
        <f t="shared" si="64"/>
        <v>NorthBound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9</v>
      </c>
      <c r="V154" s="203" t="str">
        <f t="shared" si="65"/>
        <v>https://d0f6bd738d7f1b3e5a7ca70fe4ff75f0.us-east-1.aws.found.io/app/kibana#/discover/Steve-Slow-Train-Analysis-(2080s-and-2083s)?_g=(refreshInterval:(display:Off,pause:!f,section:0,value:0),time:(from:'2017-06-09T22:53:37-0600',mode:absolute,to:'2017-06-10T01:14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4" s="204" t="str">
        <f t="shared" si="66"/>
        <v>Y</v>
      </c>
      <c r="X154" s="204">
        <f t="shared" si="67"/>
        <v>1</v>
      </c>
      <c r="Y154" s="204">
        <f t="shared" si="59"/>
        <v>4.7500000000000001E-2</v>
      </c>
      <c r="Z154" s="204">
        <f t="shared" si="60"/>
        <v>6.4433999999999996</v>
      </c>
      <c r="AA154" s="204">
        <f t="shared" si="68"/>
        <v>6.3958999999999993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9"/>
        <v>0241-09</v>
      </c>
      <c r="AE154" s="80" t="str">
        <f t="shared" si="70"/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AF154" s="77" t="str">
        <f t="shared" si="71"/>
        <v>"C:\Program Files (x86)\AstroGrep\AstroGrep.exe" /e /r /s /spath="%USERPROFILE%\AppData\Local\Temp\OnboardLogs" /stypes="app*4030*20170610*" /stext=" 06:.+((SYSTEM_STATE.+slice.+state.+changed )|(ment ac)|(multiple cpu faults)|(system.+state.+changed )|(\[timeout)|(PRM\|1\|D)|(kpr)|(kdp)|(train st.+moving)|(\|lc)|(penalty))"</v>
      </c>
      <c r="AG154" s="1" t="str">
        <f t="shared" si="72"/>
        <v>EC</v>
      </c>
      <c r="AH154" s="81" t="str">
        <f t="shared" si="73"/>
        <v>"%USERPROFILE%\Documents\GitHub\eaglep3\Utilities\RefineRTDCRunTimes.py" --tripid 241-09 --locoid 4030 --swversion DE.1.0.9.0 --startMP 204:475 --initTime 2017-06-09T23:53:37 --startdatetime 2017-06-09T23:54:55 --delay 1 --endMP 204:64434 --enddatetime 2017-06-10T00:14:19 --enforcementcount 2 &gt;&gt;C:\Users\stu\Documents\GitHub\eaglep3-reporting\EC\2017-06-09-refined-times.txt</v>
      </c>
      <c r="AI154" s="99" t="str">
        <f t="shared" si="74"/>
        <v>echo {"issue":{"subject":"Wi-MAX data drop","project_id":79,"tracker_id":40,"status_id":1,"priority_id":2,"assigned_to_id":23,"start_date":"2017-06-10","description":"","custom_fields":[{"id":1,"name":"Subdivision","value":"EC"},{"id":4,"name":"Milepost","value":"6.4434"},{"id":17,"name":"Train ID","value":"241-09"},{"id":16,"name":"Locomotive ID","value":"4030"},{"id":130,"name":"Impact","value":""},{"id":150,"name":"Time of Event (Mountain Time)","value":"00:14:19"},{"id":151,"name":"Denver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75"/>
        <v>start /low /b %USERPROFILE%\Documents\GitHub\eaglep3\Utilities\DownloadLogsFromS3.py --loco 4030 --day 2017-06-09</v>
      </c>
      <c r="AN154" s="154" t="str">
        <f t="shared" si="76"/>
        <v>echo {"issue":{"subject":"Wi-MAX data drop","project_id":30,"tracker_id":4,"status_id":1,"priority_id":1,"assigned_to_id":10,"start_date":"2017-06-10","description":"","custom_fields":[{"id":30,"name":"Category","value":"Issue"},{"id":3,"name":"Functional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06:14:19"},{"id":29,"name":"Sharepoint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632</v>
      </c>
      <c r="B155" s="7">
        <v>4030</v>
      </c>
      <c r="C155" s="21" t="s">
        <v>204</v>
      </c>
      <c r="D155" s="21" t="s">
        <v>889</v>
      </c>
      <c r="E155" s="13">
        <v>42896.011377314811</v>
      </c>
      <c r="F155" s="13">
        <v>42896.012118055558</v>
      </c>
      <c r="G155" s="7">
        <v>1</v>
      </c>
      <c r="H155" s="21" t="s">
        <v>537</v>
      </c>
      <c r="I155" s="13">
        <v>42896.028275462966</v>
      </c>
      <c r="J155" s="7">
        <v>0</v>
      </c>
      <c r="K155" s="92" t="str">
        <f t="shared" si="62"/>
        <v>4029/4030</v>
      </c>
      <c r="L155" s="21" t="str">
        <f>VLOOKUP(A155,'Trips&amp;Operators'!$C$1:$G$99999,5,FALSE)</f>
        <v>BIRENBAUM THOMAS</v>
      </c>
      <c r="M155" s="6">
        <f t="shared" si="63"/>
        <v>1.615740740817273E-2</v>
      </c>
      <c r="N155" s="7"/>
      <c r="O155" s="7"/>
      <c r="P155" s="7"/>
      <c r="Q155" s="22"/>
      <c r="R155" s="173"/>
      <c r="S155" s="176"/>
      <c r="T155" s="202" t="str">
        <f t="shared" si="64"/>
        <v>NorthBound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3</v>
      </c>
      <c r="V155" s="203" t="str">
        <f t="shared" si="65"/>
        <v>https://d0f6bd738d7f1b3e5a7ca70fe4ff75f0.us-east-1.aws.found.io/app/kibana#/discover/Steve-Slow-Train-Analysis-(2080s-and-2083s)?_g=(refreshInterval:(display:Off,pause:!f,section:0,value:0),time:(from:'2017-06-09T23:16:23-0600',mode:absolute,to:'2017-06-10T01:40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5" s="204" t="str">
        <f t="shared" si="66"/>
        <v>Y</v>
      </c>
      <c r="X155" s="204">
        <f t="shared" si="67"/>
        <v>0</v>
      </c>
      <c r="Y155" s="204">
        <f t="shared" si="59"/>
        <v>6.4715999999999996</v>
      </c>
      <c r="Z155" s="204">
        <f t="shared" si="60"/>
        <v>23.331800000000001</v>
      </c>
      <c r="AA155" s="204">
        <f t="shared" si="68"/>
        <v>16.860200000000003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9"/>
        <v>0241-09</v>
      </c>
      <c r="AE155" s="80" t="str">
        <f t="shared" si="70"/>
        <v>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 &amp; aws s3 cp s3://rtdc.mdm.uploadarchive.raw/RTDC4030/ "%USERPROFILE%\AppData\Local\Temp\OnboardLogs"\RTDC4030\2017-06-11 --exclude "*" --recursive --include "*20170611*" &amp; "%USERPROFILE%\Documents\GitHub\mrs-test-scripts\Headless Mode &amp; Sideloading\WalkAndUnGZ.bat" "%USERPROFILE%\AppData\Local\Temp\OnboardLogs"\RTDC4030\2017-06-11</v>
      </c>
      <c r="AF155" s="77" t="str">
        <f t="shared" si="71"/>
        <v>"C:\Program Files (x86)\AstroGrep\AstroGrep.exe" /e /r /s /spath="%USERPROFILE%\AppData\Local\Temp\OnboardLogs" /stypes="app*4030*20170610*" /stext=" 06:.+((SYSTEM_STATE.+slice.+state.+changed )|(ment ac)|(multiple cpu faults)|(system.+state.+changed )|(\[timeout)|(PRM\|1\|D)|(kpr)|(kdp)|(train st.+moving)|(\|lc)|(penalty))"</v>
      </c>
      <c r="AG155" s="1" t="str">
        <f t="shared" si="72"/>
        <v>EC</v>
      </c>
      <c r="AH155" s="81" t="str">
        <f t="shared" si="73"/>
        <v>"%USERPROFILE%\Documents\GitHub\eaglep3\Utilities\RefineRTDCRunTimes.py" --tripid 241-09 --locoid 4030 --swversion DE.1.0.9.0 --startMP 204:64716 --initTime 2017-06-10T00:16:23 --startdatetime 2017-06-10T00:17:27 --delay 1 --endMP 204:233318 --enddatetime 2017-06-10T00:40:43 --enforcementcount 0 &gt;&gt;C:\Users\stu\Documents\GitHub\eaglep3-reporting\EC\2017-06-09-refined-times.txt</v>
      </c>
      <c r="AI155" s="99" t="str">
        <f t="shared" si="74"/>
        <v>echo {"issue":{"subject":"","project_id":79,"tracker_id":40,"status_id":1,"priority_id":2,"assigned_to_id":23,"start_date":"2017-06-10","description":"","custom_fields":[{"id":1,"name":"Subdivision","value":"EC"},{"id":4,"name":"Milepost","value":"23.3318"},{"id":17,"name":"Train ID","value":"241-09"},{"id":16,"name":"Locomotive ID","value":"4030"},{"id":130,"name":"Impact","value":""},{"id":150,"name":"Time of Event (Mountain Time)","value":"00:40:43"},{"id":151,"name":"Denver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75"/>
        <v>start /low /b %USERPROFILE%\Documents\GitHub\eaglep3\Utilities\DownloadLogsFromS3.py --loco 4030 --day 2017-06-10</v>
      </c>
      <c r="AN155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06:40:43"},{"id":29,"name":"Sharepoint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635</v>
      </c>
      <c r="B156" s="7">
        <v>4029</v>
      </c>
      <c r="C156" s="21" t="s">
        <v>204</v>
      </c>
      <c r="D156" s="21" t="s">
        <v>512</v>
      </c>
      <c r="E156" s="13">
        <v>42896.035381944443</v>
      </c>
      <c r="F156" s="13">
        <v>42896.039733796293</v>
      </c>
      <c r="G156" s="7">
        <v>1</v>
      </c>
      <c r="H156" s="21" t="s">
        <v>890</v>
      </c>
      <c r="I156" s="13">
        <v>42896.065358796295</v>
      </c>
      <c r="J156" s="7">
        <v>0</v>
      </c>
      <c r="K156" s="92" t="str">
        <f t="shared" si="62"/>
        <v>4029/4030</v>
      </c>
      <c r="L156" s="21" t="str">
        <f>VLOOKUP(A156,'Trips&amp;Operators'!$C$1:$G$99999,5,FALSE)</f>
        <v>BIRENBAUM THOMAS</v>
      </c>
      <c r="M156" s="6">
        <f t="shared" si="63"/>
        <v>2.5625000002037268E-2</v>
      </c>
      <c r="N156" s="7">
        <f t="shared" ref="N156:N187" si="77">24*60*SUM($M156:$M156)</f>
        <v>36.900000002933666</v>
      </c>
      <c r="O156" s="7"/>
      <c r="P156" s="7"/>
      <c r="Q156" s="22"/>
      <c r="R156" s="173"/>
      <c r="S156" s="176">
        <f t="shared" ref="S156:S187" si="78">SUM(U156:U156)/IF(AG156="EC",12,1)</f>
        <v>1</v>
      </c>
      <c r="T156" s="202" t="str">
        <f t="shared" si="64"/>
        <v>Southbound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65"/>
        <v>https://d0f6bd738d7f1b3e5a7ca70fe4ff75f0.us-east-1.aws.found.io/app/kibana#/discover/Steve-Slow-Train-Analysis-(2080s-and-2083s)?_g=(refreshInterval:(display:Off,pause:!f,section:0,value:0),time:(from:'2017-06-09T23:50:57-0600',mode:absolute,to:'2017-06-10T02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6" s="204" t="str">
        <f t="shared" si="66"/>
        <v>N</v>
      </c>
      <c r="X156" s="204">
        <f t="shared" si="67"/>
        <v>1</v>
      </c>
      <c r="Y156" s="204">
        <f t="shared" si="59"/>
        <v>23.2971</v>
      </c>
      <c r="Z156" s="204">
        <f t="shared" si="60"/>
        <v>1.7000000000000001E-2</v>
      </c>
      <c r="AA156" s="204">
        <f t="shared" si="68"/>
        <v>23.280100000000001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9"/>
        <v>0242-09</v>
      </c>
      <c r="AE156" s="80" t="str">
        <f t="shared" si="70"/>
        <v>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 &amp; aws s3 cp s3://rtdc.mdm.uploadarchive.raw/RTDC4029/ "%USERPROFILE%\AppData\Local\Temp\OnboardLogs"\RTDC4029\2017-06-11 --exclude "*" --recursive --include "*20170611*" &amp; "%USERPROFILE%\Documents\GitHub\mrs-test-scripts\Headless Mode &amp; Sideloading\WalkAndUnGZ.bat" "%USERPROFILE%\AppData\Local\Temp\OnboardLogs"\RTDC4029\2017-06-11</v>
      </c>
      <c r="AF156" s="77" t="str">
        <f t="shared" si="71"/>
        <v>"C:\Program Files (x86)\AstroGrep\AstroGrep.exe" /e /r /s /spath="%USERPROFILE%\AppData\Local\Temp\OnboardLogs" /stypes="app*4029*20170610*" /stext=" 07:.+((SYSTEM_STATE.+slice.+state.+changed )|(ment ac)|(multiple cpu faults)|(system.+state.+changed )|(\[timeout)|(PRM\|1\|D)|(kpr)|(kdp)|(train st.+moving)|(\|lc)|(penalty))"</v>
      </c>
      <c r="AG156" s="1" t="str">
        <f t="shared" si="72"/>
        <v>EC</v>
      </c>
      <c r="AH156" s="81" t="str">
        <f t="shared" si="73"/>
        <v>"%USERPROFILE%\Documents\GitHub\eaglep3\Utilities\RefineRTDCRunTimes.py" --tripid 242-09 --locoid 4029 --swversion DE.1.0.9.0 --startMP 204:232971 --initTime 2017-06-10T00:50:57 --startdatetime 2017-06-10T00:57:13 --delay 1 --endMP 204:170 --enddatetime 2017-06-10T01:34:07 --enforcementcount 0 &gt;&gt;C:\Users\stu\Documents\GitHub\eaglep3-reporting\EC\2017-06-09-refined-times.txt</v>
      </c>
      <c r="AI156" s="99" t="str">
        <f t="shared" si="74"/>
        <v>echo {"issue":{"subject":"","project_id":79,"tracker_id":40,"status_id":1,"priority_id":2,"assigned_to_id":23,"start_date":"2017-06-10","description":"","custom_fields":[{"id":1,"name":"Subdivision","value":"EC"},{"id":4,"name":"Milepost","value":"0.017"},{"id":17,"name":"Train ID","value":"242-09"},{"id":16,"name":"Locomotive ID","value":"4029"},{"id":130,"name":"Impact","value":""},{"id":150,"name":"Time of Event (Mountain Time)","value":"01:34:07"},{"id":151,"name":"Denver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75"/>
        <v>start /low /b %USERPROFILE%\Documents\GitHub\eaglep3\Utilities\DownloadLogsFromS3.py --loco 4029 --day 2017-06-10</v>
      </c>
      <c r="AN156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07:34:07"},{"id":29,"name":"Sharepoint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823</v>
      </c>
      <c r="B157" s="7">
        <v>4006</v>
      </c>
      <c r="C157" s="21" t="s">
        <v>204</v>
      </c>
      <c r="D157" s="21" t="s">
        <v>359</v>
      </c>
      <c r="E157" s="13">
        <v>42896.006168981483</v>
      </c>
      <c r="F157" s="13">
        <v>42896.021006944444</v>
      </c>
      <c r="G157" s="7">
        <v>1</v>
      </c>
      <c r="H157" s="21" t="s">
        <v>841</v>
      </c>
      <c r="I157" s="13">
        <v>42896.047314814816</v>
      </c>
      <c r="J157" s="7">
        <v>0</v>
      </c>
      <c r="K157" s="92" t="str">
        <f t="shared" si="62"/>
        <v>4005/4006</v>
      </c>
      <c r="L157" s="21" t="str">
        <f>VLOOKUP(A157,'Trips&amp;Operators'!$C$1:$G$99999,5,FALSE)</f>
        <v>FORTUNATO FRANK</v>
      </c>
      <c r="M157" s="6">
        <f t="shared" si="63"/>
        <v>2.6307870371965691E-2</v>
      </c>
      <c r="N157" s="7">
        <f t="shared" si="77"/>
        <v>37.883333335630596</v>
      </c>
      <c r="O157" s="7"/>
      <c r="P157" s="7"/>
      <c r="Q157" s="22"/>
      <c r="R157" s="173"/>
      <c r="S157" s="176">
        <f t="shared" si="78"/>
        <v>1</v>
      </c>
      <c r="T157" s="202" t="str">
        <f t="shared" si="64"/>
        <v>NorthBound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65"/>
        <v>https://d0f6bd738d7f1b3e5a7ca70fe4ff75f0.us-east-1.aws.found.io/app/kibana#/discover/Steve-Slow-Train-Analysis-(2080s-and-2083s)?_g=(refreshInterval:(display:Off,pause:!f,section:0,value:0),time:(from:'2017-06-09T23:08:53-0600',mode:absolute,to:'2017-06-10T02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7" s="204" t="str">
        <f t="shared" si="66"/>
        <v>N</v>
      </c>
      <c r="X157" s="204">
        <f t="shared" si="67"/>
        <v>1</v>
      </c>
      <c r="Y157" s="204">
        <f t="shared" si="59"/>
        <v>4.53E-2</v>
      </c>
      <c r="Z157" s="204">
        <f t="shared" si="60"/>
        <v>23.331</v>
      </c>
      <c r="AA157" s="204">
        <f t="shared" si="68"/>
        <v>23.285699999999999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9"/>
        <v>0243-09</v>
      </c>
      <c r="AE157" s="80" t="str">
        <f t="shared" si="70"/>
        <v>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 &amp; aws s3 cp s3://rtdc.mdm.uploadarchive.raw/RTDC4006/ "%USERPROFILE%\AppData\Local\Temp\OnboardLogs"\RTDC4006\2017-06-11 --exclude "*" --recursive --include "*20170611*" &amp; "%USERPROFILE%\Documents\GitHub\mrs-test-scripts\Headless Mode &amp; Sideloading\WalkAndUnGZ.bat" "%USERPROFILE%\AppData\Local\Temp\OnboardLogs"\RTDC4006\2017-06-11</v>
      </c>
      <c r="AF157" s="77" t="str">
        <f t="shared" si="71"/>
        <v>"C:\Program Files (x86)\AstroGrep\AstroGrep.exe" /e /r /s /spath="%USERPROFILE%\AppData\Local\Temp\OnboardLogs" /stypes="app*4006*20170610*" /stext=" 07:.+((SYSTEM_STATE.+slice.+state.+changed )|(ment ac)|(multiple cpu faults)|(system.+state.+changed )|(\[timeout)|(PRM\|1\|D)|(kpr)|(kdp)|(train st.+moving)|(\|lc)|(penalty))"</v>
      </c>
      <c r="AG157" s="1" t="str">
        <f t="shared" si="72"/>
        <v>EC</v>
      </c>
      <c r="AH157" s="81" t="str">
        <f t="shared" si="73"/>
        <v>"%USERPROFILE%\Documents\GitHub\eaglep3\Utilities\RefineRTDCRunTimes.py" --tripid 243-09 --locoid 4006 --swversion DE.1.0.9.0 --startMP 204:453 --initTime 2017-06-10T00:08:53 --startdatetime 2017-06-10T00:30:15 --delay 1 --endMP 204:233310 --enddatetime 2017-06-10T01:08:08 --enforcementcount 0 &gt;&gt;C:\Users\stu\Documents\GitHub\eaglep3-reporting\EC\2017-06-09-refined-times.txt</v>
      </c>
      <c r="AI157" s="99" t="str">
        <f t="shared" si="74"/>
        <v>echo {"issue":{"subject":"","project_id":79,"tracker_id":40,"status_id":1,"priority_id":2,"assigned_to_id":23,"start_date":"2017-06-10","description":"","custom_fields":[{"id":1,"name":"Subdivision","value":"EC"},{"id":4,"name":"Milepost","value":"23.331"},{"id":17,"name":"Train ID","value":"243-09"},{"id":16,"name":"Locomotive ID","value":"4006"},{"id":130,"name":"Impact","value":""},{"id":150,"name":"Time of Event (Mountain Time)","value":"01:08:08"},{"id":151,"name":"Denver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75"/>
        <v>start /low /b %USERPROFILE%\Documents\GitHub\eaglep3\Utilities\DownloadLogsFromS3.py --loco 4006 --day 2017-06-10</v>
      </c>
      <c r="AN157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07:08:08"},{"id":29,"name":"Sharepoint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825</v>
      </c>
      <c r="B158" s="7">
        <v>4005</v>
      </c>
      <c r="C158" s="21" t="s">
        <v>204</v>
      </c>
      <c r="D158" s="21" t="s">
        <v>515</v>
      </c>
      <c r="E158" s="13">
        <v>42896.048645833333</v>
      </c>
      <c r="F158" s="13">
        <v>42896.060578703706</v>
      </c>
      <c r="G158" s="7">
        <v>1</v>
      </c>
      <c r="H158" s="21" t="s">
        <v>465</v>
      </c>
      <c r="I158" s="13">
        <v>42896.087222222224</v>
      </c>
      <c r="J158" s="7">
        <v>0</v>
      </c>
      <c r="K158" s="92" t="str">
        <f t="shared" si="62"/>
        <v>4005/4006</v>
      </c>
      <c r="L158" s="21" t="str">
        <f>VLOOKUP(A158,'Trips&amp;Operators'!$C$1:$G$99999,5,FALSE)</f>
        <v>FORTUNATO FRANK</v>
      </c>
      <c r="M158" s="6">
        <f t="shared" si="63"/>
        <v>2.6643518518540077E-2</v>
      </c>
      <c r="N158" s="7">
        <f t="shared" si="77"/>
        <v>38.366666666697711</v>
      </c>
      <c r="O158" s="7"/>
      <c r="P158" s="7"/>
      <c r="Q158" s="22"/>
      <c r="R158" s="173"/>
      <c r="S158" s="176">
        <f t="shared" si="78"/>
        <v>1</v>
      </c>
      <c r="T158" s="202" t="str">
        <f t="shared" si="64"/>
        <v>Southbound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 t="shared" si="65"/>
        <v>https://d0f6bd738d7f1b3e5a7ca70fe4ff75f0.us-east-1.aws.found.io/app/kibana#/discover/Steve-Slow-Train-Analysis-(2080s-and-2083s)?_g=(refreshInterval:(display:Off,pause:!f,section:0,value:0),time:(from:'2017-06-10T00:10:03-0600',mode:absolute,to:'2017-06-10T03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8" s="204" t="str">
        <f t="shared" si="66"/>
        <v>N</v>
      </c>
      <c r="X158" s="204">
        <f t="shared" si="67"/>
        <v>1</v>
      </c>
      <c r="Y158" s="204">
        <f t="shared" si="59"/>
        <v>23.3</v>
      </c>
      <c r="Z158" s="204">
        <f t="shared" si="60"/>
        <v>1.6299999999999999E-2</v>
      </c>
      <c r="AA158" s="204">
        <f t="shared" si="68"/>
        <v>23.2837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9"/>
        <v>0244-09</v>
      </c>
      <c r="AE158" s="80" t="str">
        <f t="shared" si="70"/>
        <v>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 &amp; aws s3 cp s3://rtdc.mdm.uploadarchive.raw/RTDC4005/ "%USERPROFILE%\AppData\Local\Temp\OnboardLogs"\RTDC4005\2017-06-11 --exclude "*" --recursive --include "*20170611*" &amp; "%USERPROFILE%\Documents\GitHub\mrs-test-scripts\Headless Mode &amp; Sideloading\WalkAndUnGZ.bat" "%USERPROFILE%\AppData\Local\Temp\OnboardLogs"\RTDC4005\2017-06-11</v>
      </c>
      <c r="AF158" s="77" t="str">
        <f t="shared" si="71"/>
        <v>"C:\Program Files (x86)\AstroGrep\AstroGrep.exe" /e /r /s /spath="%USERPROFILE%\AppData\Local\Temp\OnboardLogs" /stypes="app*4005*20170610*" /stext=" 08:.+((SYSTEM_STATE.+slice.+state.+changed )|(ment ac)|(multiple cpu faults)|(system.+state.+changed )|(\[timeout)|(PRM\|1\|D)|(kpr)|(kdp)|(train st.+moving)|(\|lc)|(penalty))"</v>
      </c>
      <c r="AG158" s="1" t="str">
        <f t="shared" si="72"/>
        <v>EC</v>
      </c>
      <c r="AH158" s="81" t="str">
        <f t="shared" si="73"/>
        <v>"%USERPROFILE%\Documents\GitHub\eaglep3\Utilities\RefineRTDCRunTimes.py" --tripid 244-09 --locoid 4005 --swversion DE.1.0.9.0 --startMP 204:233000 --initTime 2017-06-10T01:10:03 --startdatetime 2017-06-10T01:27:14 --delay 1 --endMP 204:163 --enddatetime 2017-06-10T02:05:36 --enforcementcount 0 &gt;&gt;C:\Users\stu\Documents\GitHub\eaglep3-reporting\EC\2017-06-09-refined-times.txt</v>
      </c>
      <c r="AI158" s="99" t="str">
        <f t="shared" si="74"/>
        <v>echo {"issue":{"subject":"","project_id":79,"tracker_id":40,"status_id":1,"priority_id":2,"assigned_to_id":23,"start_date":"2017-06-10","description":"","custom_fields":[{"id":1,"name":"Subdivision","value":"EC"},{"id":4,"name":"Milepost","value":"0.0163"},{"id":17,"name":"Train ID","value":"244-09"},{"id":16,"name":"Locomotive ID","value":"4005"},{"id":130,"name":"Impact","value":""},{"id":150,"name":"Time of Event (Mountain Time)","value":"02:05:36"},{"id":151,"name":"Denver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75"/>
        <v>start /low /b %USERPROFILE%\Documents\GitHub\eaglep3\Utilities\DownloadLogsFromS3.py --loco 4005 --day 2017-06-10</v>
      </c>
      <c r="AN158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08:05:36"},{"id":29,"name":"Sharepoint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824</v>
      </c>
      <c r="B159" s="7">
        <v>4054</v>
      </c>
      <c r="C159" s="21" t="s">
        <v>204</v>
      </c>
      <c r="D159" s="21" t="s">
        <v>397</v>
      </c>
      <c r="E159" s="13">
        <v>42896.035671296297</v>
      </c>
      <c r="F159" s="13">
        <v>42896.041956018518</v>
      </c>
      <c r="G159" s="7">
        <v>1</v>
      </c>
      <c r="H159" s="21" t="s">
        <v>837</v>
      </c>
      <c r="I159" s="13">
        <v>42896.066701388889</v>
      </c>
      <c r="J159" s="7">
        <v>0</v>
      </c>
      <c r="K159" s="92" t="str">
        <f t="shared" si="62"/>
        <v>4053/4054</v>
      </c>
      <c r="L159" s="21" t="str">
        <f>VLOOKUP(A159,'Trips&amp;Operators'!$C$1:$G$99999,5,FALSE)</f>
        <v>LAMAR NEKESHA</v>
      </c>
      <c r="M159" s="6">
        <f t="shared" si="63"/>
        <v>2.47453703705105E-2</v>
      </c>
      <c r="N159" s="7">
        <f t="shared" si="77"/>
        <v>35.63333333353512</v>
      </c>
      <c r="O159" s="7"/>
      <c r="P159" s="7"/>
      <c r="Q159" s="22"/>
      <c r="R159" s="173"/>
      <c r="S159" s="176">
        <f t="shared" si="78"/>
        <v>1</v>
      </c>
      <c r="T159" s="202" t="str">
        <f t="shared" si="64"/>
        <v>NorthBound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03" t="str">
        <f t="shared" si="65"/>
        <v>https://d0f6bd738d7f1b3e5a7ca70fe4ff75f0.us-east-1.aws.found.io/app/kibana#/discover/Steve-Slow-Train-Analysis-(2080s-and-2083s)?_g=(refreshInterval:(display:Off,pause:!f,section:0,value:0),time:(from:'2017-06-09T23:51:22-0600',mode:absolute,to:'2017-06-10T02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9" s="204" t="str">
        <f t="shared" si="66"/>
        <v>N</v>
      </c>
      <c r="X159" s="204">
        <f t="shared" si="67"/>
        <v>1</v>
      </c>
      <c r="Y159" s="204">
        <f t="shared" si="59"/>
        <v>4.6199999999999998E-2</v>
      </c>
      <c r="Z159" s="204">
        <f t="shared" si="60"/>
        <v>23.331399999999999</v>
      </c>
      <c r="AA159" s="204">
        <f t="shared" si="68"/>
        <v>23.2852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9"/>
        <v>0245-09</v>
      </c>
      <c r="AE159" s="80" t="str">
        <f t="shared" si="70"/>
        <v>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 &amp; 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</v>
      </c>
      <c r="AF159" s="77" t="str">
        <f t="shared" si="71"/>
        <v>"C:\Program Files (x86)\AstroGrep\AstroGrep.exe" /e /r /s /spath="%USERPROFILE%\AppData\Local\Temp\OnboardLogs" /stypes="app*4054*20170610*" /stext=" 07:.+((SYSTEM_STATE.+slice.+state.+changed )|(ment ac)|(multiple cpu faults)|(system.+state.+changed )|(\[timeout)|(PRM\|1\|D)|(kpr)|(kdp)|(train st.+moving)|(\|lc)|(penalty))"</v>
      </c>
      <c r="AG159" s="1" t="str">
        <f t="shared" si="72"/>
        <v>EC</v>
      </c>
      <c r="AH159" s="81" t="str">
        <f t="shared" si="73"/>
        <v>"%USERPROFILE%\Documents\GitHub\eaglep3\Utilities\RefineRTDCRunTimes.py" --tripid 245-09 --locoid 4054 --swversion DE.1.0.9.0 --startMP 204:462 --initTime 2017-06-10T00:51:22 --startdatetime 2017-06-10T01:00:25 --delay 1 --endMP 204:233314 --enddatetime 2017-06-10T01:36:03 --enforcementcount 0 &gt;&gt;C:\Users\stu\Documents\GitHub\eaglep3-reporting\EC\2017-06-09-refined-times.txt</v>
      </c>
      <c r="AI159" s="99" t="str">
        <f t="shared" si="74"/>
        <v>echo {"issue":{"subject":"","project_id":79,"tracker_id":40,"status_id":1,"priority_id":2,"assigned_to_id":23,"start_date":"2017-06-10","description":"","custom_fields":[{"id":1,"name":"Subdivision","value":"EC"},{"id":4,"name":"Milepost","value":"23.3314"},{"id":17,"name":"Train ID","value":"245-09"},{"id":16,"name":"Locomotive ID","value":"4054"},{"id":130,"name":"Impact","value":""},{"id":150,"name":"Time of Event (Mountain Time)","value":"01:36:03"},{"id":151,"name":"Denver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75"/>
        <v>start /low /b %USERPROFILE%\Documents\GitHub\eaglep3\Utilities\DownloadLogsFromS3.py --loco 4054 --day 2017-06-10</v>
      </c>
      <c r="AN159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07:36:03"},{"id":29,"name":"Sharepoint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2" t="s">
        <v>828</v>
      </c>
      <c r="B160" s="7">
        <v>4053</v>
      </c>
      <c r="C160" s="21" t="s">
        <v>204</v>
      </c>
      <c r="D160" s="21" t="s">
        <v>466</v>
      </c>
      <c r="E160" s="13">
        <v>42896.071134259262</v>
      </c>
      <c r="F160" s="13">
        <v>42896.081388888888</v>
      </c>
      <c r="G160" s="7">
        <v>3</v>
      </c>
      <c r="H160" s="21" t="s">
        <v>890</v>
      </c>
      <c r="I160" s="13">
        <v>42896.108437499999</v>
      </c>
      <c r="J160" s="7">
        <v>0</v>
      </c>
      <c r="K160" s="92" t="str">
        <f t="shared" si="62"/>
        <v>4053/4054</v>
      </c>
      <c r="L160" s="21" t="str">
        <f>VLOOKUP(A160,'Trips&amp;Operators'!$C$1:$G$99999,5,FALSE)</f>
        <v>LAMAR NEKESHA</v>
      </c>
      <c r="M160" s="6">
        <f t="shared" si="63"/>
        <v>2.7048611111240461E-2</v>
      </c>
      <c r="N160" s="7">
        <f t="shared" si="77"/>
        <v>38.950000000186265</v>
      </c>
      <c r="O160" s="7"/>
      <c r="P160" s="7"/>
      <c r="Q160" s="22"/>
      <c r="R160" s="173"/>
      <c r="S160" s="176">
        <f t="shared" si="78"/>
        <v>1</v>
      </c>
      <c r="T160" s="202" t="str">
        <f t="shared" si="64"/>
        <v>Southbound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03" t="str">
        <f t="shared" si="65"/>
        <v>https://d0f6bd738d7f1b3e5a7ca70fe4ff75f0.us-east-1.aws.found.io/app/kibana#/discover/Steve-Slow-Train-Analysis-(2080s-and-2083s)?_g=(refreshInterval:(display:Off,pause:!f,section:0,value:0),time:(from:'2017-06-10T00:42:26-0600',mode:absolute,to:'2017-06-10T03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0" s="204" t="str">
        <f t="shared" si="66"/>
        <v>N</v>
      </c>
      <c r="X160" s="204">
        <f t="shared" si="67"/>
        <v>1</v>
      </c>
      <c r="Y160" s="204">
        <f t="shared" ref="Y160:Y191" si="79">RIGHT(D160,LEN(D160)-4)/10000</f>
        <v>23.2988</v>
      </c>
      <c r="Z160" s="204">
        <f t="shared" ref="Z160:Z191" si="80">RIGHT(H160,LEN(H160)-4)/10000</f>
        <v>1.7000000000000001E-2</v>
      </c>
      <c r="AA160" s="204">
        <f t="shared" si="68"/>
        <v>23.2818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9"/>
        <v>0246-09</v>
      </c>
      <c r="AE160" s="80" t="str">
        <f t="shared" si="70"/>
        <v>aws s3 cp s3://rtdc.mdm.uploadarchive.raw/RTDC4053/ "%USERPROFILE%\AppData\Local\Temp\OnboardLogs"\RTDC4053\2017-06-10 --exclude "*" --recursive --include "*20170610*" &amp; "%USERPROFILE%\Documents\GitHub\mrs-test-scripts\Headless Mode &amp; Sideloading\WalkAndUnGZ.bat" "%USERPROFILE%\AppData\Local\Temp\OnboardLogs"\RTDC4053\2017-06-10 &amp; aws s3 cp s3://rtdc.mdm.uploadarchive.raw/RTDC4053/ "%USERPROFILE%\AppData\Local\Temp\OnboardLogs"\RTDC4053\2017-06-11 --exclude "*" --recursive --include "*20170611*" &amp; "%USERPROFILE%\Documents\GitHub\mrs-test-scripts\Headless Mode &amp; Sideloading\WalkAndUnGZ.bat" "%USERPROFILE%\AppData\Local\Temp\OnboardLogs"\RTDC4053\2017-06-11</v>
      </c>
      <c r="AF160" s="77" t="str">
        <f t="shared" si="71"/>
        <v>"C:\Program Files (x86)\AstroGrep\AstroGrep.exe" /e /r /s /spath="%USERPROFILE%\AppData\Local\Temp\OnboardLogs" /stypes="app*4053*20170610*" /stext=" 08:.+((SYSTEM_STATE.+slice.+state.+changed )|(ment ac)|(multiple cpu faults)|(system.+state.+changed )|(\[timeout)|(PRM\|1\|D)|(kpr)|(kdp)|(train st.+moving)|(\|lc)|(penalty))"</v>
      </c>
      <c r="AG160" s="1" t="str">
        <f t="shared" si="72"/>
        <v>EC</v>
      </c>
      <c r="AH160" s="81" t="str">
        <f t="shared" si="73"/>
        <v>"%USERPROFILE%\Documents\GitHub\eaglep3\Utilities\RefineRTDCRunTimes.py" --tripid 246-09 --locoid 4053 --swversion DE.1.0.9.0 --startMP 204:232988 --initTime 2017-06-10T01:42:26 --startdatetime 2017-06-10T01:57:12 --delay 3 --endMP 204:170 --enddatetime 2017-06-10T02:36:09 --enforcementcount 0 &gt;&gt;C:\Users\stu\Documents\GitHub\eaglep3-reporting\EC\2017-06-09-refined-times.txt</v>
      </c>
      <c r="AI160" s="99" t="str">
        <f t="shared" si="74"/>
        <v>echo {"issue":{"subject":"","project_id":79,"tracker_id":40,"status_id":1,"priority_id":2,"assigned_to_id":23,"start_date":"2017-06-10","description":"","custom_fields":[{"id":1,"name":"Subdivision","value":"EC"},{"id":4,"name":"Milepost","value":"0.017"},{"id":17,"name":"Train ID","value":"246-09"},{"id":16,"name":"Locomotive ID","value":"4053"},{"id":130,"name":"Impact","value":""},{"id":150,"name":"Time of Event (Mountain Time)","value":"02:36:09"},{"id":151,"name":"Denver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75"/>
        <v>start /low /b %USERPROFILE%\Documents\GitHub\eaglep3\Utilities\DownloadLogsFromS3.py --loco 4053 --day 2017-06-10</v>
      </c>
      <c r="AN160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08:36:09"},{"id":29,"name":"Sharepoint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588</v>
      </c>
      <c r="B161" s="7">
        <v>4027</v>
      </c>
      <c r="C161" s="21" t="s">
        <v>204</v>
      </c>
      <c r="D161" s="21" t="s">
        <v>924</v>
      </c>
      <c r="E161" s="13">
        <v>42895.208738425928</v>
      </c>
      <c r="F161" s="13">
        <v>42895.210543981484</v>
      </c>
      <c r="G161" s="7">
        <v>1</v>
      </c>
      <c r="H161" s="21" t="s">
        <v>925</v>
      </c>
      <c r="I161" s="13">
        <v>42895.227222222224</v>
      </c>
      <c r="J161" s="7">
        <v>0</v>
      </c>
      <c r="K161" s="92" t="str">
        <f t="shared" si="62"/>
        <v>4027/4028</v>
      </c>
      <c r="L161" s="21" t="str">
        <f>VLOOKUP(A161,'Trips&amp;Operators'!$C$1:$G$99999,5,FALSE)</f>
        <v>GUZMAN DANNY</v>
      </c>
      <c r="M161" s="6">
        <f t="shared" si="63"/>
        <v>1.6678240739565808E-2</v>
      </c>
      <c r="N161" s="7">
        <f t="shared" si="77"/>
        <v>24.016666664974764</v>
      </c>
      <c r="O161" s="7"/>
      <c r="P161" s="7"/>
      <c r="Q161" s="22"/>
      <c r="R161" s="173"/>
      <c r="S161" s="176">
        <f t="shared" si="78"/>
        <v>1</v>
      </c>
      <c r="T161" s="202" t="str">
        <f t="shared" si="64"/>
        <v>Southbound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65"/>
        <v>https://d0f6bd738d7f1b3e5a7ca70fe4ff75f0.us-east-1.aws.found.io/app/kibana#/discover/Steve-Slow-Train-Analysis-(2080s-and-2083s)?_g=(refreshInterval:(display:Off,pause:!f,section:0,value:0),time:(from:'2017-06-09T04:00:35-0600',mode:absolute,to:'2017-06-09T06:27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204" t="str">
        <f t="shared" si="66"/>
        <v>N</v>
      </c>
      <c r="X161" s="204">
        <f t="shared" si="67"/>
        <v>554</v>
      </c>
      <c r="Y161" s="204">
        <f t="shared" si="79"/>
        <v>5.8620999999999999</v>
      </c>
      <c r="Z161" s="204">
        <f t="shared" si="80"/>
        <v>7.0300000000000001E-2</v>
      </c>
      <c r="AA161" s="204">
        <f t="shared" si="68"/>
        <v>5.7918000000000003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9"/>
        <v>0800-09</v>
      </c>
      <c r="AE161" s="80" t="str">
        <f t="shared" si="70"/>
        <v>aws s3 cp s3://rtdc.mdm.uploadarchive.raw/RTDC4027/ "%USERPROFILE%\AppData\Local\Temp\OnboardLogs"\RTDC4027\2017-06-09 --exclude "*" --recursive --include "*20170609*" &amp; "%USERPROFILE%\Documents\GitHub\mrs-test-scripts\Headless Mode &amp; Sideloading\WalkAndUnGZ.bat" "%USERPROFILE%\AppData\Local\Temp\OnboardLogs"\RTDC4027\2017-06-09 &amp; 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</v>
      </c>
      <c r="AF161" s="77" t="str">
        <f t="shared" si="71"/>
        <v>"C:\Program Files (x86)\AstroGrep\AstroGrep.exe" /e /r /s /spath="%USERPROFILE%\AppData\Local\Temp\OnboardLogs" /stypes="app*4027*20170609*" /stext=" 11:.+((SYSTEM_STATE.+slice.+state.+changed )|(ment ac)|(multiple cpu faults)|(system.+state.+changed )|(\[timeout)|(PRM\|1\|D)|(kpr)|(kdp)|(train st.+moving)|(\|lc)|(penalty))"</v>
      </c>
      <c r="AG161" s="1" t="str">
        <f t="shared" si="72"/>
        <v>NW</v>
      </c>
      <c r="AH161" s="81" t="str">
        <f t="shared" si="73"/>
        <v>"%USERPROFILE%\Documents\GitHub\eaglep3\Utilities\RefineRTDCRunTimes.py" --tripid 800-09 --locoid 4027 --swversion DE.1.0.9.0 --startMP 300:58621 --initTime 2017-06-09T05:00:35 --startdatetime 2017-06-09T05:03:11 --delay 1 --endMP 204:703 --enddatetime 2017-06-09T05:27:12 --enforcementcount 0 &gt;&gt;C:\Users\stu\Documents\GitHub\eaglep3-reporting\EC\2017-06-09-refined-times.txt</v>
      </c>
      <c r="AI161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{"issue":{"subject":"","project_id":79,"tracker_id":40,"status_id":1,"priority_id":2,"assigned_to_id":23,"start_date":"2017-06-09","description":"","custom_fields":[{"id":1,"name":"Subdivision","value":"NW"},{"id":4,"name":"Milepost","value":"0.0703"},{"id":17,"name":"Train ID","value":"800-09"},{"id":16,"name":"Locomotive ID","value":"4027"},{"id":130,"name":"Impact","value":""},{"id":150,"name":"Time of Event (Mountain Time)","value":"05:27:12"},{"id":151,"name":"Denver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75"/>
        <v>start /low /b %USERPROFILE%\Documents\GitHub\eaglep3\Utilities\DownloadLogsFromS3.py --loco 4027 --day 2017-06-09</v>
      </c>
      <c r="AN161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11:27:12"},{"id":29,"name":"Sharepoint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658</v>
      </c>
      <c r="B162" s="7">
        <v>4028</v>
      </c>
      <c r="C162" s="21" t="s">
        <v>204</v>
      </c>
      <c r="D162" s="21" t="s">
        <v>926</v>
      </c>
      <c r="E162" s="13">
        <v>42895.228993055556</v>
      </c>
      <c r="F162" s="13">
        <v>42895.24391203704</v>
      </c>
      <c r="G162" s="7">
        <v>1</v>
      </c>
      <c r="H162" s="21" t="s">
        <v>927</v>
      </c>
      <c r="I162" s="13">
        <v>42895.252962962964</v>
      </c>
      <c r="J162" s="7">
        <v>0</v>
      </c>
      <c r="K162" s="92" t="str">
        <f t="shared" si="62"/>
        <v>4027/4028</v>
      </c>
      <c r="L162" s="21" t="str">
        <f>VLOOKUP(A162,'Trips&amp;Operators'!$C$1:$G$99999,5,FALSE)</f>
        <v>GUZMAN DANNY</v>
      </c>
      <c r="M162" s="6">
        <f t="shared" si="63"/>
        <v>9.0509259243845008E-3</v>
      </c>
      <c r="N162" s="7">
        <f t="shared" si="77"/>
        <v>13.033333331113681</v>
      </c>
      <c r="O162" s="7"/>
      <c r="P162" s="7"/>
      <c r="Q162" s="22"/>
      <c r="R162" s="173"/>
      <c r="S162" s="176">
        <f t="shared" si="78"/>
        <v>1</v>
      </c>
      <c r="T162" s="202" t="str">
        <f t="shared" si="64"/>
        <v>NorthBound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 t="shared" si="65"/>
        <v>https://d0f6bd738d7f1b3e5a7ca70fe4ff75f0.us-east-1.aws.found.io/app/kibana#/discover/Steve-Slow-Train-Analysis-(2080s-and-2083s)?_g=(refreshInterval:(display:Off,pause:!f,section:0,value:0),time:(from:'2017-06-09T04:29:45-0600',mode:absolute,to:'2017-06-09T07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2" s="204" t="str">
        <f t="shared" si="66"/>
        <v>N</v>
      </c>
      <c r="X162" s="204">
        <f t="shared" si="67"/>
        <v>1</v>
      </c>
      <c r="Y162" s="204">
        <f t="shared" si="79"/>
        <v>9.7900000000000001E-2</v>
      </c>
      <c r="Z162" s="204">
        <f t="shared" si="80"/>
        <v>5.8948</v>
      </c>
      <c r="AA162" s="204">
        <f t="shared" si="68"/>
        <v>5.7968999999999999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9"/>
        <v>0801-09</v>
      </c>
      <c r="AE162" s="80" t="str">
        <f t="shared" si="70"/>
        <v>aws s3 cp s3://rtdc.mdm.uploadarchive.raw/RTDC4028/ "%USERPROFILE%\AppData\Local\Temp\OnboardLogs"\RTDC4028\2017-06-09 --exclude "*" --recursive --include "*20170609*" &amp; "%USERPROFILE%\Documents\GitHub\mrs-test-scripts\Headless Mode &amp; Sideloading\WalkAndUnGZ.bat" "%USERPROFILE%\AppData\Local\Temp\OnboardLogs"\RTDC4028\2017-06-09 &amp; 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</v>
      </c>
      <c r="AF162" s="77" t="str">
        <f t="shared" si="71"/>
        <v>"C:\Program Files (x86)\AstroGrep\AstroGrep.exe" /e /r /s /spath="%USERPROFILE%\AppData\Local\Temp\OnboardLogs" /stypes="app*4028*20170609*" /stext=" 12:.+((SYSTEM_STATE.+slice.+state.+changed )|(ment ac)|(multiple cpu faults)|(system.+state.+changed )|(\[timeout)|(PRM\|1\|D)|(kpr)|(kdp)|(train st.+moving)|(\|lc)|(penalty))"</v>
      </c>
      <c r="AG162" s="1" t="str">
        <f t="shared" si="72"/>
        <v>NW</v>
      </c>
      <c r="AH162" s="81" t="str">
        <f t="shared" si="73"/>
        <v>"%USERPROFILE%\Documents\GitHub\eaglep3\Utilities\RefineRTDCRunTimes.py" --tripid 801-09 --locoid 4028 --swversion DE.1.0.9.0 --startMP 204:979 --initTime 2017-06-09T05:29:45 --startdatetime 2017-06-09T05:51:14 --delay 1 --endMP 300:58948 --enddatetime 2017-06-09T06:04:16 --enforcementcount 0 &gt;&gt;C:\Users\stu\Documents\GitHub\eaglep3-reporting\EC\2017-06-09-refined-times.txt</v>
      </c>
      <c r="AI162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{"issue":{"subject":"","project_id":79,"tracker_id":40,"status_id":1,"priority_id":2,"assigned_to_id":23,"start_date":"2017-06-09","description":"","custom_fields":[{"id":1,"name":"Subdivision","value":"NW"},{"id":4,"name":"Milepost","value":"5.8948"},{"id":17,"name":"Train ID","value":"801-09"},{"id":16,"name":"Locomotive ID","value":"4028"},{"id":130,"name":"Impact","value":""},{"id":150,"name":"Time of Event (Mountain Time)","value":"06:04:16"},{"id":151,"name":"Denver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75"/>
        <v>start /low /b %USERPROFILE%\Documents\GitHub\eaglep3\Utilities\DownloadLogsFromS3.py --loco 4028 --day 2017-06-09</v>
      </c>
      <c r="AN162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12:04:16"},{"id":29,"name":"Sharepoint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2" t="s">
        <v>591</v>
      </c>
      <c r="B163" s="7">
        <v>4027</v>
      </c>
      <c r="C163" s="21" t="s">
        <v>204</v>
      </c>
      <c r="D163" s="21" t="s">
        <v>581</v>
      </c>
      <c r="E163" s="13">
        <v>42895.254108796296</v>
      </c>
      <c r="F163" s="13">
        <v>42895.255613425928</v>
      </c>
      <c r="G163" s="7">
        <v>1</v>
      </c>
      <c r="H163" s="21" t="s">
        <v>928</v>
      </c>
      <c r="I163" s="13">
        <v>42895.267685185187</v>
      </c>
      <c r="J163" s="7">
        <v>0</v>
      </c>
      <c r="K163" s="92" t="str">
        <f t="shared" si="62"/>
        <v>4027/4028</v>
      </c>
      <c r="L163" s="21" t="str">
        <f>VLOOKUP(A163,'Trips&amp;Operators'!$C$1:$G$99999,5,FALSE)</f>
        <v>GUZMAN DANNY</v>
      </c>
      <c r="M163" s="6">
        <f t="shared" si="63"/>
        <v>1.2071759258105885E-2</v>
      </c>
      <c r="N163" s="7">
        <f t="shared" si="77"/>
        <v>17.383333331672475</v>
      </c>
      <c r="O163" s="7"/>
      <c r="P163" s="7"/>
      <c r="Q163" s="22"/>
      <c r="R163" s="173"/>
      <c r="S163" s="176">
        <f t="shared" si="78"/>
        <v>1</v>
      </c>
      <c r="T163" s="202" t="str">
        <f t="shared" si="64"/>
        <v>Southbound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65"/>
        <v>https://d0f6bd738d7f1b3e5a7ca70fe4ff75f0.us-east-1.aws.found.io/app/kibana#/discover/Steve-Slow-Train-Analysis-(2080s-and-2083s)?_g=(refreshInterval:(display:Off,pause:!f,section:0,value:0),time:(from:'2017-06-09T05:05:55-0600',mode:absolute,to:'2017-06-09T07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3" s="204" t="str">
        <f t="shared" si="66"/>
        <v>N</v>
      </c>
      <c r="X163" s="204">
        <f t="shared" si="67"/>
        <v>1</v>
      </c>
      <c r="Y163" s="204">
        <f t="shared" si="79"/>
        <v>5.8632</v>
      </c>
      <c r="Z163" s="204">
        <f t="shared" si="80"/>
        <v>7.1300000000000002E-2</v>
      </c>
      <c r="AA163" s="204">
        <f t="shared" si="68"/>
        <v>5.7919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9"/>
        <v>0802-09</v>
      </c>
      <c r="AE163" s="80" t="str">
        <f t="shared" si="70"/>
        <v>aws s3 cp s3://rtdc.mdm.uploadarchive.raw/RTDC4027/ "%USERPROFILE%\AppData\Local\Temp\OnboardLogs"\RTDC4027\2017-06-09 --exclude "*" --recursive --include "*20170609*" &amp; "%USERPROFILE%\Documents\GitHub\mrs-test-scripts\Headless Mode &amp; Sideloading\WalkAndUnGZ.bat" "%USERPROFILE%\AppData\Local\Temp\OnboardLogs"\RTDC4027\2017-06-09 &amp; 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</v>
      </c>
      <c r="AF163" s="77" t="str">
        <f t="shared" si="71"/>
        <v>"C:\Program Files (x86)\AstroGrep\AstroGrep.exe" /e /r /s /spath="%USERPROFILE%\AppData\Local\Temp\OnboardLogs" /stypes="app*4027*20170609*" /stext=" 12:.+((SYSTEM_STATE.+slice.+state.+changed )|(ment ac)|(multiple cpu faults)|(system.+state.+changed )|(\[timeout)|(PRM\|1\|D)|(kpr)|(kdp)|(train st.+moving)|(\|lc)|(penalty))"</v>
      </c>
      <c r="AG163" s="1" t="str">
        <f t="shared" si="72"/>
        <v>NW</v>
      </c>
      <c r="AH163" s="81" t="str">
        <f t="shared" si="73"/>
        <v>"%USERPROFILE%\Documents\GitHub\eaglep3\Utilities\RefineRTDCRunTimes.py" --tripid 802-09 --locoid 4027 --swversion DE.1.0.9.0 --startMP 300:58632 --initTime 2017-06-09T06:05:55 --startdatetime 2017-06-09T06:08:05 --delay 1 --endMP 204:713 --enddatetime 2017-06-09T06:25:28 --enforcementcount 0 &gt;&gt;C:\Users\stu\Documents\GitHub\eaglep3-reporting\EC\2017-06-09-refined-times.txt</v>
      </c>
      <c r="AI163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{"issue":{"subject":"","project_id":79,"tracker_id":40,"status_id":1,"priority_id":2,"assigned_to_id":23,"start_date":"2017-06-09","description":"","custom_fields":[{"id":1,"name":"Subdivision","value":"NW"},{"id":4,"name":"Milepost","value":"0.0713"},{"id":17,"name":"Train ID","value":"802-09"},{"id":16,"name":"Locomotive ID","value":"4027"},{"id":130,"name":"Impact","value":""},{"id":150,"name":"Time of Event (Mountain Time)","value":"06:25:28"},{"id":151,"name":"Denver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75"/>
        <v>start /low /b %USERPROFILE%\Documents\GitHub\eaglep3\Utilities\DownloadLogsFromS3.py --loco 4027 --day 2017-06-09</v>
      </c>
      <c r="AN163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12:25:28"},{"id":29,"name":"Sharepoint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669</v>
      </c>
      <c r="B164" s="7">
        <v>4016</v>
      </c>
      <c r="C164" s="21" t="s">
        <v>204</v>
      </c>
      <c r="D164" s="21" t="s">
        <v>577</v>
      </c>
      <c r="E164" s="13">
        <v>42895.258333333331</v>
      </c>
      <c r="F164" s="13">
        <v>42895.264791666668</v>
      </c>
      <c r="G164" s="7">
        <v>1</v>
      </c>
      <c r="H164" s="21" t="s">
        <v>929</v>
      </c>
      <c r="I164" s="13">
        <v>42895.273645833331</v>
      </c>
      <c r="J164" s="7">
        <v>0</v>
      </c>
      <c r="K164" s="92" t="str">
        <f t="shared" si="62"/>
        <v>4015/4016</v>
      </c>
      <c r="L164" s="21" t="str">
        <f>VLOOKUP(A164,'Trips&amp;Operators'!$C$1:$G$99999,5,FALSE)</f>
        <v>LALONDE GREGORY</v>
      </c>
      <c r="M164" s="6">
        <f t="shared" si="63"/>
        <v>8.8541666627861559E-3</v>
      </c>
      <c r="N164" s="7">
        <f t="shared" si="77"/>
        <v>12.749999994412065</v>
      </c>
      <c r="O164" s="7"/>
      <c r="P164" s="7"/>
      <c r="Q164" s="22"/>
      <c r="R164" s="173"/>
      <c r="S164" s="176">
        <f t="shared" si="78"/>
        <v>1</v>
      </c>
      <c r="T164" s="202" t="str">
        <f t="shared" si="64"/>
        <v>NorthBound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65"/>
        <v>https://d0f6bd738d7f1b3e5a7ca70fe4ff75f0.us-east-1.aws.found.io/app/kibana#/discover/Steve-Slow-Train-Analysis-(2080s-and-2083s)?_g=(refreshInterval:(display:Off,pause:!f,section:0,value:0),time:(from:'2017-06-09T05:12:00-0600',mode:absolute,to:'2017-06-09T07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4" s="204" t="str">
        <f t="shared" si="66"/>
        <v>N</v>
      </c>
      <c r="X164" s="204">
        <f t="shared" si="67"/>
        <v>1</v>
      </c>
      <c r="Y164" s="204">
        <f t="shared" si="79"/>
        <v>9.7799999999999998E-2</v>
      </c>
      <c r="Z164" s="204">
        <f t="shared" si="80"/>
        <v>5.8983999999999996</v>
      </c>
      <c r="AA164" s="204">
        <f t="shared" si="68"/>
        <v>5.8005999999999993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9"/>
        <v>0803-09</v>
      </c>
      <c r="AE164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164" s="77" t="str">
        <f t="shared" si="71"/>
        <v>"C:\Program Files (x86)\AstroGrep\AstroGrep.exe" /e /r /s /spath="%USERPROFILE%\AppData\Local\Temp\OnboardLogs" /stypes="app*4016*20170609*" /stext=" 12:.+((SYSTEM_STATE.+slice.+state.+changed )|(ment ac)|(multiple cpu faults)|(system.+state.+changed )|(\[timeout)|(PRM\|1\|D)|(kpr)|(kdp)|(train st.+moving)|(\|lc)|(penalty))"</v>
      </c>
      <c r="AG164" s="1" t="str">
        <f t="shared" si="72"/>
        <v>NW</v>
      </c>
      <c r="AH164" s="81" t="str">
        <f t="shared" si="73"/>
        <v>"%USERPROFILE%\Documents\GitHub\eaglep3\Utilities\RefineRTDCRunTimes.py" --tripid 803-09 --locoid 4016 --swversion DE.1.0.9.0 --startMP 204:978 --initTime 2017-06-09T06:12:00 --startdatetime 2017-06-09T06:21:18 --delay 1 --endMP 300:58984 --enddatetime 2017-06-09T06:34:03 --enforcementcount 0 &gt;&gt;C:\Users\stu\Documents\GitHub\eaglep3-reporting\EC\2017-06-09-refined-times.txt</v>
      </c>
      <c r="AI164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{"issue":{"subject":"","project_id":79,"tracker_id":40,"status_id":1,"priority_id":2,"assigned_to_id":23,"start_date":"2017-06-09","description":"","custom_fields":[{"id":1,"name":"Subdivision","value":"NW"},{"id":4,"name":"Milepost","value":"5.8984"},{"id":17,"name":"Train ID","value":"803-09"},{"id":16,"name":"Locomotive ID","value":"4016"},{"id":130,"name":"Impact","value":""},{"id":150,"name":"Time of Event (Mountain Time)","value":"06:34:03"},{"id":151,"name":"Denver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75"/>
        <v>start /low /b %USERPROFILE%\Documents\GitHub\eaglep3\Utilities\DownloadLogsFromS3.py --loco 4016 --day 2017-06-09</v>
      </c>
      <c r="AN164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12:34:03"},{"id":29,"name":"Sharepoint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672</v>
      </c>
      <c r="B165" s="7">
        <v>4015</v>
      </c>
      <c r="C165" s="21" t="s">
        <v>204</v>
      </c>
      <c r="D165" s="21" t="s">
        <v>930</v>
      </c>
      <c r="E165" s="13">
        <v>42895.274594907409</v>
      </c>
      <c r="F165" s="13">
        <v>42895.276076388887</v>
      </c>
      <c r="G165" s="7">
        <v>1</v>
      </c>
      <c r="H165" s="21" t="s">
        <v>931</v>
      </c>
      <c r="I165" s="13">
        <v>42895.288032407407</v>
      </c>
      <c r="J165" s="7">
        <v>0</v>
      </c>
      <c r="K165" s="92" t="str">
        <f t="shared" si="62"/>
        <v>4015/4016</v>
      </c>
      <c r="L165" s="21" t="str">
        <f>VLOOKUP(A165,'Trips&amp;Operators'!$C$1:$G$99999,5,FALSE)</f>
        <v>LALONDE GREGORY</v>
      </c>
      <c r="M165" s="6">
        <f t="shared" si="63"/>
        <v>1.1956018519413192E-2</v>
      </c>
      <c r="N165" s="7">
        <f t="shared" si="77"/>
        <v>17.216666667954996</v>
      </c>
      <c r="O165" s="7"/>
      <c r="P165" s="7"/>
      <c r="Q165" s="22"/>
      <c r="R165" s="173"/>
      <c r="S165" s="176">
        <f t="shared" si="78"/>
        <v>1</v>
      </c>
      <c r="T165" s="202" t="str">
        <f t="shared" si="64"/>
        <v>Southbound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65"/>
        <v>https://d0f6bd738d7f1b3e5a7ca70fe4ff75f0.us-east-1.aws.found.io/app/kibana#/discover/Steve-Slow-Train-Analysis-(2080s-and-2083s)?_g=(refreshInterval:(display:Off,pause:!f,section:0,value:0),time:(from:'2017-06-09T05:35:25-0600',mode:absolute,to:'2017-06-09T07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5" s="204" t="str">
        <f t="shared" si="66"/>
        <v>N</v>
      </c>
      <c r="X165" s="204">
        <f t="shared" si="67"/>
        <v>1</v>
      </c>
      <c r="Y165" s="204">
        <f t="shared" si="79"/>
        <v>5.8674999999999997</v>
      </c>
      <c r="Z165" s="204">
        <f t="shared" si="80"/>
        <v>7.0800000000000002E-2</v>
      </c>
      <c r="AA165" s="204">
        <f t="shared" si="68"/>
        <v>5.7966999999999995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9"/>
        <v>0804-09</v>
      </c>
      <c r="AE165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165" s="77" t="str">
        <f t="shared" si="71"/>
        <v>"C:\Program Files (x86)\AstroGrep\AstroGrep.exe" /e /r /s /spath="%USERPROFILE%\AppData\Local\Temp\OnboardLogs" /stypes="app*4015*20170609*" /stext=" 12:.+((SYSTEM_STATE.+slice.+state.+changed )|(ment ac)|(multiple cpu faults)|(system.+state.+changed )|(\[timeout)|(PRM\|1\|D)|(kpr)|(kdp)|(train st.+moving)|(\|lc)|(penalty))"</v>
      </c>
      <c r="AG165" s="1" t="str">
        <f t="shared" si="72"/>
        <v>NW</v>
      </c>
      <c r="AH165" s="81" t="str">
        <f t="shared" si="73"/>
        <v>"%USERPROFILE%\Documents\GitHub\eaglep3\Utilities\RefineRTDCRunTimes.py" --tripid 804-09 --locoid 4015 --swversion DE.1.0.9.0 --startMP 300:58675 --initTime 2017-06-09T06:35:25 --startdatetime 2017-06-09T06:37:33 --delay 1 --endMP 204:708 --enddatetime 2017-06-09T06:54:46 --enforcementcount 0 &gt;&gt;C:\Users\stu\Documents\GitHub\eaglep3-reporting\EC\2017-06-09-refined-times.txt</v>
      </c>
      <c r="AI165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{"issue":{"subject":"","project_id":79,"tracker_id":40,"status_id":1,"priority_id":2,"assigned_to_id":23,"start_date":"2017-06-09","description":"","custom_fields":[{"id":1,"name":"Subdivision","value":"NW"},{"id":4,"name":"Milepost","value":"0.0708"},{"id":17,"name":"Train ID","value":"804-09"},{"id":16,"name":"Locomotive ID","value":"4015"},{"id":130,"name":"Impact","value":""},{"id":150,"name":"Time of Event (Mountain Time)","value":"06:54:46"},{"id":151,"name":"Denver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75"/>
        <v>start /low /b %USERPROFILE%\Documents\GitHub\eaglep3\Utilities\DownloadLogsFromS3.py --loco 4015 --day 2017-06-09</v>
      </c>
      <c r="AN165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12:54:46"},{"id":29,"name":"Sharepoint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2" t="s">
        <v>671</v>
      </c>
      <c r="B166" s="7">
        <v>4028</v>
      </c>
      <c r="C166" s="21" t="s">
        <v>204</v>
      </c>
      <c r="D166" s="21" t="s">
        <v>932</v>
      </c>
      <c r="E166" s="13">
        <v>42895.269513888888</v>
      </c>
      <c r="F166" s="13">
        <v>42895.285590277781</v>
      </c>
      <c r="G166" s="7">
        <v>1</v>
      </c>
      <c r="H166" s="21" t="s">
        <v>517</v>
      </c>
      <c r="I166" s="13">
        <v>42895.294999999998</v>
      </c>
      <c r="J166" s="7">
        <v>0</v>
      </c>
      <c r="K166" s="92" t="str">
        <f t="shared" si="62"/>
        <v>4027/4028</v>
      </c>
      <c r="L166" s="21" t="str">
        <f>VLOOKUP(A166,'Trips&amp;Operators'!$C$1:$G$99999,5,FALSE)</f>
        <v>GUZMAN DANNY</v>
      </c>
      <c r="M166" s="6">
        <f t="shared" si="63"/>
        <v>9.4097222172422335E-3</v>
      </c>
      <c r="N166" s="7">
        <f t="shared" si="77"/>
        <v>13.549999992828816</v>
      </c>
      <c r="O166" s="7"/>
      <c r="P166" s="7"/>
      <c r="Q166" s="22"/>
      <c r="R166" s="173"/>
      <c r="S166" s="176">
        <f t="shared" si="78"/>
        <v>1</v>
      </c>
      <c r="T166" s="202" t="str">
        <f t="shared" si="64"/>
        <v>NorthBound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65"/>
        <v>https://d0f6bd738d7f1b3e5a7ca70fe4ff75f0.us-east-1.aws.found.io/app/kibana#/discover/Steve-Slow-Train-Analysis-(2080s-and-2083s)?_g=(refreshInterval:(display:Off,pause:!f,section:0,value:0),time:(from:'2017-06-09T05:28:06-0600',mode:absolute,to:'2017-06-09T08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6" s="204" t="str">
        <f t="shared" si="66"/>
        <v>N</v>
      </c>
      <c r="X166" s="204">
        <f t="shared" si="67"/>
        <v>1</v>
      </c>
      <c r="Y166" s="204">
        <f t="shared" si="79"/>
        <v>9.9000000000000005E-2</v>
      </c>
      <c r="Z166" s="204">
        <f t="shared" si="80"/>
        <v>5.8930999999999996</v>
      </c>
      <c r="AA166" s="204">
        <f t="shared" si="68"/>
        <v>5.7940999999999994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9"/>
        <v>0805-09</v>
      </c>
      <c r="AE166" s="80" t="str">
        <f t="shared" si="70"/>
        <v>aws s3 cp s3://rtdc.mdm.uploadarchive.raw/RTDC4028/ "%USERPROFILE%\AppData\Local\Temp\OnboardLogs"\RTDC4028\2017-06-09 --exclude "*" --recursive --include "*20170609*" &amp; "%USERPROFILE%\Documents\GitHub\mrs-test-scripts\Headless Mode &amp; Sideloading\WalkAndUnGZ.bat" "%USERPROFILE%\AppData\Local\Temp\OnboardLogs"\RTDC4028\2017-06-09 &amp; 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</v>
      </c>
      <c r="AF166" s="77" t="str">
        <f t="shared" si="71"/>
        <v>"C:\Program Files (x86)\AstroGrep\AstroGrep.exe" /e /r /s /spath="%USERPROFILE%\AppData\Local\Temp\OnboardLogs" /stypes="app*4028*20170609*" /stext=" 13:.+((SYSTEM_STATE.+slice.+state.+changed )|(ment ac)|(multiple cpu faults)|(system.+state.+changed )|(\[timeout)|(PRM\|1\|D)|(kpr)|(kdp)|(train st.+moving)|(\|lc)|(penalty))"</v>
      </c>
      <c r="AG166" s="1" t="str">
        <f t="shared" si="72"/>
        <v>NW</v>
      </c>
      <c r="AH166" s="81" t="str">
        <f t="shared" si="73"/>
        <v>"%USERPROFILE%\Documents\GitHub\eaglep3\Utilities\RefineRTDCRunTimes.py" --tripid 805-09 --locoid 4028 --swversion DE.1.0.9.0 --startMP 204:990 --initTime 2017-06-09T06:28:06 --startdatetime 2017-06-09T06:51:15 --delay 1 --endMP 300:58931 --enddatetime 2017-06-09T07:04:48 --enforcementcount 0 &gt;&gt;C:\Users\stu\Documents\GitHub\eaglep3-reporting\EC\2017-06-09-refined-times.txt</v>
      </c>
      <c r="AI166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{"issue":{"subject":"","project_id":79,"tracker_id":40,"status_id":1,"priority_id":2,"assigned_to_id":23,"start_date":"2017-06-09","description":"","custom_fields":[{"id":1,"name":"Subdivision","value":"NW"},{"id":4,"name":"Milepost","value":"5.8931"},{"id":17,"name":"Train ID","value":"805-09"},{"id":16,"name":"Locomotive ID","value":"4028"},{"id":130,"name":"Impact","value":""},{"id":150,"name":"Time of Event (Mountain Time)","value":"07:04:48"},{"id":151,"name":"Denver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75"/>
        <v>start /low /b %USERPROFILE%\Documents\GitHub\eaglep3\Utilities\DownloadLogsFromS3.py --loco 4028 --day 2017-06-09</v>
      </c>
      <c r="AN166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13:04:48"},{"id":29,"name":"Sharepoint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678</v>
      </c>
      <c r="B167" s="7">
        <v>4027</v>
      </c>
      <c r="C167" s="21" t="s">
        <v>204</v>
      </c>
      <c r="D167" s="21" t="s">
        <v>500</v>
      </c>
      <c r="E167" s="13">
        <v>42895.29619212963</v>
      </c>
      <c r="F167" s="13">
        <v>42895.297569444447</v>
      </c>
      <c r="G167" s="7">
        <v>1</v>
      </c>
      <c r="H167" s="21" t="s">
        <v>933</v>
      </c>
      <c r="I167" s="13">
        <v>42895.309247685182</v>
      </c>
      <c r="J167" s="7">
        <v>0</v>
      </c>
      <c r="K167" s="92" t="str">
        <f t="shared" si="62"/>
        <v>4027/4028</v>
      </c>
      <c r="L167" s="21" t="str">
        <f>VLOOKUP(A167,'Trips&amp;Operators'!$C$1:$G$99999,5,FALSE)</f>
        <v>GUZMAN DANNY</v>
      </c>
      <c r="M167" s="6">
        <f t="shared" si="63"/>
        <v>1.1678240734909195E-2</v>
      </c>
      <c r="N167" s="7">
        <f t="shared" si="77"/>
        <v>16.816666658269241</v>
      </c>
      <c r="O167" s="7"/>
      <c r="P167" s="7"/>
      <c r="Q167" s="22"/>
      <c r="R167" s="173"/>
      <c r="S167" s="176">
        <f t="shared" si="78"/>
        <v>1</v>
      </c>
      <c r="T167" s="202" t="str">
        <f t="shared" si="64"/>
        <v>Southbound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65"/>
        <v>https://d0f6bd738d7f1b3e5a7ca70fe4ff75f0.us-east-1.aws.found.io/app/kibana#/discover/Steve-Slow-Train-Analysis-(2080s-and-2083s)?_g=(refreshInterval:(display:Off,pause:!f,section:0,value:0),time:(from:'2017-06-09T06:06:31-0600',mode:absolute,to:'2017-06-09T08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7" s="204" t="str">
        <f t="shared" si="66"/>
        <v>N</v>
      </c>
      <c r="X167" s="204">
        <f t="shared" si="67"/>
        <v>1</v>
      </c>
      <c r="Y167" s="204">
        <f t="shared" si="79"/>
        <v>5.8623000000000003</v>
      </c>
      <c r="Z167" s="204">
        <f t="shared" si="80"/>
        <v>7.3300000000000004E-2</v>
      </c>
      <c r="AA167" s="204">
        <f t="shared" si="68"/>
        <v>5.7890000000000006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9"/>
        <v>0806-09</v>
      </c>
      <c r="AE167" s="80" t="str">
        <f t="shared" si="70"/>
        <v>aws s3 cp s3://rtdc.mdm.uploadarchive.raw/RTDC4027/ "%USERPROFILE%\AppData\Local\Temp\OnboardLogs"\RTDC4027\2017-06-09 --exclude "*" --recursive --include "*20170609*" &amp; "%USERPROFILE%\Documents\GitHub\mrs-test-scripts\Headless Mode &amp; Sideloading\WalkAndUnGZ.bat" "%USERPROFILE%\AppData\Local\Temp\OnboardLogs"\RTDC4027\2017-06-09 &amp; 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</v>
      </c>
      <c r="AF167" s="77" t="str">
        <f t="shared" si="71"/>
        <v>"C:\Program Files (x86)\AstroGrep\AstroGrep.exe" /e /r /s /spath="%USERPROFILE%\AppData\Local\Temp\OnboardLogs" /stypes="app*4027*20170609*" /stext=" 13:.+((SYSTEM_STATE.+slice.+state.+changed )|(ment ac)|(multiple cpu faults)|(system.+state.+changed )|(\[timeout)|(PRM\|1\|D)|(kpr)|(kdp)|(train st.+moving)|(\|lc)|(penalty))"</v>
      </c>
      <c r="AG167" s="1" t="str">
        <f t="shared" si="72"/>
        <v>NW</v>
      </c>
      <c r="AH167" s="81" t="str">
        <f t="shared" si="73"/>
        <v>"%USERPROFILE%\Documents\GitHub\eaglep3\Utilities\RefineRTDCRunTimes.py" --tripid 806-09 --locoid 4027 --swversion DE.1.0.9.0 --startMP 300:58623 --initTime 2017-06-09T07:06:31 --startdatetime 2017-06-09T07:08:30 --delay 1 --endMP 204:733 --enddatetime 2017-06-09T07:25:19 --enforcementcount 0 &gt;&gt;C:\Users\stu\Documents\GitHub\eaglep3-reporting\EC\2017-06-09-refined-times.txt</v>
      </c>
      <c r="AI167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{"issue":{"subject":"","project_id":79,"tracker_id":40,"status_id":1,"priority_id":2,"assigned_to_id":23,"start_date":"2017-06-09","description":"","custom_fields":[{"id":1,"name":"Subdivision","value":"NW"},{"id":4,"name":"Milepost","value":"0.0733"},{"id":17,"name":"Train ID","value":"806-09"},{"id":16,"name":"Locomotive ID","value":"4027"},{"id":130,"name":"Impact","value":""},{"id":150,"name":"Time of Event (Mountain Time)","value":"07:25:19"},{"id":151,"name":"Denver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75"/>
        <v>start /low /b %USERPROFILE%\Documents\GitHub\eaglep3\Utilities\DownloadLogsFromS3.py --loco 4027 --day 2017-06-09</v>
      </c>
      <c r="AN167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13:25:19"},{"id":29,"name":"Sharepoint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2" t="s">
        <v>677</v>
      </c>
      <c r="B168" s="7">
        <v>4016</v>
      </c>
      <c r="C168" s="21" t="s">
        <v>204</v>
      </c>
      <c r="D168" s="21" t="s">
        <v>934</v>
      </c>
      <c r="E168" s="13">
        <v>42895.289884259262</v>
      </c>
      <c r="F168" s="13">
        <v>42895.306400462963</v>
      </c>
      <c r="G168" s="7">
        <v>1</v>
      </c>
      <c r="H168" s="21" t="s">
        <v>935</v>
      </c>
      <c r="I168" s="13">
        <v>42895.315439814818</v>
      </c>
      <c r="J168" s="7">
        <v>0</v>
      </c>
      <c r="K168" s="92" t="str">
        <f t="shared" si="62"/>
        <v>4015/4016</v>
      </c>
      <c r="L168" s="21" t="str">
        <f>VLOOKUP(A168,'Trips&amp;Operators'!$C$1:$G$99999,5,FALSE)</f>
        <v>LALONDE GREGORY</v>
      </c>
      <c r="M168" s="6">
        <f t="shared" si="63"/>
        <v>9.0393518548808061E-3</v>
      </c>
      <c r="N168" s="7">
        <f t="shared" si="77"/>
        <v>13.016666671028361</v>
      </c>
      <c r="O168" s="7"/>
      <c r="P168" s="7"/>
      <c r="Q168" s="22"/>
      <c r="R168" s="173"/>
      <c r="S168" s="176">
        <f t="shared" si="78"/>
        <v>1</v>
      </c>
      <c r="T168" s="202" t="str">
        <f t="shared" si="64"/>
        <v>NorthBound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65"/>
        <v>https://d0f6bd738d7f1b3e5a7ca70fe4ff75f0.us-east-1.aws.found.io/app/kibana#/discover/Steve-Slow-Train-Analysis-(2080s-and-2083s)?_g=(refreshInterval:(display:Off,pause:!f,section:0,value:0),time:(from:'2017-06-09T05:57:26-0600',mode:absolute,to:'2017-06-09T08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8" s="204" t="str">
        <f t="shared" si="66"/>
        <v>N</v>
      </c>
      <c r="X168" s="204">
        <f t="shared" si="67"/>
        <v>1</v>
      </c>
      <c r="Y168" s="204">
        <f t="shared" si="79"/>
        <v>9.8100000000000007E-2</v>
      </c>
      <c r="Z168" s="204">
        <f t="shared" si="80"/>
        <v>5.8975999999999997</v>
      </c>
      <c r="AA168" s="204">
        <f t="shared" si="68"/>
        <v>5.7995000000000001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9"/>
        <v>0807-09</v>
      </c>
      <c r="AE168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168" s="77" t="str">
        <f t="shared" si="71"/>
        <v>"C:\Program Files (x86)\AstroGrep\AstroGrep.exe" /e /r /s /spath="%USERPROFILE%\AppData\Local\Temp\OnboardLogs" /stypes="app*4016*20170609*" /stext=" 13:.+((SYSTEM_STATE.+slice.+state.+changed )|(ment ac)|(multiple cpu faults)|(system.+state.+changed )|(\[timeout)|(PRM\|1\|D)|(kpr)|(kdp)|(train st.+moving)|(\|lc)|(penalty))"</v>
      </c>
      <c r="AG168" s="1" t="str">
        <f t="shared" si="72"/>
        <v>NW</v>
      </c>
      <c r="AH168" s="81" t="str">
        <f t="shared" si="73"/>
        <v>"%USERPROFILE%\Documents\GitHub\eaglep3\Utilities\RefineRTDCRunTimes.py" --tripid 807-09 --locoid 4016 --swversion DE.1.0.9.0 --startMP 204:981 --initTime 2017-06-09T06:57:26 --startdatetime 2017-06-09T07:21:13 --delay 1 --endMP 300:58976 --enddatetime 2017-06-09T07:34:14 --enforcementcount 0 &gt;&gt;C:\Users\stu\Documents\GitHub\eaglep3-reporting\EC\2017-06-09-refined-times.txt</v>
      </c>
      <c r="AI168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{"issue":{"subject":"","project_id":79,"tracker_id":40,"status_id":1,"priority_id":2,"assigned_to_id":23,"start_date":"2017-06-09","description":"","custom_fields":[{"id":1,"name":"Subdivision","value":"NW"},{"id":4,"name":"Milepost","value":"5.8976"},{"id":17,"name":"Train ID","value":"807-09"},{"id":16,"name":"Locomotive ID","value":"4016"},{"id":130,"name":"Impact","value":""},{"id":150,"name":"Time of Event (Mountain Time)","value":"07:34:14"},{"id":151,"name":"Denver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75"/>
        <v>start /low /b %USERPROFILE%\Documents\GitHub\eaglep3\Utilities\DownloadLogsFromS3.py --loco 4016 --day 2017-06-09</v>
      </c>
      <c r="AN168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13:34:14"},{"id":29,"name":"Sharepoint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683</v>
      </c>
      <c r="B169" s="7">
        <v>4015</v>
      </c>
      <c r="C169" s="21" t="s">
        <v>204</v>
      </c>
      <c r="D169" s="21" t="s">
        <v>936</v>
      </c>
      <c r="E169" s="13">
        <v>42895.31622685185</v>
      </c>
      <c r="F169" s="13">
        <v>42895.317557870374</v>
      </c>
      <c r="G169" s="7">
        <v>0</v>
      </c>
      <c r="H169" s="21" t="s">
        <v>937</v>
      </c>
      <c r="I169" s="13">
        <v>42895.329710648148</v>
      </c>
      <c r="J169" s="7">
        <v>0</v>
      </c>
      <c r="K169" s="92" t="str">
        <f t="shared" si="62"/>
        <v>4015/4016</v>
      </c>
      <c r="L169" s="21" t="str">
        <f>VLOOKUP(A169,'Trips&amp;Operators'!$C$1:$G$99999,5,FALSE)</f>
        <v>LALONDE GREGORY</v>
      </c>
      <c r="M169" s="6">
        <f t="shared" si="63"/>
        <v>1.2152777773735579E-2</v>
      </c>
      <c r="N169" s="7">
        <f t="shared" si="77"/>
        <v>17.499999994179234</v>
      </c>
      <c r="O169" s="7"/>
      <c r="P169" s="7"/>
      <c r="Q169" s="22"/>
      <c r="R169" s="173"/>
      <c r="S169" s="176">
        <f t="shared" si="78"/>
        <v>1</v>
      </c>
      <c r="T169" s="202" t="str">
        <f t="shared" si="64"/>
        <v>Southbound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65"/>
        <v>https://d0f6bd738d7f1b3e5a7ca70fe4ff75f0.us-east-1.aws.found.io/app/kibana#/discover/Steve-Slow-Train-Analysis-(2080s-and-2083s)?_g=(refreshInterval:(display:Off,pause:!f,section:0,value:0),time:(from:'2017-06-09T06:35:22-0600',mode:absolute,to:'2017-06-09T08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9" s="204" t="str">
        <f t="shared" si="66"/>
        <v>N</v>
      </c>
      <c r="X169" s="204">
        <f t="shared" si="67"/>
        <v>1</v>
      </c>
      <c r="Y169" s="204">
        <f t="shared" si="79"/>
        <v>5.8673000000000002</v>
      </c>
      <c r="Z169" s="204">
        <f t="shared" si="80"/>
        <v>1.4200000000000001E-2</v>
      </c>
      <c r="AA169" s="204">
        <f t="shared" si="68"/>
        <v>5.8531000000000004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9"/>
        <v>0808-09</v>
      </c>
      <c r="AE169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169" s="77" t="str">
        <f t="shared" si="71"/>
        <v>"C:\Program Files (x86)\AstroGrep\AstroGrep.exe" /e /r /s /spath="%USERPROFILE%\AppData\Local\Temp\OnboardLogs" /stypes="app*4015*20170609*" /stext=" 13:.+((SYSTEM_STATE.+slice.+state.+changed )|(ment ac)|(multiple cpu faults)|(system.+state.+changed )|(\[timeout)|(PRM\|1\|D)|(kpr)|(kdp)|(train st.+moving)|(\|lc)|(penalty))"</v>
      </c>
      <c r="AG169" s="1" t="str">
        <f t="shared" si="72"/>
        <v>NW</v>
      </c>
      <c r="AH169" s="81" t="str">
        <f t="shared" si="73"/>
        <v>"%USERPROFILE%\Documents\GitHub\eaglep3\Utilities\RefineRTDCRunTimes.py" --tripid 808-09 --locoid 4015 --swversion DE.1.0.9.0 --startMP 300:58673 --initTime 2017-06-09T07:35:22 --startdatetime 2017-06-09T07:37:17 --delay 0 --endMP 204:142 --enddatetime 2017-06-09T07:54:47 --enforcementcount 0 &gt;&gt;C:\Users\stu\Documents\GitHub\eaglep3-reporting\EC\2017-06-09-refined-times.txt</v>
      </c>
      <c r="AI169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{"issue":{"subject":"","project_id":79,"tracker_id":40,"status_id":1,"priority_id":2,"assigned_to_id":23,"start_date":"2017-06-09","description":"","custom_fields":[{"id":1,"name":"Subdivision","value":"NW"},{"id":4,"name":"Milepost","value":"0.0142"},{"id":17,"name":"Train ID","value":"808-09"},{"id":16,"name":"Locomotive ID","value":"4015"},{"id":130,"name":"Impact","value":""},{"id":150,"name":"Time of Event (Mountain Time)","value":"07:54:47"},{"id":151,"name":"Denver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75"/>
        <v>start /low /b %USERPROFILE%\Documents\GitHub\eaglep3\Utilities\DownloadLogsFromS3.py --loco 4015 --day 2017-06-09</v>
      </c>
      <c r="AN169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13:54:47"},{"id":29,"name":"Sharepoint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2" t="s">
        <v>682</v>
      </c>
      <c r="B170" s="7">
        <v>4028</v>
      </c>
      <c r="C170" s="21" t="s">
        <v>204</v>
      </c>
      <c r="D170" s="21" t="s">
        <v>938</v>
      </c>
      <c r="E170" s="13">
        <v>42895.311053240737</v>
      </c>
      <c r="F170" s="13">
        <v>42895.327291666668</v>
      </c>
      <c r="G170" s="7">
        <v>1</v>
      </c>
      <c r="H170" s="21" t="s">
        <v>927</v>
      </c>
      <c r="I170" s="13">
        <v>42895.336574074077</v>
      </c>
      <c r="J170" s="7">
        <v>0</v>
      </c>
      <c r="K170" s="92" t="str">
        <f t="shared" si="62"/>
        <v>4027/4028</v>
      </c>
      <c r="L170" s="21" t="str">
        <f>VLOOKUP(A170,'Trips&amp;Operators'!$C$1:$G$99999,5,FALSE)</f>
        <v>GUZMAN DANNY</v>
      </c>
      <c r="M170" s="6">
        <f t="shared" si="63"/>
        <v>9.2824074090458453E-3</v>
      </c>
      <c r="N170" s="7">
        <f t="shared" si="77"/>
        <v>13.366666669026017</v>
      </c>
      <c r="O170" s="7"/>
      <c r="P170" s="7"/>
      <c r="Q170" s="22"/>
      <c r="R170" s="173"/>
      <c r="S170" s="176">
        <f t="shared" si="78"/>
        <v>1</v>
      </c>
      <c r="T170" s="202" t="str">
        <f t="shared" si="64"/>
        <v>NorthBound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65"/>
        <v>https://d0f6bd738d7f1b3e5a7ca70fe4ff75f0.us-east-1.aws.found.io/app/kibana#/discover/Steve-Slow-Train-Analysis-(2080s-and-2083s)?_g=(refreshInterval:(display:Off,pause:!f,section:0,value:0),time:(from:'2017-06-09T06:27:55-0600',mode:absolute,to:'2017-06-09T09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0" s="204" t="str">
        <f t="shared" si="66"/>
        <v>N</v>
      </c>
      <c r="X170" s="204">
        <f t="shared" si="67"/>
        <v>1</v>
      </c>
      <c r="Y170" s="204">
        <f t="shared" si="79"/>
        <v>0.1074</v>
      </c>
      <c r="Z170" s="204">
        <f t="shared" si="80"/>
        <v>5.8948</v>
      </c>
      <c r="AA170" s="204">
        <f t="shared" si="68"/>
        <v>5.7873999999999999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9"/>
        <v>0809-09</v>
      </c>
      <c r="AE170" s="80" t="str">
        <f t="shared" si="70"/>
        <v>aws s3 cp s3://rtdc.mdm.uploadarchive.raw/RTDC4028/ "%USERPROFILE%\AppData\Local\Temp\OnboardLogs"\RTDC4028\2017-06-09 --exclude "*" --recursive --include "*20170609*" &amp; "%USERPROFILE%\Documents\GitHub\mrs-test-scripts\Headless Mode &amp; Sideloading\WalkAndUnGZ.bat" "%USERPROFILE%\AppData\Local\Temp\OnboardLogs"\RTDC4028\2017-06-09 &amp; 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</v>
      </c>
      <c r="AF170" s="77" t="str">
        <f t="shared" si="71"/>
        <v>"C:\Program Files (x86)\AstroGrep\AstroGrep.exe" /e /r /s /spath="%USERPROFILE%\AppData\Local\Temp\OnboardLogs" /stypes="app*4028*20170609*" /stext=" 14:.+((SYSTEM_STATE.+slice.+state.+changed )|(ment ac)|(multiple cpu faults)|(system.+state.+changed )|(\[timeout)|(PRM\|1\|D)|(kpr)|(kdp)|(train st.+moving)|(\|lc)|(penalty))"</v>
      </c>
      <c r="AG170" s="1" t="str">
        <f t="shared" si="72"/>
        <v>NW</v>
      </c>
      <c r="AH170" s="81" t="str">
        <f t="shared" si="73"/>
        <v>"%USERPROFILE%\Documents\GitHub\eaglep3\Utilities\RefineRTDCRunTimes.py" --tripid 809-09 --locoid 4028 --swversion DE.1.0.9.0 --startMP 204:1074 --initTime 2017-06-09T07:27:55 --startdatetime 2017-06-09T07:51:18 --delay 1 --endMP 300:58948 --enddatetime 2017-06-09T08:04:40 --enforcementcount 0 &gt;&gt;C:\Users\stu\Documents\GitHub\eaglep3-reporting\EC\2017-06-09-refined-times.txt</v>
      </c>
      <c r="AI170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{"issue":{"subject":"","project_id":79,"tracker_id":40,"status_id":1,"priority_id":2,"assigned_to_id":23,"start_date":"2017-06-09","description":"","custom_fields":[{"id":1,"name":"Subdivision","value":"NW"},{"id":4,"name":"Milepost","value":"5.8948"},{"id":17,"name":"Train ID","value":"809-09"},{"id":16,"name":"Locomotive ID","value":"4028"},{"id":130,"name":"Impact","value":""},{"id":150,"name":"Time of Event (Mountain Time)","value":"08:04:40"},{"id":151,"name":"Denver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75"/>
        <v>start /low /b %USERPROFILE%\Documents\GitHub\eaglep3\Utilities\DownloadLogsFromS3.py --loco 4028 --day 2017-06-09</v>
      </c>
      <c r="AN170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14:04:40"},{"id":29,"name":"Sharepoint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594</v>
      </c>
      <c r="B171" s="7">
        <v>4027</v>
      </c>
      <c r="C171" s="21" t="s">
        <v>204</v>
      </c>
      <c r="D171" s="21" t="s">
        <v>939</v>
      </c>
      <c r="E171" s="13">
        <v>42895.337766203702</v>
      </c>
      <c r="F171" s="13">
        <v>42895.339398148149</v>
      </c>
      <c r="G171" s="7">
        <v>1</v>
      </c>
      <c r="H171" s="21" t="s">
        <v>458</v>
      </c>
      <c r="I171" s="13">
        <v>42895.351863425924</v>
      </c>
      <c r="J171" s="7">
        <v>0</v>
      </c>
      <c r="K171" s="92" t="str">
        <f t="shared" si="62"/>
        <v>4027/4028</v>
      </c>
      <c r="L171" s="21" t="str">
        <f>VLOOKUP(A171,'Trips&amp;Operators'!$C$1:$G$99999,5,FALSE)</f>
        <v>GUZMAN DANNY</v>
      </c>
      <c r="M171" s="6">
        <f t="shared" si="63"/>
        <v>1.2465277774026617E-2</v>
      </c>
      <c r="N171" s="7">
        <f t="shared" si="77"/>
        <v>17.949999994598329</v>
      </c>
      <c r="O171" s="7"/>
      <c r="P171" s="7"/>
      <c r="Q171" s="22"/>
      <c r="R171" s="173" t="s">
        <v>1011</v>
      </c>
      <c r="S171" s="176">
        <f t="shared" si="78"/>
        <v>1</v>
      </c>
      <c r="T171" s="202" t="str">
        <f t="shared" si="64"/>
        <v>Southbound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65"/>
        <v>https://d0f6bd738d7f1b3e5a7ca70fe4ff75f0.us-east-1.aws.found.io/app/kibana#/discover/Steve-Slow-Train-Analysis-(2080s-and-2083s)?_g=(refreshInterval:(display:Off,pause:!f,section:0,value:0),time:(from:'2017-06-09T07:06:23-0600',mode:absolute,to:'2017-06-09T09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1" s="204" t="str">
        <f t="shared" si="66"/>
        <v>N</v>
      </c>
      <c r="X171" s="204">
        <f t="shared" si="67"/>
        <v>1</v>
      </c>
      <c r="Y171" s="204">
        <f t="shared" si="79"/>
        <v>5.8635999999999999</v>
      </c>
      <c r="Z171" s="204">
        <f t="shared" si="80"/>
        <v>1.38E-2</v>
      </c>
      <c r="AA171" s="204">
        <f t="shared" si="68"/>
        <v>5.8498000000000001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9"/>
        <v>0810-09</v>
      </c>
      <c r="AE171" s="80" t="str">
        <f t="shared" si="70"/>
        <v>aws s3 cp s3://rtdc.mdm.uploadarchive.raw/RTDC4027/ "%USERPROFILE%\AppData\Local\Temp\OnboardLogs"\RTDC4027\2017-06-09 --exclude "*" --recursive --include "*20170609*" &amp; "%USERPROFILE%\Documents\GitHub\mrs-test-scripts\Headless Mode &amp; Sideloading\WalkAndUnGZ.bat" "%USERPROFILE%\AppData\Local\Temp\OnboardLogs"\RTDC4027\2017-06-09 &amp; 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</v>
      </c>
      <c r="AF171" s="77" t="str">
        <f t="shared" si="71"/>
        <v>"C:\Program Files (x86)\AstroGrep\AstroGrep.exe" /e /r /s /spath="%USERPROFILE%\AppData\Local\Temp\OnboardLogs" /stypes="app*4027*20170609*" /stext=" 14:.+((SYSTEM_STATE.+slice.+state.+changed )|(ment ac)|(multiple cpu faults)|(system.+state.+changed )|(\[timeout)|(PRM\|1\|D)|(kpr)|(kdp)|(train st.+moving)|(\|lc)|(penalty))"</v>
      </c>
      <c r="AG171" s="1" t="str">
        <f t="shared" si="72"/>
        <v>NW</v>
      </c>
      <c r="AH171" s="81" t="str">
        <f t="shared" si="73"/>
        <v>"%USERPROFILE%\Documents\GitHub\eaglep3\Utilities\RefineRTDCRunTimes.py" --tripid 810-09 --locoid 4027 --swversion DE.1.0.9.0 --startMP 300:58636 --initTime 2017-06-09T08:06:23 --startdatetime 2017-06-09T08:08:44 --delay 1 --endMP 204:138 --enddatetime 2017-06-09T08:26:41 --enforcementcount 0 &gt;&gt;C:\Users\stu\Documents\GitHub\eaglep3-reporting\EC\2017-06-09-refined-times.txt</v>
      </c>
      <c r="AI171" s="99" t="str">
        <f t="shared" si="74"/>
        <v>echo {"issue":{"subject":"Brief Wi-MAX data drop caused unhealthy and a slight delay - no enforcement or cut out","project_id":79,"tracker_id":40,"status_id":1,"priority_id":2,"assigned_to_id":23,"start_date":"2017-06-09","description":"","custom_fields":[{"id":1,"name":"Subdivision","value":"NW"},{"id":4,"name":"Milepost","value":"0.0138"},{"id":17,"name":"Train ID","value":"810-09"},{"id":16,"name":"Locomotive ID","value":"4027"},{"id":130,"name":"Impact","value":""},{"id":150,"name":"Time of Event (Mountain Time)","value":"08:26:41"},{"id":151,"name":"Denver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75"/>
        <v>start /low /b %USERPROFILE%\Documents\GitHub\eaglep3\Utilities\DownloadLogsFromS3.py --loco 4027 --day 2017-06-09</v>
      </c>
      <c r="AN171" s="154" t="str">
        <f t="shared" si="76"/>
        <v>echo {"issue":{"subject":"Brief Wi-MAX data drop caused unhealthy and a slight delay - no enforcement or cut out","project_id":30,"tracker_id":4,"status_id":1,"priority_id":1,"assigned_to_id":10,"start_date":"2017-06-09","description":"","custom_fields":[{"id":30,"name":"Category","value":"Issue"},{"id":3,"name":"Functional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14:26:41"},{"id":29,"name":"Sharepoint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688</v>
      </c>
      <c r="B172" s="7">
        <v>4016</v>
      </c>
      <c r="C172" s="21" t="s">
        <v>204</v>
      </c>
      <c r="D172" s="21" t="s">
        <v>359</v>
      </c>
      <c r="E172" s="13">
        <v>42895.331053240741</v>
      </c>
      <c r="F172" s="13">
        <v>42895.348067129627</v>
      </c>
      <c r="G172" s="7">
        <v>0</v>
      </c>
      <c r="H172" s="21" t="s">
        <v>940</v>
      </c>
      <c r="I172" s="13">
        <v>42895.357141203705</v>
      </c>
      <c r="J172" s="7">
        <v>0</v>
      </c>
      <c r="K172" s="92" t="str">
        <f t="shared" si="62"/>
        <v>4015/4016</v>
      </c>
      <c r="L172" s="21" t="str">
        <f>VLOOKUP(A172,'Trips&amp;Operators'!$C$1:$G$99999,5,FALSE)</f>
        <v>LALONDE GREGORY</v>
      </c>
      <c r="M172" s="6">
        <f t="shared" si="63"/>
        <v>9.0740740779438056E-3</v>
      </c>
      <c r="N172" s="7">
        <f t="shared" si="77"/>
        <v>13.06666667223908</v>
      </c>
      <c r="O172" s="7"/>
      <c r="P172" s="7"/>
      <c r="Q172" s="22"/>
      <c r="R172" s="173"/>
      <c r="S172" s="176">
        <f t="shared" si="78"/>
        <v>1</v>
      </c>
      <c r="T172" s="202" t="str">
        <f t="shared" si="64"/>
        <v>NorthBound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65"/>
        <v>https://d0f6bd738d7f1b3e5a7ca70fe4ff75f0.us-east-1.aws.found.io/app/kibana#/discover/Steve-Slow-Train-Analysis-(2080s-and-2083s)?_g=(refreshInterval:(display:Off,pause:!f,section:0,value:0),time:(from:'2017-06-09T06:56:43-0600',mode:absolute,to:'2017-06-09T09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2" s="204" t="str">
        <f t="shared" si="66"/>
        <v>N</v>
      </c>
      <c r="X172" s="204">
        <f t="shared" si="67"/>
        <v>1</v>
      </c>
      <c r="Y172" s="204">
        <f t="shared" si="79"/>
        <v>4.53E-2</v>
      </c>
      <c r="Z172" s="204">
        <f t="shared" si="80"/>
        <v>5.8987999999999996</v>
      </c>
      <c r="AA172" s="204">
        <f t="shared" si="68"/>
        <v>5.8534999999999995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9"/>
        <v>0811-09</v>
      </c>
      <c r="AE172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172" s="77" t="str">
        <f t="shared" si="71"/>
        <v>"C:\Program Files (x86)\AstroGrep\AstroGrep.exe" /e /r /s /spath="%USERPROFILE%\AppData\Local\Temp\OnboardLogs" /stypes="app*4016*20170609*" /stext=" 14:.+((SYSTEM_STATE.+slice.+state.+changed )|(ment ac)|(multiple cpu faults)|(system.+state.+changed )|(\[timeout)|(PRM\|1\|D)|(kpr)|(kdp)|(train st.+moving)|(\|lc)|(penalty))"</v>
      </c>
      <c r="AG172" s="1" t="str">
        <f t="shared" si="72"/>
        <v>NW</v>
      </c>
      <c r="AH172" s="81" t="str">
        <f t="shared" si="73"/>
        <v>"%USERPROFILE%\Documents\GitHub\eaglep3\Utilities\RefineRTDCRunTimes.py" --tripid 811-09 --locoid 4016 --swversion DE.1.0.9.0 --startMP 204:453 --initTime 2017-06-09T07:56:43 --startdatetime 2017-06-09T08:21:13 --delay 0 --endMP 300:58988 --enddatetime 2017-06-09T08:34:17 --enforcementcount 0 &gt;&gt;C:\Users\stu\Documents\GitHub\eaglep3-reporting\EC\2017-06-09-refined-times.txt</v>
      </c>
      <c r="AI172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{"issue":{"subject":"","project_id":79,"tracker_id":40,"status_id":1,"priority_id":2,"assigned_to_id":23,"start_date":"2017-06-09","description":"","custom_fields":[{"id":1,"name":"Subdivision","value":"NW"},{"id":4,"name":"Milepost","value":"5.8988"},{"id":17,"name":"Train ID","value":"811-09"},{"id":16,"name":"Locomotive ID","value":"4016"},{"id":130,"name":"Impact","value":""},{"id":150,"name":"Time of Event (Mountain Time)","value":"08:34:17"},{"id":151,"name":"Denver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75"/>
        <v>start /low /b %USERPROFILE%\Documents\GitHub\eaglep3\Utilities\DownloadLogsFromS3.py --loco 4016 --day 2017-06-09</v>
      </c>
      <c r="AN172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14:34:17"},{"id":29,"name":"Sharepoint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693</v>
      </c>
      <c r="B173" s="7">
        <v>4015</v>
      </c>
      <c r="C173" s="21" t="s">
        <v>204</v>
      </c>
      <c r="D173" s="21" t="s">
        <v>941</v>
      </c>
      <c r="E173" s="13">
        <v>42895.357893518521</v>
      </c>
      <c r="F173" s="13">
        <v>42895.359270833331</v>
      </c>
      <c r="G173" s="7">
        <v>1</v>
      </c>
      <c r="H173" s="21" t="s">
        <v>576</v>
      </c>
      <c r="I173" s="13">
        <v>42895.371030092596</v>
      </c>
      <c r="J173" s="7">
        <v>0</v>
      </c>
      <c r="K173" s="92" t="str">
        <f t="shared" si="62"/>
        <v>4015/4016</v>
      </c>
      <c r="L173" s="21" t="str">
        <f>VLOOKUP(A173,'Trips&amp;Operators'!$C$1:$G$99999,5,FALSE)</f>
        <v>LALONDE GREGORY</v>
      </c>
      <c r="M173" s="6">
        <f t="shared" si="63"/>
        <v>1.1759259265090805E-2</v>
      </c>
      <c r="N173" s="7">
        <f t="shared" si="77"/>
        <v>16.933333341730759</v>
      </c>
      <c r="O173" s="7"/>
      <c r="P173" s="7"/>
      <c r="Q173" s="22"/>
      <c r="R173" s="173"/>
      <c r="S173" s="176">
        <f t="shared" si="78"/>
        <v>1</v>
      </c>
      <c r="T173" s="202" t="str">
        <f t="shared" si="64"/>
        <v>Southbound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65"/>
        <v>https://d0f6bd738d7f1b3e5a7ca70fe4ff75f0.us-east-1.aws.found.io/app/kibana#/discover/Steve-Slow-Train-Analysis-(2080s-and-2083s)?_g=(refreshInterval:(display:Off,pause:!f,section:0,value:0),time:(from:'2017-06-09T07:35:22-0600',mode:absolute,to:'2017-06-09T09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3" s="204" t="str">
        <f t="shared" si="66"/>
        <v>N</v>
      </c>
      <c r="X173" s="204">
        <f t="shared" si="67"/>
        <v>1</v>
      </c>
      <c r="Y173" s="204">
        <f t="shared" si="79"/>
        <v>5.8677000000000001</v>
      </c>
      <c r="Z173" s="204">
        <f t="shared" si="80"/>
        <v>6.8000000000000005E-2</v>
      </c>
      <c r="AA173" s="204">
        <f t="shared" si="68"/>
        <v>5.7997000000000005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9"/>
        <v>0812-09</v>
      </c>
      <c r="AE173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173" s="77" t="str">
        <f t="shared" si="71"/>
        <v>"C:\Program Files (x86)\AstroGrep\AstroGrep.exe" /e /r /s /spath="%USERPROFILE%\AppData\Local\Temp\OnboardLogs" /stypes="app*4015*20170609*" /stext=" 14:.+((SYSTEM_STATE.+slice.+state.+changed )|(ment ac)|(multiple cpu faults)|(system.+state.+changed )|(\[timeout)|(PRM\|1\|D)|(kpr)|(kdp)|(train st.+moving)|(\|lc)|(penalty))"</v>
      </c>
      <c r="AG173" s="1" t="str">
        <f t="shared" si="72"/>
        <v>NW</v>
      </c>
      <c r="AH173" s="81" t="str">
        <f t="shared" si="73"/>
        <v>"%USERPROFILE%\Documents\GitHub\eaglep3\Utilities\RefineRTDCRunTimes.py" --tripid 812-09 --locoid 4015 --swversion DE.1.0.9.0 --startMP 300:58677 --initTime 2017-06-09T08:35:22 --startdatetime 2017-06-09T08:37:21 --delay 1 --endMP 204:680 --enddatetime 2017-06-09T08:54:17 --enforcementcount 0 &gt;&gt;C:\Users\stu\Documents\GitHub\eaglep3-reporting\EC\2017-06-09-refined-times.txt</v>
      </c>
      <c r="AI173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{"issue":{"subject":"","project_id":79,"tracker_id":40,"status_id":1,"priority_id":2,"assigned_to_id":23,"start_date":"2017-06-09","description":"","custom_fields":[{"id":1,"name":"Subdivision","value":"NW"},{"id":4,"name":"Milepost","value":"0.068"},{"id":17,"name":"Train ID","value":"812-09"},{"id":16,"name":"Locomotive ID","value":"4015"},{"id":130,"name":"Impact","value":""},{"id":150,"name":"Time of Event (Mountain Time)","value":"08:54:17"},{"id":151,"name":"Denver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75"/>
        <v>start /low /b %USERPROFILE%\Documents\GitHub\eaglep3\Utilities\DownloadLogsFromS3.py --loco 4015 --day 2017-06-09</v>
      </c>
      <c r="AN173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14:54:17"},{"id":29,"name":"Sharepoint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596</v>
      </c>
      <c r="B174" s="7">
        <v>4016</v>
      </c>
      <c r="C174" s="21" t="s">
        <v>204</v>
      </c>
      <c r="D174" s="21" t="s">
        <v>942</v>
      </c>
      <c r="E174" s="13">
        <v>42895.372615740744</v>
      </c>
      <c r="F174" s="13">
        <v>42895.389733796299</v>
      </c>
      <c r="G174" s="7">
        <v>1</v>
      </c>
      <c r="H174" s="21" t="s">
        <v>929</v>
      </c>
      <c r="I174" s="13">
        <v>42895.399074074077</v>
      </c>
      <c r="J174" s="7">
        <v>0</v>
      </c>
      <c r="K174" s="92" t="str">
        <f t="shared" si="62"/>
        <v>4015/4016</v>
      </c>
      <c r="L174" s="21" t="str">
        <f>VLOOKUP(A174,'Trips&amp;Operators'!$C$1:$G$99999,5,FALSE)</f>
        <v>LALONDE GREGORY</v>
      </c>
      <c r="M174" s="6">
        <f t="shared" si="63"/>
        <v>9.340277778392192E-3</v>
      </c>
      <c r="N174" s="7">
        <f t="shared" si="77"/>
        <v>13.450000000884756</v>
      </c>
      <c r="O174" s="7"/>
      <c r="P174" s="7"/>
      <c r="Q174" s="22"/>
      <c r="R174" s="173"/>
      <c r="S174" s="176">
        <f t="shared" si="78"/>
        <v>1</v>
      </c>
      <c r="T174" s="202" t="str">
        <f t="shared" si="64"/>
        <v>NorthBound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65"/>
        <v>https://d0f6bd738d7f1b3e5a7ca70fe4ff75f0.us-east-1.aws.found.io/app/kibana#/discover/Steve-Slow-Train-Analysis-(2080s-and-2083s)?_g=(refreshInterval:(display:Off,pause:!f,section:0,value:0),time:(from:'2017-06-09T07:56:34-0600',mode:absolute,to:'2017-06-09T10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4" s="204" t="str">
        <f t="shared" si="66"/>
        <v>N</v>
      </c>
      <c r="X174" s="204">
        <f t="shared" si="67"/>
        <v>1</v>
      </c>
      <c r="Y174" s="204">
        <f t="shared" si="79"/>
        <v>9.5299999999999996E-2</v>
      </c>
      <c r="Z174" s="204">
        <f t="shared" si="80"/>
        <v>5.8983999999999996</v>
      </c>
      <c r="AA174" s="204">
        <f t="shared" si="68"/>
        <v>5.8030999999999997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9"/>
        <v>0813-09</v>
      </c>
      <c r="AE174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174" s="77" t="str">
        <f t="shared" si="71"/>
        <v>"C:\Program Files (x86)\AstroGrep\AstroGrep.exe" /e /r /s /spath="%USERPROFILE%\AppData\Local\Temp\OnboardLogs" /stypes="app*4016*20170609*" /stext=" 15:.+((SYSTEM_STATE.+slice.+state.+changed )|(ment ac)|(multiple cpu faults)|(system.+state.+changed )|(\[timeout)|(PRM\|1\|D)|(kpr)|(kdp)|(train st.+moving)|(\|lc)|(penalty))"</v>
      </c>
      <c r="AG174" s="1" t="str">
        <f t="shared" si="72"/>
        <v>NW</v>
      </c>
      <c r="AH174" s="81" t="str">
        <f t="shared" si="73"/>
        <v>"%USERPROFILE%\Documents\GitHub\eaglep3\Utilities\RefineRTDCRunTimes.py" --tripid 813-09 --locoid 4016 --swversion DE.1.0.9.0 --startMP 204:953 --initTime 2017-06-09T08:56:34 --startdatetime 2017-06-09T09:21:13 --delay 1 --endMP 300:58984 --enddatetime 2017-06-09T09:34:40 --enforcementcount 0 &gt;&gt;C:\Users\stu\Documents\GitHub\eaglep3-reporting\EC\2017-06-09-refined-times.txt</v>
      </c>
      <c r="AI174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{"issue":{"subject":"","project_id":79,"tracker_id":40,"status_id":1,"priority_id":2,"assigned_to_id":23,"start_date":"2017-06-09","description":"","custom_fields":[{"id":1,"name":"Subdivision","value":"NW"},{"id":4,"name":"Milepost","value":"5.8984"},{"id":17,"name":"Train ID","value":"813-09"},{"id":16,"name":"Locomotive ID","value":"4016"},{"id":130,"name":"Impact","value":""},{"id":150,"name":"Time of Event (Mountain Time)","value":"09:34:40"},{"id":151,"name":"Denver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75"/>
        <v>start /low /b %USERPROFILE%\Documents\GitHub\eaglep3\Utilities\DownloadLogsFromS3.py --loco 4016 --day 2017-06-09</v>
      </c>
      <c r="AN174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15:34:40"},{"id":29,"name":"Sharepoint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703</v>
      </c>
      <c r="B175" s="7">
        <v>4015</v>
      </c>
      <c r="C175" s="21" t="s">
        <v>204</v>
      </c>
      <c r="D175" s="21" t="s">
        <v>943</v>
      </c>
      <c r="E175" s="13">
        <v>42895.399976851855</v>
      </c>
      <c r="F175" s="13">
        <v>42895.401342592595</v>
      </c>
      <c r="G175" s="7">
        <v>1</v>
      </c>
      <c r="H175" s="21" t="s">
        <v>944</v>
      </c>
      <c r="I175" s="13">
        <v>42895.413437499999</v>
      </c>
      <c r="J175" s="7">
        <v>0</v>
      </c>
      <c r="K175" s="92" t="str">
        <f t="shared" si="62"/>
        <v>4015/4016</v>
      </c>
      <c r="L175" s="21" t="str">
        <f>VLOOKUP(A175,'Trips&amp;Operators'!$C$1:$G$99999,5,FALSE)</f>
        <v>LALONDE GREGORY</v>
      </c>
      <c r="M175" s="6">
        <f t="shared" si="63"/>
        <v>1.2094907404389232E-2</v>
      </c>
      <c r="N175" s="7">
        <f t="shared" si="77"/>
        <v>17.416666662320495</v>
      </c>
      <c r="O175" s="7"/>
      <c r="P175" s="7"/>
      <c r="Q175" s="22"/>
      <c r="R175" s="173"/>
      <c r="S175" s="176">
        <f t="shared" si="78"/>
        <v>1</v>
      </c>
      <c r="T175" s="202" t="str">
        <f t="shared" si="64"/>
        <v>Southbound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65"/>
        <v>https://d0f6bd738d7f1b3e5a7ca70fe4ff75f0.us-east-1.aws.found.io/app/kibana#/discover/Steve-Slow-Train-Analysis-(2080s-and-2083s)?_g=(refreshInterval:(display:Off,pause:!f,section:0,value:0),time:(from:'2017-06-09T08:35:58-0600',mode:absolute,to:'2017-06-09T10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5" s="204" t="str">
        <f t="shared" si="66"/>
        <v>N</v>
      </c>
      <c r="X175" s="204">
        <f t="shared" si="67"/>
        <v>1</v>
      </c>
      <c r="Y175" s="204">
        <f t="shared" si="79"/>
        <v>5.8666</v>
      </c>
      <c r="Z175" s="204">
        <f t="shared" si="80"/>
        <v>1.44E-2</v>
      </c>
      <c r="AA175" s="204">
        <f t="shared" si="68"/>
        <v>5.8521999999999998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9"/>
        <v>0814-09</v>
      </c>
      <c r="AE175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175" s="77" t="str">
        <f t="shared" si="71"/>
        <v>"C:\Program Files (x86)\AstroGrep\AstroGrep.exe" /e /r /s /spath="%USERPROFILE%\AppData\Local\Temp\OnboardLogs" /stypes="app*4015*20170609*" /stext=" 15:.+((SYSTEM_STATE.+slice.+state.+changed )|(ment ac)|(multiple cpu faults)|(system.+state.+changed )|(\[timeout)|(PRM\|1\|D)|(kpr)|(kdp)|(train st.+moving)|(\|lc)|(penalty))"</v>
      </c>
      <c r="AG175" s="1" t="str">
        <f t="shared" si="72"/>
        <v>NW</v>
      </c>
      <c r="AH175" s="81" t="str">
        <f t="shared" si="73"/>
        <v>"%USERPROFILE%\Documents\GitHub\eaglep3\Utilities\RefineRTDCRunTimes.py" --tripid 814-09 --locoid 4015 --swversion DE.1.0.9.0 --startMP 300:58666 --initTime 2017-06-09T09:35:58 --startdatetime 2017-06-09T09:37:56 --delay 1 --endMP 204:144 --enddatetime 2017-06-09T09:55:21 --enforcementcount 0 &gt;&gt;C:\Users\stu\Documents\GitHub\eaglep3-reporting\EC\2017-06-09-refined-times.txt</v>
      </c>
      <c r="AI175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{"issue":{"subject":"","project_id":79,"tracker_id":40,"status_id":1,"priority_id":2,"assigned_to_id":23,"start_date":"2017-06-09","description":"","custom_fields":[{"id":1,"name":"Subdivision","value":"NW"},{"id":4,"name":"Milepost","value":"0.0144"},{"id":17,"name":"Train ID","value":"814-09"},{"id":16,"name":"Locomotive ID","value":"4015"},{"id":130,"name":"Impact","value":""},{"id":150,"name":"Time of Event (Mountain Time)","value":"09:55:21"},{"id":151,"name":"Denver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75"/>
        <v>start /low /b %USERPROFILE%\Documents\GitHub\eaglep3\Utilities\DownloadLogsFromS3.py --loco 4015 --day 2017-06-09</v>
      </c>
      <c r="AN175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15:55:21"},{"id":29,"name":"Sharepoint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707</v>
      </c>
      <c r="B176" s="7">
        <v>4016</v>
      </c>
      <c r="C176" s="21" t="s">
        <v>204</v>
      </c>
      <c r="D176" s="21" t="s">
        <v>945</v>
      </c>
      <c r="E176" s="13">
        <v>42895.414467592593</v>
      </c>
      <c r="F176" s="13">
        <v>42895.432546296295</v>
      </c>
      <c r="G176" s="7">
        <v>1</v>
      </c>
      <c r="H176" s="21" t="s">
        <v>935</v>
      </c>
      <c r="I176" s="13">
        <v>42895.441840277781</v>
      </c>
      <c r="J176" s="7">
        <v>0</v>
      </c>
      <c r="K176" s="92" t="str">
        <f t="shared" si="62"/>
        <v>4015/4016</v>
      </c>
      <c r="L176" s="21" t="str">
        <f>VLOOKUP(A176,'Trips&amp;Operators'!$C$1:$G$99999,5,FALSE)</f>
        <v>LALONDE GREGORY</v>
      </c>
      <c r="M176" s="6">
        <f t="shared" si="63"/>
        <v>9.2939814858254977E-3</v>
      </c>
      <c r="N176" s="7">
        <f t="shared" si="77"/>
        <v>13.383333339588717</v>
      </c>
      <c r="O176" s="7"/>
      <c r="P176" s="7"/>
      <c r="Q176" s="22"/>
      <c r="R176" s="173"/>
      <c r="S176" s="176">
        <f t="shared" si="78"/>
        <v>1</v>
      </c>
      <c r="T176" s="202" t="str">
        <f t="shared" si="64"/>
        <v>NorthBound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65"/>
        <v>https://d0f6bd738d7f1b3e5a7ca70fe4ff75f0.us-east-1.aws.found.io/app/kibana#/discover/Steve-Slow-Train-Analysis-(2080s-and-2083s)?_g=(refreshInterval:(display:Off,pause:!f,section:0,value:0),time:(from:'2017-06-09T08:56:50-0600',mode:absolute,to:'2017-06-09T11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6" s="204" t="str">
        <f t="shared" si="66"/>
        <v>N</v>
      </c>
      <c r="X176" s="204">
        <f t="shared" si="67"/>
        <v>1</v>
      </c>
      <c r="Y176" s="204">
        <f t="shared" si="79"/>
        <v>4.3200000000000002E-2</v>
      </c>
      <c r="Z176" s="204">
        <f t="shared" si="80"/>
        <v>5.8975999999999997</v>
      </c>
      <c r="AA176" s="204">
        <f t="shared" si="68"/>
        <v>5.8544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9"/>
        <v>0815-09</v>
      </c>
      <c r="AE176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176" s="77" t="str">
        <f t="shared" si="71"/>
        <v>"C:\Program Files (x86)\AstroGrep\AstroGrep.exe" /e /r /s /spath="%USERPROFILE%\AppData\Local\Temp\OnboardLogs" /stypes="app*4016*20170609*" /stext=" 16:.+((SYSTEM_STATE.+slice.+state.+changed )|(ment ac)|(multiple cpu faults)|(system.+state.+changed )|(\[timeout)|(PRM\|1\|D)|(kpr)|(kdp)|(train st.+moving)|(\|lc)|(penalty))"</v>
      </c>
      <c r="AG176" s="1" t="str">
        <f t="shared" si="72"/>
        <v>NW</v>
      </c>
      <c r="AH176" s="81" t="str">
        <f t="shared" si="73"/>
        <v>"%USERPROFILE%\Documents\GitHub\eaglep3\Utilities\RefineRTDCRunTimes.py" --tripid 815-09 --locoid 4016 --swversion DE.1.0.9.0 --startMP 204:432 --initTime 2017-06-09T09:56:50 --startdatetime 2017-06-09T10:22:52 --delay 1 --endMP 300:58976 --enddatetime 2017-06-09T10:36:15 --enforcementcount 0 &gt;&gt;C:\Users\stu\Documents\GitHub\eaglep3-reporting\EC\2017-06-09-refined-times.txt</v>
      </c>
      <c r="AI176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{"issue":{"subject":"","project_id":79,"tracker_id":40,"status_id":1,"priority_id":2,"assigned_to_id":23,"start_date":"2017-06-09","description":"","custom_fields":[{"id":1,"name":"Subdivision","value":"NW"},{"id":4,"name":"Milepost","value":"5.8976"},{"id":17,"name":"Train ID","value":"815-09"},{"id":16,"name":"Locomotive ID","value":"4016"},{"id":130,"name":"Impact","value":""},{"id":150,"name":"Time of Event (Mountain Time)","value":"10:36:15"},{"id":151,"name":"Denver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75"/>
        <v>start /low /b %USERPROFILE%\Documents\GitHub\eaglep3\Utilities\DownloadLogsFromS3.py --loco 4016 --day 2017-06-09</v>
      </c>
      <c r="AN176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16:36:15"},{"id":29,"name":"Sharepoint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710</v>
      </c>
      <c r="B177" s="7">
        <v>4015</v>
      </c>
      <c r="C177" s="21" t="s">
        <v>204</v>
      </c>
      <c r="D177" s="21" t="s">
        <v>946</v>
      </c>
      <c r="E177" s="13">
        <v>42895.442731481482</v>
      </c>
      <c r="F177" s="13">
        <v>42895.44458333333</v>
      </c>
      <c r="G177" s="7">
        <v>1</v>
      </c>
      <c r="H177" s="21" t="s">
        <v>583</v>
      </c>
      <c r="I177" s="13">
        <v>42895.456608796296</v>
      </c>
      <c r="J177" s="7">
        <v>0</v>
      </c>
      <c r="K177" s="92" t="str">
        <f t="shared" si="62"/>
        <v>4015/4016</v>
      </c>
      <c r="L177" s="21" t="str">
        <f>VLOOKUP(A177,'Trips&amp;Operators'!$C$1:$G$99999,5,FALSE)</f>
        <v>LALONDE GREGORY</v>
      </c>
      <c r="M177" s="6">
        <f t="shared" si="63"/>
        <v>1.2025462965539191E-2</v>
      </c>
      <c r="N177" s="7">
        <f t="shared" si="77"/>
        <v>17.316666670376435</v>
      </c>
      <c r="O177" s="7"/>
      <c r="P177" s="7"/>
      <c r="Q177" s="22"/>
      <c r="R177" s="173"/>
      <c r="S177" s="176">
        <f t="shared" si="78"/>
        <v>1</v>
      </c>
      <c r="T177" s="202" t="str">
        <f t="shared" si="64"/>
        <v>Southbound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65"/>
        <v>https://d0f6bd738d7f1b3e5a7ca70fe4ff75f0.us-east-1.aws.found.io/app/kibana#/discover/Steve-Slow-Train-Analysis-(2080s-and-2083s)?_g=(refreshInterval:(display:Off,pause:!f,section:0,value:0),time:(from:'2017-06-09T09:37:32-0600',mode:absolute,to:'2017-06-09T11:57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7" s="204" t="str">
        <f t="shared" si="66"/>
        <v>N</v>
      </c>
      <c r="X177" s="204">
        <f t="shared" si="67"/>
        <v>1</v>
      </c>
      <c r="Y177" s="204">
        <f t="shared" si="79"/>
        <v>5.8655999999999997</v>
      </c>
      <c r="Z177" s="204">
        <f t="shared" si="80"/>
        <v>6.9099999999999995E-2</v>
      </c>
      <c r="AA177" s="204">
        <f t="shared" si="68"/>
        <v>5.7965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9"/>
        <v>0816-09</v>
      </c>
      <c r="AE177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177" s="77" t="str">
        <f t="shared" si="71"/>
        <v>"C:\Program Files (x86)\AstroGrep\AstroGrep.exe" /e /r /s /spath="%USERPROFILE%\AppData\Local\Temp\OnboardLogs" /stypes="app*4015*20170609*" /stext=" 16:.+((SYSTEM_STATE.+slice.+state.+changed )|(ment ac)|(multiple cpu faults)|(system.+state.+changed )|(\[timeout)|(PRM\|1\|D)|(kpr)|(kdp)|(train st.+moving)|(\|lc)|(penalty))"</v>
      </c>
      <c r="AG177" s="1" t="str">
        <f t="shared" si="72"/>
        <v>NW</v>
      </c>
      <c r="AH177" s="81" t="str">
        <f t="shared" si="73"/>
        <v>"%USERPROFILE%\Documents\GitHub\eaglep3\Utilities\RefineRTDCRunTimes.py" --tripid 816-09 --locoid 4015 --swversion DE.1.0.9.0 --startMP 300:58656 --initTime 2017-06-09T10:37:32 --startdatetime 2017-06-09T10:40:12 --delay 1 --endMP 204:691 --enddatetime 2017-06-09T10:57:31 --enforcementcount 0 &gt;&gt;C:\Users\stu\Documents\GitHub\eaglep3-reporting\EC\2017-06-09-refined-times.txt</v>
      </c>
      <c r="AI177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{"issue":{"subject":"","project_id":79,"tracker_id":40,"status_id":1,"priority_id":2,"assigned_to_id":23,"start_date":"2017-06-09","description":"","custom_fields":[{"id":1,"name":"Subdivision","value":"NW"},{"id":4,"name":"Milepost","value":"0.0691"},{"id":17,"name":"Train ID","value":"816-09"},{"id":16,"name":"Locomotive ID","value":"4015"},{"id":130,"name":"Impact","value":""},{"id":150,"name":"Time of Event (Mountain Time)","value":"10:57:31"},{"id":151,"name":"Denver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75"/>
        <v>start /low /b %USERPROFILE%\Documents\GitHub\eaglep3\Utilities\DownloadLogsFromS3.py --loco 4015 --day 2017-06-09</v>
      </c>
      <c r="AN177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16:57:31"},{"id":29,"name":"Sharepoint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720</v>
      </c>
      <c r="B178" s="7">
        <v>4016</v>
      </c>
      <c r="C178" s="21" t="s">
        <v>204</v>
      </c>
      <c r="D178" s="21" t="s">
        <v>578</v>
      </c>
      <c r="E178" s="13">
        <v>42895.465775462966</v>
      </c>
      <c r="F178" s="13">
        <v>42895.473090277781</v>
      </c>
      <c r="G178" s="7">
        <v>0</v>
      </c>
      <c r="H178" s="21" t="s">
        <v>947</v>
      </c>
      <c r="I178" s="13">
        <v>42895.482245370367</v>
      </c>
      <c r="J178" s="7">
        <v>0</v>
      </c>
      <c r="K178" s="92" t="str">
        <f t="shared" si="62"/>
        <v>4015/4016</v>
      </c>
      <c r="L178" s="21" t="str">
        <f>VLOOKUP(A178,'Trips&amp;Operators'!$C$1:$G$99999,5,FALSE)</f>
        <v>LALONDE GREGORY</v>
      </c>
      <c r="M178" s="6">
        <f t="shared" si="63"/>
        <v>9.1550925862975419E-3</v>
      </c>
      <c r="N178" s="7">
        <f t="shared" si="77"/>
        <v>13.18333332426846</v>
      </c>
      <c r="O178" s="7"/>
      <c r="P178" s="7"/>
      <c r="Q178" s="22"/>
      <c r="R178" s="173"/>
      <c r="S178" s="176">
        <f t="shared" si="78"/>
        <v>1</v>
      </c>
      <c r="T178" s="202" t="str">
        <f t="shared" si="64"/>
        <v>NorthBound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65"/>
        <v>https://d0f6bd738d7f1b3e5a7ca70fe4ff75f0.us-east-1.aws.found.io/app/kibana#/discover/Steve-Slow-Train-Analysis-(2080s-and-2083s)?_g=(refreshInterval:(display:Off,pause:!f,section:0,value:0),time:(from:'2017-06-09T10:10:43-0600',mode:absolute,to:'2017-06-09T12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8" s="204" t="str">
        <f t="shared" si="66"/>
        <v>N</v>
      </c>
      <c r="X178" s="204">
        <f t="shared" si="67"/>
        <v>1</v>
      </c>
      <c r="Y178" s="204">
        <f t="shared" si="79"/>
        <v>9.74E-2</v>
      </c>
      <c r="Z178" s="204">
        <f t="shared" si="80"/>
        <v>5.8971</v>
      </c>
      <c r="AA178" s="204">
        <f t="shared" si="68"/>
        <v>5.7996999999999996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9"/>
        <v>0817-09</v>
      </c>
      <c r="AE178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178" s="77" t="str">
        <f t="shared" si="71"/>
        <v>"C:\Program Files (x86)\AstroGrep\AstroGrep.exe" /e /r /s /spath="%USERPROFILE%\AppData\Local\Temp\OnboardLogs" /stypes="app*4016*20170609*" /stext=" 17:.+((SYSTEM_STATE.+slice.+state.+changed )|(ment ac)|(multiple cpu faults)|(system.+state.+changed )|(\[timeout)|(PRM\|1\|D)|(kpr)|(kdp)|(train st.+moving)|(\|lc)|(penalty))"</v>
      </c>
      <c r="AG178" s="1" t="str">
        <f t="shared" si="72"/>
        <v>NW</v>
      </c>
      <c r="AH178" s="81" t="str">
        <f t="shared" si="73"/>
        <v>"%USERPROFILE%\Documents\GitHub\eaglep3\Utilities\RefineRTDCRunTimes.py" --tripid 817-09 --locoid 4016 --swversion DE.1.0.9.0 --startMP 204:974 --initTime 2017-06-09T11:10:43 --startdatetime 2017-06-09T11:21:15 --delay 0 --endMP 300:58971 --enddatetime 2017-06-09T11:34:26 --enforcementcount 0 &gt;&gt;C:\Users\stu\Documents\GitHub\eaglep3-reporting\EC\2017-06-09-refined-times.txt</v>
      </c>
      <c r="AI178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{"issue":{"subject":"","project_id":79,"tracker_id":40,"status_id":1,"priority_id":2,"assigned_to_id":23,"start_date":"2017-06-09","description":"","custom_fields":[{"id":1,"name":"Subdivision","value":"NW"},{"id":4,"name":"Milepost","value":"5.8971"},{"id":17,"name":"Train ID","value":"817-09"},{"id":16,"name":"Locomotive ID","value":"4016"},{"id":130,"name":"Impact","value":""},{"id":150,"name":"Time of Event (Mountain Time)","value":"11:34:26"},{"id":151,"name":"Denver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75"/>
        <v>start /low /b %USERPROFILE%\Documents\GitHub\eaglep3\Utilities\DownloadLogsFromS3.py --loco 4016 --day 2017-06-09</v>
      </c>
      <c r="AN178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17:34:26"},{"id":29,"name":"Sharepoint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603</v>
      </c>
      <c r="B179" s="7">
        <v>4015</v>
      </c>
      <c r="C179" s="21" t="s">
        <v>204</v>
      </c>
      <c r="D179" s="21" t="s">
        <v>550</v>
      </c>
      <c r="E179" s="13">
        <v>42895.483078703706</v>
      </c>
      <c r="F179" s="13">
        <v>42895.484467592592</v>
      </c>
      <c r="G179" s="7">
        <v>1</v>
      </c>
      <c r="H179" s="21" t="s">
        <v>948</v>
      </c>
      <c r="I179" s="13">
        <v>42895.49596064815</v>
      </c>
      <c r="J179" s="7">
        <v>0</v>
      </c>
      <c r="K179" s="92" t="str">
        <f t="shared" si="62"/>
        <v>4015/4016</v>
      </c>
      <c r="L179" s="21" t="str">
        <f>VLOOKUP(A179,'Trips&amp;Operators'!$C$1:$G$99999,5,FALSE)</f>
        <v>LALONDE GREGORY</v>
      </c>
      <c r="M179" s="6">
        <f t="shared" si="63"/>
        <v>1.1493055557366461E-2</v>
      </c>
      <c r="N179" s="7">
        <f t="shared" si="77"/>
        <v>16.550000002607703</v>
      </c>
      <c r="O179" s="7"/>
      <c r="P179" s="7"/>
      <c r="Q179" s="22"/>
      <c r="R179" s="173"/>
      <c r="S179" s="176">
        <f t="shared" si="78"/>
        <v>1</v>
      </c>
      <c r="T179" s="202" t="str">
        <f t="shared" si="64"/>
        <v>Southbound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65"/>
        <v>https://d0f6bd738d7f1b3e5a7ca70fe4ff75f0.us-east-1.aws.found.io/app/kibana#/discover/Steve-Slow-Train-Analysis-(2080s-and-2083s)?_g=(refreshInterval:(display:Off,pause:!f,section:0,value:0),time:(from:'2017-06-09T10:35:38-0600',mode:absolute,to:'2017-06-09T12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9" s="204" t="str">
        <f t="shared" si="66"/>
        <v>N</v>
      </c>
      <c r="X179" s="204">
        <f t="shared" si="67"/>
        <v>1</v>
      </c>
      <c r="Y179" s="204">
        <f t="shared" si="79"/>
        <v>5.8651</v>
      </c>
      <c r="Z179" s="204">
        <f t="shared" si="80"/>
        <v>7.7799999999999994E-2</v>
      </c>
      <c r="AA179" s="204">
        <f t="shared" si="68"/>
        <v>5.7873000000000001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9"/>
        <v>0818-09</v>
      </c>
      <c r="AE179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179" s="77" t="str">
        <f t="shared" si="71"/>
        <v>"C:\Program Files (x86)\AstroGrep\AstroGrep.exe" /e /r /s /spath="%USERPROFILE%\AppData\Local\Temp\OnboardLogs" /stypes="app*4015*20170609*" /stext=" 17:.+((SYSTEM_STATE.+slice.+state.+changed )|(ment ac)|(multiple cpu faults)|(system.+state.+changed )|(\[timeout)|(PRM\|1\|D)|(kpr)|(kdp)|(train st.+moving)|(\|lc)|(penalty))"</v>
      </c>
      <c r="AG179" s="1" t="str">
        <f t="shared" si="72"/>
        <v>NW</v>
      </c>
      <c r="AH179" s="81" t="str">
        <f t="shared" si="73"/>
        <v>"%USERPROFILE%\Documents\GitHub\eaglep3\Utilities\RefineRTDCRunTimes.py" --tripid 818-09 --locoid 4015 --swversion DE.1.0.9.0 --startMP 300:58651 --initTime 2017-06-09T11:35:38 --startdatetime 2017-06-09T11:37:38 --delay 1 --endMP 204:778 --enddatetime 2017-06-09T11:54:11 --enforcementcount 0 &gt;&gt;C:\Users\stu\Documents\GitHub\eaglep3-reporting\EC\2017-06-09-refined-times.txt</v>
      </c>
      <c r="AI179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{"issue":{"subject":"","project_id":79,"tracker_id":40,"status_id":1,"priority_id":2,"assigned_to_id":23,"start_date":"2017-06-09","description":"","custom_fields":[{"id":1,"name":"Subdivision","value":"NW"},{"id":4,"name":"Milepost","value":"0.0778"},{"id":17,"name":"Train ID","value":"818-09"},{"id":16,"name":"Locomotive ID","value":"4015"},{"id":130,"name":"Impact","value":""},{"id":150,"name":"Time of Event (Mountain Time)","value":"11:54:11"},{"id":151,"name":"Denver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75"/>
        <v>start /low /b %USERPROFILE%\Documents\GitHub\eaglep3\Utilities\DownloadLogsFromS3.py --loco 4015 --day 2017-06-09</v>
      </c>
      <c r="AN179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17:54:11"},{"id":29,"name":"Sharepoint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729</v>
      </c>
      <c r="B180" s="7">
        <v>4016</v>
      </c>
      <c r="C180" s="21" t="s">
        <v>204</v>
      </c>
      <c r="D180" s="21" t="s">
        <v>949</v>
      </c>
      <c r="E180" s="13">
        <v>42895.497337962966</v>
      </c>
      <c r="F180" s="13">
        <v>42895.514745370368</v>
      </c>
      <c r="G180" s="7">
        <v>1</v>
      </c>
      <c r="H180" s="21" t="s">
        <v>935</v>
      </c>
      <c r="I180" s="13">
        <v>42895.523784722223</v>
      </c>
      <c r="J180" s="7">
        <v>0</v>
      </c>
      <c r="K180" s="92" t="str">
        <f t="shared" si="62"/>
        <v>4015/4016</v>
      </c>
      <c r="L180" s="21" t="str">
        <f>VLOOKUP(A180,'Trips&amp;Operators'!$C$1:$G$99999,5,FALSE)</f>
        <v>LALONDE GREGORY</v>
      </c>
      <c r="M180" s="6">
        <f t="shared" si="63"/>
        <v>9.0393518548808061E-3</v>
      </c>
      <c r="N180" s="7">
        <f t="shared" si="77"/>
        <v>13.016666671028361</v>
      </c>
      <c r="O180" s="7"/>
      <c r="P180" s="7"/>
      <c r="Q180" s="22"/>
      <c r="R180" s="173"/>
      <c r="S180" s="176">
        <f t="shared" si="78"/>
        <v>1</v>
      </c>
      <c r="T180" s="202" t="str">
        <f t="shared" si="64"/>
        <v>NorthBound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65"/>
        <v>https://d0f6bd738d7f1b3e5a7ca70fe4ff75f0.us-east-1.aws.found.io/app/kibana#/discover/Steve-Slow-Train-Analysis-(2080s-and-2083s)?_g=(refreshInterval:(display:Off,pause:!f,section:0,value:0),time:(from:'2017-06-09T10:56:10-0600',mode:absolute,to:'2017-06-09T13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0" s="204" t="str">
        <f t="shared" si="66"/>
        <v>N</v>
      </c>
      <c r="X180" s="204">
        <f t="shared" si="67"/>
        <v>1</v>
      </c>
      <c r="Y180" s="204">
        <f t="shared" si="79"/>
        <v>0.107</v>
      </c>
      <c r="Z180" s="204">
        <f t="shared" si="80"/>
        <v>5.8975999999999997</v>
      </c>
      <c r="AA180" s="204">
        <f t="shared" si="68"/>
        <v>5.7905999999999995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9"/>
        <v>0819-09</v>
      </c>
      <c r="AE180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180" s="77" t="str">
        <f t="shared" si="71"/>
        <v>"C:\Program Files (x86)\AstroGrep\AstroGrep.exe" /e /r /s /spath="%USERPROFILE%\AppData\Local\Temp\OnboardLogs" /stypes="app*4016*20170609*" /stext=" 18:.+((SYSTEM_STATE.+slice.+state.+changed )|(ment ac)|(multiple cpu faults)|(system.+state.+changed )|(\[timeout)|(PRM\|1\|D)|(kpr)|(kdp)|(train st.+moving)|(\|lc)|(penalty))"</v>
      </c>
      <c r="AG180" s="1" t="str">
        <f t="shared" si="72"/>
        <v>NW</v>
      </c>
      <c r="AH180" s="81" t="str">
        <f t="shared" si="73"/>
        <v>"%USERPROFILE%\Documents\GitHub\eaglep3\Utilities\RefineRTDCRunTimes.py" --tripid 819-09 --locoid 4016 --swversion DE.1.0.9.0 --startMP 204:1070 --initTime 2017-06-09T11:56:10 --startdatetime 2017-06-09T12:21:14 --delay 1 --endMP 300:58976 --enddatetime 2017-06-09T12:34:15 --enforcementcount 0 &gt;&gt;C:\Users\stu\Documents\GitHub\eaglep3-reporting\EC\2017-06-09-refined-times.txt</v>
      </c>
      <c r="AI180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{"issue":{"subject":"","project_id":79,"tracker_id":40,"status_id":1,"priority_id":2,"assigned_to_id":23,"start_date":"2017-06-09","description":"","custom_fields":[{"id":1,"name":"Subdivision","value":"NW"},{"id":4,"name":"Milepost","value":"5.8976"},{"id":17,"name":"Train ID","value":"819-09"},{"id":16,"name":"Locomotive ID","value":"4016"},{"id":130,"name":"Impact","value":""},{"id":150,"name":"Time of Event (Mountain Time)","value":"12:34:15"},{"id":151,"name":"Denver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75"/>
        <v>start /low /b %USERPROFILE%\Documents\GitHub\eaglep3\Utilities\DownloadLogsFromS3.py --loco 4016 --day 2017-06-09</v>
      </c>
      <c r="AN180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18:34:15"},{"id":29,"name":"Sharepoint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605</v>
      </c>
      <c r="B181" s="7">
        <v>4015</v>
      </c>
      <c r="C181" s="21" t="s">
        <v>204</v>
      </c>
      <c r="D181" s="21" t="s">
        <v>950</v>
      </c>
      <c r="E181" s="13">
        <v>42895.524652777778</v>
      </c>
      <c r="F181" s="13">
        <v>42895.526400462964</v>
      </c>
      <c r="G181" s="7">
        <v>1</v>
      </c>
      <c r="H181" s="21" t="s">
        <v>583</v>
      </c>
      <c r="I181" s="13">
        <v>42895.538298611114</v>
      </c>
      <c r="J181" s="7">
        <v>0</v>
      </c>
      <c r="K181" s="92" t="str">
        <f t="shared" si="62"/>
        <v>4015/4016</v>
      </c>
      <c r="L181" s="21" t="str">
        <f>VLOOKUP(A181,'Trips&amp;Operators'!$C$1:$G$99999,5,FALSE)</f>
        <v>LALONDE GREGORY</v>
      </c>
      <c r="M181" s="6">
        <f t="shared" si="63"/>
        <v>1.1898148150066845E-2</v>
      </c>
      <c r="N181" s="7">
        <f t="shared" si="77"/>
        <v>17.133333336096257</v>
      </c>
      <c r="O181" s="7"/>
      <c r="P181" s="7"/>
      <c r="Q181" s="22"/>
      <c r="R181" s="173"/>
      <c r="S181" s="176">
        <f t="shared" si="78"/>
        <v>1</v>
      </c>
      <c r="T181" s="202" t="str">
        <f t="shared" si="64"/>
        <v>Southbound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65"/>
        <v>https://d0f6bd738d7f1b3e5a7ca70fe4ff75f0.us-east-1.aws.found.io/app/kibana#/discover/Steve-Slow-Train-Analysis-(2080s-and-2083s)?_g=(refreshInterval:(display:Off,pause:!f,section:0,value:0),time:(from:'2017-06-09T11:35:30-0600',mode:absolute,to:'2017-06-09T13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1" s="204" t="str">
        <f t="shared" si="66"/>
        <v>N</v>
      </c>
      <c r="X181" s="204">
        <f t="shared" si="67"/>
        <v>1</v>
      </c>
      <c r="Y181" s="204">
        <f t="shared" si="79"/>
        <v>5.8663999999999996</v>
      </c>
      <c r="Z181" s="204">
        <f t="shared" si="80"/>
        <v>6.9099999999999995E-2</v>
      </c>
      <c r="AA181" s="204">
        <f t="shared" si="68"/>
        <v>5.7972999999999999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9"/>
        <v>0820-09</v>
      </c>
      <c r="AE181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181" s="77" t="str">
        <f t="shared" si="71"/>
        <v>"C:\Program Files (x86)\AstroGrep\AstroGrep.exe" /e /r /s /spath="%USERPROFILE%\AppData\Local\Temp\OnboardLogs" /stypes="app*4015*20170609*" /stext=" 18:.+((SYSTEM_STATE.+slice.+state.+changed )|(ment ac)|(multiple cpu faults)|(system.+state.+changed )|(\[timeout)|(PRM\|1\|D)|(kpr)|(kdp)|(train st.+moving)|(\|lc)|(penalty))"</v>
      </c>
      <c r="AG181" s="1" t="str">
        <f t="shared" si="72"/>
        <v>NW</v>
      </c>
      <c r="AH181" s="81" t="str">
        <f t="shared" si="73"/>
        <v>"%USERPROFILE%\Documents\GitHub\eaglep3\Utilities\RefineRTDCRunTimes.py" --tripid 820-09 --locoid 4015 --swversion DE.1.0.9.0 --startMP 300:58664 --initTime 2017-06-09T12:35:30 --startdatetime 2017-06-09T12:38:01 --delay 1 --endMP 204:691 --enddatetime 2017-06-09T12:55:09 --enforcementcount 0 &gt;&gt;C:\Users\stu\Documents\GitHub\eaglep3-reporting\EC\2017-06-09-refined-times.txt</v>
      </c>
      <c r="AI181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{"issue":{"subject":"","project_id":79,"tracker_id":40,"status_id":1,"priority_id":2,"assigned_to_id":23,"start_date":"2017-06-09","description":"","custom_fields":[{"id":1,"name":"Subdivision","value":"NW"},{"id":4,"name":"Milepost","value":"0.0691"},{"id":17,"name":"Train ID","value":"820-09"},{"id":16,"name":"Locomotive ID","value":"4015"},{"id":130,"name":"Impact","value":""},{"id":150,"name":"Time of Event (Mountain Time)","value":"12:55:09"},{"id":151,"name":"Denver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75"/>
        <v>start /low /b %USERPROFILE%\Documents\GitHub\eaglep3\Utilities\DownloadLogsFromS3.py --loco 4015 --day 2017-06-09</v>
      </c>
      <c r="AN181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18:55:09"},{"id":29,"name":"Sharepoint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737</v>
      </c>
      <c r="B182" s="7">
        <v>4016</v>
      </c>
      <c r="C182" s="21" t="s">
        <v>204</v>
      </c>
      <c r="D182" s="21" t="s">
        <v>951</v>
      </c>
      <c r="E182" s="13">
        <v>42895.541493055556</v>
      </c>
      <c r="F182" s="13">
        <v>42895.556493055556</v>
      </c>
      <c r="G182" s="7">
        <v>2</v>
      </c>
      <c r="H182" s="21" t="s">
        <v>952</v>
      </c>
      <c r="I182" s="13">
        <v>42895.565891203703</v>
      </c>
      <c r="J182" s="7">
        <v>0</v>
      </c>
      <c r="K182" s="92" t="str">
        <f t="shared" si="62"/>
        <v>4015/4016</v>
      </c>
      <c r="L182" s="21" t="str">
        <f>VLOOKUP(A182,'Trips&amp;Operators'!$C$1:$G$99999,5,FALSE)</f>
        <v>BERLING GARY</v>
      </c>
      <c r="M182" s="6">
        <f t="shared" si="63"/>
        <v>9.3981481477385387E-3</v>
      </c>
      <c r="N182" s="7">
        <f t="shared" si="77"/>
        <v>13.533333332743496</v>
      </c>
      <c r="O182" s="7"/>
      <c r="P182" s="7"/>
      <c r="Q182" s="22"/>
      <c r="R182" s="173"/>
      <c r="S182" s="176">
        <f t="shared" si="78"/>
        <v>1</v>
      </c>
      <c r="T182" s="202" t="str">
        <f t="shared" si="64"/>
        <v>NorthBound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65"/>
        <v>https://d0f6bd738d7f1b3e5a7ca70fe4ff75f0.us-east-1.aws.found.io/app/kibana#/discover/Steve-Slow-Train-Analysis-(2080s-and-2083s)?_g=(refreshInterval:(display:Off,pause:!f,section:0,value:0),time:(from:'2017-06-09T11:59:45-0600',mode:absolute,to:'2017-06-09T14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2" s="204" t="str">
        <f t="shared" si="66"/>
        <v>N</v>
      </c>
      <c r="X182" s="204">
        <f t="shared" si="67"/>
        <v>1</v>
      </c>
      <c r="Y182" s="204">
        <f t="shared" si="79"/>
        <v>9.7600000000000006E-2</v>
      </c>
      <c r="Z182" s="204">
        <f t="shared" si="80"/>
        <v>5.8920000000000003</v>
      </c>
      <c r="AA182" s="204">
        <f t="shared" si="68"/>
        <v>5.7944000000000004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9"/>
        <v>0821-09</v>
      </c>
      <c r="AE182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182" s="77" t="str">
        <f t="shared" si="71"/>
        <v>"C:\Program Files (x86)\AstroGrep\AstroGrep.exe" /e /r /s /spath="%USERPROFILE%\AppData\Local\Temp\OnboardLogs" /stypes="app*4016*20170609*" /stext=" 19:.+((SYSTEM_STATE.+slice.+state.+changed )|(ment ac)|(multiple cpu faults)|(system.+state.+changed )|(\[timeout)|(PRM\|1\|D)|(kpr)|(kdp)|(train st.+moving)|(\|lc)|(penalty))"</v>
      </c>
      <c r="AG182" s="1" t="str">
        <f t="shared" si="72"/>
        <v>NW</v>
      </c>
      <c r="AH182" s="81" t="str">
        <f t="shared" si="73"/>
        <v>"%USERPROFILE%\Documents\GitHub\eaglep3\Utilities\RefineRTDCRunTimes.py" --tripid 821-09 --locoid 4016 --swversion DE.1.0.9.0 --startMP 204:976 --initTime 2017-06-09T12:59:45 --startdatetime 2017-06-09T13:21:21 --delay 2 --endMP 300:58920 --enddatetime 2017-06-09T13:34:53 --enforcementcount 0 &gt;&gt;C:\Users\stu\Documents\GitHub\eaglep3-reporting\EC\2017-06-09-refined-times.txt</v>
      </c>
      <c r="AI182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{"issue":{"subject":"","project_id":79,"tracker_id":40,"status_id":1,"priority_id":2,"assigned_to_id":23,"start_date":"2017-06-09","description":"","custom_fields":[{"id":1,"name":"Subdivision","value":"NW"},{"id":4,"name":"Milepost","value":"5.892"},{"id":17,"name":"Train ID","value":"821-09"},{"id":16,"name":"Locomotive ID","value":"4016"},{"id":130,"name":"Impact","value":""},{"id":150,"name":"Time of Event (Mountain Time)","value":"13:34:53"},{"id":151,"name":"Denver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75"/>
        <v>start /low /b %USERPROFILE%\Documents\GitHub\eaglep3\Utilities\DownloadLogsFromS3.py --loco 4016 --day 2017-06-09</v>
      </c>
      <c r="AN182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19:34:53"},{"id":29,"name":"Sharepoint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745</v>
      </c>
      <c r="B183" s="7">
        <v>4015</v>
      </c>
      <c r="C183" s="21" t="s">
        <v>204</v>
      </c>
      <c r="D183" s="21" t="s">
        <v>502</v>
      </c>
      <c r="E183" s="13">
        <v>42895.567256944443</v>
      </c>
      <c r="F183" s="13">
        <v>42895.568796296298</v>
      </c>
      <c r="G183" s="7">
        <v>1</v>
      </c>
      <c r="H183" s="21" t="s">
        <v>579</v>
      </c>
      <c r="I183" s="13">
        <v>42895.580497685187</v>
      </c>
      <c r="J183" s="7">
        <v>0</v>
      </c>
      <c r="K183" s="92" t="str">
        <f t="shared" si="62"/>
        <v>4015/4016</v>
      </c>
      <c r="L183" s="21" t="str">
        <f>VLOOKUP(A183,'Trips&amp;Operators'!$C$1:$G$99999,5,FALSE)</f>
        <v>BERLING GARY</v>
      </c>
      <c r="M183" s="6">
        <f t="shared" si="63"/>
        <v>1.17013888884685E-2</v>
      </c>
      <c r="N183" s="7">
        <f t="shared" si="77"/>
        <v>16.84999999939464</v>
      </c>
      <c r="O183" s="7"/>
      <c r="P183" s="7"/>
      <c r="Q183" s="22"/>
      <c r="R183" s="173"/>
      <c r="S183" s="176">
        <f t="shared" si="78"/>
        <v>1</v>
      </c>
      <c r="T183" s="202" t="str">
        <f t="shared" si="64"/>
        <v>Southbound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65"/>
        <v>https://d0f6bd738d7f1b3e5a7ca70fe4ff75f0.us-east-1.aws.found.io/app/kibana#/discover/Steve-Slow-Train-Analysis-(2080s-and-2083s)?_g=(refreshInterval:(display:Off,pause:!f,section:0,value:0),time:(from:'2017-06-09T12:36:51-0600',mode:absolute,to:'2017-06-09T14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3" s="204" t="str">
        <f t="shared" si="66"/>
        <v>N</v>
      </c>
      <c r="X183" s="204">
        <f t="shared" si="67"/>
        <v>1</v>
      </c>
      <c r="Y183" s="204">
        <f t="shared" si="79"/>
        <v>5.8615000000000004</v>
      </c>
      <c r="Z183" s="204">
        <f t="shared" si="80"/>
        <v>6.8500000000000005E-2</v>
      </c>
      <c r="AA183" s="204">
        <f t="shared" si="68"/>
        <v>5.7930000000000001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9"/>
        <v>0822-09</v>
      </c>
      <c r="AE183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183" s="77" t="str">
        <f t="shared" si="71"/>
        <v>"C:\Program Files (x86)\AstroGrep\AstroGrep.exe" /e /r /s /spath="%USERPROFILE%\AppData\Local\Temp\OnboardLogs" /stypes="app*4015*20170609*" /stext=" 19:.+((SYSTEM_STATE.+slice.+state.+changed )|(ment ac)|(multiple cpu faults)|(system.+state.+changed )|(\[timeout)|(PRM\|1\|D)|(kpr)|(kdp)|(train st.+moving)|(\|lc)|(penalty))"</v>
      </c>
      <c r="AG183" s="1" t="str">
        <f t="shared" si="72"/>
        <v>NW</v>
      </c>
      <c r="AH183" s="81" t="str">
        <f t="shared" si="73"/>
        <v>"%USERPROFILE%\Documents\GitHub\eaglep3\Utilities\RefineRTDCRunTimes.py" --tripid 822-09 --locoid 4015 --swversion DE.1.0.9.0 --startMP 300:58615 --initTime 2017-06-09T13:36:51 --startdatetime 2017-06-09T13:39:04 --delay 1 --endMP 204:685 --enddatetime 2017-06-09T13:55:55 --enforcementcount 0 &gt;&gt;C:\Users\stu\Documents\GitHub\eaglep3-reporting\EC\2017-06-09-refined-times.txt</v>
      </c>
      <c r="AI183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{"issue":{"subject":"","project_id":79,"tracker_id":40,"status_id":1,"priority_id":2,"assigned_to_id":23,"start_date":"2017-06-09","description":"","custom_fields":[{"id":1,"name":"Subdivision","value":"NW"},{"id":4,"name":"Milepost","value":"0.0685"},{"id":17,"name":"Train ID","value":"822-09"},{"id":16,"name":"Locomotive ID","value":"4015"},{"id":130,"name":"Impact","value":""},{"id":150,"name":"Time of Event (Mountain Time)","value":"13:55:55"},{"id":151,"name":"Denver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75"/>
        <v>start /low /b %USERPROFILE%\Documents\GitHub\eaglep3\Utilities\DownloadLogsFromS3.py --loco 4015 --day 2017-06-09</v>
      </c>
      <c r="AN183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19:55:55"},{"id":29,"name":"Sharepoint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748</v>
      </c>
      <c r="B184" s="7">
        <v>4016</v>
      </c>
      <c r="C184" s="21" t="s">
        <v>204</v>
      </c>
      <c r="D184" s="21" t="s">
        <v>548</v>
      </c>
      <c r="E184" s="13">
        <v>42895.586689814816</v>
      </c>
      <c r="F184" s="13">
        <v>42895.598182870373</v>
      </c>
      <c r="G184" s="7">
        <v>2</v>
      </c>
      <c r="H184" s="21" t="s">
        <v>953</v>
      </c>
      <c r="I184" s="13">
        <v>42895.608252314814</v>
      </c>
      <c r="J184" s="7">
        <v>0</v>
      </c>
      <c r="K184" s="92" t="str">
        <f t="shared" si="62"/>
        <v>4015/4016</v>
      </c>
      <c r="L184" s="21" t="str">
        <f>VLOOKUP(A184,'Trips&amp;Operators'!$C$1:$G$99999,5,FALSE)</f>
        <v>BERLING GARY</v>
      </c>
      <c r="M184" s="6">
        <f t="shared" si="63"/>
        <v>1.006944444088731E-2</v>
      </c>
      <c r="N184" s="7">
        <f t="shared" si="77"/>
        <v>14.499999994877726</v>
      </c>
      <c r="O184" s="7"/>
      <c r="P184" s="7"/>
      <c r="Q184" s="22"/>
      <c r="R184" s="173"/>
      <c r="S184" s="176">
        <f t="shared" si="78"/>
        <v>1</v>
      </c>
      <c r="T184" s="202" t="str">
        <f t="shared" si="64"/>
        <v>NorthBound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65"/>
        <v>https://d0f6bd738d7f1b3e5a7ca70fe4ff75f0.us-east-1.aws.found.io/app/kibana#/discover/Steve-Slow-Train-Analysis-(2080s-and-2083s)?_g=(refreshInterval:(display:Off,pause:!f,section:0,value:0),time:(from:'2017-06-09T13:04:50-0600',mode:absolute,to:'2017-06-09T15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4" s="204" t="str">
        <f t="shared" si="66"/>
        <v>N</v>
      </c>
      <c r="X184" s="204">
        <f t="shared" si="67"/>
        <v>1</v>
      </c>
      <c r="Y184" s="204">
        <f t="shared" si="79"/>
        <v>9.7199999999999995E-2</v>
      </c>
      <c r="Z184" s="204">
        <f t="shared" si="80"/>
        <v>5.8956</v>
      </c>
      <c r="AA184" s="204">
        <f t="shared" si="68"/>
        <v>5.7984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9"/>
        <v>0823-09</v>
      </c>
      <c r="AE184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184" s="77" t="str">
        <f t="shared" si="71"/>
        <v>"C:\Program Files (x86)\AstroGrep\AstroGrep.exe" /e /r /s /spath="%USERPROFILE%\AppData\Local\Temp\OnboardLogs" /stypes="app*4016*20170609*" /stext=" 20:.+((SYSTEM_STATE.+slice.+state.+changed )|(ment ac)|(multiple cpu faults)|(system.+state.+changed )|(\[timeout)|(PRM\|1\|D)|(kpr)|(kdp)|(train st.+moving)|(\|lc)|(penalty))"</v>
      </c>
      <c r="AG184" s="1" t="str">
        <f t="shared" si="72"/>
        <v>NW</v>
      </c>
      <c r="AH184" s="81" t="str">
        <f t="shared" si="73"/>
        <v>"%USERPROFILE%\Documents\GitHub\eaglep3\Utilities\RefineRTDCRunTimes.py" --tripid 823-09 --locoid 4016 --swversion DE.1.0.9.0 --startMP 204:972 --initTime 2017-06-09T14:04:50 --startdatetime 2017-06-09T14:21:23 --delay 2 --endMP 300:58956 --enddatetime 2017-06-09T14:35:53 --enforcementcount 0 &gt;&gt;C:\Users\stu\Documents\GitHub\eaglep3-reporting\EC\2017-06-09-refined-times.txt</v>
      </c>
      <c r="AI184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{"issue":{"subject":"","project_id":79,"tracker_id":40,"status_id":1,"priority_id":2,"assigned_to_id":23,"start_date":"2017-06-09","description":"","custom_fields":[{"id":1,"name":"Subdivision","value":"NW"},{"id":4,"name":"Milepost","value":"5.8956"},{"id":17,"name":"Train ID","value":"823-09"},{"id":16,"name":"Locomotive ID","value":"4016"},{"id":130,"name":"Impact","value":""},{"id":150,"name":"Time of Event (Mountain Time)","value":"14:35:53"},{"id":151,"name":"Denver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75"/>
        <v>start /low /b %USERPROFILE%\Documents\GitHub\eaglep3\Utilities\DownloadLogsFromS3.py --loco 4016 --day 2017-06-09</v>
      </c>
      <c r="AN184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20:35:53"},{"id":29,"name":"Sharepoint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s="20" customFormat="1" x14ac:dyDescent="0.25">
      <c r="A185" s="32" t="s">
        <v>610</v>
      </c>
      <c r="B185" s="7">
        <v>4015</v>
      </c>
      <c r="C185" s="21" t="s">
        <v>204</v>
      </c>
      <c r="D185" s="21" t="s">
        <v>954</v>
      </c>
      <c r="E185" s="13">
        <v>42895.608993055554</v>
      </c>
      <c r="F185" s="13">
        <v>42895.610937500001</v>
      </c>
      <c r="G185" s="7">
        <v>2</v>
      </c>
      <c r="H185" s="21" t="s">
        <v>928</v>
      </c>
      <c r="I185" s="13">
        <v>42895.62226851852</v>
      </c>
      <c r="J185" s="7">
        <v>0</v>
      </c>
      <c r="K185" s="92" t="str">
        <f t="shared" si="62"/>
        <v>4015/4016</v>
      </c>
      <c r="L185" s="21" t="str">
        <f>VLOOKUP(A185,'Trips&amp;Operators'!$C$1:$G$99999,5,FALSE)</f>
        <v>BERLING GARY</v>
      </c>
      <c r="M185" s="6">
        <f t="shared" si="63"/>
        <v>1.1331018518831115E-2</v>
      </c>
      <c r="N185" s="7">
        <f t="shared" si="77"/>
        <v>16.316666667116806</v>
      </c>
      <c r="O185" s="7"/>
      <c r="P185" s="7"/>
      <c r="Q185" s="22"/>
      <c r="R185" s="173"/>
      <c r="S185" s="176">
        <f t="shared" si="78"/>
        <v>1</v>
      </c>
      <c r="T185" s="202" t="str">
        <f t="shared" si="64"/>
        <v>Southbound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65"/>
        <v>https://d0f6bd738d7f1b3e5a7ca70fe4ff75f0.us-east-1.aws.found.io/app/kibana#/discover/Steve-Slow-Train-Analysis-(2080s-and-2083s)?_g=(refreshInterval:(display:Off,pause:!f,section:0,value:0),time:(from:'2017-06-09T13:36:57-0600',mode:absolute,to:'2017-06-09T15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5" s="204" t="str">
        <f t="shared" si="66"/>
        <v>N</v>
      </c>
      <c r="X185" s="204">
        <f t="shared" si="67"/>
        <v>1</v>
      </c>
      <c r="Y185" s="204">
        <f t="shared" si="79"/>
        <v>5.8638000000000003</v>
      </c>
      <c r="Z185" s="204">
        <f t="shared" si="80"/>
        <v>7.1300000000000002E-2</v>
      </c>
      <c r="AA185" s="204">
        <f t="shared" si="68"/>
        <v>5.7925000000000004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9"/>
        <v>0824-09</v>
      </c>
      <c r="AE185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185" s="77" t="str">
        <f t="shared" si="71"/>
        <v>"C:\Program Files (x86)\AstroGrep\AstroGrep.exe" /e /r /s /spath="%USERPROFILE%\AppData\Local\Temp\OnboardLogs" /stypes="app*4015*20170609*" /stext=" 20:.+((SYSTEM_STATE.+slice.+state.+changed )|(ment ac)|(multiple cpu faults)|(system.+state.+changed )|(\[timeout)|(PRM\|1\|D)|(kpr)|(kdp)|(train st.+moving)|(\|lc)|(penalty))"</v>
      </c>
      <c r="AG185" s="1" t="str">
        <f t="shared" si="72"/>
        <v>NW</v>
      </c>
      <c r="AH185" s="81" t="str">
        <f t="shared" si="73"/>
        <v>"%USERPROFILE%\Documents\GitHub\eaglep3\Utilities\RefineRTDCRunTimes.py" --tripid 824-09 --locoid 4015 --swversion DE.1.0.9.0 --startMP 300:58638 --initTime 2017-06-09T14:36:57 --startdatetime 2017-06-09T14:39:45 --delay 2 --endMP 204:713 --enddatetime 2017-06-09T14:56:04 --enforcementcount 0 &gt;&gt;C:\Users\stu\Documents\GitHub\eaglep3-reporting\EC\2017-06-09-refined-times.txt</v>
      </c>
      <c r="AI185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{"issue":{"subject":"","project_id":79,"tracker_id":40,"status_id":1,"priority_id":2,"assigned_to_id":23,"start_date":"2017-06-09","description":"","custom_fields":[{"id":1,"name":"Subdivision","value":"NW"},{"id":4,"name":"Milepost","value":"0.0713"},{"id":17,"name":"Train ID","value":"824-09"},{"id":16,"name":"Locomotive ID","value":"4015"},{"id":130,"name":"Impact","value":""},{"id":150,"name":"Time of Event (Mountain Time)","value":"14:56:04"},{"id":151,"name":"Denver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75"/>
        <v>start /low /b %USERPROFILE%\Documents\GitHub\eaglep3\Utilities\DownloadLogsFromS3.py --loco 4015 --day 2017-06-09</v>
      </c>
      <c r="AN185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20:56:04"},{"id":29,"name":"Sharepoint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754</v>
      </c>
      <c r="B186" s="7">
        <v>4016</v>
      </c>
      <c r="C186" s="21" t="s">
        <v>204</v>
      </c>
      <c r="D186" s="21" t="s">
        <v>955</v>
      </c>
      <c r="E186" s="13">
        <v>42895.628969907404</v>
      </c>
      <c r="F186" s="13">
        <v>42895.639803240738</v>
      </c>
      <c r="G186" s="7">
        <v>1</v>
      </c>
      <c r="H186" s="21" t="s">
        <v>501</v>
      </c>
      <c r="I186" s="13">
        <v>42895.649305555555</v>
      </c>
      <c r="J186" s="7">
        <v>0</v>
      </c>
      <c r="K186" s="92" t="str">
        <f t="shared" si="62"/>
        <v>4015/4016</v>
      </c>
      <c r="L186" s="21" t="str">
        <f>VLOOKUP(A186,'Trips&amp;Operators'!$C$1:$G$99999,5,FALSE)</f>
        <v>BERLING GARY</v>
      </c>
      <c r="M186" s="6">
        <f t="shared" si="63"/>
        <v>9.5023148169275373E-3</v>
      </c>
      <c r="N186" s="7">
        <f t="shared" si="77"/>
        <v>13.683333336375654</v>
      </c>
      <c r="O186" s="7"/>
      <c r="P186" s="7"/>
      <c r="Q186" s="22"/>
      <c r="R186" s="173"/>
      <c r="S186" s="176">
        <f t="shared" si="78"/>
        <v>1</v>
      </c>
      <c r="T186" s="202" t="str">
        <f t="shared" si="64"/>
        <v>NorthBound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65"/>
        <v>https://d0f6bd738d7f1b3e5a7ca70fe4ff75f0.us-east-1.aws.found.io/app/kibana#/discover/Steve-Slow-Train-Analysis-(2080s-and-2083s)?_g=(refreshInterval:(display:Off,pause:!f,section:0,value:0),time:(from:'2017-06-09T14:05:43-0600',mode:absolute,to:'2017-06-09T16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6" s="204" t="str">
        <f t="shared" si="66"/>
        <v>N</v>
      </c>
      <c r="X186" s="204">
        <f t="shared" si="67"/>
        <v>1</v>
      </c>
      <c r="Y186" s="204">
        <f t="shared" si="79"/>
        <v>0.1009</v>
      </c>
      <c r="Z186" s="204">
        <f t="shared" si="80"/>
        <v>5.8929</v>
      </c>
      <c r="AA186" s="204">
        <f t="shared" si="68"/>
        <v>5.7919999999999998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9"/>
        <v>0825-09</v>
      </c>
      <c r="AE186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186" s="77" t="str">
        <f t="shared" si="71"/>
        <v>"C:\Program Files (x86)\AstroGrep\AstroGrep.exe" /e /r /s /spath="%USERPROFILE%\AppData\Local\Temp\OnboardLogs" /stypes="app*4016*20170609*" /stext=" 21:.+((SYSTEM_STATE.+slice.+state.+changed )|(ment ac)|(multiple cpu faults)|(system.+state.+changed )|(\[timeout)|(PRM\|1\|D)|(kpr)|(kdp)|(train st.+moving)|(\|lc)|(penalty))"</v>
      </c>
      <c r="AG186" s="1" t="str">
        <f t="shared" si="72"/>
        <v>NW</v>
      </c>
      <c r="AH186" s="81" t="str">
        <f t="shared" si="73"/>
        <v>"%USERPROFILE%\Documents\GitHub\eaglep3\Utilities\RefineRTDCRunTimes.py" --tripid 825-09 --locoid 4016 --swversion DE.1.0.9.0 --startMP 204:1009 --initTime 2017-06-09T15:05:43 --startdatetime 2017-06-09T15:21:19 --delay 1 --endMP 300:58929 --enddatetime 2017-06-09T15:35:00 --enforcementcount 0 &gt;&gt;C:\Users\stu\Documents\GitHub\eaglep3-reporting\EC\2017-06-09-refined-times.txt</v>
      </c>
      <c r="AI186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{"issue":{"subject":"","project_id":79,"tracker_id":40,"status_id":1,"priority_id":2,"assigned_to_id":23,"start_date":"2017-06-09","description":"","custom_fields":[{"id":1,"name":"Subdivision","value":"NW"},{"id":4,"name":"Milepost","value":"5.8929"},{"id":17,"name":"Train ID","value":"825-09"},{"id":16,"name":"Locomotive ID","value":"4016"},{"id":130,"name":"Impact","value":""},{"id":150,"name":"Time of Event (Mountain Time)","value":"15:35:00"},{"id":151,"name":"Denver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75"/>
        <v>start /low /b %USERPROFILE%\Documents\GitHub\eaglep3\Utilities\DownloadLogsFromS3.py --loco 4016 --day 2017-06-09</v>
      </c>
      <c r="AN186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21:35:00"},{"id":29,"name":"Sharepoint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614</v>
      </c>
      <c r="B187" s="7">
        <v>4015</v>
      </c>
      <c r="C187" s="21" t="s">
        <v>204</v>
      </c>
      <c r="D187" s="21" t="s">
        <v>584</v>
      </c>
      <c r="E187" s="13">
        <v>42895.65053240741</v>
      </c>
      <c r="F187" s="13">
        <v>42895.651712962965</v>
      </c>
      <c r="G187" s="7">
        <v>1</v>
      </c>
      <c r="H187" s="21" t="s">
        <v>956</v>
      </c>
      <c r="I187" s="13">
        <v>42895.663321759261</v>
      </c>
      <c r="J187" s="7">
        <v>0</v>
      </c>
      <c r="K187" s="92" t="str">
        <f t="shared" si="62"/>
        <v>4015/4016</v>
      </c>
      <c r="L187" s="21" t="str">
        <f>VLOOKUP(A187,'Trips&amp;Operators'!$C$1:$G$99999,5,FALSE)</f>
        <v>BERLING GARY</v>
      </c>
      <c r="M187" s="6">
        <f t="shared" si="63"/>
        <v>1.1608796296059154E-2</v>
      </c>
      <c r="N187" s="7">
        <f t="shared" si="77"/>
        <v>16.716666666325182</v>
      </c>
      <c r="O187" s="7"/>
      <c r="P187" s="7"/>
      <c r="Q187" s="22"/>
      <c r="R187" s="173"/>
      <c r="S187" s="176">
        <f t="shared" si="78"/>
        <v>1</v>
      </c>
      <c r="T187" s="202" t="str">
        <f t="shared" si="64"/>
        <v>Southbound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65"/>
        <v>https://d0f6bd738d7f1b3e5a7ca70fe4ff75f0.us-east-1.aws.found.io/app/kibana#/discover/Steve-Slow-Train-Analysis-(2080s-and-2083s)?_g=(refreshInterval:(display:Off,pause:!f,section:0,value:0),time:(from:'2017-06-09T14:36:46-0600',mode:absolute,to:'2017-06-09T16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7" s="204" t="str">
        <f t="shared" si="66"/>
        <v>N</v>
      </c>
      <c r="X187" s="204">
        <f t="shared" si="67"/>
        <v>1</v>
      </c>
      <c r="Y187" s="204">
        <f t="shared" si="79"/>
        <v>5.8608000000000002</v>
      </c>
      <c r="Z187" s="204">
        <f t="shared" si="80"/>
        <v>7.9399999999999998E-2</v>
      </c>
      <c r="AA187" s="204">
        <f t="shared" si="68"/>
        <v>5.7814000000000005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9"/>
        <v>0826-09</v>
      </c>
      <c r="AE187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187" s="77" t="str">
        <f t="shared" si="71"/>
        <v>"C:\Program Files (x86)\AstroGrep\AstroGrep.exe" /e /r /s /spath="%USERPROFILE%\AppData\Local\Temp\OnboardLogs" /stypes="app*4015*20170609*" /stext=" 21:.+((SYSTEM_STATE.+slice.+state.+changed )|(ment ac)|(multiple cpu faults)|(system.+state.+changed )|(\[timeout)|(PRM\|1\|D)|(kpr)|(kdp)|(train st.+moving)|(\|lc)|(penalty))"</v>
      </c>
      <c r="AG187" s="1" t="str">
        <f t="shared" si="72"/>
        <v>NW</v>
      </c>
      <c r="AH187" s="81" t="str">
        <f t="shared" si="73"/>
        <v>"%USERPROFILE%\Documents\GitHub\eaglep3\Utilities\RefineRTDCRunTimes.py" --tripid 826-09 --locoid 4015 --swversion DE.1.0.9.0 --startMP 300:58608 --initTime 2017-06-09T15:36:46 --startdatetime 2017-06-09T15:38:28 --delay 1 --endMP 204:794 --enddatetime 2017-06-09T15:55:11 --enforcementcount 0 &gt;&gt;C:\Users\stu\Documents\GitHub\eaglep3-reporting\EC\2017-06-09-refined-times.txt</v>
      </c>
      <c r="AI187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{"issue":{"subject":"","project_id":79,"tracker_id":40,"status_id":1,"priority_id":2,"assigned_to_id":23,"start_date":"2017-06-09","description":"","custom_fields":[{"id":1,"name":"Subdivision","value":"NW"},{"id":4,"name":"Milepost","value":"0.0794"},{"id":17,"name":"Train ID","value":"826-09"},{"id":16,"name":"Locomotive ID","value":"4015"},{"id":130,"name":"Impact","value":""},{"id":150,"name":"Time of Event (Mountain Time)","value":"15:55:11"},{"id":151,"name":"Denver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5" t="str">
        <f t="shared" si="75"/>
        <v>start /low /b %USERPROFILE%\Documents\GitHub\eaglep3\Utilities\DownloadLogsFromS3.py --loco 4015 --day 2017-06-09</v>
      </c>
      <c r="AN187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21:55:11"},{"id":29,"name":"Sharepoint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763</v>
      </c>
      <c r="B188" s="7">
        <v>4028</v>
      </c>
      <c r="C188" s="21" t="s">
        <v>204</v>
      </c>
      <c r="D188" s="21" t="s">
        <v>957</v>
      </c>
      <c r="E188" s="13">
        <v>42895.656053240738</v>
      </c>
      <c r="F188" s="13">
        <v>42895.660682870373</v>
      </c>
      <c r="G188" s="7">
        <v>2</v>
      </c>
      <c r="H188" s="21" t="s">
        <v>958</v>
      </c>
      <c r="I188" s="13">
        <v>42895.67082175926</v>
      </c>
      <c r="J188" s="7">
        <v>0</v>
      </c>
      <c r="K188" s="92" t="str">
        <f t="shared" si="62"/>
        <v>4027/4028</v>
      </c>
      <c r="L188" s="21" t="str">
        <f>VLOOKUP(A188,'Trips&amp;Operators'!$C$1:$G$99999,5,FALSE)</f>
        <v>MCREYNOLDS KYLE</v>
      </c>
      <c r="M188" s="6">
        <f t="shared" si="63"/>
        <v>1.0138888887013309E-2</v>
      </c>
      <c r="N188" s="7">
        <f t="shared" ref="N188:N219" si="81">24*60*SUM($M188:$M188)</f>
        <v>14.599999997299165</v>
      </c>
      <c r="O188" s="7"/>
      <c r="P188" s="7"/>
      <c r="Q188" s="22"/>
      <c r="R188" s="173"/>
      <c r="S188" s="176">
        <f t="shared" ref="S188:S219" si="82">SUM(U188:U188)/IF(AG188="EC",12,1)</f>
        <v>1</v>
      </c>
      <c r="T188" s="202" t="str">
        <f t="shared" si="64"/>
        <v>NorthBound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65"/>
        <v>https://d0f6bd738d7f1b3e5a7ca70fe4ff75f0.us-east-1.aws.found.io/app/kibana#/discover/Steve-Slow-Train-Analysis-(2080s-and-2083s)?_g=(refreshInterval:(display:Off,pause:!f,section:0,value:0),time:(from:'2017-06-09T14:44:43-0600',mode:absolute,to:'2017-06-09T17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8" s="204" t="str">
        <f t="shared" si="66"/>
        <v>N</v>
      </c>
      <c r="X188" s="204">
        <f t="shared" si="67"/>
        <v>1</v>
      </c>
      <c r="Y188" s="204">
        <f t="shared" si="79"/>
        <v>0.1</v>
      </c>
      <c r="Z188" s="204">
        <f t="shared" si="80"/>
        <v>5.8954000000000004</v>
      </c>
      <c r="AA188" s="204">
        <f t="shared" si="68"/>
        <v>5.7954000000000008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9"/>
        <v>0827-09</v>
      </c>
      <c r="AE188" s="80" t="str">
        <f t="shared" si="70"/>
        <v>aws s3 cp s3://rtdc.mdm.uploadarchive.raw/RTDC4028/ "%USERPROFILE%\AppData\Local\Temp\OnboardLogs"\RTDC4028\2017-06-09 --exclude "*" --recursive --include "*20170609*" &amp; "%USERPROFILE%\Documents\GitHub\mrs-test-scripts\Headless Mode &amp; Sideloading\WalkAndUnGZ.bat" "%USERPROFILE%\AppData\Local\Temp\OnboardLogs"\RTDC4028\2017-06-09 &amp; 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</v>
      </c>
      <c r="AF188" s="77" t="str">
        <f t="shared" si="71"/>
        <v>"C:\Program Files (x86)\AstroGrep\AstroGrep.exe" /e /r /s /spath="%USERPROFILE%\AppData\Local\Temp\OnboardLogs" /stypes="app*4028*20170609*" /stext=" 22:.+((SYSTEM_STATE.+slice.+state.+changed )|(ment ac)|(multiple cpu faults)|(system.+state.+changed )|(\[timeout)|(PRM\|1\|D)|(kpr)|(kdp)|(train st.+moving)|(\|lc)|(penalty))"</v>
      </c>
      <c r="AG188" s="1" t="str">
        <f t="shared" si="72"/>
        <v>NW</v>
      </c>
      <c r="AH188" s="81" t="str">
        <f t="shared" si="73"/>
        <v>"%USERPROFILE%\Documents\GitHub\eaglep3\Utilities\RefineRTDCRunTimes.py" --tripid 827-09 --locoid 4028 --swversion DE.1.0.9.0 --startMP 204:1000 --initTime 2017-06-09T15:44:43 --startdatetime 2017-06-09T15:51:23 --delay 2 --endMP 300:58954 --enddatetime 2017-06-09T16:05:59 --enforcementcount 0 &gt;&gt;C:\Users\stu\Documents\GitHub\eaglep3-reporting\EC\2017-06-09-refined-times.txt</v>
      </c>
      <c r="AI188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{"issue":{"subject":"","project_id":79,"tracker_id":40,"status_id":1,"priority_id":2,"assigned_to_id":23,"start_date":"2017-06-09","description":"","custom_fields":[{"id":1,"name":"Subdivision","value":"NW"},{"id":4,"name":"Milepost","value":"5.8954"},{"id":17,"name":"Train ID","value":"827-09"},{"id":16,"name":"Locomotive ID","value":"4028"},{"id":130,"name":"Impact","value":""},{"id":150,"name":"Time of Event (Mountain Time)","value":"16:05:59"},{"id":151,"name":"Denver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75"/>
        <v>start /low /b %USERPROFILE%\Documents\GitHub\eaglep3\Utilities\DownloadLogsFromS3.py --loco 4028 --day 2017-06-09</v>
      </c>
      <c r="AN188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22:05:59"},{"id":29,"name":"Sharepoint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766</v>
      </c>
      <c r="B189" s="7">
        <v>4027</v>
      </c>
      <c r="C189" s="21" t="s">
        <v>204</v>
      </c>
      <c r="D189" s="21" t="s">
        <v>550</v>
      </c>
      <c r="E189" s="13">
        <v>42895.672060185185</v>
      </c>
      <c r="F189" s="13">
        <v>42895.673692129632</v>
      </c>
      <c r="G189" s="7">
        <v>1</v>
      </c>
      <c r="H189" s="21" t="s">
        <v>959</v>
      </c>
      <c r="I189" s="13">
        <v>42895.684606481482</v>
      </c>
      <c r="J189" s="7">
        <v>0</v>
      </c>
      <c r="K189" s="92" t="str">
        <f t="shared" si="62"/>
        <v>4027/4028</v>
      </c>
      <c r="L189" s="21" t="str">
        <f>VLOOKUP(A189,'Trips&amp;Operators'!$C$1:$G$99999,5,FALSE)</f>
        <v>MCREYNOLDS KYLE</v>
      </c>
      <c r="M189" s="6">
        <f t="shared" si="63"/>
        <v>1.0914351849351078E-2</v>
      </c>
      <c r="N189" s="7">
        <f t="shared" si="81"/>
        <v>15.716666663065553</v>
      </c>
      <c r="O189" s="7"/>
      <c r="P189" s="7"/>
      <c r="Q189" s="22"/>
      <c r="R189" s="173"/>
      <c r="S189" s="176">
        <f t="shared" si="82"/>
        <v>1</v>
      </c>
      <c r="T189" s="202" t="str">
        <f t="shared" si="64"/>
        <v>Southbound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65"/>
        <v>https://d0f6bd738d7f1b3e5a7ca70fe4ff75f0.us-east-1.aws.found.io/app/kibana#/discover/Steve-Slow-Train-Analysis-(2080s-and-2083s)?_g=(refreshInterval:(display:Off,pause:!f,section:0,value:0),time:(from:'2017-06-09T15:07:46-0600',mode:absolute,to:'2017-06-09T17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9" s="204" t="str">
        <f t="shared" si="66"/>
        <v>N</v>
      </c>
      <c r="X189" s="204">
        <f t="shared" si="67"/>
        <v>1</v>
      </c>
      <c r="Y189" s="204">
        <f t="shared" si="79"/>
        <v>5.8651</v>
      </c>
      <c r="Z189" s="204">
        <f t="shared" si="80"/>
        <v>6.9599999999999995E-2</v>
      </c>
      <c r="AA189" s="204">
        <f t="shared" si="68"/>
        <v>5.7954999999999997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9"/>
        <v>0828-09</v>
      </c>
      <c r="AE189" s="80" t="str">
        <f t="shared" si="70"/>
        <v>aws s3 cp s3://rtdc.mdm.uploadarchive.raw/RTDC4027/ "%USERPROFILE%\AppData\Local\Temp\OnboardLogs"\RTDC4027\2017-06-09 --exclude "*" --recursive --include "*20170609*" &amp; "%USERPROFILE%\Documents\GitHub\mrs-test-scripts\Headless Mode &amp; Sideloading\WalkAndUnGZ.bat" "%USERPROFILE%\AppData\Local\Temp\OnboardLogs"\RTDC4027\2017-06-09 &amp; 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</v>
      </c>
      <c r="AF189" s="77" t="str">
        <f t="shared" si="71"/>
        <v>"C:\Program Files (x86)\AstroGrep\AstroGrep.exe" /e /r /s /spath="%USERPROFILE%\AppData\Local\Temp\OnboardLogs" /stypes="app*4027*20170609*" /stext=" 22:.+((SYSTEM_STATE.+slice.+state.+changed )|(ment ac)|(multiple cpu faults)|(system.+state.+changed )|(\[timeout)|(PRM\|1\|D)|(kpr)|(kdp)|(train st.+moving)|(\|lc)|(penalty))"</v>
      </c>
      <c r="AG189" s="1" t="str">
        <f t="shared" si="72"/>
        <v>NW</v>
      </c>
      <c r="AH189" s="81" t="str">
        <f t="shared" si="73"/>
        <v>"%USERPROFILE%\Documents\GitHub\eaglep3\Utilities\RefineRTDCRunTimes.py" --tripid 828-09 --locoid 4027 --swversion DE.1.0.9.0 --startMP 300:58651 --initTime 2017-06-09T16:07:46 --startdatetime 2017-06-09T16:10:07 --delay 1 --endMP 204:696 --enddatetime 2017-06-09T16:25:50 --enforcementcount 0 &gt;&gt;C:\Users\stu\Documents\GitHub\eaglep3-reporting\EC\2017-06-09-refined-times.txt</v>
      </c>
      <c r="AI189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{"issue":{"subject":"","project_id":79,"tracker_id":40,"status_id":1,"priority_id":2,"assigned_to_id":23,"start_date":"2017-06-09","description":"","custom_fields":[{"id":1,"name":"Subdivision","value":"NW"},{"id":4,"name":"Milepost","value":"0.0696"},{"id":17,"name":"Train ID","value":"828-09"},{"id":16,"name":"Locomotive ID","value":"4027"},{"id":130,"name":"Impact","value":""},{"id":150,"name":"Time of Event (Mountain Time)","value":"16:25:50"},{"id":151,"name":"Denver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75"/>
        <v>start /low /b %USERPROFILE%\Documents\GitHub\eaglep3\Utilities\DownloadLogsFromS3.py --loco 4027 --day 2017-06-09</v>
      </c>
      <c r="AN189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22:25:50"},{"id":29,"name":"Sharepoint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616</v>
      </c>
      <c r="B190" s="7">
        <v>4016</v>
      </c>
      <c r="C190" s="21" t="s">
        <v>204</v>
      </c>
      <c r="D190" s="21" t="s">
        <v>960</v>
      </c>
      <c r="E190" s="13">
        <v>42895.665625000001</v>
      </c>
      <c r="F190" s="13">
        <v>42895.681550925925</v>
      </c>
      <c r="G190" s="7">
        <v>1</v>
      </c>
      <c r="H190" s="21" t="s">
        <v>961</v>
      </c>
      <c r="I190" s="13">
        <v>42895.691145833334</v>
      </c>
      <c r="J190" s="7">
        <v>0</v>
      </c>
      <c r="K190" s="92" t="str">
        <f t="shared" si="62"/>
        <v>4015/4016</v>
      </c>
      <c r="L190" s="21" t="str">
        <f>VLOOKUP(A190,'Trips&amp;Operators'!$C$1:$G$99999,5,FALSE)</f>
        <v>BERLING GARY</v>
      </c>
      <c r="M190" s="6">
        <f t="shared" si="63"/>
        <v>9.5949074093368836E-3</v>
      </c>
      <c r="N190" s="7">
        <f t="shared" si="81"/>
        <v>13.816666669445112</v>
      </c>
      <c r="O190" s="7"/>
      <c r="P190" s="7"/>
      <c r="Q190" s="22"/>
      <c r="R190" s="173"/>
      <c r="S190" s="176">
        <f t="shared" si="82"/>
        <v>1</v>
      </c>
      <c r="T190" s="202" t="str">
        <f t="shared" si="64"/>
        <v>NorthBound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65"/>
        <v>https://d0f6bd738d7f1b3e5a7ca70fe4ff75f0.us-east-1.aws.found.io/app/kibana#/discover/Steve-Slow-Train-Analysis-(2080s-and-2083s)?_g=(refreshInterval:(display:Off,pause:!f,section:0,value:0),time:(from:'2017-06-09T14:58:30-0600',mode:absolute,to:'2017-06-09T17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0" s="204" t="str">
        <f t="shared" si="66"/>
        <v>N</v>
      </c>
      <c r="X190" s="204">
        <f t="shared" si="67"/>
        <v>1</v>
      </c>
      <c r="Y190" s="204">
        <f t="shared" si="79"/>
        <v>0.1086</v>
      </c>
      <c r="Z190" s="204">
        <f t="shared" si="80"/>
        <v>5.8958000000000004</v>
      </c>
      <c r="AA190" s="204">
        <f t="shared" si="68"/>
        <v>5.7872000000000003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9"/>
        <v>0829-09</v>
      </c>
      <c r="AE190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190" s="77" t="str">
        <f t="shared" si="71"/>
        <v>"C:\Program Files (x86)\AstroGrep\AstroGrep.exe" /e /r /s /spath="%USERPROFILE%\AppData\Local\Temp\OnboardLogs" /stypes="app*4016*20170609*" /stext=" 22:.+((SYSTEM_STATE.+slice.+state.+changed )|(ment ac)|(multiple cpu faults)|(system.+state.+changed )|(\[timeout)|(PRM\|1\|D)|(kpr)|(kdp)|(train st.+moving)|(\|lc)|(penalty))"</v>
      </c>
      <c r="AG190" s="1" t="str">
        <f t="shared" si="72"/>
        <v>NW</v>
      </c>
      <c r="AH190" s="81" t="str">
        <f t="shared" si="73"/>
        <v>"%USERPROFILE%\Documents\GitHub\eaglep3\Utilities\RefineRTDCRunTimes.py" --tripid 829-09 --locoid 4016 --swversion DE.1.0.9.0 --startMP 204:1086 --initTime 2017-06-09T15:58:30 --startdatetime 2017-06-09T16:21:26 --delay 1 --endMP 300:58958 --enddatetime 2017-06-09T16:35:15 --enforcementcount 0 &gt;&gt;C:\Users\stu\Documents\GitHub\eaglep3-reporting\EC\2017-06-09-refined-times.txt</v>
      </c>
      <c r="AI190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{"issue":{"subject":"","project_id":79,"tracker_id":40,"status_id":1,"priority_id":2,"assigned_to_id":23,"start_date":"2017-06-09","description":"","custom_fields":[{"id":1,"name":"Subdivision","value":"NW"},{"id":4,"name":"Milepost","value":"5.8958"},{"id":17,"name":"Train ID","value":"829-09"},{"id":16,"name":"Locomotive ID","value":"4016"},{"id":130,"name":"Impact","value":""},{"id":150,"name":"Time of Event (Mountain Time)","value":"16:35:15"},{"id":151,"name":"Denver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75"/>
        <v>start /low /b %USERPROFILE%\Documents\GitHub\eaglep3\Utilities\DownloadLogsFromS3.py --loco 4016 --day 2017-06-09</v>
      </c>
      <c r="AN190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22:35:15"},{"id":29,"name":"Sharepoint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617</v>
      </c>
      <c r="B191" s="7">
        <v>4015</v>
      </c>
      <c r="C191" s="21" t="s">
        <v>204</v>
      </c>
      <c r="D191" s="21" t="s">
        <v>939</v>
      </c>
      <c r="E191" s="13">
        <v>42895.692175925928</v>
      </c>
      <c r="F191" s="13">
        <v>42895.695497685185</v>
      </c>
      <c r="G191" s="7">
        <v>1</v>
      </c>
      <c r="H191" s="21" t="s">
        <v>962</v>
      </c>
      <c r="I191" s="13">
        <v>42895.706006944441</v>
      </c>
      <c r="J191" s="7">
        <v>0</v>
      </c>
      <c r="K191" s="92" t="str">
        <f t="shared" si="62"/>
        <v>4015/4016</v>
      </c>
      <c r="L191" s="21" t="str">
        <f>VLOOKUP(A191,'Trips&amp;Operators'!$C$1:$G$99999,5,FALSE)</f>
        <v>BERLING GARY</v>
      </c>
      <c r="M191" s="6">
        <f t="shared" si="63"/>
        <v>1.0509259256650694E-2</v>
      </c>
      <c r="N191" s="7">
        <f t="shared" si="81"/>
        <v>15.133333329576999</v>
      </c>
      <c r="O191" s="7"/>
      <c r="P191" s="7"/>
      <c r="Q191" s="22"/>
      <c r="R191" s="173"/>
      <c r="S191" s="176">
        <f t="shared" si="82"/>
        <v>1</v>
      </c>
      <c r="T191" s="202" t="str">
        <f t="shared" si="64"/>
        <v>Southbound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65"/>
        <v>https://d0f6bd738d7f1b3e5a7ca70fe4ff75f0.us-east-1.aws.found.io/app/kibana#/discover/Steve-Slow-Train-Analysis-(2080s-and-2083s)?_g=(refreshInterval:(display:Off,pause:!f,section:0,value:0),time:(from:'2017-06-09T15:36:44-0600',mode:absolute,to:'2017-06-09T17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1" s="204" t="str">
        <f t="shared" si="66"/>
        <v>N</v>
      </c>
      <c r="X191" s="204">
        <f t="shared" si="67"/>
        <v>1</v>
      </c>
      <c r="Y191" s="204">
        <f t="shared" si="79"/>
        <v>5.8635999999999999</v>
      </c>
      <c r="Z191" s="204">
        <f t="shared" si="80"/>
        <v>6.7000000000000004E-2</v>
      </c>
      <c r="AA191" s="204">
        <f t="shared" si="68"/>
        <v>5.7965999999999998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9"/>
        <v>0830-09</v>
      </c>
      <c r="AE191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191" s="77" t="str">
        <f t="shared" si="71"/>
        <v>"C:\Program Files (x86)\AstroGrep\AstroGrep.exe" /e /r /s /spath="%USERPROFILE%\AppData\Local\Temp\OnboardLogs" /stypes="app*4015*20170609*" /stext=" 22:.+((SYSTEM_STATE.+slice.+state.+changed )|(ment ac)|(multiple cpu faults)|(system.+state.+changed )|(\[timeout)|(PRM\|1\|D)|(kpr)|(kdp)|(train st.+moving)|(\|lc)|(penalty))"</v>
      </c>
      <c r="AG191" s="1" t="str">
        <f t="shared" si="72"/>
        <v>NW</v>
      </c>
      <c r="AH191" s="81" t="str">
        <f t="shared" si="73"/>
        <v>"%USERPROFILE%\Documents\GitHub\eaglep3\Utilities\RefineRTDCRunTimes.py" --tripid 830-09 --locoid 4015 --swversion DE.1.0.9.0 --startMP 300:58636 --initTime 2017-06-09T16:36:44 --startdatetime 2017-06-09T16:41:31 --delay 1 --endMP 204:670 --enddatetime 2017-06-09T16:56:39 --enforcementcount 0 &gt;&gt;C:\Users\stu\Documents\GitHub\eaglep3-reporting\EC\2017-06-09-refined-times.txt</v>
      </c>
      <c r="AI191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{"issue":{"subject":"","project_id":79,"tracker_id":40,"status_id":1,"priority_id":2,"assigned_to_id":23,"start_date":"2017-06-09","description":"","custom_fields":[{"id":1,"name":"Subdivision","value":"NW"},{"id":4,"name":"Milepost","value":"0.067"},{"id":17,"name":"Train ID","value":"830-09"},{"id":16,"name":"Locomotive ID","value":"4015"},{"id":130,"name":"Impact","value":""},{"id":150,"name":"Time of Event (Mountain Time)","value":"16:56:39"},{"id":151,"name":"Denver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75"/>
        <v>start /low /b %USERPROFILE%\Documents\GitHub\eaglep3\Utilities\DownloadLogsFromS3.py --loco 4015 --day 2017-06-09</v>
      </c>
      <c r="AN191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22:56:39"},{"id":29,"name":"Sharepoint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770</v>
      </c>
      <c r="B192" s="7">
        <v>4028</v>
      </c>
      <c r="C192" s="21" t="s">
        <v>204</v>
      </c>
      <c r="D192" s="21" t="s">
        <v>926</v>
      </c>
      <c r="E192" s="13">
        <v>42895.698078703703</v>
      </c>
      <c r="F192" s="13">
        <v>42895.702245370368</v>
      </c>
      <c r="G192" s="7">
        <v>0</v>
      </c>
      <c r="H192" s="21" t="s">
        <v>963</v>
      </c>
      <c r="I192" s="13">
        <v>42895.712083333332</v>
      </c>
      <c r="J192" s="7">
        <v>0</v>
      </c>
      <c r="K192" s="92" t="str">
        <f t="shared" si="62"/>
        <v>4027/4028</v>
      </c>
      <c r="L192" s="21" t="str">
        <f>VLOOKUP(A192,'Trips&amp;Operators'!$C$1:$G$99999,5,FALSE)</f>
        <v>MCREYNOLDS KYLE</v>
      </c>
      <c r="M192" s="6">
        <f t="shared" si="63"/>
        <v>9.8379629635019228E-3</v>
      </c>
      <c r="N192" s="7">
        <f t="shared" si="81"/>
        <v>14.166666667442769</v>
      </c>
      <c r="O192" s="7"/>
      <c r="P192" s="7"/>
      <c r="Q192" s="22"/>
      <c r="R192" s="173"/>
      <c r="S192" s="176">
        <f t="shared" si="82"/>
        <v>1</v>
      </c>
      <c r="T192" s="202" t="str">
        <f t="shared" si="64"/>
        <v>NorthBound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65"/>
        <v>https://d0f6bd738d7f1b3e5a7ca70fe4ff75f0.us-east-1.aws.found.io/app/kibana#/discover/Steve-Slow-Train-Analysis-(2080s-and-2083s)?_g=(refreshInterval:(display:Off,pause:!f,section:0,value:0),time:(from:'2017-06-09T15:45:14-0600',mode:absolute,to:'2017-06-09T18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2" s="204" t="str">
        <f t="shared" si="66"/>
        <v>N</v>
      </c>
      <c r="X192" s="204">
        <f t="shared" si="67"/>
        <v>1</v>
      </c>
      <c r="Y192" s="204">
        <f t="shared" ref="Y192:Y223" si="83">RIGHT(D192,LEN(D192)-4)/10000</f>
        <v>9.7900000000000001E-2</v>
      </c>
      <c r="Z192" s="204">
        <f t="shared" ref="Z192:Z223" si="84">RIGHT(H192,LEN(H192)-4)/10000</f>
        <v>5.8944000000000001</v>
      </c>
      <c r="AA192" s="204">
        <f t="shared" si="68"/>
        <v>5.7965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9"/>
        <v>0831-09</v>
      </c>
      <c r="AE192" s="80" t="str">
        <f t="shared" si="70"/>
        <v>aws s3 cp s3://rtdc.mdm.uploadarchive.raw/RTDC4028/ "%USERPROFILE%\AppData\Local\Temp\OnboardLogs"\RTDC4028\2017-06-09 --exclude "*" --recursive --include "*20170609*" &amp; "%USERPROFILE%\Documents\GitHub\mrs-test-scripts\Headless Mode &amp; Sideloading\WalkAndUnGZ.bat" "%USERPROFILE%\AppData\Local\Temp\OnboardLogs"\RTDC4028\2017-06-09 &amp; 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</v>
      </c>
      <c r="AF192" s="77" t="str">
        <f t="shared" si="71"/>
        <v>"C:\Program Files (x86)\AstroGrep\AstroGrep.exe" /e /r /s /spath="%USERPROFILE%\AppData\Local\Temp\OnboardLogs" /stypes="app*4028*20170609*" /stext=" 23:.+((SYSTEM_STATE.+slice.+state.+changed )|(ment ac)|(multiple cpu faults)|(system.+state.+changed )|(\[timeout)|(PRM\|1\|D)|(kpr)|(kdp)|(train st.+moving)|(\|lc)|(penalty))"</v>
      </c>
      <c r="AG192" s="1" t="str">
        <f t="shared" si="72"/>
        <v>NW</v>
      </c>
      <c r="AH192" s="81" t="str">
        <f t="shared" si="73"/>
        <v>"%USERPROFILE%\Documents\GitHub\eaglep3\Utilities\RefineRTDCRunTimes.py" --tripid 831-09 --locoid 4028 --swversion DE.1.0.9.0 --startMP 204:979 --initTime 2017-06-09T16:45:14 --startdatetime 2017-06-09T16:51:14 --delay 0 --endMP 300:58944 --enddatetime 2017-06-09T17:05:24 --enforcementcount 0 &gt;&gt;C:\Users\stu\Documents\GitHub\eaglep3-reporting\EC\2017-06-09-refined-times.txt</v>
      </c>
      <c r="AI192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{"issue":{"subject":"","project_id":79,"tracker_id":40,"status_id":1,"priority_id":2,"assigned_to_id":23,"start_date":"2017-06-09","description":"","custom_fields":[{"id":1,"name":"Subdivision","value":"NW"},{"id":4,"name":"Milepost","value":"5.8944"},{"id":17,"name":"Train ID","value":"831-09"},{"id":16,"name":"Locomotive ID","value":"4028"},{"id":130,"name":"Impact","value":""},{"id":150,"name":"Time of Event (Mountain Time)","value":"17:05:24"},{"id":151,"name":"Denver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75"/>
        <v>start /low /b %USERPROFILE%\Documents\GitHub\eaglep3\Utilities\DownloadLogsFromS3.py --loco 4028 --day 2017-06-09</v>
      </c>
      <c r="AN192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23:05:24"},{"id":29,"name":"Sharepoint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774</v>
      </c>
      <c r="B193" s="7">
        <v>4027</v>
      </c>
      <c r="C193" s="21" t="s">
        <v>204</v>
      </c>
      <c r="D193" s="21" t="s">
        <v>500</v>
      </c>
      <c r="E193" s="13">
        <v>42895.713726851849</v>
      </c>
      <c r="F193" s="13">
        <v>42895.715856481482</v>
      </c>
      <c r="G193" s="7">
        <v>1</v>
      </c>
      <c r="H193" s="21" t="s">
        <v>576</v>
      </c>
      <c r="I193" s="13">
        <v>42895.726157407407</v>
      </c>
      <c r="J193" s="7">
        <v>0</v>
      </c>
      <c r="K193" s="92" t="str">
        <f t="shared" si="62"/>
        <v>4027/4028</v>
      </c>
      <c r="L193" s="21" t="str">
        <f>VLOOKUP(A193,'Trips&amp;Operators'!$C$1:$G$99999,5,FALSE)</f>
        <v>MCREYNOLDS KYLE</v>
      </c>
      <c r="M193" s="6">
        <f t="shared" si="63"/>
        <v>1.0300925925548654E-2</v>
      </c>
      <c r="N193" s="7">
        <f t="shared" si="81"/>
        <v>14.833333332790062</v>
      </c>
      <c r="O193" s="7"/>
      <c r="P193" s="7"/>
      <c r="Q193" s="22"/>
      <c r="R193" s="173"/>
      <c r="S193" s="176">
        <f t="shared" si="82"/>
        <v>1</v>
      </c>
      <c r="T193" s="202" t="str">
        <f t="shared" si="64"/>
        <v>Southbound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65"/>
        <v>https://d0f6bd738d7f1b3e5a7ca70fe4ff75f0.us-east-1.aws.found.io/app/kibana#/discover/Steve-Slow-Train-Analysis-(2080s-and-2083s)?_g=(refreshInterval:(display:Off,pause:!f,section:0,value:0),time:(from:'2017-06-09T16:07:46-0600',mode:absolute,to:'2017-06-09T18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3" s="204" t="str">
        <f t="shared" si="66"/>
        <v>N</v>
      </c>
      <c r="X193" s="204">
        <f t="shared" si="67"/>
        <v>1</v>
      </c>
      <c r="Y193" s="204">
        <f t="shared" si="83"/>
        <v>5.8623000000000003</v>
      </c>
      <c r="Z193" s="204">
        <f t="shared" si="84"/>
        <v>6.8000000000000005E-2</v>
      </c>
      <c r="AA193" s="204">
        <f t="shared" si="68"/>
        <v>5.7943000000000007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9"/>
        <v>0832-09</v>
      </c>
      <c r="AE193" s="80" t="str">
        <f t="shared" si="70"/>
        <v>aws s3 cp s3://rtdc.mdm.uploadarchive.raw/RTDC4027/ "%USERPROFILE%\AppData\Local\Temp\OnboardLogs"\RTDC4027\2017-06-09 --exclude "*" --recursive --include "*20170609*" &amp; "%USERPROFILE%\Documents\GitHub\mrs-test-scripts\Headless Mode &amp; Sideloading\WalkAndUnGZ.bat" "%USERPROFILE%\AppData\Local\Temp\OnboardLogs"\RTDC4027\2017-06-09 &amp; 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</v>
      </c>
      <c r="AF193" s="77" t="str">
        <f t="shared" si="71"/>
        <v>"C:\Program Files (x86)\AstroGrep\AstroGrep.exe" /e /r /s /spath="%USERPROFILE%\AppData\Local\Temp\OnboardLogs" /stypes="app*4027*20170609*" /stext=" 23:.+((SYSTEM_STATE.+slice.+state.+changed )|(ment ac)|(multiple cpu faults)|(system.+state.+changed )|(\[timeout)|(PRM\|1\|D)|(kpr)|(kdp)|(train st.+moving)|(\|lc)|(penalty))"</v>
      </c>
      <c r="AG193" s="1" t="str">
        <f t="shared" si="72"/>
        <v>NW</v>
      </c>
      <c r="AH193" s="81" t="str">
        <f t="shared" si="73"/>
        <v>"%USERPROFILE%\Documents\GitHub\eaglep3\Utilities\RefineRTDCRunTimes.py" --tripid 832-09 --locoid 4027 --swversion DE.1.0.9.0 --startMP 300:58623 --initTime 2017-06-09T17:07:46 --startdatetime 2017-06-09T17:10:50 --delay 1 --endMP 204:680 --enddatetime 2017-06-09T17:25:40 --enforcementcount 0 &gt;&gt;C:\Users\stu\Documents\GitHub\eaglep3-reporting\EC\2017-06-09-refined-times.txt</v>
      </c>
      <c r="AI193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{"issue":{"subject":"","project_id":79,"tracker_id":40,"status_id":1,"priority_id":2,"assigned_to_id":23,"start_date":"2017-06-09","description":"","custom_fields":[{"id":1,"name":"Subdivision","value":"NW"},{"id":4,"name":"Milepost","value":"0.068"},{"id":17,"name":"Train ID","value":"832-09"},{"id":16,"name":"Locomotive ID","value":"4027"},{"id":130,"name":"Impact","value":""},{"id":150,"name":"Time of Event (Mountain Time)","value":"17:25:40"},{"id":151,"name":"Denver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75"/>
        <v>start /low /b %USERPROFILE%\Documents\GitHub\eaglep3\Utilities\DownloadLogsFromS3.py --loco 4027 --day 2017-06-09</v>
      </c>
      <c r="AN193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23:25:40"},{"id":29,"name":"Sharepoint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623</v>
      </c>
      <c r="B194" s="7">
        <v>4016</v>
      </c>
      <c r="C194" s="21" t="s">
        <v>204</v>
      </c>
      <c r="D194" s="21" t="s">
        <v>942</v>
      </c>
      <c r="E194" s="13">
        <v>42895.70853009259</v>
      </c>
      <c r="F194" s="13">
        <v>42895.723090277781</v>
      </c>
      <c r="G194" s="7">
        <v>1</v>
      </c>
      <c r="H194" s="21" t="s">
        <v>964</v>
      </c>
      <c r="I194" s="13">
        <v>42895.733055555553</v>
      </c>
      <c r="J194" s="7">
        <v>0</v>
      </c>
      <c r="K194" s="92" t="str">
        <f t="shared" si="62"/>
        <v>4015/4016</v>
      </c>
      <c r="L194" s="21" t="str">
        <f>VLOOKUP(A194,'Trips&amp;Operators'!$C$1:$G$99999,5,FALSE)</f>
        <v>LOPES KIMBERLY</v>
      </c>
      <c r="M194" s="6">
        <f t="shared" si="63"/>
        <v>9.965277771698311E-3</v>
      </c>
      <c r="N194" s="7">
        <f t="shared" si="81"/>
        <v>14.349999991245568</v>
      </c>
      <c r="O194" s="7"/>
      <c r="P194" s="7"/>
      <c r="Q194" s="22"/>
      <c r="R194" s="173"/>
      <c r="S194" s="176">
        <f t="shared" si="82"/>
        <v>1</v>
      </c>
      <c r="T194" s="202" t="str">
        <f t="shared" si="64"/>
        <v>NorthBound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65"/>
        <v>https://d0f6bd738d7f1b3e5a7ca70fe4ff75f0.us-east-1.aws.found.io/app/kibana#/discover/Steve-Slow-Train-Analysis-(2080s-and-2083s)?_g=(refreshInterval:(display:Off,pause:!f,section:0,value:0),time:(from:'2017-06-09T16:00:17-0600',mode:absolute,to:'2017-06-09T18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4" s="204" t="str">
        <f t="shared" si="66"/>
        <v>N</v>
      </c>
      <c r="X194" s="204">
        <f t="shared" si="67"/>
        <v>1</v>
      </c>
      <c r="Y194" s="204">
        <f t="shared" si="83"/>
        <v>9.5299999999999996E-2</v>
      </c>
      <c r="Z194" s="204">
        <f t="shared" si="84"/>
        <v>5.8939000000000004</v>
      </c>
      <c r="AA194" s="204">
        <f t="shared" si="68"/>
        <v>5.7986000000000004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9"/>
        <v>0833-09</v>
      </c>
      <c r="AE194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194" s="77" t="str">
        <f t="shared" si="71"/>
        <v>"C:\Program Files (x86)\AstroGrep\AstroGrep.exe" /e /r /s /spath="%USERPROFILE%\AppData\Local\Temp\OnboardLogs" /stypes="app*4016*20170609*" /stext=" 23:.+((SYSTEM_STATE.+slice.+state.+changed )|(ment ac)|(multiple cpu faults)|(system.+state.+changed )|(\[timeout)|(PRM\|1\|D)|(kpr)|(kdp)|(train st.+moving)|(\|lc)|(penalty))"</v>
      </c>
      <c r="AG194" s="1" t="str">
        <f t="shared" si="72"/>
        <v>NW</v>
      </c>
      <c r="AH194" s="81" t="str">
        <f t="shared" si="73"/>
        <v>"%USERPROFILE%\Documents\GitHub\eaglep3\Utilities\RefineRTDCRunTimes.py" --tripid 833-09 --locoid 4016 --swversion DE.1.0.9.0 --startMP 204:953 --initTime 2017-06-09T17:00:17 --startdatetime 2017-06-09T17:21:15 --delay 1 --endMP 300:58939 --enddatetime 2017-06-09T17:35:36 --enforcementcount 0 &gt;&gt;C:\Users\stu\Documents\GitHub\eaglep3-reporting\EC\2017-06-09-refined-times.txt</v>
      </c>
      <c r="AI194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{"issue":{"subject":"","project_id":79,"tracker_id":40,"status_id":1,"priority_id":2,"assigned_to_id":23,"start_date":"2017-06-09","description":"","custom_fields":[{"id":1,"name":"Subdivision","value":"NW"},{"id":4,"name":"Milepost","value":"5.8939"},{"id":17,"name":"Train ID","value":"833-09"},{"id":16,"name":"Locomotive ID","value":"4016"},{"id":130,"name":"Impact","value":""},{"id":150,"name":"Time of Event (Mountain Time)","value":"17:35:36"},{"id":151,"name":"Denver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75"/>
        <v>start /low /b %USERPROFILE%\Documents\GitHub\eaglep3\Utilities\DownloadLogsFromS3.py --loco 4016 --day 2017-06-09</v>
      </c>
      <c r="AN194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625</v>
      </c>
      <c r="B195" s="7">
        <v>4015</v>
      </c>
      <c r="C195" s="21" t="s">
        <v>204</v>
      </c>
      <c r="D195" s="21" t="s">
        <v>965</v>
      </c>
      <c r="E195" s="13">
        <v>42895.73542824074</v>
      </c>
      <c r="F195" s="13">
        <v>42895.736817129633</v>
      </c>
      <c r="G195" s="7">
        <v>1</v>
      </c>
      <c r="H195" s="21" t="s">
        <v>966</v>
      </c>
      <c r="I195" s="13">
        <v>42895.747789351852</v>
      </c>
      <c r="J195" s="7">
        <v>0</v>
      </c>
      <c r="K195" s="92" t="str">
        <f t="shared" si="62"/>
        <v>4015/4016</v>
      </c>
      <c r="L195" s="21" t="str">
        <f>VLOOKUP(A195,'Trips&amp;Operators'!$C$1:$G$99999,5,FALSE)</f>
        <v>LOPES KIMBERLY</v>
      </c>
      <c r="M195" s="6">
        <f t="shared" si="63"/>
        <v>1.0972222218697425E-2</v>
      </c>
      <c r="N195" s="7">
        <f t="shared" si="81"/>
        <v>15.799999994924292</v>
      </c>
      <c r="O195" s="7"/>
      <c r="P195" s="7"/>
      <c r="Q195" s="22"/>
      <c r="R195" s="173"/>
      <c r="S195" s="176">
        <f t="shared" si="82"/>
        <v>1</v>
      </c>
      <c r="T195" s="202" t="str">
        <f t="shared" si="64"/>
        <v>Southbound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65"/>
        <v>https://d0f6bd738d7f1b3e5a7ca70fe4ff75f0.us-east-1.aws.found.io/app/kibana#/discover/Steve-Slow-Train-Analysis-(2080s-and-2083s)?_g=(refreshInterval:(display:Off,pause:!f,section:0,value:0),time:(from:'2017-06-09T16:39:01-0600',mode:absolute,to:'2017-06-09T18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5" s="204" t="str">
        <f t="shared" si="66"/>
        <v>N</v>
      </c>
      <c r="X195" s="204">
        <f t="shared" si="67"/>
        <v>1</v>
      </c>
      <c r="Y195" s="204">
        <f t="shared" si="83"/>
        <v>5.8624000000000001</v>
      </c>
      <c r="Z195" s="204">
        <f t="shared" si="84"/>
        <v>7.9000000000000001E-2</v>
      </c>
      <c r="AA195" s="204">
        <f t="shared" si="68"/>
        <v>5.7834000000000003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9"/>
        <v>0834-09</v>
      </c>
      <c r="AE195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195" s="77" t="str">
        <f t="shared" si="71"/>
        <v>"C:\Program Files (x86)\AstroGrep\AstroGrep.exe" /e /r /s /spath="%USERPROFILE%\AppData\Local\Temp\OnboardLogs" /stypes="app*4015*20170609*" /stext=" 23:.+((SYSTEM_STATE.+slice.+state.+changed )|(ment ac)|(multiple cpu faults)|(system.+state.+changed )|(\[timeout)|(PRM\|1\|D)|(kpr)|(kdp)|(train st.+moving)|(\|lc)|(penalty))"</v>
      </c>
      <c r="AG195" s="1" t="str">
        <f t="shared" si="72"/>
        <v>NW</v>
      </c>
      <c r="AH195" s="81" t="str">
        <f t="shared" si="73"/>
        <v>"%USERPROFILE%\Documents\GitHub\eaglep3\Utilities\RefineRTDCRunTimes.py" --tripid 834-09 --locoid 4015 --swversion DE.1.0.9.0 --startMP 300:58624 --initTime 2017-06-09T17:39:01 --startdatetime 2017-06-09T17:41:01 --delay 1 --endMP 204:790 --enddatetime 2017-06-09T17:56:49 --enforcementcount 0 &gt;&gt;C:\Users\stu\Documents\GitHub\eaglep3-reporting\EC\2017-06-09-refined-times.txt</v>
      </c>
      <c r="AI195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{"issue":{"subject":"","project_id":79,"tracker_id":40,"status_id":1,"priority_id":2,"assigned_to_id":23,"start_date":"2017-06-09","description":"","custom_fields":[{"id":1,"name":"Subdivision","value":"NW"},{"id":4,"name":"Milepost","value":"0.079"},{"id":17,"name":"Train ID","value":"834-09"},{"id":16,"name":"Locomotive ID","value":"4015"},{"id":130,"name":"Impact","value":""},{"id":150,"name":"Time of Event (Mountain Time)","value":"17:56:49"},{"id":151,"name":"Denver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75"/>
        <v>start /low /b %USERPROFILE%\Documents\GitHub\eaglep3\Utilities\DownloadLogsFromS3.py --loco 4015 --day 2017-06-09</v>
      </c>
      <c r="AN195" s="154" t="str">
        <f t="shared" si="7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23:56:49"},{"id":29,"name":"Sharepoint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778</v>
      </c>
      <c r="B196" s="7">
        <v>4028</v>
      </c>
      <c r="C196" s="21" t="s">
        <v>204</v>
      </c>
      <c r="D196" s="21" t="s">
        <v>582</v>
      </c>
      <c r="E196" s="13">
        <v>42895.72792824074</v>
      </c>
      <c r="F196" s="13">
        <v>42895.744050925925</v>
      </c>
      <c r="G196" s="7">
        <v>1</v>
      </c>
      <c r="H196" s="21" t="s">
        <v>551</v>
      </c>
      <c r="I196" s="13">
        <v>42895.754444444443</v>
      </c>
      <c r="J196" s="7">
        <v>0</v>
      </c>
      <c r="K196" s="92" t="str">
        <f t="shared" si="62"/>
        <v>4027/4028</v>
      </c>
      <c r="L196" s="21" t="str">
        <f>VLOOKUP(A196,'Trips&amp;Operators'!$C$1:$G$99999,5,FALSE)</f>
        <v>MCREYNOLDS KYLE</v>
      </c>
      <c r="M196" s="6">
        <f t="shared" si="63"/>
        <v>1.0393518517958E-2</v>
      </c>
      <c r="N196" s="7">
        <f t="shared" si="81"/>
        <v>14.96666666585952</v>
      </c>
      <c r="O196" s="7"/>
      <c r="P196" s="7"/>
      <c r="Q196" s="22"/>
      <c r="R196" s="173"/>
      <c r="S196" s="176">
        <f t="shared" si="82"/>
        <v>1</v>
      </c>
      <c r="T196" s="202" t="str">
        <f t="shared" si="64"/>
        <v>NorthBound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65"/>
        <v>https://d0f6bd738d7f1b3e5a7ca70fe4ff75f0.us-east-1.aws.found.io/app/kibana#/discover/Steve-Slow-Train-Analysis-(2080s-and-2083s)?_g=(refreshInterval:(display:Off,pause:!f,section:0,value:0),time:(from:'2017-06-09T16:28:13-0600',mode:absolute,to:'2017-06-09T19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6" s="204" t="str">
        <f t="shared" si="66"/>
        <v>N</v>
      </c>
      <c r="X196" s="204">
        <f t="shared" si="67"/>
        <v>1</v>
      </c>
      <c r="Y196" s="204">
        <f t="shared" si="83"/>
        <v>9.7100000000000006E-2</v>
      </c>
      <c r="Z196" s="204">
        <f t="shared" si="84"/>
        <v>5.8928000000000003</v>
      </c>
      <c r="AA196" s="204">
        <f t="shared" si="68"/>
        <v>5.7957000000000001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9"/>
        <v>0835-09</v>
      </c>
      <c r="AE196" s="80" t="str">
        <f t="shared" si="70"/>
        <v>aws s3 cp s3://rtdc.mdm.uploadarchive.raw/RTDC4028/ "%USERPROFILE%\AppData\Local\Temp\OnboardLogs"\RTDC4028\2017-06-09 --exclude "*" --recursive --include "*20170609*" &amp; "%USERPROFILE%\Documents\GitHub\mrs-test-scripts\Headless Mode &amp; Sideloading\WalkAndUnGZ.bat" "%USERPROFILE%\AppData\Local\Temp\OnboardLogs"\RTDC4028\2017-06-09 &amp; 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</v>
      </c>
      <c r="AF196" s="77" t="str">
        <f t="shared" si="71"/>
        <v>"C:\Program Files (x86)\AstroGrep\AstroGrep.exe" /e /r /s /spath="%USERPROFILE%\AppData\Local\Temp\OnboardLogs" /stypes="app*4028*20170610*" /stext=" 00:.+((SYSTEM_STATE.+slice.+state.+changed )|(ment ac)|(multiple cpu faults)|(system.+state.+changed )|(\[timeout)|(PRM\|1\|D)|(kpr)|(kdp)|(train st.+moving)|(\|lc)|(penalty))"</v>
      </c>
      <c r="AG196" s="1" t="str">
        <f t="shared" si="72"/>
        <v>NW</v>
      </c>
      <c r="AH196" s="81" t="str">
        <f t="shared" si="73"/>
        <v>"%USERPROFILE%\Documents\GitHub\eaglep3\Utilities\RefineRTDCRunTimes.py" --tripid 835-09 --locoid 4028 --swversion DE.1.0.9.0 --startMP 204:971 --initTime 2017-06-09T17:28:13 --startdatetime 2017-06-09T17:51:26 --delay 1 --endMP 300:58928 --enddatetime 2017-06-09T18:06:24 --enforcementcount 0 &gt;&gt;C:\Users\stu\Documents\GitHub\eaglep3-reporting\EC\2017-06-09-refined-times.txt</v>
      </c>
      <c r="AI196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{"issue":{"subject":"","project_id":79,"tracker_id":40,"status_id":1,"priority_id":2,"assigned_to_id":23,"start_date":"2017-06-09","description":"","custom_fields":[{"id":1,"name":"Subdivision","value":"NW"},{"id":4,"name":"Milepost","value":"5.8928"},{"id":17,"name":"Train ID","value":"835-09"},{"id":16,"name":"Locomotive ID","value":"4028"},{"id":130,"name":"Impact","value":""},{"id":150,"name":"Time of Event (Mountain Time)","value":"18:06:24"},{"id":151,"name":"Denver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75"/>
        <v>start /low /b %USERPROFILE%\Documents\GitHub\eaglep3\Utilities\DownloadLogsFromS3.py --loco 4028 --day 2017-06-09</v>
      </c>
      <c r="AN196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784</v>
      </c>
      <c r="B197" s="7">
        <v>4027</v>
      </c>
      <c r="C197" s="21" t="s">
        <v>204</v>
      </c>
      <c r="D197" s="21" t="s">
        <v>502</v>
      </c>
      <c r="E197" s="13">
        <v>42895.756249999999</v>
      </c>
      <c r="F197" s="13">
        <v>42895.758275462962</v>
      </c>
      <c r="G197" s="7">
        <v>1</v>
      </c>
      <c r="H197" s="21" t="s">
        <v>967</v>
      </c>
      <c r="I197" s="13">
        <v>42895.768043981479</v>
      </c>
      <c r="J197" s="7">
        <v>0</v>
      </c>
      <c r="K197" s="92" t="str">
        <f t="shared" si="62"/>
        <v>4027/4028</v>
      </c>
      <c r="L197" s="21" t="str">
        <f>VLOOKUP(A197,'Trips&amp;Operators'!$C$1:$G$99999,5,FALSE)</f>
        <v>MCREYNOLDS KYLE</v>
      </c>
      <c r="M197" s="6">
        <f t="shared" si="63"/>
        <v>9.7685185173759237E-3</v>
      </c>
      <c r="N197" s="7">
        <f t="shared" si="81"/>
        <v>14.06666666502133</v>
      </c>
      <c r="O197" s="7"/>
      <c r="P197" s="7"/>
      <c r="Q197" s="22"/>
      <c r="R197" s="173"/>
      <c r="S197" s="176">
        <f t="shared" si="82"/>
        <v>1</v>
      </c>
      <c r="T197" s="202" t="str">
        <f t="shared" si="64"/>
        <v>Southbound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65"/>
        <v>https://d0f6bd738d7f1b3e5a7ca70fe4ff75f0.us-east-1.aws.found.io/app/kibana#/discover/Steve-Slow-Train-Analysis-(2080s-and-2083s)?_g=(refreshInterval:(display:Off,pause:!f,section:0,value:0),time:(from:'2017-06-09T17:09:00-0600',mode:absolute,to:'2017-06-09T19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7" s="204" t="str">
        <f t="shared" si="66"/>
        <v>N</v>
      </c>
      <c r="X197" s="204">
        <f t="shared" si="67"/>
        <v>1</v>
      </c>
      <c r="Y197" s="204">
        <f t="shared" si="83"/>
        <v>5.8615000000000004</v>
      </c>
      <c r="Z197" s="204">
        <f t="shared" si="84"/>
        <v>6.8400000000000002E-2</v>
      </c>
      <c r="AA197" s="204">
        <f t="shared" si="68"/>
        <v>5.7931000000000008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9"/>
        <v>0836-09</v>
      </c>
      <c r="AE197" s="80" t="str">
        <f t="shared" si="70"/>
        <v>aws s3 cp s3://rtdc.mdm.uploadarchive.raw/RTDC4027/ "%USERPROFILE%\AppData\Local\Temp\OnboardLogs"\RTDC4027\2017-06-09 --exclude "*" --recursive --include "*20170609*" &amp; "%USERPROFILE%\Documents\GitHub\mrs-test-scripts\Headless Mode &amp; Sideloading\WalkAndUnGZ.bat" "%USERPROFILE%\AppData\Local\Temp\OnboardLogs"\RTDC4027\2017-06-09 &amp; 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</v>
      </c>
      <c r="AF197" s="77" t="str">
        <f t="shared" si="71"/>
        <v>"C:\Program Files (x86)\AstroGrep\AstroGrep.exe" /e /r /s /spath="%USERPROFILE%\AppData\Local\Temp\OnboardLogs" /stypes="app*4027*20170610*" /stext=" 00:.+((SYSTEM_STATE.+slice.+state.+changed )|(ment ac)|(multiple cpu faults)|(system.+state.+changed )|(\[timeout)|(PRM\|1\|D)|(kpr)|(kdp)|(train st.+moving)|(\|lc)|(penalty))"</v>
      </c>
      <c r="AG197" s="1" t="str">
        <f t="shared" si="72"/>
        <v>NW</v>
      </c>
      <c r="AH197" s="81" t="str">
        <f t="shared" si="73"/>
        <v>"%USERPROFILE%\Documents\GitHub\eaglep3\Utilities\RefineRTDCRunTimes.py" --tripid 836-09 --locoid 4027 --swversion DE.1.0.9.0 --startMP 300:58615 --initTime 2017-06-09T18:09:00 --startdatetime 2017-06-09T18:11:55 --delay 1 --endMP 204:684 --enddatetime 2017-06-09T18:25:59 --enforcementcount 0 &gt;&gt;C:\Users\stu\Documents\GitHub\eaglep3-reporting\EC\2017-06-09-refined-times.txt</v>
      </c>
      <c r="AI197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{"issue":{"subject":"","project_id":79,"tracker_id":40,"status_id":1,"priority_id":2,"assigned_to_id":23,"start_date":"2017-06-09","description":"","custom_fields":[{"id":1,"name":"Subdivision","value":"NW"},{"id":4,"name":"Milepost","value":"0.0684"},{"id":17,"name":"Train ID","value":"836-09"},{"id":16,"name":"Locomotive ID","value":"4027"},{"id":130,"name":"Impact","value":""},{"id":150,"name":"Time of Event (Mountain Time)","value":"18:25:59"},{"id":151,"name":"Denver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75"/>
        <v>start /low /b %USERPROFILE%\Documents\GitHub\eaglep3\Utilities\DownloadLogsFromS3.py --loco 4027 --day 2017-06-09</v>
      </c>
      <c r="AN197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00:25:59"},{"id":29,"name":"Sharepoint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786</v>
      </c>
      <c r="B198" s="7">
        <v>4016</v>
      </c>
      <c r="C198" s="21" t="s">
        <v>204</v>
      </c>
      <c r="D198" s="21" t="s">
        <v>968</v>
      </c>
      <c r="E198" s="13">
        <v>42895.762291666666</v>
      </c>
      <c r="F198" s="13">
        <v>42895.764791666668</v>
      </c>
      <c r="G198" s="7">
        <v>1</v>
      </c>
      <c r="H198" s="21" t="s">
        <v>580</v>
      </c>
      <c r="I198" s="13">
        <v>42895.774305555555</v>
      </c>
      <c r="J198" s="7">
        <v>0</v>
      </c>
      <c r="K198" s="92" t="str">
        <f t="shared" si="62"/>
        <v>4015/4016</v>
      </c>
      <c r="L198" s="21" t="str">
        <f>VLOOKUP(A198,'Trips&amp;Operators'!$C$1:$G$99999,5,FALSE)</f>
        <v>LOPES KIMBERLY</v>
      </c>
      <c r="M198" s="6">
        <f t="shared" si="63"/>
        <v>9.5138888864312321E-3</v>
      </c>
      <c r="N198" s="7">
        <f t="shared" si="81"/>
        <v>13.699999996460974</v>
      </c>
      <c r="O198" s="7"/>
      <c r="P198" s="7"/>
      <c r="Q198" s="22"/>
      <c r="R198" s="173"/>
      <c r="S198" s="176">
        <f t="shared" si="82"/>
        <v>1</v>
      </c>
      <c r="T198" s="202" t="str">
        <f t="shared" si="64"/>
        <v>NorthBound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65"/>
        <v>https://d0f6bd738d7f1b3e5a7ca70fe4ff75f0.us-east-1.aws.found.io/app/kibana#/discover/Steve-Slow-Train-Analysis-(2080s-and-2083s)?_g=(refreshInterval:(display:Off,pause:!f,section:0,value:0),time:(from:'2017-06-09T17:17:42-0600',mode:absolute,to:'2017-06-09T19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8" s="204" t="str">
        <f t="shared" si="66"/>
        <v>N</v>
      </c>
      <c r="X198" s="204">
        <f t="shared" si="67"/>
        <v>1</v>
      </c>
      <c r="Y198" s="204">
        <f t="shared" si="83"/>
        <v>0.1079</v>
      </c>
      <c r="Z198" s="204">
        <f t="shared" si="84"/>
        <v>5.8949999999999996</v>
      </c>
      <c r="AA198" s="204">
        <f t="shared" si="68"/>
        <v>5.7870999999999997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9"/>
        <v>0837-09</v>
      </c>
      <c r="AE198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198" s="77" t="str">
        <f t="shared" si="71"/>
        <v>"C:\Program Files (x86)\AstroGrep\AstroGrep.exe" /e /r /s /spath="%USERPROFILE%\AppData\Local\Temp\OnboardLogs" /stypes="app*4016*20170610*" /stext=" 00:.+((SYSTEM_STATE.+slice.+state.+changed )|(ment ac)|(multiple cpu faults)|(system.+state.+changed )|(\[timeout)|(PRM\|1\|D)|(kpr)|(kdp)|(train st.+moving)|(\|lc)|(penalty))"</v>
      </c>
      <c r="AG198" s="1" t="str">
        <f t="shared" si="72"/>
        <v>NW</v>
      </c>
      <c r="AH198" s="81" t="str">
        <f t="shared" si="73"/>
        <v>"%USERPROFILE%\Documents\GitHub\eaglep3\Utilities\RefineRTDCRunTimes.py" --tripid 837-09 --locoid 4016 --swversion DE.1.0.9.0 --startMP 204:1079 --initTime 2017-06-09T18:17:42 --startdatetime 2017-06-09T18:21:18 --delay 1 --endMP 300:58950 --enddatetime 2017-06-09T18:35:00 --enforcementcount 0 &gt;&gt;C:\Users\stu\Documents\GitHub\eaglep3-reporting\EC\2017-06-09-refined-times.txt</v>
      </c>
      <c r="AI198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{"issue":{"subject":"","project_id":79,"tracker_id":40,"status_id":1,"priority_id":2,"assigned_to_id":23,"start_date":"2017-06-09","description":"","custom_fields":[{"id":1,"name":"Subdivision","value":"NW"},{"id":4,"name":"Milepost","value":"5.895"},{"id":17,"name":"Train ID","value":"837-09"},{"id":16,"name":"Locomotive ID","value":"4016"},{"id":130,"name":"Impact","value":""},{"id":150,"name":"Time of Event (Mountain Time)","value":"18:35:00"},{"id":151,"name":"Denver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75"/>
        <v>start /low /b %USERPROFILE%\Documents\GitHub\eaglep3\Utilities\DownloadLogsFromS3.py --loco 4016 --day 2017-06-09</v>
      </c>
      <c r="AN198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00:35:00"},{"id":29,"name":"Sharepoint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789</v>
      </c>
      <c r="B199" s="7">
        <v>4015</v>
      </c>
      <c r="C199" s="21" t="s">
        <v>204</v>
      </c>
      <c r="D199" s="21" t="s">
        <v>969</v>
      </c>
      <c r="E199" s="13">
        <v>42895.77616898148</v>
      </c>
      <c r="F199" s="13">
        <v>42895.777650462966</v>
      </c>
      <c r="G199" s="7">
        <v>1</v>
      </c>
      <c r="H199" s="21" t="s">
        <v>579</v>
      </c>
      <c r="I199" s="13">
        <v>42895.789039351854</v>
      </c>
      <c r="J199" s="7">
        <v>0</v>
      </c>
      <c r="K199" s="92" t="str">
        <f t="shared" si="62"/>
        <v>4015/4016</v>
      </c>
      <c r="L199" s="21" t="str">
        <f>VLOOKUP(A199,'Trips&amp;Operators'!$C$1:$G$99999,5,FALSE)</f>
        <v>LOPES KIMBERLY</v>
      </c>
      <c r="M199" s="6">
        <f t="shared" si="63"/>
        <v>1.1388888888177462E-2</v>
      </c>
      <c r="N199" s="7">
        <f t="shared" si="81"/>
        <v>16.399999998975545</v>
      </c>
      <c r="O199" s="7"/>
      <c r="P199" s="7"/>
      <c r="Q199" s="22"/>
      <c r="R199" s="173"/>
      <c r="S199" s="176">
        <f t="shared" si="82"/>
        <v>1</v>
      </c>
      <c r="T199" s="202" t="str">
        <f t="shared" si="64"/>
        <v>Southbound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65"/>
        <v>https://d0f6bd738d7f1b3e5a7ca70fe4ff75f0.us-east-1.aws.found.io/app/kibana#/discover/Steve-Slow-Train-Analysis-(2080s-and-2083s)?_g=(refreshInterval:(display:Off,pause:!f,section:0,value:0),time:(from:'2017-06-09T17:37:41-0600',mode:absolute,to:'2017-06-09T19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9" s="204" t="str">
        <f t="shared" si="66"/>
        <v>N</v>
      </c>
      <c r="X199" s="204">
        <f t="shared" si="67"/>
        <v>1</v>
      </c>
      <c r="Y199" s="204">
        <f t="shared" si="83"/>
        <v>5.8640999999999996</v>
      </c>
      <c r="Z199" s="204">
        <f t="shared" si="84"/>
        <v>6.8500000000000005E-2</v>
      </c>
      <c r="AA199" s="204">
        <f t="shared" si="68"/>
        <v>5.7955999999999994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9"/>
        <v>0838-09</v>
      </c>
      <c r="AE199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199" s="77" t="str">
        <f t="shared" si="71"/>
        <v>"C:\Program Files (x86)\AstroGrep\AstroGrep.exe" /e /r /s /spath="%USERPROFILE%\AppData\Local\Temp\OnboardLogs" /stypes="app*4015*20170610*" /stext=" 00:.+((SYSTEM_STATE.+slice.+state.+changed )|(ment ac)|(multiple cpu faults)|(system.+state.+changed )|(\[timeout)|(PRM\|1\|D)|(kpr)|(kdp)|(train st.+moving)|(\|lc)|(penalty))"</v>
      </c>
      <c r="AG199" s="1" t="str">
        <f t="shared" si="72"/>
        <v>NW</v>
      </c>
      <c r="AH199" s="81" t="str">
        <f t="shared" si="73"/>
        <v>"%USERPROFILE%\Documents\GitHub\eaglep3\Utilities\RefineRTDCRunTimes.py" --tripid 838-09 --locoid 4015 --swversion DE.1.0.9.0 --startMP 300:58641 --initTime 2017-06-09T18:37:41 --startdatetime 2017-06-09T18:39:49 --delay 1 --endMP 204:685 --enddatetime 2017-06-09T18:56:13 --enforcementcount 0 &gt;&gt;C:\Users\stu\Documents\GitHub\eaglep3-reporting\EC\2017-06-09-refined-times.txt</v>
      </c>
      <c r="AI199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{"issue":{"subject":"","project_id":79,"tracker_id":40,"status_id":1,"priority_id":2,"assigned_to_id":23,"start_date":"2017-06-09","description":"","custom_fields":[{"id":1,"name":"Subdivision","value":"NW"},{"id":4,"name":"Milepost","value":"0.0685"},{"id":17,"name":"Train ID","value":"838-09"},{"id":16,"name":"Locomotive ID","value":"4015"},{"id":130,"name":"Impact","value":""},{"id":150,"name":"Time of Event (Mountain Time)","value":"18:56:13"},{"id":151,"name":"Denver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75"/>
        <v>start /low /b %USERPROFILE%\Documents\GitHub\eaglep3\Utilities\DownloadLogsFromS3.py --loco 4015 --day 2017-06-09</v>
      </c>
      <c r="AN199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00:56:13"},{"id":29,"name":"Sharepoint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s="20" customFormat="1" x14ac:dyDescent="0.25">
      <c r="A200" s="32" t="s">
        <v>791</v>
      </c>
      <c r="B200" s="7">
        <v>4028</v>
      </c>
      <c r="C200" s="21" t="s">
        <v>204</v>
      </c>
      <c r="D200" s="21" t="s">
        <v>970</v>
      </c>
      <c r="E200" s="13">
        <v>42895.781921296293</v>
      </c>
      <c r="F200" s="13">
        <v>42895.786041666666</v>
      </c>
      <c r="G200" s="7">
        <v>0</v>
      </c>
      <c r="H200" s="21" t="s">
        <v>551</v>
      </c>
      <c r="I200" s="13">
        <v>42895.79582175926</v>
      </c>
      <c r="J200" s="7">
        <v>0</v>
      </c>
      <c r="K200" s="92" t="str">
        <f t="shared" si="62"/>
        <v>4027/4028</v>
      </c>
      <c r="L200" s="21" t="str">
        <f>VLOOKUP(A200,'Trips&amp;Operators'!$C$1:$G$99999,5,FALSE)</f>
        <v>MCREYNOLDS KYLE</v>
      </c>
      <c r="M200" s="6">
        <f t="shared" si="63"/>
        <v>9.7800925941555761E-3</v>
      </c>
      <c r="N200" s="7">
        <f t="shared" si="81"/>
        <v>14.08333333558403</v>
      </c>
      <c r="O200" s="7"/>
      <c r="P200" s="7"/>
      <c r="Q200" s="22"/>
      <c r="R200" s="173"/>
      <c r="S200" s="176">
        <f t="shared" si="82"/>
        <v>1</v>
      </c>
      <c r="T200" s="202" t="str">
        <f t="shared" si="64"/>
        <v>NorthBound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65"/>
        <v>https://d0f6bd738d7f1b3e5a7ca70fe4ff75f0.us-east-1.aws.found.io/app/kibana#/discover/Steve-Slow-Train-Analysis-(2080s-and-2083s)?_g=(refreshInterval:(display:Off,pause:!f,section:0,value:0),time:(from:'2017-06-09T17:45:58-0600',mode:absolute,to:'2017-06-09T20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0" s="204" t="str">
        <f t="shared" si="66"/>
        <v>N</v>
      </c>
      <c r="X200" s="204">
        <f t="shared" si="67"/>
        <v>1</v>
      </c>
      <c r="Y200" s="204">
        <f t="shared" si="83"/>
        <v>9.8599999999999993E-2</v>
      </c>
      <c r="Z200" s="204">
        <f t="shared" si="84"/>
        <v>5.8928000000000003</v>
      </c>
      <c r="AA200" s="204">
        <f t="shared" si="68"/>
        <v>5.7942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9"/>
        <v>0839-09</v>
      </c>
      <c r="AE200" s="80" t="str">
        <f t="shared" si="70"/>
        <v>aws s3 cp s3://rtdc.mdm.uploadarchive.raw/RTDC4028/ "%USERPROFILE%\AppData\Local\Temp\OnboardLogs"\RTDC4028\2017-06-09 --exclude "*" --recursive --include "*20170609*" &amp; "%USERPROFILE%\Documents\GitHub\mrs-test-scripts\Headless Mode &amp; Sideloading\WalkAndUnGZ.bat" "%USERPROFILE%\AppData\Local\Temp\OnboardLogs"\RTDC4028\2017-06-09 &amp; 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</v>
      </c>
      <c r="AF200" s="77" t="str">
        <f t="shared" si="71"/>
        <v>"C:\Program Files (x86)\AstroGrep\AstroGrep.exe" /e /r /s /spath="%USERPROFILE%\AppData\Local\Temp\OnboardLogs" /stypes="app*4028*20170610*" /stext=" 01:.+((SYSTEM_STATE.+slice.+state.+changed )|(ment ac)|(multiple cpu faults)|(system.+state.+changed )|(\[timeout)|(PRM\|1\|D)|(kpr)|(kdp)|(train st.+moving)|(\|lc)|(penalty))"</v>
      </c>
      <c r="AG200" s="1" t="str">
        <f t="shared" si="72"/>
        <v>NW</v>
      </c>
      <c r="AH200" s="81" t="str">
        <f t="shared" si="73"/>
        <v>"%USERPROFILE%\Documents\GitHub\eaglep3\Utilities\RefineRTDCRunTimes.py" --tripid 839-09 --locoid 4028 --swversion DE.1.0.9.0 --startMP 204:986 --initTime 2017-06-09T18:45:58 --startdatetime 2017-06-09T18:51:54 --delay 0 --endMP 300:58928 --enddatetime 2017-06-09T19:05:59 --enforcementcount 0 &gt;&gt;C:\Users\stu\Documents\GitHub\eaglep3-reporting\EC\2017-06-09-refined-times.txt</v>
      </c>
      <c r="AI200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{"issue":{"subject":"","project_id":79,"tracker_id":40,"status_id":1,"priority_id":2,"assigned_to_id":23,"start_date":"2017-06-09","description":"","custom_fields":[{"id":1,"name":"Subdivision","value":"NW"},{"id":4,"name":"Milepost","value":"5.8928"},{"id":17,"name":"Train ID","value":"839-09"},{"id":16,"name":"Locomotive ID","value":"4028"},{"id":130,"name":"Impact","value":""},{"id":150,"name":"Time of Event (Mountain Time)","value":"19:05:59"},{"id":151,"name":"Denver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5" t="str">
        <f t="shared" si="75"/>
        <v>start /low /b %USERPROFILE%\Documents\GitHub\eaglep3\Utilities\DownloadLogsFromS3.py --loco 4028 --day 2017-06-09</v>
      </c>
      <c r="AN200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798</v>
      </c>
      <c r="B201" s="7">
        <v>4015</v>
      </c>
      <c r="C201" s="21" t="s">
        <v>204</v>
      </c>
      <c r="D201" s="21" t="s">
        <v>971</v>
      </c>
      <c r="E201" s="13">
        <v>42895.816805555558</v>
      </c>
      <c r="F201" s="13">
        <v>42895.819861111115</v>
      </c>
      <c r="G201" s="7">
        <v>1</v>
      </c>
      <c r="H201" s="21" t="s">
        <v>972</v>
      </c>
      <c r="I201" s="13">
        <v>42895.830474537041</v>
      </c>
      <c r="J201" s="7">
        <v>0</v>
      </c>
      <c r="K201" s="92" t="str">
        <f t="shared" si="62"/>
        <v>4015/4016</v>
      </c>
      <c r="L201" s="21" t="str">
        <f>VLOOKUP(A201,'Trips&amp;Operators'!$C$1:$G$99999,5,FALSE)</f>
        <v>LOPES KIMBERLY</v>
      </c>
      <c r="M201" s="6">
        <f t="shared" si="63"/>
        <v>1.0613425925839692E-2</v>
      </c>
      <c r="N201" s="7">
        <f t="shared" si="81"/>
        <v>15.283333333209157</v>
      </c>
      <c r="O201" s="7"/>
      <c r="P201" s="7"/>
      <c r="Q201" s="22"/>
      <c r="R201" s="173"/>
      <c r="S201" s="176">
        <f t="shared" si="82"/>
        <v>1</v>
      </c>
      <c r="T201" s="202" t="str">
        <f t="shared" si="64"/>
        <v>Southbound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65"/>
        <v>https://d0f6bd738d7f1b3e5a7ca70fe4ff75f0.us-east-1.aws.found.io/app/kibana#/discover/Steve-Slow-Train-Analysis-(2080s-and-2083s)?_g=(refreshInterval:(display:Off,pause:!f,section:0,value:0),time:(from:'2017-06-09T18:36:12-0600',mode:absolute,to:'2017-06-09T20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1" s="204" t="str">
        <f t="shared" si="66"/>
        <v>N</v>
      </c>
      <c r="X201" s="204">
        <f t="shared" si="67"/>
        <v>1</v>
      </c>
      <c r="Y201" s="204">
        <f t="shared" si="83"/>
        <v>5.8616999999999999</v>
      </c>
      <c r="Z201" s="204">
        <f t="shared" si="84"/>
        <v>6.59E-2</v>
      </c>
      <c r="AA201" s="204">
        <f t="shared" si="68"/>
        <v>5.7957999999999998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9"/>
        <v>0840-09</v>
      </c>
      <c r="AE201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201" s="77" t="str">
        <f t="shared" si="71"/>
        <v>"C:\Program Files (x86)\AstroGrep\AstroGrep.exe" /e /r /s /spath="%USERPROFILE%\AppData\Local\Temp\OnboardLogs" /stypes="app*4015*20170610*" /stext=" 01:.+((SYSTEM_STATE.+slice.+state.+changed )|(ment ac)|(multiple cpu faults)|(system.+state.+changed )|(\[timeout)|(PRM\|1\|D)|(kpr)|(kdp)|(train st.+moving)|(\|lc)|(penalty))"</v>
      </c>
      <c r="AG201" s="1" t="str">
        <f t="shared" si="72"/>
        <v>NW</v>
      </c>
      <c r="AH201" s="81" t="str">
        <f t="shared" si="73"/>
        <v>"%USERPROFILE%\Documents\GitHub\eaglep3\Utilities\RefineRTDCRunTimes.py" --tripid 840-09 --locoid 4015 --swversion DE.1.0.9.0 --startMP 300:58617 --initTime 2017-06-09T19:36:12 --startdatetime 2017-06-09T19:40:36 --delay 1 --endMP 204:659 --enddatetime 2017-06-09T19:55:53 --enforcementcount 0 &gt;&gt;C:\Users\stu\Documents\GitHub\eaglep3-reporting\EC\2017-06-09-refined-times.txt</v>
      </c>
      <c r="AI201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{"issue":{"subject":"","project_id":79,"tracker_id":40,"status_id":1,"priority_id":2,"assigned_to_id":23,"start_date":"2017-06-09","description":"","custom_fields":[{"id":1,"name":"Subdivision","value":"NW"},{"id":4,"name":"Milepost","value":"0.0659"},{"id":17,"name":"Train ID","value":"840-09"},{"id":16,"name":"Locomotive ID","value":"4015"},{"id":130,"name":"Impact","value":""},{"id":150,"name":"Time of Event (Mountain Time)","value":"19:55:53"},{"id":151,"name":"Denver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75"/>
        <v>start /low /b %USERPROFILE%\Documents\GitHub\eaglep3\Utilities\DownloadLogsFromS3.py --loco 4015 --day 2017-06-09</v>
      </c>
      <c r="AN201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01:55:53"},{"id":29,"name":"Sharepoint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794</v>
      </c>
      <c r="B202" s="7">
        <v>4016</v>
      </c>
      <c r="C202" s="21" t="s">
        <v>204</v>
      </c>
      <c r="D202" s="21" t="s">
        <v>973</v>
      </c>
      <c r="E202" s="13">
        <v>42895.793865740743</v>
      </c>
      <c r="F202" s="13">
        <v>42895.806423611109</v>
      </c>
      <c r="G202" s="7">
        <v>1</v>
      </c>
      <c r="H202" s="21" t="s">
        <v>551</v>
      </c>
      <c r="I202" s="13">
        <v>42895.816134259258</v>
      </c>
      <c r="J202" s="7">
        <v>0</v>
      </c>
      <c r="K202" s="92" t="str">
        <f t="shared" si="62"/>
        <v>4015/4016</v>
      </c>
      <c r="L202" s="21" t="str">
        <f>VLOOKUP(A202,'Trips&amp;Operators'!$C$1:$G$99999,5,FALSE)</f>
        <v>LOPES KIMBERLY</v>
      </c>
      <c r="M202" s="6">
        <f t="shared" si="63"/>
        <v>9.710648148029577E-3</v>
      </c>
      <c r="N202" s="7">
        <f t="shared" si="81"/>
        <v>13.983333333162591</v>
      </c>
      <c r="O202" s="7"/>
      <c r="P202" s="7"/>
      <c r="Q202" s="22"/>
      <c r="R202" s="173"/>
      <c r="S202" s="176">
        <f t="shared" si="82"/>
        <v>1</v>
      </c>
      <c r="T202" s="202" t="str">
        <f t="shared" si="64"/>
        <v>NorthBound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65"/>
        <v>https://d0f6bd738d7f1b3e5a7ca70fe4ff75f0.us-east-1.aws.found.io/app/kibana#/discover/Steve-Slow-Train-Analysis-(2080s-and-2083s)?_g=(refreshInterval:(display:Off,pause:!f,section:0,value:0),time:(from:'2017-06-09T18:03:10-0600',mode:absolute,to:'2017-06-09T20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204" t="str">
        <f t="shared" si="66"/>
        <v>N</v>
      </c>
      <c r="X202" s="204">
        <f t="shared" si="67"/>
        <v>1</v>
      </c>
      <c r="Y202" s="204">
        <f t="shared" si="83"/>
        <v>9.5000000000000001E-2</v>
      </c>
      <c r="Z202" s="204">
        <f t="shared" si="84"/>
        <v>5.8928000000000003</v>
      </c>
      <c r="AA202" s="204">
        <f t="shared" si="68"/>
        <v>5.7978000000000005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9"/>
        <v>0841-09</v>
      </c>
      <c r="AE202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202" s="77" t="str">
        <f t="shared" si="71"/>
        <v>"C:\Program Files (x86)\AstroGrep\AstroGrep.exe" /e /r /s /spath="%USERPROFILE%\AppData\Local\Temp\OnboardLogs" /stypes="app*4016*20170610*" /stext=" 01:.+((SYSTEM_STATE.+slice.+state.+changed )|(ment ac)|(multiple cpu faults)|(system.+state.+changed )|(\[timeout)|(PRM\|1\|D)|(kpr)|(kdp)|(train st.+moving)|(\|lc)|(penalty))"</v>
      </c>
      <c r="AG202" s="1" t="str">
        <f t="shared" si="72"/>
        <v>NW</v>
      </c>
      <c r="AH202" s="81" t="str">
        <f t="shared" si="73"/>
        <v>"%USERPROFILE%\Documents\GitHub\eaglep3\Utilities\RefineRTDCRunTimes.py" --tripid 841-09 --locoid 4016 --swversion DE.1.0.9.0 --startMP 204:950 --initTime 2017-06-09T19:03:10 --startdatetime 2017-06-09T19:21:15 --delay 1 --endMP 300:58928 --enddatetime 2017-06-09T19:35:14 --enforcementcount 0 &gt;&gt;C:\Users\stu\Documents\GitHub\eaglep3-reporting\EC\2017-06-09-refined-times.txt</v>
      </c>
      <c r="AI202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{"issue":{"subject":"","project_id":79,"tracker_id":40,"status_id":1,"priority_id":2,"assigned_to_id":23,"start_date":"2017-06-09","description":"","custom_fields":[{"id":1,"name":"Subdivision","value":"NW"},{"id":4,"name":"Milepost","value":"5.8928"},{"id":17,"name":"Train ID","value":"841-09"},{"id":16,"name":"Locomotive ID","value":"4016"},{"id":130,"name":"Impact","value":""},{"id":150,"name":"Time of Event (Mountain Time)","value":"19:35:14"},{"id":151,"name":"Denver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75"/>
        <v>start /low /b %USERPROFILE%\Documents\GitHub\eaglep3\Utilities\DownloadLogsFromS3.py --loco 4016 --day 2017-06-09</v>
      </c>
      <c r="AN202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01:35:14"},{"id":29,"name":"Sharepoint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630</v>
      </c>
      <c r="B203" s="7">
        <v>4015</v>
      </c>
      <c r="C203" s="21" t="s">
        <v>204</v>
      </c>
      <c r="D203" s="21" t="s">
        <v>965</v>
      </c>
      <c r="E203" s="13">
        <v>42895.859432870369</v>
      </c>
      <c r="F203" s="13">
        <v>42895.860925925925</v>
      </c>
      <c r="G203" s="7">
        <v>1</v>
      </c>
      <c r="H203" s="21" t="s">
        <v>974</v>
      </c>
      <c r="I203" s="13">
        <v>42895.872037037036</v>
      </c>
      <c r="J203" s="7">
        <v>0</v>
      </c>
      <c r="K203" s="92" t="str">
        <f t="shared" si="62"/>
        <v>4015/4016</v>
      </c>
      <c r="L203" s="21" t="str">
        <f>VLOOKUP(A203,'Trips&amp;Operators'!$C$1:$G$99999,5,FALSE)</f>
        <v>LOPES KIMBERLY</v>
      </c>
      <c r="M203" s="6">
        <f t="shared" si="63"/>
        <v>1.1111111110949423E-2</v>
      </c>
      <c r="N203" s="7">
        <f t="shared" si="81"/>
        <v>15.999999999767169</v>
      </c>
      <c r="O203" s="7"/>
      <c r="P203" s="7"/>
      <c r="Q203" s="22"/>
      <c r="R203" s="173"/>
      <c r="S203" s="176">
        <f t="shared" si="82"/>
        <v>1</v>
      </c>
      <c r="T203" s="202" t="str">
        <f t="shared" si="64"/>
        <v>Southbound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65"/>
        <v>https://d0f6bd738d7f1b3e5a7ca70fe4ff75f0.us-east-1.aws.found.io/app/kibana#/discover/Steve-Slow-Train-Analysis-(2080s-and-2083s)?_g=(refreshInterval:(display:Off,pause:!f,section:0,value:0),time:(from:'2017-06-09T19:37:35-0600',mode:absolute,to:'2017-06-09T21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3" s="204" t="str">
        <f t="shared" si="66"/>
        <v>N</v>
      </c>
      <c r="X203" s="204">
        <f t="shared" si="67"/>
        <v>1</v>
      </c>
      <c r="Y203" s="204">
        <f t="shared" si="83"/>
        <v>5.8624000000000001</v>
      </c>
      <c r="Z203" s="204">
        <f t="shared" si="84"/>
        <v>7.0999999999999994E-2</v>
      </c>
      <c r="AA203" s="204">
        <f t="shared" si="68"/>
        <v>5.7914000000000003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9"/>
        <v>0842-09</v>
      </c>
      <c r="AE203" s="80" t="str">
        <f t="shared" si="70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203" s="77" t="str">
        <f t="shared" si="71"/>
        <v>"C:\Program Files (x86)\AstroGrep\AstroGrep.exe" /e /r /s /spath="%USERPROFILE%\AppData\Local\Temp\OnboardLogs" /stypes="app*4015*20170610*" /stext=" 02:.+((SYSTEM_STATE.+slice.+state.+changed )|(ment ac)|(multiple cpu faults)|(system.+state.+changed )|(\[timeout)|(PRM\|1\|D)|(kpr)|(kdp)|(train st.+moving)|(\|lc)|(penalty))"</v>
      </c>
      <c r="AG203" s="1" t="str">
        <f t="shared" si="72"/>
        <v>NW</v>
      </c>
      <c r="AH203" s="81" t="str">
        <f t="shared" si="73"/>
        <v>"%USERPROFILE%\Documents\GitHub\eaglep3\Utilities\RefineRTDCRunTimes.py" --tripid 842-09 --locoid 4015 --swversion DE.1.0.9.0 --startMP 300:58624 --initTime 2017-06-09T20:37:35 --startdatetime 2017-06-09T20:39:44 --delay 1 --endMP 204:710 --enddatetime 2017-06-09T20:55:44 --enforcementcount 0 &gt;&gt;C:\Users\stu\Documents\GitHub\eaglep3-reporting\EC\2017-06-09-refined-times.txt</v>
      </c>
      <c r="AI203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{"issue":{"subject":"","project_id":79,"tracker_id":40,"status_id":1,"priority_id":2,"assigned_to_id":23,"start_date":"2017-06-09","description":"","custom_fields":[{"id":1,"name":"Subdivision","value":"NW"},{"id":4,"name":"Milepost","value":"0.071"},{"id":17,"name":"Train ID","value":"842-09"},{"id":16,"name":"Locomotive ID","value":"4015"},{"id":130,"name":"Impact","value":""},{"id":150,"name":"Time of Event (Mountain Time)","value":"20:55:44"},{"id":151,"name":"Denver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75"/>
        <v>start /low /b %USERPROFILE%\Documents\GitHub\eaglep3\Utilities\DownloadLogsFromS3.py --loco 4015 --day 2017-06-09</v>
      </c>
      <c r="AN203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02:55:44"},{"id":29,"name":"Sharepoint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s="20" customFormat="1" x14ac:dyDescent="0.25">
      <c r="A204" s="32" t="s">
        <v>803</v>
      </c>
      <c r="B204" s="7">
        <v>4016</v>
      </c>
      <c r="C204" s="21" t="s">
        <v>204</v>
      </c>
      <c r="D204" s="21" t="s">
        <v>575</v>
      </c>
      <c r="E204" s="13">
        <v>42895.83902777778</v>
      </c>
      <c r="F204" s="13">
        <v>42895.848217592589</v>
      </c>
      <c r="G204" s="7">
        <v>1</v>
      </c>
      <c r="H204" s="21" t="s">
        <v>975</v>
      </c>
      <c r="I204" s="13">
        <v>42895.857974537037</v>
      </c>
      <c r="J204" s="7">
        <v>0</v>
      </c>
      <c r="K204" s="92" t="str">
        <f t="shared" si="62"/>
        <v>4015/4016</v>
      </c>
      <c r="L204" s="21" t="str">
        <f>VLOOKUP(A204,'Trips&amp;Operators'!$C$1:$G$99999,5,FALSE)</f>
        <v>LOPES KIMBERLY</v>
      </c>
      <c r="M204" s="6">
        <f t="shared" si="63"/>
        <v>9.7569444478722289E-3</v>
      </c>
      <c r="N204" s="7">
        <f t="shared" si="81"/>
        <v>14.05000000493601</v>
      </c>
      <c r="O204" s="7"/>
      <c r="P204" s="7"/>
      <c r="Q204" s="22"/>
      <c r="R204" s="173"/>
      <c r="S204" s="176">
        <f t="shared" si="82"/>
        <v>1</v>
      </c>
      <c r="T204" s="202" t="str">
        <f t="shared" si="64"/>
        <v>NorthBound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65"/>
        <v>https://d0f6bd738d7f1b3e5a7ca70fe4ff75f0.us-east-1.aws.found.io/app/kibana#/discover/Steve-Slow-Train-Analysis-(2080s-and-2083s)?_g=(refreshInterval:(display:Off,pause:!f,section:0,value:0),time:(from:'2017-06-09T19:08:12-0600',mode:absolute,to:'2017-06-09T21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4" s="204" t="str">
        <f t="shared" si="66"/>
        <v>N</v>
      </c>
      <c r="X204" s="204">
        <f t="shared" si="67"/>
        <v>1</v>
      </c>
      <c r="Y204" s="204">
        <f t="shared" si="83"/>
        <v>9.4799999999999995E-2</v>
      </c>
      <c r="Z204" s="204">
        <f t="shared" si="84"/>
        <v>5.8940999999999999</v>
      </c>
      <c r="AA204" s="204">
        <f t="shared" si="68"/>
        <v>5.7992999999999997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9"/>
        <v>0843-09</v>
      </c>
      <c r="AE204" s="80" t="str">
        <f t="shared" si="70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204" s="77" t="str">
        <f t="shared" si="71"/>
        <v>"C:\Program Files (x86)\AstroGrep\AstroGrep.exe" /e /r /s /spath="%USERPROFILE%\AppData\Local\Temp\OnboardLogs" /stypes="app*4016*20170610*" /stext=" 02:.+((SYSTEM_STATE.+slice.+state.+changed )|(ment ac)|(multiple cpu faults)|(system.+state.+changed )|(\[timeout)|(PRM\|1\|D)|(kpr)|(kdp)|(train st.+moving)|(\|lc)|(penalty))"</v>
      </c>
      <c r="AG204" s="1" t="str">
        <f t="shared" si="72"/>
        <v>NW</v>
      </c>
      <c r="AH204" s="81" t="str">
        <f t="shared" si="73"/>
        <v>"%USERPROFILE%\Documents\GitHub\eaglep3\Utilities\RefineRTDCRunTimes.py" --tripid 843-09 --locoid 4016 --swversion DE.1.0.9.0 --startMP 204:948 --initTime 2017-06-09T20:08:12 --startdatetime 2017-06-09T20:21:26 --delay 1 --endMP 300:58941 --enddatetime 2017-06-09T20:35:29 --enforcementcount 0 &gt;&gt;C:\Users\stu\Documents\GitHub\eaglep3-reporting\EC\2017-06-09-refined-times.txt</v>
      </c>
      <c r="AI204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{"issue":{"subject":"","project_id":79,"tracker_id":40,"status_id":1,"priority_id":2,"assigned_to_id":23,"start_date":"2017-06-09","description":"","custom_fields":[{"id":1,"name":"Subdivision","value":"NW"},{"id":4,"name":"Milepost","value":"5.8941"},{"id":17,"name":"Train ID","value":"843-09"},{"id":16,"name":"Locomotive ID","value":"4016"},{"id":130,"name":"Impact","value":""},{"id":150,"name":"Time of Event (Mountain Time)","value":"20:35:29"},{"id":151,"name":"Denver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5" t="str">
        <f t="shared" si="75"/>
        <v>start /low /b %USERPROFILE%\Documents\GitHub\eaglep3\Utilities\DownloadLogsFromS3.py --loco 4016 --day 2017-06-09</v>
      </c>
      <c r="AN204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02:35:29"},{"id":29,"name":"Sharepoint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811</v>
      </c>
      <c r="B205" s="7">
        <v>4015</v>
      </c>
      <c r="C205" s="21" t="s">
        <v>204</v>
      </c>
      <c r="D205" s="21" t="s">
        <v>939</v>
      </c>
      <c r="E205" s="13">
        <v>42895.901006944441</v>
      </c>
      <c r="F205" s="13">
        <v>42895.902997685182</v>
      </c>
      <c r="G205" s="7">
        <v>1</v>
      </c>
      <c r="H205" s="21" t="s">
        <v>549</v>
      </c>
      <c r="I205" s="13">
        <v>42895.913495370369</v>
      </c>
      <c r="J205" s="7">
        <v>0</v>
      </c>
      <c r="K205" s="92" t="str">
        <f t="shared" ref="K205:K238" si="85">IF(ISEVEN(B205),(B205-1)&amp;"/"&amp;B205,B205&amp;"/"&amp;(B205+1))</f>
        <v>4015/4016</v>
      </c>
      <c r="L205" s="21" t="str">
        <f>VLOOKUP(A205,'Trips&amp;Operators'!$C$1:$G$99999,5,FALSE)</f>
        <v>MCREYNOLDS KYLE</v>
      </c>
      <c r="M205" s="6">
        <f t="shared" ref="M205:M238" si="86">I205-F205</f>
        <v>1.0497685187146999E-2</v>
      </c>
      <c r="N205" s="7">
        <f t="shared" si="81"/>
        <v>15.116666669491678</v>
      </c>
      <c r="O205" s="7"/>
      <c r="P205" s="7"/>
      <c r="Q205" s="22"/>
      <c r="R205" s="173"/>
      <c r="S205" s="176">
        <f t="shared" si="82"/>
        <v>1</v>
      </c>
      <c r="T205" s="202" t="str">
        <f t="shared" ref="T205:T238" si="87">IF(ISEVEN(LEFT(AD205,4)),"Southbound","NorthBound")</f>
        <v>Southbound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ref="V205:V238" si="8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-09T20:37:27-0600',mode:absolute,to:'2017-06-09T22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5" s="204" t="str">
        <f t="shared" ref="W205:W238" si="89">IF(AA205&lt;IF(AG205="EC",23,5.65),"Y","N")</f>
        <v>N</v>
      </c>
      <c r="X205" s="204">
        <f t="shared" ref="X205:X238" si="90">VALUE(LEFT(AD205,4))-VALUE(LEFT(AD204,4))</f>
        <v>1</v>
      </c>
      <c r="Y205" s="204">
        <f t="shared" si="83"/>
        <v>5.8635999999999999</v>
      </c>
      <c r="Z205" s="204">
        <f t="shared" si="84"/>
        <v>7.1199999999999999E-2</v>
      </c>
      <c r="AA205" s="204">
        <f t="shared" ref="AA205:AA268" si="91">ABS(Z205-Y205)</f>
        <v>5.7923999999999998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38" si="92">IF(LEN(A205)=6,"0"&amp;A205,A205)</f>
        <v>0844-09</v>
      </c>
      <c r="AE205" s="80" t="str">
        <f t="shared" ref="AE205:AE238" si="9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205" s="77" t="str">
        <f t="shared" ref="AF205:AF238" si="9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/stypes="app*4015*20170610*" /stext=" 03:.+((SYSTEM_STATE.+slice.+state.+changed )|(ment ac)|(multiple cpu faults)|(system.+state.+changed )|(\[timeout)|(PRM\|1\|D)|(kpr)|(kdp)|(train st.+moving)|(\|lc)|(penalty))"</v>
      </c>
      <c r="AG205" s="1" t="str">
        <f t="shared" ref="AG205:AG238" si="95">IFERROR(IF(VALUE(LEFT(AD205,2))&lt;=2,"EC",IF(OR(VALUE(LEFT(AD205,2))=8,VALUE(LEFT(AD205,2))=18),"NW","Other")),"Other")</f>
        <v>NW</v>
      </c>
      <c r="AH205" s="81" t="str">
        <f t="shared" si="73"/>
        <v>"%USERPROFILE%\Documents\GitHub\eaglep3\Utilities\RefineRTDCRunTimes.py" --tripid 844-09 --locoid 4015 --swversion DE.1.0.9.0 --startMP 300:58636 --initTime 2017-06-09T21:37:27 --startdatetime 2017-06-09T21:40:19 --delay 1 --endMP 204:712 --enddatetime 2017-06-09T21:55:26 --enforcementcount 0 &gt;&gt;C:\Users\stu\Documents\GitHub\eaglep3-reporting\EC\2017-06-09-refined-times.txt</v>
      </c>
      <c r="AI205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{"issue":{"subject":"","project_id":79,"tracker_id":40,"status_id":1,"priority_id":2,"assigned_to_id":23,"start_date":"2017-06-09","description":"","custom_fields":[{"id":1,"name":"Subdivision","value":"NW"},{"id":4,"name":"Milepost","value":"0.0712"},{"id":17,"name":"Train ID","value":"844-09"},{"id":16,"name":"Locomotive ID","value":"4015"},{"id":130,"name":"Impact","value":""},{"id":150,"name":"Time of Event (Mountain Time)","value":"21:55:26"},{"id":151,"name":"Denver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75"/>
        <v>start /low /b %USERPROFILE%\Documents\GitHub\eaglep3\Utilities\DownloadLogsFromS3.py --loco 4015 --day 2017-06-09</v>
      </c>
      <c r="AN205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03:55:26"},{"id":29,"name":"Sharepoint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s="20" customFormat="1" x14ac:dyDescent="0.25">
      <c r="A206" s="32" t="s">
        <v>808</v>
      </c>
      <c r="B206" s="7">
        <v>4016</v>
      </c>
      <c r="C206" s="21" t="s">
        <v>204</v>
      </c>
      <c r="D206" s="21" t="s">
        <v>976</v>
      </c>
      <c r="E206" s="13">
        <v>42895.87703703704</v>
      </c>
      <c r="F206" s="13">
        <v>42895.889780092592</v>
      </c>
      <c r="G206" s="7">
        <v>1</v>
      </c>
      <c r="H206" s="21" t="s">
        <v>977</v>
      </c>
      <c r="I206" s="13">
        <v>42895.899710648147</v>
      </c>
      <c r="J206" s="7">
        <v>0</v>
      </c>
      <c r="K206" s="92" t="str">
        <f t="shared" si="85"/>
        <v>4015/4016</v>
      </c>
      <c r="L206" s="21" t="str">
        <f>VLOOKUP(A206,'Trips&amp;Operators'!$C$1:$G$99999,5,FALSE)</f>
        <v>MCREYNOLDS KYLE</v>
      </c>
      <c r="M206" s="6">
        <f t="shared" si="86"/>
        <v>9.930555555911269E-3</v>
      </c>
      <c r="N206" s="7">
        <f t="shared" si="81"/>
        <v>14.300000000512227</v>
      </c>
      <c r="O206" s="7"/>
      <c r="P206" s="7"/>
      <c r="Q206" s="22"/>
      <c r="R206" s="173"/>
      <c r="S206" s="176">
        <f t="shared" si="82"/>
        <v>1</v>
      </c>
      <c r="T206" s="202" t="str">
        <f t="shared" si="87"/>
        <v>NorthBound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si="88"/>
        <v>https://d0f6bd738d7f1b3e5a7ca70fe4ff75f0.us-east-1.aws.found.io/app/kibana#/discover/Steve-Slow-Train-Analysis-(2080s-and-2083s)?_g=(refreshInterval:(display:Off,pause:!f,section:0,value:0),time:(from:'2017-06-09T20:02:56-0600',mode:absolute,to:'2017-06-09T22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6" s="204" t="str">
        <f t="shared" si="89"/>
        <v>N</v>
      </c>
      <c r="X206" s="204">
        <f t="shared" si="90"/>
        <v>1</v>
      </c>
      <c r="Y206" s="204">
        <f t="shared" si="83"/>
        <v>9.8799999999999999E-2</v>
      </c>
      <c r="Z206" s="204">
        <f t="shared" si="84"/>
        <v>5.8964999999999996</v>
      </c>
      <c r="AA206" s="204">
        <f t="shared" si="91"/>
        <v>5.7976999999999999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92"/>
        <v>0845-09</v>
      </c>
      <c r="AE206" s="80" t="str">
        <f t="shared" si="93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206" s="77" t="str">
        <f t="shared" si="94"/>
        <v>"C:\Program Files (x86)\AstroGrep\AstroGrep.exe" /e /r /s /spath="%USERPROFILE%\AppData\Local\Temp\OnboardLogs" /stypes="app*4016*20170610*" /stext=" 03:.+((SYSTEM_STATE.+slice.+state.+changed )|(ment ac)|(multiple cpu faults)|(system.+state.+changed )|(\[timeout)|(PRM\|1\|D)|(kpr)|(kdp)|(train st.+moving)|(\|lc)|(penalty))"</v>
      </c>
      <c r="AG206" s="1" t="str">
        <f t="shared" si="95"/>
        <v>NW</v>
      </c>
      <c r="AH206" s="81" t="str">
        <f t="shared" si="73"/>
        <v>"%USERPROFILE%\Documents\GitHub\eaglep3\Utilities\RefineRTDCRunTimes.py" --tripid 845-09 --locoid 4016 --swversion DE.1.0.9.0 --startMP 204:988 --initTime 2017-06-09T21:02:56 --startdatetime 2017-06-09T21:21:17 --delay 1 --endMP 300:58965 --enddatetime 2017-06-09T21:35:35 --enforcementcount 0 &gt;&gt;C:\Users\stu\Documents\GitHub\eaglep3-reporting\EC\2017-06-09-refined-times.txt</v>
      </c>
      <c r="AI206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{"issue":{"subject":"","project_id":79,"tracker_id":40,"status_id":1,"priority_id":2,"assigned_to_id":23,"start_date":"2017-06-09","description":"","custom_fields":[{"id":1,"name":"Subdivision","value":"NW"},{"id":4,"name":"Milepost","value":"5.8965"},{"id":17,"name":"Train ID","value":"845-09"},{"id":16,"name":"Locomotive ID","value":"4016"},{"id":130,"name":"Impact","value":""},{"id":150,"name":"Time of Event (Mountain Time)","value":"21:35:35"},{"id":151,"name":"Denver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5" t="str">
        <f t="shared" si="75"/>
        <v>start /low /b %USERPROFILE%\Documents\GitHub\eaglep3\Utilities\DownloadLogsFromS3.py --loco 4016 --day 2017-06-09</v>
      </c>
      <c r="AN206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03:35:35"},{"id":29,"name":"Sharepoint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814</v>
      </c>
      <c r="B207" s="7">
        <v>4016</v>
      </c>
      <c r="C207" s="21" t="s">
        <v>204</v>
      </c>
      <c r="D207" s="21" t="s">
        <v>978</v>
      </c>
      <c r="E207" s="13">
        <v>42895.91479166667</v>
      </c>
      <c r="F207" s="13">
        <v>42895.931423611109</v>
      </c>
      <c r="G207" s="7">
        <v>1</v>
      </c>
      <c r="H207" s="21" t="s">
        <v>961</v>
      </c>
      <c r="I207" s="13">
        <v>42895.941805555558</v>
      </c>
      <c r="J207" s="7">
        <v>0</v>
      </c>
      <c r="K207" s="92" t="str">
        <f t="shared" si="85"/>
        <v>4015/4016</v>
      </c>
      <c r="L207" s="21" t="str">
        <f>VLOOKUP(A207,'Trips&amp;Operators'!$C$1:$G$99999,5,FALSE)</f>
        <v>MCREYNOLDS KYLE</v>
      </c>
      <c r="M207" s="6">
        <f t="shared" si="86"/>
        <v>1.0381944448454306E-2</v>
      </c>
      <c r="N207" s="7">
        <f t="shared" si="81"/>
        <v>14.9500000057742</v>
      </c>
      <c r="O207" s="7"/>
      <c r="P207" s="7"/>
      <c r="Q207" s="22"/>
      <c r="R207" s="173"/>
      <c r="S207" s="176">
        <f t="shared" si="82"/>
        <v>1</v>
      </c>
      <c r="T207" s="202" t="str">
        <f t="shared" si="87"/>
        <v>NorthBound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 t="shared" si="88"/>
        <v>https://d0f6bd738d7f1b3e5a7ca70fe4ff75f0.us-east-1.aws.found.io/app/kibana#/discover/Steve-Slow-Train-Analysis-(2080s-and-2083s)?_g=(refreshInterval:(display:Off,pause:!f,section:0,value:0),time:(from:'2017-06-09T20:57:18-0600',mode:absolute,to:'2017-06-09T23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204" t="str">
        <f t="shared" si="89"/>
        <v>N</v>
      </c>
      <c r="X207" s="204">
        <f t="shared" si="90"/>
        <v>2</v>
      </c>
      <c r="Y207" s="204">
        <f t="shared" si="83"/>
        <v>9.9199999999999997E-2</v>
      </c>
      <c r="Z207" s="204">
        <f t="shared" si="84"/>
        <v>5.8958000000000004</v>
      </c>
      <c r="AA207" s="204">
        <f t="shared" si="91"/>
        <v>5.7966000000000006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92"/>
        <v>0847-09</v>
      </c>
      <c r="AE207" s="80" t="str">
        <f t="shared" si="93"/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AF207" s="77" t="str">
        <f t="shared" si="94"/>
        <v>"C:\Program Files (x86)\AstroGrep\AstroGrep.exe" /e /r /s /spath="%USERPROFILE%\AppData\Local\Temp\OnboardLogs" /stypes="app*4016*20170610*" /stext=" 04:.+((SYSTEM_STATE.+slice.+state.+changed )|(ment ac)|(multiple cpu faults)|(system.+state.+changed )|(\[timeout)|(PRM\|1\|D)|(kpr)|(kdp)|(train st.+moving)|(\|lc)|(penalty))"</v>
      </c>
      <c r="AG207" s="1" t="str">
        <f t="shared" si="95"/>
        <v>NW</v>
      </c>
      <c r="AH207" s="81" t="str">
        <f t="shared" si="73"/>
        <v>"%USERPROFILE%\Documents\GitHub\eaglep3\Utilities\RefineRTDCRunTimes.py" --tripid 847-09 --locoid 4016 --swversion DE.1.0.9.0 --startMP 204:992 --initTime 2017-06-09T21:57:18 --startdatetime 2017-06-09T22:21:15 --delay 1 --endMP 300:58958 --enddatetime 2017-06-09T22:36:12 --enforcementcount 0 &gt;&gt;C:\Users\stu\Documents\GitHub\eaglep3-reporting\EC\2017-06-09-refined-times.txt</v>
      </c>
      <c r="AI207" s="99" t="str">
        <f t="shared" si="74"/>
        <v>echo {"issue":{"subject":"","project_id":79,"tracker_id":40,"status_id":1,"priority_id":2,"assigned_to_id":23,"start_date":"2017-06-09","description":"","custom_fields":[{"id":1,"name":"Subdivision","value":"NW"},{"id":4,"name":"Milepost","value":"5.8958"},{"id":17,"name":"Train ID","value":"847-09"},{"id":16,"name":"Locomotive ID","value":"4016"},{"id":130,"name":"Impact","value":""},{"id":150,"name":"Time of Event (Mountain Time)","value":"22:36:12"},{"id":151,"name":"Denver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75"/>
        <v>start /low /b %USERPROFILE%\Documents\GitHub\eaglep3\Utilities\DownloadLogsFromS3.py --loco 4016 --day 2017-06-09</v>
      </c>
      <c r="AN207" s="154" t="str">
        <f t="shared" si="76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04:36:12"},{"id":29,"name":"Sharepoint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586</v>
      </c>
      <c r="B208" s="7">
        <v>4019</v>
      </c>
      <c r="C208" s="21" t="s">
        <v>204</v>
      </c>
      <c r="D208" s="21" t="s">
        <v>891</v>
      </c>
      <c r="E208" s="13">
        <v>42895.116886574076</v>
      </c>
      <c r="F208" s="13">
        <v>42895.120324074072</v>
      </c>
      <c r="G208" s="7">
        <v>4</v>
      </c>
      <c r="H208" s="21" t="s">
        <v>196</v>
      </c>
      <c r="I208" s="13">
        <v>42895.127002314817</v>
      </c>
      <c r="J208" s="7">
        <v>0</v>
      </c>
      <c r="K208" s="92" t="str">
        <f t="shared" si="85"/>
        <v>4019/4020</v>
      </c>
      <c r="L208" s="21" t="str">
        <f>VLOOKUP(A208,'Trips&amp;Operators'!$C$1:$G$99999,5,FALSE)</f>
        <v>STARKS ANGELINA</v>
      </c>
      <c r="M208" s="6">
        <f t="shared" si="86"/>
        <v>6.6782407448044978E-3</v>
      </c>
      <c r="N208" s="7">
        <f t="shared" si="81"/>
        <v>9.6166666725184768</v>
      </c>
      <c r="O208" s="7"/>
      <c r="P208" s="7"/>
      <c r="Q208" s="22"/>
      <c r="R208" s="173"/>
      <c r="S208" s="176">
        <f t="shared" si="82"/>
        <v>1</v>
      </c>
      <c r="T208" s="202" t="str">
        <f t="shared" si="87"/>
        <v>Southbound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 t="shared" si="88"/>
        <v>https://d0f6bd738d7f1b3e5a7ca70fe4ff75f0.us-east-1.aws.found.io/app/kibana#/discover/Steve-Slow-Train-Analysis-(2080s-and-2083s)?_g=(refreshInterval:(display:Off,pause:!f,section:0,value:0),time:(from:'2017-06-09T01:48:19-0600',mode:absolute,to:'2017-06-09T04:02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8" s="204" t="str">
        <f t="shared" si="89"/>
        <v>Y</v>
      </c>
      <c r="X208" s="204">
        <f t="shared" si="90"/>
        <v>-547</v>
      </c>
      <c r="Y208" s="204">
        <f t="shared" si="83"/>
        <v>2.04</v>
      </c>
      <c r="Z208" s="204">
        <f t="shared" si="84"/>
        <v>1.5800000000000002E-2</v>
      </c>
      <c r="AA208" s="204">
        <f t="shared" si="91"/>
        <v>2.0242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92"/>
        <v>0300-09</v>
      </c>
      <c r="AE208" s="80" t="str">
        <f t="shared" si="93"/>
        <v>aws s3 cp s3://rtdc.mdm.uploadarchive.raw/RTDC4019/ "%USERPROFILE%\AppData\Local\Temp\OnboardLogs"\RTDC4019\2017-06-09 --exclude "*" --recursive --include "*20170609*" &amp; "%USERPROFILE%\Documents\GitHub\mrs-test-scripts\Headless Mode &amp; Sideloading\WalkAndUnGZ.bat" "%USERPROFILE%\AppData\Local\Temp\OnboardLogs"\RTDC4019\2017-06-09 &amp; aws s3 cp s3://rtdc.mdm.uploadarchive.raw/RTDC4019/ "%USERPROFILE%\AppData\Local\Temp\OnboardLogs"\RTDC4019\2017-06-10 --exclude "*" --recursive --include "*20170610*" &amp; "%USERPROFILE%\Documents\GitHub\mrs-test-scripts\Headless Mode &amp; Sideloading\WalkAndUnGZ.bat" "%USERPROFILE%\AppData\Local\Temp\OnboardLogs"\RTDC4019\2017-06-10</v>
      </c>
      <c r="AF208" s="77" t="str">
        <f t="shared" si="94"/>
        <v>"C:\Program Files (x86)\AstroGrep\AstroGrep.exe" /e /r /s /spath="%USERPROFILE%\AppData\Local\Temp\OnboardLogs" /stypes="app*4019*20170609*" /stext=" 09:.+((SYSTEM_STATE.+slice.+state.+changed )|(ment ac)|(multiple cpu faults)|(system.+state.+changed )|(\[timeout)|(PRM\|1\|D)|(kpr)|(kdp)|(train st.+moving)|(\|lc)|(penalty))"</v>
      </c>
      <c r="AG208" s="1" t="str">
        <f t="shared" si="95"/>
        <v>Other</v>
      </c>
      <c r="AH208" s="81" t="str">
        <f t="shared" ref="AH208:AH238" si="96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300-09 --locoid 4019 --swversion DE.1.0.9.0 --startMP 300:20400 --initTime 2017-06-09T02:48:19 --startdatetime 2017-06-09T02:53:16 --delay 4 --endMP 204:158 --enddatetime 2017-06-09T03:02:53 --enforcementcount 0 &gt;&gt;C:\Users\stu\Documents\GitHub\eaglep3-reporting\EC\2017-06-09-refined-times.txt</v>
      </c>
      <c r="AI208" s="99" t="str">
        <f t="shared" ref="AI208:AI238" si="97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{"issue":{"subject":"","project_id":79,"tracker_id":40,"status_id":1,"priority_id":2,"assigned_to_id":23,"start_date":"2017-06-09","description":"","custom_fields":[{"id":1,"name":"Subdivision","value":"Other"},{"id":4,"name":"Milepost","value":"0.0158"},{"id":17,"name":"Train ID","value":"300-09"},{"id":16,"name":"Locomotive ID","value":"4019"},{"id":130,"name":"Impact","value":""},{"id":150,"name":"Time of Event (Mountain Time)","value":"03:02:53"},{"id":151,"name":"Denver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ref="AM208:AM238" si="98">"start /low /b "&amp;dls3logs&amp;" --loco "&amp;B208&amp;" --day "&amp;TEXT(F208,"YYYY-MM-DD")</f>
        <v>start /low /b %USERPROFILE%\Documents\GitHub\eaglep3\Utilities\DownloadLogsFromS3.py --loco 4019 --day 2017-06-09</v>
      </c>
      <c r="AN208" s="154" t="str">
        <f t="shared" ref="AN208:AN238" si="99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09:02:53"},{"id":29,"name":"Sharepoint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627</v>
      </c>
      <c r="B209" s="7">
        <v>4010</v>
      </c>
      <c r="C209" s="21" t="s">
        <v>204</v>
      </c>
      <c r="D209" s="21" t="s">
        <v>892</v>
      </c>
      <c r="E209" s="13">
        <v>42895.799687500003</v>
      </c>
      <c r="F209" s="13">
        <v>42895.801701388889</v>
      </c>
      <c r="G209" s="7">
        <v>1</v>
      </c>
      <c r="H209" s="21" t="s">
        <v>893</v>
      </c>
      <c r="I209" s="13">
        <v>42895.810312499998</v>
      </c>
      <c r="J209" s="7">
        <v>0</v>
      </c>
      <c r="K209" s="92" t="str">
        <f t="shared" si="85"/>
        <v>4009/4010</v>
      </c>
      <c r="L209" s="21" t="str">
        <f>VLOOKUP(A209,'Trips&amp;Operators'!$C$1:$G$99999,5,FALSE)</f>
        <v>NEWELL JAMES</v>
      </c>
      <c r="M209" s="6">
        <f t="shared" si="86"/>
        <v>8.6111111086211167E-3</v>
      </c>
      <c r="N209" s="7">
        <f t="shared" si="81"/>
        <v>12.399999996414408</v>
      </c>
      <c r="O209" s="7"/>
      <c r="P209" s="7"/>
      <c r="Q209" s="22"/>
      <c r="R209" s="173"/>
      <c r="S209" s="176">
        <f t="shared" si="82"/>
        <v>1</v>
      </c>
      <c r="T209" s="202" t="str">
        <f t="shared" si="87"/>
        <v>NorthBound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 t="shared" si="88"/>
        <v>https://d0f6bd738d7f1b3e5a7ca70fe4ff75f0.us-east-1.aws.found.io/app/kibana#/discover/Steve-Slow-Train-Analysis-(2080s-and-2083s)?_g=(refreshInterval:(display:Off,pause:!f,section:0,value:0),time:(from:'2017-06-09T18:11:33-0600',mode:absolute,to:'2017-06-09T20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9" s="204" t="str">
        <f t="shared" si="89"/>
        <v>Y</v>
      </c>
      <c r="X209" s="204">
        <f t="shared" si="90"/>
        <v>1</v>
      </c>
      <c r="Y209" s="204">
        <f t="shared" si="83"/>
        <v>0.1479</v>
      </c>
      <c r="Z209" s="204">
        <f t="shared" si="84"/>
        <v>2.3144999999999998</v>
      </c>
      <c r="AA209" s="204">
        <f t="shared" si="91"/>
        <v>2.1665999999999999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92"/>
        <v>0301-09</v>
      </c>
      <c r="AE209" s="80" t="str">
        <f t="shared" si="93"/>
        <v>aws s3 cp s3://rtdc.mdm.uploadarchive.raw/RTDC4010/ "%USERPROFILE%\AppData\Local\Temp\OnboardLogs"\RTDC4010\2017-06-09 --exclude "*" --recursive --include "*20170609*" &amp; "%USERPROFILE%\Documents\GitHub\mrs-test-scripts\Headless Mode &amp; Sideloading\WalkAndUnGZ.bat" "%USERPROFILE%\AppData\Local\Temp\OnboardLogs"\RTDC4010\2017-06-09 &amp; aws s3 cp s3://rtdc.mdm.uploadarchive.raw/RTDC4010/ "%USERPROFILE%\AppData\Local\Temp\OnboardLogs"\RTDC4010\2017-06-10 --exclude "*" --recursive --include "*20170610*" &amp; "%USERPROFILE%\Documents\GitHub\mrs-test-scripts\Headless Mode &amp; Sideloading\WalkAndUnGZ.bat" "%USERPROFILE%\AppData\Local\Temp\OnboardLogs"\RTDC4010\2017-06-10</v>
      </c>
      <c r="AF209" s="77" t="str">
        <f t="shared" si="94"/>
        <v>"C:\Program Files (x86)\AstroGrep\AstroGrep.exe" /e /r /s /spath="%USERPROFILE%\AppData\Local\Temp\OnboardLogs" /stypes="app*4010*20170610*" /stext=" 01:.+((SYSTEM_STATE.+slice.+state.+changed )|(ment ac)|(multiple cpu faults)|(system.+state.+changed )|(\[timeout)|(PRM\|1\|D)|(kpr)|(kdp)|(train st.+moving)|(\|lc)|(penalty))"</v>
      </c>
      <c r="AG209" s="1" t="str">
        <f t="shared" si="95"/>
        <v>Other</v>
      </c>
      <c r="AH209" s="81" t="str">
        <f t="shared" si="96"/>
        <v>"%USERPROFILE%\Documents\GitHub\eaglep3\Utilities\RefineRTDCRunTimes.py" --tripid 301-09 --locoid 4010 --swversion DE.1.0.9.0 --startMP 204:1479 --initTime 2017-06-09T19:11:33 --startdatetime 2017-06-09T19:14:27 --delay 1 --endMP 300:23145 --enddatetime 2017-06-09T19:26:51 --enforcementcount 0 &gt;&gt;C:\Users\stu\Documents\GitHub\eaglep3-reporting\EC\2017-06-09-refined-times.txt</v>
      </c>
      <c r="AI209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{"issue":{"subject":"","project_id":79,"tracker_id":40,"status_id":1,"priority_id":2,"assigned_to_id":23,"start_date":"2017-06-09","description":"","custom_fields":[{"id":1,"name":"Subdivision","value":"Other"},{"id":4,"name":"Milepost","value":"2.3145"},{"id":17,"name":"Train ID","value":"301-09"},{"id":16,"name":"Locomotive ID","value":"4010"},{"id":130,"name":"Impact","value":""},{"id":150,"name":"Time of Event (Mountain Time)","value":"19:26:51"},{"id":151,"name":"Denver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98"/>
        <v>start /low /b %USERPROFILE%\Documents\GitHub\eaglep3\Utilities\DownloadLogsFromS3.py --loco 4010 --day 2017-06-09</v>
      </c>
      <c r="AN209" s="154" t="str">
        <f t="shared" si="99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01:26:51"},{"id":29,"name":"Sharepoint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638</v>
      </c>
      <c r="B210" s="7">
        <v>4045</v>
      </c>
      <c r="C210" s="21" t="s">
        <v>204</v>
      </c>
      <c r="D210" s="21" t="s">
        <v>894</v>
      </c>
      <c r="E210" s="13">
        <v>42895.134479166663</v>
      </c>
      <c r="F210" s="13">
        <v>42895.141087962962</v>
      </c>
      <c r="G210" s="7">
        <v>9</v>
      </c>
      <c r="H210" s="21" t="s">
        <v>364</v>
      </c>
      <c r="I210" s="13">
        <v>42895.146678240744</v>
      </c>
      <c r="J210" s="7">
        <v>0</v>
      </c>
      <c r="K210" s="92" t="str">
        <f t="shared" si="85"/>
        <v>4045/4046</v>
      </c>
      <c r="L210" s="21" t="str">
        <f>VLOOKUP(A210,'Trips&amp;Operators'!$C$1:$G$99999,5,FALSE)</f>
        <v>WILLIAMS DONTE</v>
      </c>
      <c r="M210" s="6">
        <f t="shared" si="86"/>
        <v>5.5902777821756899E-3</v>
      </c>
      <c r="N210" s="7">
        <f t="shared" si="81"/>
        <v>8.0500000063329935</v>
      </c>
      <c r="O210" s="7"/>
      <c r="P210" s="7"/>
      <c r="Q210" s="22"/>
      <c r="R210" s="173"/>
      <c r="S210" s="176">
        <f t="shared" si="82"/>
        <v>1</v>
      </c>
      <c r="T210" s="202" t="str">
        <f t="shared" si="87"/>
        <v>Southbound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 t="shared" si="88"/>
        <v>https://d0f6bd738d7f1b3e5a7ca70fe4ff75f0.us-east-1.aws.found.io/app/kibana#/discover/Steve-Slow-Train-Analysis-(2080s-and-2083s)?_g=(refreshInterval:(display:Off,pause:!f,section:0,value:0),time:(from:'2017-06-09T02:13:39-0600',mode:absolute,to:'2017-06-09T04:31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0" s="204" t="str">
        <f t="shared" si="89"/>
        <v>Y</v>
      </c>
      <c r="X210" s="204">
        <f t="shared" si="90"/>
        <v>1</v>
      </c>
      <c r="Y210" s="204">
        <f t="shared" si="83"/>
        <v>2.3391000000000002</v>
      </c>
      <c r="Z210" s="204">
        <f t="shared" si="84"/>
        <v>1.47E-2</v>
      </c>
      <c r="AA210" s="204">
        <f t="shared" si="91"/>
        <v>2.3244000000000002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92"/>
        <v>0302-09</v>
      </c>
      <c r="AE210" s="80" t="str">
        <f t="shared" si="93"/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AF210" s="77" t="str">
        <f t="shared" si="94"/>
        <v>"C:\Program Files (x86)\AstroGrep\AstroGrep.exe" /e /r /s /spath="%USERPROFILE%\AppData\Local\Temp\OnboardLogs" /stypes="app*4045*20170609*" /stext=" 09:.+((SYSTEM_STATE.+slice.+state.+changed )|(ment ac)|(multiple cpu faults)|(system.+state.+changed )|(\[timeout)|(PRM\|1\|D)|(kpr)|(kdp)|(train st.+moving)|(\|lc)|(penalty))"</v>
      </c>
      <c r="AG210" s="1" t="str">
        <f t="shared" si="95"/>
        <v>Other</v>
      </c>
      <c r="AH210" s="81" t="str">
        <f t="shared" si="96"/>
        <v>"%USERPROFILE%\Documents\GitHub\eaglep3\Utilities\RefineRTDCRunTimes.py" --tripid 302-09 --locoid 4045 --swversion DE.1.0.9.0 --startMP 300:23391 --initTime 2017-06-09T03:13:39 --startdatetime 2017-06-09T03:23:10 --delay 9 --endMP 204:147 --enddatetime 2017-06-09T03:31:13 --enforcementcount 0 &gt;&gt;C:\Users\stu\Documents\GitHub\eaglep3-reporting\EC\2017-06-09-refined-times.txt</v>
      </c>
      <c r="AI210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{"issue":{"subject":"","project_id":79,"tracker_id":40,"status_id":1,"priority_id":2,"assigned_to_id":23,"start_date":"2017-06-09","description":"","custom_fields":[{"id":1,"name":"Subdivision","value":"Other"},{"id":4,"name":"Milepost","value":"0.0147"},{"id":17,"name":"Train ID","value":"302-09"},{"id":16,"name":"Locomotive ID","value":"4045"},{"id":130,"name":"Impact","value":""},{"id":150,"name":"Time of Event (Mountain Time)","value":"03:31:13"},{"id":151,"name":"Denver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8"/>
        <v>start /low /b %USERPROFILE%\Documents\GitHub\eaglep3\Utilities\DownloadLogsFromS3.py --loco 4045 --day 2017-06-09</v>
      </c>
      <c r="AN210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09:31:13"},{"id":29,"name":"Sharepoint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641</v>
      </c>
      <c r="B211" s="7">
        <v>4029</v>
      </c>
      <c r="C211" s="21" t="s">
        <v>204</v>
      </c>
      <c r="D211" s="21" t="s">
        <v>895</v>
      </c>
      <c r="E211" s="13">
        <v>42895.161574074074</v>
      </c>
      <c r="F211" s="13">
        <v>42895.164675925924</v>
      </c>
      <c r="G211" s="7">
        <v>4</v>
      </c>
      <c r="H211" s="21" t="s">
        <v>364</v>
      </c>
      <c r="I211" s="13">
        <v>42895.170370370368</v>
      </c>
      <c r="J211" s="7">
        <v>0</v>
      </c>
      <c r="K211" s="92" t="str">
        <f t="shared" si="85"/>
        <v>4029/4030</v>
      </c>
      <c r="L211" s="21" t="str">
        <f>VLOOKUP(A211,'Trips&amp;Operators'!$C$1:$G$99999,5,FALSE)</f>
        <v>BONDS REYNALDO</v>
      </c>
      <c r="M211" s="6">
        <f t="shared" si="86"/>
        <v>5.694444444088731E-3</v>
      </c>
      <c r="N211" s="7">
        <f t="shared" si="81"/>
        <v>8.1999999994877726</v>
      </c>
      <c r="O211" s="7"/>
      <c r="P211" s="7"/>
      <c r="Q211" s="22"/>
      <c r="R211" s="173"/>
      <c r="S211" s="176">
        <f t="shared" si="82"/>
        <v>1</v>
      </c>
      <c r="T211" s="202" t="str">
        <f t="shared" si="87"/>
        <v>Southbound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 t="shared" si="88"/>
        <v>https://d0f6bd738d7f1b3e5a7ca70fe4ff75f0.us-east-1.aws.found.io/app/kibana#/discover/Steve-Slow-Train-Analysis-(2080s-and-2083s)?_g=(refreshInterval:(display:Off,pause:!f,section:0,value:0),time:(from:'2017-06-09T02:52:40-0600',mode:absolute,to:'2017-06-09T05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1" s="204" t="str">
        <f t="shared" si="89"/>
        <v>Y</v>
      </c>
      <c r="X211" s="204">
        <f t="shared" si="90"/>
        <v>2</v>
      </c>
      <c r="Y211" s="204">
        <f t="shared" si="83"/>
        <v>2.35</v>
      </c>
      <c r="Z211" s="204">
        <f t="shared" si="84"/>
        <v>1.47E-2</v>
      </c>
      <c r="AA211" s="204">
        <f t="shared" si="91"/>
        <v>2.3353000000000002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92"/>
        <v>0304-09</v>
      </c>
      <c r="AE211" s="80" t="str">
        <f t="shared" si="93"/>
        <v>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 &amp; 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</v>
      </c>
      <c r="AF211" s="77" t="str">
        <f t="shared" si="94"/>
        <v>"C:\Program Files (x86)\AstroGrep\AstroGrep.exe" /e /r /s /spath="%USERPROFILE%\AppData\Local\Temp\OnboardLogs" /stypes="app*4029*20170609*" /stext=" 10:.+((SYSTEM_STATE.+slice.+state.+changed )|(ment ac)|(multiple cpu faults)|(system.+state.+changed )|(\[timeout)|(PRM\|1\|D)|(kpr)|(kdp)|(train st.+moving)|(\|lc)|(penalty))"</v>
      </c>
      <c r="AG211" s="1" t="str">
        <f t="shared" si="95"/>
        <v>Other</v>
      </c>
      <c r="AH211" s="81" t="str">
        <f t="shared" si="96"/>
        <v>"%USERPROFILE%\Documents\GitHub\eaglep3\Utilities\RefineRTDCRunTimes.py" --tripid 304-09 --locoid 4029 --swversion DE.1.0.9.0 --startMP 300:23500 --initTime 2017-06-09T03:52:40 --startdatetime 2017-06-09T03:57:08 --delay 4 --endMP 204:147 --enddatetime 2017-06-09T04:05:20 --enforcementcount 0 &gt;&gt;C:\Users\stu\Documents\GitHub\eaglep3-reporting\EC\2017-06-09-refined-times.txt</v>
      </c>
      <c r="AI211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{"issue":{"subject":"","project_id":79,"tracker_id":40,"status_id":1,"priority_id":2,"assigned_to_id":23,"start_date":"2017-06-09","description":"","custom_fields":[{"id":1,"name":"Subdivision","value":"Other"},{"id":4,"name":"Milepost","value":"0.0147"},{"id":17,"name":"Train ID","value":"304-09"},{"id":16,"name":"Locomotive ID","value":"4029"},{"id":130,"name":"Impact","value":""},{"id":150,"name":"Time of Event (Mountain Time)","value":"04:05:20"},{"id":151,"name":"Denver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8"/>
        <v>start /low /b %USERPROFILE%\Documents\GitHub\eaglep3\Utilities\DownloadLogsFromS3.py --loco 4029 --day 2017-06-09</v>
      </c>
      <c r="AN211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10:05:20"},{"id":29,"name":"Sharepoint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799</v>
      </c>
      <c r="B212" s="7">
        <v>4020</v>
      </c>
      <c r="C212" s="21" t="s">
        <v>204</v>
      </c>
      <c r="D212" s="21" t="s">
        <v>896</v>
      </c>
      <c r="E212" s="13">
        <v>42895.818993055553</v>
      </c>
      <c r="F212" s="13">
        <v>42895.820243055554</v>
      </c>
      <c r="G212" s="7">
        <v>0</v>
      </c>
      <c r="H212" s="21" t="s">
        <v>547</v>
      </c>
      <c r="I212" s="13">
        <v>42895.826967592591</v>
      </c>
      <c r="J212" s="7">
        <v>0</v>
      </c>
      <c r="K212" s="92" t="str">
        <f t="shared" si="85"/>
        <v>4019/4020</v>
      </c>
      <c r="L212" s="21" t="str">
        <f>VLOOKUP(A212,'Trips&amp;Operators'!$C$1:$G$99999,5,FALSE)</f>
        <v>HOLCOMB KAMDEN</v>
      </c>
      <c r="M212" s="6">
        <f t="shared" si="86"/>
        <v>6.7245370373711921E-3</v>
      </c>
      <c r="N212" s="7">
        <f t="shared" si="81"/>
        <v>9.6833333338145167</v>
      </c>
      <c r="O212" s="7"/>
      <c r="P212" s="7"/>
      <c r="Q212" s="22"/>
      <c r="R212" s="173"/>
      <c r="S212" s="176">
        <f t="shared" si="82"/>
        <v>1</v>
      </c>
      <c r="T212" s="202" t="str">
        <f t="shared" si="87"/>
        <v>NorthBound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 t="shared" si="88"/>
        <v>https://d0f6bd738d7f1b3e5a7ca70fe4ff75f0.us-east-1.aws.found.io/app/kibana#/discover/Steve-Slow-Train-Analysis-(2080s-and-2083s)?_g=(refreshInterval:(display:Off,pause:!f,section:0,value:0),time:(from:'2017-06-09T18:39:21-0600',mode:absolute,to:'2017-06-09T20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2" s="204" t="str">
        <f t="shared" si="89"/>
        <v>Y</v>
      </c>
      <c r="X212" s="204">
        <f t="shared" si="90"/>
        <v>1</v>
      </c>
      <c r="Y212" s="204">
        <f t="shared" si="83"/>
        <v>0.1142</v>
      </c>
      <c r="Z212" s="204">
        <f t="shared" si="84"/>
        <v>2.331</v>
      </c>
      <c r="AA212" s="204">
        <f t="shared" si="91"/>
        <v>2.2168000000000001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92"/>
        <v>0305-09</v>
      </c>
      <c r="AE212" s="80" t="str">
        <f t="shared" si="93"/>
        <v>aws s3 cp s3://rtdc.mdm.uploadarchive.raw/RTDC4020/ "%USERPROFILE%\AppData\Local\Temp\OnboardLogs"\RTDC4020\2017-06-09 --exclude "*" --recursive --include "*20170609*" &amp; "%USERPROFILE%\Documents\GitHub\mrs-test-scripts\Headless Mode &amp; Sideloading\WalkAndUnGZ.bat" "%USERPROFILE%\AppData\Local\Temp\OnboardLogs"\RTDC4020\2017-06-09 &amp; aws s3 cp s3://rtdc.mdm.uploadarchive.raw/RTDC4020/ "%USERPROFILE%\AppData\Local\Temp\OnboardLogs"\RTDC4020\2017-06-10 --exclude "*" --recursive --include "*20170610*" &amp; "%USERPROFILE%\Documents\GitHub\mrs-test-scripts\Headless Mode &amp; Sideloading\WalkAndUnGZ.bat" "%USERPROFILE%\AppData\Local\Temp\OnboardLogs"\RTDC4020\2017-06-10</v>
      </c>
      <c r="AF212" s="77" t="str">
        <f t="shared" si="94"/>
        <v>"C:\Program Files (x86)\AstroGrep\AstroGrep.exe" /e /r /s /spath="%USERPROFILE%\AppData\Local\Temp\OnboardLogs" /stypes="app*4020*20170610*" /stext=" 01:.+((SYSTEM_STATE.+slice.+state.+changed )|(ment ac)|(multiple cpu faults)|(system.+state.+changed )|(\[timeout)|(PRM\|1\|D)|(kpr)|(kdp)|(train st.+moving)|(\|lc)|(penalty))"</v>
      </c>
      <c r="AG212" s="1" t="str">
        <f t="shared" si="95"/>
        <v>Other</v>
      </c>
      <c r="AH212" s="81" t="str">
        <f t="shared" si="96"/>
        <v>"%USERPROFILE%\Documents\GitHub\eaglep3\Utilities\RefineRTDCRunTimes.py" --tripid 305-09 --locoid 4020 --swversion DE.1.0.9.0 --startMP 204:1142 --initTime 2017-06-09T19:39:21 --startdatetime 2017-06-09T19:41:09 --delay 0 --endMP 300:23310 --enddatetime 2017-06-09T19:50:50 --enforcementcount 0 &gt;&gt;C:\Users\stu\Documents\GitHub\eaglep3-reporting\EC\2017-06-09-refined-times.txt</v>
      </c>
      <c r="AI212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{"issue":{"subject":"","project_id":79,"tracker_id":40,"status_id":1,"priority_id":2,"assigned_to_id":23,"start_date":"2017-06-09","description":"","custom_fields":[{"id":1,"name":"Subdivision","value":"Other"},{"id":4,"name":"Milepost","value":"2.331"},{"id":17,"name":"Train ID","value":"305-09"},{"id":16,"name":"Locomotive ID","value":"4020"},{"id":130,"name":"Impact","value":""},{"id":150,"name":"Time of Event (Mountain Time)","value":"19:50:50"},{"id":151,"name":"Denver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98"/>
        <v>start /low /b %USERPROFILE%\Documents\GitHub\eaglep3\Utilities\DownloadLogsFromS3.py --loco 4020 --day 2017-06-09</v>
      </c>
      <c r="AN212" s="154" t="str">
        <f t="shared" si="99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01:50:50"},{"id":29,"name":"Sharepoint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644</v>
      </c>
      <c r="B213" s="7">
        <v>4005</v>
      </c>
      <c r="C213" s="21" t="s">
        <v>204</v>
      </c>
      <c r="D213" s="21" t="s">
        <v>897</v>
      </c>
      <c r="E213" s="13">
        <v>42895.171111111114</v>
      </c>
      <c r="F213" s="13">
        <v>42895.175034722219</v>
      </c>
      <c r="G213" s="7">
        <v>5</v>
      </c>
      <c r="H213" s="21" t="s">
        <v>364</v>
      </c>
      <c r="I213" s="13">
        <v>42895.180324074077</v>
      </c>
      <c r="J213" s="7">
        <v>0</v>
      </c>
      <c r="K213" s="92" t="str">
        <f t="shared" si="85"/>
        <v>4005/4006</v>
      </c>
      <c r="L213" s="21" t="str">
        <f>VLOOKUP(A213,'Trips&amp;Operators'!$C$1:$G$99999,5,FALSE)</f>
        <v>GEBRETEKLE DAGNEW</v>
      </c>
      <c r="M213" s="6">
        <f t="shared" si="86"/>
        <v>5.289351858664304E-3</v>
      </c>
      <c r="N213" s="7">
        <f t="shared" si="81"/>
        <v>7.6166666764765978</v>
      </c>
      <c r="O213" s="7"/>
      <c r="P213" s="7"/>
      <c r="Q213" s="22"/>
      <c r="R213" s="173"/>
      <c r="S213" s="176">
        <f t="shared" si="82"/>
        <v>1</v>
      </c>
      <c r="T213" s="202" t="str">
        <f t="shared" si="87"/>
        <v>Southbound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 t="shared" si="88"/>
        <v>https://d0f6bd738d7f1b3e5a7ca70fe4ff75f0.us-east-1.aws.found.io/app/kibana#/discover/Steve-Slow-Train-Analysis-(2080s-and-2083s)?_g=(refreshInterval:(display:Off,pause:!f,section:0,value:0),time:(from:'2017-06-09T03:06:24-0600',mode:absolute,to:'2017-06-09T05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3" s="204" t="str">
        <f t="shared" si="89"/>
        <v>Y</v>
      </c>
      <c r="X213" s="204">
        <f t="shared" si="90"/>
        <v>1</v>
      </c>
      <c r="Y213" s="204">
        <f t="shared" si="83"/>
        <v>2.3506</v>
      </c>
      <c r="Z213" s="204">
        <f t="shared" si="84"/>
        <v>1.47E-2</v>
      </c>
      <c r="AA213" s="204">
        <f t="shared" si="91"/>
        <v>2.3359000000000001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92"/>
        <v>0306-09</v>
      </c>
      <c r="AE213" s="80" t="str">
        <f t="shared" si="93"/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AF213" s="77" t="str">
        <f t="shared" si="94"/>
        <v>"C:\Program Files (x86)\AstroGrep\AstroGrep.exe" /e /r /s /spath="%USERPROFILE%\AppData\Local\Temp\OnboardLogs" /stypes="app*4005*20170609*" /stext=" 10:.+((SYSTEM_STATE.+slice.+state.+changed )|(ment ac)|(multiple cpu faults)|(system.+state.+changed )|(\[timeout)|(PRM\|1\|D)|(kpr)|(kdp)|(train st.+moving)|(\|lc)|(penalty))"</v>
      </c>
      <c r="AG213" s="1" t="str">
        <f t="shared" si="95"/>
        <v>Other</v>
      </c>
      <c r="AH213" s="81" t="str">
        <f t="shared" si="96"/>
        <v>"%USERPROFILE%\Documents\GitHub\eaglep3\Utilities\RefineRTDCRunTimes.py" --tripid 306-09 --locoid 4005 --swversion DE.1.0.9.0 --startMP 300:23506 --initTime 2017-06-09T04:06:24 --startdatetime 2017-06-09T04:12:03 --delay 5 --endMP 204:147 --enddatetime 2017-06-09T04:19:40 --enforcementcount 0 &gt;&gt;C:\Users\stu\Documents\GitHub\eaglep3-reporting\EC\2017-06-09-refined-times.txt</v>
      </c>
      <c r="AI213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{"issue":{"subject":"","project_id":79,"tracker_id":40,"status_id":1,"priority_id":2,"assigned_to_id":23,"start_date":"2017-06-09","description":"","custom_fields":[{"id":1,"name":"Subdivision","value":"Other"},{"id":4,"name":"Milepost","value":"0.0147"},{"id":17,"name":"Train ID","value":"306-09"},{"id":16,"name":"Locomotive ID","value":"4005"},{"id":130,"name":"Impact","value":""},{"id":150,"name":"Time of Event (Mountain Time)","value":"04:19:40"},{"id":151,"name":"Denver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98"/>
        <v>start /low /b %USERPROFILE%\Documents\GitHub\eaglep3\Utilities\DownloadLogsFromS3.py --loco 4005 --day 2017-06-09</v>
      </c>
      <c r="AN213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10:19:40"},{"id":29,"name":"Sharepoint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646</v>
      </c>
      <c r="B214" s="7">
        <v>4053</v>
      </c>
      <c r="C214" s="21" t="s">
        <v>204</v>
      </c>
      <c r="D214" s="21" t="s">
        <v>898</v>
      </c>
      <c r="E214" s="13">
        <v>42895.178969907407</v>
      </c>
      <c r="F214" s="13">
        <v>42895.182581018518</v>
      </c>
      <c r="G214" s="7">
        <v>5</v>
      </c>
      <c r="H214" s="21" t="s">
        <v>353</v>
      </c>
      <c r="I214" s="13">
        <v>42895.191041666665</v>
      </c>
      <c r="J214" s="7">
        <v>0</v>
      </c>
      <c r="K214" s="92" t="str">
        <f t="shared" si="85"/>
        <v>4053/4054</v>
      </c>
      <c r="L214" s="21" t="str">
        <f>VLOOKUP(A214,'Trips&amp;Operators'!$C$1:$G$99999,5,FALSE)</f>
        <v>DAVIS WENDY</v>
      </c>
      <c r="M214" s="6">
        <f t="shared" si="86"/>
        <v>8.4606481468654238E-3</v>
      </c>
      <c r="N214" s="7">
        <f t="shared" si="81"/>
        <v>12.18333333148621</v>
      </c>
      <c r="O214" s="7"/>
      <c r="P214" s="7"/>
      <c r="Q214" s="22"/>
      <c r="R214" s="173"/>
      <c r="S214" s="176">
        <f t="shared" si="82"/>
        <v>1</v>
      </c>
      <c r="T214" s="202" t="str">
        <f t="shared" si="87"/>
        <v>Southbound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03" t="str">
        <f t="shared" si="88"/>
        <v>https://d0f6bd738d7f1b3e5a7ca70fe4ff75f0.us-east-1.aws.found.io/app/kibana#/discover/Steve-Slow-Train-Analysis-(2080s-and-2083s)?_g=(refreshInterval:(display:Off,pause:!f,section:0,value:0),time:(from:'2017-06-09T03:17:43-0600',mode:absolute,to:'2017-06-09T05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4" s="204" t="str">
        <f t="shared" si="89"/>
        <v>Y</v>
      </c>
      <c r="X214" s="204">
        <f t="shared" si="90"/>
        <v>2</v>
      </c>
      <c r="Y214" s="204">
        <f t="shared" si="83"/>
        <v>2.3296000000000001</v>
      </c>
      <c r="Z214" s="204">
        <f t="shared" si="84"/>
        <v>1.49E-2</v>
      </c>
      <c r="AA214" s="204">
        <f t="shared" si="91"/>
        <v>2.3147000000000002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92"/>
        <v>0308-09</v>
      </c>
      <c r="AE214" s="80" t="str">
        <f t="shared" si="93"/>
        <v>aws s3 cp s3://rtdc.mdm.uploadarchive.raw/RTDC4053/ "%USERPROFILE%\AppData\Local\Temp\OnboardLogs"\RTDC4053\2017-06-09 --exclude "*" --recursive --include "*20170609*" &amp; "%USERPROFILE%\Documents\GitHub\mrs-test-scripts\Headless Mode &amp; Sideloading\WalkAndUnGZ.bat" "%USERPROFILE%\AppData\Local\Temp\OnboardLogs"\RTDC4053\2017-06-09 &amp; aws s3 cp s3://rtdc.mdm.uploadarchive.raw/RTDC4053/ "%USERPROFILE%\AppData\Local\Temp\OnboardLogs"\RTDC4053\2017-06-10 --exclude "*" --recursive --include "*20170610*" &amp; "%USERPROFILE%\Documents\GitHub\mrs-test-scripts\Headless Mode &amp; Sideloading\WalkAndUnGZ.bat" "%USERPROFILE%\AppData\Local\Temp\OnboardLogs"\RTDC4053\2017-06-10</v>
      </c>
      <c r="AF214" s="77" t="str">
        <f t="shared" si="94"/>
        <v>"C:\Program Files (x86)\AstroGrep\AstroGrep.exe" /e /r /s /spath="%USERPROFILE%\AppData\Local\Temp\OnboardLogs" /stypes="app*4053*20170609*" /stext=" 10:.+((SYSTEM_STATE.+slice.+state.+changed )|(ment ac)|(multiple cpu faults)|(system.+state.+changed )|(\[timeout)|(PRM\|1\|D)|(kpr)|(kdp)|(train st.+moving)|(\|lc)|(penalty))"</v>
      </c>
      <c r="AG214" s="1" t="str">
        <f t="shared" si="95"/>
        <v>Other</v>
      </c>
      <c r="AH214" s="81" t="str">
        <f t="shared" si="96"/>
        <v>"%USERPROFILE%\Documents\GitHub\eaglep3\Utilities\RefineRTDCRunTimes.py" --tripid 308-09 --locoid 4053 --swversion DE.1.0.9.0 --startMP 300:23296 --initTime 2017-06-09T04:17:43 --startdatetime 2017-06-09T04:22:55 --delay 5 --endMP 204:149 --enddatetime 2017-06-09T04:35:06 --enforcementcount 0 &gt;&gt;C:\Users\stu\Documents\GitHub\eaglep3-reporting\EC\2017-06-09-refined-times.txt</v>
      </c>
      <c r="AI214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{"issue":{"subject":"","project_id":79,"tracker_id":40,"status_id":1,"priority_id":2,"assigned_to_id":23,"start_date":"2017-06-09","description":"","custom_fields":[{"id":1,"name":"Subdivision","value":"Other"},{"id":4,"name":"Milepost","value":"0.0149"},{"id":17,"name":"Train ID","value":"308-09"},{"id":16,"name":"Locomotive ID","value":"4053"},{"id":130,"name":"Impact","value":""},{"id":150,"name":"Time of Event (Mountain Time)","value":"04:35:06"},{"id":151,"name":"Denver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98"/>
        <v>start /low /b %USERPROFILE%\Documents\GitHub\eaglep3\Utilities\DownloadLogsFromS3.py --loco 4053 --day 2017-06-09</v>
      </c>
      <c r="AN214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10:35:06"},{"id":29,"name":"Sharepoint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827</v>
      </c>
      <c r="B215" s="7">
        <v>4030</v>
      </c>
      <c r="C215" s="21" t="s">
        <v>204</v>
      </c>
      <c r="D215" s="21" t="s">
        <v>899</v>
      </c>
      <c r="E215" s="13">
        <v>42896.06821759259</v>
      </c>
      <c r="F215" s="13">
        <v>42896.070775462962</v>
      </c>
      <c r="G215" s="7">
        <v>1</v>
      </c>
      <c r="H215" s="21" t="s">
        <v>900</v>
      </c>
      <c r="I215" s="13">
        <v>42896.079456018517</v>
      </c>
      <c r="J215" s="7">
        <v>0</v>
      </c>
      <c r="K215" s="92" t="str">
        <f t="shared" si="85"/>
        <v>4029/4030</v>
      </c>
      <c r="L215" s="21" t="str">
        <f>VLOOKUP(A215,'Trips&amp;Operators'!$C$1:$G$99999,5,FALSE)</f>
        <v>BIRENBAUM THOMAS</v>
      </c>
      <c r="M215" s="6">
        <f t="shared" si="86"/>
        <v>8.6805555547471158E-3</v>
      </c>
      <c r="N215" s="7">
        <f t="shared" si="81"/>
        <v>12.499999998835847</v>
      </c>
      <c r="O215" s="7"/>
      <c r="P215" s="7"/>
      <c r="Q215" s="22"/>
      <c r="R215" s="173"/>
      <c r="S215" s="176">
        <f t="shared" si="82"/>
        <v>1</v>
      </c>
      <c r="T215" s="202" t="str">
        <f t="shared" si="87"/>
        <v>NorthBound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03" t="str">
        <f t="shared" si="88"/>
        <v>https://d0f6bd738d7f1b3e5a7ca70fe4ff75f0.us-east-1.aws.found.io/app/kibana#/discover/Steve-Slow-Train-Analysis-(2080s-and-2083s)?_g=(refreshInterval:(display:Off,pause:!f,section:0,value:0),time:(from:'2017-06-10T00:38:14-0600',mode:absolute,to:'2017-06-10T02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5" s="204" t="str">
        <f t="shared" si="89"/>
        <v>Y</v>
      </c>
      <c r="X215" s="204">
        <f t="shared" si="90"/>
        <v>1</v>
      </c>
      <c r="Y215" s="204">
        <f t="shared" si="83"/>
        <v>4.9099999999999998E-2</v>
      </c>
      <c r="Z215" s="204">
        <f t="shared" si="84"/>
        <v>2.3298999999999999</v>
      </c>
      <c r="AA215" s="204">
        <f t="shared" si="91"/>
        <v>2.2807999999999997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92"/>
        <v>0309-09</v>
      </c>
      <c r="AE215" s="80" t="str">
        <f t="shared" si="93"/>
        <v>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 &amp; aws s3 cp s3://rtdc.mdm.uploadarchive.raw/RTDC4030/ "%USERPROFILE%\AppData\Local\Temp\OnboardLogs"\RTDC4030\2017-06-11 --exclude "*" --recursive --include "*20170611*" &amp; "%USERPROFILE%\Documents\GitHub\mrs-test-scripts\Headless Mode &amp; Sideloading\WalkAndUnGZ.bat" "%USERPROFILE%\AppData\Local\Temp\OnboardLogs"\RTDC4030\2017-06-11</v>
      </c>
      <c r="AF215" s="77" t="str">
        <f t="shared" si="94"/>
        <v>"C:\Program Files (x86)\AstroGrep\AstroGrep.exe" /e /r /s /spath="%USERPROFILE%\AppData\Local\Temp\OnboardLogs" /stypes="app*4030*20170610*" /stext=" 07:.+((SYSTEM_STATE.+slice.+state.+changed )|(ment ac)|(multiple cpu faults)|(system.+state.+changed )|(\[timeout)|(PRM\|1\|D)|(kpr)|(kdp)|(train st.+moving)|(\|lc)|(penalty))"</v>
      </c>
      <c r="AG215" s="1" t="str">
        <f t="shared" si="95"/>
        <v>Other</v>
      </c>
      <c r="AH215" s="81" t="str">
        <f t="shared" si="96"/>
        <v>"%USERPROFILE%\Documents\GitHub\eaglep3\Utilities\RefineRTDCRunTimes.py" --tripid 309-09 --locoid 4030 --swversion DE.1.0.9.0 --startMP 204:491 --initTime 2017-06-10T01:38:14 --startdatetime 2017-06-10T01:41:55 --delay 1 --endMP 300:23299 --enddatetime 2017-06-10T01:54:25 --enforcementcount 0 &gt;&gt;C:\Users\stu\Documents\GitHub\eaglep3-reporting\EC\2017-06-09-refined-times.txt</v>
      </c>
      <c r="AI215" s="99" t="str">
        <f t="shared" si="97"/>
        <v>echo {"issue":{"subject":"","project_id":79,"tracker_id":40,"status_id":1,"priority_id":2,"assigned_to_id":23,"start_date":"2017-06-10","description":"","custom_fields":[{"id":1,"name":"Subdivision","value":"Other"},{"id":4,"name":"Milepost","value":"2.3299"},{"id":17,"name":"Train ID","value":"309-09"},{"id":16,"name":"Locomotive ID","value":"4030"},{"id":130,"name":"Impact","value":""},{"id":150,"name":"Time of Event (Mountain Time)","value":"01:54:25"},{"id":151,"name":"Denver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98"/>
        <v>start /low /b %USERPROFILE%\Documents\GitHub\eaglep3\Utilities\DownloadLogsFromS3.py --loco 4030 --day 2017-06-10</v>
      </c>
      <c r="AN215" s="154" t="str">
        <f t="shared" si="99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07:54:25"},{"id":29,"name":"Sharepoint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649</v>
      </c>
      <c r="B216" s="7">
        <v>4011</v>
      </c>
      <c r="C216" s="21" t="s">
        <v>204</v>
      </c>
      <c r="D216" s="21" t="s">
        <v>901</v>
      </c>
      <c r="E216" s="13">
        <v>42895.195694444446</v>
      </c>
      <c r="F216" s="13">
        <v>42895.198784722219</v>
      </c>
      <c r="G216" s="7">
        <v>4</v>
      </c>
      <c r="H216" s="21" t="s">
        <v>401</v>
      </c>
      <c r="I216" s="13">
        <v>42895.205324074072</v>
      </c>
      <c r="J216" s="7">
        <v>0</v>
      </c>
      <c r="K216" s="92" t="str">
        <f t="shared" si="85"/>
        <v>4011/4012</v>
      </c>
      <c r="L216" s="21" t="str">
        <f>VLOOKUP(A216,'Trips&amp;Operators'!$C$1:$G$99999,5,FALSE)</f>
        <v>DAVIDSON DAVID</v>
      </c>
      <c r="M216" s="6">
        <f t="shared" si="86"/>
        <v>6.5393518525524996E-3</v>
      </c>
      <c r="N216" s="7">
        <f t="shared" si="81"/>
        <v>9.4166666676755995</v>
      </c>
      <c r="O216" s="7"/>
      <c r="P216" s="7"/>
      <c r="Q216" s="22"/>
      <c r="R216" s="173"/>
      <c r="S216" s="176">
        <f t="shared" si="82"/>
        <v>1</v>
      </c>
      <c r="T216" s="202" t="str">
        <f t="shared" si="87"/>
        <v>Southbound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 t="shared" si="88"/>
        <v>https://d0f6bd738d7f1b3e5a7ca70fe4ff75f0.us-east-1.aws.found.io/app/kibana#/discover/Steve-Slow-Train-Analysis-(2080s-and-2083s)?_g=(refreshInterval:(display:Off,pause:!f,section:0,value:0),time:(from:'2017-06-09T03:41:48-0600',mode:absolute,to:'2017-06-09T05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6" s="204" t="str">
        <f t="shared" si="89"/>
        <v>Y</v>
      </c>
      <c r="X216" s="204">
        <f t="shared" si="90"/>
        <v>1</v>
      </c>
      <c r="Y216" s="204">
        <f t="shared" si="83"/>
        <v>2.3382999999999998</v>
      </c>
      <c r="Z216" s="204">
        <f t="shared" si="84"/>
        <v>1.54E-2</v>
      </c>
      <c r="AA216" s="204">
        <f t="shared" si="91"/>
        <v>2.3228999999999997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92"/>
        <v>0310-09</v>
      </c>
      <c r="AE216" s="80" t="str">
        <f t="shared" si="93"/>
        <v>aws s3 cp s3://rtdc.mdm.uploadarchive.raw/RTDC4011/ "%USERPROFILE%\AppData\Local\Temp\OnboardLogs"\RTDC4011\2017-06-09 --exclude "*" --recursive --include "*20170609*" &amp; "%USERPROFILE%\Documents\GitHub\mrs-test-scripts\Headless Mode &amp; Sideloading\WalkAndUnGZ.bat" "%USERPROFILE%\AppData\Local\Temp\OnboardLogs"\RTDC4011\2017-06-09 &amp; aws s3 cp s3://rtdc.mdm.uploadarchive.raw/RTDC4011/ "%USERPROFILE%\AppData\Local\Temp\OnboardLogs"\RTDC4011\2017-06-10 --exclude "*" --recursive --include "*20170610*" &amp; "%USERPROFILE%\Documents\GitHub\mrs-test-scripts\Headless Mode &amp; Sideloading\WalkAndUnGZ.bat" "%USERPROFILE%\AppData\Local\Temp\OnboardLogs"\RTDC4011\2017-06-10</v>
      </c>
      <c r="AF216" s="77" t="str">
        <f t="shared" si="94"/>
        <v>"C:\Program Files (x86)\AstroGrep\AstroGrep.exe" /e /r /s /spath="%USERPROFILE%\AppData\Local\Temp\OnboardLogs" /stypes="app*4011*20170609*" /stext=" 10:.+((SYSTEM_STATE.+slice.+state.+changed )|(ment ac)|(multiple cpu faults)|(system.+state.+changed )|(\[timeout)|(PRM\|1\|D)|(kpr)|(kdp)|(train st.+moving)|(\|lc)|(penalty))"</v>
      </c>
      <c r="AG216" s="1" t="str">
        <f t="shared" si="95"/>
        <v>Other</v>
      </c>
      <c r="AH216" s="81" t="str">
        <f t="shared" si="96"/>
        <v>"%USERPROFILE%\Documents\GitHub\eaglep3\Utilities\RefineRTDCRunTimes.py" --tripid 310-09 --locoid 4011 --swversion DE.1.0.9.0 --startMP 300:23383 --initTime 2017-06-09T04:41:48 --startdatetime 2017-06-09T04:46:15 --delay 4 --endMP 204:154 --enddatetime 2017-06-09T04:55:40 --enforcementcount 0 &gt;&gt;C:\Users\stu\Documents\GitHub\eaglep3-reporting\EC\2017-06-09-refined-times.txt</v>
      </c>
      <c r="AI216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{"issue":{"subject":"","project_id":79,"tracker_id":40,"status_id":1,"priority_id":2,"assigned_to_id":23,"start_date":"2017-06-09","description":"","custom_fields":[{"id":1,"name":"Subdivision","value":"Other"},{"id":4,"name":"Milepost","value":"0.0154"},{"id":17,"name":"Train ID","value":"310-09"},{"id":16,"name":"Locomotive ID","value":"4011"},{"id":130,"name":"Impact","value":""},{"id":150,"name":"Time of Event (Mountain Time)","value":"04:55:40"},{"id":151,"name":"Denver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98"/>
        <v>start /low /b %USERPROFILE%\Documents\GitHub\eaglep3\Utilities\DownloadLogsFromS3.py --loco 4011 --day 2017-06-09</v>
      </c>
      <c r="AN216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10:55:40"},{"id":29,"name":"Sharepoint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829</v>
      </c>
      <c r="B217" s="7">
        <v>4006</v>
      </c>
      <c r="C217" s="21" t="s">
        <v>204</v>
      </c>
      <c r="D217" s="21" t="s">
        <v>351</v>
      </c>
      <c r="E217" s="13">
        <v>42896.089166666665</v>
      </c>
      <c r="F217" s="13">
        <v>42896.091157407405</v>
      </c>
      <c r="G217" s="7">
        <v>1</v>
      </c>
      <c r="H217" s="21" t="s">
        <v>357</v>
      </c>
      <c r="I217" s="13">
        <v>42896.099560185183</v>
      </c>
      <c r="J217" s="7">
        <v>0</v>
      </c>
      <c r="K217" s="92" t="str">
        <f t="shared" si="85"/>
        <v>4005/4006</v>
      </c>
      <c r="L217" s="21" t="str">
        <f>VLOOKUP(A217,'Trips&amp;Operators'!$C$1:$G$99999,5,FALSE)</f>
        <v>FORTUNATO FRANK</v>
      </c>
      <c r="M217" s="6">
        <f t="shared" si="86"/>
        <v>8.4027777775190771E-3</v>
      </c>
      <c r="N217" s="7">
        <f t="shared" si="81"/>
        <v>12.099999999627471</v>
      </c>
      <c r="O217" s="7"/>
      <c r="P217" s="7"/>
      <c r="Q217" s="22"/>
      <c r="R217" s="173"/>
      <c r="S217" s="176">
        <f t="shared" si="82"/>
        <v>1</v>
      </c>
      <c r="T217" s="202" t="str">
        <f t="shared" si="87"/>
        <v>NorthBound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 t="shared" si="88"/>
        <v>https://d0f6bd738d7f1b3e5a7ca70fe4ff75f0.us-east-1.aws.found.io/app/kibana#/discover/Steve-Slow-Train-Analysis-(2080s-and-2083s)?_g=(refreshInterval:(display:Off,pause:!f,section:0,value:0),time:(from:'2017-06-10T01:08:24-0600',mode:absolute,to:'2017-06-10T03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7" s="204" t="str">
        <f t="shared" si="89"/>
        <v>Y</v>
      </c>
      <c r="X217" s="204">
        <f t="shared" si="90"/>
        <v>1</v>
      </c>
      <c r="Y217" s="204">
        <f t="shared" si="83"/>
        <v>4.58E-2</v>
      </c>
      <c r="Z217" s="204">
        <f t="shared" si="84"/>
        <v>2.3346</v>
      </c>
      <c r="AA217" s="204">
        <f t="shared" si="91"/>
        <v>2.2888000000000002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92"/>
        <v>0311-09</v>
      </c>
      <c r="AE217" s="80" t="str">
        <f t="shared" si="93"/>
        <v>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 &amp; aws s3 cp s3://rtdc.mdm.uploadarchive.raw/RTDC4006/ "%USERPROFILE%\AppData\Local\Temp\OnboardLogs"\RTDC4006\2017-06-11 --exclude "*" --recursive --include "*20170611*" &amp; "%USERPROFILE%\Documents\GitHub\mrs-test-scripts\Headless Mode &amp; Sideloading\WalkAndUnGZ.bat" "%USERPROFILE%\AppData\Local\Temp\OnboardLogs"\RTDC4006\2017-06-11</v>
      </c>
      <c r="AF217" s="77" t="str">
        <f t="shared" si="94"/>
        <v>"C:\Program Files (x86)\AstroGrep\AstroGrep.exe" /e /r /s /spath="%USERPROFILE%\AppData\Local\Temp\OnboardLogs" /stypes="app*4006*20170610*" /stext=" 08:.+((SYSTEM_STATE.+slice.+state.+changed )|(ment ac)|(multiple cpu faults)|(system.+state.+changed )|(\[timeout)|(PRM\|1\|D)|(kpr)|(kdp)|(train st.+moving)|(\|lc)|(penalty))"</v>
      </c>
      <c r="AG217" s="1" t="str">
        <f t="shared" si="95"/>
        <v>Other</v>
      </c>
      <c r="AH217" s="81" t="str">
        <f t="shared" si="96"/>
        <v>"%USERPROFILE%\Documents\GitHub\eaglep3\Utilities\RefineRTDCRunTimes.py" --tripid 311-09 --locoid 4006 --swversion DE.1.0.9.0 --startMP 204:458 --initTime 2017-06-10T02:08:24 --startdatetime 2017-06-10T02:11:16 --delay 1 --endMP 300:23346 --enddatetime 2017-06-10T02:23:22 --enforcementcount 0 &gt;&gt;C:\Users\stu\Documents\GitHub\eaglep3-reporting\EC\2017-06-09-refined-times.txt</v>
      </c>
      <c r="AI217" s="99" t="str">
        <f t="shared" si="97"/>
        <v>echo {"issue":{"subject":"","project_id":79,"tracker_id":40,"status_id":1,"priority_id":2,"assigned_to_id":23,"start_date":"2017-06-10","description":"","custom_fields":[{"id":1,"name":"Subdivision","value":"Other"},{"id":4,"name":"Milepost","value":"2.3346"},{"id":17,"name":"Train ID","value":"311-09"},{"id":16,"name":"Locomotive ID","value":"4006"},{"id":130,"name":"Impact","value":""},{"id":150,"name":"Time of Event (Mountain Time)","value":"02:23:22"},{"id":151,"name":"Denver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98"/>
        <v>start /low /b %USERPROFILE%\Documents\GitHub\eaglep3\Utilities\DownloadLogsFromS3.py --loco 4006 --day 2017-06-10</v>
      </c>
      <c r="AN217" s="154" t="str">
        <f t="shared" si="99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08:23:22"},{"id":29,"name":"Sharepoint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590</v>
      </c>
      <c r="B218" s="7">
        <v>4061</v>
      </c>
      <c r="C218" s="21" t="s">
        <v>204</v>
      </c>
      <c r="D218" s="21" t="s">
        <v>902</v>
      </c>
      <c r="E218" s="13">
        <v>42895.225439814814</v>
      </c>
      <c r="F218" s="13">
        <v>42895.228090277778</v>
      </c>
      <c r="G218" s="7">
        <v>3</v>
      </c>
      <c r="H218" s="21" t="s">
        <v>361</v>
      </c>
      <c r="I218" s="13">
        <v>42895.233819444446</v>
      </c>
      <c r="J218" s="7">
        <v>0</v>
      </c>
      <c r="K218" s="92" t="str">
        <f t="shared" si="85"/>
        <v>4061/4062</v>
      </c>
      <c r="L218" s="21" t="str">
        <f>VLOOKUP(A218,'Trips&amp;Operators'!$C$1:$G$99999,5,FALSE)</f>
        <v>LOZA FIDEL</v>
      </c>
      <c r="M218" s="6">
        <f t="shared" si="86"/>
        <v>5.7291666671517305E-3</v>
      </c>
      <c r="N218" s="7">
        <f t="shared" si="81"/>
        <v>8.2500000006984919</v>
      </c>
      <c r="O218" s="7"/>
      <c r="P218" s="7"/>
      <c r="Q218" s="22"/>
      <c r="R218" s="173"/>
      <c r="S218" s="176">
        <f t="shared" si="82"/>
        <v>1</v>
      </c>
      <c r="T218" s="202" t="str">
        <f t="shared" si="87"/>
        <v>Southbound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03" t="str">
        <f t="shared" si="88"/>
        <v>https://d0f6bd738d7f1b3e5a7ca70fe4ff75f0.us-east-1.aws.found.io/app/kibana#/discover/Steve-Slow-Train-Analysis-(2080s-and-2083s)?_g=(refreshInterval:(display:Off,pause:!f,section:0,value:0),time:(from:'2017-06-09T04:24:38-0600',mode:absolute,to:'2017-06-09T06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8" s="204" t="str">
        <f t="shared" si="89"/>
        <v>Y</v>
      </c>
      <c r="X218" s="204">
        <f t="shared" si="90"/>
        <v>1</v>
      </c>
      <c r="Y218" s="204">
        <f t="shared" si="83"/>
        <v>2.3504</v>
      </c>
      <c r="Z218" s="204">
        <f t="shared" si="84"/>
        <v>1.3899999999999999E-2</v>
      </c>
      <c r="AA218" s="204">
        <f t="shared" si="91"/>
        <v>2.3365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92"/>
        <v>0312-09</v>
      </c>
      <c r="AE218" s="80" t="str">
        <f t="shared" si="93"/>
        <v>aws s3 cp s3://rtdc.mdm.uploadarchive.raw/RTDC4061/ "%USERPROFILE%\AppData\Local\Temp\OnboardLogs"\RTDC4061\2017-06-09 --exclude "*" --recursive --include "*20170609*" &amp; "%USERPROFILE%\Documents\GitHub\mrs-test-scripts\Headless Mode &amp; Sideloading\WalkAndUnGZ.bat" "%USERPROFILE%\AppData\Local\Temp\OnboardLogs"\RTDC4061\2017-06-09 &amp; 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</v>
      </c>
      <c r="AF218" s="77" t="str">
        <f t="shared" si="94"/>
        <v>"C:\Program Files (x86)\AstroGrep\AstroGrep.exe" /e /r /s /spath="%USERPROFILE%\AppData\Local\Temp\OnboardLogs" /stypes="app*4061*20170609*" /stext=" 11:.+((SYSTEM_STATE.+slice.+state.+changed )|(ment ac)|(multiple cpu faults)|(system.+state.+changed )|(\[timeout)|(PRM\|1\|D)|(kpr)|(kdp)|(train st.+moving)|(\|lc)|(penalty))"</v>
      </c>
      <c r="AG218" s="1" t="str">
        <f t="shared" si="95"/>
        <v>Other</v>
      </c>
      <c r="AH218" s="81" t="str">
        <f t="shared" si="96"/>
        <v>"%USERPROFILE%\Documents\GitHub\eaglep3\Utilities\RefineRTDCRunTimes.py" --tripid 312-09 --locoid 4061 --swversion DE.1.0.9.0 --startMP 300:23504 --initTime 2017-06-09T05:24:38 --startdatetime 2017-06-09T05:28:27 --delay 3 --endMP 204:139 --enddatetime 2017-06-09T05:36:42 --enforcementcount 0 &gt;&gt;C:\Users\stu\Documents\GitHub\eaglep3-reporting\EC\2017-06-09-refined-times.txt</v>
      </c>
      <c r="AI218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{"issue":{"subject":"","project_id":79,"tracker_id":40,"status_id":1,"priority_id":2,"assigned_to_id":23,"start_date":"2017-06-09","description":"","custom_fields":[{"id":1,"name":"Subdivision","value":"Other"},{"id":4,"name":"Milepost","value":"0.0139"},{"id":17,"name":"Train ID","value":"312-09"},{"id":16,"name":"Locomotive ID","value":"4061"},{"id":130,"name":"Impact","value":""},{"id":150,"name":"Time of Event (Mountain Time)","value":"05:36:42"},{"id":151,"name":"Denver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98"/>
        <v>start /low /b %USERPROFILE%\Documents\GitHub\eaglep3\Utilities\DownloadLogsFromS3.py --loco 4061 --day 2017-06-09</v>
      </c>
      <c r="AN218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11:36:42"},{"id":29,"name":"Sharepoint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396</v>
      </c>
      <c r="B219" s="7">
        <v>4002</v>
      </c>
      <c r="C219" s="21" t="s">
        <v>204</v>
      </c>
      <c r="D219" s="21" t="s">
        <v>345</v>
      </c>
      <c r="E219" s="13">
        <v>42895.091747685183</v>
      </c>
      <c r="F219" s="13">
        <v>42895.093449074076</v>
      </c>
      <c r="G219" s="7">
        <v>1</v>
      </c>
      <c r="H219" s="21" t="s">
        <v>357</v>
      </c>
      <c r="I219" s="13">
        <v>42895.10328703704</v>
      </c>
      <c r="J219" s="7">
        <v>0</v>
      </c>
      <c r="K219" s="92" t="str">
        <f t="shared" si="85"/>
        <v>4001/4002</v>
      </c>
      <c r="L219" s="21" t="str">
        <f>VLOOKUP(A219,'Trips&amp;Operators'!$C$1:$G$99999,5,FALSE)</f>
        <v>FORTUNATO FRANK</v>
      </c>
      <c r="M219" s="6">
        <f t="shared" si="86"/>
        <v>9.8379629635019228E-3</v>
      </c>
      <c r="N219" s="7">
        <f t="shared" si="81"/>
        <v>14.166666667442769</v>
      </c>
      <c r="O219" s="7"/>
      <c r="P219" s="7"/>
      <c r="Q219" s="22"/>
      <c r="R219" s="173"/>
      <c r="S219" s="176">
        <f t="shared" si="82"/>
        <v>1</v>
      </c>
      <c r="T219" s="202" t="str">
        <f t="shared" si="87"/>
        <v>NorthBound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03" t="str">
        <f t="shared" si="88"/>
        <v>https://d0f6bd738d7f1b3e5a7ca70fe4ff75f0.us-east-1.aws.found.io/app/kibana#/discover/Steve-Slow-Train-Analysis-(2080s-and-2083s)?_g=(refreshInterval:(display:Off,pause:!f,section:0,value:0),time:(from:'2017-06-09T01:12:07-0600',mode:absolute,to:'2017-06-09T03:28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9" s="204" t="str">
        <f t="shared" si="89"/>
        <v>Y</v>
      </c>
      <c r="X219" s="204">
        <f t="shared" si="90"/>
        <v>1</v>
      </c>
      <c r="Y219" s="204">
        <f t="shared" si="83"/>
        <v>4.4900000000000002E-2</v>
      </c>
      <c r="Z219" s="204">
        <f t="shared" si="84"/>
        <v>2.3346</v>
      </c>
      <c r="AA219" s="204">
        <f t="shared" si="91"/>
        <v>2.2896999999999998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92"/>
        <v>0313-08</v>
      </c>
      <c r="AE219" s="80" t="str">
        <f t="shared" si="93"/>
        <v>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 &amp; 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</v>
      </c>
      <c r="AF219" s="77" t="str">
        <f t="shared" si="94"/>
        <v>"C:\Program Files (x86)\AstroGrep\AstroGrep.exe" /e /r /s /spath="%USERPROFILE%\AppData\Local\Temp\OnboardLogs" /stypes="app*4002*20170609*" /stext=" 08:.+((SYSTEM_STATE.+slice.+state.+changed )|(ment ac)|(multiple cpu faults)|(system.+state.+changed )|(\[timeout)|(PRM\|1\|D)|(kpr)|(kdp)|(train st.+moving)|(\|lc)|(penalty))"</v>
      </c>
      <c r="AG219" s="1" t="str">
        <f t="shared" si="95"/>
        <v>Other</v>
      </c>
      <c r="AH219" s="81" t="str">
        <f t="shared" si="96"/>
        <v>"%USERPROFILE%\Documents\GitHub\eaglep3\Utilities\RefineRTDCRunTimes.py" --tripid 313-08 --locoid 4002 --swversion DE.1.0.9.0 --startMP 204:449 --initTime 2017-06-09T02:12:07 --startdatetime 2017-06-09T02:14:34 --delay 1 --endMP 300:23346 --enddatetime 2017-06-09T02:28:44 --enforcementcount 0 &gt;&gt;C:\Users\stu\Documents\GitHub\eaglep3-reporting\EC\2017-06-09-refined-times.txt</v>
      </c>
      <c r="AI219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{"issue":{"subject":"","project_id":79,"tracker_id":40,"status_id":1,"priority_id":2,"assigned_to_id":23,"start_date":"2017-06-09","description":"","custom_fields":[{"id":1,"name":"Subdivision","value":"Other"},{"id":4,"name":"Milepost","value":"2.3346"},{"id":17,"name":"Train ID","value":"313-08"},{"id":16,"name":"Locomotive ID","value":"4002"},{"id":130,"name":"Impact","value":""},{"id":150,"name":"Time of Event (Mountain Time)","value":"02:28:44"},{"id":151,"name":"Denver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98"/>
        <v>start /low /b %USERPROFILE%\Documents\GitHub\eaglep3\Utilities\DownloadLogsFromS3.py --loco 4002 --day 2017-06-09</v>
      </c>
      <c r="AN219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08:28:44"},{"id":29,"name":"Sharepoint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830</v>
      </c>
      <c r="B220" s="7">
        <v>4054</v>
      </c>
      <c r="C220" s="21" t="s">
        <v>204</v>
      </c>
      <c r="D220" s="21" t="s">
        <v>481</v>
      </c>
      <c r="E220" s="13">
        <v>42896.110543981478</v>
      </c>
      <c r="F220" s="13">
        <v>42896.112719907411</v>
      </c>
      <c r="G220" s="7">
        <v>1</v>
      </c>
      <c r="H220" s="21" t="s">
        <v>574</v>
      </c>
      <c r="I220" s="13">
        <v>42896.12296296296</v>
      </c>
      <c r="J220" s="7">
        <v>0</v>
      </c>
      <c r="K220" s="92" t="str">
        <f t="shared" si="85"/>
        <v>4053/4054</v>
      </c>
      <c r="L220" s="21" t="str">
        <f>VLOOKUP(A220,'Trips&amp;Operators'!$C$1:$G$99999,5,FALSE)</f>
        <v>LAMAR NEKESHA</v>
      </c>
      <c r="M220" s="6">
        <f t="shared" si="86"/>
        <v>1.024305554892635E-2</v>
      </c>
      <c r="N220" s="7">
        <f t="shared" ref="N220:N236" si="100">24*60*SUM($M220:$M220)</f>
        <v>14.749999990453944</v>
      </c>
      <c r="O220" s="7"/>
      <c r="P220" s="7"/>
      <c r="Q220" s="22"/>
      <c r="R220" s="173"/>
      <c r="S220" s="176">
        <f t="shared" ref="S220:S238" si="101">SUM(U220:U220)/IF(AG220="EC",12,1)</f>
        <v>1</v>
      </c>
      <c r="T220" s="202" t="str">
        <f t="shared" si="87"/>
        <v>NorthBound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03" t="str">
        <f t="shared" si="88"/>
        <v>https://d0f6bd738d7f1b3e5a7ca70fe4ff75f0.us-east-1.aws.found.io/app/kibana#/discover/Steve-Slow-Train-Analysis-(2080s-and-2083s)?_g=(refreshInterval:(display:Off,pause:!f,section:0,value:0),time:(from:'2017-06-10T01:39:11-0600',mode:absolute,to:'2017-06-10T03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0" s="204" t="str">
        <f t="shared" si="89"/>
        <v>Y</v>
      </c>
      <c r="X220" s="204">
        <f t="shared" si="90"/>
        <v>0</v>
      </c>
      <c r="Y220" s="204">
        <f t="shared" si="83"/>
        <v>4.7699999999999999E-2</v>
      </c>
      <c r="Z220" s="204">
        <f t="shared" si="84"/>
        <v>2.3304</v>
      </c>
      <c r="AA220" s="204">
        <f t="shared" si="91"/>
        <v>2.2827000000000002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92"/>
        <v>0313-09</v>
      </c>
      <c r="AE220" s="80" t="str">
        <f t="shared" si="93"/>
        <v>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 &amp; 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</v>
      </c>
      <c r="AF220" s="77" t="str">
        <f t="shared" si="94"/>
        <v>"C:\Program Files (x86)\AstroGrep\AstroGrep.exe" /e /r /s /spath="%USERPROFILE%\AppData\Local\Temp\OnboardLogs" /stypes="app*4054*20170610*" /stext=" 08:.+((SYSTEM_STATE.+slice.+state.+changed )|(ment ac)|(multiple cpu faults)|(system.+state.+changed )|(\[timeout)|(PRM\|1\|D)|(kpr)|(kdp)|(train st.+moving)|(\|lc)|(penalty))"</v>
      </c>
      <c r="AG220" s="1" t="str">
        <f t="shared" si="95"/>
        <v>Other</v>
      </c>
      <c r="AH220" s="81" t="str">
        <f t="shared" si="96"/>
        <v>"%USERPROFILE%\Documents\GitHub\eaglep3\Utilities\RefineRTDCRunTimes.py" --tripid 313-09 --locoid 4054 --swversion DE.1.0.9.0 --startMP 204:477 --initTime 2017-06-10T02:39:11 --startdatetime 2017-06-10T02:42:19 --delay 1 --endMP 300:23304 --enddatetime 2017-06-10T02:57:04 --enforcementcount 0 &gt;&gt;C:\Users\stu\Documents\GitHub\eaglep3-reporting\EC\2017-06-09-refined-times.txt</v>
      </c>
      <c r="AI220" s="99" t="str">
        <f t="shared" si="97"/>
        <v>echo {"issue":{"subject":"","project_id":79,"tracker_id":40,"status_id":1,"priority_id":2,"assigned_to_id":23,"start_date":"2017-06-10","description":"","custom_fields":[{"id":1,"name":"Subdivision","value":"Other"},{"id":4,"name":"Milepost","value":"2.3304"},{"id":17,"name":"Train ID","value":"313-09"},{"id":16,"name":"Locomotive ID","value":"4054"},{"id":130,"name":"Impact","value":""},{"id":150,"name":"Time of Event (Mountain Time)","value":"02:57:04"},{"id":151,"name":"Denver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98"/>
        <v>start /low /b %USERPROFILE%\Documents\GitHub\eaglep3\Utilities\DownloadLogsFromS3.py --loco 4054 --day 2017-06-10</v>
      </c>
      <c r="AN220" s="154" t="str">
        <f t="shared" si="99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08:57:04"},{"id":29,"name":"Sharepoint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652</v>
      </c>
      <c r="B221" s="7">
        <v>4028</v>
      </c>
      <c r="C221" s="21" t="s">
        <v>204</v>
      </c>
      <c r="D221" s="21" t="s">
        <v>979</v>
      </c>
      <c r="E221" s="13">
        <v>42895.195925925924</v>
      </c>
      <c r="F221" s="13">
        <v>42895.201319444444</v>
      </c>
      <c r="G221" s="7">
        <v>7</v>
      </c>
      <c r="H221" s="21" t="s">
        <v>980</v>
      </c>
      <c r="I221" s="13">
        <v>42895.20689814815</v>
      </c>
      <c r="J221" s="7">
        <v>0</v>
      </c>
      <c r="K221" s="92" t="str">
        <f t="shared" si="85"/>
        <v>4027/4028</v>
      </c>
      <c r="L221" s="21" t="str">
        <f>VLOOKUP(A221,'Trips&amp;Operators'!$C$1:$G$99999,5,FALSE)</f>
        <v>GUZMAN DANNY</v>
      </c>
      <c r="M221" s="6">
        <f t="shared" si="86"/>
        <v>5.5787037053960375E-3</v>
      </c>
      <c r="N221" s="7">
        <f t="shared" si="100"/>
        <v>8.0333333357702941</v>
      </c>
      <c r="O221" s="7"/>
      <c r="P221" s="7"/>
      <c r="Q221" s="22"/>
      <c r="R221" s="173"/>
      <c r="S221" s="176">
        <f t="shared" si="101"/>
        <v>0</v>
      </c>
      <c r="T221" s="202" t="str">
        <f t="shared" si="87"/>
        <v>NorthBound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03" t="str">
        <f t="shared" si="88"/>
        <v>https://d0f6bd738d7f1b3e5a7ca70fe4ff75f0.us-east-1.aws.found.io/app/kibana#/discover/Steve-Slow-Train-Analysis-(2080s-and-2083s)?_g=(refreshInterval:(display:Off,pause:!f,section:0,value:0),time:(from:'2017-06-09T03:42:08-0600',mode:absolute,to:'2017-06-09T05:57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1" s="204" t="str">
        <f t="shared" si="89"/>
        <v>Y</v>
      </c>
      <c r="X221" s="204">
        <f t="shared" si="90"/>
        <v>588</v>
      </c>
      <c r="Y221" s="204">
        <f t="shared" si="83"/>
        <v>3.0173000000000001</v>
      </c>
      <c r="Z221" s="204">
        <f t="shared" si="84"/>
        <v>5.8936999999999999</v>
      </c>
      <c r="AA221" s="204">
        <f t="shared" si="91"/>
        <v>2.8763999999999998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92"/>
        <v>0901-09</v>
      </c>
      <c r="AE221" s="80" t="str">
        <f t="shared" si="93"/>
        <v>aws s3 cp s3://rtdc.mdm.uploadarchive.raw/RTDC4028/ "%USERPROFILE%\AppData\Local\Temp\OnboardLogs"\RTDC4028\2017-06-09 --exclude "*" --recursive --include "*20170609*" &amp; "%USERPROFILE%\Documents\GitHub\mrs-test-scripts\Headless Mode &amp; Sideloading\WalkAndUnGZ.bat" "%USERPROFILE%\AppData\Local\Temp\OnboardLogs"\RTDC4028\2017-06-09 &amp; 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</v>
      </c>
      <c r="AF221" s="77" t="str">
        <f t="shared" si="94"/>
        <v>"C:\Program Files (x86)\AstroGrep\AstroGrep.exe" /e /r /s /spath="%USERPROFILE%\AppData\Local\Temp\OnboardLogs" /stypes="app*4028*20170609*" /stext=" 10:.+((SYSTEM_STATE.+slice.+state.+changed )|(ment ac)|(multiple cpu faults)|(system.+state.+changed )|(\[timeout)|(PRM\|1\|D)|(kpr)|(kdp)|(train st.+moving)|(\|lc)|(penalty))"</v>
      </c>
      <c r="AG221" s="1" t="str">
        <f t="shared" si="95"/>
        <v>Other</v>
      </c>
      <c r="AH221" s="81" t="str">
        <f t="shared" si="96"/>
        <v>"%USERPROFILE%\Documents\GitHub\eaglep3\Utilities\RefineRTDCRunTimes.py" --tripid 901-09 --locoid 4028 --swversion DE.1.0.9.0 --startMP 300:30173 --initTime 2017-06-09T04:42:08 --startdatetime 2017-06-09T04:49:54 --delay 7 --endMP 300:58937 --enddatetime 2017-06-09T04:57:56 --enforcementcount 0 &gt;&gt;C:\Users\stu\Documents\GitHub\eaglep3-reporting\EC\2017-06-09-refined-times.txt</v>
      </c>
      <c r="AI221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{"issue":{"subject":"","project_id":79,"tracker_id":40,"status_id":1,"priority_id":2,"assigned_to_id":23,"start_date":"2017-06-09","description":"","custom_fields":[{"id":1,"name":"Subdivision","value":"Other"},{"id":4,"name":"Milepost","value":"5.8937"},{"id":17,"name":"Train ID","value":"901-09"},{"id":16,"name":"Locomotive ID","value":"4028"},{"id":130,"name":"Impact","value":""},{"id":150,"name":"Time of Event (Mountain Time)","value":"04:57:56"},{"id":151,"name":"Denver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98"/>
        <v>start /low /b %USERPROFILE%\Documents\GitHub\eaglep3\Utilities\DownloadLogsFromS3.py --loco 4028 --day 2017-06-09</v>
      </c>
      <c r="AN221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10:57:56"},{"id":29,"name":"Sharepoint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661</v>
      </c>
      <c r="B222" s="7">
        <v>4015</v>
      </c>
      <c r="C222" s="21" t="s">
        <v>204</v>
      </c>
      <c r="D222" s="21" t="s">
        <v>981</v>
      </c>
      <c r="E222" s="13">
        <v>42895.245219907411</v>
      </c>
      <c r="F222" s="13">
        <v>42895.247719907406</v>
      </c>
      <c r="G222" s="7">
        <v>3</v>
      </c>
      <c r="H222" s="21" t="s">
        <v>967</v>
      </c>
      <c r="I222" s="13">
        <v>42895.252766203703</v>
      </c>
      <c r="J222" s="7">
        <v>0</v>
      </c>
      <c r="K222" s="92" t="str">
        <f t="shared" si="85"/>
        <v>4015/4016</v>
      </c>
      <c r="L222" s="21" t="str">
        <f>VLOOKUP(A222,'Trips&amp;Operators'!$C$1:$G$99999,5,FALSE)</f>
        <v>LALONDE GREGORY</v>
      </c>
      <c r="M222" s="6">
        <f t="shared" si="86"/>
        <v>5.0462962972233072E-3</v>
      </c>
      <c r="N222" s="7">
        <f t="shared" si="100"/>
        <v>7.2666666680015624</v>
      </c>
      <c r="O222" s="7"/>
      <c r="P222" s="7"/>
      <c r="Q222" s="22"/>
      <c r="R222" s="173"/>
      <c r="S222" s="176">
        <f t="shared" si="101"/>
        <v>1</v>
      </c>
      <c r="T222" s="202" t="str">
        <f t="shared" si="87"/>
        <v>Southbound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03" t="str">
        <f t="shared" si="88"/>
        <v>https://d0f6bd738d7f1b3e5a7ca70fe4ff75f0.us-east-1.aws.found.io/app/kibana#/discover/Steve-Slow-Train-Analysis-(2080s-and-2083s)?_g=(refreshInterval:(display:Off,pause:!f,section:0,value:0),time:(from:'2017-06-09T04:53:07-0600',mode:absolute,to:'2017-06-09T07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2" s="204" t="str">
        <f t="shared" si="89"/>
        <v>Y</v>
      </c>
      <c r="X222" s="204">
        <f t="shared" si="90"/>
        <v>1</v>
      </c>
      <c r="Y222" s="204">
        <f t="shared" si="83"/>
        <v>2.3464</v>
      </c>
      <c r="Z222" s="204">
        <f t="shared" si="84"/>
        <v>6.8400000000000002E-2</v>
      </c>
      <c r="AA222" s="204">
        <f t="shared" si="91"/>
        <v>2.278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92"/>
        <v>0902-09</v>
      </c>
      <c r="AE222" s="80" t="str">
        <f t="shared" si="93"/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AF222" s="77" t="str">
        <f t="shared" si="94"/>
        <v>"C:\Program Files (x86)\AstroGrep\AstroGrep.exe" /e /r /s /spath="%USERPROFILE%\AppData\Local\Temp\OnboardLogs" /stypes="app*4015*20170609*" /stext=" 12:.+((SYSTEM_STATE.+slice.+state.+changed )|(ment ac)|(multiple cpu faults)|(system.+state.+changed )|(\[timeout)|(PRM\|1\|D)|(kpr)|(kdp)|(train st.+moving)|(\|lc)|(penalty))"</v>
      </c>
      <c r="AG222" s="1" t="str">
        <f t="shared" si="95"/>
        <v>Other</v>
      </c>
      <c r="AH222" s="81" t="str">
        <f t="shared" si="96"/>
        <v>"%USERPROFILE%\Documents\GitHub\eaglep3\Utilities\RefineRTDCRunTimes.py" --tripid 902-09 --locoid 4015 --swversion DE.1.0.9.0 --startMP 300:23464 --initTime 2017-06-09T05:53:07 --startdatetime 2017-06-09T05:56:43 --delay 3 --endMP 204:684 --enddatetime 2017-06-09T06:03:59 --enforcementcount 0 &gt;&gt;C:\Users\stu\Documents\GitHub\eaglep3-reporting\EC\2017-06-09-refined-times.txt</v>
      </c>
      <c r="AI222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{"issue":{"subject":"","project_id":79,"tracker_id":40,"status_id":1,"priority_id":2,"assigned_to_id":23,"start_date":"2017-06-09","description":"","custom_fields":[{"id":1,"name":"Subdivision","value":"Other"},{"id":4,"name":"Milepost","value":"0.0684"},{"id":17,"name":"Train ID","value":"902-09"},{"id":16,"name":"Locomotive ID","value":"4015"},{"id":130,"name":"Impact","value":""},{"id":150,"name":"Time of Event (Mountain Time)","value":"06:03:59"},{"id":151,"name":"Denver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98"/>
        <v>start /low /b %USERPROFILE%\Documents\GitHub\eaglep3\Utilities\DownloadLogsFromS3.py --loco 4015 --day 2017-06-09</v>
      </c>
      <c r="AN222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12:03:59"},{"id":29,"name":"Sharepoint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692</v>
      </c>
      <c r="B223" s="7">
        <v>4028</v>
      </c>
      <c r="C223" s="21" t="s">
        <v>204</v>
      </c>
      <c r="D223" s="21" t="s">
        <v>570</v>
      </c>
      <c r="E223" s="13">
        <v>42895.354062500002</v>
      </c>
      <c r="F223" s="13">
        <v>42895.35565972222</v>
      </c>
      <c r="G223" s="7">
        <v>1</v>
      </c>
      <c r="H223" s="21" t="s">
        <v>982</v>
      </c>
      <c r="I223" s="13">
        <v>42895.361712962964</v>
      </c>
      <c r="J223" s="7">
        <v>0</v>
      </c>
      <c r="K223" s="92" t="str">
        <f t="shared" si="85"/>
        <v>4027/4028</v>
      </c>
      <c r="L223" s="21" t="str">
        <f>VLOOKUP(A223,'Trips&amp;Operators'!$C$1:$G$99999,5,FALSE)</f>
        <v>GUZMAN DANNY</v>
      </c>
      <c r="M223" s="6">
        <f t="shared" si="86"/>
        <v>6.0532407442224212E-3</v>
      </c>
      <c r="N223" s="7">
        <f t="shared" si="100"/>
        <v>8.7166666716802865</v>
      </c>
      <c r="O223" s="7"/>
      <c r="P223" s="7"/>
      <c r="Q223" s="22"/>
      <c r="R223" s="173"/>
      <c r="S223" s="176">
        <f t="shared" si="101"/>
        <v>1</v>
      </c>
      <c r="T223" s="202" t="str">
        <f t="shared" si="87"/>
        <v>NorthBound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03" t="str">
        <f t="shared" si="88"/>
        <v>https://d0f6bd738d7f1b3e5a7ca70fe4ff75f0.us-east-1.aws.found.io/app/kibana#/discover/Steve-Slow-Train-Analysis-(2080s-and-2083s)?_g=(refreshInterval:(display:Off,pause:!f,section:0,value:0),time:(from:'2017-06-09T07:29:51-0600',mode:absolute,to:'2017-06-09T09:40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3" s="204" t="str">
        <f t="shared" si="89"/>
        <v>Y</v>
      </c>
      <c r="X223" s="204">
        <f t="shared" si="90"/>
        <v>1</v>
      </c>
      <c r="Y223" s="204">
        <f t="shared" si="83"/>
        <v>4.2599999999999999E-2</v>
      </c>
      <c r="Z223" s="204">
        <f t="shared" si="84"/>
        <v>2.4239000000000002</v>
      </c>
      <c r="AA223" s="204">
        <f t="shared" si="91"/>
        <v>2.3813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92"/>
        <v>0903-09</v>
      </c>
      <c r="AE223" s="80" t="str">
        <f t="shared" si="93"/>
        <v>aws s3 cp s3://rtdc.mdm.uploadarchive.raw/RTDC4028/ "%USERPROFILE%\AppData\Local\Temp\OnboardLogs"\RTDC4028\2017-06-09 --exclude "*" --recursive --include "*20170609*" &amp; "%USERPROFILE%\Documents\GitHub\mrs-test-scripts\Headless Mode &amp; Sideloading\WalkAndUnGZ.bat" "%USERPROFILE%\AppData\Local\Temp\OnboardLogs"\RTDC4028\2017-06-09 &amp; 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</v>
      </c>
      <c r="AF223" s="77" t="str">
        <f t="shared" si="94"/>
        <v>"C:\Program Files (x86)\AstroGrep\AstroGrep.exe" /e /r /s /spath="%USERPROFILE%\AppData\Local\Temp\OnboardLogs" /stypes="app*4028*20170609*" /stext=" 14:.+((SYSTEM_STATE.+slice.+state.+changed )|(ment ac)|(multiple cpu faults)|(system.+state.+changed )|(\[timeout)|(PRM\|1\|D)|(kpr)|(kdp)|(train st.+moving)|(\|lc)|(penalty))"</v>
      </c>
      <c r="AG223" s="1" t="str">
        <f t="shared" si="95"/>
        <v>Other</v>
      </c>
      <c r="AH223" s="81" t="str">
        <f t="shared" si="96"/>
        <v>"%USERPROFILE%\Documents\GitHub\eaglep3\Utilities\RefineRTDCRunTimes.py" --tripid 903-09 --locoid 4028 --swversion DE.1.0.9.0 --startMP 204:426 --initTime 2017-06-09T08:29:51 --startdatetime 2017-06-09T08:32:09 --delay 1 --endMP 300:24239 --enddatetime 2017-06-09T08:40:52 --enforcementcount 0 &gt;&gt;C:\Users\stu\Documents\GitHub\eaglep3-reporting\EC\2017-06-09-refined-times.txt</v>
      </c>
      <c r="AI223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{"issue":{"subject":"","project_id":79,"tracker_id":40,"status_id":1,"priority_id":2,"assigned_to_id":23,"start_date":"2017-06-09","description":"","custom_fields":[{"id":1,"name":"Subdivision","value":"Other"},{"id":4,"name":"Milepost","value":"2.4239"},{"id":17,"name":"Train ID","value":"903-09"},{"id":16,"name":"Locomotive ID","value":"4028"},{"id":130,"name":"Impact","value":""},{"id":150,"name":"Time of Event (Mountain Time)","value":"08:40:52"},{"id":151,"name":"Denver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98"/>
        <v>start /low /b %USERPROFILE%\Documents\GitHub\eaglep3\Utilities\DownloadLogsFromS3.py --loco 4028 --day 2017-06-09</v>
      </c>
      <c r="AN223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14:40:52"},{"id":29,"name":"Sharepoint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s="20" customFormat="1" x14ac:dyDescent="0.25">
      <c r="A224" s="32" t="s">
        <v>757</v>
      </c>
      <c r="B224" s="7">
        <v>4027</v>
      </c>
      <c r="C224" s="21" t="s">
        <v>204</v>
      </c>
      <c r="D224" s="21" t="s">
        <v>983</v>
      </c>
      <c r="E224" s="13">
        <v>42895.639641203707</v>
      </c>
      <c r="F224" s="13">
        <v>42895.642013888886</v>
      </c>
      <c r="G224" s="7">
        <v>3</v>
      </c>
      <c r="H224" s="21" t="s">
        <v>579</v>
      </c>
      <c r="I224" s="13">
        <v>42895.647719907407</v>
      </c>
      <c r="J224" s="7">
        <v>0</v>
      </c>
      <c r="K224" s="92" t="str">
        <f t="shared" si="85"/>
        <v>4027/4028</v>
      </c>
      <c r="L224" s="21" t="str">
        <f>VLOOKUP(A224,'Trips&amp;Operators'!$C$1:$G$99999,5,FALSE)</f>
        <v>MCREYNOLDS KYLE</v>
      </c>
      <c r="M224" s="6">
        <f t="shared" si="86"/>
        <v>5.7060185208683833E-3</v>
      </c>
      <c r="N224" s="7">
        <f t="shared" si="100"/>
        <v>8.216666670050472</v>
      </c>
      <c r="O224" s="7"/>
      <c r="P224" s="7"/>
      <c r="Q224" s="22"/>
      <c r="R224" s="173"/>
      <c r="S224" s="176">
        <f t="shared" si="101"/>
        <v>1</v>
      </c>
      <c r="T224" s="202" t="str">
        <f t="shared" si="87"/>
        <v>Southbound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03" t="str">
        <f t="shared" si="88"/>
        <v>https://d0f6bd738d7f1b3e5a7ca70fe4ff75f0.us-east-1.aws.found.io/app/kibana#/discover/Steve-Slow-Train-Analysis-(2080s-and-2083s)?_g=(refreshInterval:(display:Off,pause:!f,section:0,value:0),time:(from:'2017-06-09T14:21:05-0600',mode:absolute,to:'2017-06-09T16:32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4" s="204" t="str">
        <f t="shared" si="89"/>
        <v>Y</v>
      </c>
      <c r="X224" s="204">
        <f t="shared" si="90"/>
        <v>1</v>
      </c>
      <c r="Y224" s="204">
        <f t="shared" ref="Y224:Y238" si="102">RIGHT(D224,LEN(D224)-4)/10000</f>
        <v>2.3668999999999998</v>
      </c>
      <c r="Z224" s="204">
        <f t="shared" ref="Z224:Z238" si="103">RIGHT(H224,LEN(H224)-4)/10000</f>
        <v>6.8500000000000005E-2</v>
      </c>
      <c r="AA224" s="204">
        <f t="shared" si="91"/>
        <v>2.2984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92"/>
        <v>0904-09</v>
      </c>
      <c r="AE224" s="80" t="str">
        <f t="shared" si="93"/>
        <v>aws s3 cp s3://rtdc.mdm.uploadarchive.raw/RTDC4027/ "%USERPROFILE%\AppData\Local\Temp\OnboardLogs"\RTDC4027\2017-06-09 --exclude "*" --recursive --include "*20170609*" &amp; "%USERPROFILE%\Documents\GitHub\mrs-test-scripts\Headless Mode &amp; Sideloading\WalkAndUnGZ.bat" "%USERPROFILE%\AppData\Local\Temp\OnboardLogs"\RTDC4027\2017-06-09 &amp; 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</v>
      </c>
      <c r="AF224" s="77" t="str">
        <f t="shared" si="94"/>
        <v>"C:\Program Files (x86)\AstroGrep\AstroGrep.exe" /e /r /s /spath="%USERPROFILE%\AppData\Local\Temp\OnboardLogs" /stypes="app*4027*20170609*" /stext=" 21:.+((SYSTEM_STATE.+slice.+state.+changed )|(ment ac)|(multiple cpu faults)|(system.+state.+changed )|(\[timeout)|(PRM\|1\|D)|(kpr)|(kdp)|(train st.+moving)|(\|lc)|(penalty))"</v>
      </c>
      <c r="AG224" s="1" t="str">
        <f t="shared" si="95"/>
        <v>Other</v>
      </c>
      <c r="AH224" s="81" t="str">
        <f t="shared" si="96"/>
        <v>"%USERPROFILE%\Documents\GitHub\eaglep3\Utilities\RefineRTDCRunTimes.py" --tripid 904-09 --locoid 4027 --swversion DE.1.0.9.0 --startMP 300:23669 --initTime 2017-06-09T15:21:05 --startdatetime 2017-06-09T15:24:30 --delay 3 --endMP 204:685 --enddatetime 2017-06-09T15:32:43 --enforcementcount 0 &gt;&gt;C:\Users\stu\Documents\GitHub\eaglep3-reporting\EC\2017-06-09-refined-times.txt</v>
      </c>
      <c r="AI224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{"issue":{"subject":"","project_id":79,"tracker_id":40,"status_id":1,"priority_id":2,"assigned_to_id":23,"start_date":"2017-06-09","description":"","custom_fields":[{"id":1,"name":"Subdivision","value":"Other"},{"id":4,"name":"Milepost","value":"0.0685"},{"id":17,"name":"Train ID","value":"904-09"},{"id":16,"name":"Locomotive ID","value":"4027"},{"id":130,"name":"Impact","value":""},{"id":150,"name":"Time of Event (Mountain Time)","value":"15:32:43"},{"id":151,"name":"Denver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4" s="47"/>
      <c r="AL224" s="47"/>
      <c r="AM224" s="145" t="str">
        <f t="shared" si="98"/>
        <v>start /low /b %USERPROFILE%\Documents\GitHub\eaglep3\Utilities\DownloadLogsFromS3.py --loco 4027 --day 2017-06-09</v>
      </c>
      <c r="AN224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21:32:43"},{"id":29,"name":"Sharepoint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795</v>
      </c>
      <c r="B225" s="7">
        <v>4027</v>
      </c>
      <c r="C225" s="21" t="s">
        <v>204</v>
      </c>
      <c r="D225" s="21" t="s">
        <v>984</v>
      </c>
      <c r="E225" s="13">
        <v>42895.796990740739</v>
      </c>
      <c r="F225" s="13">
        <v>25568.708333333332</v>
      </c>
      <c r="G225" s="7">
        <v>1</v>
      </c>
      <c r="H225" s="21" t="s">
        <v>985</v>
      </c>
      <c r="I225" s="13">
        <v>25568.708333333332</v>
      </c>
      <c r="J225" s="7">
        <v>0</v>
      </c>
      <c r="K225" s="92" t="str">
        <f t="shared" si="85"/>
        <v>4027/4028</v>
      </c>
      <c r="L225" s="21" t="str">
        <f>VLOOKUP(A225,'Trips&amp;Operators'!$C$1:$G$99999,5,FALSE)</f>
        <v>MCREYNOLDS KYLE</v>
      </c>
      <c r="M225" s="6">
        <f t="shared" si="86"/>
        <v>0</v>
      </c>
      <c r="N225" s="7">
        <f t="shared" si="100"/>
        <v>0</v>
      </c>
      <c r="O225" s="7"/>
      <c r="P225" s="7"/>
      <c r="Q225" s="22"/>
      <c r="R225" s="173"/>
      <c r="S225" s="176">
        <f t="shared" si="101"/>
        <v>0</v>
      </c>
      <c r="T225" s="202" t="str">
        <f t="shared" si="87"/>
        <v>Southbound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03" t="str">
        <f t="shared" si="88"/>
        <v>https://d0f6bd738d7f1b3e5a7ca70fe4ff75f0.us-east-1.aws.found.io/app/kibana#/discover/Steve-Slow-Train-Analysis-(2080s-and-2083s)?_g=(refreshInterval:(display:Off,pause:!f,section:0,value:0),time:(from:'2017-06-09T18:07:40-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5" s="204" t="str">
        <f t="shared" si="89"/>
        <v>Y</v>
      </c>
      <c r="X225" s="204">
        <f t="shared" si="90"/>
        <v>2</v>
      </c>
      <c r="Y225" s="204">
        <f t="shared" si="102"/>
        <v>5.8628</v>
      </c>
      <c r="Z225" s="204">
        <f t="shared" si="103"/>
        <v>2.1844000000000001</v>
      </c>
      <c r="AA225" s="204">
        <f t="shared" si="91"/>
        <v>3.6783999999999999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92"/>
        <v>0906-09</v>
      </c>
      <c r="AE225" s="80" t="str">
        <f t="shared" si="93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5" s="77" t="str">
        <f t="shared" si="94"/>
        <v>"C:\Program Files (x86)\AstroGrep\AstroGrep.exe" /e /r /s /spath="%USERPROFILE%\AppData\Local\Temp\OnboardLogs" /stypes="app*4027*19691231*" /stext=" 23:.+((SYSTEM_STATE.+slice.+state.+changed )|(ment ac)|(multiple cpu faults)|(system.+state.+changed )|(\[timeout)|(PRM\|1\|D)|(kpr)|(kdp)|(train st.+moving)|(\|lc)|(penalty))"</v>
      </c>
      <c r="AG225" s="1" t="str">
        <f t="shared" si="95"/>
        <v>Other</v>
      </c>
      <c r="AH225" s="81" t="str">
        <f t="shared" si="96"/>
        <v>"%USERPROFILE%\Documents\GitHub\eaglep3\Utilities\RefineRTDCRunTimes.py" --tripid 906-09 --locoid 4027 --swversion DE.1.0.9.0 --startMP 300:58628 --initTime 2017-06-09T19:07:40 --startdatetime 1969-12-31T17:00:00 --delay 1 --endMP 300:21844 --enddatetime 1969-12-31T17:00:00 --enforcementcount 0 &gt;&gt;C:\Users\stu\Documents\GitHub\eaglep3-reporting\EC\2017-06-09-refined-times.txt</v>
      </c>
      <c r="AI225" s="99" t="str">
        <f t="shared" si="97"/>
        <v>echo {"issue":{"subject":"","project_id":79,"tracker_id":40,"status_id":1,"priority_id":2,"assigned_to_id":23,"start_date":"1969-12-31","description":"","custom_fields":[{"id":1,"name":"Subdivision","value":"Other"},{"id":4,"name":"Milepost","value":"2.1844"},{"id":17,"name":"Train ID","value":"906-09"},{"id":16,"name":"Locomotive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98"/>
        <v>start /low /b %USERPROFILE%\Documents\GitHub\eaglep3\Utilities\DownloadLogsFromS3.py --loco 4027 --day 1969-12-31</v>
      </c>
      <c r="AN225" s="154" t="str">
        <f t="shared" si="9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711</v>
      </c>
      <c r="B226" s="7">
        <v>4039</v>
      </c>
      <c r="C226" s="21" t="s">
        <v>204</v>
      </c>
      <c r="D226" s="21" t="s">
        <v>903</v>
      </c>
      <c r="E226" s="13">
        <v>42895.444884259261</v>
      </c>
      <c r="F226" s="13">
        <v>42895.448414351849</v>
      </c>
      <c r="G226" s="7">
        <v>5</v>
      </c>
      <c r="H226" s="21" t="s">
        <v>904</v>
      </c>
      <c r="I226" s="13">
        <v>42895.454548611109</v>
      </c>
      <c r="J226" s="7">
        <v>0</v>
      </c>
      <c r="K226" s="92" t="str">
        <f t="shared" si="85"/>
        <v>4039/4040</v>
      </c>
      <c r="L226" s="21" t="str">
        <f>VLOOKUP(A226,'Trips&amp;Operators'!$C$1:$G$99999,5,FALSE)</f>
        <v>DE LA ROSA ALEX</v>
      </c>
      <c r="M226" s="6">
        <f t="shared" si="86"/>
        <v>6.1342592598521151E-3</v>
      </c>
      <c r="N226" s="7">
        <f t="shared" si="100"/>
        <v>8.8333333341870457</v>
      </c>
      <c r="O226" s="7"/>
      <c r="P226" s="7"/>
      <c r="Q226" s="22"/>
      <c r="R226" s="173"/>
      <c r="S226" s="176">
        <f t="shared" si="101"/>
        <v>0</v>
      </c>
      <c r="T226" s="202" t="e">
        <f t="shared" si="87"/>
        <v>#VALUE!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 t="shared" si="88"/>
        <v>https://d0f6bd738d7f1b3e5a7ca70fe4ff75f0.us-east-1.aws.found.io/app/kibana#/discover/Steve-Slow-Train-Analysis-(2080s-and-2083s)?_g=(refreshInterval:(display:Off,pause:!f,section:0,value:0),time:(from:'2017-06-09T09:40:38-0600',mode:absolute,to:'2017-06-09T11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6" s="204" t="str">
        <f t="shared" si="89"/>
        <v>Y</v>
      </c>
      <c r="X226" s="204" t="e">
        <f t="shared" si="90"/>
        <v>#VALUE!</v>
      </c>
      <c r="Y226" s="204">
        <f t="shared" si="102"/>
        <v>2.2107999999999999</v>
      </c>
      <c r="Z226" s="204">
        <f t="shared" si="103"/>
        <v>1.4E-2</v>
      </c>
      <c r="AA226" s="204">
        <f t="shared" si="91"/>
        <v>2.1968000000000001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92"/>
        <v>50-09</v>
      </c>
      <c r="AE226" s="80" t="str">
        <f t="shared" si="93"/>
        <v>aws s3 cp s3://rtdc.mdm.uploadarchive.raw/RTDC4039/ "%USERPROFILE%\AppData\Local\Temp\OnboardLogs"\RTDC4039\2017-06-09 --exclude "*" --recursive --include "*20170609*" &amp; "%USERPROFILE%\Documents\GitHub\mrs-test-scripts\Headless Mode &amp; Sideloading\WalkAndUnGZ.bat" "%USERPROFILE%\AppData\Local\Temp\OnboardLogs"\RTDC4039\2017-06-09 &amp; aws s3 cp s3://rtdc.mdm.uploadarchive.raw/RTDC4039/ "%USERPROFILE%\AppData\Local\Temp\OnboardLogs"\RTDC4039\2017-06-10 --exclude "*" --recursive --include "*20170610*" &amp; "%USERPROFILE%\Documents\GitHub\mrs-test-scripts\Headless Mode &amp; Sideloading\WalkAndUnGZ.bat" "%USERPROFILE%\AppData\Local\Temp\OnboardLogs"\RTDC4039\2017-06-10</v>
      </c>
      <c r="AF226" s="77" t="str">
        <f t="shared" si="94"/>
        <v>"C:\Program Files (x86)\AstroGrep\AstroGrep.exe" /e /r /s /spath="%USERPROFILE%\AppData\Local\Temp\OnboardLogs" /stypes="app*4039*20170609*" /stext=" 16:.+((SYSTEM_STATE.+slice.+state.+changed )|(ment ac)|(multiple cpu faults)|(system.+state.+changed )|(\[timeout)|(PRM\|1\|D)|(kpr)|(kdp)|(train st.+moving)|(\|lc)|(penalty))"</v>
      </c>
      <c r="AG226" s="1" t="str">
        <f t="shared" si="95"/>
        <v>Other</v>
      </c>
      <c r="AH226" s="81" t="str">
        <f t="shared" si="96"/>
        <v>"%USERPROFILE%\Documents\GitHub\eaglep3\Utilities\RefineRTDCRunTimes.py" --tripid 50-09 --locoid 4039 --swversion DE.1.0.9.0 --startMP 300:22108 --initTime 2017-06-09T10:40:38 --startdatetime 2017-06-09T10:45:43 --delay 5 --endMP 204:140 --enddatetime 2017-06-09T10:54:33 --enforcementcount 0 &gt;&gt;C:\Users\stu\Documents\GitHub\eaglep3-reporting\EC\2017-06-09-refined-times.txt</v>
      </c>
      <c r="AI226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{"issue":{"subject":"","project_id":79,"tracker_id":40,"status_id":1,"priority_id":2,"assigned_to_id":23,"start_date":"2017-06-09","description":"","custom_fields":[{"id":1,"name":"Subdivision","value":"Other"},{"id":4,"name":"Milepost","value":"0.014"},{"id":17,"name":"Train ID","value":"50-09"},{"id":16,"name":"Locomotive ID","value":"4039"},{"id":130,"name":"Impact","value":""},{"id":150,"name":"Time of Event (Mountain Time)","value":"10:54:33"},{"id":151,"name":"Denver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98"/>
        <v>start /low /b %USERPROFILE%\Documents\GitHub\eaglep3\Utilities\DownloadLogsFromS3.py --loco 4039 --day 2017-06-09</v>
      </c>
      <c r="AN226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16:54:33"},{"id":29,"name":"Sharepoint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636</v>
      </c>
      <c r="B227" s="7">
        <v>4020</v>
      </c>
      <c r="C227" s="21" t="s">
        <v>204</v>
      </c>
      <c r="D227" s="21" t="s">
        <v>905</v>
      </c>
      <c r="E227" s="13">
        <v>42895.128541666665</v>
      </c>
      <c r="F227" s="13">
        <v>42895.137326388889</v>
      </c>
      <c r="G227" s="7">
        <v>1</v>
      </c>
      <c r="H227" s="21" t="s">
        <v>906</v>
      </c>
      <c r="I227" s="13">
        <v>42895.138275462959</v>
      </c>
      <c r="J227" s="7">
        <v>0</v>
      </c>
      <c r="K227" s="92" t="str">
        <f t="shared" si="85"/>
        <v>4019/4020</v>
      </c>
      <c r="L227" s="21" t="str">
        <f>VLOOKUP(A227,'Trips&amp;Operators'!$C$1:$G$99999,5,FALSE)</f>
        <v>SPECTOR MICHAEL</v>
      </c>
      <c r="M227" s="6">
        <f t="shared" si="86"/>
        <v>9.4907407037680969E-4</v>
      </c>
      <c r="N227" s="7">
        <f t="shared" si="100"/>
        <v>1.3666666613426059</v>
      </c>
      <c r="O227" s="7"/>
      <c r="P227" s="7"/>
      <c r="Q227" s="22"/>
      <c r="R227" s="173"/>
      <c r="S227" s="176">
        <f t="shared" si="101"/>
        <v>0</v>
      </c>
      <c r="T227" s="202" t="e">
        <f t="shared" si="87"/>
        <v>#VALUE!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 t="shared" si="88"/>
        <v>https://d0f6bd738d7f1b3e5a7ca70fe4ff75f0.us-east-1.aws.found.io/app/kibana#/discover/Steve-Slow-Train-Analysis-(2080s-and-2083s)?_g=(refreshInterval:(display:Off,pause:!f,section:0,value:0),time:(from:'2017-06-09T02:05:06-0600',mode:absolute,to:'2017-06-09T04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7" s="204" t="str">
        <f t="shared" si="89"/>
        <v>Y</v>
      </c>
      <c r="X227" s="204" t="e">
        <f t="shared" si="90"/>
        <v>#VALUE!</v>
      </c>
      <c r="Y227" s="204">
        <f t="shared" si="102"/>
        <v>4.2900000000000001E-2</v>
      </c>
      <c r="Z227" s="204">
        <f t="shared" si="103"/>
        <v>0.35630000000000001</v>
      </c>
      <c r="AA227" s="204">
        <f t="shared" si="91"/>
        <v>0.31340000000000001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92"/>
        <v>51-09</v>
      </c>
      <c r="AE227" s="80" t="str">
        <f t="shared" si="93"/>
        <v>aws s3 cp s3://rtdc.mdm.uploadarchive.raw/RTDC4020/ "%USERPROFILE%\AppData\Local\Temp\OnboardLogs"\RTDC4020\2017-06-09 --exclude "*" --recursive --include "*20170609*" &amp; "%USERPROFILE%\Documents\GitHub\mrs-test-scripts\Headless Mode &amp; Sideloading\WalkAndUnGZ.bat" "%USERPROFILE%\AppData\Local\Temp\OnboardLogs"\RTDC4020\2017-06-09 &amp; aws s3 cp s3://rtdc.mdm.uploadarchive.raw/RTDC4020/ "%USERPROFILE%\AppData\Local\Temp\OnboardLogs"\RTDC4020\2017-06-10 --exclude "*" --recursive --include "*20170610*" &amp; "%USERPROFILE%\Documents\GitHub\mrs-test-scripts\Headless Mode &amp; Sideloading\WalkAndUnGZ.bat" "%USERPROFILE%\AppData\Local\Temp\OnboardLogs"\RTDC4020\2017-06-10</v>
      </c>
      <c r="AF227" s="77" t="str">
        <f t="shared" si="94"/>
        <v>"C:\Program Files (x86)\AstroGrep\AstroGrep.exe" /e /r /s /spath="%USERPROFILE%\AppData\Local\Temp\OnboardLogs" /stypes="app*4020*20170609*" /stext=" 09:.+((SYSTEM_STATE.+slice.+state.+changed )|(ment ac)|(multiple cpu faults)|(system.+state.+changed )|(\[timeout)|(PRM\|1\|D)|(kpr)|(kdp)|(train st.+moving)|(\|lc)|(penalty))"</v>
      </c>
      <c r="AG227" s="1" t="str">
        <f t="shared" si="95"/>
        <v>Other</v>
      </c>
      <c r="AH227" s="81" t="str">
        <f t="shared" si="96"/>
        <v>"%USERPROFILE%\Documents\GitHub\eaglep3\Utilities\RefineRTDCRunTimes.py" --tripid 51-09 --locoid 4020 --swversion DE.1.0.9.0 --startMP 204:429 --initTime 2017-06-09T03:05:06 --startdatetime 2017-06-09T03:17:45 --delay 1 --endMP 204:3563 --enddatetime 2017-06-09T03:19:07 --enforcementcount 0 &gt;&gt;C:\Users\stu\Documents\GitHub\eaglep3-reporting\EC\2017-06-09-refined-times.txt</v>
      </c>
      <c r="AI227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{"issue":{"subject":"","project_id":79,"tracker_id":40,"status_id":1,"priority_id":2,"assigned_to_id":23,"start_date":"2017-06-09","description":"","custom_fields":[{"id":1,"name":"Subdivision","value":"Other"},{"id":4,"name":"Milepost","value":"0.3563"},{"id":17,"name":"Train ID","value":"51-09"},{"id":16,"name":"Locomotive ID","value":"4020"},{"id":130,"name":"Impact","value":""},{"id":150,"name":"Time of Event (Mountain Time)","value":"03:19:07"},{"id":151,"name":"Denver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98"/>
        <v>start /low /b %USERPROFILE%\Documents\GitHub\eaglep3\Utilities\DownloadLogsFromS3.py --loco 4020 --day 2017-06-09</v>
      </c>
      <c r="AN227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09:19:07"},{"id":29,"name":"Sharepoint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639</v>
      </c>
      <c r="B228" s="7">
        <v>4019</v>
      </c>
      <c r="C228" s="21" t="s">
        <v>204</v>
      </c>
      <c r="D228" s="21" t="s">
        <v>907</v>
      </c>
      <c r="E228" s="13">
        <v>42895.139548611114</v>
      </c>
      <c r="F228" s="13">
        <v>42895.140972222223</v>
      </c>
      <c r="G228" s="7">
        <v>1</v>
      </c>
      <c r="H228" s="21" t="s">
        <v>908</v>
      </c>
      <c r="I228" s="13">
        <v>42895.141805555555</v>
      </c>
      <c r="J228" s="7">
        <v>0</v>
      </c>
      <c r="K228" s="92" t="str">
        <f t="shared" si="85"/>
        <v>4019/4020</v>
      </c>
      <c r="L228" s="21" t="str">
        <f>VLOOKUP(A228,'Trips&amp;Operators'!$C$1:$G$99999,5,FALSE)</f>
        <v>SPECTOR MICHAEL</v>
      </c>
      <c r="M228" s="6">
        <f t="shared" si="86"/>
        <v>8.3333333168411627E-4</v>
      </c>
      <c r="N228" s="7">
        <f t="shared" si="100"/>
        <v>1.1999999976251274</v>
      </c>
      <c r="O228" s="7"/>
      <c r="P228" s="7"/>
      <c r="Q228" s="22"/>
      <c r="R228" s="173"/>
      <c r="S228" s="176">
        <f t="shared" si="101"/>
        <v>0</v>
      </c>
      <c r="T228" s="202" t="e">
        <f t="shared" si="87"/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 t="shared" si="88"/>
        <v>https://d0f6bd738d7f1b3e5a7ca70fe4ff75f0.us-east-1.aws.found.io/app/kibana#/discover/Steve-Slow-Train-Analysis-(2080s-and-2083s)?_g=(refreshInterval:(display:Off,pause:!f,section:0,value:0),time:(from:'2017-06-09T02:20:57-0600',mode:absolute,to:'2017-06-09T04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8" s="204" t="str">
        <f t="shared" si="89"/>
        <v>Y</v>
      </c>
      <c r="X228" s="204" t="e">
        <f t="shared" si="90"/>
        <v>#VALUE!</v>
      </c>
      <c r="Y228" s="204">
        <f t="shared" si="102"/>
        <v>0.3261</v>
      </c>
      <c r="Z228" s="204">
        <f t="shared" si="103"/>
        <v>0.1173</v>
      </c>
      <c r="AA228" s="204">
        <f t="shared" si="91"/>
        <v>0.20879999999999999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92"/>
        <v>52-09</v>
      </c>
      <c r="AE228" s="80" t="str">
        <f t="shared" si="93"/>
        <v>aws s3 cp s3://rtdc.mdm.uploadarchive.raw/RTDC4019/ "%USERPROFILE%\AppData\Local\Temp\OnboardLogs"\RTDC4019\2017-06-09 --exclude "*" --recursive --include "*20170609*" &amp; "%USERPROFILE%\Documents\GitHub\mrs-test-scripts\Headless Mode &amp; Sideloading\WalkAndUnGZ.bat" "%USERPROFILE%\AppData\Local\Temp\OnboardLogs"\RTDC4019\2017-06-09 &amp; aws s3 cp s3://rtdc.mdm.uploadarchive.raw/RTDC4019/ "%USERPROFILE%\AppData\Local\Temp\OnboardLogs"\RTDC4019\2017-06-10 --exclude "*" --recursive --include "*20170610*" &amp; "%USERPROFILE%\Documents\GitHub\mrs-test-scripts\Headless Mode &amp; Sideloading\WalkAndUnGZ.bat" "%USERPROFILE%\AppData\Local\Temp\OnboardLogs"\RTDC4019\2017-06-10</v>
      </c>
      <c r="AF228" s="77" t="str">
        <f t="shared" si="94"/>
        <v>"C:\Program Files (x86)\AstroGrep\AstroGrep.exe" /e /r /s /spath="%USERPROFILE%\AppData\Local\Temp\OnboardLogs" /stypes="app*4019*20170609*" /stext=" 09:.+((SYSTEM_STATE.+slice.+state.+changed )|(ment ac)|(multiple cpu faults)|(system.+state.+changed )|(\[timeout)|(PRM\|1\|D)|(kpr)|(kdp)|(train st.+moving)|(\|lc)|(penalty))"</v>
      </c>
      <c r="AG228" s="1" t="str">
        <f t="shared" si="95"/>
        <v>Other</v>
      </c>
      <c r="AH228" s="81" t="str">
        <f t="shared" si="96"/>
        <v>"%USERPROFILE%\Documents\GitHub\eaglep3\Utilities\RefineRTDCRunTimes.py" --tripid 52-09 --locoid 4019 --swversion DE.1.0.9.0 --startMP 204:3261 --initTime 2017-06-09T03:20:57 --startdatetime 2017-06-09T03:23:00 --delay 1 --endMP 204:1173 --enddatetime 2017-06-09T03:24:12 --enforcementcount 0 &gt;&gt;C:\Users\stu\Documents\GitHub\eaglep3-reporting\EC\2017-06-09-refined-times.txt</v>
      </c>
      <c r="AI228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{"issue":{"subject":"","project_id":79,"tracker_id":40,"status_id":1,"priority_id":2,"assigned_to_id":23,"start_date":"2017-06-09","description":"","custom_fields":[{"id":1,"name":"Subdivision","value":"Other"},{"id":4,"name":"Milepost","value":"0.1173"},{"id":17,"name":"Train ID","value":"52-09"},{"id":16,"name":"Locomotive ID","value":"4019"},{"id":130,"name":"Impact","value":""},{"id":150,"name":"Time of Event (Mountain Time)","value":"03:24:12"},{"id":151,"name":"Denver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98"/>
        <v>start /low /b %USERPROFILE%\Documents\GitHub\eaglep3\Utilities\DownloadLogsFromS3.py --loco 4019 --day 2017-06-09</v>
      </c>
      <c r="AN228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09:24:12"},{"id":29,"name":"Sharepoint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719</v>
      </c>
      <c r="B229" s="7">
        <v>4061</v>
      </c>
      <c r="C229" s="21" t="s">
        <v>204</v>
      </c>
      <c r="D229" s="21" t="s">
        <v>909</v>
      </c>
      <c r="E229" s="13">
        <v>42895.46534722222</v>
      </c>
      <c r="F229" s="13">
        <v>42895.467326388891</v>
      </c>
      <c r="G229" s="7">
        <v>1</v>
      </c>
      <c r="H229" s="21" t="s">
        <v>910</v>
      </c>
      <c r="I229" s="13">
        <v>42895.468425925923</v>
      </c>
      <c r="J229" s="7">
        <v>0</v>
      </c>
      <c r="K229" s="92" t="str">
        <f t="shared" si="85"/>
        <v>4061/4062</v>
      </c>
      <c r="L229" s="21" t="str">
        <f>VLOOKUP(A229,'Trips&amp;Operators'!$C$1:$G$99999,5,FALSE)</f>
        <v>DE LA ROSA ALEX</v>
      </c>
      <c r="M229" s="6">
        <f t="shared" si="86"/>
        <v>1.0995370321325026E-3</v>
      </c>
      <c r="N229" s="7">
        <f t="shared" si="100"/>
        <v>1.5833333262708038</v>
      </c>
      <c r="O229" s="7"/>
      <c r="P229" s="7"/>
      <c r="Q229" s="22"/>
      <c r="R229" s="173"/>
      <c r="S229" s="176">
        <f t="shared" si="101"/>
        <v>0</v>
      </c>
      <c r="T229" s="202" t="e">
        <f t="shared" si="87"/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 t="shared" si="88"/>
        <v>https://d0f6bd738d7f1b3e5a7ca70fe4ff75f0.us-east-1.aws.found.io/app/kibana#/discover/Steve-Slow-Train-Analysis-(2080s-and-2083s)?_g=(refreshInterval:(display:Off,pause:!f,section:0,value:0),time:(from:'2017-06-09T10:10:06-0600',mode:absolute,to:'2017-06-09T12:14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9" s="204" t="str">
        <f t="shared" si="89"/>
        <v>Y</v>
      </c>
      <c r="X229" s="204" t="e">
        <f t="shared" si="90"/>
        <v>#VALUE!</v>
      </c>
      <c r="Y229" s="204">
        <f t="shared" si="102"/>
        <v>0.31709999999999999</v>
      </c>
      <c r="Z229" s="204">
        <f t="shared" si="103"/>
        <v>0.11650000000000001</v>
      </c>
      <c r="AA229" s="204">
        <f t="shared" si="91"/>
        <v>0.2006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92"/>
        <v>54-09</v>
      </c>
      <c r="AE229" s="80" t="str">
        <f t="shared" si="93"/>
        <v>aws s3 cp s3://rtdc.mdm.uploadarchive.raw/RTDC4061/ "%USERPROFILE%\AppData\Local\Temp\OnboardLogs"\RTDC4061\2017-06-09 --exclude "*" --recursive --include "*20170609*" &amp; "%USERPROFILE%\Documents\GitHub\mrs-test-scripts\Headless Mode &amp; Sideloading\WalkAndUnGZ.bat" "%USERPROFILE%\AppData\Local\Temp\OnboardLogs"\RTDC4061\2017-06-09 &amp; 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</v>
      </c>
      <c r="AF229" s="77" t="str">
        <f t="shared" si="94"/>
        <v>"C:\Program Files (x86)\AstroGrep\AstroGrep.exe" /e /r /s /spath="%USERPROFILE%\AppData\Local\Temp\OnboardLogs" /stypes="app*4061*20170609*" /stext=" 17:.+((SYSTEM_STATE.+slice.+state.+changed )|(ment ac)|(multiple cpu faults)|(system.+state.+changed )|(\[timeout)|(PRM\|1\|D)|(kpr)|(kdp)|(train st.+moving)|(\|lc)|(penalty))"</v>
      </c>
      <c r="AG229" s="1" t="str">
        <f t="shared" si="95"/>
        <v>Other</v>
      </c>
      <c r="AH229" s="81" t="str">
        <f t="shared" si="96"/>
        <v>"%USERPROFILE%\Documents\GitHub\eaglep3\Utilities\RefineRTDCRunTimes.py" --tripid 54-09 --locoid 4061 --swversion DE.1.0.9.0 --startMP 204:3171 --initTime 2017-06-09T11:10:06 --startdatetime 2017-06-09T11:12:57 --delay 1 --endMP 204:1165 --enddatetime 2017-06-09T11:14:32 --enforcementcount 0 &gt;&gt;C:\Users\stu\Documents\GitHub\eaglep3-reporting\EC\2017-06-09-refined-times.txt</v>
      </c>
      <c r="AI229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{"issue":{"subject":"","project_id":79,"tracker_id":40,"status_id":1,"priority_id":2,"assigned_to_id":23,"start_date":"2017-06-09","description":"","custom_fields":[{"id":1,"name":"Subdivision","value":"Other"},{"id":4,"name":"Milepost","value":"0.1165"},{"id":17,"name":"Train ID","value":"54-09"},{"id":16,"name":"Locomotive ID","value":"4061"},{"id":130,"name":"Impact","value":""},{"id":150,"name":"Time of Event (Mountain Time)","value":"11:14:32"},{"id":151,"name":"Denver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98"/>
        <v>start /low /b %USERPROFILE%\Documents\GitHub\eaglep3\Utilities\DownloadLogsFromS3.py --loco 4061 --day 2017-06-09</v>
      </c>
      <c r="AN229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17:14:32"},{"id":29,"name":"Sharepoint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719</v>
      </c>
      <c r="B230" s="7">
        <v>4062</v>
      </c>
      <c r="C230" s="21" t="s">
        <v>204</v>
      </c>
      <c r="D230" s="21" t="s">
        <v>360</v>
      </c>
      <c r="E230" s="13">
        <v>42895.461608796293</v>
      </c>
      <c r="F230" s="13">
        <v>42895.467326388891</v>
      </c>
      <c r="G230" s="7">
        <v>1</v>
      </c>
      <c r="H230" s="21" t="s">
        <v>911</v>
      </c>
      <c r="I230" s="13">
        <v>42895.468425925923</v>
      </c>
      <c r="J230" s="7">
        <v>0</v>
      </c>
      <c r="K230" s="92" t="str">
        <f t="shared" si="85"/>
        <v>4061/4062</v>
      </c>
      <c r="L230" s="21" t="str">
        <f>VLOOKUP(A230,'Trips&amp;Operators'!$C$1:$G$99999,5,FALSE)</f>
        <v>DE LA ROSA ALEX</v>
      </c>
      <c r="M230" s="6">
        <f t="shared" si="86"/>
        <v>1.0995370321325026E-3</v>
      </c>
      <c r="N230" s="7">
        <f t="shared" si="100"/>
        <v>1.5833333262708038</v>
      </c>
      <c r="O230" s="7"/>
      <c r="P230" s="7"/>
      <c r="Q230" s="22"/>
      <c r="R230" s="173"/>
      <c r="S230" s="176">
        <f t="shared" si="101"/>
        <v>0</v>
      </c>
      <c r="T230" s="202" t="e">
        <f t="shared" si="87"/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 t="shared" si="88"/>
        <v>https://d0f6bd738d7f1b3e5a7ca70fe4ff75f0.us-east-1.aws.found.io/app/kibana#/discover/Steve-Slow-Train-Analysis-(2080s-and-2083s)?_g=(refreshInterval:(display:Off,pause:!f,section:0,value:0),time:(from:'2017-06-09T10:04:43-0600',mode:absolute,to:'2017-06-09T12:14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0" s="204" t="str">
        <f t="shared" si="89"/>
        <v>Y</v>
      </c>
      <c r="X230" s="204" t="e">
        <f t="shared" si="90"/>
        <v>#VALUE!</v>
      </c>
      <c r="Y230" s="204">
        <f t="shared" si="102"/>
        <v>4.4699999999999997E-2</v>
      </c>
      <c r="Z230" s="204">
        <f t="shared" si="103"/>
        <v>0.34910000000000002</v>
      </c>
      <c r="AA230" s="204">
        <f t="shared" si="91"/>
        <v>0.3044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92"/>
        <v>54-09</v>
      </c>
      <c r="AE230" s="80" t="str">
        <f t="shared" si="93"/>
        <v>aws s3 cp s3://rtdc.mdm.uploadarchive.raw/RTDC4062/ "%USERPROFILE%\AppData\Local\Temp\OnboardLogs"\RTDC4062\2017-06-09 --exclude "*" --recursive --include "*20170609*" &amp; "%USERPROFILE%\Documents\GitHub\mrs-test-scripts\Headless Mode &amp; Sideloading\WalkAndUnGZ.bat" "%USERPROFILE%\AppData\Local\Temp\OnboardLogs"\RTDC4062\2017-06-09 &amp; 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</v>
      </c>
      <c r="AF230" s="77" t="str">
        <f t="shared" si="94"/>
        <v>"C:\Program Files (x86)\AstroGrep\AstroGrep.exe" /e /r /s /spath="%USERPROFILE%\AppData\Local\Temp\OnboardLogs" /stypes="app*4062*20170609*" /stext=" 17:.+((SYSTEM_STATE.+slice.+state.+changed )|(ment ac)|(multiple cpu faults)|(system.+state.+changed )|(\[timeout)|(PRM\|1\|D)|(kpr)|(kdp)|(train st.+moving)|(\|lc)|(penalty))"</v>
      </c>
      <c r="AG230" s="1" t="str">
        <f t="shared" si="95"/>
        <v>Other</v>
      </c>
      <c r="AH230" s="81" t="str">
        <f t="shared" si="96"/>
        <v>"%USERPROFILE%\Documents\GitHub\eaglep3\Utilities\RefineRTDCRunTimes.py" --tripid 54-09 --locoid 4062 --swversion DE.1.0.9.0 --startMP 204:447 --initTime 2017-06-09T11:04:43 --startdatetime 2017-06-09T11:12:57 --delay 1 --endMP 204:3491 --enddatetime 2017-06-09T11:14:32 --enforcementcount 0 &gt;&gt;C:\Users\stu\Documents\GitHub\eaglep3-reporting\EC\2017-06-09-refined-times.txt</v>
      </c>
      <c r="AI230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{"issue":{"subject":"","project_id":79,"tracker_id":40,"status_id":1,"priority_id":2,"assigned_to_id":23,"start_date":"2017-06-09","description":"","custom_fields":[{"id":1,"name":"Subdivision","value":"Other"},{"id":4,"name":"Milepost","value":"0.3491"},{"id":17,"name":"Train ID","value":"54-09"},{"id":16,"name":"Locomotive ID","value":"4062"},{"id":130,"name":"Impact","value":""},{"id":150,"name":"Time of Event (Mountain Time)","value":"11:14:32"},{"id":151,"name":"Denver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98"/>
        <v>start /low /b %USERPROFILE%\Documents\GitHub\eaglep3\Utilities\DownloadLogsFromS3.py --loco 4062 --day 2017-06-09</v>
      </c>
      <c r="AN230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17:14:32"},{"id":29,"name":"Sharepoint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726</v>
      </c>
      <c r="B231" s="7">
        <v>4040</v>
      </c>
      <c r="C231" s="21" t="s">
        <v>204</v>
      </c>
      <c r="D231" s="21" t="s">
        <v>397</v>
      </c>
      <c r="E231" s="13">
        <v>42895.482824074075</v>
      </c>
      <c r="F231" s="13">
        <v>42895.484525462962</v>
      </c>
      <c r="G231" s="7">
        <v>1</v>
      </c>
      <c r="H231" s="21" t="s">
        <v>912</v>
      </c>
      <c r="I231" s="13">
        <v>42895.490972222222</v>
      </c>
      <c r="J231" s="7">
        <v>0</v>
      </c>
      <c r="K231" s="92" t="str">
        <f t="shared" si="85"/>
        <v>4039/4040</v>
      </c>
      <c r="L231" s="21" t="str">
        <f>VLOOKUP(A231,'Trips&amp;Operators'!$C$1:$G$99999,5,FALSE)</f>
        <v>GEBRETEKLE DAGNEW</v>
      </c>
      <c r="M231" s="6">
        <f t="shared" si="86"/>
        <v>6.4467592601431534E-3</v>
      </c>
      <c r="N231" s="7">
        <f t="shared" si="100"/>
        <v>9.2833333346061409</v>
      </c>
      <c r="O231" s="7"/>
      <c r="P231" s="7"/>
      <c r="Q231" s="22"/>
      <c r="R231" s="173"/>
      <c r="S231" s="176">
        <f t="shared" si="101"/>
        <v>0</v>
      </c>
      <c r="T231" s="202" t="e">
        <f t="shared" si="87"/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 t="shared" si="88"/>
        <v>https://d0f6bd738d7f1b3e5a7ca70fe4ff75f0.us-east-1.aws.found.io/app/kibana#/discover/Steve-Slow-Train-Analysis-(2080s-and-2083s)?_g=(refreshInterval:(display:Off,pause:!f,section:0,value:0),time:(from:'2017-06-09T10:35:16-0600',mode:absolute,to:'2017-06-09T12:47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1" s="204" t="str">
        <f t="shared" si="89"/>
        <v>Y</v>
      </c>
      <c r="X231" s="204" t="e">
        <f t="shared" si="90"/>
        <v>#VALUE!</v>
      </c>
      <c r="Y231" s="204">
        <f t="shared" si="102"/>
        <v>4.6199999999999998E-2</v>
      </c>
      <c r="Z231" s="204">
        <f t="shared" si="103"/>
        <v>2.4228999999999998</v>
      </c>
      <c r="AA231" s="204">
        <f t="shared" si="91"/>
        <v>2.3767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92"/>
        <v>55-09</v>
      </c>
      <c r="AE231" s="80" t="str">
        <f t="shared" si="93"/>
        <v>aws s3 cp s3://rtdc.mdm.uploadarchive.raw/RTDC4040/ "%USERPROFILE%\AppData\Local\Temp\OnboardLogs"\RTDC4040\2017-06-09 --exclude "*" --recursive --include "*20170609*" &amp; "%USERPROFILE%\Documents\GitHub\mrs-test-scripts\Headless Mode &amp; Sideloading\WalkAndUnGZ.bat" "%USERPROFILE%\AppData\Local\Temp\OnboardLogs"\RTDC4040\2017-06-09 &amp; aws s3 cp s3://rtdc.mdm.uploadarchive.raw/RTDC4040/ "%USERPROFILE%\AppData\Local\Temp\OnboardLogs"\RTDC4040\2017-06-10 --exclude "*" --recursive --include "*20170610*" &amp; "%USERPROFILE%\Documents\GitHub\mrs-test-scripts\Headless Mode &amp; Sideloading\WalkAndUnGZ.bat" "%USERPROFILE%\AppData\Local\Temp\OnboardLogs"\RTDC4040\2017-06-10</v>
      </c>
      <c r="AF231" s="77" t="str">
        <f t="shared" si="94"/>
        <v>"C:\Program Files (x86)\AstroGrep\AstroGrep.exe" /e /r /s /spath="%USERPROFILE%\AppData\Local\Temp\OnboardLogs" /stypes="app*4040*20170609*" /stext=" 17:.+((SYSTEM_STATE.+slice.+state.+changed )|(ment ac)|(multiple cpu faults)|(system.+state.+changed )|(\[timeout)|(PRM\|1\|D)|(kpr)|(kdp)|(train st.+moving)|(\|lc)|(penalty))"</v>
      </c>
      <c r="AG231" s="1" t="str">
        <f t="shared" si="95"/>
        <v>Other</v>
      </c>
      <c r="AH231" s="81" t="str">
        <f t="shared" si="96"/>
        <v>"%USERPROFILE%\Documents\GitHub\eaglep3\Utilities\RefineRTDCRunTimes.py" --tripid 55-09 --locoid 4040 --swversion DE.1.0.9.0 --startMP 204:462 --initTime 2017-06-09T11:35:16 --startdatetime 2017-06-09T11:37:43 --delay 1 --endMP 300:24229 --enddatetime 2017-06-09T11:47:00 --enforcementcount 0 &gt;&gt;C:\Users\stu\Documents\GitHub\eaglep3-reporting\EC\2017-06-09-refined-times.txt</v>
      </c>
      <c r="AI231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{"issue":{"subject":"","project_id":79,"tracker_id":40,"status_id":1,"priority_id":2,"assigned_to_id":23,"start_date":"2017-06-09","description":"","custom_fields":[{"id":1,"name":"Subdivision","value":"Other"},{"id":4,"name":"Milepost","value":"2.4229"},{"id":17,"name":"Train ID","value":"55-09"},{"id":16,"name":"Locomotive ID","value":"4040"},{"id":130,"name":"Impact","value":""},{"id":150,"name":"Time of Event (Mountain Time)","value":"11:47:00"},{"id":151,"name":"Denver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98"/>
        <v>start /low /b %USERPROFILE%\Documents\GitHub\eaglep3\Utilities\DownloadLogsFromS3.py --loco 4040 --day 2017-06-09</v>
      </c>
      <c r="AN231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17:47:00"},{"id":29,"name":"Sharepoint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802</v>
      </c>
      <c r="B232" s="7">
        <v>4021</v>
      </c>
      <c r="C232" s="21" t="s">
        <v>204</v>
      </c>
      <c r="D232" s="21" t="s">
        <v>913</v>
      </c>
      <c r="E232" s="13">
        <v>42895.840833333335</v>
      </c>
      <c r="F232" s="13">
        <v>42895.842893518522</v>
      </c>
      <c r="G232" s="7">
        <v>2</v>
      </c>
      <c r="H232" s="21" t="s">
        <v>195</v>
      </c>
      <c r="I232" s="13">
        <v>42895.844293981485</v>
      </c>
      <c r="J232" s="7">
        <v>0</v>
      </c>
      <c r="K232" s="92" t="str">
        <f t="shared" si="85"/>
        <v>4021/4022</v>
      </c>
      <c r="L232" s="21" t="str">
        <f>VLOOKUP(A232,'Trips&amp;Operators'!$C$1:$G$99999,5,FALSE)</f>
        <v>SULLIVAN BRANDON</v>
      </c>
      <c r="M232" s="6">
        <f t="shared" si="86"/>
        <v>1.4004629629198462E-3</v>
      </c>
      <c r="N232" s="7">
        <f t="shared" si="100"/>
        <v>2.0166666666045785</v>
      </c>
      <c r="O232" s="7"/>
      <c r="P232" s="7"/>
      <c r="Q232" s="22"/>
      <c r="R232" s="173"/>
      <c r="S232" s="176">
        <f t="shared" si="101"/>
        <v>0</v>
      </c>
      <c r="T232" s="202" t="e">
        <f t="shared" si="87"/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 t="shared" si="88"/>
        <v>https://d0f6bd738d7f1b3e5a7ca70fe4ff75f0.us-east-1.aws.found.io/app/kibana#/discover/Steve-Slow-Train-Analysis-(2080s-and-2083s)?_g=(refreshInterval:(display:Off,pause:!f,section:0,value:0),time:(from:'2017-06-09T19:10:48-0600',mode:absolute,to:'2017-06-09T21:15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2" s="204" t="str">
        <f t="shared" si="89"/>
        <v>Y</v>
      </c>
      <c r="X232" s="204" t="e">
        <f t="shared" si="90"/>
        <v>#VALUE!</v>
      </c>
      <c r="Y232" s="204">
        <f t="shared" si="102"/>
        <v>0.34449999999999997</v>
      </c>
      <c r="Z232" s="204">
        <f t="shared" si="103"/>
        <v>1.52E-2</v>
      </c>
      <c r="AA232" s="204">
        <f t="shared" si="91"/>
        <v>0.32929999999999998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92"/>
        <v>56-09</v>
      </c>
      <c r="AE232" s="80" t="str">
        <f t="shared" si="93"/>
        <v>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 &amp; 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</v>
      </c>
      <c r="AF232" s="77" t="str">
        <f t="shared" si="94"/>
        <v>"C:\Program Files (x86)\AstroGrep\AstroGrep.exe" /e /r /s /spath="%USERPROFILE%\AppData\Local\Temp\OnboardLogs" /stypes="app*4021*20170610*" /stext=" 02:.+((SYSTEM_STATE.+slice.+state.+changed )|(ment ac)|(multiple cpu faults)|(system.+state.+changed )|(\[timeout)|(PRM\|1\|D)|(kpr)|(kdp)|(train st.+moving)|(\|lc)|(penalty))"</v>
      </c>
      <c r="AG232" s="1" t="str">
        <f t="shared" si="95"/>
        <v>Other</v>
      </c>
      <c r="AH232" s="81" t="str">
        <f t="shared" si="96"/>
        <v>"%USERPROFILE%\Documents\GitHub\eaglep3\Utilities\RefineRTDCRunTimes.py" --tripid 56-09 --locoid 4021 --swversion DE.1.0.9.0 --startMP 204:3445 --initTime 2017-06-09T20:10:48 --startdatetime 2017-06-09T20:13:46 --delay 2 --endMP 204:152 --enddatetime 2017-06-09T20:15:47 --enforcementcount 0 &gt;&gt;C:\Users\stu\Documents\GitHub\eaglep3-reporting\EC\2017-06-09-refined-times.txt</v>
      </c>
      <c r="AI232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{"issue":{"subject":"","project_id":79,"tracker_id":40,"status_id":1,"priority_id":2,"assigned_to_id":23,"start_date":"2017-06-09","description":"","custom_fields":[{"id":1,"name":"Subdivision","value":"Other"},{"id":4,"name":"Milepost","value":"0.0152"},{"id":17,"name":"Train ID","value":"56-09"},{"id":16,"name":"Locomotive ID","value":"4021"},{"id":130,"name":"Impact","value":""},{"id":150,"name":"Time of Event (Mountain Time)","value":"20:15:47"},{"id":151,"name":"Denver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98"/>
        <v>start /low /b %USERPROFILE%\Documents\GitHub\eaglep3\Utilities\DownloadLogsFromS3.py --loco 4021 --day 2017-06-09</v>
      </c>
      <c r="AN232" s="154" t="str">
        <f t="shared" si="99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02:15:47"},{"id":29,"name":"Sharepoint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802</v>
      </c>
      <c r="B233" s="7">
        <v>4022</v>
      </c>
      <c r="C233" s="21" t="s">
        <v>204</v>
      </c>
      <c r="D233" s="21" t="s">
        <v>914</v>
      </c>
      <c r="E233" s="13">
        <v>42895.830659722225</v>
      </c>
      <c r="F233" s="13">
        <v>42895.842893518522</v>
      </c>
      <c r="G233" s="7">
        <v>1</v>
      </c>
      <c r="H233" s="21" t="s">
        <v>915</v>
      </c>
      <c r="I233" s="13">
        <v>42895.844293981485</v>
      </c>
      <c r="J233" s="7">
        <v>0</v>
      </c>
      <c r="K233" s="92" t="str">
        <f t="shared" si="85"/>
        <v>4021/4022</v>
      </c>
      <c r="L233" s="21" t="str">
        <f>VLOOKUP(A233,'Trips&amp;Operators'!$C$1:$G$99999,5,FALSE)</f>
        <v>SULLIVAN BRANDON</v>
      </c>
      <c r="M233" s="6">
        <f t="shared" si="86"/>
        <v>1.4004629629198462E-3</v>
      </c>
      <c r="N233" s="7">
        <f t="shared" si="100"/>
        <v>2.0166666666045785</v>
      </c>
      <c r="O233" s="7"/>
      <c r="P233" s="7"/>
      <c r="Q233" s="22"/>
      <c r="R233" s="173"/>
      <c r="S233" s="176">
        <f t="shared" si="101"/>
        <v>0</v>
      </c>
      <c r="T233" s="202" t="e">
        <f t="shared" si="87"/>
        <v>#VALUE!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03" t="str">
        <f t="shared" si="88"/>
        <v>https://d0f6bd738d7f1b3e5a7ca70fe4ff75f0.us-east-1.aws.found.io/app/kibana#/discover/Steve-Slow-Train-Analysis-(2080s-and-2083s)?_g=(refreshInterval:(display:Off,pause:!f,section:0,value:0),time:(from:'2017-06-09T18:56:09-0600',mode:absolute,to:'2017-06-09T21:15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3" s="204" t="str">
        <f t="shared" si="89"/>
        <v>Y</v>
      </c>
      <c r="X233" s="204" t="e">
        <f t="shared" si="90"/>
        <v>#VALUE!</v>
      </c>
      <c r="Y233" s="204">
        <f t="shared" si="102"/>
        <v>0.11600000000000001</v>
      </c>
      <c r="Z233" s="204">
        <f t="shared" si="103"/>
        <v>0.37469999999999998</v>
      </c>
      <c r="AA233" s="204">
        <f t="shared" si="91"/>
        <v>0.25869999999999999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92"/>
        <v>56-09</v>
      </c>
      <c r="AE233" s="80" t="str">
        <f t="shared" si="93"/>
        <v>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 &amp; 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</v>
      </c>
      <c r="AF233" s="77" t="str">
        <f t="shared" si="94"/>
        <v>"C:\Program Files (x86)\AstroGrep\AstroGrep.exe" /e /r /s /spath="%USERPROFILE%\AppData\Local\Temp\OnboardLogs" /stypes="app*4022*20170610*" /stext=" 02:.+((SYSTEM_STATE.+slice.+state.+changed )|(ment ac)|(multiple cpu faults)|(system.+state.+changed )|(\[timeout)|(PRM\|1\|D)|(kpr)|(kdp)|(train st.+moving)|(\|lc)|(penalty))"</v>
      </c>
      <c r="AG233" s="1" t="str">
        <f t="shared" si="95"/>
        <v>Other</v>
      </c>
      <c r="AH233" s="81" t="str">
        <f t="shared" si="96"/>
        <v>"%USERPROFILE%\Documents\GitHub\eaglep3\Utilities\RefineRTDCRunTimes.py" --tripid 56-09 --locoid 4022 --swversion DE.1.0.9.0 --startMP 204:1160 --initTime 2017-06-09T19:56:09 --startdatetime 2017-06-09T20:13:46 --delay 1 --endMP 204:3747 --enddatetime 2017-06-09T20:15:47 --enforcementcount 0 &gt;&gt;C:\Users\stu\Documents\GitHub\eaglep3-reporting\EC\2017-06-09-refined-times.txt</v>
      </c>
      <c r="AI233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{"issue":{"subject":"","project_id":79,"tracker_id":40,"status_id":1,"priority_id":2,"assigned_to_id":23,"start_date":"2017-06-09","description":"","custom_fields":[{"id":1,"name":"Subdivision","value":"Other"},{"id":4,"name":"Milepost","value":"0.3747"},{"id":17,"name":"Train ID","value":"56-09"},{"id":16,"name":"Locomotive ID","value":"4022"},{"id":130,"name":"Impact","value":""},{"id":150,"name":"Time of Event (Mountain Time)","value":"20:15:47"},{"id":151,"name":"Denver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98"/>
        <v>start /low /b %USERPROFILE%\Documents\GitHub\eaglep3\Utilities\DownloadLogsFromS3.py --loco 4022 --day 2017-06-09</v>
      </c>
      <c r="AN233" s="154" t="str">
        <f t="shared" si="99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02:15:47"},{"id":29,"name":"Sharepoint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819</v>
      </c>
      <c r="B234" s="7">
        <v>4054</v>
      </c>
      <c r="C234" s="21" t="s">
        <v>204</v>
      </c>
      <c r="D234" s="21" t="s">
        <v>916</v>
      </c>
      <c r="E234" s="13">
        <v>42895.964791666665</v>
      </c>
      <c r="F234" s="13">
        <v>42895.966412037036</v>
      </c>
      <c r="G234" s="7">
        <v>1</v>
      </c>
      <c r="H234" s="21" t="s">
        <v>917</v>
      </c>
      <c r="I234" s="13">
        <v>42895.967280092591</v>
      </c>
      <c r="J234" s="7">
        <v>0</v>
      </c>
      <c r="K234" s="92" t="str">
        <f t="shared" si="85"/>
        <v>4053/4054</v>
      </c>
      <c r="L234" s="21" t="str">
        <f>VLOOKUP(A234,'Trips&amp;Operators'!$C$1:$G$99999,5,FALSE)</f>
        <v>SULLIVAN BRANDON</v>
      </c>
      <c r="M234" s="6">
        <f t="shared" si="86"/>
        <v>8.6805555474711582E-4</v>
      </c>
      <c r="N234" s="7">
        <f t="shared" si="100"/>
        <v>1.2499999988358468</v>
      </c>
      <c r="O234" s="7"/>
      <c r="P234" s="7"/>
      <c r="Q234" s="22"/>
      <c r="R234" s="173"/>
      <c r="S234" s="176">
        <f t="shared" si="101"/>
        <v>0</v>
      </c>
      <c r="T234" s="202" t="e">
        <f t="shared" si="87"/>
        <v>#VALUE!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03" t="str">
        <f t="shared" si="88"/>
        <v>https://d0f6bd738d7f1b3e5a7ca70fe4ff75f0.us-east-1.aws.found.io/app/kibana#/discover/Steve-Slow-Train-Analysis-(2080s-and-2083s)?_g=(refreshInterval:(display:Off,pause:!f,section:0,value:0),time:(from:'2017-06-09T22:09:18-0600',mode:absolute,to:'2017-06-10T00:12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4" s="204" t="str">
        <f t="shared" si="89"/>
        <v>Y</v>
      </c>
      <c r="X234" s="204" t="e">
        <f t="shared" si="90"/>
        <v>#VALUE!</v>
      </c>
      <c r="Y234" s="204">
        <f t="shared" si="102"/>
        <v>0.1239</v>
      </c>
      <c r="Z234" s="204">
        <f t="shared" si="103"/>
        <v>0.35680000000000001</v>
      </c>
      <c r="AA234" s="204">
        <f t="shared" si="91"/>
        <v>0.2329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92"/>
        <v>67-09</v>
      </c>
      <c r="AE234" s="80" t="str">
        <f t="shared" si="93"/>
        <v>aws s3 cp s3://rtdc.mdm.uploadarchive.raw/RTDC4054/ "%USERPROFILE%\AppData\Local\Temp\OnboardLogs"\RTDC4054\2017-06-09 --exclude "*" --recursive --include "*20170609*" &amp; "%USERPROFILE%\Documents\GitHub\mrs-test-scripts\Headless Mode &amp; Sideloading\WalkAndUnGZ.bat" "%USERPROFILE%\AppData\Local\Temp\OnboardLogs"\RTDC4054\2017-06-09 &amp; 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</v>
      </c>
      <c r="AF234" s="77" t="str">
        <f t="shared" si="94"/>
        <v>"C:\Program Files (x86)\AstroGrep\AstroGrep.exe" /e /r /s /spath="%USERPROFILE%\AppData\Local\Temp\OnboardLogs" /stypes="app*4054*20170610*" /stext=" 05:.+((SYSTEM_STATE.+slice.+state.+changed )|(ment ac)|(multiple cpu faults)|(system.+state.+changed )|(\[timeout)|(PRM\|1\|D)|(kpr)|(kdp)|(train st.+moving)|(\|lc)|(penalty))"</v>
      </c>
      <c r="AG234" s="1" t="str">
        <f t="shared" si="95"/>
        <v>Other</v>
      </c>
      <c r="AH234" s="81" t="str">
        <f t="shared" si="96"/>
        <v>"%USERPROFILE%\Documents\GitHub\eaglep3\Utilities\RefineRTDCRunTimes.py" --tripid 67-09 --locoid 4054 --swversion DE.1.0.9.0 --startMP 204:1239 --initTime 2017-06-09T23:09:18 --startdatetime 2017-06-09T23:11:38 --delay 1 --endMP 204:3568 --enddatetime 2017-06-09T23:12:53 --enforcementcount 0 &gt;&gt;C:\Users\stu\Documents\GitHub\eaglep3-reporting\EC\2017-06-09-refined-times.txt</v>
      </c>
      <c r="AI234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{"issue":{"subject":"","project_id":79,"tracker_id":40,"status_id":1,"priority_id":2,"assigned_to_id":23,"start_date":"2017-06-09","description":"","custom_fields":[{"id":1,"name":"Subdivision","value":"Other"},{"id":4,"name":"Milepost","value":"0.3568"},{"id":17,"name":"Train ID","value":"67-09"},{"id":16,"name":"Locomotive ID","value":"4054"},{"id":130,"name":"Impact","value":""},{"id":150,"name":"Time of Event (Mountain Time)","value":"23:12:53"},{"id":151,"name":"Denver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98"/>
        <v>start /low /b %USERPROFILE%\Documents\GitHub\eaglep3\Utilities\DownloadLogsFromS3.py --loco 4054 --day 2017-06-09</v>
      </c>
      <c r="AN234" s="154" t="str">
        <f t="shared" si="99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05:12:53"},{"id":29,"name":"Sharepoint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821</v>
      </c>
      <c r="B235" s="7">
        <v>4053</v>
      </c>
      <c r="C235" s="21" t="s">
        <v>204</v>
      </c>
      <c r="D235" s="21" t="s">
        <v>918</v>
      </c>
      <c r="E235" s="13">
        <v>42895.968101851853</v>
      </c>
      <c r="F235" s="13">
        <v>42895.969502314816</v>
      </c>
      <c r="G235" s="7">
        <v>1</v>
      </c>
      <c r="H235" s="21" t="s">
        <v>401</v>
      </c>
      <c r="I235" s="13">
        <v>42895.97079861111</v>
      </c>
      <c r="J235" s="7">
        <v>0</v>
      </c>
      <c r="K235" s="92" t="str">
        <f t="shared" si="85"/>
        <v>4053/4054</v>
      </c>
      <c r="L235" s="21" t="str">
        <f>VLOOKUP(A235,'Trips&amp;Operators'!$C$1:$G$99999,5,FALSE)</f>
        <v>SULLIVAN BRANDON</v>
      </c>
      <c r="M235" s="6">
        <f t="shared" si="86"/>
        <v>1.2962962937308475E-3</v>
      </c>
      <c r="N235" s="7">
        <f t="shared" si="100"/>
        <v>1.8666666629724205</v>
      </c>
      <c r="O235" s="7"/>
      <c r="P235" s="7"/>
      <c r="Q235" s="22"/>
      <c r="R235" s="173"/>
      <c r="S235" s="176">
        <f t="shared" si="101"/>
        <v>0</v>
      </c>
      <c r="T235" s="202" t="e">
        <f t="shared" si="87"/>
        <v>#VALUE!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03" t="str">
        <f t="shared" si="88"/>
        <v>https://d0f6bd738d7f1b3e5a7ca70fe4ff75f0.us-east-1.aws.found.io/app/kibana#/discover/Steve-Slow-Train-Analysis-(2080s-and-2083s)?_g=(refreshInterval:(display:Off,pause:!f,section:0,value:0),time:(from:'2017-06-09T22:14:04-0600',mode:absolute,to:'2017-06-10T00:17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5" s="204" t="str">
        <f t="shared" si="89"/>
        <v>Y</v>
      </c>
      <c r="X235" s="204" t="e">
        <f t="shared" si="90"/>
        <v>#VALUE!</v>
      </c>
      <c r="Y235" s="204">
        <f t="shared" si="102"/>
        <v>0.3231</v>
      </c>
      <c r="Z235" s="204">
        <f t="shared" si="103"/>
        <v>1.54E-2</v>
      </c>
      <c r="AA235" s="204">
        <f t="shared" si="91"/>
        <v>0.30769999999999997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92"/>
        <v>68-09</v>
      </c>
      <c r="AE235" s="80" t="str">
        <f t="shared" si="93"/>
        <v>aws s3 cp s3://rtdc.mdm.uploadarchive.raw/RTDC4053/ "%USERPROFILE%\AppData\Local\Temp\OnboardLogs"\RTDC4053\2017-06-09 --exclude "*" --recursive --include "*20170609*" &amp; "%USERPROFILE%\Documents\GitHub\mrs-test-scripts\Headless Mode &amp; Sideloading\WalkAndUnGZ.bat" "%USERPROFILE%\AppData\Local\Temp\OnboardLogs"\RTDC4053\2017-06-09 &amp; aws s3 cp s3://rtdc.mdm.uploadarchive.raw/RTDC4053/ "%USERPROFILE%\AppData\Local\Temp\OnboardLogs"\RTDC4053\2017-06-10 --exclude "*" --recursive --include "*20170610*" &amp; "%USERPROFILE%\Documents\GitHub\mrs-test-scripts\Headless Mode &amp; Sideloading\WalkAndUnGZ.bat" "%USERPROFILE%\AppData\Local\Temp\OnboardLogs"\RTDC4053\2017-06-10</v>
      </c>
      <c r="AF235" s="77" t="str">
        <f t="shared" si="94"/>
        <v>"C:\Program Files (x86)\AstroGrep\AstroGrep.exe" /e /r /s /spath="%USERPROFILE%\AppData\Local\Temp\OnboardLogs" /stypes="app*4053*20170610*" /stext=" 05:.+((SYSTEM_STATE.+slice.+state.+changed )|(ment ac)|(multiple cpu faults)|(system.+state.+changed )|(\[timeout)|(PRM\|1\|D)|(kpr)|(kdp)|(train st.+moving)|(\|lc)|(penalty))"</v>
      </c>
      <c r="AG235" s="1" t="str">
        <f t="shared" si="95"/>
        <v>Other</v>
      </c>
      <c r="AH235" s="81" t="str">
        <f t="shared" si="96"/>
        <v>"%USERPROFILE%\Documents\GitHub\eaglep3\Utilities\RefineRTDCRunTimes.py" --tripid 68-09 --locoid 4053 --swversion DE.1.0.9.0 --startMP 204:3231 --initTime 2017-06-09T23:14:04 --startdatetime 2017-06-09T23:16:05 --delay 1 --endMP 204:154 --enddatetime 2017-06-09T23:17:57 --enforcementcount 0 &gt;&gt;C:\Users\stu\Documents\GitHub\eaglep3-reporting\EC\2017-06-09-refined-times.txt</v>
      </c>
      <c r="AI235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{"issue":{"subject":"","project_id":79,"tracker_id":40,"status_id":1,"priority_id":2,"assigned_to_id":23,"start_date":"2017-06-09","description":"","custom_fields":[{"id":1,"name":"Subdivision","value":"Other"},{"id":4,"name":"Milepost","value":"0.0154"},{"id":17,"name":"Train ID","value":"68-09"},{"id":16,"name":"Locomotive ID","value":"4053"},{"id":130,"name":"Impact","value":""},{"id":150,"name":"Time of Event (Mountain Time)","value":"23:17:57"},{"id":151,"name":"Denver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98"/>
        <v>start /low /b %USERPROFILE%\Documents\GitHub\eaglep3\Utilities\DownloadLogsFromS3.py --loco 4053 --day 2017-06-09</v>
      </c>
      <c r="AN235" s="154" t="str">
        <f t="shared" si="99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05:17:57"},{"id":29,"name":"Sharepoint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779</v>
      </c>
      <c r="B236" s="7">
        <v>4021</v>
      </c>
      <c r="C236" s="21" t="s">
        <v>204</v>
      </c>
      <c r="D236" s="21" t="s">
        <v>919</v>
      </c>
      <c r="E236" s="13">
        <v>42895.735509259262</v>
      </c>
      <c r="F236" s="13">
        <v>42895.744571759256</v>
      </c>
      <c r="G236" s="7">
        <v>12</v>
      </c>
      <c r="H236" s="21" t="s">
        <v>920</v>
      </c>
      <c r="I236" s="13">
        <v>42895.752881944441</v>
      </c>
      <c r="J236" s="7">
        <v>0</v>
      </c>
      <c r="K236" s="92" t="str">
        <f t="shared" si="85"/>
        <v>4021/4022</v>
      </c>
      <c r="L236" s="21" t="str">
        <f>VLOOKUP(A236,'Trips&amp;Operators'!$C$1:$G$99999,5,FALSE)</f>
        <v>SULLIVAN BRANDON</v>
      </c>
      <c r="M236" s="6">
        <f t="shared" si="86"/>
        <v>8.3101851851097308E-3</v>
      </c>
      <c r="N236" s="7">
        <f t="shared" si="100"/>
        <v>11.966666666558012</v>
      </c>
      <c r="O236" s="7"/>
      <c r="P236" s="7"/>
      <c r="Q236" s="22"/>
      <c r="R236" s="173"/>
      <c r="S236" s="176">
        <f t="shared" si="101"/>
        <v>0</v>
      </c>
      <c r="T236" s="202" t="e">
        <f t="shared" si="87"/>
        <v>#VALUE!</v>
      </c>
      <c r="U236" s="20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03" t="str">
        <f t="shared" si="88"/>
        <v>https://d0f6bd738d7f1b3e5a7ca70fe4ff75f0.us-east-1.aws.found.io/app/kibana#/discover/Steve-Slow-Train-Analysis-(2080s-and-2083s)?_g=(refreshInterval:(display:Off,pause:!f,section:0,value:0),time:(from:'2017-06-09T16:39:08-0600',mode:absolute,to:'2017-06-09T19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6" s="204" t="str">
        <f t="shared" si="89"/>
        <v>Y</v>
      </c>
      <c r="X236" s="204" t="e">
        <f t="shared" si="90"/>
        <v>#VALUE!</v>
      </c>
      <c r="Y236" s="204">
        <f t="shared" si="102"/>
        <v>2.3567</v>
      </c>
      <c r="Z236" s="204">
        <f t="shared" si="103"/>
        <v>9.3899999999999997E-2</v>
      </c>
      <c r="AA236" s="204">
        <f t="shared" si="91"/>
        <v>2.2627999999999999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92"/>
        <v>70-09</v>
      </c>
      <c r="AE236" s="80" t="str">
        <f t="shared" si="93"/>
        <v>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 &amp; 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</v>
      </c>
      <c r="AF236" s="77" t="str">
        <f t="shared" si="94"/>
        <v>"C:\Program Files (x86)\AstroGrep\AstroGrep.exe" /e /r /s /spath="%USERPROFILE%\AppData\Local\Temp\OnboardLogs" /stypes="app*4021*20170610*" /stext=" 00:.+((SYSTEM_STATE.+slice.+state.+changed )|(ment ac)|(multiple cpu faults)|(system.+state.+changed )|(\[timeout)|(PRM\|1\|D)|(kpr)|(kdp)|(train st.+moving)|(\|lc)|(penalty))"</v>
      </c>
      <c r="AG236" s="1" t="str">
        <f t="shared" si="95"/>
        <v>Other</v>
      </c>
      <c r="AH236" s="81" t="str">
        <f t="shared" si="96"/>
        <v>"%USERPROFILE%\Documents\GitHub\eaglep3\Utilities\RefineRTDCRunTimes.py" --tripid 70-09 --locoid 4021 --swversion DE.1.0.9.0 --startMP 300:23567 --initTime 2017-06-09T17:39:08 --startdatetime 2017-06-09T17:52:11 --delay 12 --endMP 204:939 --enddatetime 2017-06-09T18:04:09 --enforcementcount 0 &gt;&gt;C:\Users\stu\Documents\GitHub\eaglep3-reporting\EC\2017-06-09-refined-times.txt</v>
      </c>
      <c r="AI236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{"issue":{"subject":"","project_id":79,"tracker_id":40,"status_id":1,"priority_id":2,"assigned_to_id":23,"start_date":"2017-06-09","description":"","custom_fields":[{"id":1,"name":"Subdivision","value":"Other"},{"id":4,"name":"Milepost","value":"0.0939"},{"id":17,"name":"Train ID","value":"70-09"},{"id":16,"name":"Locomotive ID","value":"4021"},{"id":130,"name":"Impact","value":""},{"id":150,"name":"Time of Event (Mountain Time)","value":"18:04:09"},{"id":151,"name":"Denver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98"/>
        <v>start /low /b %USERPROFILE%\Documents\GitHub\eaglep3\Utilities\DownloadLogsFromS3.py --loco 4021 --day 2017-06-09</v>
      </c>
      <c r="AN236" s="154" t="str">
        <f t="shared" si="99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00:04:09"},{"id":29,"name":"Sharepoint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s="20" customFormat="1" x14ac:dyDescent="0.25">
      <c r="A237" s="32" t="s">
        <v>622</v>
      </c>
      <c r="B237" s="7">
        <v>4062</v>
      </c>
      <c r="C237" s="21" t="s">
        <v>204</v>
      </c>
      <c r="D237" s="21" t="s">
        <v>921</v>
      </c>
      <c r="E237" s="13">
        <v>42895.719594907408</v>
      </c>
      <c r="F237" s="13">
        <v>42895.736168981479</v>
      </c>
      <c r="G237" s="7">
        <v>1</v>
      </c>
      <c r="H237" s="21" t="s">
        <v>922</v>
      </c>
      <c r="I237" s="13">
        <v>42895.740671296298</v>
      </c>
      <c r="J237" s="7">
        <v>0</v>
      </c>
      <c r="K237" s="92" t="str">
        <f t="shared" si="85"/>
        <v>4061/4062</v>
      </c>
      <c r="L237" s="21" t="str">
        <f>VLOOKUP(A237,'Trips&amp;Operators'!$C$1:$G$99999,5,FALSE)</f>
        <v>CHANDLER KELVIN</v>
      </c>
      <c r="M237" s="6">
        <f t="shared" si="86"/>
        <v>4.5023148195468821E-3</v>
      </c>
      <c r="N237" s="7"/>
      <c r="O237" s="7"/>
      <c r="P237" s="7">
        <f>24*60*SUM($M237:$M237)</f>
        <v>6.4833333401475102</v>
      </c>
      <c r="Q237" s="22"/>
      <c r="R237" s="173" t="s">
        <v>1013</v>
      </c>
      <c r="S237" s="176">
        <f t="shared" si="101"/>
        <v>0</v>
      </c>
      <c r="T237" s="202" t="e">
        <f t="shared" si="87"/>
        <v>#VALUE!</v>
      </c>
      <c r="U237" s="20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03" t="str">
        <f t="shared" si="88"/>
        <v>https://d0f6bd738d7f1b3e5a7ca70fe4ff75f0.us-east-1.aws.found.io/app/kibana#/discover/Steve-Slow-Train-Analysis-(2080s-and-2083s)?_g=(refreshInterval:(display:Off,pause:!f,section:0,value:0),time:(from:'2017-06-09T16:16:13-0600',mode:absolute,to:'2017-06-09T18:46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7" s="204" t="str">
        <f t="shared" si="89"/>
        <v>Y</v>
      </c>
      <c r="X237" s="204" t="e">
        <f t="shared" si="90"/>
        <v>#VALUE!</v>
      </c>
      <c r="Y237" s="204">
        <f t="shared" si="102"/>
        <v>0.14829999999999999</v>
      </c>
      <c r="Z237" s="204">
        <f t="shared" si="103"/>
        <v>0.17710000000000001</v>
      </c>
      <c r="AA237" s="204">
        <f t="shared" si="91"/>
        <v>2.880000000000002E-2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92"/>
        <v>71-09</v>
      </c>
      <c r="AE237" s="80" t="str">
        <f t="shared" si="93"/>
        <v>aws s3 cp s3://rtdc.mdm.uploadarchive.raw/RTDC4062/ "%USERPROFILE%\AppData\Local\Temp\OnboardLogs"\RTDC4062\2017-06-09 --exclude "*" --recursive --include "*20170609*" &amp; "%USERPROFILE%\Documents\GitHub\mrs-test-scripts\Headless Mode &amp; Sideloading\WalkAndUnGZ.bat" "%USERPROFILE%\AppData\Local\Temp\OnboardLogs"\RTDC4062\2017-06-09 &amp; 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</v>
      </c>
      <c r="AF237" s="77" t="str">
        <f t="shared" si="94"/>
        <v>"C:\Program Files (x86)\AstroGrep\AstroGrep.exe" /e /r /s /spath="%USERPROFILE%\AppData\Local\Temp\OnboardLogs" /stypes="app*4062*20170609*" /stext=" 23:.+((SYSTEM_STATE.+slice.+state.+changed )|(ment ac)|(multiple cpu faults)|(system.+state.+changed )|(\[timeout)|(PRM\|1\|D)|(kpr)|(kdp)|(train st.+moving)|(\|lc)|(penalty))"</v>
      </c>
      <c r="AG237" s="1" t="str">
        <f t="shared" si="95"/>
        <v>Other</v>
      </c>
      <c r="AH237" s="81" t="str">
        <f t="shared" si="96"/>
        <v>"%USERPROFILE%\Documents\GitHub\eaglep3\Utilities\RefineRTDCRunTimes.py" --tripid 71-09 --locoid 4062 --swversion DE.1.0.9.0 --startMP 204:1483 --initTime 2017-06-09T17:16:13 --startdatetime 2017-06-09T17:40:05 --delay 1 --endMP 204:1771 --enddatetime 2017-06-09T17:46:34 --enforcementcount 0 &gt;&gt;C:\Users\stu\Documents\GitHub\eaglep3-reporting\EC\2017-06-09-refined-times.txt</v>
      </c>
      <c r="AI237" s="99" t="str">
        <f t="shared" si="97"/>
        <v>echo {"issue":{"subject":"Main 3 departure","project_id":79,"tracker_id":40,"status_id":1,"priority_id":2,"assigned_to_id":23,"start_date":"2017-06-09","description":"","custom_fields":[{"id":1,"name":"Subdivision","value":"Other"},{"id":4,"name":"Milepost","value":"0.1771"},{"id":17,"name":"Train ID","value":"71-09"},{"id":16,"name":"Locomotive ID","value":"4062"},{"id":130,"name":"Impact","value":""},{"id":150,"name":"Time of Event (Mountain Time)","value":"17:46:34"},{"id":151,"name":"Denver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7" s="47"/>
      <c r="AL237" s="47"/>
      <c r="AM237" s="145" t="str">
        <f t="shared" si="98"/>
        <v>start /low /b %USERPROFILE%\Documents\GitHub\eaglep3\Utilities\DownloadLogsFromS3.py --loco 4062 --day 2017-06-09</v>
      </c>
      <c r="AN237" s="154" t="str">
        <f t="shared" si="99"/>
        <v>echo {"issue":{"subject":"Main 3 departure","project_id":30,"tracker_id":4,"status_id":1,"priority_id":1,"assigned_to_id":10,"start_date":"2017-06-09","description":"","custom_fields":[{"id":30,"name":"Category","value":"Issue"},{"id":3,"name":"Functional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23:46:34"},{"id":29,"name":"Sharepoint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622</v>
      </c>
      <c r="B238" s="7">
        <v>4062</v>
      </c>
      <c r="C238" s="21" t="s">
        <v>204</v>
      </c>
      <c r="D238" s="21" t="s">
        <v>923</v>
      </c>
      <c r="E238" s="13">
        <v>42895.734872685185</v>
      </c>
      <c r="F238" s="13">
        <v>42895.736168981479</v>
      </c>
      <c r="G238" s="7">
        <v>1</v>
      </c>
      <c r="H238" s="21" t="s">
        <v>573</v>
      </c>
      <c r="I238" s="13">
        <v>42895.740671296298</v>
      </c>
      <c r="J238" s="7">
        <v>0</v>
      </c>
      <c r="K238" s="92" t="str">
        <f t="shared" si="85"/>
        <v>4061/4062</v>
      </c>
      <c r="L238" s="21" t="str">
        <f>VLOOKUP(A238,'Trips&amp;Operators'!$C$1:$G$99999,5,FALSE)</f>
        <v>CHANDLER KELVIN</v>
      </c>
      <c r="M238" s="6">
        <f t="shared" si="86"/>
        <v>4.5023148195468821E-3</v>
      </c>
      <c r="N238" s="7">
        <f>24*60*SUM($M238:$M238)</f>
        <v>6.4833333401475102</v>
      </c>
      <c r="O238" s="7"/>
      <c r="P238" s="7"/>
      <c r="Q238" s="22"/>
      <c r="R238" s="173"/>
      <c r="S238" s="176">
        <f t="shared" si="101"/>
        <v>0</v>
      </c>
      <c r="T238" s="202" t="e">
        <f t="shared" si="87"/>
        <v>#VALUE!</v>
      </c>
      <c r="U238" s="20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03" t="str">
        <f t="shared" si="88"/>
        <v>https://d0f6bd738d7f1b3e5a7ca70fe4ff75f0.us-east-1.aws.found.io/app/kibana#/discover/Steve-Slow-Train-Analysis-(2080s-and-2083s)?_g=(refreshInterval:(display:Off,pause:!f,section:0,value:0),time:(from:'2017-06-09T16:38:13-0600',mode:absolute,to:'2017-06-09T18:46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8" s="204" t="str">
        <f t="shared" si="89"/>
        <v>Y</v>
      </c>
      <c r="X238" s="204" t="e">
        <f t="shared" si="90"/>
        <v>#VALUE!</v>
      </c>
      <c r="Y238" s="204">
        <f t="shared" si="102"/>
        <v>0.49519999999999997</v>
      </c>
      <c r="Z238" s="204">
        <f t="shared" si="103"/>
        <v>2.3302</v>
      </c>
      <c r="AA238" s="204">
        <f t="shared" si="91"/>
        <v>1.835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92"/>
        <v>71-09</v>
      </c>
      <c r="AE238" s="80" t="str">
        <f t="shared" si="93"/>
        <v>aws s3 cp s3://rtdc.mdm.uploadarchive.raw/RTDC4062/ "%USERPROFILE%\AppData\Local\Temp\OnboardLogs"\RTDC4062\2017-06-09 --exclude "*" --recursive --include "*20170609*" &amp; "%USERPROFILE%\Documents\GitHub\mrs-test-scripts\Headless Mode &amp; Sideloading\WalkAndUnGZ.bat" "%USERPROFILE%\AppData\Local\Temp\OnboardLogs"\RTDC4062\2017-06-09 &amp; 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</v>
      </c>
      <c r="AF238" s="77" t="str">
        <f t="shared" si="94"/>
        <v>"C:\Program Files (x86)\AstroGrep\AstroGrep.exe" /e /r /s /spath="%USERPROFILE%\AppData\Local\Temp\OnboardLogs" /stypes="app*4062*20170609*" /stext=" 23:.+((SYSTEM_STATE.+slice.+state.+changed )|(ment ac)|(multiple cpu faults)|(system.+state.+changed )|(\[timeout)|(PRM\|1\|D)|(kpr)|(kdp)|(train st.+moving)|(\|lc)|(penalty))"</v>
      </c>
      <c r="AG238" s="1" t="str">
        <f t="shared" si="95"/>
        <v>Other</v>
      </c>
      <c r="AH238" s="81" t="str">
        <f t="shared" si="96"/>
        <v>"%USERPROFILE%\Documents\GitHub\eaglep3\Utilities\RefineRTDCRunTimes.py" --tripid 71-09 --locoid 4062 --swversion DE.1.0.9.0 --startMP 300:4952 --initTime 2017-06-09T17:38:13 --startdatetime 2017-06-09T17:40:05 --delay 1 --endMP 300:23302 --enddatetime 2017-06-09T17:46:34 --enforcementcount 0 &gt;&gt;C:\Users\stu\Documents\GitHub\eaglep3-reporting\EC\2017-06-09-refined-times.txt</v>
      </c>
      <c r="AI238" s="99" t="str">
        <f t="shared" si="97"/>
        <v>echo {"issue":{"subject":"","project_id":79,"tracker_id":40,"status_id":1,"priority_id":2,"assigned_to_id":23,"start_date":"2017-06-09","description":"","custom_fields":[{"id":1,"name":"Subdivision","value":"Other"},{"id":4,"name":"Milepost","value":"2.3302"},{"id":17,"name":"Train ID","value":"71-09"},{"id":16,"name":"Locomotive ID","value":"4062"},{"id":130,"name":"Impact","value":""},{"id":150,"name":"Time of Event (Mountain Time)","value":"17:46:34"},{"id":151,"name":"Denver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98"/>
        <v>start /low /b %USERPROFILE%\Documents\GitHub\eaglep3\Utilities\DownloadLogsFromS3.py --loco 4062 --day 2017-06-09</v>
      </c>
      <c r="AN238" s="154" t="str">
        <f t="shared" si="99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23:46:34"},{"id":29,"name":"Sharepoint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  <row r="279" spans="1:3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  <c r="AM279"/>
    </row>
    <row r="280" spans="1:39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H280"/>
      <c r="AI280"/>
      <c r="AM280"/>
    </row>
  </sheetData>
  <autoFilter ref="A12:AG277">
    <sortState ref="A13:AG275">
      <sortCondition ref="AG13:AG236"/>
      <sortCondition ref="AD13:AD236"/>
    </sortState>
  </autoFilter>
  <sortState ref="A13:AH200">
    <sortCondition ref="AG13:AG200"/>
    <sortCondition ref="AD13:AD200"/>
  </sortState>
  <mergeCells count="1">
    <mergeCell ref="A11:P11"/>
  </mergeCells>
  <conditionalFormatting sqref="W11:W12 W281:X1048576 W13:X238">
    <cfRule type="cellIs" dxfId="10" priority="415" operator="equal">
      <formula>"Y"</formula>
    </cfRule>
  </conditionalFormatting>
  <conditionalFormatting sqref="X281:X1048576 X13:X238">
    <cfRule type="cellIs" dxfId="9" priority="398" operator="greaterThan">
      <formula>1</formula>
    </cfRule>
  </conditionalFormatting>
  <conditionalFormatting sqref="X281:X1048576 X12:X238">
    <cfRule type="cellIs" dxfId="8" priority="395" operator="equal">
      <formula>0</formula>
    </cfRule>
  </conditionalFormatting>
  <conditionalFormatting sqref="A13:S238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AK13:AK238</xm:sqref>
        </x14:dataValidation>
        <x14:dataValidation type="list" allowBlank="1" showInputMessage="1" showErrorMessage="1">
          <x14:formula1>
            <xm:f>'Redmine List Values'!$C$2:$C$15</xm:f>
          </x14:formula1>
          <xm:sqref>AL13:AL238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P20" sqref="P20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COUNTIF($O$7:$O$278,"=Y")</f>
        <v>5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COUNTA($O$7:$O$278)-O2</f>
        <v>48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- 2017-06-09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42895.943564814814</v>
      </c>
      <c r="B7" s="30" t="s">
        <v>504</v>
      </c>
      <c r="C7" s="30" t="s">
        <v>631</v>
      </c>
      <c r="D7" s="30" t="s">
        <v>49</v>
      </c>
      <c r="E7" s="30" t="s">
        <v>189</v>
      </c>
      <c r="F7" s="42">
        <v>210</v>
      </c>
      <c r="G7" s="42">
        <v>272</v>
      </c>
      <c r="H7" s="42">
        <v>30727</v>
      </c>
      <c r="I7" s="42">
        <v>31115</v>
      </c>
      <c r="J7" s="30" t="s">
        <v>190</v>
      </c>
      <c r="K7" s="42">
        <v>30830</v>
      </c>
      <c r="L7" s="134" t="s">
        <v>50</v>
      </c>
      <c r="M7" s="135">
        <f t="shared" ref="M7:M38" si="0">CONVERT((I7-K7)/10000,"mi","ft")*IF(L7="Increasing Mileposts (1)",-1,1)</f>
        <v>-150.47999999999999</v>
      </c>
      <c r="N7" s="136" t="str">
        <f>VLOOKUP(C7,'Trips&amp;Operators'!$C$1:$G$99999,5,FALSE)</f>
        <v>FORTUNATO FRANK</v>
      </c>
      <c r="O7" s="210" t="s">
        <v>182</v>
      </c>
      <c r="P7" s="137" t="s">
        <v>402</v>
      </c>
      <c r="Q7" s="30"/>
      <c r="R7" s="84" t="str">
        <f>VLOOKUP(C7,'Train Runs'!$A$13:$AE$9936,31,0)</f>
        <v>aws s3 cp s3://rtdc.mdm.uploadarchive.raw/RTDC4006/ "%USERPROFILE%\AppData\Local\Temp\OnboardLogs"\RTDC4006\2017-06-09 --exclude "*" --recursive --include "*20170609*" &amp; "%USERPROFILE%\Documents\GitHub\mrs-test-scripts\Headless Mode &amp; Sideloading\WalkAndUnGZ.bat" "%USERPROFILE%\AppData\Local\Temp\OnboardLogs"\RTDC4006\2017-06-09 &amp; 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</v>
      </c>
      <c r="S7" s="87" t="str">
        <f>VLOOKUP(C7,'Train Runs'!$A$13:$AE$9936,22,0)</f>
        <v>https://d0f6bd738d7f1b3e5a7ca70fe4ff75f0.us-east-1.aws.found.io/app/kibana#/discover/Steve-Slow-Train-Analysis-(2080s-and-2083s)?_g=(refreshInterval:(display:Off,pause:!f,section:0,value:0),time:(from:'2017-06-09T21:13:33-0600',mode:absolute,to:'2017-06-10T00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7" s="89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/stypes="*4006*201706100*" /stext=" 04:.+((SYSTEM_STATE.+slice.+state.+changed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4006</v>
      </c>
      <c r="V7" s="31">
        <f t="shared" ref="V7:V38" si="3">A7-utc_offset/24</f>
        <v>42896.193564814814</v>
      </c>
      <c r="W7" s="45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8" si="5">IF(AND(E7="TRACK WARRANT AUTHORITY",G7&lt;10),"OMIT","KEEP")</f>
        <v>KEEP</v>
      </c>
      <c r="Y7" s="9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arrival","project_id":79,"tracker_id":40,"status_id":1,"priority_id":2,"assigned_to_id":23,"start_date":"2017-06-09","description":"","custom_fields":[{"id":1,"name":"Subdivision","value":"EC"},{"id":4,"name":"Milepost","value":"3.083"},{"id":17,"name":"Train ID","value":"235-09"},{"id":16,"name":"Locomotive ID","value":"4006"},{"id":130,"name":"Impact","value":""},{"id":150,"name":"Time of Event (Mountain Time)","value":"22:38:44"},{"id":151,"name":"Denver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/cygdrive/c/Users/stu/AppData/Local/Temp/OnboardLogs/RTDC4006 --include="*4006*201706100*"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"%USERPROFILE%\AppData\Local\Temp\OnboardLogs"\RTDC4006\*4006*201706100* &gt;&gt; 2017-06-09-SliceDisagreementCheck.txt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4006 --day 2017-06-10</v>
      </c>
    </row>
    <row r="8" spans="1:32" s="1" customFormat="1" x14ac:dyDescent="0.25">
      <c r="A8" s="31">
        <v>42895.456585648149</v>
      </c>
      <c r="B8" s="30" t="s">
        <v>482</v>
      </c>
      <c r="C8" s="30" t="s">
        <v>600</v>
      </c>
      <c r="D8" s="30" t="s">
        <v>49</v>
      </c>
      <c r="E8" s="30" t="s">
        <v>189</v>
      </c>
      <c r="F8" s="42">
        <v>0</v>
      </c>
      <c r="G8" s="42">
        <v>256</v>
      </c>
      <c r="H8" s="42">
        <v>41830</v>
      </c>
      <c r="I8" s="42">
        <v>42269</v>
      </c>
      <c r="J8" s="30" t="s">
        <v>190</v>
      </c>
      <c r="K8" s="42">
        <v>42779</v>
      </c>
      <c r="L8" s="134" t="s">
        <v>50</v>
      </c>
      <c r="M8" s="135">
        <f t="shared" si="0"/>
        <v>269.27999999999997</v>
      </c>
      <c r="N8" s="136" t="str">
        <f>VLOOKUP(C8,'Trips&amp;Operators'!$C$1:$G$99999,5,FALSE)</f>
        <v>MAYBERRY BILL</v>
      </c>
      <c r="O8" s="210" t="s">
        <v>182</v>
      </c>
      <c r="P8" s="137" t="s">
        <v>1010</v>
      </c>
      <c r="Q8" s="30"/>
      <c r="R8" s="84" t="str">
        <f>VLOOKUP(C8,'Train Runs'!$A$13:$AE$9936,31,0)</f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S8" s="87" t="str">
        <f>VLOOKUP(C8,'Train Runs'!$A$13:$AE$9936,22,0)</f>
        <v>https://d0f6bd738d7f1b3e5a7ca70fe4ff75f0.us-east-1.aws.found.io/app/kibana#/discover/Steve-Slow-Train-Analysis-(2080s-and-2083s)?_g=(refreshInterval:(display:Off,pause:!f,section:0,value:0),time:(from:'2017-06-09T09:42:07-0600',mode:absolute,to:'2017-06-09T12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8" s="89" t="str">
        <f t="shared" si="1"/>
        <v>"C:\Program Files (x86)\AstroGrep\AstroGrep.exe" /e /r /s /spath="%USERPROFILE%\AppData\Local\Temp\OnboardLogs" /stypes="*4046*201706091*" /stext=" 16:.+((SYSTEM_STATE.+slice.+state.+changed )|(ment ac)|(multiple cpu faults)|(system.+state.+changed )|(\[timeout)|(PRM\|1\|D)|(kpr)|(kdp)|(train st.+moving)|(\|lc)|(penalty))"</v>
      </c>
      <c r="U8" s="9" t="str">
        <f t="shared" si="2"/>
        <v>4046</v>
      </c>
      <c r="V8" s="31">
        <f t="shared" si="3"/>
        <v>42895.706585648149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{"issue":{"subject":"Form C","project_id":79,"tracker_id":40,"status_id":1,"priority_id":2,"assigned_to_id":23,"start_date":"2017-06-09","description":"","custom_fields":[{"id":1,"name":"Subdivision","value":"EC"},{"id":4,"name":"Milepost","value":"4.2779"},{"id":17,"name":"Train ID","value":"157-09"},{"id":16,"name":"Locomotive ID","value":"4046"},{"id":130,"name":"Impact","value":""},{"id":150,"name":"Time of Event (Mountain Time)","value":"10:57:29"},{"id":151,"name":"Denver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/cygdrive/c/Users/stu/AppData/Local/Temp/OnboardLogs/RTDC4046 --include="*4046*201706091*"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"%USERPROFILE%\AppData\Local\Temp\OnboardLogs"\RTDC4046\*4046*201706091* &gt;&gt; 2017-06-09-SliceDisagreementCheck.txt</v>
      </c>
      <c r="AE8" s="148" t="str">
        <f t="shared" ref="AE8:AE59" si="9">"start /low /b "&amp;dls3logs&amp;" --loco "&amp;U8&amp;" --day "&amp;TEXT(V8,"YYYY-MM-DD")</f>
        <v>start /low /b %USERPROFILE%\Documents\GitHub\eaglep3\Utilities\DownloadLogsFromS3.py --loco 4046 --day 2017-06-09</v>
      </c>
    </row>
    <row r="9" spans="1:32" s="1" customFormat="1" x14ac:dyDescent="0.25">
      <c r="A9" s="31">
        <v>42895.507361111115</v>
      </c>
      <c r="B9" s="30" t="s">
        <v>483</v>
      </c>
      <c r="C9" s="30" t="s">
        <v>604</v>
      </c>
      <c r="D9" s="30" t="s">
        <v>49</v>
      </c>
      <c r="E9" s="30" t="s">
        <v>189</v>
      </c>
      <c r="F9" s="42">
        <v>0</v>
      </c>
      <c r="G9" s="42">
        <v>179</v>
      </c>
      <c r="H9" s="42">
        <v>43647</v>
      </c>
      <c r="I9" s="42">
        <v>43373</v>
      </c>
      <c r="J9" s="30" t="s">
        <v>190</v>
      </c>
      <c r="K9" s="42">
        <v>42961</v>
      </c>
      <c r="L9" s="134" t="s">
        <v>51</v>
      </c>
      <c r="M9" s="135">
        <f t="shared" si="0"/>
        <v>217.536</v>
      </c>
      <c r="N9" s="136" t="str">
        <f>VLOOKUP(C9,'Trips&amp;Operators'!$C$1:$G$99999,5,FALSE)</f>
        <v>MAYBERRY BILL</v>
      </c>
      <c r="O9" s="210" t="s">
        <v>182</v>
      </c>
      <c r="P9" s="137" t="s">
        <v>1010</v>
      </c>
      <c r="Q9" s="30"/>
      <c r="R9" s="84" t="str">
        <f>VLOOKUP(C9,'Train Runs'!$A$13:$AE$9936,31,0)</f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S9" s="87" t="str">
        <f>VLOOKUP(C9,'Train Runs'!$A$13:$AE$9936,22,0)</f>
        <v>https://d0f6bd738d7f1b3e5a7ca70fe4ff75f0.us-east-1.aws.found.io/app/kibana#/discover/Steve-Slow-Train-Analysis-(2080s-and-2083s)?_g=(refreshInterval:(display:Off,pause:!f,section:0,value:0),time:(from:'2017-06-09T10:29:55-0600',mode:absolute,to:'2017-06-09T13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9" s="89" t="str">
        <f t="shared" si="1"/>
        <v>"C:\Program Files (x86)\AstroGrep\AstroGrep.exe" /e /r /s /spath="%USERPROFILE%\AppData\Local\Temp\OnboardLogs" /stypes="*4045*201706091*" /stext=" 18:.+((SYSTEM_STATE.+slice.+state.+changed )|(ment ac)|(multiple cpu faults)|(system.+state.+changed )|(\[timeout)|(PRM\|1\|D)|(kpr)|(kdp)|(train st.+moving)|(\|lc)|(penalty))"</v>
      </c>
      <c r="U9" s="9" t="str">
        <f t="shared" si="2"/>
        <v>4045</v>
      </c>
      <c r="V9" s="31">
        <f t="shared" si="3"/>
        <v>42895.757361111115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{"issue":{"subject":"Form C","project_id":79,"tracker_id":40,"status_id":1,"priority_id":2,"assigned_to_id":23,"start_date":"2017-06-09","description":"","custom_fields":[{"id":1,"name":"Subdivision","value":"EC"},{"id":4,"name":"Milepost","value":"4.2961"},{"id":17,"name":"Train ID","value":"158-09"},{"id":16,"name":"Locomotive ID","value":"4045"},{"id":130,"name":"Impact","value":""},{"id":150,"name":"Time of Event (Mountain Time)","value":"12:10:36"},{"id":151,"name":"Denver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/cygdrive/c/Users/stu/AppData/Local/Temp/OnboardLogs/RTDC4045 --include="*4045*201706091*"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"%USERPROFILE%\AppData\Local\Temp\OnboardLogs"\RTDC4045\*4045*201706091* &gt;&gt; 2017-06-09-SliceDisagreementCheck.txt</v>
      </c>
      <c r="AE9" s="148" t="str">
        <f t="shared" si="9"/>
        <v>start /low /b %USERPROFILE%\Documents\GitHub\eaglep3\Utilities\DownloadLogsFromS3.py --loco 4045 --day 2017-06-09</v>
      </c>
    </row>
    <row r="10" spans="1:32" s="1" customFormat="1" x14ac:dyDescent="0.25">
      <c r="A10" s="31">
        <v>42895.548136574071</v>
      </c>
      <c r="B10" s="30" t="s">
        <v>554</v>
      </c>
      <c r="C10" s="30" t="s">
        <v>606</v>
      </c>
      <c r="D10" s="30" t="s">
        <v>98</v>
      </c>
      <c r="E10" s="30" t="s">
        <v>189</v>
      </c>
      <c r="F10" s="42">
        <v>0</v>
      </c>
      <c r="G10" s="42">
        <v>79</v>
      </c>
      <c r="H10" s="42">
        <v>42950</v>
      </c>
      <c r="I10" s="42">
        <v>42914</v>
      </c>
      <c r="J10" s="30" t="s">
        <v>190</v>
      </c>
      <c r="K10" s="42">
        <v>42961</v>
      </c>
      <c r="L10" s="134" t="s">
        <v>51</v>
      </c>
      <c r="M10" s="135">
        <f t="shared" si="0"/>
        <v>-24.815999999999999</v>
      </c>
      <c r="N10" s="136" t="str">
        <f>VLOOKUP(C10,'Trips&amp;Operators'!$C$1:$G$99999,5,FALSE)</f>
        <v>NEWELL JAMES</v>
      </c>
      <c r="O10" s="210" t="s">
        <v>182</v>
      </c>
      <c r="P10" s="137" t="s">
        <v>402</v>
      </c>
      <c r="Q10" s="30"/>
      <c r="R10" s="84" t="str">
        <f>VLOOKUP(C10,'Train Runs'!$A$13:$AE$9936,31,0)</f>
        <v>aws s3 cp s3://rtdc.mdm.uploadarchive.raw/RTDC4053/ "%USERPROFILE%\AppData\Local\Temp\OnboardLogs"\RTDC4053\2017-06-09 --exclude "*" --recursive --include "*20170609*" &amp; "%USERPROFILE%\Documents\GitHub\mrs-test-scripts\Headless Mode &amp; Sideloading\WalkAndUnGZ.bat" "%USERPROFILE%\AppData\Local\Temp\OnboardLogs"\RTDC4053\2017-06-09 &amp; aws s3 cp s3://rtdc.mdm.uploadarchive.raw/RTDC4053/ "%USERPROFILE%\AppData\Local\Temp\OnboardLogs"\RTDC4053\2017-06-10 --exclude "*" --recursive --include "*20170610*" &amp; "%USERPROFILE%\Documents\GitHub\mrs-test-scripts\Headless Mode &amp; Sideloading\WalkAndUnGZ.bat" "%USERPROFILE%\AppData\Local\Temp\OnboardLogs"\RTDC4053\2017-06-10</v>
      </c>
      <c r="S10" s="87" t="str">
        <f>VLOOKUP(C10,'Train Runs'!$A$13:$AE$9936,22,0)</f>
        <v>https://d0f6bd738d7f1b3e5a7ca70fe4ff75f0.us-east-1.aws.found.io/app/kibana#/discover/Steve-Slow-Train-Analysis-(2080s-and-2083s)?_g=(refreshInterval:(display:Off,pause:!f,section:0,value:0),time:(from:'2017-06-09T11:27:57-0600',mode:absolute,to:'2017-06-09T14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0" s="89" t="str">
        <f t="shared" si="1"/>
        <v>"C:\Program Files (x86)\AstroGrep\AstroGrep.exe" /e /r /s /spath="%USERPROFILE%\AppData\Local\Temp\OnboardLogs" /stypes="*4053*201706091*"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4053</v>
      </c>
      <c r="V10" s="31">
        <f t="shared" si="3"/>
        <v>42895.798136574071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arrival","project_id":79,"tracker_id":40,"status_id":1,"priority_id":2,"assigned_to_id":23,"start_date":"2017-06-09","description":"","custom_fields":[{"id":1,"name":"Subdivision","value":"EC"},{"id":4,"name":"Milepost","value":"4.2961"},{"id":17,"name":"Train ID","value":"166-09"},{"id":16,"name":"Locomotive ID","value":"4053"},{"id":130,"name":"Impact","value":""},{"id":150,"name":"Time of Event (Mountain Time)","value":"13:09:19"},{"id":151,"name":"Denver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/cygdrive/c/Users/stu/AppData/Local/Temp/OnboardLogs/RTDC4053 --include="*4053*201706091*"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"%USERPROFILE%\AppData\Local\Temp\OnboardLogs"\RTDC4053\*4053*201706091* &gt;&gt; 2017-06-09-SliceDisagreementCheck.txt</v>
      </c>
      <c r="AE10" s="148" t="str">
        <f t="shared" si="9"/>
        <v>start /low /b %USERPROFILE%\Documents\GitHub\eaglep3\Utilities\DownloadLogsFromS3.py --loco 4053 --day 2017-06-09</v>
      </c>
    </row>
    <row r="11" spans="1:32" s="1" customFormat="1" x14ac:dyDescent="0.25">
      <c r="A11" s="31">
        <v>42895.466134259259</v>
      </c>
      <c r="B11" s="30" t="s">
        <v>601</v>
      </c>
      <c r="C11" s="30" t="s">
        <v>602</v>
      </c>
      <c r="D11" s="30" t="s">
        <v>49</v>
      </c>
      <c r="E11" s="30" t="s">
        <v>189</v>
      </c>
      <c r="F11" s="42">
        <v>10</v>
      </c>
      <c r="G11" s="42">
        <v>68</v>
      </c>
      <c r="H11" s="42">
        <v>43196</v>
      </c>
      <c r="I11" s="42">
        <v>43069</v>
      </c>
      <c r="J11" s="30" t="s">
        <v>190</v>
      </c>
      <c r="K11" s="42">
        <v>42961</v>
      </c>
      <c r="L11" s="134" t="s">
        <v>51</v>
      </c>
      <c r="M11" s="135">
        <f t="shared" si="0"/>
        <v>57.024000000000001</v>
      </c>
      <c r="N11" s="136" t="str">
        <f>VLOOKUP(C11,'Trips&amp;Operators'!$C$1:$G$99999,5,FALSE)</f>
        <v>GEBRETEKLE DAGNEW</v>
      </c>
      <c r="O11" s="210" t="s">
        <v>182</v>
      </c>
      <c r="P11" s="137" t="s">
        <v>402</v>
      </c>
      <c r="Q11" s="30"/>
      <c r="R11" s="84" t="str">
        <f>VLOOKUP(C11,'Train Runs'!$A$13:$AE$9936,31,0)</f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S11" s="87" t="str">
        <f>VLOOKUP(C11,'Train Runs'!$A$13:$AE$9936,22,0)</f>
        <v>https://d0f6bd738d7f1b3e5a7ca70fe4ff75f0.us-east-1.aws.found.io/app/kibana#/discover/Steve-Slow-Train-Analysis-(2080s-and-2083s)?_g=(refreshInterval:(display:Off,pause:!f,section:0,value:0),time:(from:'2017-06-09T09:23:40-0600',mode:absolute,to:'2017-06-09T12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1" s="89" t="str">
        <f t="shared" si="1"/>
        <v>"C:\Program Files (x86)\AstroGrep\AstroGrep.exe" /e /r /s /spath="%USERPROFILE%\AppData\Local\Temp\OnboardLogs" /stypes="*4005*201706091*" /stext=" 17:.+((SYSTEM_STATE.+slice.+state.+changed )|(ment ac)|(multiple cpu faults)|(system.+state.+changed )|(\[timeout)|(PRM\|1\|D)|(kpr)|(kdp)|(train st.+moving)|(\|lc)|(penalty))"</v>
      </c>
      <c r="U11" s="9" t="str">
        <f t="shared" si="2"/>
        <v>4005</v>
      </c>
      <c r="V11" s="31">
        <f t="shared" si="3"/>
        <v>42895.716134259259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arrival","project_id":79,"tracker_id":40,"status_id":1,"priority_id":2,"assigned_to_id":23,"start_date":"2017-06-09","description":"","custom_fields":[{"id":1,"name":"Subdivision","value":"EC"},{"id":4,"name":"Milepost","value":"4.2961"},{"id":17,"name":"Train ID","value":"150-09"},{"id":16,"name":"Locomotive ID","value":"4005"},{"id":130,"name":"Impact","value":""},{"id":150,"name":"Time of Event (Mountain Time)","value":"11:11:14"},{"id":151,"name":"Denver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/cygdrive/c/Users/stu/AppData/Local/Temp/OnboardLogs/RTDC4005 --include="*4005*201706091*"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"%USERPROFILE%\AppData\Local\Temp\OnboardLogs"\RTDC4005\*4005*201706091* &gt;&gt; 2017-06-09-SliceDisagreementCheck.txt</v>
      </c>
      <c r="AE11" s="148" t="str">
        <f t="shared" si="9"/>
        <v>start /low /b %USERPROFILE%\Documents\GitHub\eaglep3\Utilities\DownloadLogsFromS3.py --loco 4005 --day 2017-06-09</v>
      </c>
    </row>
    <row r="12" spans="1:32" s="1" customFormat="1" x14ac:dyDescent="0.25">
      <c r="A12" s="31">
        <v>42895.465740740743</v>
      </c>
      <c r="B12" s="30" t="s">
        <v>601</v>
      </c>
      <c r="C12" s="30" t="s">
        <v>602</v>
      </c>
      <c r="D12" s="30" t="s">
        <v>49</v>
      </c>
      <c r="E12" s="30" t="s">
        <v>189</v>
      </c>
      <c r="F12" s="42">
        <v>70</v>
      </c>
      <c r="G12" s="42">
        <v>121</v>
      </c>
      <c r="H12" s="42">
        <v>43491</v>
      </c>
      <c r="I12" s="42">
        <v>43250</v>
      </c>
      <c r="J12" s="30" t="s">
        <v>190</v>
      </c>
      <c r="K12" s="42">
        <v>42961</v>
      </c>
      <c r="L12" s="134" t="s">
        <v>51</v>
      </c>
      <c r="M12" s="135">
        <f t="shared" si="0"/>
        <v>152.59200000000001</v>
      </c>
      <c r="N12" s="136" t="str">
        <f>VLOOKUP(C12,'Trips&amp;Operators'!$C$1:$G$99999,5,FALSE)</f>
        <v>GEBRETEKLE DAGNEW</v>
      </c>
      <c r="O12" s="210" t="s">
        <v>182</v>
      </c>
      <c r="P12" s="137" t="s">
        <v>402</v>
      </c>
      <c r="Q12" s="30"/>
      <c r="R12" s="84" t="str">
        <f>VLOOKUP(C12,'Train Runs'!$A$13:$AE$9936,31,0)</f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S12" s="87" t="str">
        <f>VLOOKUP(C12,'Train Runs'!$A$13:$AE$9936,22,0)</f>
        <v>https://d0f6bd738d7f1b3e5a7ca70fe4ff75f0.us-east-1.aws.found.io/app/kibana#/discover/Steve-Slow-Train-Analysis-(2080s-and-2083s)?_g=(refreshInterval:(display:Off,pause:!f,section:0,value:0),time:(from:'2017-06-09T09:23:40-0600',mode:absolute,to:'2017-06-09T12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2" s="89" t="str">
        <f t="shared" si="1"/>
        <v>"C:\Program Files (x86)\AstroGrep\AstroGrep.exe" /e /r /s /spath="%USERPROFILE%\AppData\Local\Temp\OnboardLogs" /stypes="*4005*201706091*" /stext=" 17:.+((SYSTEM_STATE.+slice.+state.+changed )|(ment ac)|(multiple cpu faults)|(system.+state.+changed )|(\[timeout)|(PRM\|1\|D)|(kpr)|(kdp)|(train st.+moving)|(\|lc)|(penalty))"</v>
      </c>
      <c r="U12" s="9" t="str">
        <f t="shared" si="2"/>
        <v>4005</v>
      </c>
      <c r="V12" s="31">
        <f t="shared" si="3"/>
        <v>42895.715740740743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arrival","project_id":79,"tracker_id":40,"status_id":1,"priority_id":2,"assigned_to_id":23,"start_date":"2017-06-09","description":"","custom_fields":[{"id":1,"name":"Subdivision","value":"EC"},{"id":4,"name":"Milepost","value":"4.2961"},{"id":17,"name":"Train ID","value":"150-09"},{"id":16,"name":"Locomotive ID","value":"4005"},{"id":130,"name":"Impact","value":""},{"id":150,"name":"Time of Event (Mountain Time)","value":"11:10:40"},{"id":151,"name":"Denver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/cygdrive/c/Users/stu/AppData/Local/Temp/OnboardLogs/RTDC4005 --include="*4005*201706091*"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"%USERPROFILE%\AppData\Local\Temp\OnboardLogs"\RTDC4005\*4005*201706091* &gt;&gt; 2017-06-09-SliceDisagreementCheck.txt</v>
      </c>
      <c r="AE12" s="148" t="str">
        <f t="shared" si="9"/>
        <v>start /low /b %USERPROFILE%\Documents\GitHub\eaglep3\Utilities\DownloadLogsFromS3.py --loco 4005 --day 2017-06-09</v>
      </c>
    </row>
    <row r="13" spans="1:32" s="1" customFormat="1" x14ac:dyDescent="0.25">
      <c r="A13" s="31">
        <v>42895.50577546296</v>
      </c>
      <c r="B13" s="30" t="s">
        <v>483</v>
      </c>
      <c r="C13" s="30" t="s">
        <v>604</v>
      </c>
      <c r="D13" s="30" t="s">
        <v>49</v>
      </c>
      <c r="E13" s="30" t="s">
        <v>189</v>
      </c>
      <c r="F13" s="42">
        <v>490</v>
      </c>
      <c r="G13" s="42">
        <v>558</v>
      </c>
      <c r="H13" s="42">
        <v>55336</v>
      </c>
      <c r="I13" s="42">
        <v>53521</v>
      </c>
      <c r="J13" s="30" t="s">
        <v>190</v>
      </c>
      <c r="K13" s="42">
        <v>53277</v>
      </c>
      <c r="L13" s="134" t="s">
        <v>51</v>
      </c>
      <c r="M13" s="135">
        <f t="shared" si="0"/>
        <v>128.83199999999999</v>
      </c>
      <c r="N13" s="136" t="str">
        <f>VLOOKUP(C13,'Trips&amp;Operators'!$C$1:$G$99999,5,FALSE)</f>
        <v>MAYBERRY BILL</v>
      </c>
      <c r="O13" s="210" t="s">
        <v>182</v>
      </c>
      <c r="P13" s="137" t="s">
        <v>402</v>
      </c>
      <c r="Q13" s="30"/>
      <c r="R13" s="84" t="str">
        <f>VLOOKUP(C13,'Train Runs'!$A$13:$AE$9936,31,0)</f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S13" s="87" t="str">
        <f>VLOOKUP(C13,'Train Runs'!$A$13:$AE$9936,22,0)</f>
        <v>https://d0f6bd738d7f1b3e5a7ca70fe4ff75f0.us-east-1.aws.found.io/app/kibana#/discover/Steve-Slow-Train-Analysis-(2080s-and-2083s)?_g=(refreshInterval:(display:Off,pause:!f,section:0,value:0),time:(from:'2017-06-09T10:29:55-0600',mode:absolute,to:'2017-06-09T13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3" s="89" t="str">
        <f t="shared" si="1"/>
        <v>"C:\Program Files (x86)\AstroGrep\AstroGrep.exe" /e /r /s /spath="%USERPROFILE%\AppData\Local\Temp\OnboardLogs" /stypes="*4045*201706091*" /stext=" 18:.+((SYSTEM_STATE.+slice.+state.+changed )|(ment ac)|(multiple cpu faults)|(system.+state.+changed )|(\[timeout)|(PRM\|1\|D)|(kpr)|(kdp)|(train st.+moving)|(\|lc)|(penalty))"</v>
      </c>
      <c r="U13" s="9" t="str">
        <f t="shared" si="2"/>
        <v>4045</v>
      </c>
      <c r="V13" s="31">
        <f t="shared" si="3"/>
        <v>42895.75577546296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arrival","project_id":79,"tracker_id":40,"status_id":1,"priority_id":2,"assigned_to_id":23,"start_date":"2017-06-09","description":"","custom_fields":[{"id":1,"name":"Subdivision","value":"EC"},{"id":4,"name":"Milepost","value":"5.3277"},{"id":17,"name":"Train ID","value":"158-09"},{"id":16,"name":"Locomotive ID","value":"4045"},{"id":130,"name":"Impact","value":""},{"id":150,"name":"Time of Event (Mountain Time)","value":"12:08:19"},{"id":151,"name":"Denver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/cygdrive/c/Users/stu/AppData/Local/Temp/OnboardLogs/RTDC4045 --include="*4045*201706091*"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"%USERPROFILE%\AppData\Local\Temp\OnboardLogs"\RTDC4045\*4045*201706091* &gt;&gt; 2017-06-09-SliceDisagreementCheck.txt</v>
      </c>
      <c r="AE13" s="148" t="str">
        <f t="shared" si="9"/>
        <v>start /low /b %USERPROFILE%\Documents\GitHub\eaglep3\Utilities\DownloadLogsFromS3.py --loco 4045 --day 2017-06-09</v>
      </c>
    </row>
    <row r="14" spans="1:32" x14ac:dyDescent="0.25">
      <c r="A14" s="31">
        <v>42895.422118055554</v>
      </c>
      <c r="B14" s="30" t="s">
        <v>597</v>
      </c>
      <c r="C14" s="30" t="s">
        <v>598</v>
      </c>
      <c r="D14" s="30" t="s">
        <v>49</v>
      </c>
      <c r="E14" s="30" t="s">
        <v>189</v>
      </c>
      <c r="F14" s="42">
        <v>0</v>
      </c>
      <c r="G14" s="42">
        <v>275</v>
      </c>
      <c r="H14" s="42">
        <v>58643</v>
      </c>
      <c r="I14" s="42">
        <v>57838</v>
      </c>
      <c r="J14" s="30" t="s">
        <v>190</v>
      </c>
      <c r="K14" s="42">
        <v>58301</v>
      </c>
      <c r="L14" s="134" t="s">
        <v>51</v>
      </c>
      <c r="M14" s="135">
        <f t="shared" si="0"/>
        <v>-244.464</v>
      </c>
      <c r="N14" s="136" t="str">
        <f>VLOOKUP(C14,'Trips&amp;Operators'!$C$1:$G$99999,5,FALSE)</f>
        <v>DAVIDSON DAVID</v>
      </c>
      <c r="O14" s="210" t="s">
        <v>182</v>
      </c>
      <c r="P14" s="137" t="s">
        <v>402</v>
      </c>
      <c r="Q14" s="30"/>
      <c r="R14" s="84" t="str">
        <f>VLOOKUP(C14,'Train Runs'!$A$13:$AE$9936,31,0)</f>
        <v>aws s3 cp s3://rtdc.mdm.uploadarchive.raw/RTDC4011/ "%USERPROFILE%\AppData\Local\Temp\OnboardLogs"\RTDC4011\2017-06-09 --exclude "*" --recursive --include "*20170609*" &amp; "%USERPROFILE%\Documents\GitHub\mrs-test-scripts\Headless Mode &amp; Sideloading\WalkAndUnGZ.bat" "%USERPROFILE%\AppData\Local\Temp\OnboardLogs"\RTDC4011\2017-06-09 &amp; aws s3 cp s3://rtdc.mdm.uploadarchive.raw/RTDC4011/ "%USERPROFILE%\AppData\Local\Temp\OnboardLogs"\RTDC4011\2017-06-10 --exclude "*" --recursive --include "*20170610*" &amp; "%USERPROFILE%\Documents\GitHub\mrs-test-scripts\Headless Mode &amp; Sideloading\WalkAndUnGZ.bat" "%USERPROFILE%\AppData\Local\Temp\OnboardLogs"\RTDC4011\2017-06-10</v>
      </c>
      <c r="S14" s="87" t="str">
        <f>VLOOKUP(C14,'Train Runs'!$A$13:$AE$9936,22,0)</f>
        <v>https://d0f6bd738d7f1b3e5a7ca70fe4ff75f0.us-east-1.aws.found.io/app/kibana#/discover/Steve-Slow-Train-Analysis-(2080s-and-2083s)?_g=(refreshInterval:(display:Off,pause:!f,section:0,value:0),time:(from:'2017-06-09T08:23:43-0600',mode:absolute,to:'2017-06-09T11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4" s="89" t="str">
        <f t="shared" si="1"/>
        <v>"C:\Program Files (x86)\AstroGrep\AstroGrep.exe" /e /r /s /spath="%USERPROFILE%\AppData\Local\Temp\OnboardLogs" /stypes="*4011*201706091*" /stext=" 16:.+((SYSTEM_STATE.+slice.+state.+changed )|(ment ac)|(multiple cpu faults)|(system.+state.+changed )|(\[timeout)|(PRM\|1\|D)|(kpr)|(kdp)|(train st.+moving)|(\|lc)|(penalty))"</v>
      </c>
      <c r="U14" s="9" t="str">
        <f t="shared" si="2"/>
        <v>4011</v>
      </c>
      <c r="V14" s="31">
        <f t="shared" si="3"/>
        <v>42895.672118055554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arrival","project_id":79,"tracker_id":40,"status_id":1,"priority_id":2,"assigned_to_id":23,"start_date":"2017-06-09","description":"","custom_fields":[{"id":1,"name":"Subdivision","value":"EC"},{"id":4,"name":"Milepost","value":"5.8301"},{"id":17,"name":"Train ID","value":"142-09"},{"id":16,"name":"Locomotive ID","value":"4011"},{"id":130,"name":"Impact","value":""},{"id":150,"name":"Time of Event (Mountain Time)","value":"10:07:51"},{"id":151,"name":"Denver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/cygdrive/c/Users/stu/AppData/Local/Temp/OnboardLogs/RTDC4011 --include="*4011*201706091*"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"%USERPROFILE%\AppData\Local\Temp\OnboardLogs"\RTDC4011\*4011*201706091* &gt;&gt; 2017-06-09-SliceDisagreementCheck.txt</v>
      </c>
      <c r="AE14" s="148" t="str">
        <f t="shared" si="9"/>
        <v>start /low /b %USERPROFILE%\Documents\GitHub\eaglep3\Utilities\DownloadLogsFromS3.py --loco 4011 --day 2017-06-09</v>
      </c>
      <c r="AF14" s="1"/>
    </row>
    <row r="15" spans="1:32" x14ac:dyDescent="0.25">
      <c r="A15" s="31">
        <v>42895.734849537039</v>
      </c>
      <c r="B15" s="30" t="s">
        <v>435</v>
      </c>
      <c r="C15" s="30" t="s">
        <v>624</v>
      </c>
      <c r="D15" s="30" t="s">
        <v>49</v>
      </c>
      <c r="E15" s="30" t="s">
        <v>189</v>
      </c>
      <c r="F15" s="42">
        <v>270</v>
      </c>
      <c r="G15" s="42">
        <v>378</v>
      </c>
      <c r="H15" s="42">
        <v>59405</v>
      </c>
      <c r="I15" s="42">
        <v>58321</v>
      </c>
      <c r="J15" s="30" t="s">
        <v>190</v>
      </c>
      <c r="K15" s="42">
        <v>58301</v>
      </c>
      <c r="L15" s="134" t="s">
        <v>51</v>
      </c>
      <c r="M15" s="135">
        <f t="shared" si="0"/>
        <v>10.56</v>
      </c>
      <c r="N15" s="136" t="str">
        <f>VLOOKUP(C15,'Trips&amp;Operators'!$C$1:$G$99999,5,FALSE)</f>
        <v>HOLCOMB KAMDEN</v>
      </c>
      <c r="O15" s="210" t="s">
        <v>182</v>
      </c>
      <c r="P15" s="137" t="s">
        <v>402</v>
      </c>
      <c r="Q15" s="30"/>
      <c r="R15" s="84" t="str">
        <f>VLOOKUP(C15,'Train Runs'!$A$13:$AE$9936,31,0)</f>
        <v>aws s3 cp s3://rtdc.mdm.uploadarchive.raw/RTDC4019/ "%USERPROFILE%\AppData\Local\Temp\OnboardLogs"\RTDC4019\2017-06-09 --exclude "*" --recursive --include "*20170609*" &amp; "%USERPROFILE%\Documents\GitHub\mrs-test-scripts\Headless Mode &amp; Sideloading\WalkAndUnGZ.bat" "%USERPROFILE%\AppData\Local\Temp\OnboardLogs"\RTDC4019\2017-06-09 &amp; aws s3 cp s3://rtdc.mdm.uploadarchive.raw/RTDC4019/ "%USERPROFILE%\AppData\Local\Temp\OnboardLogs"\RTDC4019\2017-06-10 --exclude "*" --recursive --include "*20170610*" &amp; "%USERPROFILE%\Documents\GitHub\mrs-test-scripts\Headless Mode &amp; Sideloading\WalkAndUnGZ.bat" "%USERPROFILE%\AppData\Local\Temp\OnboardLogs"\RTDC4019\2017-06-10</v>
      </c>
      <c r="S15" s="87" t="str">
        <f>VLOOKUP(C15,'Train Runs'!$A$13:$AE$9936,22,0)</f>
        <v>https://d0f6bd738d7f1b3e5a7ca70fe4ff75f0.us-east-1.aws.found.io/app/kibana#/discover/Steve-Slow-Train-Analysis-(2080s-and-2083s)?_g=(refreshInterval:(display:Off,pause:!f,section:0,value:0),time:(from:'2017-06-09T16:10:24-0600',mode:absolute,to:'2017-06-09T18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5" s="89" t="str">
        <f t="shared" si="1"/>
        <v>"C:\Program Files (x86)\AstroGrep\AstroGrep.exe" /e /r /s /spath="%USERPROFILE%\AppData\Local\Temp\OnboardLogs" /stypes="*4019*201706092*" /stext=" 23:.+((SYSTEM_STATE.+slice.+state.+changed )|(ment ac)|(multiple cpu faults)|(system.+state.+changed )|(\[timeout)|(PRM\|1\|D)|(kpr)|(kdp)|(train st.+moving)|(\|lc)|(penalty))"</v>
      </c>
      <c r="U15" s="9" t="str">
        <f t="shared" si="2"/>
        <v>4019</v>
      </c>
      <c r="V15" s="31">
        <f t="shared" si="3"/>
        <v>42895.984849537039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arrival","project_id":79,"tracker_id":40,"status_id":1,"priority_id":2,"assigned_to_id":23,"start_date":"2017-06-09","description":"","custom_fields":[{"id":1,"name":"Subdivision","value":"EC"},{"id":4,"name":"Milepost","value":"5.8301"},{"id":17,"name":"Train ID","value":"202-09"},{"id":16,"name":"Locomotive ID","value":"4019"},{"id":130,"name":"Impact","value":""},{"id":150,"name":"Time of Event (Mountain Time)","value":"17:38:11"},{"id":151,"name":"Denver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/cygdrive/c/Users/stu/AppData/Local/Temp/OnboardLogs/RTDC4019 --include="*4019*201706092*"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"%USERPROFILE%\AppData\Local\Temp\OnboardLogs"\RTDC4019\*4019*201706092* &gt;&gt; 2017-06-09-SliceDisagreementCheck.txt</v>
      </c>
      <c r="AE15" s="148" t="str">
        <f t="shared" si="9"/>
        <v>start /low /b %USERPROFILE%\Documents\GitHub\eaglep3\Utilities\DownloadLogsFromS3.py --loco 4019 --day 2017-06-09</v>
      </c>
      <c r="AF15" s="1"/>
    </row>
    <row r="16" spans="1:32" x14ac:dyDescent="0.25">
      <c r="A16" s="31">
        <v>42895.823657407411</v>
      </c>
      <c r="B16" s="30" t="s">
        <v>482</v>
      </c>
      <c r="C16" s="30" t="s">
        <v>629</v>
      </c>
      <c r="D16" s="30" t="s">
        <v>49</v>
      </c>
      <c r="E16" s="30" t="s">
        <v>189</v>
      </c>
      <c r="F16" s="42">
        <v>30</v>
      </c>
      <c r="G16" s="42">
        <v>88</v>
      </c>
      <c r="H16" s="42">
        <v>62811</v>
      </c>
      <c r="I16" s="42">
        <v>62944</v>
      </c>
      <c r="J16" s="30" t="s">
        <v>190</v>
      </c>
      <c r="K16" s="42">
        <v>63069</v>
      </c>
      <c r="L16" s="134" t="s">
        <v>50</v>
      </c>
      <c r="M16" s="135">
        <f t="shared" si="0"/>
        <v>66</v>
      </c>
      <c r="N16" s="136" t="str">
        <f>VLOOKUP(C16,'Trips&amp;Operators'!$C$1:$G$99999,5,FALSE)</f>
        <v>HELVIE ADAM</v>
      </c>
      <c r="O16" s="210" t="s">
        <v>182</v>
      </c>
      <c r="P16" s="137" t="s">
        <v>402</v>
      </c>
      <c r="Q16" s="30"/>
      <c r="R16" s="84" t="str">
        <f>VLOOKUP(C16,'Train Runs'!$A$13:$AE$9936,31,0)</f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S16" s="87" t="str">
        <f>VLOOKUP(C16,'Train Runs'!$A$13:$AE$9936,22,0)</f>
        <v>https://d0f6bd738d7f1b3e5a7ca70fe4ff75f0.us-east-1.aws.found.io/app/kibana#/discover/Steve-Slow-Train-Analysis-(2080s-and-2083s)?_g=(refreshInterval:(display:Off,pause:!f,section:0,value:0),time:(from:'2017-06-09T18:29:56-0600',mode:absolute,to:'2017-06-09T21:16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6" s="89" t="str">
        <f t="shared" si="1"/>
        <v>"C:\Program Files (x86)\AstroGrep\AstroGrep.exe" /e /r /s /spath="%USERPROFILE%\AppData\Local\Temp\OnboardLogs" /stypes="*4046*201706100*" /stext=" 01:.+((SYSTEM_STATE.+slice.+state.+changed )|(ment ac)|(multiple cpu faults)|(system.+state.+changed )|(\[timeout)|(PRM\|1\|D)|(kpr)|(kdp)|(train st.+moving)|(\|lc)|(penalty))"</v>
      </c>
      <c r="U16" s="9" t="str">
        <f t="shared" si="2"/>
        <v>4046</v>
      </c>
      <c r="V16" s="31">
        <f t="shared" si="3"/>
        <v>42896.073657407411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arrival","project_id":79,"tracker_id":40,"status_id":1,"priority_id":2,"assigned_to_id":23,"start_date":"2017-06-09","description":"","custom_fields":[{"id":1,"name":"Subdivision","value":"EC"},{"id":4,"name":"Milepost","value":"6.3069"},{"id":17,"name":"Train ID","value":"223-09"},{"id":16,"name":"Locomotive ID","value":"4046"},{"id":130,"name":"Impact","value":""},{"id":150,"name":"Time of Event (Mountain Time)","value":"19:46:04"},{"id":151,"name":"Denver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/cygdrive/c/Users/stu/AppData/Local/Temp/OnboardLogs/RTDC4046 --include="*4046*201706100*"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"%USERPROFILE%\AppData\Local\Temp\OnboardLogs"\RTDC4046\*4046*201706100* &gt;&gt; 2017-06-09-SliceDisagreementCheck.txt</v>
      </c>
      <c r="AE16" s="148" t="str">
        <f t="shared" si="9"/>
        <v>start /low /b %USERPROFILE%\Documents\GitHub\eaglep3\Utilities\DownloadLogsFromS3.py --loco 4046 --day 2017-06-10</v>
      </c>
      <c r="AF16" s="1"/>
    </row>
    <row r="17" spans="1:32" x14ac:dyDescent="0.25">
      <c r="A17" s="31">
        <v>42895.823229166665</v>
      </c>
      <c r="B17" s="30" t="s">
        <v>482</v>
      </c>
      <c r="C17" s="30" t="s">
        <v>629</v>
      </c>
      <c r="D17" s="30" t="s">
        <v>49</v>
      </c>
      <c r="E17" s="30" t="s">
        <v>189</v>
      </c>
      <c r="F17" s="42">
        <v>340</v>
      </c>
      <c r="G17" s="42">
        <v>502</v>
      </c>
      <c r="H17" s="42">
        <v>60821</v>
      </c>
      <c r="I17" s="42">
        <v>62738</v>
      </c>
      <c r="J17" s="30" t="s">
        <v>190</v>
      </c>
      <c r="K17" s="42">
        <v>63069</v>
      </c>
      <c r="L17" s="134" t="s">
        <v>50</v>
      </c>
      <c r="M17" s="135">
        <f t="shared" si="0"/>
        <v>174.76799999999997</v>
      </c>
      <c r="N17" s="136" t="str">
        <f>VLOOKUP(C17,'Trips&amp;Operators'!$C$1:$G$99999,5,FALSE)</f>
        <v>HELVIE ADAM</v>
      </c>
      <c r="O17" s="210" t="s">
        <v>182</v>
      </c>
      <c r="P17" s="137" t="s">
        <v>402</v>
      </c>
      <c r="Q17" s="30"/>
      <c r="R17" s="84" t="str">
        <f>VLOOKUP(C17,'Train Runs'!$A$13:$AE$9936,31,0)</f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S17" s="87" t="str">
        <f>VLOOKUP(C17,'Train Runs'!$A$13:$AE$9936,22,0)</f>
        <v>https://d0f6bd738d7f1b3e5a7ca70fe4ff75f0.us-east-1.aws.found.io/app/kibana#/discover/Steve-Slow-Train-Analysis-(2080s-and-2083s)?_g=(refreshInterval:(display:Off,pause:!f,section:0,value:0),time:(from:'2017-06-09T18:29:56-0600',mode:absolute,to:'2017-06-09T21:16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7" s="89" t="str">
        <f t="shared" si="1"/>
        <v>"C:\Program Files (x86)\AstroGrep\AstroGrep.exe" /e /r /s /spath="%USERPROFILE%\AppData\Local\Temp\OnboardLogs" /stypes="*4046*201706100*" /stext=" 01:.+((SYSTEM_STATE.+slice.+state.+changed )|(ment ac)|(multiple cpu faults)|(system.+state.+changed )|(\[timeout)|(PRM\|1\|D)|(kpr)|(kdp)|(train st.+moving)|(\|lc)|(penalty))"</v>
      </c>
      <c r="U17" s="9" t="str">
        <f t="shared" si="2"/>
        <v>4046</v>
      </c>
      <c r="V17" s="31">
        <f t="shared" si="3"/>
        <v>42896.073229166665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arrival","project_id":79,"tracker_id":40,"status_id":1,"priority_id":2,"assigned_to_id":23,"start_date":"2017-06-09","description":"","custom_fields":[{"id":1,"name":"Subdivision","value":"EC"},{"id":4,"name":"Milepost","value":"6.3069"},{"id":17,"name":"Train ID","value":"223-09"},{"id":16,"name":"Locomotive ID","value":"4046"},{"id":130,"name":"Impact","value":""},{"id":150,"name":"Time of Event (Mountain Time)","value":"19:45:27"},{"id":151,"name":"Denver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/cygdrive/c/Users/stu/AppData/Local/Temp/OnboardLogs/RTDC4046 --include="*4046*201706100*"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"%USERPROFILE%\AppData\Local\Temp\OnboardLogs"\RTDC4046\*4046*201706100* &gt;&gt; 2017-06-09-SliceDisagreementCheck.txt</v>
      </c>
      <c r="AE17" s="148" t="str">
        <f t="shared" si="9"/>
        <v>start /low /b %USERPROFILE%\Documents\GitHub\eaglep3\Utilities\DownloadLogsFromS3.py --loco 4046 --day 2017-06-10</v>
      </c>
      <c r="AF17" s="1"/>
    </row>
    <row r="18" spans="1:32" x14ac:dyDescent="0.25">
      <c r="A18" s="31">
        <v>42895.713020833333</v>
      </c>
      <c r="B18" s="30" t="s">
        <v>597</v>
      </c>
      <c r="C18" s="30" t="s">
        <v>618</v>
      </c>
      <c r="D18" s="30" t="s">
        <v>98</v>
      </c>
      <c r="E18" s="30" t="s">
        <v>189</v>
      </c>
      <c r="F18" s="42">
        <v>0</v>
      </c>
      <c r="G18" s="42">
        <v>96</v>
      </c>
      <c r="H18" s="42">
        <v>63283</v>
      </c>
      <c r="I18" s="42">
        <v>63214</v>
      </c>
      <c r="J18" s="30" t="s">
        <v>190</v>
      </c>
      <c r="K18" s="42">
        <v>63309</v>
      </c>
      <c r="L18" s="134" t="s">
        <v>51</v>
      </c>
      <c r="M18" s="135">
        <f t="shared" si="0"/>
        <v>-50.16</v>
      </c>
      <c r="N18" s="136" t="str">
        <f>VLOOKUP(C18,'Trips&amp;Operators'!$C$1:$G$99999,5,FALSE)</f>
        <v>LEVIN SCOTT</v>
      </c>
      <c r="O18" s="210" t="s">
        <v>182</v>
      </c>
      <c r="P18" s="137" t="s">
        <v>402</v>
      </c>
      <c r="Q18" s="30"/>
      <c r="R18" s="84" t="str">
        <f>VLOOKUP(C18,'Train Runs'!$A$13:$AE$9936,31,0)</f>
        <v>aws s3 cp s3://rtdc.mdm.uploadarchive.raw/RTDC4011/ "%USERPROFILE%\AppData\Local\Temp\OnboardLogs"\RTDC4011\2017-06-09 --exclude "*" --recursive --include "*20170609*" &amp; "%USERPROFILE%\Documents\GitHub\mrs-test-scripts\Headless Mode &amp; Sideloading\WalkAndUnGZ.bat" "%USERPROFILE%\AppData\Local\Temp\OnboardLogs"\RTDC4011\2017-06-09 &amp; aws s3 cp s3://rtdc.mdm.uploadarchive.raw/RTDC4011/ "%USERPROFILE%\AppData\Local\Temp\OnboardLogs"\RTDC4011\2017-06-10 --exclude "*" --recursive --include "*20170610*" &amp; "%USERPROFILE%\Documents\GitHub\mrs-test-scripts\Headless Mode &amp; Sideloading\WalkAndUnGZ.bat" "%USERPROFILE%\AppData\Local\Temp\OnboardLogs"\RTDC4011\2017-06-10</v>
      </c>
      <c r="S18" s="87" t="str">
        <f>VLOOKUP(C18,'Train Runs'!$A$13:$AE$9936,22,0)</f>
        <v>https://d0f6bd738d7f1b3e5a7ca70fe4ff75f0.us-east-1.aws.found.io/app/kibana#/discover/Steve-Slow-Train-Analysis-(2080s-and-2083s)?_g=(refreshInterval:(display:Off,pause:!f,section:0,value:0),time:(from:'2017-06-09T15:37:30-0600',mode:absolute,to:'2017-06-09T18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8" s="89" t="str">
        <f t="shared" si="1"/>
        <v>"C:\Program Files (x86)\AstroGrep\AstroGrep.exe" /e /r /s /spath="%USERPROFILE%\AppData\Local\Temp\OnboardLogs" /stypes="*4011*201706092*" /stext=" 23:.+((SYSTEM_STATE.+slice.+state.+changed )|(ment ac)|(multiple cpu faults)|(system.+state.+changed )|(\[timeout)|(PRM\|1\|D)|(kpr)|(kdp)|(train st.+moving)|(\|lc)|(penalty))"</v>
      </c>
      <c r="U18" s="9" t="str">
        <f t="shared" si="2"/>
        <v>4011</v>
      </c>
      <c r="V18" s="31">
        <f t="shared" si="3"/>
        <v>42895.963020833333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{"issue":{"subject":"Early arrival","project_id":79,"tracker_id":40,"status_id":1,"priority_id":2,"assigned_to_id":23,"start_date":"2017-06-09","description":"","custom_fields":[{"id":1,"name":"Subdivision","value":"EC"},{"id":4,"name":"Milepost","value":"6.3309"},{"id":17,"name":"Train ID","value":"198-09"},{"id":16,"name":"Locomotive ID","value":"4011"},{"id":130,"name":"Impact","value":""},{"id":150,"name":"Time of Event (Mountain Time)","value":"17:06:45"},{"id":151,"name":"Denver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/cygdrive/c/Users/stu/AppData/Local/Temp/OnboardLogs/RTDC4011 --include="*4011*201706092*"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"%USERPROFILE%\AppData\Local\Temp\OnboardLogs"\RTDC4011\*4011*201706092* &gt;&gt; 2017-06-09-SliceDisagreementCheck.txt</v>
      </c>
      <c r="AE18" s="148" t="str">
        <f t="shared" si="9"/>
        <v>start /low /b %USERPROFILE%\Documents\GitHub\eaglep3\Utilities\DownloadLogsFromS3.py --loco 4011 --day 2017-06-09</v>
      </c>
      <c r="AF18" s="1"/>
    </row>
    <row r="19" spans="1:32" x14ac:dyDescent="0.25">
      <c r="A19" s="31">
        <v>42896.032951388886</v>
      </c>
      <c r="B19" s="30" t="s">
        <v>483</v>
      </c>
      <c r="C19" s="30" t="s">
        <v>634</v>
      </c>
      <c r="D19" s="30" t="s">
        <v>49</v>
      </c>
      <c r="E19" s="30" t="s">
        <v>189</v>
      </c>
      <c r="F19" s="42">
        <v>380</v>
      </c>
      <c r="G19" s="42">
        <v>430</v>
      </c>
      <c r="H19" s="42">
        <v>109649</v>
      </c>
      <c r="I19" s="42">
        <v>108494</v>
      </c>
      <c r="J19" s="30" t="s">
        <v>190</v>
      </c>
      <c r="K19" s="42">
        <v>109135</v>
      </c>
      <c r="L19" s="134" t="s">
        <v>51</v>
      </c>
      <c r="M19" s="135">
        <f t="shared" si="0"/>
        <v>-338.44800000000004</v>
      </c>
      <c r="N19" s="136" t="str">
        <f>VLOOKUP(C19,'Trips&amp;Operators'!$C$1:$G$99999,5,FALSE)</f>
        <v>HELVIE ADAM</v>
      </c>
      <c r="O19" s="210" t="s">
        <v>182</v>
      </c>
      <c r="P19" s="137" t="s">
        <v>402</v>
      </c>
      <c r="Q19" s="30"/>
      <c r="R19" s="84" t="str">
        <f>VLOOKUP(C19,'Train Runs'!$A$13:$AE$9936,31,0)</f>
        <v>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 &amp; aws s3 cp s3://rtdc.mdm.uploadarchive.raw/RTDC4045/ "%USERPROFILE%\AppData\Local\Temp\OnboardLogs"\RTDC4045\2017-06-11 --exclude "*" --recursive --include "*20170611*" &amp; "%USERPROFILE%\Documents\GitHub\mrs-test-scripts\Headless Mode &amp; Sideloading\WalkAndUnGZ.bat" "%USERPROFILE%\AppData\Local\Temp\OnboardLogs"\RTDC4045\2017-06-11</v>
      </c>
      <c r="S19" s="87" t="str">
        <f>VLOOKUP(C19,'Train Runs'!$A$13:$AE$9936,22,0)</f>
        <v>https://d0f6bd738d7f1b3e5a7ca70fe4ff75f0.us-east-1.aws.found.io/app/kibana#/discover/Steve-Slow-Train-Analysis-(2080s-and-2083s)?_g=(refreshInterval:(display:Off,pause:!f,section:0,value:0),time:(from:'2017-06-09T23:20:46-0600',mode:absolute,to:'2017-06-10T02:09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9" s="89" t="str">
        <f t="shared" si="1"/>
        <v>"C:\Program Files (x86)\AstroGrep\AstroGrep.exe" /e /r /s /spath="%USERPROFILE%\AppData\Local\Temp\OnboardLogs" /stypes="*4045*201706100*" /stext=" 06:.+((SYSTEM_STATE.+slice.+state.+changed )|(ment ac)|(multiple cpu faults)|(system.+state.+changed )|(\[timeout)|(PRM\|1\|D)|(kpr)|(kdp)|(train st.+moving)|(\|lc)|(penalty))"</v>
      </c>
      <c r="U19" s="9" t="str">
        <f t="shared" si="2"/>
        <v>4045</v>
      </c>
      <c r="V19" s="31">
        <f t="shared" si="3"/>
        <v>42896.282951388886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arrival","project_id":79,"tracker_id":40,"status_id":1,"priority_id":2,"assigned_to_id":23,"start_date":"2017-06-10","description":"","custom_fields":[{"id":1,"name":"Subdivision","value":"EC"},{"id":4,"name":"Milepost","value":"10.9135"},{"id":17,"name":"Train ID","value":"240-09"},{"id":16,"name":"Locomotive ID","value":"4045"},{"id":130,"name":"Impact","value":""},{"id":150,"name":"Time of Event (Mountain Time)","value":"00:47:27"},{"id":151,"name":"Denver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/cygdrive/c/Users/stu/AppData/Local/Temp/OnboardLogs/RTDC4045 --include="*4045*201706100*"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"%USERPROFILE%\AppData\Local\Temp\OnboardLogs"\RTDC4045\*4045*201706100* &gt;&gt; 2017-06-09-SliceDisagreementCheck.txt</v>
      </c>
      <c r="AE19" s="148" t="str">
        <f t="shared" si="9"/>
        <v>start /low /b %USERPROFILE%\Documents\GitHub\eaglep3\Utilities\DownloadLogsFromS3.py --loco 4045 --day 2017-06-10</v>
      </c>
      <c r="AF19" s="1"/>
    </row>
    <row r="20" spans="1:32" x14ac:dyDescent="0.25">
      <c r="A20" s="31">
        <v>42895.605451388888</v>
      </c>
      <c r="B20" s="30" t="s">
        <v>437</v>
      </c>
      <c r="C20" s="30" t="s">
        <v>609</v>
      </c>
      <c r="D20" s="30" t="s">
        <v>98</v>
      </c>
      <c r="E20" s="30" t="s">
        <v>202</v>
      </c>
      <c r="F20" s="42">
        <v>150</v>
      </c>
      <c r="G20" s="42">
        <v>200</v>
      </c>
      <c r="H20" s="42">
        <v>3282</v>
      </c>
      <c r="I20" s="42">
        <v>3620</v>
      </c>
      <c r="J20" s="30" t="s">
        <v>203</v>
      </c>
      <c r="K20" s="42">
        <v>0</v>
      </c>
      <c r="L20" s="134" t="s">
        <v>50</v>
      </c>
      <c r="M20" s="135">
        <f t="shared" si="0"/>
        <v>-1911.36</v>
      </c>
      <c r="N20" s="136" t="str">
        <f>VLOOKUP(C20,'Trips&amp;Operators'!$C$1:$G$99999,5,FALSE)</f>
        <v>HOLCOMB KAMDEN</v>
      </c>
      <c r="O20" s="210" t="s">
        <v>182</v>
      </c>
      <c r="P20" s="137"/>
      <c r="Q20" s="30"/>
      <c r="R20" s="84" t="str">
        <f>VLOOKUP(C20,'Train Runs'!$A$13:$AE$9936,31,0)</f>
        <v>aws s3 cp s3://rtdc.mdm.uploadarchive.raw/RTDC4020/ "%USERPROFILE%\AppData\Local\Temp\OnboardLogs"\RTDC4020\2017-06-09 --exclude "*" --recursive --include "*20170609*" &amp; "%USERPROFILE%\Documents\GitHub\mrs-test-scripts\Headless Mode &amp; Sideloading\WalkAndUnGZ.bat" "%USERPROFILE%\AppData\Local\Temp\OnboardLogs"\RTDC4020\2017-06-09 &amp; aws s3 cp s3://rtdc.mdm.uploadarchive.raw/RTDC4020/ "%USERPROFILE%\AppData\Local\Temp\OnboardLogs"\RTDC4020\2017-06-10 --exclude "*" --recursive --include "*20170610*" &amp; "%USERPROFILE%\Documents\GitHub\mrs-test-scripts\Headless Mode &amp; Sideloading\WalkAndUnGZ.bat" "%USERPROFILE%\AppData\Local\Temp\OnboardLogs"\RTDC4020\2017-06-10</v>
      </c>
      <c r="S20" s="87" t="str">
        <f>VLOOKUP(C20,'Train Runs'!$A$13:$AE$9936,22,0)</f>
        <v>https://d0f6bd738d7f1b3e5a7ca70fe4ff75f0.us-east-1.aws.found.io/app/kibana#/discover/Steve-Slow-Train-Analysis-(2080s-and-2083s)?_g=(refreshInterval:(display:Off,pause:!f,section:0,value:0),time:(from:'2017-06-09T13:27:45-0600',mode:absolute,to:'2017-06-09T16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0" s="89" t="str">
        <f t="shared" si="1"/>
        <v>"C:\Program Files (x86)\AstroGrep\AstroGrep.exe" /e /r /s /spath="%USERPROFILE%\AppData\Local\Temp\OnboardLogs" /stypes="*4020*201706092*"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4020</v>
      </c>
      <c r="V20" s="31">
        <f t="shared" si="3"/>
        <v>42895.855451388888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{"issue":{"subject":"","project_id":79,"tracker_id":40,"status_id":1,"priority_id":2,"assigned_to_id":23,"start_date":"2017-06-09","description":"","custom_fields":[{"id":1,"name":"Subdivision","value":"EC"},{"id":4,"name":"Milepost","value":"0"},{"id":17,"name":"Train ID","value":"187-09"},{"id":16,"name":"Locomotive ID","value":"4020"},{"id":130,"name":"Impact","value":""},{"id":150,"name":"Time of Event (Mountain Time)","value":"14:31:51"},{"id":151,"name":"Denver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/cygdrive/c/Users/stu/AppData/Local/Temp/OnboardLogs/RTDC4020 --include="*4020*201706092*"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"%USERPROFILE%\AppData\Local\Temp\OnboardLogs"\RTDC4020\*4020*201706092* &gt;&gt; 2017-06-09-SliceDisagreementCheck.txt</v>
      </c>
      <c r="AE20" s="148" t="str">
        <f t="shared" si="9"/>
        <v>start /low /b %USERPROFILE%\Documents\GitHub\eaglep3\Utilities\DownloadLogsFromS3.py --loco 4020 --day 2017-06-09</v>
      </c>
      <c r="AF20" s="1"/>
    </row>
    <row r="21" spans="1:32" x14ac:dyDescent="0.25">
      <c r="A21" s="31">
        <v>42895.823078703703</v>
      </c>
      <c r="B21" s="30" t="s">
        <v>552</v>
      </c>
      <c r="C21" s="30" t="s">
        <v>628</v>
      </c>
      <c r="D21" s="30" t="s">
        <v>49</v>
      </c>
      <c r="E21" s="30" t="s">
        <v>202</v>
      </c>
      <c r="F21" s="42">
        <v>450</v>
      </c>
      <c r="G21" s="42">
        <v>502</v>
      </c>
      <c r="H21" s="42">
        <v>17282</v>
      </c>
      <c r="I21" s="42">
        <v>14047</v>
      </c>
      <c r="J21" s="30" t="s">
        <v>203</v>
      </c>
      <c r="K21" s="42">
        <v>15167</v>
      </c>
      <c r="L21" s="134" t="s">
        <v>51</v>
      </c>
      <c r="M21" s="135">
        <f t="shared" si="0"/>
        <v>-591.36</v>
      </c>
      <c r="N21" s="136" t="str">
        <f>VLOOKUP(C21,'Trips&amp;Operators'!$C$1:$G$99999,5,FALSE)</f>
        <v>BIRENBAUM THOMAS</v>
      </c>
      <c r="O21" s="210" t="s">
        <v>182</v>
      </c>
      <c r="P21" s="137"/>
      <c r="Q21" s="30"/>
      <c r="R21" s="84" t="str">
        <f>VLOOKUP(C21,'Train Runs'!$A$13:$AE$9936,31,0)</f>
        <v>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 &amp; 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</v>
      </c>
      <c r="S21" s="87" t="str">
        <f>VLOOKUP(C21,'Train Runs'!$A$13:$AE$9936,22,0)</f>
        <v>https://d0f6bd738d7f1b3e5a7ca70fe4ff75f0.us-east-1.aws.found.io/app/kibana#/discover/Steve-Slow-Train-Analysis-(2080s-and-2083s)?_g=(refreshInterval:(display:Off,pause:!f,section:0,value:0),time:(from:'2017-06-09T18:06:41-0600',mode:absolute,to:'2017-06-09T20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1" s="89" t="str">
        <f t="shared" si="1"/>
        <v>"C:\Program Files (x86)\AstroGrep\AstroGrep.exe" /e /r /s /spath="%USERPROFILE%\AppData\Local\Temp\OnboardLogs" /stypes="*4029*201706100*" /stext=" 01:.+((SYSTEM_STATE.+slice.+state.+changed )|(ment ac)|(multiple cpu faults)|(system.+state.+changed )|(\[timeout)|(PRM\|1\|D)|(kpr)|(kdp)|(train st.+moving)|(\|lc)|(penalty))"</v>
      </c>
      <c r="U21" s="9" t="str">
        <f t="shared" si="2"/>
        <v>4029</v>
      </c>
      <c r="V21" s="31">
        <f t="shared" si="3"/>
        <v>42896.073078703703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{"issue":{"subject":"","project_id":79,"tracker_id":40,"status_id":1,"priority_id":2,"assigned_to_id":23,"start_date":"2017-06-09","description":"","custom_fields":[{"id":1,"name":"Subdivision","value":"EC"},{"id":4,"name":"Milepost","value":"1.5167"},{"id":17,"name":"Train ID","value":"218-09"},{"id":16,"name":"Locomotive ID","value":"4029"},{"id":130,"name":"Impact","value":""},{"id":150,"name":"Time of Event (Mountain Time)","value":"19:45:14"},{"id":151,"name":"Denver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/cygdrive/c/Users/stu/AppData/Local/Temp/OnboardLogs/RTDC4029 --include="*4029*201706100*"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"%USERPROFILE%\AppData\Local\Temp\OnboardLogs"\RTDC4029\*4029*201706100* &gt;&gt; 2017-06-09-SliceDisagreementCheck.txt</v>
      </c>
      <c r="AE21" s="148" t="str">
        <f t="shared" si="9"/>
        <v>start /low /b %USERPROFILE%\Documents\GitHub\eaglep3\Utilities\DownloadLogsFromS3.py --loco 4029 --day 2017-06-10</v>
      </c>
      <c r="AF21" s="1"/>
    </row>
    <row r="22" spans="1:32" x14ac:dyDescent="0.25">
      <c r="A22" s="31">
        <v>42895.356921296298</v>
      </c>
      <c r="B22" s="30" t="s">
        <v>592</v>
      </c>
      <c r="C22" s="30" t="s">
        <v>595</v>
      </c>
      <c r="D22" s="30" t="s">
        <v>49</v>
      </c>
      <c r="E22" s="30" t="s">
        <v>202</v>
      </c>
      <c r="F22" s="42">
        <v>400</v>
      </c>
      <c r="G22" s="42">
        <v>476</v>
      </c>
      <c r="H22" s="42">
        <v>17242</v>
      </c>
      <c r="I22" s="42">
        <v>18007</v>
      </c>
      <c r="J22" s="30" t="s">
        <v>203</v>
      </c>
      <c r="K22" s="42">
        <v>17867</v>
      </c>
      <c r="L22" s="134" t="s">
        <v>50</v>
      </c>
      <c r="M22" s="135">
        <f t="shared" si="0"/>
        <v>-73.92</v>
      </c>
      <c r="N22" s="136" t="str">
        <f>VLOOKUP(C22,'Trips&amp;Operators'!$C$1:$G$99999,5,FALSE)</f>
        <v>STARKS ANGELINA</v>
      </c>
      <c r="O22" s="210" t="s">
        <v>182</v>
      </c>
      <c r="P22" s="137"/>
      <c r="Q22" s="30"/>
      <c r="R22" s="84" t="str">
        <f>VLOOKUP(C22,'Train Runs'!$A$13:$AE$9936,31,0)</f>
        <v>aws s3 cp s3://rtdc.mdm.uploadarchive.raw/RTDC4010/ "%USERPROFILE%\AppData\Local\Temp\OnboardLogs"\RTDC4010\2017-06-09 --exclude "*" --recursive --include "*20170609*" &amp; "%USERPROFILE%\Documents\GitHub\mrs-test-scripts\Headless Mode &amp; Sideloading\WalkAndUnGZ.bat" "%USERPROFILE%\AppData\Local\Temp\OnboardLogs"\RTDC4010\2017-06-09 &amp; aws s3 cp s3://rtdc.mdm.uploadarchive.raw/RTDC4010/ "%USERPROFILE%\AppData\Local\Temp\OnboardLogs"\RTDC4010\2017-06-10 --exclude "*" --recursive --include "*20170610*" &amp; "%USERPROFILE%\Documents\GitHub\mrs-test-scripts\Headless Mode &amp; Sideloading\WalkAndUnGZ.bat" "%USERPROFILE%\AppData\Local\Temp\OnboardLogs"\RTDC4010\2017-06-10</v>
      </c>
      <c r="S22" s="87" t="str">
        <f>VLOOKUP(C22,'Train Runs'!$A$13:$AE$9936,22,0)</f>
        <v>https://d0f6bd738d7f1b3e5a7ca70fe4ff75f0.us-east-1.aws.found.io/app/kibana#/discover/Steve-Slow-Train-Analysis-(2080s-and-2083s)?_g=(refreshInterval:(display:Off,pause:!f,section:0,value:0),time:(from:'2017-06-09T07:25:02-0600',mode:absolute,to:'2017-06-09T10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2" s="89" t="str">
        <f t="shared" si="1"/>
        <v>"C:\Program Files (x86)\AstroGrep\AstroGrep.exe" /e /r /s /spath="%USERPROFILE%\AppData\Local\Temp\OnboardLogs" /stypes="*4010*201706091*" /stext=" 14:.+((SYSTEM_STATE.+slice.+state.+changed )|(ment ac)|(multiple cpu faults)|(system.+state.+changed )|(\[timeout)|(PRM\|1\|D)|(kpr)|(kdp)|(train st.+moving)|(\|lc)|(penalty))"</v>
      </c>
      <c r="U22" s="9" t="str">
        <f t="shared" si="2"/>
        <v>4010</v>
      </c>
      <c r="V22" s="31">
        <f t="shared" si="3"/>
        <v>42895.606921296298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{"issue":{"subject":"","project_id":79,"tracker_id":40,"status_id":1,"priority_id":2,"assigned_to_id":23,"start_date":"2017-06-09","description":"","custom_fields":[{"id":1,"name":"Subdivision","value":"EC"},{"id":4,"name":"Milepost","value":"1.7867"},{"id":17,"name":"Train ID","value":"139-09"},{"id":16,"name":"Locomotive ID","value":"4010"},{"id":130,"name":"Impact","value":""},{"id":150,"name":"Time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/cygdrive/c/Users/stu/AppData/Local/Temp/OnboardLogs/RTDC4010 --include="*4010*201706091*"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"%USERPROFILE%\AppData\Local\Temp\OnboardLogs"\RTDC4010\*4010*201706091* &gt;&gt; 2017-06-09-SliceDisagreementCheck.txt</v>
      </c>
      <c r="AE22" s="148" t="str">
        <f t="shared" si="9"/>
        <v>start /low /b %USERPROFILE%\Documents\GitHub\eaglep3\Utilities\DownloadLogsFromS3.py --loco 4010 --day 2017-06-09</v>
      </c>
      <c r="AF22" s="1"/>
    </row>
    <row r="23" spans="1:32" x14ac:dyDescent="0.25">
      <c r="A23" s="31">
        <v>42895.67019675926</v>
      </c>
      <c r="B23" s="30" t="s">
        <v>482</v>
      </c>
      <c r="C23" s="30" t="s">
        <v>615</v>
      </c>
      <c r="D23" s="30" t="s">
        <v>49</v>
      </c>
      <c r="E23" s="30" t="s">
        <v>202</v>
      </c>
      <c r="F23" s="42">
        <v>400</v>
      </c>
      <c r="G23" s="42">
        <v>602</v>
      </c>
      <c r="H23" s="42">
        <v>13628</v>
      </c>
      <c r="I23" s="42">
        <v>17320</v>
      </c>
      <c r="J23" s="30" t="s">
        <v>203</v>
      </c>
      <c r="K23" s="42">
        <v>17867</v>
      </c>
      <c r="L23" s="134" t="s">
        <v>50</v>
      </c>
      <c r="M23" s="135">
        <f t="shared" si="0"/>
        <v>288.81599999999997</v>
      </c>
      <c r="N23" s="136" t="str">
        <f>VLOOKUP(C23,'Trips&amp;Operators'!$C$1:$G$99999,5,FALSE)</f>
        <v>MAYBERRY BILL</v>
      </c>
      <c r="O23" s="210" t="s">
        <v>182</v>
      </c>
      <c r="P23" s="137"/>
      <c r="Q23" s="30"/>
      <c r="R23" s="84" t="str">
        <f>VLOOKUP(C23,'Train Runs'!$A$13:$AE$9936,31,0)</f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S23" s="87" t="str">
        <f>VLOOKUP(C23,'Train Runs'!$A$13:$AE$9936,22,0)</f>
        <v>https://d0f6bd738d7f1b3e5a7ca70fe4ff75f0.us-east-1.aws.found.io/app/kibana#/discover/Steve-Slow-Train-Analysis-(2080s-and-2083s)?_g=(refreshInterval:(display:Off,pause:!f,section:0,value:0),time:(from:'2017-06-09T14:53:26-0600',mode:absolute,to:'2017-06-09T17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3" s="89" t="str">
        <f t="shared" si="1"/>
        <v>"C:\Program Files (x86)\AstroGrep\AstroGrep.exe" /e /r /s /spath="%USERPROFILE%\AppData\Local\Temp\OnboardLogs" /stypes="*4046*201706092*" /stext=" 22:.+((SYSTEM_STATE.+slice.+state.+changed )|(ment ac)|(multiple cpu faults)|(system.+state.+changed )|(\[timeout)|(PRM\|1\|D)|(kpr)|(kdp)|(train st.+moving)|(\|lc)|(penalty))"</v>
      </c>
      <c r="U23" s="9" t="str">
        <f t="shared" si="2"/>
        <v>4046</v>
      </c>
      <c r="V23" s="31">
        <f t="shared" si="3"/>
        <v>42895.92019675926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{"issue":{"subject":"","project_id":79,"tracker_id":40,"status_id":1,"priority_id":2,"assigned_to_id":23,"start_date":"2017-06-09","description":"","custom_fields":[{"id":1,"name":"Subdivision","value":"EC"},{"id":4,"name":"Milepost","value":"1.7867"},{"id":17,"name":"Train ID","value":"199-09"},{"id":16,"name":"Locomotive ID","value":"4046"},{"id":130,"name":"Impact","value":""},{"id":150,"name":"Time of Event (Mountain Time)","value":"16:05:05"},{"id":151,"name":"Denver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/cygdrive/c/Users/stu/AppData/Local/Temp/OnboardLogs/RTDC4046 --include="*4046*201706092*"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"%USERPROFILE%\AppData\Local\Temp\OnboardLogs"\RTDC4046\*4046*201706092* &gt;&gt; 2017-06-09-SliceDisagreementCheck.txt</v>
      </c>
      <c r="AE23" s="148" t="str">
        <f t="shared" si="9"/>
        <v>start /low /b %USERPROFILE%\Documents\GitHub\eaglep3\Utilities\DownloadLogsFromS3.py --loco 4046 --day 2017-06-09</v>
      </c>
      <c r="AF23" s="1"/>
    </row>
    <row r="24" spans="1:32" x14ac:dyDescent="0.25">
      <c r="A24" s="31">
        <v>42895.941458333335</v>
      </c>
      <c r="B24" s="30" t="s">
        <v>504</v>
      </c>
      <c r="C24" s="30" t="s">
        <v>631</v>
      </c>
      <c r="D24" s="30" t="s">
        <v>98</v>
      </c>
      <c r="E24" s="30" t="s">
        <v>202</v>
      </c>
      <c r="F24" s="42">
        <v>300</v>
      </c>
      <c r="G24" s="42">
        <v>355</v>
      </c>
      <c r="H24" s="42">
        <v>20338</v>
      </c>
      <c r="I24" s="42">
        <v>21167</v>
      </c>
      <c r="J24" s="30" t="s">
        <v>203</v>
      </c>
      <c r="K24" s="42">
        <v>20338</v>
      </c>
      <c r="L24" s="134" t="s">
        <v>50</v>
      </c>
      <c r="M24" s="135">
        <f t="shared" si="0"/>
        <v>-437.71199999999999</v>
      </c>
      <c r="N24" s="136" t="str">
        <f>VLOOKUP(C24,'Trips&amp;Operators'!$C$1:$G$99999,5,FALSE)</f>
        <v>FORTUNATO FRANK</v>
      </c>
      <c r="O24" s="210" t="s">
        <v>182</v>
      </c>
      <c r="P24" s="137"/>
      <c r="Q24" s="30"/>
      <c r="R24" s="84" t="str">
        <f>VLOOKUP(C24,'Train Runs'!$A$13:$AE$9936,31,0)</f>
        <v>aws s3 cp s3://rtdc.mdm.uploadarchive.raw/RTDC4006/ "%USERPROFILE%\AppData\Local\Temp\OnboardLogs"\RTDC4006\2017-06-09 --exclude "*" --recursive --include "*20170609*" &amp; "%USERPROFILE%\Documents\GitHub\mrs-test-scripts\Headless Mode &amp; Sideloading\WalkAndUnGZ.bat" "%USERPROFILE%\AppData\Local\Temp\OnboardLogs"\RTDC4006\2017-06-09 &amp; 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</v>
      </c>
      <c r="S24" s="87" t="str">
        <f>VLOOKUP(C24,'Train Runs'!$A$13:$AE$9936,22,0)</f>
        <v>https://d0f6bd738d7f1b3e5a7ca70fe4ff75f0.us-east-1.aws.found.io/app/kibana#/discover/Steve-Slow-Train-Analysis-(2080s-and-2083s)?_g=(refreshInterval:(display:Off,pause:!f,section:0,value:0),time:(from:'2017-06-09T21:13:33-0600',mode:absolute,to:'2017-06-10T00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4" s="89" t="str">
        <f t="shared" si="1"/>
        <v>"C:\Program Files (x86)\AstroGrep\AstroGrep.exe" /e /r /s /spath="%USERPROFILE%\AppData\Local\Temp\OnboardLogs" /stypes="*4006*201706100*" /stext=" 04:.+((SYSTEM_STATE.+slice.+state.+changed )|(ment ac)|(multiple cpu faults)|(system.+state.+changed )|(\[timeout)|(PRM\|1\|D)|(kpr)|(kdp)|(train st.+moving)|(\|lc)|(penalty))"</v>
      </c>
      <c r="U24" s="9" t="str">
        <f t="shared" si="2"/>
        <v>4006</v>
      </c>
      <c r="V24" s="31">
        <f t="shared" si="3"/>
        <v>42896.191458333335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{"issue":{"subject":"","project_id":79,"tracker_id":40,"status_id":1,"priority_id":2,"assigned_to_id":23,"start_date":"2017-06-09","description":"","custom_fields":[{"id":1,"name":"Subdivision","value":"EC"},{"id":4,"name":"Milepost","value":"2.0338"},{"id":17,"name":"Train ID","value":"235-09"},{"id":16,"name":"Locomotive ID","value":"4006"},{"id":130,"name":"Impact","value":""},{"id":150,"name":"Time of Event (Mountain Time)","value":"22:35:42"},{"id":151,"name":"Denver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/cygdrive/c/Users/stu/AppData/Local/Temp/OnboardLogs/RTDC4006 --include="*4006*201706100*"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"%USERPROFILE%\AppData\Local\Temp\OnboardLogs"\RTDC4006\*4006*201706100* &gt;&gt; 2017-06-09-SliceDisagreementCheck.txt</v>
      </c>
      <c r="AE24" s="148" t="str">
        <f t="shared" si="9"/>
        <v>start /low /b %USERPROFILE%\Documents\GitHub\eaglep3\Utilities\DownloadLogsFromS3.py --loco 4006 --day 2017-06-10</v>
      </c>
      <c r="AF24" s="1"/>
    </row>
    <row r="25" spans="1:32" x14ac:dyDescent="0.25">
      <c r="A25" s="31">
        <v>42895.729375000003</v>
      </c>
      <c r="B25" s="30" t="s">
        <v>483</v>
      </c>
      <c r="C25" s="30" t="s">
        <v>620</v>
      </c>
      <c r="D25" s="30" t="s">
        <v>49</v>
      </c>
      <c r="E25" s="30" t="s">
        <v>202</v>
      </c>
      <c r="F25" s="42">
        <v>300</v>
      </c>
      <c r="G25" s="42">
        <v>385</v>
      </c>
      <c r="H25" s="42">
        <v>23152</v>
      </c>
      <c r="I25" s="42">
        <v>21921</v>
      </c>
      <c r="J25" s="30" t="s">
        <v>203</v>
      </c>
      <c r="K25" s="42">
        <v>21848</v>
      </c>
      <c r="L25" s="134" t="s">
        <v>51</v>
      </c>
      <c r="M25" s="135">
        <f t="shared" si="0"/>
        <v>38.543999999999997</v>
      </c>
      <c r="N25" s="136" t="str">
        <f>VLOOKUP(C25,'Trips&amp;Operators'!$C$1:$G$99999,5,FALSE)</f>
        <v>MAYBERRY BILL</v>
      </c>
      <c r="O25" s="210" t="s">
        <v>182</v>
      </c>
      <c r="P25" s="137"/>
      <c r="Q25" s="30"/>
      <c r="R25" s="84" t="str">
        <f>VLOOKUP(C25,'Train Runs'!$A$13:$AE$9936,31,0)</f>
        <v>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 &amp; aws s3 cp s3://rtdc.mdm.uploadarchive.raw/RTDC4045/ "%USERPROFILE%\AppData\Local\Temp\OnboardLogs"\RTDC4045\2017-06-10 --exclude "*" --recursive --include "*20170610*" &amp; "%USERPROFILE%\Documents\GitHub\mrs-test-scripts\Headless Mode &amp; Sideloading\WalkAndUnGZ.bat" "%USERPROFILE%\AppData\Local\Temp\OnboardLogs"\RTDC4045\2017-06-10</v>
      </c>
      <c r="S25" s="87" t="str">
        <f>VLOOKUP(C25,'Train Runs'!$A$13:$AE$9936,22,0)</f>
        <v>https://d0f6bd738d7f1b3e5a7ca70fe4ff75f0.us-east-1.aws.found.io/app/kibana#/discover/Steve-Slow-Train-Analysis-(2080s-and-2083s)?_g=(refreshInterval:(display:Off,pause:!f,section:0,value:0),time:(from:'2017-06-09T15:47:17-0600',mode:absolute,to:'2017-06-09T18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5" s="89" t="str">
        <f t="shared" si="1"/>
        <v>"C:\Program Files (x86)\AstroGrep\AstroGrep.exe" /e /r /s /spath="%USERPROFILE%\AppData\Local\Temp\OnboardLogs" /stypes="*4045*201706092*" /stext=" 23:.+((SYSTEM_STATE.+slice.+state.+changed )|(ment ac)|(multiple cpu faults)|(system.+state.+changed )|(\[timeout)|(PRM\|1\|D)|(kpr)|(kdp)|(train st.+moving)|(\|lc)|(penalty))"</v>
      </c>
      <c r="U25" s="9" t="str">
        <f t="shared" si="2"/>
        <v>4045</v>
      </c>
      <c r="V25" s="31">
        <f t="shared" si="3"/>
        <v>42895.979375000003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{"issue":{"subject":"","project_id":79,"tracker_id":40,"status_id":1,"priority_id":2,"assigned_to_id":23,"start_date":"2017-06-09","description":"","custom_fields":[{"id":1,"name":"Subdivision","value":"EC"},{"id":4,"name":"Milepost","value":"2.1848"},{"id":17,"name":"Train ID","value":"200-09"},{"id":16,"name":"Locomotive ID","value":"4045"},{"id":130,"name":"Impact","value":""},{"id":150,"name":"Time of Event (Mountain Time)","value":"17:30:18"},{"id":151,"name":"Denver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/cygdrive/c/Users/stu/AppData/Local/Temp/OnboardLogs/RTDC4045 --include="*4045*201706092*"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"%USERPROFILE%\AppData\Local\Temp\OnboardLogs"\RTDC4045\*4045*201706092* &gt;&gt; 2017-06-09-SliceDisagreementCheck.txt</v>
      </c>
      <c r="AE25" s="148" t="str">
        <f t="shared" si="9"/>
        <v>start /low /b %USERPROFILE%\Documents\GitHub\eaglep3\Utilities\DownloadLogsFromS3.py --loco 4045 --day 2017-06-09</v>
      </c>
      <c r="AF25" s="1"/>
    </row>
    <row r="26" spans="1:32" x14ac:dyDescent="0.25">
      <c r="A26" s="31">
        <v>42895.682291666664</v>
      </c>
      <c r="B26" s="30" t="s">
        <v>482</v>
      </c>
      <c r="C26" s="30" t="s">
        <v>615</v>
      </c>
      <c r="D26" s="30" t="s">
        <v>49</v>
      </c>
      <c r="E26" s="30" t="s">
        <v>202</v>
      </c>
      <c r="F26" s="42">
        <v>400</v>
      </c>
      <c r="G26" s="42">
        <v>585</v>
      </c>
      <c r="H26" s="42">
        <v>114962</v>
      </c>
      <c r="I26" s="42">
        <v>117030</v>
      </c>
      <c r="J26" s="30" t="s">
        <v>203</v>
      </c>
      <c r="K26" s="42">
        <v>116838</v>
      </c>
      <c r="L26" s="134" t="s">
        <v>50</v>
      </c>
      <c r="M26" s="135">
        <f t="shared" si="0"/>
        <v>-101.376</v>
      </c>
      <c r="N26" s="136" t="str">
        <f>VLOOKUP(C26,'Trips&amp;Operators'!$C$1:$G$99999,5,FALSE)</f>
        <v>MAYBERRY BILL</v>
      </c>
      <c r="O26" s="210" t="s">
        <v>182</v>
      </c>
      <c r="P26" s="137"/>
      <c r="Q26" s="30"/>
      <c r="R26" s="84" t="str">
        <f>VLOOKUP(C26,'Train Runs'!$A$13:$AE$9936,31,0)</f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S26" s="87" t="str">
        <f>VLOOKUP(C26,'Train Runs'!$A$13:$AE$9936,22,0)</f>
        <v>https://d0f6bd738d7f1b3e5a7ca70fe4ff75f0.us-east-1.aws.found.io/app/kibana#/discover/Steve-Slow-Train-Analysis-(2080s-and-2083s)?_g=(refreshInterval:(display:Off,pause:!f,section:0,value:0),time:(from:'2017-06-09T14:53:26-0600',mode:absolute,to:'2017-06-09T17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6" s="89" t="str">
        <f t="shared" si="1"/>
        <v>"C:\Program Files (x86)\AstroGrep\AstroGrep.exe" /e /r /s /spath="%USERPROFILE%\AppData\Local\Temp\OnboardLogs" /stypes="*4046*201706092*" /stext=" 22:.+((SYSTEM_STATE.+slice.+state.+changed )|(ment ac)|(multiple cpu faults)|(system.+state.+changed )|(\[timeout)|(PRM\|1\|D)|(kpr)|(kdp)|(train st.+moving)|(\|lc)|(penalty))"</v>
      </c>
      <c r="U26" s="9" t="str">
        <f t="shared" si="2"/>
        <v>4046</v>
      </c>
      <c r="V26" s="31">
        <f t="shared" si="3"/>
        <v>42895.932291666664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{"issue":{"subject":"","project_id":79,"tracker_id":40,"status_id":1,"priority_id":2,"assigned_to_id":23,"start_date":"2017-06-09","description":"","custom_fields":[{"id":1,"name":"Subdivision","value":"EC"},{"id":4,"name":"Milepost","value":"11.6838"},{"id":17,"name":"Train ID","value":"199-09"},{"id":16,"name":"Locomotive ID","value":"4046"},{"id":130,"name":"Impact","value":""},{"id":150,"name":"Time of Event (Mountain Time)","value":"16:22:30"},{"id":151,"name":"Denver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/cygdrive/c/Users/stu/AppData/Local/Temp/OnboardLogs/RTDC4046 --include="*4046*201706092*"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"%USERPROFILE%\AppData\Local\Temp\OnboardLogs"\RTDC4046\*4046*201706092* &gt;&gt; 2017-06-09-SliceDisagreementCheck.txt</v>
      </c>
      <c r="AE26" s="148" t="str">
        <f t="shared" si="9"/>
        <v>start /low /b %USERPROFILE%\Documents\GitHub\eaglep3\Utilities\DownloadLogsFromS3.py --loco 4046 --day 2017-06-09</v>
      </c>
      <c r="AF26" s="1"/>
    </row>
    <row r="27" spans="1:32" x14ac:dyDescent="0.25">
      <c r="A27" s="31">
        <v>42895.586863425924</v>
      </c>
      <c r="B27" s="30" t="s">
        <v>552</v>
      </c>
      <c r="C27" s="30" t="s">
        <v>608</v>
      </c>
      <c r="D27" s="30" t="s">
        <v>98</v>
      </c>
      <c r="E27" s="30" t="s">
        <v>202</v>
      </c>
      <c r="F27" s="42">
        <v>700</v>
      </c>
      <c r="G27" s="42">
        <v>750</v>
      </c>
      <c r="H27" s="42">
        <v>180292</v>
      </c>
      <c r="I27" s="42">
        <v>176677</v>
      </c>
      <c r="J27" s="30" t="s">
        <v>203</v>
      </c>
      <c r="K27" s="42">
        <v>183829</v>
      </c>
      <c r="L27" s="134" t="s">
        <v>51</v>
      </c>
      <c r="M27" s="135">
        <f t="shared" si="0"/>
        <v>-3776.2559999999999</v>
      </c>
      <c r="N27" s="136" t="str">
        <f>VLOOKUP(C27,'Trips&amp;Operators'!$C$1:$G$99999,5,FALSE)</f>
        <v>BRANDNER MELINDA</v>
      </c>
      <c r="O27" s="210" t="s">
        <v>182</v>
      </c>
      <c r="P27" s="137"/>
      <c r="Q27" s="30"/>
      <c r="R27" s="84" t="str">
        <f>VLOOKUP(C27,'Train Runs'!$A$13:$AE$9936,31,0)</f>
        <v>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 &amp; 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</v>
      </c>
      <c r="S27" s="87" t="str">
        <f>VLOOKUP(C27,'Train Runs'!$A$13:$AE$9936,22,0)</f>
        <v>https://d0f6bd738d7f1b3e5a7ca70fe4ff75f0.us-east-1.aws.found.io/app/kibana#/discover/Steve-Slow-Train-Analysis-(2080s-and-2083s)?_g=(refreshInterval:(display:Off,pause:!f,section:0,value:0),time:(from:'2017-06-09T12:53:18-0600',mode:absolute,to:'2017-06-09T15:39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7" s="89" t="str">
        <f t="shared" si="1"/>
        <v>"C:\Program Files (x86)\AstroGrep\AstroGrep.exe" /e /r /s /spath="%USERPROFILE%\AppData\Local\Temp\OnboardLogs" /stypes="*4029*201706092*" /stext=" 20:.+((SYSTEM_STATE.+slice.+state.+changed )|(ment ac)|(multiple cpu faults)|(system.+state.+changed )|(\[timeout)|(PRM\|1\|D)|(kpr)|(kdp)|(train st.+moving)|(\|lc)|(penalty))"</v>
      </c>
      <c r="U27" s="9" t="str">
        <f t="shared" si="2"/>
        <v>4029</v>
      </c>
      <c r="V27" s="31">
        <f t="shared" si="3"/>
        <v>42895.836863425924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{"issue":{"subject":"","project_id":79,"tracker_id":40,"status_id":1,"priority_id":2,"assigned_to_id":23,"start_date":"2017-06-09","description":"","custom_fields":[{"id":1,"name":"Subdivision","value":"EC"},{"id":4,"name":"Milepost","value":"18.3829"},{"id":17,"name":"Train ID","value":"176-09"},{"id":16,"name":"Locomotive ID","value":"4029"},{"id":130,"name":"Impact","value":""},{"id":150,"name":"Time of Event (Mountain Time)","value":"14:05:05"},{"id":151,"name":"Denver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/cygdrive/c/Users/stu/AppData/Local/Temp/OnboardLogs/RTDC4029 --include="*4029*201706092*"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"%USERPROFILE%\AppData\Local\Temp\OnboardLogs"\RTDC4029\*4029*201706092* &gt;&gt; 2017-06-09-SliceDisagreementCheck.txt</v>
      </c>
      <c r="AE27" s="148" t="str">
        <f t="shared" si="9"/>
        <v>start /low /b %USERPROFILE%\Documents\GitHub\eaglep3\Utilities\DownloadLogsFromS3.py --loco 4029 --day 2017-06-09</v>
      </c>
      <c r="AF27" s="1"/>
    </row>
    <row r="28" spans="1:32" x14ac:dyDescent="0.25">
      <c r="A28" s="31">
        <v>42895.43109953704</v>
      </c>
      <c r="B28" s="30" t="s">
        <v>589</v>
      </c>
      <c r="C28" s="30" t="s">
        <v>599</v>
      </c>
      <c r="D28" s="30" t="s">
        <v>98</v>
      </c>
      <c r="E28" s="30" t="s">
        <v>202</v>
      </c>
      <c r="F28" s="42">
        <v>600</v>
      </c>
      <c r="G28" s="42">
        <v>652</v>
      </c>
      <c r="H28" s="42">
        <v>183890</v>
      </c>
      <c r="I28" s="42">
        <v>181055</v>
      </c>
      <c r="J28" s="30" t="s">
        <v>203</v>
      </c>
      <c r="K28" s="42">
        <v>190834</v>
      </c>
      <c r="L28" s="134" t="s">
        <v>51</v>
      </c>
      <c r="M28" s="135">
        <f t="shared" si="0"/>
        <v>-5163.3119999999999</v>
      </c>
      <c r="N28" s="136" t="str">
        <f>VLOOKUP(C28,'Trips&amp;Operators'!$C$1:$G$99999,5,FALSE)</f>
        <v>LOZA FIDEL</v>
      </c>
      <c r="O28" s="210" t="s">
        <v>182</v>
      </c>
      <c r="P28" s="137"/>
      <c r="Q28" s="30"/>
      <c r="R28" s="84" t="str">
        <f>VLOOKUP(C28,'Train Runs'!$A$13:$AE$9936,31,0)</f>
        <v>aws s3 cp s3://rtdc.mdm.uploadarchive.raw/RTDC4061/ "%USERPROFILE%\AppData\Local\Temp\OnboardLogs"\RTDC4061\2017-06-09 --exclude "*" --recursive --include "*20170609*" &amp; "%USERPROFILE%\Documents\GitHub\mrs-test-scripts\Headless Mode &amp; Sideloading\WalkAndUnGZ.bat" "%USERPROFILE%\AppData\Local\Temp\OnboardLogs"\RTDC4061\2017-06-09 &amp; 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</v>
      </c>
      <c r="S28" s="87" t="str">
        <f>VLOOKUP(C28,'Train Runs'!$A$13:$AE$9936,22,0)</f>
        <v>https://d0f6bd738d7f1b3e5a7ca70fe4ff75f0.us-east-1.aws.found.io/app/kibana#/discover/Steve-Slow-Train-Analysis-(2080s-and-2083s)?_g=(refreshInterval:(display:Off,pause:!f,section:0,value:0),time:(from:'2017-06-09T09:09:20-0600',mode:absolute,to:'2017-06-09T11:59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8" s="89" t="str">
        <f t="shared" si="1"/>
        <v>"C:\Program Files (x86)\AstroGrep\AstroGrep.exe" /e /r /s /spath="%USERPROFILE%\AppData\Local\Temp\OnboardLogs" /stypes="*4061*201706091*" /stext=" 16:.+((SYSTEM_STATE.+slice.+state.+changed )|(ment ac)|(multiple cpu faults)|(system.+state.+changed )|(\[timeout)|(PRM\|1\|D)|(kpr)|(kdp)|(train st.+moving)|(\|lc)|(penalty))"</v>
      </c>
      <c r="U28" s="9" t="str">
        <f t="shared" si="2"/>
        <v>4061</v>
      </c>
      <c r="V28" s="31">
        <f t="shared" si="3"/>
        <v>42895.68109953704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{"issue":{"subject":"","project_id":79,"tracker_id":40,"status_id":1,"priority_id":2,"assigned_to_id":23,"start_date":"2017-06-09","description":"","custom_fields":[{"id":1,"name":"Subdivision","value":"EC"},{"id":4,"name":"Milepost","value":"19.0834"},{"id":17,"name":"Train ID","value":"146-09"},{"id":16,"name":"Locomotive ID","value":"4061"},{"id":130,"name":"Impact","value":""},{"id":150,"name":"Time of Event (Mountain Time)","value":"10:20:47"},{"id":151,"name":"Denver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/cygdrive/c/Users/stu/AppData/Local/Temp/OnboardLogs/RTDC4061 --include="*4061*201706091*"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"%USERPROFILE%\AppData\Local\Temp\OnboardLogs"\RTDC4061\*4061*201706091* &gt;&gt; 2017-06-09-SliceDisagreementCheck.txt</v>
      </c>
      <c r="AE28" s="148" t="str">
        <f t="shared" si="9"/>
        <v>start /low /b %USERPROFILE%\Documents\GitHub\eaglep3\Utilities\DownloadLogsFromS3.py --loco 4061 --day 2017-06-09</v>
      </c>
      <c r="AF28" s="1"/>
    </row>
    <row r="29" spans="1:32" x14ac:dyDescent="0.25">
      <c r="A29" s="31">
        <v>42895.624560185184</v>
      </c>
      <c r="B29" s="30" t="s">
        <v>482</v>
      </c>
      <c r="C29" s="30" t="s">
        <v>611</v>
      </c>
      <c r="D29" s="30" t="s">
        <v>49</v>
      </c>
      <c r="E29" s="30" t="s">
        <v>202</v>
      </c>
      <c r="F29" s="42">
        <v>350</v>
      </c>
      <c r="G29" s="42">
        <v>467</v>
      </c>
      <c r="H29" s="42">
        <v>223164</v>
      </c>
      <c r="I29" s="42">
        <v>224405</v>
      </c>
      <c r="J29" s="30" t="s">
        <v>203</v>
      </c>
      <c r="K29" s="42">
        <v>224581</v>
      </c>
      <c r="L29" s="134" t="s">
        <v>50</v>
      </c>
      <c r="M29" s="135">
        <f t="shared" si="0"/>
        <v>92.927999999999997</v>
      </c>
      <c r="N29" s="136" t="str">
        <f>VLOOKUP(C29,'Trips&amp;Operators'!$C$1:$G$99999,5,FALSE)</f>
        <v>MAYBERRY BILL</v>
      </c>
      <c r="O29" s="210" t="s">
        <v>182</v>
      </c>
      <c r="P29" s="137"/>
      <c r="Q29" s="30"/>
      <c r="R29" s="84" t="str">
        <f>VLOOKUP(C29,'Train Runs'!$A$13:$AE$9936,31,0)</f>
        <v>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 &amp; aws s3 cp s3://rtdc.mdm.uploadarchive.raw/RTDC4046/ "%USERPROFILE%\AppData\Local\Temp\OnboardLogs"\RTDC4046\2017-06-10 --exclude "*" --recursive --include "*20170610*" &amp; "%USERPROFILE%\Documents\GitHub\mrs-test-scripts\Headless Mode &amp; Sideloading\WalkAndUnGZ.bat" "%USERPROFILE%\AppData\Local\Temp\OnboardLogs"\RTDC4046\2017-06-10</v>
      </c>
      <c r="S29" s="87" t="str">
        <f>VLOOKUP(C29,'Train Runs'!$A$13:$AE$9936,22,0)</f>
        <v>https://d0f6bd738d7f1b3e5a7ca70fe4ff75f0.us-east-1.aws.found.io/app/kibana#/discover/Steve-Slow-Train-Analysis-(2080s-and-2083s)?_g=(refreshInterval:(display:Off,pause:!f,section:0,value:0),time:(from:'2017-06-09T13:10:08-0600',mode:absolute,to:'2017-06-09T16:02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9" s="89" t="str">
        <f t="shared" si="1"/>
        <v>"C:\Program Files (x86)\AstroGrep\AstroGrep.exe" /e /r /s /spath="%USERPROFILE%\AppData\Local\Temp\OnboardLogs" /stypes="*4046*201706092*" /stext=" 20:.+((SYSTEM_STATE.+slice.+state.+changed )|(ment ac)|(multiple cpu faults)|(system.+state.+changed )|(\[timeout)|(PRM\|1\|D)|(kpr)|(kdp)|(train st.+moving)|(\|lc)|(penalty))"</v>
      </c>
      <c r="U29" s="9" t="str">
        <f t="shared" si="2"/>
        <v>4046</v>
      </c>
      <c r="V29" s="31">
        <f t="shared" si="3"/>
        <v>42895.874560185184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{"issue":{"subject":"","project_id":79,"tracker_id":40,"status_id":1,"priority_id":2,"assigned_to_id":23,"start_date":"2017-06-09","description":"","custom_fields":[{"id":1,"name":"Subdivision","value":"EC"},{"id":4,"name":"Milepost","value":"22.4581"},{"id":17,"name":"Train ID","value":"185-09"},{"id":16,"name":"Locomotive ID","value":"4046"},{"id":130,"name":"Impact","value":""},{"id":150,"name":"Time of Event (Mountain Time)","value":"14:59:22"},{"id":151,"name":"Denver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/cygdrive/c/Users/stu/AppData/Local/Temp/OnboardLogs/RTDC4046 --include="*4046*201706092*"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"%USERPROFILE%\AppData\Local\Temp\OnboardLogs"\RTDC4046\*4046*201706092* &gt;&gt; 2017-06-09-SliceDisagreementCheck.txt</v>
      </c>
      <c r="AE29" s="148" t="str">
        <f t="shared" si="9"/>
        <v>start /low /b %USERPROFILE%\Documents\GitHub\eaglep3\Utilities\DownloadLogsFromS3.py --loco 4046 --day 2017-06-09</v>
      </c>
      <c r="AF29" s="1"/>
    </row>
    <row r="30" spans="1:32" x14ac:dyDescent="0.25">
      <c r="A30" s="31">
        <v>42896.009467592594</v>
      </c>
      <c r="B30" s="30" t="s">
        <v>553</v>
      </c>
      <c r="C30" s="30" t="s">
        <v>632</v>
      </c>
      <c r="D30" s="30" t="s">
        <v>49</v>
      </c>
      <c r="E30" s="30" t="s">
        <v>366</v>
      </c>
      <c r="F30" s="42">
        <v>0</v>
      </c>
      <c r="G30" s="42">
        <v>350</v>
      </c>
      <c r="H30" s="42">
        <v>63847</v>
      </c>
      <c r="I30" s="42">
        <v>64443</v>
      </c>
      <c r="J30" s="30" t="s">
        <v>367</v>
      </c>
      <c r="K30" s="42">
        <v>63995</v>
      </c>
      <c r="L30" s="134" t="s">
        <v>50</v>
      </c>
      <c r="M30" s="135">
        <f t="shared" si="0"/>
        <v>-236.54400000000001</v>
      </c>
      <c r="N30" s="136" t="str">
        <f>VLOOKUP(C30,'Trips&amp;Operators'!$C$1:$G$99999,5,FALSE)</f>
        <v>BIRENBAUM THOMAS</v>
      </c>
      <c r="O30" s="210" t="s">
        <v>417</v>
      </c>
      <c r="P30" s="137" t="s">
        <v>418</v>
      </c>
      <c r="Q30" s="30"/>
      <c r="R30" s="84" t="str">
        <f>VLOOKUP(C30,'Train Runs'!$A$13:$AE$9936,31,0)</f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S30" s="87" t="str">
        <f>VLOOKUP(C30,'Train Runs'!$A$13:$AE$9936,22,0)</f>
        <v>https://d0f6bd738d7f1b3e5a7ca70fe4ff75f0.us-east-1.aws.found.io/app/kibana#/discover/Steve-Slow-Train-Analysis-(2080s-and-2083s)?_g=(refreshInterval:(display:Off,pause:!f,section:0,value:0),time:(from:'2017-06-09T22:53:37-0600',mode:absolute,to:'2017-06-10T01:14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0" s="89" t="str">
        <f t="shared" si="1"/>
        <v>"C:\Program Files (x86)\AstroGrep\AstroGrep.exe" /e /r /s /spath="%USERPROFILE%\AppData\Local\Temp\OnboardLogs" /stypes="*4030*201706100*" /stext=" 06:.+((SYSTEM_STATE.+slice.+state.+changed )|(ment ac)|(multiple cpu faults)|(system.+state.+changed )|(\[timeout)|(PRM\|1\|D)|(kpr)|(kdp)|(train st.+moving)|(\|lc)|(penalty))"</v>
      </c>
      <c r="U30" s="9" t="str">
        <f t="shared" si="2"/>
        <v>4030</v>
      </c>
      <c r="V30" s="31">
        <f t="shared" si="3"/>
        <v>42896.259467592594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{"issue":{"subject":"Wi-MAX data drop","project_id":79,"tracker_id":40,"status_id":1,"priority_id":2,"assigned_to_id":23,"start_date":"2017-06-10","description":"","custom_fields":[{"id":1,"name":"Subdivision","value":"EC"},{"id":4,"name":"Milepost","value":"6.3995"},{"id":17,"name":"Train ID","value":"241-09"},{"id":16,"name":"Locomotive ID","value":"4030"},{"id":130,"name":"Impact","value":""},{"id":150,"name":"Time of Event (Mountain Time)","value":"00:13:38"},{"id":151,"name":"Denver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/cygdrive/c/Users/stu/AppData/Local/Temp/OnboardLogs/RTDC4030 --include="*4030*201706100*"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"%USERPROFILE%\AppData\Local\Temp\OnboardLogs"\RTDC4030\*4030*201706100* &gt;&gt; 2017-06-09-SliceDisagreementCheck.txt</v>
      </c>
      <c r="AE30" s="148" t="str">
        <f t="shared" si="9"/>
        <v>start /low /b %USERPROFILE%\Documents\GitHub\eaglep3\Utilities\DownloadLogsFromS3.py --loco 4030 --day 2017-06-10</v>
      </c>
      <c r="AF30" s="1"/>
    </row>
    <row r="31" spans="1:32" x14ac:dyDescent="0.25">
      <c r="A31" s="31">
        <v>42895.209432870368</v>
      </c>
      <c r="B31" s="30" t="s">
        <v>407</v>
      </c>
      <c r="C31" s="30" t="s">
        <v>587</v>
      </c>
      <c r="D31" s="30" t="s">
        <v>49</v>
      </c>
      <c r="E31" s="30" t="s">
        <v>366</v>
      </c>
      <c r="F31" s="42">
        <v>0</v>
      </c>
      <c r="G31" s="42">
        <v>625</v>
      </c>
      <c r="H31" s="42">
        <v>72863</v>
      </c>
      <c r="I31" s="42">
        <v>75459</v>
      </c>
      <c r="J31" s="30" t="s">
        <v>367</v>
      </c>
      <c r="K31" s="42">
        <v>75566</v>
      </c>
      <c r="L31" s="134" t="s">
        <v>50</v>
      </c>
      <c r="M31" s="135">
        <f t="shared" si="0"/>
        <v>56.496000000000002</v>
      </c>
      <c r="N31" s="136" t="str">
        <f>VLOOKUP(C31,'Trips&amp;Operators'!$C$1:$G$99999,5,FALSE)</f>
        <v>DAVIS WENDY</v>
      </c>
      <c r="O31" s="210" t="s">
        <v>417</v>
      </c>
      <c r="P31" s="137" t="s">
        <v>418</v>
      </c>
      <c r="Q31" s="30"/>
      <c r="R31" s="84" t="str">
        <f>VLOOKUP(C31,'Train Runs'!$A$13:$AE$9936,31,0)</f>
        <v>aws s3 cp s3://rtdc.mdm.uploadarchive.raw/RTDC4054/ "%USERPROFILE%\AppData\Local\Temp\OnboardLogs"\RTDC4054\2017-06-09 --exclude "*" --recursive --include "*20170609*" &amp; "%USERPROFILE%\Documents\GitHub\mrs-test-scripts\Headless Mode &amp; Sideloading\WalkAndUnGZ.bat" "%USERPROFILE%\AppData\Local\Temp\OnboardLogs"\RTDC4054\2017-06-09 &amp; 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</v>
      </c>
      <c r="S31" s="87" t="str">
        <f>VLOOKUP(C31,'Train Runs'!$A$13:$AE$9936,22,0)</f>
        <v>https://d0f6bd738d7f1b3e5a7ca70fe4ff75f0.us-east-1.aws.found.io/app/kibana#/discover/Steve-Slow-Train-Analysis-(2080s-and-2083s)?_g=(refreshInterval:(display:Off,pause:!f,section:0,value:0),time:(from:'2017-06-09T03:38:33-0600',mode:absolute,to:'2017-06-09T06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1" s="89" t="str">
        <f t="shared" si="1"/>
        <v>"C:\Program Files (x86)\AstroGrep\AstroGrep.exe" /e /r /s /spath="%USERPROFILE%\AppData\Local\Temp\OnboardLogs" /stypes="*4054*201706091*" /stext=" 11:.+((SYSTEM_STATE.+slice.+state.+changed )|(ment ac)|(multiple cpu faults)|(system.+state.+changed )|(\[timeout)|(PRM\|1\|D)|(kpr)|(kdp)|(train st.+moving)|(\|lc)|(penalty))"</v>
      </c>
      <c r="U31" s="9" t="str">
        <f t="shared" si="2"/>
        <v>4054</v>
      </c>
      <c r="V31" s="31">
        <f t="shared" si="3"/>
        <v>42895.459432870368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{"issue":{"subject":"Wi-MAX data drop","project_id":79,"tracker_id":40,"status_id":1,"priority_id":2,"assigned_to_id":23,"start_date":"2017-06-09","description":"","custom_fields":[{"id":1,"name":"Subdivision","value":"EC"},{"id":4,"name":"Milepost","value":"7.5566"},{"id":17,"name":"Train ID","value":"109-09"},{"id":16,"name":"Locomotive ID","value":"4054"},{"id":130,"name":"Impact","value":""},{"id":150,"name":"Time of Event (Mountain Time)","value":"05:01:35"},{"id":151,"name":"Denver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/cygdrive/c/Users/stu/AppData/Local/Temp/OnboardLogs/RTDC4054 --include="*4054*201706091*"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"%USERPROFILE%\AppData\Local\Temp\OnboardLogs"\RTDC4054\*4054*201706091* &gt;&gt; 2017-06-09-SliceDisagreementCheck.txt</v>
      </c>
      <c r="AE31" s="148" t="str">
        <f t="shared" si="9"/>
        <v>start /low /b %USERPROFILE%\Documents\GitHub\eaglep3\Utilities\DownloadLogsFromS3.py --loco 4054 --day 2017-06-09</v>
      </c>
      <c r="AF31" s="1"/>
    </row>
    <row r="32" spans="1:32" x14ac:dyDescent="0.25">
      <c r="A32" s="31">
        <v>42895.429039351853</v>
      </c>
      <c r="B32" s="30" t="s">
        <v>589</v>
      </c>
      <c r="C32" s="30" t="s">
        <v>599</v>
      </c>
      <c r="D32" s="30" t="s">
        <v>49</v>
      </c>
      <c r="E32" s="30" t="s">
        <v>366</v>
      </c>
      <c r="F32" s="42">
        <v>0</v>
      </c>
      <c r="G32" s="42">
        <v>616</v>
      </c>
      <c r="H32" s="42">
        <v>201000</v>
      </c>
      <c r="I32" s="42">
        <v>198464</v>
      </c>
      <c r="J32" s="30" t="s">
        <v>367</v>
      </c>
      <c r="K32" s="42">
        <v>198256</v>
      </c>
      <c r="L32" s="134" t="s">
        <v>51</v>
      </c>
      <c r="M32" s="135">
        <f t="shared" si="0"/>
        <v>109.824</v>
      </c>
      <c r="N32" s="136" t="str">
        <f>VLOOKUP(C32,'Trips&amp;Operators'!$C$1:$G$99999,5,FALSE)</f>
        <v>LOZA FIDEL</v>
      </c>
      <c r="O32" s="210" t="s">
        <v>417</v>
      </c>
      <c r="P32" s="137" t="s">
        <v>418</v>
      </c>
      <c r="Q32" s="30"/>
      <c r="R32" s="84" t="str">
        <f>VLOOKUP(C32,'Train Runs'!$A$13:$AE$9936,31,0)</f>
        <v>aws s3 cp s3://rtdc.mdm.uploadarchive.raw/RTDC4061/ "%USERPROFILE%\AppData\Local\Temp\OnboardLogs"\RTDC4061\2017-06-09 --exclude "*" --recursive --include "*20170609*" &amp; "%USERPROFILE%\Documents\GitHub\mrs-test-scripts\Headless Mode &amp; Sideloading\WalkAndUnGZ.bat" "%USERPROFILE%\AppData\Local\Temp\OnboardLogs"\RTDC4061\2017-06-09 &amp; 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</v>
      </c>
      <c r="S32" s="87" t="str">
        <f>VLOOKUP(C32,'Train Runs'!$A$13:$AE$9936,22,0)</f>
        <v>https://d0f6bd738d7f1b3e5a7ca70fe4ff75f0.us-east-1.aws.found.io/app/kibana#/discover/Steve-Slow-Train-Analysis-(2080s-and-2083s)?_g=(refreshInterval:(display:Off,pause:!f,section:0,value:0),time:(from:'2017-06-09T09:09:20-0600',mode:absolute,to:'2017-06-09T11:59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2" s="89" t="str">
        <f t="shared" si="1"/>
        <v>"C:\Program Files (x86)\AstroGrep\AstroGrep.exe" /e /r /s /spath="%USERPROFILE%\AppData\Local\Temp\OnboardLogs" /stypes="*4061*201706091*" /stext=" 16:.+((SYSTEM_STATE.+slice.+state.+changed )|(ment ac)|(multiple cpu faults)|(system.+state.+changed )|(\[timeout)|(PRM\|1\|D)|(kpr)|(kdp)|(train st.+moving)|(\|lc)|(penalty))"</v>
      </c>
      <c r="U32" s="9" t="str">
        <f t="shared" si="2"/>
        <v>4061</v>
      </c>
      <c r="V32" s="31">
        <f t="shared" si="3"/>
        <v>42895.679039351853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{"issue":{"subject":"Wi-MAX data drop","project_id":79,"tracker_id":40,"status_id":1,"priority_id":2,"assigned_to_id":23,"start_date":"2017-06-09","description":"","custom_fields":[{"id":1,"name":"Subdivision","value":"EC"},{"id":4,"name":"Milepost","value":"19.8256"},{"id":17,"name":"Train ID","value":"146-09"},{"id":16,"name":"Locomotive ID","value":"4061"},{"id":130,"name":"Impact","value":""},{"id":150,"name":"Time of Event (Mountain Time)","value":"10:17:49"},{"id":151,"name":"Denver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/cygdrive/c/Users/stu/AppData/Local/Temp/OnboardLogs/RTDC4061 --include="*4061*201706091*"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"%USERPROFILE%\AppData\Local\Temp\OnboardLogs"\RTDC4061\*4061*201706091* &gt;&gt; 2017-06-09-SliceDisagreementCheck.txt</v>
      </c>
      <c r="AE32" s="148" t="str">
        <f t="shared" si="9"/>
        <v>start /low /b %USERPROFILE%\Documents\GitHub\eaglep3\Utilities\DownloadLogsFromS3.py --loco 4061 --day 2017-06-09</v>
      </c>
      <c r="AF32" s="1"/>
    </row>
    <row r="33" spans="1:32" x14ac:dyDescent="0.25">
      <c r="A33" s="31">
        <v>42895.474965277775</v>
      </c>
      <c r="B33" s="30" t="s">
        <v>601</v>
      </c>
      <c r="C33" s="30" t="s">
        <v>602</v>
      </c>
      <c r="D33" s="30" t="s">
        <v>49</v>
      </c>
      <c r="E33" s="30" t="s">
        <v>183</v>
      </c>
      <c r="F33" s="42">
        <v>0</v>
      </c>
      <c r="G33" s="42">
        <v>52</v>
      </c>
      <c r="H33" s="42">
        <v>189</v>
      </c>
      <c r="I33" s="42">
        <v>125</v>
      </c>
      <c r="J33" s="30" t="s">
        <v>184</v>
      </c>
      <c r="K33" s="42">
        <v>1</v>
      </c>
      <c r="L33" s="134" t="s">
        <v>51</v>
      </c>
      <c r="M33" s="135">
        <f t="shared" si="0"/>
        <v>65.471999999999994</v>
      </c>
      <c r="N33" s="136" t="str">
        <f>VLOOKUP(C33,'Trips&amp;Operators'!$C$1:$G$99999,5,FALSE)</f>
        <v>GEBRETEKLE DAGNEW</v>
      </c>
      <c r="O33" s="210" t="s">
        <v>182</v>
      </c>
      <c r="P33" s="137"/>
      <c r="Q33" s="30"/>
      <c r="R33" s="84" t="str">
        <f>VLOOKUP(C33,'Train Runs'!$A$13:$AE$9936,31,0)</f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S33" s="87" t="str">
        <f>VLOOKUP(C33,'Train Runs'!$A$13:$AE$9936,22,0)</f>
        <v>https://d0f6bd738d7f1b3e5a7ca70fe4ff75f0.us-east-1.aws.found.io/app/kibana#/discover/Steve-Slow-Train-Analysis-(2080s-and-2083s)?_g=(refreshInterval:(display:Off,pause:!f,section:0,value:0),time:(from:'2017-06-09T09:23:40-0600',mode:absolute,to:'2017-06-09T12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3" s="89" t="str">
        <f t="shared" si="1"/>
        <v>"C:\Program Files (x86)\AstroGrep\AstroGrep.exe" /e /r /s /spath="%USERPROFILE%\AppData\Local\Temp\OnboardLogs" /stypes="*4005*201706091*" /stext=" 17:.+((SYSTEM_STATE.+slice.+state.+changed )|(ment ac)|(multiple cpu faults)|(system.+state.+changed )|(\[timeout)|(PRM\|1\|D)|(kpr)|(kdp)|(train st.+moving)|(\|lc)|(penalty))"</v>
      </c>
      <c r="U33" s="9" t="str">
        <f t="shared" si="2"/>
        <v>4005</v>
      </c>
      <c r="V33" s="31">
        <f t="shared" si="3"/>
        <v>42895.724965277775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{"issue":{"subject":"","project_id":79,"tracker_id":40,"status_id":1,"priority_id":2,"assigned_to_id":23,"start_date":"2017-06-09","description":"","custom_fields":[{"id":1,"name":"Subdivision","value":"EC"},{"id":4,"name":"Milepost","value":"0.0001"},{"id":17,"name":"Train ID","value":"150-09"},{"id":16,"name":"Locomotive ID","value":"4005"},{"id":130,"name":"Impact","value":""},{"id":150,"name":"Time of Event (Mountain Time)","value":"11:23:57"},{"id":151,"name":"Denver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/cygdrive/c/Users/stu/AppData/Local/Temp/OnboardLogs/RTDC4005 --include="*4005*201706091*"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"%USERPROFILE%\AppData\Local\Temp\OnboardLogs"\RTDC4005\*4005*201706091* &gt;&gt; 2017-06-09-SliceDisagreementCheck.txt</v>
      </c>
      <c r="AE33" s="148" t="str">
        <f t="shared" si="9"/>
        <v>start /low /b %USERPROFILE%\Documents\GitHub\eaglep3\Utilities\DownloadLogsFromS3.py --loco 4005 --day 2017-06-09</v>
      </c>
      <c r="AF33" s="1"/>
    </row>
    <row r="34" spans="1:32" x14ac:dyDescent="0.25">
      <c r="A34" s="31">
        <v>42895.631840277776</v>
      </c>
      <c r="B34" s="30" t="s">
        <v>554</v>
      </c>
      <c r="C34" s="30" t="s">
        <v>612</v>
      </c>
      <c r="D34" s="30" t="s">
        <v>49</v>
      </c>
      <c r="E34" s="30" t="s">
        <v>183</v>
      </c>
      <c r="F34" s="42">
        <v>0</v>
      </c>
      <c r="G34" s="42">
        <v>56</v>
      </c>
      <c r="H34" s="42">
        <v>187</v>
      </c>
      <c r="I34" s="42">
        <v>141</v>
      </c>
      <c r="J34" s="30" t="s">
        <v>184</v>
      </c>
      <c r="K34" s="42">
        <v>1</v>
      </c>
      <c r="L34" s="134" t="s">
        <v>51</v>
      </c>
      <c r="M34" s="135">
        <f t="shared" si="0"/>
        <v>73.92</v>
      </c>
      <c r="N34" s="136" t="str">
        <f>VLOOKUP(C34,'Trips&amp;Operators'!$C$1:$G$99999,5,FALSE)</f>
        <v>SANTIZO D. EDY</v>
      </c>
      <c r="O34" s="210" t="s">
        <v>182</v>
      </c>
      <c r="P34" s="137"/>
      <c r="Q34" s="30"/>
      <c r="R34" s="84" t="str">
        <f>VLOOKUP(C34,'Train Runs'!$A$13:$AE$9936,31,0)</f>
        <v>aws s3 cp s3://rtdc.mdm.uploadarchive.raw/RTDC4053/ "%USERPROFILE%\AppData\Local\Temp\OnboardLogs"\RTDC4053\2017-06-09 --exclude "*" --recursive --include "*20170609*" &amp; "%USERPROFILE%\Documents\GitHub\mrs-test-scripts\Headless Mode &amp; Sideloading\WalkAndUnGZ.bat" "%USERPROFILE%\AppData\Local\Temp\OnboardLogs"\RTDC4053\2017-06-09 &amp; aws s3 cp s3://rtdc.mdm.uploadarchive.raw/RTDC4053/ "%USERPROFILE%\AppData\Local\Temp\OnboardLogs"\RTDC4053\2017-06-10 --exclude "*" --recursive --include "*20170610*" &amp; "%USERPROFILE%\Documents\GitHub\mrs-test-scripts\Headless Mode &amp; Sideloading\WalkAndUnGZ.bat" "%USERPROFILE%\AppData\Local\Temp\OnboardLogs"\RTDC4053\2017-06-10</v>
      </c>
      <c r="S34" s="87" t="str">
        <f>VLOOKUP(C34,'Train Runs'!$A$13:$AE$9936,22,0)</f>
        <v>https://d0f6bd738d7f1b3e5a7ca70fe4ff75f0.us-east-1.aws.found.io/app/kibana#/discover/Steve-Slow-Train-Analysis-(2080s-and-2083s)?_g=(refreshInterval:(display:Off,pause:!f,section:0,value:0),time:(from:'2017-06-09T13:09:21-0600',mode:absolute,to:'2017-06-09T16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4" s="89" t="str">
        <f t="shared" si="1"/>
        <v>"C:\Program Files (x86)\AstroGrep\AstroGrep.exe" /e /r /s /spath="%USERPROFILE%\AppData\Local\Temp\OnboardLogs" /stypes="*4053*201706092*" /stext=" 21:.+((SYSTEM_STATE.+slice.+state.+changed )|(ment ac)|(multiple cpu faults)|(system.+state.+changed )|(\[timeout)|(PRM\|1\|D)|(kpr)|(kdp)|(train st.+moving)|(\|lc)|(penalty))"</v>
      </c>
      <c r="U34" s="9" t="str">
        <f t="shared" si="2"/>
        <v>4053</v>
      </c>
      <c r="V34" s="31">
        <f t="shared" si="3"/>
        <v>42895.881840277776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{"issue":{"subject":"","project_id":79,"tracker_id":40,"status_id":1,"priority_id":2,"assigned_to_id":23,"start_date":"2017-06-09","description":"","custom_fields":[{"id":1,"name":"Subdivision","value":"EC"},{"id":4,"name":"Milepost","value":"0.0001"},{"id":17,"name":"Train ID","value":"180-09"},{"id":16,"name":"Locomotive ID","value":"4053"},{"id":130,"name":"Impact","value":""},{"id":150,"name":"Time of Event (Mountain Time)","value":"15:09:51"},{"id":151,"name":"Denver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/cygdrive/c/Users/stu/AppData/Local/Temp/OnboardLogs/RTDC4053 --include="*4053*201706092*"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"%USERPROFILE%\AppData\Local\Temp\OnboardLogs"\RTDC4053\*4053*201706092* &gt;&gt; 2017-06-09-SliceDisagreementCheck.txt</v>
      </c>
      <c r="AE34" s="148" t="str">
        <f t="shared" si="9"/>
        <v>start /low /b %USERPROFILE%\Documents\GitHub\eaglep3\Utilities\DownloadLogsFromS3.py --loco 4053 --day 2017-06-09</v>
      </c>
      <c r="AF34" s="1"/>
    </row>
    <row r="35" spans="1:32" x14ac:dyDescent="0.25">
      <c r="A35" s="31">
        <v>42895.764872685184</v>
      </c>
      <c r="B35" s="30" t="s">
        <v>601</v>
      </c>
      <c r="C35" s="30" t="s">
        <v>626</v>
      </c>
      <c r="D35" s="30" t="s">
        <v>49</v>
      </c>
      <c r="E35" s="30" t="s">
        <v>183</v>
      </c>
      <c r="F35" s="42">
        <v>0</v>
      </c>
      <c r="G35" s="42">
        <v>59</v>
      </c>
      <c r="H35" s="42">
        <v>205</v>
      </c>
      <c r="I35" s="42">
        <v>149</v>
      </c>
      <c r="J35" s="30" t="s">
        <v>184</v>
      </c>
      <c r="K35" s="42">
        <v>1</v>
      </c>
      <c r="L35" s="134" t="s">
        <v>51</v>
      </c>
      <c r="M35" s="135">
        <f t="shared" si="0"/>
        <v>78.144000000000005</v>
      </c>
      <c r="N35" s="136" t="str">
        <f>VLOOKUP(C35,'Trips&amp;Operators'!$C$1:$G$99999,5,FALSE)</f>
        <v>STEWART MICHAEL</v>
      </c>
      <c r="O35" s="210" t="s">
        <v>182</v>
      </c>
      <c r="P35" s="137"/>
      <c r="Q35" s="30"/>
      <c r="R35" s="84" t="str">
        <f>VLOOKUP(C35,'Train Runs'!$A$13:$AE$9936,31,0)</f>
        <v>aws s3 cp s3://rtdc.mdm.uploadarchive.raw/RTDC4005/ "%USERPROFILE%\AppData\Local\Temp\OnboardLogs"\RTDC4005\2017-06-09 --exclude "*" --recursive --include "*20170609*" &amp; "%USERPROFILE%\Documents\GitHub\mrs-test-scripts\Headless Mode &amp; Sideloading\WalkAndUnGZ.bat" "%USERPROFILE%\AppData\Local\Temp\OnboardLogs"\RTDC4005\2017-06-09 &amp; aws s3 cp s3://rtdc.mdm.uploadarchive.raw/RTDC4005/ "%USERPROFILE%\AppData\Local\Temp\OnboardLogs"\RTDC4005\2017-06-10 --exclude "*" --recursive --include "*20170610*" &amp; "%USERPROFILE%\Documents\GitHub\mrs-test-scripts\Headless Mode &amp; Sideloading\WalkAndUnGZ.bat" "%USERPROFILE%\AppData\Local\Temp\OnboardLogs"\RTDC4005\2017-06-10</v>
      </c>
      <c r="S35" s="87" t="str">
        <f>VLOOKUP(C35,'Train Runs'!$A$13:$AE$9936,22,0)</f>
        <v>https://d0f6bd738d7f1b3e5a7ca70fe4ff75f0.us-east-1.aws.found.io/app/kibana#/discover/Steve-Slow-Train-Analysis-(2080s-and-2083s)?_g=(refreshInterval:(display:Off,pause:!f,section:0,value:0),time:(from:'2017-06-09T16:39:50-0600',mode:absolute,to:'2017-06-09T19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5" s="89" t="str">
        <f t="shared" si="1"/>
        <v>"C:\Program Files (x86)\AstroGrep\AstroGrep.exe" /e /r /s /spath="%USERPROFILE%\AppData\Local\Temp\OnboardLogs" /stypes="*4005*201706100*" /stext=" 00:.+((SYSTEM_STATE.+slice.+state.+changed )|(ment ac)|(multiple cpu faults)|(system.+state.+changed )|(\[timeout)|(PRM\|1\|D)|(kpr)|(kdp)|(train st.+moving)|(\|lc)|(penalty))"</v>
      </c>
      <c r="U35" s="9" t="str">
        <f t="shared" si="2"/>
        <v>4005</v>
      </c>
      <c r="V35" s="31">
        <f t="shared" si="3"/>
        <v>42896.014872685184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{"issue":{"subject":"","project_id":79,"tracker_id":40,"status_id":1,"priority_id":2,"assigned_to_id":23,"start_date":"2017-06-09","description":"","custom_fields":[{"id":1,"name":"Subdivision","value":"EC"},{"id":4,"name":"Milepost","value":"0.0001"},{"id":17,"name":"Train ID","value":"206-09"},{"id":16,"name":"Locomotive ID","value":"4005"},{"id":130,"name":"Impact","value":""},{"id":150,"name":"Time of Event (Mountain Time)","value":"18:21:25"},{"id":151,"name":"Denver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/cygdrive/c/Users/stu/AppData/Local/Temp/OnboardLogs/RTDC4005 --include="*4005*201706100*"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"%USERPROFILE%\AppData\Local\Temp\OnboardLogs"\RTDC4005\*4005*201706100* &gt;&gt; 2017-06-09-SliceDisagreementCheck.txt</v>
      </c>
      <c r="AE35" s="148" t="str">
        <f t="shared" si="9"/>
        <v>start /low /b %USERPROFILE%\Documents\GitHub\eaglep3\Utilities\DownloadLogsFromS3.py --loco 4005 --day 2017-06-10</v>
      </c>
      <c r="AF35" s="1"/>
    </row>
    <row r="36" spans="1:32" x14ac:dyDescent="0.25">
      <c r="A36" s="31">
        <v>42896.065358796295</v>
      </c>
      <c r="B36" s="30" t="s">
        <v>552</v>
      </c>
      <c r="C36" s="30" t="s">
        <v>635</v>
      </c>
      <c r="D36" s="30" t="s">
        <v>49</v>
      </c>
      <c r="E36" s="30" t="s">
        <v>183</v>
      </c>
      <c r="F36" s="42">
        <v>0</v>
      </c>
      <c r="G36" s="42">
        <v>149</v>
      </c>
      <c r="H36" s="42">
        <v>803</v>
      </c>
      <c r="I36" s="42">
        <v>595</v>
      </c>
      <c r="J36" s="30" t="s">
        <v>184</v>
      </c>
      <c r="K36" s="42">
        <v>1</v>
      </c>
      <c r="L36" s="134" t="s">
        <v>51</v>
      </c>
      <c r="M36" s="135">
        <f t="shared" si="0"/>
        <v>313.63200000000001</v>
      </c>
      <c r="N36" s="136" t="str">
        <f>VLOOKUP(C36,'Trips&amp;Operators'!$C$1:$G$99999,5,FALSE)</f>
        <v>BIRENBAUM THOMAS</v>
      </c>
      <c r="O36" s="210" t="s">
        <v>182</v>
      </c>
      <c r="P36" s="137"/>
      <c r="Q36" s="30"/>
      <c r="R36" s="84" t="str">
        <f>VLOOKUP(C36,'Train Runs'!$A$13:$AE$9936,31,0)</f>
        <v>aws s3 cp s3://rtdc.mdm.uploadarchive.raw/RTDC4029/ "%USERPROFILE%\AppData\Local\Temp\OnboardLogs"\RTDC4029\2017-06-10 --exclude "*" --recursive --include "*20170610*" &amp; "%USERPROFILE%\Documents\GitHub\mrs-test-scripts\Headless Mode &amp; Sideloading\WalkAndUnGZ.bat" "%USERPROFILE%\AppData\Local\Temp\OnboardLogs"\RTDC4029\2017-06-10 &amp; aws s3 cp s3://rtdc.mdm.uploadarchive.raw/RTDC4029/ "%USERPROFILE%\AppData\Local\Temp\OnboardLogs"\RTDC4029\2017-06-11 --exclude "*" --recursive --include "*20170611*" &amp; "%USERPROFILE%\Documents\GitHub\mrs-test-scripts\Headless Mode &amp; Sideloading\WalkAndUnGZ.bat" "%USERPROFILE%\AppData\Local\Temp\OnboardLogs"\RTDC4029\2017-06-11</v>
      </c>
      <c r="S36" s="87" t="str">
        <f>VLOOKUP(C36,'Train Runs'!$A$13:$AE$9936,22,0)</f>
        <v>https://d0f6bd738d7f1b3e5a7ca70fe4ff75f0.us-east-1.aws.found.io/app/kibana#/discover/Steve-Slow-Train-Analysis-(2080s-and-2083s)?_g=(refreshInterval:(display:Off,pause:!f,section:0,value:0),time:(from:'2017-06-09T23:50:57-0600',mode:absolute,to:'2017-06-10T02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6" s="89" t="str">
        <f t="shared" si="1"/>
        <v>"C:\Program Files (x86)\AstroGrep\AstroGrep.exe" /e /r /s /spath="%USERPROFILE%\AppData\Local\Temp\OnboardLogs" /stypes="*4029*201706100*" /stext=" 07:.+((SYSTEM_STATE.+slice.+state.+changed )|(ment ac)|(multiple cpu faults)|(system.+state.+changed )|(\[timeout)|(PRM\|1\|D)|(kpr)|(kdp)|(train st.+moving)|(\|lc)|(penalty))"</v>
      </c>
      <c r="U36" s="9" t="str">
        <f t="shared" si="2"/>
        <v>4029</v>
      </c>
      <c r="V36" s="31">
        <f t="shared" si="3"/>
        <v>42896.315358796295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{"issue":{"subject":"","project_id":79,"tracker_id":40,"status_id":1,"priority_id":2,"assigned_to_id":23,"start_date":"2017-06-10","description":"","custom_fields":[{"id":1,"name":"Subdivision","value":"EC"},{"id":4,"name":"Milepost","value":"0.0001"},{"id":17,"name":"Train ID","value":"242-09"},{"id":16,"name":"Locomotive ID","value":"4029"},{"id":130,"name":"Impact","value":""},{"id":150,"name":"Time of Event (Mountain Time)","value":"01:34:07"},{"id":151,"name":"Denver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/cygdrive/c/Users/stu/AppData/Local/Temp/OnboardLogs/RTDC4029 --include="*4029*201706100*"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"%USERPROFILE%\AppData\Local\Temp\OnboardLogs"\RTDC4029\*4029*201706100* &gt;&gt; 2017-06-09-SliceDisagreementCheck.txt</v>
      </c>
      <c r="AE36" s="148" t="str">
        <f t="shared" si="9"/>
        <v>start /low /b %USERPROFILE%\Documents\GitHub\eaglep3\Utilities\DownloadLogsFromS3.py --loco 4029 --day 2017-06-10</v>
      </c>
      <c r="AF36" s="1"/>
    </row>
    <row r="37" spans="1:32" x14ac:dyDescent="0.25">
      <c r="A37" s="31">
        <v>42896.026030092595</v>
      </c>
      <c r="B37" s="30" t="s">
        <v>371</v>
      </c>
      <c r="C37" s="30" t="s">
        <v>633</v>
      </c>
      <c r="D37" s="30" t="s">
        <v>49</v>
      </c>
      <c r="E37" s="30" t="s">
        <v>183</v>
      </c>
      <c r="F37" s="42">
        <v>0</v>
      </c>
      <c r="G37" s="42">
        <v>24</v>
      </c>
      <c r="H37" s="42">
        <v>909</v>
      </c>
      <c r="I37" s="42">
        <v>890</v>
      </c>
      <c r="J37" s="30" t="s">
        <v>184</v>
      </c>
      <c r="K37" s="42">
        <v>839</v>
      </c>
      <c r="L37" s="134" t="s">
        <v>51</v>
      </c>
      <c r="M37" s="135">
        <f t="shared" si="0"/>
        <v>26.928000000000001</v>
      </c>
      <c r="N37" s="136" t="str">
        <f>VLOOKUP(C37,'Trips&amp;Operators'!$C$1:$G$99999,5,FALSE)</f>
        <v>LAMAR NEKESHA</v>
      </c>
      <c r="O37" s="210" t="s">
        <v>182</v>
      </c>
      <c r="P37" s="137"/>
      <c r="Q37" s="30"/>
      <c r="R37" s="84" t="str">
        <f>VLOOKUP(C37,'Train Runs'!$A$13:$AE$9936,31,0)</f>
        <v>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 &amp; 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</v>
      </c>
      <c r="S37" s="87" t="str">
        <f>VLOOKUP(C37,'Train Runs'!$A$13:$AE$9936,22,0)</f>
        <v>https://d0f6bd738d7f1b3e5a7ca70fe4ff75f0.us-east-1.aws.found.io/app/kibana#/discover/Steve-Slow-Train-Analysis-(2080s-and-2083s)?_g=(refreshInterval:(display:Off,pause:!f,section:0,value:0),time:(from:'2017-06-09T22:48:12-0600',mode:absolute,to:'2017-06-10T01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7" s="89" t="str">
        <f t="shared" si="1"/>
        <v>"C:\Program Files (x86)\AstroGrep\AstroGrep.exe" /e /r /s /spath="%USERPROFILE%\AppData\Local\Temp\OnboardLogs" /stypes="*4021*201706100*" /stext=" 06:.+((SYSTEM_STATE.+slice.+state.+changed )|(ment ac)|(multiple cpu faults)|(system.+state.+changed )|(\[timeout)|(PRM\|1\|D)|(kpr)|(kdp)|(train st.+moving)|(\|lc)|(penalty))"</v>
      </c>
      <c r="U37" s="9" t="str">
        <f t="shared" si="2"/>
        <v>4021</v>
      </c>
      <c r="V37" s="31">
        <f t="shared" si="3"/>
        <v>42896.276030092595</v>
      </c>
      <c r="W37" s="45" t="str">
        <f t="shared" si="4"/>
        <v>EC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{"issue":{"subject":"","project_id":79,"tracker_id":40,"status_id":1,"priority_id":2,"assigned_to_id":23,"start_date":"2017-06-10","description":"","custom_fields":[{"id":1,"name":"Subdivision","value":"EC"},{"id":4,"name":"Milepost","value":"0.0839"},{"id":17,"name":"Train ID","value":"238-09"},{"id":16,"name":"Locomotive ID","value":"4021"},{"id":130,"name":"Impact","value":""},{"id":150,"name":"Time of Event (Mountain Time)","value":"00:37:29"},{"id":151,"name":"Denver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/cygdrive/c/Users/stu/AppData/Local/Temp/OnboardLogs/RTDC4021 --include="*4021*201706100*"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"%USERPROFILE%\AppData\Local\Temp\OnboardLogs"\RTDC4021\*4021*201706100* &gt;&gt; 2017-06-09-SliceDisagreementCheck.txt</v>
      </c>
      <c r="AE37" s="148" t="str">
        <f t="shared" si="9"/>
        <v>start /low /b %USERPROFILE%\Documents\GitHub\eaglep3\Utilities\DownloadLogsFromS3.py --loco 4021 --day 2017-06-10</v>
      </c>
      <c r="AF37" s="1"/>
    </row>
    <row r="38" spans="1:32" x14ac:dyDescent="0.25">
      <c r="A38" s="31">
        <v>42895.308217592596</v>
      </c>
      <c r="B38" s="30" t="s">
        <v>592</v>
      </c>
      <c r="C38" s="30" t="s">
        <v>593</v>
      </c>
      <c r="D38" s="30" t="s">
        <v>49</v>
      </c>
      <c r="E38" s="30" t="s">
        <v>183</v>
      </c>
      <c r="F38" s="42">
        <v>0</v>
      </c>
      <c r="G38" s="42">
        <v>65</v>
      </c>
      <c r="H38" s="42">
        <v>233191</v>
      </c>
      <c r="I38" s="42">
        <v>233247</v>
      </c>
      <c r="J38" s="30" t="s">
        <v>184</v>
      </c>
      <c r="K38" s="42">
        <v>233491</v>
      </c>
      <c r="L38" s="134" t="s">
        <v>50</v>
      </c>
      <c r="M38" s="135">
        <f t="shared" si="0"/>
        <v>128.83199999999999</v>
      </c>
      <c r="N38" s="136" t="str">
        <f>VLOOKUP(C38,'Trips&amp;Operators'!$C$1:$G$99999,5,FALSE)</f>
        <v>STARKS ANGELINA</v>
      </c>
      <c r="O38" s="210" t="s">
        <v>182</v>
      </c>
      <c r="P38" s="137"/>
      <c r="Q38" s="30"/>
      <c r="R38" s="84" t="str">
        <f>VLOOKUP(C38,'Train Runs'!$A$13:$AE$9936,31,0)</f>
        <v>aws s3 cp s3://rtdc.mdm.uploadarchive.raw/RTDC4010/ "%USERPROFILE%\AppData\Local\Temp\OnboardLogs"\RTDC4010\2017-06-09 --exclude "*" --recursive --include "*20170609*" &amp; "%USERPROFILE%\Documents\GitHub\mrs-test-scripts\Headless Mode &amp; Sideloading\WalkAndUnGZ.bat" "%USERPROFILE%\AppData\Local\Temp\OnboardLogs"\RTDC4010\2017-06-09 &amp; aws s3 cp s3://rtdc.mdm.uploadarchive.raw/RTDC4010/ "%USERPROFILE%\AppData\Local\Temp\OnboardLogs"\RTDC4010\2017-06-10 --exclude "*" --recursive --include "*20170610*" &amp; "%USERPROFILE%\Documents\GitHub\mrs-test-scripts\Headless Mode &amp; Sideloading\WalkAndUnGZ.bat" "%USERPROFILE%\AppData\Local\Temp\OnboardLogs"\RTDC4010\2017-06-10</v>
      </c>
      <c r="S38" s="87" t="str">
        <f>VLOOKUP(C38,'Train Runs'!$A$13:$AE$9936,22,0)</f>
        <v>https://d0f6bd738d7f1b3e5a7ca70fe4ff75f0.us-east-1.aws.found.io/app/kibana#/discover/Steve-Slow-Train-Analysis-(2080s-and-2083s)?_g=(refreshInterval:(display:Off,pause:!f,section:0,value:0),time:(from:'2017-06-09T05:39:09-0600',mode:absolute,to:'2017-06-09T08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8" s="89" t="str">
        <f t="shared" si="1"/>
        <v>"C:\Program Files (x86)\AstroGrep\AstroGrep.exe" /e /r /s /spath="%USERPROFILE%\AppData\Local\Temp\OnboardLogs" /stypes="*4010*201706091*" /stext=" 13:.+((SYSTEM_STATE.+slice.+state.+changed )|(ment ac)|(multiple cpu faults)|(system.+state.+changed )|(\[timeout)|(PRM\|1\|D)|(kpr)|(kdp)|(train st.+moving)|(\|lc)|(penalty))"</v>
      </c>
      <c r="U38" s="9" t="str">
        <f t="shared" si="2"/>
        <v>4010</v>
      </c>
      <c r="V38" s="31">
        <f t="shared" si="3"/>
        <v>42895.558217592596</v>
      </c>
      <c r="W38" s="45" t="str">
        <f t="shared" si="4"/>
        <v>EC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{"issue":{"subject":"","project_id":79,"tracker_id":40,"status_id":1,"priority_id":2,"assigned_to_id":23,"start_date":"2017-06-09","description":"","custom_fields":[{"id":1,"name":"Subdivision","value":"EC"},{"id":4,"name":"Milepost","value":"23.3491"},{"id":17,"name":"Train ID","value":"125-09"},{"id":16,"name":"Locomotive ID","value":"4010"},{"id":130,"name":"Impact","value":""},{"id":150,"name":"Time of Event (Mountain Time)","value":"07:23:50"},{"id":151,"name":"Denver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/cygdrive/c/Users/stu/AppData/Local/Temp/OnboardLogs/RTDC4010 --include="*4010*201706091*"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"%USERPROFILE%\AppData\Local\Temp\OnboardLogs"\RTDC4010\*4010*201706091* &gt;&gt; 2017-06-09-SliceDisagreementCheck.txt</v>
      </c>
      <c r="AE38" s="148" t="str">
        <f t="shared" si="9"/>
        <v>start /low /b %USERPROFILE%\Documents\GitHub\eaglep3\Utilities\DownloadLogsFromS3.py --loco 4010 --day 2017-06-09</v>
      </c>
      <c r="AF38" s="1"/>
    </row>
    <row r="39" spans="1:32" x14ac:dyDescent="0.25">
      <c r="A39" s="31">
        <v>42895.568101851852</v>
      </c>
      <c r="B39" s="30" t="s">
        <v>553</v>
      </c>
      <c r="C39" s="30" t="s">
        <v>607</v>
      </c>
      <c r="D39" s="30" t="s">
        <v>49</v>
      </c>
      <c r="E39" s="30" t="s">
        <v>183</v>
      </c>
      <c r="F39" s="42">
        <v>0</v>
      </c>
      <c r="G39" s="42">
        <v>38</v>
      </c>
      <c r="H39" s="42">
        <v>233408</v>
      </c>
      <c r="I39" s="42">
        <v>233455</v>
      </c>
      <c r="J39" s="30" t="s">
        <v>184</v>
      </c>
      <c r="K39" s="42">
        <v>233491</v>
      </c>
      <c r="L39" s="134" t="s">
        <v>50</v>
      </c>
      <c r="M39" s="135">
        <f t="shared" ref="M39:M70" si="10">CONVERT((I39-K39)/10000,"mi","ft")*IF(L39="Increasing Mileposts (1)",-1,1)</f>
        <v>19.007999999999999</v>
      </c>
      <c r="N39" s="136" t="str">
        <f>VLOOKUP(C39,'Trips&amp;Operators'!$C$1:$G$99999,5,FALSE)</f>
        <v>BRANDNER MELINDA</v>
      </c>
      <c r="O39" s="210" t="s">
        <v>182</v>
      </c>
      <c r="P39" s="137"/>
      <c r="Q39" s="30"/>
      <c r="R39" s="84" t="str">
        <f>VLOOKUP(C39,'Train Runs'!$A$13:$AE$9936,31,0)</f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S39" s="87" t="str">
        <f>VLOOKUP(C39,'Train Runs'!$A$13:$AE$9936,22,0)</f>
        <v>https://d0f6bd738d7f1b3e5a7ca70fe4ff75f0.us-east-1.aws.found.io/app/kibana#/discover/Steve-Slow-Train-Analysis-(2080s-and-2083s)?_g=(refreshInterval:(display:Off,pause:!f,section:0,value:0),time:(from:'2017-06-09T11:57:36-0600',mode:absolute,to:'2017-06-09T14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9" s="89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/stypes="*4030*201706091*" /stext=" 19:.+((SYSTEM_STATE.+slice.+state.+changed )|(ment ac)|(multiple cpu faults)|(system.+state.+changed )|(\[timeout)|(PRM\|1\|D)|(kpr)|(kdp)|(train st.+moving)|(\|lc)|(penalty))"</v>
      </c>
      <c r="U39" s="9" t="str">
        <f t="shared" ref="U39:U59" si="12">MID(B39,13,4)</f>
        <v>4030</v>
      </c>
      <c r="V39" s="31">
        <f t="shared" ref="V39:V59" si="13">A39-utc_offset/24</f>
        <v>42895.818101851852</v>
      </c>
      <c r="W39" s="45" t="str">
        <f t="shared" ref="W39:W59" si="14">IFERROR(IF(VALUE(LEFT(IF(LEN(C39)=6,"0"&amp;C39,C39),2))&lt;=2,"EC",IF(OR(VALUE(LEFT(IF(LEN(C39)=6,"0"&amp;C39,C39),2))=8,VALUE(LEFT(IF(LEN(C39)=6,"0"&amp;C39,C39),2))=18),"NW","Other")),"Other")</f>
        <v>EC</v>
      </c>
      <c r="X39" s="45" t="str">
        <f t="shared" ref="X39:X59" si="15">IF(AND(E39="TRACK WARRANT AUTHORITY",G39&lt;10),"OMIT","KEEP")</f>
        <v>KEEP</v>
      </c>
      <c r="Y39" s="99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{"issue":{"subject":"","project_id":79,"tracker_id":40,"status_id":1,"priority_id":2,"assigned_to_id":23,"start_date":"2017-06-09","description":"","custom_fields":[{"id":1,"name":"Subdivision","value":"EC"},{"id":4,"name":"Milepost","value":"23.3491"},{"id":17,"name":"Train ID","value":"175-09"},{"id":16,"name":"Locomotive ID","value":"4030"},{"id":130,"name":"Impact","value":""},{"id":150,"name":"Time of Event (Mountain Time)","value":"13:38:04"},{"id":151,"name":"Denver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ref="AC39:AC59" si="17"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/cygdrive/c/Users/stu/AppData/Local/Temp/OnboardLogs/RTDC4030 --include="*4030*201706091*"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"%USERPROFILE%\AppData\Local\Temp\OnboardLogs"\RTDC4030\*4030*201706091* &gt;&gt; 2017-06-09-SliceDisagreementCheck.txt</v>
      </c>
      <c r="AE39" s="148" t="str">
        <f t="shared" si="9"/>
        <v>start /low /b %USERPROFILE%\Documents\GitHub\eaglep3\Utilities\DownloadLogsFromS3.py --loco 4030 --day 2017-06-09</v>
      </c>
      <c r="AF39" s="1"/>
    </row>
    <row r="40" spans="1:32" x14ac:dyDescent="0.25">
      <c r="A40" s="31">
        <v>42895.640729166669</v>
      </c>
      <c r="B40" s="30" t="s">
        <v>553</v>
      </c>
      <c r="C40" s="30" t="s">
        <v>613</v>
      </c>
      <c r="D40" s="30" t="s">
        <v>49</v>
      </c>
      <c r="E40" s="30" t="s">
        <v>183</v>
      </c>
      <c r="F40" s="42">
        <v>0</v>
      </c>
      <c r="G40" s="42">
        <v>41</v>
      </c>
      <c r="H40" s="42">
        <v>233361</v>
      </c>
      <c r="I40" s="42">
        <v>233404</v>
      </c>
      <c r="J40" s="30" t="s">
        <v>184</v>
      </c>
      <c r="K40" s="42">
        <v>233491</v>
      </c>
      <c r="L40" s="134" t="s">
        <v>50</v>
      </c>
      <c r="M40" s="135">
        <f t="shared" si="10"/>
        <v>45.936</v>
      </c>
      <c r="N40" s="136" t="str">
        <f>VLOOKUP(C40,'Trips&amp;Operators'!$C$1:$G$99999,5,FALSE)</f>
        <v>BRANDNER MELINDA</v>
      </c>
      <c r="O40" s="210" t="s">
        <v>182</v>
      </c>
      <c r="P40" s="137"/>
      <c r="Q40" s="30"/>
      <c r="R40" s="84" t="str">
        <f>VLOOKUP(C40,'Train Runs'!$A$13:$AE$9936,31,0)</f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S40" s="87" t="str">
        <f>VLOOKUP(C40,'Train Runs'!$A$13:$AE$9936,22,0)</f>
        <v>https://d0f6bd738d7f1b3e5a7ca70fe4ff75f0.us-east-1.aws.found.io/app/kibana#/discover/Steve-Slow-Train-Analysis-(2080s-and-2083s)?_g=(refreshInterval:(display:Off,pause:!f,section:0,value:0),time:(from:'2017-06-09T13:41:59-0600',mode:absolute,to:'2017-06-09T16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40" s="89" t="str">
        <f t="shared" si="11"/>
        <v>"C:\Program Files (x86)\AstroGrep\AstroGrep.exe" /e /r /s /spath="%USERPROFILE%\AppData\Local\Temp\OnboardLogs" /stypes="*4030*201706092*" /stext=" 21:.+((SYSTEM_STATE.+slice.+state.+changed )|(ment ac)|(multiple cpu faults)|(system.+state.+changed )|(\[timeout)|(PRM\|1\|D)|(kpr)|(kdp)|(train st.+moving)|(\|lc)|(penalty))"</v>
      </c>
      <c r="U40" s="9" t="str">
        <f t="shared" si="12"/>
        <v>4030</v>
      </c>
      <c r="V40" s="31">
        <f t="shared" si="13"/>
        <v>42895.890729166669</v>
      </c>
      <c r="W40" s="45" t="str">
        <f t="shared" si="14"/>
        <v>EC</v>
      </c>
      <c r="X40" s="45" t="str">
        <f t="shared" si="15"/>
        <v>KEEP</v>
      </c>
      <c r="Y40" s="99" t="str">
        <f t="shared" si="16"/>
        <v>echo {"issue":{"subject":"","project_id":79,"tracker_id":40,"status_id":1,"priority_id":2,"assigned_to_id":23,"start_date":"2017-06-09","description":"","custom_fields":[{"id":1,"name":"Subdivision","value":"EC"},{"id":4,"name":"Milepost","value":"23.3491"},{"id":17,"name":"Train ID","value":"189-09"},{"id":16,"name":"Locomotive ID","value":"4030"},{"id":130,"name":"Impact","value":""},{"id":150,"name":"Time of Event (Mountain Time)","value":"15:22:39"},{"id":151,"name":"Denver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17"/>
        <v>grep -hrE -A400 "Enforcement Action" /cygdrive/c/Users/stu/AppData/Local/Temp/OnboardLogs/RTDC4030 --include="*4030*201706092*"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"%USERPROFILE%\AppData\Local\Temp\OnboardLogs"\RTDC4030\*4030*201706092* &gt;&gt; 2017-06-09-SliceDisagreementCheck.txt</v>
      </c>
      <c r="AE40" s="148" t="str">
        <f t="shared" si="9"/>
        <v>start /low /b %USERPROFILE%\Documents\GitHub\eaglep3\Utilities\DownloadLogsFromS3.py --loco 4030 --day 2017-06-09</v>
      </c>
      <c r="AF40" s="1"/>
    </row>
    <row r="41" spans="1:32" x14ac:dyDescent="0.25">
      <c r="A41" s="31">
        <v>42895.714432870373</v>
      </c>
      <c r="B41" s="30" t="s">
        <v>553</v>
      </c>
      <c r="C41" s="30" t="s">
        <v>619</v>
      </c>
      <c r="D41" s="30" t="s">
        <v>49</v>
      </c>
      <c r="E41" s="30" t="s">
        <v>183</v>
      </c>
      <c r="F41" s="42">
        <v>0</v>
      </c>
      <c r="G41" s="42">
        <v>10</v>
      </c>
      <c r="H41" s="42">
        <v>233481</v>
      </c>
      <c r="I41" s="42">
        <v>233483</v>
      </c>
      <c r="J41" s="30" t="s">
        <v>184</v>
      </c>
      <c r="K41" s="42">
        <v>233491</v>
      </c>
      <c r="L41" s="134" t="s">
        <v>50</v>
      </c>
      <c r="M41" s="135">
        <f t="shared" si="10"/>
        <v>4.2240000000000002</v>
      </c>
      <c r="N41" s="136" t="str">
        <f>VLOOKUP(C41,'Trips&amp;Operators'!$C$1:$G$99999,5,FALSE)</f>
        <v>BRANDNER MELINDA</v>
      </c>
      <c r="O41" s="210" t="s">
        <v>182</v>
      </c>
      <c r="P41" s="137"/>
      <c r="Q41" s="30"/>
      <c r="R41" s="84" t="str">
        <f>VLOOKUP(C41,'Train Runs'!$A$13:$AE$9936,31,0)</f>
        <v>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 &amp; aws s3 cp s3://rtdc.mdm.uploadarchive.raw/RTDC4030/ "%USERPROFILE%\AppData\Local\Temp\OnboardLogs"\RTDC4030\2017-06-10 --exclude "*" --recursive --include "*20170610*" &amp; "%USERPROFILE%\Documents\GitHub\mrs-test-scripts\Headless Mode &amp; Sideloading\WalkAndUnGZ.bat" "%USERPROFILE%\AppData\Local\Temp\OnboardLogs"\RTDC4030\2017-06-10</v>
      </c>
      <c r="S41" s="87" t="str">
        <f>VLOOKUP(C41,'Train Runs'!$A$13:$AE$9936,22,0)</f>
        <v>https://d0f6bd738d7f1b3e5a7ca70fe4ff75f0.us-east-1.aws.found.io/app/kibana#/discover/Steve-Slow-Train-Analysis-(2080s-and-2083s)?_g=(refreshInterval:(display:Off,pause:!f,section:0,value:0),time:(from:'2017-06-09T15:24:25-0600',mode:absolute,to:'2017-06-09T18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41" s="89" t="str">
        <f t="shared" si="11"/>
        <v>"C:\Program Files (x86)\AstroGrep\AstroGrep.exe" /e /r /s /spath="%USERPROFILE%\AppData\Local\Temp\OnboardLogs" /stypes="*4030*201706092*" /stext=" 23:.+((SYSTEM_STATE.+slice.+state.+changed )|(ment ac)|(multiple cpu faults)|(system.+state.+changed )|(\[timeout)|(PRM\|1\|D)|(kpr)|(kdp)|(train st.+moving)|(\|lc)|(penalty))"</v>
      </c>
      <c r="U41" s="9" t="str">
        <f t="shared" si="12"/>
        <v>4030</v>
      </c>
      <c r="V41" s="31">
        <f t="shared" si="13"/>
        <v>42895.964432870373</v>
      </c>
      <c r="W41" s="45" t="str">
        <f t="shared" si="14"/>
        <v>EC</v>
      </c>
      <c r="X41" s="45" t="str">
        <f t="shared" si="15"/>
        <v>KEEP</v>
      </c>
      <c r="Y41" s="99" t="str">
        <f t="shared" si="16"/>
        <v>echo {"issue":{"subject":"","project_id":79,"tracker_id":40,"status_id":1,"priority_id":2,"assigned_to_id":23,"start_date":"2017-06-09","description":"","custom_fields":[{"id":1,"name":"Subdivision","value":"EC"},{"id":4,"name":"Milepost","value":"23.3491"},{"id":17,"name":"Train ID","value":"203-09"},{"id":16,"name":"Locomotive ID","value":"4030"},{"id":130,"name":"Impact","value":""},{"id":150,"name":"Time of Event (Mountain Time)","value":"17:08:47"},{"id":151,"name":"Denver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17"/>
        <v>grep -hrE -A400 "Enforcement Action" /cygdrive/c/Users/stu/AppData/Local/Temp/OnboardLogs/RTDC4030 --include="*4030*201706092*"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"%USERPROFILE%\AppData\Local\Temp\OnboardLogs"\RTDC4030\*4030*201706092* &gt;&gt; 2017-06-09-SliceDisagreementCheck.txt</v>
      </c>
      <c r="AE41" s="148" t="str">
        <f t="shared" si="9"/>
        <v>start /low /b %USERPROFILE%\Documents\GitHub\eaglep3\Utilities\DownloadLogsFromS3.py --loco 4030 --day 2017-06-09</v>
      </c>
      <c r="AF41" s="1"/>
    </row>
    <row r="42" spans="1:32" x14ac:dyDescent="0.25">
      <c r="A42" s="31">
        <v>42895.221122685187</v>
      </c>
      <c r="B42" s="30" t="s">
        <v>342</v>
      </c>
      <c r="C42" s="30" t="s">
        <v>588</v>
      </c>
      <c r="D42" s="30" t="s">
        <v>98</v>
      </c>
      <c r="E42" s="30" t="s">
        <v>366</v>
      </c>
      <c r="F42" s="42">
        <v>0</v>
      </c>
      <c r="G42" s="42">
        <v>364</v>
      </c>
      <c r="H42" s="42">
        <v>26911</v>
      </c>
      <c r="I42" s="42">
        <v>26214</v>
      </c>
      <c r="J42" s="30" t="s">
        <v>367</v>
      </c>
      <c r="K42" s="42">
        <v>26955</v>
      </c>
      <c r="L42" s="134" t="s">
        <v>51</v>
      </c>
      <c r="M42" s="135">
        <f t="shared" si="10"/>
        <v>-391.24799999999999</v>
      </c>
      <c r="N42" s="136" t="str">
        <f>VLOOKUP(C42,'Trips&amp;Operators'!$C$1:$G$99999,5,FALSE)</f>
        <v>GUZMAN DANNY</v>
      </c>
      <c r="O42" s="210" t="s">
        <v>417</v>
      </c>
      <c r="P42" s="137" t="s">
        <v>418</v>
      </c>
      <c r="Q42" s="30"/>
      <c r="R42" s="84" t="str">
        <f>VLOOKUP(C42,'Train Runs'!$A$13:$AE$9936,31,0)</f>
        <v>aws s3 cp s3://rtdc.mdm.uploadarchive.raw/RTDC4027/ "%USERPROFILE%\AppData\Local\Temp\OnboardLogs"\RTDC4027\2017-06-09 --exclude "*" --recursive --include "*20170609*" &amp; "%USERPROFILE%\Documents\GitHub\mrs-test-scripts\Headless Mode &amp; Sideloading\WalkAndUnGZ.bat" "%USERPROFILE%\AppData\Local\Temp\OnboardLogs"\RTDC4027\2017-06-09 &amp; 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</v>
      </c>
      <c r="S42" s="87" t="str">
        <f>VLOOKUP(C42,'Train Runs'!$A$13:$AE$9936,22,0)</f>
        <v>https://d0f6bd738d7f1b3e5a7ca70fe4ff75f0.us-east-1.aws.found.io/app/kibana#/discover/Steve-Slow-Train-Analysis-(2080s-and-2083s)?_g=(refreshInterval:(display:Off,pause:!f,section:0,value:0),time:(from:'2017-06-09T04:00:35-0600',mode:absolute,to:'2017-06-09T06:27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2" s="89" t="str">
        <f t="shared" si="11"/>
        <v>"C:\Program Files (x86)\AstroGrep\AstroGrep.exe" /e /r /s /spath="%USERPROFILE%\AppData\Local\Temp\OnboardLogs" /stypes="*4027*201706091*" /stext=" 11:.+((SYSTEM_STATE.+slice.+state.+changed )|(ment ac)|(multiple cpu faults)|(system.+state.+changed )|(\[timeout)|(PRM\|1\|D)|(kpr)|(kdp)|(train st.+moving)|(\|lc)|(penalty))"</v>
      </c>
      <c r="U42" s="9" t="str">
        <f t="shared" si="12"/>
        <v>4027</v>
      </c>
      <c r="V42" s="31">
        <f t="shared" si="13"/>
        <v>42895.471122685187</v>
      </c>
      <c r="W42" s="45" t="str">
        <f t="shared" si="14"/>
        <v>NW</v>
      </c>
      <c r="X42" s="45" t="str">
        <f t="shared" si="15"/>
        <v>KEEP</v>
      </c>
      <c r="Y42" s="99" t="str">
        <f t="shared" si="16"/>
        <v>echo {"issue":{"subject":"Wi-MAX data drop","project_id":79,"tracker_id":40,"status_id":1,"priority_id":2,"assigned_to_id":23,"start_date":"2017-06-09","description":"","custom_fields":[{"id":1,"name":"Subdivision","value":"NW"},{"id":4,"name":"Milepost","value":"2.6955"},{"id":17,"name":"Train ID","value":"800-09"},{"id":16,"name":"Locomotive ID","value":"4027"},{"id":130,"name":"Impact","value":""},{"id":150,"name":"Time of Event (Mountain Time)","value":"05:18:25"},{"id":151,"name":"Denver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17"/>
        <v>grep -hrE -A400 "Enforcement Action" /cygdrive/c/Users/stu/AppData/Local/Temp/OnboardLogs/RTDC4027 --include="*4027*201706091*"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"%USERPROFILE%\AppData\Local\Temp\OnboardLogs"\RTDC4027\*4027*201706091* &gt;&gt; 2017-06-09-SliceDisagreementCheck.txt</v>
      </c>
      <c r="AE42" s="148" t="str">
        <f t="shared" si="9"/>
        <v>start /low /b %USERPROFILE%\Documents\GitHub\eaglep3\Utilities\DownloadLogsFromS3.py --loco 4027 --day 2017-06-09</v>
      </c>
      <c r="AF42" s="1"/>
    </row>
    <row r="43" spans="1:32" x14ac:dyDescent="0.25">
      <c r="A43" s="31">
        <v>42895.346226851849</v>
      </c>
      <c r="B43" s="30" t="s">
        <v>342</v>
      </c>
      <c r="C43" s="30" t="s">
        <v>594</v>
      </c>
      <c r="D43" s="30" t="s">
        <v>49</v>
      </c>
      <c r="E43" s="30" t="s">
        <v>422</v>
      </c>
      <c r="F43" s="42">
        <v>0</v>
      </c>
      <c r="G43" s="42">
        <v>373</v>
      </c>
      <c r="H43" s="42">
        <v>25241</v>
      </c>
      <c r="I43" s="42">
        <v>24370</v>
      </c>
      <c r="J43" s="30" t="s">
        <v>419</v>
      </c>
      <c r="K43" s="42">
        <v>24235</v>
      </c>
      <c r="L43" s="134" t="s">
        <v>51</v>
      </c>
      <c r="M43" s="135">
        <f t="shared" si="10"/>
        <v>71.28</v>
      </c>
      <c r="N43" s="136" t="str">
        <f>VLOOKUP(C43,'Trips&amp;Operators'!$C$1:$G$99999,5,FALSE)</f>
        <v>GUZMAN DANNY</v>
      </c>
      <c r="O43" s="210" t="s">
        <v>417</v>
      </c>
      <c r="P43" s="137" t="s">
        <v>418</v>
      </c>
      <c r="Q43" s="30"/>
      <c r="R43" s="84" t="str">
        <f>VLOOKUP(C43,'Train Runs'!$A$13:$AE$9936,31,0)</f>
        <v>aws s3 cp s3://rtdc.mdm.uploadarchive.raw/RTDC4027/ "%USERPROFILE%\AppData\Local\Temp\OnboardLogs"\RTDC4027\2017-06-09 --exclude "*" --recursive --include "*20170609*" &amp; "%USERPROFILE%\Documents\GitHub\mrs-test-scripts\Headless Mode &amp; Sideloading\WalkAndUnGZ.bat" "%USERPROFILE%\AppData\Local\Temp\OnboardLogs"\RTDC4027\2017-06-09 &amp; 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</v>
      </c>
      <c r="S43" s="87" t="str">
        <f>VLOOKUP(C43,'Train Runs'!$A$13:$AE$9936,22,0)</f>
        <v>https://d0f6bd738d7f1b3e5a7ca70fe4ff75f0.us-east-1.aws.found.io/app/kibana#/discover/Steve-Slow-Train-Analysis-(2080s-and-2083s)?_g=(refreshInterval:(display:Off,pause:!f,section:0,value:0),time:(from:'2017-06-09T07:06:23-0600',mode:absolute,to:'2017-06-09T09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3" s="89" t="str">
        <f t="shared" si="11"/>
        <v>"C:\Program Files (x86)\AstroGrep\AstroGrep.exe" /e /r /s /spath="%USERPROFILE%\AppData\Local\Temp\OnboardLogs" /stypes="*4027*201706091*" /stext=" 14:.+((SYSTEM_STATE.+slice.+state.+changed )|(ment ac)|(multiple cpu faults)|(system.+state.+changed )|(\[timeout)|(PRM\|1\|D)|(kpr)|(kdp)|(train st.+moving)|(\|lc)|(penalty))"</v>
      </c>
      <c r="U43" s="9" t="str">
        <f t="shared" si="12"/>
        <v>4027</v>
      </c>
      <c r="V43" s="31">
        <f t="shared" si="13"/>
        <v>42895.596226851849</v>
      </c>
      <c r="W43" s="45" t="str">
        <f t="shared" si="14"/>
        <v>NW</v>
      </c>
      <c r="X43" s="45" t="str">
        <f t="shared" si="15"/>
        <v>KEEP</v>
      </c>
      <c r="Y43" s="99" t="str">
        <f t="shared" si="16"/>
        <v>echo {"issue":{"subject":"Wi-MAX data drop","project_id":79,"tracker_id":40,"status_id":1,"priority_id":2,"assigned_to_id":23,"start_date":"2017-06-09","description":"","custom_fields":[{"id":1,"name":"Subdivision","value":"NW"},{"id":4,"name":"Milepost","value":"2.4235"},{"id":17,"name":"Train ID","value":"810-09"},{"id":16,"name":"Locomotive ID","value":"4027"},{"id":130,"name":"Impact","value":""},{"id":150,"name":"Time of Event (Mountain Time)","value":"08:18:34"},{"id":151,"name":"Denver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17"/>
        <v>grep -hrE -A400 "Enforcement Action" /cygdrive/c/Users/stu/AppData/Local/Temp/OnboardLogs/RTDC4027 --include="*4027*201706091*"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"%USERPROFILE%\AppData\Local\Temp\OnboardLogs"\RTDC4027\*4027*201706091* &gt;&gt; 2017-06-09-SliceDisagreementCheck.txt</v>
      </c>
      <c r="AE43" s="148" t="str">
        <f t="shared" si="9"/>
        <v>start /low /b %USERPROFILE%\Documents\GitHub\eaglep3\Utilities\DownloadLogsFromS3.py --loco 4027 --day 2017-06-09</v>
      </c>
      <c r="AF43" s="1"/>
    </row>
    <row r="44" spans="1:32" x14ac:dyDescent="0.25">
      <c r="A44" s="31">
        <v>42895.26767361111</v>
      </c>
      <c r="B44" s="30" t="s">
        <v>342</v>
      </c>
      <c r="C44" s="30" t="s">
        <v>591</v>
      </c>
      <c r="D44" s="30" t="s">
        <v>49</v>
      </c>
      <c r="E44" s="30" t="s">
        <v>183</v>
      </c>
      <c r="F44" s="42">
        <v>0</v>
      </c>
      <c r="G44" s="42">
        <v>37</v>
      </c>
      <c r="H44" s="42">
        <v>696</v>
      </c>
      <c r="I44" s="42">
        <v>666</v>
      </c>
      <c r="J44" s="30" t="s">
        <v>184</v>
      </c>
      <c r="K44" s="42">
        <v>575</v>
      </c>
      <c r="L44" s="134" t="s">
        <v>51</v>
      </c>
      <c r="M44" s="135">
        <f t="shared" si="10"/>
        <v>48.048000000000002</v>
      </c>
      <c r="N44" s="136" t="str">
        <f>VLOOKUP(C44,'Trips&amp;Operators'!$C$1:$G$99999,5,FALSE)</f>
        <v>GUZMAN DANNY</v>
      </c>
      <c r="O44" s="210" t="s">
        <v>182</v>
      </c>
      <c r="P44" s="137"/>
      <c r="Q44" s="30"/>
      <c r="R44" s="84" t="str">
        <f>VLOOKUP(C44,'Train Runs'!$A$13:$AE$9936,31,0)</f>
        <v>aws s3 cp s3://rtdc.mdm.uploadarchive.raw/RTDC4027/ "%USERPROFILE%\AppData\Local\Temp\OnboardLogs"\RTDC4027\2017-06-09 --exclude "*" --recursive --include "*20170609*" &amp; "%USERPROFILE%\Documents\GitHub\mrs-test-scripts\Headless Mode &amp; Sideloading\WalkAndUnGZ.bat" "%USERPROFILE%\AppData\Local\Temp\OnboardLogs"\RTDC4027\2017-06-09 &amp; 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</v>
      </c>
      <c r="S44" s="87" t="str">
        <f>VLOOKUP(C44,'Train Runs'!$A$13:$AE$9936,22,0)</f>
        <v>https://d0f6bd738d7f1b3e5a7ca70fe4ff75f0.us-east-1.aws.found.io/app/kibana#/discover/Steve-Slow-Train-Analysis-(2080s-and-2083s)?_g=(refreshInterval:(display:Off,pause:!f,section:0,value:0),time:(from:'2017-06-09T05:05:55-0600',mode:absolute,to:'2017-06-09T07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4" s="89" t="str">
        <f t="shared" si="11"/>
        <v>"C:\Program Files (x86)\AstroGrep\AstroGrep.exe" /e /r /s /spath="%USERPROFILE%\AppData\Local\Temp\OnboardLogs" /stypes="*4027*201706091*" /stext=" 12:.+((SYSTEM_STATE.+slice.+state.+changed )|(ment ac)|(multiple cpu faults)|(system.+state.+changed )|(\[timeout)|(PRM\|1\|D)|(kpr)|(kdp)|(train st.+moving)|(\|lc)|(penalty))"</v>
      </c>
      <c r="U44" s="9" t="str">
        <f t="shared" si="12"/>
        <v>4027</v>
      </c>
      <c r="V44" s="31">
        <f t="shared" si="13"/>
        <v>42895.51767361111</v>
      </c>
      <c r="W44" s="45" t="str">
        <f t="shared" si="14"/>
        <v>NW</v>
      </c>
      <c r="X44" s="45" t="str">
        <f t="shared" si="15"/>
        <v>KEEP</v>
      </c>
      <c r="Y44" s="99" t="str">
        <f t="shared" si="16"/>
        <v>echo {"issue":{"subject":"","project_id":79,"tracker_id":40,"status_id":1,"priority_id":2,"assigned_to_id":23,"start_date":"2017-06-09","description":"","custom_fields":[{"id":1,"name":"Subdivision","value":"NW"},{"id":4,"name":"Milepost","value":"0.0575"},{"id":17,"name":"Train ID","value":"802-09"},{"id":16,"name":"Locomotive ID","value":"4027"},{"id":130,"name":"Impact","value":""},{"id":150,"name":"Time of Event (Mountain Time)","value":"06:25:27"},{"id":151,"name":"Denver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17"/>
        <v>grep -hrE -A400 "Enforcement Action" /cygdrive/c/Users/stu/AppData/Local/Temp/OnboardLogs/RTDC4027 --include="*4027*201706091*"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"%USERPROFILE%\AppData\Local\Temp\OnboardLogs"\RTDC4027\*4027*201706091* &gt;&gt; 2017-06-09-SliceDisagreementCheck.txt</v>
      </c>
      <c r="AE44" s="148" t="str">
        <f t="shared" si="9"/>
        <v>start /low /b %USERPROFILE%\Documents\GitHub\eaglep3\Utilities\DownloadLogsFromS3.py --loco 4027 --day 2017-06-09</v>
      </c>
      <c r="AF44" s="1"/>
    </row>
    <row r="45" spans="1:32" x14ac:dyDescent="0.25">
      <c r="A45" s="31">
        <v>42895.49596064815</v>
      </c>
      <c r="B45" s="30" t="s">
        <v>518</v>
      </c>
      <c r="C45" s="30" t="s">
        <v>603</v>
      </c>
      <c r="D45" s="30" t="s">
        <v>49</v>
      </c>
      <c r="E45" s="30" t="s">
        <v>183</v>
      </c>
      <c r="F45" s="42">
        <v>0</v>
      </c>
      <c r="G45" s="42">
        <v>78</v>
      </c>
      <c r="H45" s="42">
        <v>811</v>
      </c>
      <c r="I45" s="42">
        <v>748</v>
      </c>
      <c r="J45" s="30" t="s">
        <v>184</v>
      </c>
      <c r="K45" s="42">
        <v>575</v>
      </c>
      <c r="L45" s="134" t="s">
        <v>51</v>
      </c>
      <c r="M45" s="135">
        <f t="shared" si="10"/>
        <v>91.343999999999994</v>
      </c>
      <c r="N45" s="136" t="str">
        <f>VLOOKUP(C45,'Trips&amp;Operators'!$C$1:$G$99999,5,FALSE)</f>
        <v>LALONDE GREGORY</v>
      </c>
      <c r="O45" s="210" t="s">
        <v>182</v>
      </c>
      <c r="P45" s="137"/>
      <c r="Q45" s="30"/>
      <c r="R45" s="84" t="str">
        <f>VLOOKUP(C45,'Train Runs'!$A$13:$AE$9936,31,0)</f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S45" s="87" t="str">
        <f>VLOOKUP(C45,'Train Runs'!$A$13:$AE$9936,22,0)</f>
        <v>https://d0f6bd738d7f1b3e5a7ca70fe4ff75f0.us-east-1.aws.found.io/app/kibana#/discover/Steve-Slow-Train-Analysis-(2080s-and-2083s)?_g=(refreshInterval:(display:Off,pause:!f,section:0,value:0),time:(from:'2017-06-09T10:35:38-0600',mode:absolute,to:'2017-06-09T12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5" s="89" t="str">
        <f t="shared" si="11"/>
        <v>"C:\Program Files (x86)\AstroGrep\AstroGrep.exe" /e /r /s /spath="%USERPROFILE%\AppData\Local\Temp\OnboardLogs" /stypes="*4015*201706091*" /stext=" 17:.+((SYSTEM_STATE.+slice.+state.+changed )|(ment ac)|(multiple cpu faults)|(system.+state.+changed )|(\[timeout)|(PRM\|1\|D)|(kpr)|(kdp)|(train st.+moving)|(\|lc)|(penalty))"</v>
      </c>
      <c r="U45" s="9" t="str">
        <f t="shared" si="12"/>
        <v>4015</v>
      </c>
      <c r="V45" s="31">
        <f t="shared" si="13"/>
        <v>42895.74596064815</v>
      </c>
      <c r="W45" s="45" t="str">
        <f t="shared" si="14"/>
        <v>NW</v>
      </c>
      <c r="X45" s="45" t="str">
        <f t="shared" si="15"/>
        <v>KEEP</v>
      </c>
      <c r="Y45" s="99" t="str">
        <f t="shared" si="16"/>
        <v>echo {"issue":{"subject":"","project_id":79,"tracker_id":40,"status_id":1,"priority_id":2,"assigned_to_id":23,"start_date":"2017-06-09","description":"","custom_fields":[{"id":1,"name":"Subdivision","value":"NW"},{"id":4,"name":"Milepost","value":"0.0575"},{"id":17,"name":"Train ID","value":"818-09"},{"id":16,"name":"Locomotive ID","value":"4015"},{"id":130,"name":"Impact","value":""},{"id":150,"name":"Time of Event (Mountain Time)","value":"11:54:11"},{"id":151,"name":"Denver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17"/>
        <v>grep -hrE -A400 "Enforcement Action" /cygdrive/c/Users/stu/AppData/Local/Temp/OnboardLogs/RTDC4015 --include="*4015*201706091*"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"%USERPROFILE%\AppData\Local\Temp\OnboardLogs"\RTDC4015\*4015*201706091* &gt;&gt; 2017-06-09-SliceDisagreementCheck.txt</v>
      </c>
      <c r="AE45" s="148" t="str">
        <f t="shared" si="9"/>
        <v>start /low /b %USERPROFILE%\Documents\GitHub\eaglep3\Utilities\DownloadLogsFromS3.py --loco 4015 --day 2017-06-09</v>
      </c>
      <c r="AF45" s="1"/>
    </row>
    <row r="46" spans="1:32" x14ac:dyDescent="0.25">
      <c r="A46" s="31">
        <v>42895.537418981483</v>
      </c>
      <c r="B46" s="30" t="s">
        <v>518</v>
      </c>
      <c r="C46" s="30" t="s">
        <v>605</v>
      </c>
      <c r="D46" s="30" t="s">
        <v>49</v>
      </c>
      <c r="E46" s="30" t="s">
        <v>183</v>
      </c>
      <c r="F46" s="42">
        <v>0</v>
      </c>
      <c r="G46" s="42">
        <v>140</v>
      </c>
      <c r="H46" s="42">
        <v>1483</v>
      </c>
      <c r="I46" s="42">
        <v>1266</v>
      </c>
      <c r="J46" s="30" t="s">
        <v>184</v>
      </c>
      <c r="K46" s="42">
        <v>575</v>
      </c>
      <c r="L46" s="134" t="s">
        <v>51</v>
      </c>
      <c r="M46" s="135">
        <f t="shared" si="10"/>
        <v>364.84800000000001</v>
      </c>
      <c r="N46" s="136" t="str">
        <f>VLOOKUP(C46,'Trips&amp;Operators'!$C$1:$G$99999,5,FALSE)</f>
        <v>LALONDE GREGORY</v>
      </c>
      <c r="O46" s="210" t="s">
        <v>182</v>
      </c>
      <c r="P46" s="137"/>
      <c r="Q46" s="30"/>
      <c r="R46" s="84" t="str">
        <f>VLOOKUP(C46,'Train Runs'!$A$13:$AE$9936,31,0)</f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S46" s="87" t="str">
        <f>VLOOKUP(C46,'Train Runs'!$A$13:$AE$9936,22,0)</f>
        <v>https://d0f6bd738d7f1b3e5a7ca70fe4ff75f0.us-east-1.aws.found.io/app/kibana#/discover/Steve-Slow-Train-Analysis-(2080s-and-2083s)?_g=(refreshInterval:(display:Off,pause:!f,section:0,value:0),time:(from:'2017-06-09T11:35:30-0600',mode:absolute,to:'2017-06-09T13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6" s="89" t="str">
        <f t="shared" si="11"/>
        <v>"C:\Program Files (x86)\AstroGrep\AstroGrep.exe" /e /r /s /spath="%USERPROFILE%\AppData\Local\Temp\OnboardLogs" /stypes="*4015*201706091*" /stext=" 18:.+((SYSTEM_STATE.+slice.+state.+changed )|(ment ac)|(multiple cpu faults)|(system.+state.+changed )|(\[timeout)|(PRM\|1\|D)|(kpr)|(kdp)|(train st.+moving)|(\|lc)|(penalty))"</v>
      </c>
      <c r="U46" s="9" t="str">
        <f t="shared" si="12"/>
        <v>4015</v>
      </c>
      <c r="V46" s="31">
        <f t="shared" si="13"/>
        <v>42895.787418981483</v>
      </c>
      <c r="W46" s="45" t="str">
        <f t="shared" si="14"/>
        <v>NW</v>
      </c>
      <c r="X46" s="45" t="str">
        <f t="shared" si="15"/>
        <v>KEEP</v>
      </c>
      <c r="Y46" s="99" t="str">
        <f t="shared" si="16"/>
        <v>echo {"issue":{"subject":"","project_id":79,"tracker_id":40,"status_id":1,"priority_id":2,"assigned_to_id":23,"start_date":"2017-06-09","description":"","custom_fields":[{"id":1,"name":"Subdivision","value":"NW"},{"id":4,"name":"Milepost","value":"0.0575"},{"id":17,"name":"Train ID","value":"820-09"},{"id":16,"name":"Locomotive ID","value":"4015"},{"id":130,"name":"Impact","value":""},{"id":150,"name":"Time of Event (Mountain Time)","value":"12:53:53"},{"id":151,"name":"Denver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17"/>
        <v>grep -hrE -A400 "Enforcement Action" /cygdrive/c/Users/stu/AppData/Local/Temp/OnboardLogs/RTDC4015 --include="*4015*201706091*"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"%USERPROFILE%\AppData\Local\Temp\OnboardLogs"\RTDC4015\*4015*201706091* &gt;&gt; 2017-06-09-SliceDisagreementCheck.txt</v>
      </c>
      <c r="AE46" s="148" t="str">
        <f t="shared" si="9"/>
        <v>start /low /b %USERPROFILE%\Documents\GitHub\eaglep3\Utilities\DownloadLogsFromS3.py --loco 4015 --day 2017-06-09</v>
      </c>
      <c r="AF46" s="1"/>
    </row>
    <row r="47" spans="1:32" x14ac:dyDescent="0.25">
      <c r="A47" s="31">
        <v>42895.62228009259</v>
      </c>
      <c r="B47" s="30" t="s">
        <v>518</v>
      </c>
      <c r="C47" s="30" t="s">
        <v>610</v>
      </c>
      <c r="D47" s="30" t="s">
        <v>49</v>
      </c>
      <c r="E47" s="30" t="s">
        <v>183</v>
      </c>
      <c r="F47" s="42">
        <v>0</v>
      </c>
      <c r="G47" s="42">
        <v>39</v>
      </c>
      <c r="H47" s="42">
        <v>738</v>
      </c>
      <c r="I47" s="42">
        <v>692</v>
      </c>
      <c r="J47" s="30" t="s">
        <v>184</v>
      </c>
      <c r="K47" s="42">
        <v>575</v>
      </c>
      <c r="L47" s="134" t="s">
        <v>51</v>
      </c>
      <c r="M47" s="135">
        <f t="shared" si="10"/>
        <v>61.776000000000003</v>
      </c>
      <c r="N47" s="136" t="str">
        <f>VLOOKUP(C47,'Trips&amp;Operators'!$C$1:$G$99999,5,FALSE)</f>
        <v>BERLING GARY</v>
      </c>
      <c r="O47" s="210" t="s">
        <v>182</v>
      </c>
      <c r="P47" s="137"/>
      <c r="Q47" s="30"/>
      <c r="R47" s="84" t="str">
        <f>VLOOKUP(C47,'Train Runs'!$A$13:$AE$9936,31,0)</f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S47" s="87" t="str">
        <f>VLOOKUP(C47,'Train Runs'!$A$13:$AE$9936,22,0)</f>
        <v>https://d0f6bd738d7f1b3e5a7ca70fe4ff75f0.us-east-1.aws.found.io/app/kibana#/discover/Steve-Slow-Train-Analysis-(2080s-and-2083s)?_g=(refreshInterval:(display:Off,pause:!f,section:0,value:0),time:(from:'2017-06-09T13:36:57-0600',mode:absolute,to:'2017-06-09T15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7" s="89" t="str">
        <f t="shared" si="11"/>
        <v>"C:\Program Files (x86)\AstroGrep\AstroGrep.exe" /e /r /s /spath="%USERPROFILE%\AppData\Local\Temp\OnboardLogs" /stypes="*4015*201706092*" /stext=" 20:.+((SYSTEM_STATE.+slice.+state.+changed )|(ment ac)|(multiple cpu faults)|(system.+state.+changed )|(\[timeout)|(PRM\|1\|D)|(kpr)|(kdp)|(train st.+moving)|(\|lc)|(penalty))"</v>
      </c>
      <c r="U47" s="9" t="str">
        <f t="shared" si="12"/>
        <v>4015</v>
      </c>
      <c r="V47" s="31">
        <f t="shared" si="13"/>
        <v>42895.87228009259</v>
      </c>
      <c r="W47" s="45" t="str">
        <f t="shared" si="14"/>
        <v>NW</v>
      </c>
      <c r="X47" s="45" t="str">
        <f t="shared" si="15"/>
        <v>KEEP</v>
      </c>
      <c r="Y47" s="99" t="str">
        <f t="shared" si="16"/>
        <v>echo {"issue":{"subject":"","project_id":79,"tracker_id":40,"status_id":1,"priority_id":2,"assigned_to_id":23,"start_date":"2017-06-09","description":"","custom_fields":[{"id":1,"name":"Subdivision","value":"NW"},{"id":4,"name":"Milepost","value":"0.0575"},{"id":17,"name":"Train ID","value":"824-09"},{"id":16,"name":"Locomotive ID","value":"4015"},{"id":130,"name":"Impact","value":""},{"id":150,"name":"Time of Event (Mountain Time)","value":"14:56:05"},{"id":151,"name":"Denver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17"/>
        <v>grep -hrE -A400 "Enforcement Action" /cygdrive/c/Users/stu/AppData/Local/Temp/OnboardLogs/RTDC4015 --include="*4015*201706092*"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"%USERPROFILE%\AppData\Local\Temp\OnboardLogs"\RTDC4015\*4015*201706092* &gt;&gt; 2017-06-09-SliceDisagreementCheck.txt</v>
      </c>
      <c r="AE47" s="148" t="str">
        <f t="shared" si="9"/>
        <v>start /low /b %USERPROFILE%\Documents\GitHub\eaglep3\Utilities\DownloadLogsFromS3.py --loco 4015 --day 2017-06-09</v>
      </c>
      <c r="AF47" s="1"/>
    </row>
    <row r="48" spans="1:32" x14ac:dyDescent="0.25">
      <c r="A48" s="31">
        <v>42895.663321759261</v>
      </c>
      <c r="B48" s="30" t="s">
        <v>518</v>
      </c>
      <c r="C48" s="30" t="s">
        <v>614</v>
      </c>
      <c r="D48" s="30" t="s">
        <v>49</v>
      </c>
      <c r="E48" s="30" t="s">
        <v>183</v>
      </c>
      <c r="F48" s="42">
        <v>0</v>
      </c>
      <c r="G48" s="42">
        <v>80</v>
      </c>
      <c r="H48" s="42">
        <v>841</v>
      </c>
      <c r="I48" s="42">
        <v>762</v>
      </c>
      <c r="J48" s="30" t="s">
        <v>184</v>
      </c>
      <c r="K48" s="42">
        <v>575</v>
      </c>
      <c r="L48" s="134" t="s">
        <v>51</v>
      </c>
      <c r="M48" s="135">
        <f t="shared" si="10"/>
        <v>98.736000000000004</v>
      </c>
      <c r="N48" s="136" t="str">
        <f>VLOOKUP(C48,'Trips&amp;Operators'!$C$1:$G$99999,5,FALSE)</f>
        <v>BERLING GARY</v>
      </c>
      <c r="O48" s="210" t="s">
        <v>182</v>
      </c>
      <c r="P48" s="137"/>
      <c r="Q48" s="30"/>
      <c r="R48" s="84" t="str">
        <f>VLOOKUP(C48,'Train Runs'!$A$13:$AE$9936,31,0)</f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S48" s="87" t="str">
        <f>VLOOKUP(C48,'Train Runs'!$A$13:$AE$9936,22,0)</f>
        <v>https://d0f6bd738d7f1b3e5a7ca70fe4ff75f0.us-east-1.aws.found.io/app/kibana#/discover/Steve-Slow-Train-Analysis-(2080s-and-2083s)?_g=(refreshInterval:(display:Off,pause:!f,section:0,value:0),time:(from:'2017-06-09T14:36:46-0600',mode:absolute,to:'2017-06-09T16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8" s="89" t="str">
        <f t="shared" si="11"/>
        <v>"C:\Program Files (x86)\AstroGrep\AstroGrep.exe" /e /r /s /spath="%USERPROFILE%\AppData\Local\Temp\OnboardLogs" /stypes="*4015*201706092*" /stext=" 21:.+((SYSTEM_STATE.+slice.+state.+changed )|(ment ac)|(multiple cpu faults)|(system.+state.+changed )|(\[timeout)|(PRM\|1\|D)|(kpr)|(kdp)|(train st.+moving)|(\|lc)|(penalty))"</v>
      </c>
      <c r="U48" s="9" t="str">
        <f t="shared" si="12"/>
        <v>4015</v>
      </c>
      <c r="V48" s="31">
        <f t="shared" si="13"/>
        <v>42895.913321759261</v>
      </c>
      <c r="W48" s="45" t="str">
        <f t="shared" si="14"/>
        <v>NW</v>
      </c>
      <c r="X48" s="45" t="str">
        <f t="shared" si="15"/>
        <v>KEEP</v>
      </c>
      <c r="Y48" s="99" t="str">
        <f t="shared" si="16"/>
        <v>echo {"issue":{"subject":"","project_id":79,"tracker_id":40,"status_id":1,"priority_id":2,"assigned_to_id":23,"start_date":"2017-06-09","description":"","custom_fields":[{"id":1,"name":"Subdivision","value":"NW"},{"id":4,"name":"Milepost","value":"0.0575"},{"id":17,"name":"Train ID","value":"826-09"},{"id":16,"name":"Locomotive ID","value":"4015"},{"id":130,"name":"Impact","value":""},{"id":150,"name":"Time of Event (Mountain Time)","value":"15:55:11"},{"id":151,"name":"Denver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17"/>
        <v>grep -hrE -A400 "Enforcement Action" /cygdrive/c/Users/stu/AppData/Local/Temp/OnboardLogs/RTDC4015 --include="*4015*201706092*"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"%USERPROFILE%\AppData\Local\Temp\OnboardLogs"\RTDC4015\*4015*201706092* &gt;&gt; 2017-06-09-SliceDisagreementCheck.txt</v>
      </c>
      <c r="AE48" s="148" t="str">
        <f t="shared" si="9"/>
        <v>start /low /b %USERPROFILE%\Documents\GitHub\eaglep3\Utilities\DownloadLogsFromS3.py --loco 4015 --day 2017-06-09</v>
      </c>
      <c r="AF48" s="1"/>
    </row>
    <row r="49" spans="1:32" x14ac:dyDescent="0.25">
      <c r="A49" s="31">
        <v>42895.706006944441</v>
      </c>
      <c r="B49" s="30" t="s">
        <v>518</v>
      </c>
      <c r="C49" s="30" t="s">
        <v>617</v>
      </c>
      <c r="D49" s="30" t="s">
        <v>49</v>
      </c>
      <c r="E49" s="30" t="s">
        <v>183</v>
      </c>
      <c r="F49" s="42">
        <v>0</v>
      </c>
      <c r="G49" s="42">
        <v>33</v>
      </c>
      <c r="H49" s="42">
        <v>666</v>
      </c>
      <c r="I49" s="42">
        <v>640</v>
      </c>
      <c r="J49" s="30" t="s">
        <v>184</v>
      </c>
      <c r="K49" s="42">
        <v>575</v>
      </c>
      <c r="L49" s="134" t="s">
        <v>51</v>
      </c>
      <c r="M49" s="135">
        <f t="shared" si="10"/>
        <v>34.32</v>
      </c>
      <c r="N49" s="136" t="str">
        <f>VLOOKUP(C49,'Trips&amp;Operators'!$C$1:$G$99999,5,FALSE)</f>
        <v>BERLING GARY</v>
      </c>
      <c r="O49" s="210" t="s">
        <v>182</v>
      </c>
      <c r="P49" s="137"/>
      <c r="Q49" s="30"/>
      <c r="R49" s="84" t="str">
        <f>VLOOKUP(C49,'Train Runs'!$A$13:$AE$9936,31,0)</f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S49" s="87" t="str">
        <f>VLOOKUP(C49,'Train Runs'!$A$13:$AE$9936,22,0)</f>
        <v>https://d0f6bd738d7f1b3e5a7ca70fe4ff75f0.us-east-1.aws.found.io/app/kibana#/discover/Steve-Slow-Train-Analysis-(2080s-and-2083s)?_g=(refreshInterval:(display:Off,pause:!f,section:0,value:0),time:(from:'2017-06-09T15:36:44-0600',mode:absolute,to:'2017-06-09T17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9" s="89" t="str">
        <f t="shared" si="11"/>
        <v>"C:\Program Files (x86)\AstroGrep\AstroGrep.exe" /e /r /s /spath="%USERPROFILE%\AppData\Local\Temp\OnboardLogs" /stypes="*4015*201706092*" /stext=" 22:.+((SYSTEM_STATE.+slice.+state.+changed )|(ment ac)|(multiple cpu faults)|(system.+state.+changed )|(\[timeout)|(PRM\|1\|D)|(kpr)|(kdp)|(train st.+moving)|(\|lc)|(penalty))"</v>
      </c>
      <c r="U49" s="9" t="str">
        <f t="shared" si="12"/>
        <v>4015</v>
      </c>
      <c r="V49" s="31">
        <f t="shared" si="13"/>
        <v>42895.956006944441</v>
      </c>
      <c r="W49" s="45" t="str">
        <f t="shared" si="14"/>
        <v>NW</v>
      </c>
      <c r="X49" s="45" t="str">
        <f t="shared" si="15"/>
        <v>KEEP</v>
      </c>
      <c r="Y49" s="99" t="str">
        <f t="shared" si="16"/>
        <v>echo {"issue":{"subject":"","project_id":79,"tracker_id":40,"status_id":1,"priority_id":2,"assigned_to_id":23,"start_date":"2017-06-09","description":"","custom_fields":[{"id":1,"name":"Subdivision","value":"NW"},{"id":4,"name":"Milepost","value":"0.0575"},{"id":17,"name":"Train ID","value":"830-09"},{"id":16,"name":"Locomotive ID","value":"4015"},{"id":130,"name":"Impact","value":""},{"id":150,"name":"Time of Event (Mountain Time)","value":"16:56:39"},{"id":151,"name":"Denver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17"/>
        <v>grep -hrE -A400 "Enforcement Action" /cygdrive/c/Users/stu/AppData/Local/Temp/OnboardLogs/RTDC4015 --include="*4015*201706092*"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"%USERPROFILE%\AppData\Local\Temp\OnboardLogs"\RTDC4015\*4015*201706092* &gt;&gt; 2017-06-09-SliceDisagreementCheck.txt</v>
      </c>
      <c r="AE49" s="148" t="str">
        <f t="shared" si="9"/>
        <v>start /low /b %USERPROFILE%\Documents\GitHub\eaglep3\Utilities\DownloadLogsFromS3.py --loco 4015 --day 2017-06-09</v>
      </c>
      <c r="AF49" s="1"/>
    </row>
    <row r="50" spans="1:32" x14ac:dyDescent="0.25">
      <c r="A50" s="31">
        <v>42895.74726851852</v>
      </c>
      <c r="B50" s="30" t="s">
        <v>518</v>
      </c>
      <c r="C50" s="30" t="s">
        <v>625</v>
      </c>
      <c r="D50" s="30" t="s">
        <v>49</v>
      </c>
      <c r="E50" s="30" t="s">
        <v>183</v>
      </c>
      <c r="F50" s="42">
        <v>0</v>
      </c>
      <c r="G50" s="42">
        <v>151</v>
      </c>
      <c r="H50" s="42">
        <v>1247</v>
      </c>
      <c r="I50" s="42">
        <v>1053</v>
      </c>
      <c r="J50" s="30" t="s">
        <v>184</v>
      </c>
      <c r="K50" s="42">
        <v>575</v>
      </c>
      <c r="L50" s="134" t="s">
        <v>51</v>
      </c>
      <c r="M50" s="135">
        <f t="shared" si="10"/>
        <v>252.38399999999999</v>
      </c>
      <c r="N50" s="136" t="str">
        <f>VLOOKUP(C50,'Trips&amp;Operators'!$C$1:$G$99999,5,FALSE)</f>
        <v>LOPES KIMBERLY</v>
      </c>
      <c r="O50" s="210" t="s">
        <v>182</v>
      </c>
      <c r="P50" s="137"/>
      <c r="Q50" s="30"/>
      <c r="R50" s="84" t="str">
        <f>VLOOKUP(C50,'Train Runs'!$A$13:$AE$9936,31,0)</f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S50" s="87" t="str">
        <f>VLOOKUP(C50,'Train Runs'!$A$13:$AE$9936,22,0)</f>
        <v>https://d0f6bd738d7f1b3e5a7ca70fe4ff75f0.us-east-1.aws.found.io/app/kibana#/discover/Steve-Slow-Train-Analysis-(2080s-and-2083s)?_g=(refreshInterval:(display:Off,pause:!f,section:0,value:0),time:(from:'2017-06-09T16:39:01-0600',mode:absolute,to:'2017-06-09T18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0" s="89" t="str">
        <f t="shared" si="11"/>
        <v>"C:\Program Files (x86)\AstroGrep\AstroGrep.exe" /e /r /s /spath="%USERPROFILE%\AppData\Local\Temp\OnboardLogs" /stypes="*4015*201706092*" /stext=" 23:.+((SYSTEM_STATE.+slice.+state.+changed )|(ment ac)|(multiple cpu faults)|(system.+state.+changed )|(\[timeout)|(PRM\|1\|D)|(kpr)|(kdp)|(train st.+moving)|(\|lc)|(penalty))"</v>
      </c>
      <c r="U50" s="9" t="str">
        <f t="shared" si="12"/>
        <v>4015</v>
      </c>
      <c r="V50" s="31">
        <f t="shared" si="13"/>
        <v>42895.99726851852</v>
      </c>
      <c r="W50" s="45" t="str">
        <f t="shared" si="14"/>
        <v>NW</v>
      </c>
      <c r="X50" s="45" t="str">
        <f t="shared" si="15"/>
        <v>KEEP</v>
      </c>
      <c r="Y50" s="99" t="str">
        <f t="shared" si="16"/>
        <v>echo {"issue":{"subject":"","project_id":79,"tracker_id":40,"status_id":1,"priority_id":2,"assigned_to_id":23,"start_date":"2017-06-09","description":"","custom_fields":[{"id":1,"name":"Subdivision","value":"NW"},{"id":4,"name":"Milepost","value":"0.0575"},{"id":17,"name":"Train ID","value":"834-09"},{"id":16,"name":"Locomotive ID","value":"4015"},{"id":130,"name":"Impact","value":""},{"id":150,"name":"Time of Event (Mountain Time)","value":"17:56:04"},{"id":151,"name":"Denver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17"/>
        <v>grep -hrE -A400 "Enforcement Action" /cygdrive/c/Users/stu/AppData/Local/Temp/OnboardLogs/RTDC4015 --include="*4015*201706092*"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"%USERPROFILE%\AppData\Local\Temp\OnboardLogs"\RTDC4015\*4015*201706092* &gt;&gt; 2017-06-09-SliceDisagreementCheck.txt</v>
      </c>
      <c r="AE50" s="148" t="str">
        <f t="shared" si="9"/>
        <v>start /low /b %USERPROFILE%\Documents\GitHub\eaglep3\Utilities\DownloadLogsFromS3.py --loco 4015 --day 2017-06-09</v>
      </c>
      <c r="AF50" s="1"/>
    </row>
    <row r="51" spans="1:32" x14ac:dyDescent="0.25">
      <c r="A51" s="31">
        <v>42895.747789351852</v>
      </c>
      <c r="B51" s="30" t="s">
        <v>518</v>
      </c>
      <c r="C51" s="30" t="s">
        <v>625</v>
      </c>
      <c r="D51" s="30" t="s">
        <v>49</v>
      </c>
      <c r="E51" s="30" t="s">
        <v>183</v>
      </c>
      <c r="F51" s="42">
        <v>0</v>
      </c>
      <c r="G51" s="42">
        <v>57</v>
      </c>
      <c r="H51" s="42">
        <v>808</v>
      </c>
      <c r="I51" s="42">
        <v>762</v>
      </c>
      <c r="J51" s="30" t="s">
        <v>184</v>
      </c>
      <c r="K51" s="42">
        <v>575</v>
      </c>
      <c r="L51" s="134" t="s">
        <v>51</v>
      </c>
      <c r="M51" s="135">
        <f t="shared" si="10"/>
        <v>98.736000000000004</v>
      </c>
      <c r="N51" s="136" t="str">
        <f>VLOOKUP(C51,'Trips&amp;Operators'!$C$1:$G$99999,5,FALSE)</f>
        <v>LOPES KIMBERLY</v>
      </c>
      <c r="O51" s="210" t="s">
        <v>182</v>
      </c>
      <c r="P51" s="137"/>
      <c r="Q51" s="30"/>
      <c r="R51" s="84" t="str">
        <f>VLOOKUP(C51,'Train Runs'!$A$13:$AE$9936,31,0)</f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S51" s="87" t="str">
        <f>VLOOKUP(C51,'Train Runs'!$A$13:$AE$9936,22,0)</f>
        <v>https://d0f6bd738d7f1b3e5a7ca70fe4ff75f0.us-east-1.aws.found.io/app/kibana#/discover/Steve-Slow-Train-Analysis-(2080s-and-2083s)?_g=(refreshInterval:(display:Off,pause:!f,section:0,value:0),time:(from:'2017-06-09T16:39:01-0600',mode:absolute,to:'2017-06-09T18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1" s="89" t="str">
        <f t="shared" si="11"/>
        <v>"C:\Program Files (x86)\AstroGrep\AstroGrep.exe" /e /r /s /spath="%USERPROFILE%\AppData\Local\Temp\OnboardLogs" /stypes="*4015*201706092*" /stext=" 23:.+((SYSTEM_STATE.+slice.+state.+changed )|(ment ac)|(multiple cpu faults)|(system.+state.+changed )|(\[timeout)|(PRM\|1\|D)|(kpr)|(kdp)|(train st.+moving)|(\|lc)|(penalty))"</v>
      </c>
      <c r="U51" s="9" t="str">
        <f t="shared" si="12"/>
        <v>4015</v>
      </c>
      <c r="V51" s="31">
        <f t="shared" si="13"/>
        <v>42895.997789351852</v>
      </c>
      <c r="W51" s="45" t="str">
        <f t="shared" si="14"/>
        <v>NW</v>
      </c>
      <c r="X51" s="45" t="str">
        <f t="shared" si="15"/>
        <v>KEEP</v>
      </c>
      <c r="Y51" s="99" t="str">
        <f t="shared" si="16"/>
        <v>echo {"issue":{"subject":"","project_id":79,"tracker_id":40,"status_id":1,"priority_id":2,"assigned_to_id":23,"start_date":"2017-06-09","description":"","custom_fields":[{"id":1,"name":"Subdivision","value":"NW"},{"id":4,"name":"Milepost","value":"0.0575"},{"id":17,"name":"Train ID","value":"834-09"},{"id":16,"name":"Locomotive ID","value":"4015"},{"id":130,"name":"Impact","value":""},{"id":150,"name":"Time of Event (Mountain Time)","value":"17:56:49"},{"id":151,"name":"Denver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17"/>
        <v>grep -hrE -A400 "Enforcement Action" /cygdrive/c/Users/stu/AppData/Local/Temp/OnboardLogs/RTDC4015 --include="*4015*201706092*"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"%USERPROFILE%\AppData\Local\Temp\OnboardLogs"\RTDC4015\*4015*201706092* &gt;&gt; 2017-06-09-SliceDisagreementCheck.txt</v>
      </c>
      <c r="AE51" s="148" t="str">
        <f t="shared" si="9"/>
        <v>start /low /b %USERPROFILE%\Documents\GitHub\eaglep3\Utilities\DownloadLogsFromS3.py --loco 4015 --day 2017-06-09</v>
      </c>
      <c r="AF51" s="1"/>
    </row>
    <row r="52" spans="1:32" x14ac:dyDescent="0.25">
      <c r="A52" s="31">
        <v>42895.872037037036</v>
      </c>
      <c r="B52" s="30" t="s">
        <v>518</v>
      </c>
      <c r="C52" s="30" t="s">
        <v>630</v>
      </c>
      <c r="D52" s="30" t="s">
        <v>49</v>
      </c>
      <c r="E52" s="30" t="s">
        <v>183</v>
      </c>
      <c r="F52" s="42">
        <v>0</v>
      </c>
      <c r="G52" s="42">
        <v>39</v>
      </c>
      <c r="H52" s="42">
        <v>705</v>
      </c>
      <c r="I52" s="42">
        <v>677</v>
      </c>
      <c r="J52" s="30" t="s">
        <v>184</v>
      </c>
      <c r="K52" s="42">
        <v>575</v>
      </c>
      <c r="L52" s="134" t="s">
        <v>51</v>
      </c>
      <c r="M52" s="135">
        <f t="shared" si="10"/>
        <v>53.856000000000002</v>
      </c>
      <c r="N52" s="136" t="str">
        <f>VLOOKUP(C52,'Trips&amp;Operators'!$C$1:$G$99999,5,FALSE)</f>
        <v>LOPES KIMBERLY</v>
      </c>
      <c r="O52" s="210" t="s">
        <v>182</v>
      </c>
      <c r="P52" s="137"/>
      <c r="Q52" s="30"/>
      <c r="R52" s="84" t="str">
        <f>VLOOKUP(C52,'Train Runs'!$A$13:$AE$9936,31,0)</f>
        <v>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 &amp; 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</v>
      </c>
      <c r="S52" s="87" t="str">
        <f>VLOOKUP(C52,'Train Runs'!$A$13:$AE$9936,22,0)</f>
        <v>https://d0f6bd738d7f1b3e5a7ca70fe4ff75f0.us-east-1.aws.found.io/app/kibana#/discover/Steve-Slow-Train-Analysis-(2080s-and-2083s)?_g=(refreshInterval:(display:Off,pause:!f,section:0,value:0),time:(from:'2017-06-09T19:37:35-0600',mode:absolute,to:'2017-06-09T21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2" s="89" t="str">
        <f t="shared" si="11"/>
        <v>"C:\Program Files (x86)\AstroGrep\AstroGrep.exe" /e /r /s /spath="%USERPROFILE%\AppData\Local\Temp\OnboardLogs" /stypes="*4015*201706100*" /stext=" 02:.+((SYSTEM_STATE.+slice.+state.+changed )|(ment ac)|(multiple cpu faults)|(system.+state.+changed )|(\[timeout)|(PRM\|1\|D)|(kpr)|(kdp)|(train st.+moving)|(\|lc)|(penalty))"</v>
      </c>
      <c r="U52" s="9" t="str">
        <f t="shared" si="12"/>
        <v>4015</v>
      </c>
      <c r="V52" s="31">
        <f t="shared" si="13"/>
        <v>42896.122037037036</v>
      </c>
      <c r="W52" s="45" t="str">
        <f t="shared" si="14"/>
        <v>NW</v>
      </c>
      <c r="X52" s="45" t="str">
        <f t="shared" si="15"/>
        <v>KEEP</v>
      </c>
      <c r="Y52" s="99" t="str">
        <f t="shared" si="16"/>
        <v>echo {"issue":{"subject":"","project_id":79,"tracker_id":40,"status_id":1,"priority_id":2,"assigned_to_id":23,"start_date":"2017-06-09","description":"","custom_fields":[{"id":1,"name":"Subdivision","value":"NW"},{"id":4,"name":"Milepost","value":"0.0575"},{"id":17,"name":"Train ID","value":"842-09"},{"id":16,"name":"Locomotive ID","value":"4015"},{"id":130,"name":"Impact","value":""},{"id":150,"name":"Time of Event (Mountain Time)","value":"20:55:44"},{"id":151,"name":"Denver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17"/>
        <v>grep -hrE -A400 "Enforcement Action" /cygdrive/c/Users/stu/AppData/Local/Temp/OnboardLogs/RTDC4015 --include="*4015*201706100*"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"%USERPROFILE%\AppData\Local\Temp\OnboardLogs"\RTDC4015\*4015*201706100* &gt;&gt; 2017-06-09-SliceDisagreementCheck.txt</v>
      </c>
      <c r="AE52" s="148" t="str">
        <f t="shared" si="9"/>
        <v>start /low /b %USERPROFILE%\Documents\GitHub\eaglep3\Utilities\DownloadLogsFromS3.py --loco 4015 --day 2017-06-10</v>
      </c>
      <c r="AF52" s="1"/>
    </row>
    <row r="53" spans="1:32" x14ac:dyDescent="0.25">
      <c r="A53" s="31">
        <v>42895.399085648147</v>
      </c>
      <c r="B53" s="30" t="s">
        <v>477</v>
      </c>
      <c r="C53" s="30" t="s">
        <v>596</v>
      </c>
      <c r="D53" s="30" t="s">
        <v>49</v>
      </c>
      <c r="E53" s="30" t="s">
        <v>183</v>
      </c>
      <c r="F53" s="42">
        <v>0</v>
      </c>
      <c r="G53" s="42">
        <v>8</v>
      </c>
      <c r="H53" s="42">
        <v>59014</v>
      </c>
      <c r="I53" s="42">
        <v>59016</v>
      </c>
      <c r="J53" s="30" t="s">
        <v>184</v>
      </c>
      <c r="K53" s="42">
        <v>59048</v>
      </c>
      <c r="L53" s="134" t="s">
        <v>50</v>
      </c>
      <c r="M53" s="135">
        <f t="shared" si="10"/>
        <v>16.896000000000001</v>
      </c>
      <c r="N53" s="136" t="str">
        <f>VLOOKUP(C53,'Trips&amp;Operators'!$C$1:$G$99999,5,FALSE)</f>
        <v>LALONDE GREGORY</v>
      </c>
      <c r="O53" s="210" t="s">
        <v>182</v>
      </c>
      <c r="P53" s="137"/>
      <c r="Q53" s="30"/>
      <c r="R53" s="84" t="str">
        <f>VLOOKUP(C53,'Train Runs'!$A$13:$AE$9936,31,0)</f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S53" s="87" t="str">
        <f>VLOOKUP(C53,'Train Runs'!$A$13:$AE$9936,22,0)</f>
        <v>https://d0f6bd738d7f1b3e5a7ca70fe4ff75f0.us-east-1.aws.found.io/app/kibana#/discover/Steve-Slow-Train-Analysis-(2080s-and-2083s)?_g=(refreshInterval:(display:Off,pause:!f,section:0,value:0),time:(from:'2017-06-09T07:56:34-0600',mode:absolute,to:'2017-06-09T10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3" s="89" t="str">
        <f t="shared" si="11"/>
        <v>"C:\Program Files (x86)\AstroGrep\AstroGrep.exe" /e /r /s /spath="%USERPROFILE%\AppData\Local\Temp\OnboardLogs" /stypes="*4016*201706091*" /stext=" 15:.+((SYSTEM_STATE.+slice.+state.+changed )|(ment ac)|(multiple cpu faults)|(system.+state.+changed )|(\[timeout)|(PRM\|1\|D)|(kpr)|(kdp)|(train st.+moving)|(\|lc)|(penalty))"</v>
      </c>
      <c r="U53" s="9" t="str">
        <f t="shared" si="12"/>
        <v>4016</v>
      </c>
      <c r="V53" s="31">
        <f t="shared" si="13"/>
        <v>42895.649085648147</v>
      </c>
      <c r="W53" s="45" t="str">
        <f t="shared" si="14"/>
        <v>NW</v>
      </c>
      <c r="X53" s="45" t="str">
        <f t="shared" si="15"/>
        <v>OMIT</v>
      </c>
      <c r="Y53" s="99" t="str">
        <f t="shared" si="16"/>
        <v>echo {"issue":{"subject":"","project_id":79,"tracker_id":40,"status_id":1,"priority_id":2,"assigned_to_id":23,"start_date":"2017-06-09","description":"","custom_fields":[{"id":1,"name":"Subdivision","value":"NW"},{"id":4,"name":"Milepost","value":"5.9048"},{"id":17,"name":"Train ID","value":"813-09"},{"id":16,"name":"Locomotive ID","value":"4016"},{"id":130,"name":"Impact","value":""},{"id":150,"name":"Time of Event (Mountain Time)","value":"09:34:41"},{"id":151,"name":"Denver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62"/>
      <c r="AA53" s="47"/>
      <c r="AB53" s="47"/>
      <c r="AC53" s="118" t="str">
        <f t="shared" si="17"/>
        <v>grep -hrE -A400 "Enforcement Action" /cygdrive/c/Users/stu/AppData/Local/Temp/OnboardLogs/RTDC4016 --include="*4016*201706091*"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"%USERPROFILE%\AppData\Local\Temp\OnboardLogs"\RTDC4016\*4016*201706091* &gt;&gt; 2017-06-09-SliceDisagreementCheck.txt</v>
      </c>
      <c r="AE53" s="148" t="str">
        <f t="shared" si="9"/>
        <v>start /low /b %USERPROFILE%\Documents\GitHub\eaglep3\Utilities\DownloadLogsFromS3.py --loco 4016 --day 2017-06-09</v>
      </c>
      <c r="AF53" s="1"/>
    </row>
    <row r="54" spans="1:32" x14ac:dyDescent="0.25">
      <c r="A54" s="31">
        <v>42895.691145833334</v>
      </c>
      <c r="B54" s="30" t="s">
        <v>477</v>
      </c>
      <c r="C54" s="30" t="s">
        <v>616</v>
      </c>
      <c r="D54" s="30" t="s">
        <v>49</v>
      </c>
      <c r="E54" s="30" t="s">
        <v>183</v>
      </c>
      <c r="F54" s="42">
        <v>0</v>
      </c>
      <c r="G54" s="42">
        <v>34</v>
      </c>
      <c r="H54" s="42">
        <v>58946</v>
      </c>
      <c r="I54" s="42">
        <v>58990</v>
      </c>
      <c r="J54" s="30" t="s">
        <v>184</v>
      </c>
      <c r="K54" s="42">
        <v>59048</v>
      </c>
      <c r="L54" s="134" t="s">
        <v>50</v>
      </c>
      <c r="M54" s="135">
        <f t="shared" si="10"/>
        <v>30.623999999999999</v>
      </c>
      <c r="N54" s="136" t="str">
        <f>VLOOKUP(C54,'Trips&amp;Operators'!$C$1:$G$99999,5,FALSE)</f>
        <v>BERLING GARY</v>
      </c>
      <c r="O54" s="210" t="s">
        <v>182</v>
      </c>
      <c r="P54" s="137"/>
      <c r="Q54" s="30"/>
      <c r="R54" s="84" t="str">
        <f>VLOOKUP(C54,'Train Runs'!$A$13:$AE$9936,31,0)</f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S54" s="87" t="str">
        <f>VLOOKUP(C54,'Train Runs'!$A$13:$AE$9936,22,0)</f>
        <v>https://d0f6bd738d7f1b3e5a7ca70fe4ff75f0.us-east-1.aws.found.io/app/kibana#/discover/Steve-Slow-Train-Analysis-(2080s-and-2083s)?_g=(refreshInterval:(display:Off,pause:!f,section:0,value:0),time:(from:'2017-06-09T14:58:30-0600',mode:absolute,to:'2017-06-09T17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4" s="89" t="str">
        <f t="shared" si="11"/>
        <v>"C:\Program Files (x86)\AstroGrep\AstroGrep.exe" /e /r /s /spath="%USERPROFILE%\AppData\Local\Temp\OnboardLogs" /stypes="*4016*201706092*" /stext=" 22:.+((SYSTEM_STATE.+slice.+state.+changed )|(ment ac)|(multiple cpu faults)|(system.+state.+changed )|(\[timeout)|(PRM\|1\|D)|(kpr)|(kdp)|(train st.+moving)|(\|lc)|(penalty))"</v>
      </c>
      <c r="U54" s="9" t="str">
        <f t="shared" si="12"/>
        <v>4016</v>
      </c>
      <c r="V54" s="31">
        <f t="shared" si="13"/>
        <v>42895.941145833334</v>
      </c>
      <c r="W54" s="45" t="str">
        <f t="shared" si="14"/>
        <v>NW</v>
      </c>
      <c r="X54" s="45" t="str">
        <f t="shared" si="15"/>
        <v>KEEP</v>
      </c>
      <c r="Y54" s="99" t="str">
        <f t="shared" si="16"/>
        <v>echo {"issue":{"subject":"","project_id":79,"tracker_id":40,"status_id":1,"priority_id":2,"assigned_to_id":23,"start_date":"2017-06-09","description":"","custom_fields":[{"id":1,"name":"Subdivision","value":"NW"},{"id":4,"name":"Milepost","value":"5.9048"},{"id":17,"name":"Train ID","value":"829-09"},{"id":16,"name":"Locomotive ID","value":"4016"},{"id":130,"name":"Impact","value":""},{"id":150,"name":"Time of Event (Mountain Time)","value":"16:35:15"},{"id":151,"name":"Denver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62"/>
      <c r="AA54" s="47"/>
      <c r="AB54" s="47"/>
      <c r="AC54" s="118" t="str">
        <f t="shared" si="17"/>
        <v>grep -hrE -A400 "Enforcement Action" /cygdrive/c/Users/stu/AppData/Local/Temp/OnboardLogs/RTDC4016 --include="*4016*201706092*"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"%USERPROFILE%\AppData\Local\Temp\OnboardLogs"\RTDC4016\*4016*201706092* &gt;&gt; 2017-06-09-SliceDisagreementCheck.txt</v>
      </c>
      <c r="AE54" s="148" t="str">
        <f t="shared" si="9"/>
        <v>start /low /b %USERPROFILE%\Documents\GitHub\eaglep3\Utilities\DownloadLogsFromS3.py --loco 4016 --day 2017-06-09</v>
      </c>
      <c r="AF54" s="1"/>
    </row>
    <row r="55" spans="1:32" x14ac:dyDescent="0.25">
      <c r="A55" s="31">
        <v>42895.732071759259</v>
      </c>
      <c r="B55" s="30" t="s">
        <v>477</v>
      </c>
      <c r="C55" s="30" t="s">
        <v>623</v>
      </c>
      <c r="D55" s="30" t="s">
        <v>49</v>
      </c>
      <c r="E55" s="30" t="s">
        <v>183</v>
      </c>
      <c r="F55" s="42">
        <v>0</v>
      </c>
      <c r="G55" s="42">
        <v>143</v>
      </c>
      <c r="H55" s="42">
        <v>57834</v>
      </c>
      <c r="I55" s="42">
        <v>58073</v>
      </c>
      <c r="J55" s="30" t="s">
        <v>184</v>
      </c>
      <c r="K55" s="42">
        <v>59048</v>
      </c>
      <c r="L55" s="134" t="s">
        <v>50</v>
      </c>
      <c r="M55" s="135">
        <f t="shared" si="10"/>
        <v>514.79999999999995</v>
      </c>
      <c r="N55" s="136" t="str">
        <f>VLOOKUP(C55,'Trips&amp;Operators'!$C$1:$G$99999,5,FALSE)</f>
        <v>LOPES KIMBERLY</v>
      </c>
      <c r="O55" s="210" t="s">
        <v>182</v>
      </c>
      <c r="P55" s="137"/>
      <c r="Q55" s="30"/>
      <c r="R55" s="84" t="str">
        <f>VLOOKUP(C55,'Train Runs'!$A$13:$AE$9936,31,0)</f>
        <v>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 &amp; 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</v>
      </c>
      <c r="S55" s="87" t="str">
        <f>VLOOKUP(C55,'Train Runs'!$A$13:$AE$9936,22,0)</f>
        <v>https://d0f6bd738d7f1b3e5a7ca70fe4ff75f0.us-east-1.aws.found.io/app/kibana#/discover/Steve-Slow-Train-Analysis-(2080s-and-2083s)?_g=(refreshInterval:(display:Off,pause:!f,section:0,value:0),time:(from:'2017-06-09T16:00:17-0600',mode:absolute,to:'2017-06-09T18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5" s="89" t="str">
        <f t="shared" si="11"/>
        <v>"C:\Program Files (x86)\AstroGrep\AstroGrep.exe" /e /r /s /spath="%USERPROFILE%\AppData\Local\Temp\OnboardLogs" /stypes="*4016*201706092*" /stext=" 23:.+((SYSTEM_STATE.+slice.+state.+changed )|(ment ac)|(multiple cpu faults)|(system.+state.+changed )|(\[timeout)|(PRM\|1\|D)|(kpr)|(kdp)|(train st.+moving)|(\|lc)|(penalty))"</v>
      </c>
      <c r="U55" s="9" t="str">
        <f t="shared" si="12"/>
        <v>4016</v>
      </c>
      <c r="V55" s="31">
        <f t="shared" si="13"/>
        <v>42895.982071759259</v>
      </c>
      <c r="W55" s="45" t="str">
        <f t="shared" si="14"/>
        <v>NW</v>
      </c>
      <c r="X55" s="45" t="str">
        <f t="shared" si="15"/>
        <v>KEEP</v>
      </c>
      <c r="Y55" s="99" t="str">
        <f t="shared" si="16"/>
        <v>echo {"issue":{"subject":"","project_id":79,"tracker_id":40,"status_id":1,"priority_id":2,"assigned_to_id":23,"start_date":"2017-06-09","description":"","custom_fields":[{"id":1,"name":"Subdivision","value":"NW"},{"id":4,"name":"Milepost","value":"5.9048"},{"id":17,"name":"Train ID","value":"833-09"},{"id":16,"name":"Locomotive ID","value":"4016"},{"id":130,"name":"Impact","value":""},{"id":150,"name":"Time of Event (Mountain Time)","value":"17:34:11"},{"id":151,"name":"Denver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62"/>
      <c r="AA55" s="47"/>
      <c r="AB55" s="47"/>
      <c r="AC55" s="118" t="str">
        <f t="shared" si="17"/>
        <v>grep -hrE -A400 "Enforcement Action" /cygdrive/c/Users/stu/AppData/Local/Temp/OnboardLogs/RTDC4016 --include="*4016*201706092*"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"%USERPROFILE%\AppData\Local\Temp\OnboardLogs"\RTDC4016\*4016*201706092* &gt;&gt; 2017-06-09-SliceDisagreementCheck.txt</v>
      </c>
      <c r="AE55" s="148" t="str">
        <f t="shared" si="9"/>
        <v>start /low /b %USERPROFILE%\Documents\GitHub\eaglep3\Utilities\DownloadLogsFromS3.py --loco 4016 --day 2017-06-09</v>
      </c>
      <c r="AF55" s="1"/>
    </row>
    <row r="56" spans="1:32" x14ac:dyDescent="0.25">
      <c r="A56" s="31">
        <v>42895.803217592591</v>
      </c>
      <c r="B56" s="30" t="s">
        <v>592</v>
      </c>
      <c r="C56" s="30" t="s">
        <v>627</v>
      </c>
      <c r="D56" s="30" t="s">
        <v>98</v>
      </c>
      <c r="E56" s="30" t="s">
        <v>202</v>
      </c>
      <c r="F56" s="42">
        <v>200</v>
      </c>
      <c r="G56" s="42">
        <v>252</v>
      </c>
      <c r="H56" s="42">
        <v>6098</v>
      </c>
      <c r="I56" s="42">
        <v>6544</v>
      </c>
      <c r="J56" s="30" t="s">
        <v>203</v>
      </c>
      <c r="K56" s="42">
        <v>4790</v>
      </c>
      <c r="L56" s="134" t="s">
        <v>50</v>
      </c>
      <c r="M56" s="135">
        <f t="shared" si="10"/>
        <v>-926.11199999999997</v>
      </c>
      <c r="N56" s="136" t="str">
        <f>VLOOKUP(C56,'Trips&amp;Operators'!$C$1:$G$99999,5,FALSE)</f>
        <v>NEWELL JAMES</v>
      </c>
      <c r="O56" s="210" t="s">
        <v>182</v>
      </c>
      <c r="P56" s="137"/>
      <c r="Q56" s="30"/>
      <c r="R56" s="84" t="str">
        <f>VLOOKUP(C56,'Train Runs'!$A$13:$AE$9936,31,0)</f>
        <v>aws s3 cp s3://rtdc.mdm.uploadarchive.raw/RTDC4010/ "%USERPROFILE%\AppData\Local\Temp\OnboardLogs"\RTDC4010\2017-06-09 --exclude "*" --recursive --include "*20170609*" &amp; "%USERPROFILE%\Documents\GitHub\mrs-test-scripts\Headless Mode &amp; Sideloading\WalkAndUnGZ.bat" "%USERPROFILE%\AppData\Local\Temp\OnboardLogs"\RTDC4010\2017-06-09 &amp; aws s3 cp s3://rtdc.mdm.uploadarchive.raw/RTDC4010/ "%USERPROFILE%\AppData\Local\Temp\OnboardLogs"\RTDC4010\2017-06-10 --exclude "*" --recursive --include "*20170610*" &amp; "%USERPROFILE%\Documents\GitHub\mrs-test-scripts\Headless Mode &amp; Sideloading\WalkAndUnGZ.bat" "%USERPROFILE%\AppData\Local\Temp\OnboardLogs"\RTDC4010\2017-06-10</v>
      </c>
      <c r="S56" s="87" t="str">
        <f>VLOOKUP(C56,'Train Runs'!$A$13:$AE$9936,22,0)</f>
        <v>https://d0f6bd738d7f1b3e5a7ca70fe4ff75f0.us-east-1.aws.found.io/app/kibana#/discover/Steve-Slow-Train-Analysis-(2080s-and-2083s)?_g=(refreshInterval:(display:Off,pause:!f,section:0,value:0),time:(from:'2017-06-09T18:11:33-0600',mode:absolute,to:'2017-06-09T20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56" s="89" t="str">
        <f t="shared" si="11"/>
        <v>"C:\Program Files (x86)\AstroGrep\AstroGrep.exe" /e /r /s /spath="%USERPROFILE%\AppData\Local\Temp\OnboardLogs" /stypes="*4010*201706100*" /stext=" 01:.+((SYSTEM_STATE.+slice.+state.+changed )|(ment ac)|(multiple cpu faults)|(system.+state.+changed )|(\[timeout)|(PRM\|1\|D)|(kpr)|(kdp)|(train st.+moving)|(\|lc)|(penalty))"</v>
      </c>
      <c r="U56" s="9" t="str">
        <f t="shared" si="12"/>
        <v>4010</v>
      </c>
      <c r="V56" s="31">
        <f t="shared" si="13"/>
        <v>42896.053217592591</v>
      </c>
      <c r="W56" s="45" t="str">
        <f t="shared" si="14"/>
        <v>Other</v>
      </c>
      <c r="X56" s="45" t="str">
        <f t="shared" si="15"/>
        <v>KEEP</v>
      </c>
      <c r="Y56" s="99" t="str">
        <f t="shared" si="16"/>
        <v>echo {"issue":{"subject":"","project_id":79,"tracker_id":40,"status_id":1,"priority_id":2,"assigned_to_id":23,"start_date":"2017-06-09","description":"","custom_fields":[{"id":1,"name":"Subdivision","value":"Other"},{"id":4,"name":"Milepost","value":"0.479"},{"id":17,"name":"Train ID","value":"301-09"},{"id":16,"name":"Locomotive ID","value":"4010"},{"id":130,"name":"Impact","value":""},{"id":150,"name":"Time of Event (Mountain Time)","value":"19:16:38"},{"id":151,"name":"Denver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62"/>
      <c r="AA56" s="47"/>
      <c r="AB56" s="47"/>
      <c r="AC56" s="118" t="str">
        <f t="shared" si="17"/>
        <v>grep -hrE -A400 "Enforcement Action" /cygdrive/c/Users/stu/AppData/Local/Temp/OnboardLogs/RTDC4010 --include="*4010*201706100*"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"%USERPROFILE%\AppData\Local\Temp\OnboardLogs"\RTDC4010\*4010*201706100* &gt;&gt; 2017-06-09-SliceDisagreementCheck.txt</v>
      </c>
      <c r="AE56" s="148" t="str">
        <f t="shared" si="9"/>
        <v>start /low /b %USERPROFILE%\Documents\GitHub\eaglep3\Utilities\DownloadLogsFromS3.py --loco 4010 --day 2017-06-10</v>
      </c>
      <c r="AF56" s="1"/>
    </row>
    <row r="57" spans="1:32" x14ac:dyDescent="0.25">
      <c r="A57" s="31">
        <v>42895.731712962966</v>
      </c>
      <c r="B57" s="30" t="s">
        <v>621</v>
      </c>
      <c r="C57" s="30" t="s">
        <v>622</v>
      </c>
      <c r="D57" s="30" t="s">
        <v>98</v>
      </c>
      <c r="E57" s="30" t="s">
        <v>366</v>
      </c>
      <c r="F57" s="42">
        <v>0</v>
      </c>
      <c r="G57" s="42">
        <v>47</v>
      </c>
      <c r="H57" s="42">
        <v>1736</v>
      </c>
      <c r="I57" s="42">
        <v>1806</v>
      </c>
      <c r="J57" s="30" t="s">
        <v>367</v>
      </c>
      <c r="K57" s="42">
        <v>1692</v>
      </c>
      <c r="L57" s="134" t="s">
        <v>50</v>
      </c>
      <c r="M57" s="135">
        <f t="shared" si="10"/>
        <v>-60.192</v>
      </c>
      <c r="N57" s="136" t="str">
        <f>VLOOKUP(C57,'Trips&amp;Operators'!$C$1:$G$99999,5,FALSE)</f>
        <v>CHANDLER KELVIN</v>
      </c>
      <c r="O57" s="210" t="s">
        <v>182</v>
      </c>
      <c r="P57" s="137"/>
      <c r="Q57" s="30"/>
      <c r="R57" s="84" t="str">
        <f>VLOOKUP(C57,'Train Runs'!$A$13:$AE$9936,31,0)</f>
        <v>aws s3 cp s3://rtdc.mdm.uploadarchive.raw/RTDC4062/ "%USERPROFILE%\AppData\Local\Temp\OnboardLogs"\RTDC4062\2017-06-09 --exclude "*" --recursive --include "*20170609*" &amp; "%USERPROFILE%\Documents\GitHub\mrs-test-scripts\Headless Mode &amp; Sideloading\WalkAndUnGZ.bat" "%USERPROFILE%\AppData\Local\Temp\OnboardLogs"\RTDC4062\2017-06-09 &amp; 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</v>
      </c>
      <c r="S57" s="87" t="str">
        <f>VLOOKUP(C57,'Train Runs'!$A$13:$AE$9936,22,0)</f>
        <v>https://d0f6bd738d7f1b3e5a7ca70fe4ff75f0.us-east-1.aws.found.io/app/kibana#/discover/Steve-Slow-Train-Analysis-(2080s-and-2083s)?_g=(refreshInterval:(display:Off,pause:!f,section:0,value:0),time:(from:'2017-06-09T16:16:13-0600',mode:absolute,to:'2017-06-09T18:46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57" s="89" t="str">
        <f t="shared" si="11"/>
        <v>"C:\Program Files (x86)\AstroGrep\AstroGrep.exe" /e /r /s /spath="%USERPROFILE%\AppData\Local\Temp\OnboardLogs" /stypes="*4062*201706092*" /stext=" 23:.+((SYSTEM_STATE.+slice.+state.+changed )|(ment ac)|(multiple cpu faults)|(system.+state.+changed )|(\[timeout)|(PRM\|1\|D)|(kpr)|(kdp)|(train st.+moving)|(\|lc)|(penalty))"</v>
      </c>
      <c r="U57" s="9" t="str">
        <f t="shared" si="12"/>
        <v>4062</v>
      </c>
      <c r="V57" s="31">
        <f t="shared" si="13"/>
        <v>42895.981712962966</v>
      </c>
      <c r="W57" s="45" t="str">
        <f t="shared" si="14"/>
        <v>Other</v>
      </c>
      <c r="X57" s="45" t="str">
        <f t="shared" si="15"/>
        <v>KEEP</v>
      </c>
      <c r="Y57" s="99" t="str">
        <f t="shared" si="16"/>
        <v>echo {"issue":{"subject":"","project_id":79,"tracker_id":40,"status_id":1,"priority_id":2,"assigned_to_id":23,"start_date":"2017-06-09","description":"","custom_fields":[{"id":1,"name":"Subdivision","value":"Other"},{"id":4,"name":"Milepost","value":"0.1692"},{"id":17,"name":"Train ID","value":"71-09"},{"id":16,"name":"Locomotive ID","value":"4062"},{"id":130,"name":"Impact","value":""},{"id":150,"name":"Time of Event (Mountain Time)","value":"17:33:40"},{"id":151,"name":"Denver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62"/>
      <c r="AA57" s="47"/>
      <c r="AB57" s="47"/>
      <c r="AC57" s="118" t="str">
        <f t="shared" si="17"/>
        <v>grep -hrE -A400 "Enforcement Action" /cygdrive/c/Users/stu/AppData/Local/Temp/OnboardLogs/RTDC4062 --include="*4062*201706092*"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"%USERPROFILE%\AppData\Local\Temp\OnboardLogs"\RTDC4062\*4062*201706092* &gt;&gt; 2017-06-09-SliceDisagreementCheck.txt</v>
      </c>
      <c r="AE57" s="148" t="str">
        <f t="shared" si="9"/>
        <v>start /low /b %USERPROFILE%\Documents\GitHub\eaglep3\Utilities\DownloadLogsFromS3.py --loco 4062 --day 2017-06-09</v>
      </c>
      <c r="AF57" s="1"/>
    </row>
    <row r="58" spans="1:32" x14ac:dyDescent="0.25">
      <c r="A58" s="31">
        <v>42895.12054398148</v>
      </c>
      <c r="B58" s="30" t="s">
        <v>435</v>
      </c>
      <c r="C58" s="30" t="s">
        <v>586</v>
      </c>
      <c r="D58" s="30" t="s">
        <v>98</v>
      </c>
      <c r="E58" s="30" t="s">
        <v>366</v>
      </c>
      <c r="F58" s="42">
        <v>200</v>
      </c>
      <c r="G58" s="42">
        <v>289</v>
      </c>
      <c r="H58" s="42">
        <v>19423</v>
      </c>
      <c r="I58" s="42">
        <v>18730</v>
      </c>
      <c r="J58" s="30" t="s">
        <v>367</v>
      </c>
      <c r="K58" s="42">
        <v>24235</v>
      </c>
      <c r="L58" s="134" t="s">
        <v>51</v>
      </c>
      <c r="M58" s="135">
        <f t="shared" si="10"/>
        <v>-2906.64</v>
      </c>
      <c r="N58" s="136" t="str">
        <f>VLOOKUP(C58,'Trips&amp;Operators'!$C$1:$G$99999,5,FALSE)</f>
        <v>STARKS ANGELINA</v>
      </c>
      <c r="O58" s="210" t="s">
        <v>182</v>
      </c>
      <c r="P58" s="137"/>
      <c r="Q58" s="30"/>
      <c r="R58" s="84" t="str">
        <f>VLOOKUP(C58,'Train Runs'!$A$13:$AE$9936,31,0)</f>
        <v>aws s3 cp s3://rtdc.mdm.uploadarchive.raw/RTDC4019/ "%USERPROFILE%\AppData\Local\Temp\OnboardLogs"\RTDC4019\2017-06-09 --exclude "*" --recursive --include "*20170609*" &amp; "%USERPROFILE%\Documents\GitHub\mrs-test-scripts\Headless Mode &amp; Sideloading\WalkAndUnGZ.bat" "%USERPROFILE%\AppData\Local\Temp\OnboardLogs"\RTDC4019\2017-06-09 &amp; aws s3 cp s3://rtdc.mdm.uploadarchive.raw/RTDC4019/ "%USERPROFILE%\AppData\Local\Temp\OnboardLogs"\RTDC4019\2017-06-10 --exclude "*" --recursive --include "*20170610*" &amp; "%USERPROFILE%\Documents\GitHub\mrs-test-scripts\Headless Mode &amp; Sideloading\WalkAndUnGZ.bat" "%USERPROFILE%\AppData\Local\Temp\OnboardLogs"\RTDC4019\2017-06-10</v>
      </c>
      <c r="S58" s="87" t="str">
        <f>VLOOKUP(C58,'Train Runs'!$A$13:$AE$9936,22,0)</f>
        <v>https://d0f6bd738d7f1b3e5a7ca70fe4ff75f0.us-east-1.aws.found.io/app/kibana#/discover/Steve-Slow-Train-Analysis-(2080s-and-2083s)?_g=(refreshInterval:(display:Off,pause:!f,section:0,value:0),time:(from:'2017-06-09T01:48:19-0600',mode:absolute,to:'2017-06-09T04:02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8" s="89" t="str">
        <f t="shared" si="11"/>
        <v>"C:\Program Files (x86)\AstroGrep\AstroGrep.exe" /e /r /s /spath="%USERPROFILE%\AppData\Local\Temp\OnboardLogs" /stypes="*4019*201706090*" /stext=" 08:.+((SYSTEM_STATE.+slice.+state.+changed )|(ment ac)|(multiple cpu faults)|(system.+state.+changed )|(\[timeout)|(PRM\|1\|D)|(kpr)|(kdp)|(train st.+moving)|(\|lc)|(penalty))"</v>
      </c>
      <c r="U58" s="9" t="str">
        <f t="shared" si="12"/>
        <v>4019</v>
      </c>
      <c r="V58" s="31">
        <f t="shared" si="13"/>
        <v>42895.37054398148</v>
      </c>
      <c r="W58" s="45" t="str">
        <f t="shared" si="14"/>
        <v>Other</v>
      </c>
      <c r="X58" s="45" t="str">
        <f t="shared" si="15"/>
        <v>KEEP</v>
      </c>
      <c r="Y58" s="99" t="str">
        <f t="shared" si="16"/>
        <v>echo {"issue":{"subject":"","project_id":79,"tracker_id":40,"status_id":1,"priority_id":2,"assigned_to_id":23,"start_date":"2017-06-09","description":"","custom_fields":[{"id":1,"name":"Subdivision","value":"Other"},{"id":4,"name":"Milepost","value":"2.4235"},{"id":17,"name":"Train ID","value":"300-09"},{"id":16,"name":"Locomotive ID","value":"4019"},{"id":130,"name":"Impact","value":""},{"id":150,"name":"Time of Event (Mountain Time)","value":"02:53:35"},{"id":151,"name":"Denver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62"/>
      <c r="AA58" s="47"/>
      <c r="AB58" s="47"/>
      <c r="AC58" s="118" t="str">
        <f t="shared" si="17"/>
        <v>grep -hrE -A400 "Enforcement Action" /cygdrive/c/Users/stu/AppData/Local/Temp/OnboardLogs/RTDC4019 --include="*4019*201706090*"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"%USERPROFILE%\AppData\Local\Temp\OnboardLogs"\RTDC4019\*4019*201706090* &gt;&gt; 2017-06-09-SliceDisagreementCheck.txt</v>
      </c>
      <c r="AE58" s="148" t="str">
        <f t="shared" si="9"/>
        <v>start /low /b %USERPROFILE%\Documents\GitHub\eaglep3\Utilities\DownloadLogsFromS3.py --loco 4019 --day 2017-06-09</v>
      </c>
      <c r="AF58" s="1"/>
    </row>
    <row r="59" spans="1:32" x14ac:dyDescent="0.25">
      <c r="A59" s="31">
        <v>42895.228437500002</v>
      </c>
      <c r="B59" s="30" t="s">
        <v>589</v>
      </c>
      <c r="C59" s="30" t="s">
        <v>590</v>
      </c>
      <c r="D59" s="30" t="s">
        <v>98</v>
      </c>
      <c r="E59" s="30" t="s">
        <v>422</v>
      </c>
      <c r="F59" s="42">
        <v>0</v>
      </c>
      <c r="G59" s="42">
        <v>151</v>
      </c>
      <c r="H59" s="42">
        <v>22455</v>
      </c>
      <c r="I59" s="42">
        <v>22227</v>
      </c>
      <c r="J59" s="30" t="s">
        <v>419</v>
      </c>
      <c r="K59" s="42">
        <v>24235</v>
      </c>
      <c r="L59" s="134" t="s">
        <v>51</v>
      </c>
      <c r="M59" s="135">
        <f t="shared" si="10"/>
        <v>-1060.2239999999999</v>
      </c>
      <c r="N59" s="136" t="str">
        <f>VLOOKUP(C59,'Trips&amp;Operators'!$C$1:$G$99999,5,FALSE)</f>
        <v>LOZA FIDEL</v>
      </c>
      <c r="O59" s="210" t="s">
        <v>182</v>
      </c>
      <c r="P59" s="137"/>
      <c r="Q59" s="30"/>
      <c r="R59" s="84" t="str">
        <f>VLOOKUP(C59,'Train Runs'!$A$13:$AE$9936,31,0)</f>
        <v>aws s3 cp s3://rtdc.mdm.uploadarchive.raw/RTDC4061/ "%USERPROFILE%\AppData\Local\Temp\OnboardLogs"\RTDC4061\2017-06-09 --exclude "*" --recursive --include "*20170609*" &amp; "%USERPROFILE%\Documents\GitHub\mrs-test-scripts\Headless Mode &amp; Sideloading\WalkAndUnGZ.bat" "%USERPROFILE%\AppData\Local\Temp\OnboardLogs"\RTDC4061\2017-06-09 &amp; 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</v>
      </c>
      <c r="S59" s="87" t="str">
        <f>VLOOKUP(C59,'Train Runs'!$A$13:$AE$9936,22,0)</f>
        <v>https://d0f6bd738d7f1b3e5a7ca70fe4ff75f0.us-east-1.aws.found.io/app/kibana#/discover/Steve-Slow-Train-Analysis-(2080s-and-2083s)?_g=(refreshInterval:(display:Off,pause:!f,section:0,value:0),time:(from:'2017-06-09T04:24:38-0600',mode:absolute,to:'2017-06-09T06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59" s="89" t="str">
        <f t="shared" si="11"/>
        <v>"C:\Program Files (x86)\AstroGrep\AstroGrep.exe" /e /r /s /spath="%USERPROFILE%\AppData\Local\Temp\OnboardLogs" /stypes="*4061*201706091*" /stext=" 11:.+((SYSTEM_STATE.+slice.+state.+changed )|(ment ac)|(multiple cpu faults)|(system.+state.+changed )|(\[timeout)|(PRM\|1\|D)|(kpr)|(kdp)|(train st.+moving)|(\|lc)|(penalty))"</v>
      </c>
      <c r="U59" s="9" t="str">
        <f t="shared" si="12"/>
        <v>4061</v>
      </c>
      <c r="V59" s="31">
        <f t="shared" si="13"/>
        <v>42895.478437500002</v>
      </c>
      <c r="W59" s="45" t="str">
        <f t="shared" si="14"/>
        <v>Other</v>
      </c>
      <c r="X59" s="45" t="str">
        <f t="shared" si="15"/>
        <v>KEEP</v>
      </c>
      <c r="Y59" s="99" t="str">
        <f t="shared" si="16"/>
        <v>echo {"issue":{"subject":"","project_id":79,"tracker_id":40,"status_id":1,"priority_id":2,"assigned_to_id":23,"start_date":"2017-06-09","description":"","custom_fields":[{"id":1,"name":"Subdivision","value":"Other"},{"id":4,"name":"Milepost","value":"2.4235"},{"id":17,"name":"Train ID","value":"312-09"},{"id":16,"name":"Locomotive ID","value":"4061"},{"id":130,"name":"Impact","value":""},{"id":150,"name":"Time of Event (Mountain Time)","value":"05:28:57"},{"id":151,"name":"Denver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62"/>
      <c r="AA59" s="47"/>
      <c r="AB59" s="47"/>
      <c r="AC59" s="118" t="str">
        <f t="shared" si="17"/>
        <v>grep -hrE -A400 "Enforcement Action" /cygdrive/c/Users/stu/AppData/Local/Temp/OnboardLogs/RTDC4061 --include="*4061*201706091*"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"%USERPROFILE%\AppData\Local\Temp\OnboardLogs"\RTDC4061\*4061*201706091* &gt;&gt; 2017-06-09-SliceDisagreementCheck.txt</v>
      </c>
      <c r="AE59" s="148" t="str">
        <f t="shared" si="9"/>
        <v>start /low /b %USERPROFILE%\Documents\GitHub\eaglep3\Utilities\DownloadLogsFromS3.py --loco 4061 --day 2017-06-09</v>
      </c>
      <c r="AF59" s="1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Z76"/>
      <c r="AC76"/>
      <c r="AE76"/>
    </row>
  </sheetData>
  <autoFilter ref="A6:AC76">
    <sortState ref="A7:AC77">
      <sortCondition ref="W7:W60"/>
      <sortCondition ref="E7:E60"/>
      <sortCondition ref="K7:K60"/>
      <sortCondition ref="F7:F60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5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9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AA7:AA59</xm:sqref>
        </x14:dataValidation>
        <x14:dataValidation type="list" allowBlank="1" showInputMessage="1" showErrorMessage="1">
          <x14:formula1>
            <xm:f>'Redmine List Values'!$C$2:$C$15</xm:f>
          </x14:formula1>
          <xm:sqref>AB7:AB59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1"/>
  <sheetViews>
    <sheetView workbookViewId="0">
      <selection activeCell="I4" sqref="I4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2017-06-09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>
        <v>210</v>
      </c>
      <c r="B3" s="42" t="str">
        <f>A3&amp;"-"&amp;IF(DAY(Variables!$A$2)&lt;10,0,"")&amp;DAY(Variables!$A$2)</f>
        <v>210-09</v>
      </c>
      <c r="C3" s="138"/>
      <c r="D3" s="156"/>
      <c r="E3" s="30"/>
      <c r="F3" s="21" t="str">
        <f>VLOOKUP(B3,'Trips&amp;Operators'!$C$2:$E$10000,3,FALSE)</f>
        <v>YANG</v>
      </c>
      <c r="G3" s="21" t="str">
        <f>VLOOKUP(B3,'Trips&amp;Operators'!$C$1:$F$10000,4,FALSE)</f>
        <v>JAN</v>
      </c>
      <c r="H3" s="29" t="str">
        <f>VLOOKUP(B3,'Trips&amp;Operators'!$C$1:$H$10000,5,FALSE)</f>
        <v>YANG JAN</v>
      </c>
      <c r="I3" s="45" t="str">
        <f t="shared" ref="I3:I3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22210-09%22)),sort:!(Time.ISO8601,asc))</v>
      </c>
      <c r="J3" s="30" t="str">
        <f>VLOOKUP(B3,'Train Runs'!$A$13:$A$99933,1,FALSE)</f>
        <v>210-09</v>
      </c>
    </row>
    <row r="4" spans="1:10" x14ac:dyDescent="0.25">
      <c r="A4" s="202">
        <v>214</v>
      </c>
      <c r="B4" s="42" t="str">
        <f>A4&amp;"-"&amp;IF(DAY(Variables!$A$2)&lt;10,0,"")&amp;DAY(Variables!$A$2)</f>
        <v>214-09</v>
      </c>
      <c r="C4" s="138"/>
      <c r="D4" s="156"/>
      <c r="E4" s="30"/>
      <c r="F4" s="21" t="str">
        <f>VLOOKUP(B4,'Trips&amp;Operators'!$C$2:$E$10000,3,FALSE)</f>
        <v>HELVIE</v>
      </c>
      <c r="G4" s="21" t="str">
        <f>VLOOKUP(B4,'Trips&amp;Operators'!$C$1:$F$10000,4,FALSE)</f>
        <v>ADAM</v>
      </c>
      <c r="H4" s="29" t="str">
        <f>VLOOKUP(B4,'Trips&amp;Operators'!$C$1:$H$10000,5,FALSE)</f>
        <v>HELVIE ADAM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22214-09%22)),sort:!(Time.ISO8601,asc))</v>
      </c>
      <c r="J4" s="30" t="str">
        <f>VLOOKUP(B4,'Train Runs'!$A$13:$A$99933,1,FALSE)</f>
        <v>214-09</v>
      </c>
    </row>
    <row r="5" spans="1:10" x14ac:dyDescent="0.25">
      <c r="A5" s="202"/>
      <c r="B5" s="42" t="str">
        <f>A5&amp;"-"&amp;IF(DAY(Variables!$A$2)&lt;10,0,"")&amp;DAY(Variables!$A$2)</f>
        <v>-09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Runs'!$A$13:$A$99933,1,FALSE)</f>
        <v>#N/A</v>
      </c>
    </row>
    <row r="6" spans="1:10" x14ac:dyDescent="0.25">
      <c r="A6" s="202"/>
      <c r="B6" s="42" t="str">
        <f>A6&amp;"-"&amp;IF(DAY(Variables!$A$2)&lt;10,0,"")&amp;DAY(Variables!$A$2)</f>
        <v>-09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Runs'!$A$13:$A$99933,1,FALSE)</f>
        <v>#N/A</v>
      </c>
    </row>
    <row r="7" spans="1:10" x14ac:dyDescent="0.25">
      <c r="A7" s="202"/>
      <c r="B7" s="42" t="str">
        <f>A7&amp;"-"&amp;IF(DAY(Variables!$A$2)&lt;10,0,"")&amp;DAY(Variables!$A$2)</f>
        <v>-09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Runs'!$A$13:$A$99933,1,FALSE)</f>
        <v>#N/A</v>
      </c>
    </row>
    <row r="8" spans="1:10" x14ac:dyDescent="0.25">
      <c r="A8" s="202"/>
      <c r="B8" s="42" t="str">
        <f>A8&amp;"-"&amp;IF(DAY(Variables!$A$2)&lt;10,0,"")&amp;DAY(Variables!$A$2)</f>
        <v>-09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Runs'!$A$13:$A$99933,1,FALSE)</f>
        <v>#N/A</v>
      </c>
    </row>
    <row r="9" spans="1:10" x14ac:dyDescent="0.25">
      <c r="A9" s="202"/>
      <c r="B9" s="42" t="str">
        <f>A9&amp;"-"&amp;IF(DAY(Variables!$A$2)&lt;10,0,"")&amp;DAY(Variables!$A$2)</f>
        <v>-09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Runs'!$A$13:$A$99933,1,FALSE)</f>
        <v>#N/A</v>
      </c>
    </row>
    <row r="10" spans="1:10" x14ac:dyDescent="0.25">
      <c r="A10" s="202"/>
      <c r="B10" s="42" t="str">
        <f>A10&amp;"-"&amp;IF(DAY(Variables!$A$2)&lt;10,0,"")&amp;DAY(Variables!$A$2)</f>
        <v>-09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" s="30" t="e">
        <f>VLOOKUP(B10,'Train Runs'!$A$13:$A$99933,1,FALSE)</f>
        <v>#N/A</v>
      </c>
    </row>
    <row r="11" spans="1:10" x14ac:dyDescent="0.25">
      <c r="A11" s="202"/>
      <c r="B11" s="42" t="str">
        <f>A11&amp;"-"&amp;IF(DAY(Variables!$A$2)&lt;10,0,"")&amp;DAY(Variables!$A$2)</f>
        <v>-09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" s="30" t="e">
        <f>VLOOKUP(B11,'Train Runs'!$A$13:$A$99933,1,FALSE)</f>
        <v>#N/A</v>
      </c>
    </row>
    <row r="12" spans="1:10" x14ac:dyDescent="0.25">
      <c r="A12" s="202"/>
      <c r="B12" s="42" t="str">
        <f>A12&amp;"-"&amp;IF(DAY(Variables!$A$2)&lt;10,0,"")&amp;DAY(Variables!$A$2)</f>
        <v>-09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" s="30" t="e">
        <f>VLOOKUP(B12,'Train Runs'!$A$13:$A$99933,1,FALSE)</f>
        <v>#N/A</v>
      </c>
    </row>
    <row r="13" spans="1:10" x14ac:dyDescent="0.25">
      <c r="A13" s="202"/>
      <c r="B13" s="42" t="str">
        <f>A13&amp;"-"&amp;IF(DAY(Variables!$A$2)&lt;10,0,"")&amp;DAY(Variables!$A$2)</f>
        <v>-09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3" s="30" t="e">
        <f>VLOOKUP(B13,'Train Runs'!$A$13:$A$99933,1,FALSE)</f>
        <v>#N/A</v>
      </c>
    </row>
    <row r="14" spans="1:10" x14ac:dyDescent="0.25">
      <c r="A14" s="202"/>
      <c r="B14" s="42" t="str">
        <f>A14&amp;"-"&amp;IF(DAY(Variables!$A$2)&lt;10,0,"")&amp;DAY(Variables!$A$2)</f>
        <v>-09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4" s="30" t="e">
        <f>VLOOKUP(B14,'Train Runs'!$A$13:$A$99933,1,FALSE)</f>
        <v>#N/A</v>
      </c>
    </row>
    <row r="15" spans="1:10" x14ac:dyDescent="0.25">
      <c r="A15" s="202"/>
      <c r="B15" s="42" t="str">
        <f>A15&amp;"-"&amp;IF(DAY(Variables!$A$2)&lt;10,0,"")&amp;DAY(Variables!$A$2)</f>
        <v>-09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5" s="30" t="e">
        <f>VLOOKUP(B15,'Train Runs'!$A$13:$A$99933,1,FALSE)</f>
        <v>#N/A</v>
      </c>
    </row>
    <row r="16" spans="1:10" x14ac:dyDescent="0.25">
      <c r="A16" s="202"/>
      <c r="B16" s="42" t="str">
        <f>A16&amp;"-"&amp;IF(DAY(Variables!$A$2)&lt;10,0,"")&amp;DAY(Variables!$A$2)</f>
        <v>-09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6" s="30" t="e">
        <f>VLOOKUP(B16,'Train Runs'!$A$13:$A$99933,1,FALSE)</f>
        <v>#N/A</v>
      </c>
    </row>
    <row r="17" spans="1:10" x14ac:dyDescent="0.25">
      <c r="A17" s="202"/>
      <c r="B17" s="42" t="str">
        <f>A17&amp;"-"&amp;IF(DAY(Variables!$A$2)&lt;10,0,"")&amp;DAY(Variables!$A$2)</f>
        <v>-09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7" s="30" t="e">
        <f>VLOOKUP(B17,'Train Runs'!$A$13:$A$99933,1,FALSE)</f>
        <v>#N/A</v>
      </c>
    </row>
    <row r="18" spans="1:10" x14ac:dyDescent="0.25">
      <c r="A18" s="202"/>
      <c r="B18" s="42" t="str">
        <f>A18&amp;"-"&amp;IF(DAY(Variables!$A$2)&lt;10,0,"")&amp;DAY(Variables!$A$2)</f>
        <v>-09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8" s="30" t="e">
        <f>VLOOKUP(B18,'Train Runs'!$A$13:$A$99933,1,FALSE)</f>
        <v>#N/A</v>
      </c>
    </row>
    <row r="19" spans="1:10" x14ac:dyDescent="0.25">
      <c r="A19" s="202"/>
      <c r="B19" s="42" t="str">
        <f>A19&amp;"-"&amp;IF(DAY(Variables!$A$2)&lt;10,0,"")&amp;DAY(Variables!$A$2)</f>
        <v>-09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9" s="30" t="e">
        <f>VLOOKUP(B19,'Train Runs'!$A$13:$A$99933,1,FALSE)</f>
        <v>#N/A</v>
      </c>
    </row>
    <row r="20" spans="1:10" x14ac:dyDescent="0.25">
      <c r="A20" s="202"/>
      <c r="B20" s="42" t="str">
        <f>A20&amp;"-"&amp;IF(DAY(Variables!$A$2)&lt;10,0,"")&amp;DAY(Variables!$A$2)</f>
        <v>-09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0" s="30" t="e">
        <f>VLOOKUP(B20,'Train Runs'!$A$13:$A$99933,1,FALSE)</f>
        <v>#N/A</v>
      </c>
    </row>
    <row r="21" spans="1:10" x14ac:dyDescent="0.25">
      <c r="A21" s="202"/>
      <c r="B21" s="42" t="str">
        <f>A21&amp;"-"&amp;IF(DAY(Variables!$A$2)&lt;10,0,"")&amp;DAY(Variables!$A$2)</f>
        <v>-09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1" s="30" t="e">
        <f>VLOOKUP(B21,'Train Runs'!$A$13:$A$99933,1,FALSE)</f>
        <v>#N/A</v>
      </c>
    </row>
    <row r="22" spans="1:10" x14ac:dyDescent="0.25">
      <c r="A22" s="202"/>
      <c r="B22" s="42" t="str">
        <f>A22&amp;"-"&amp;IF(DAY(Variables!$A$2)&lt;10,0,"")&amp;DAY(Variables!$A$2)</f>
        <v>-09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2" s="30" t="e">
        <f>VLOOKUP(B22,'Train Runs'!$A$13:$A$99933,1,FALSE)</f>
        <v>#N/A</v>
      </c>
    </row>
    <row r="23" spans="1:10" x14ac:dyDescent="0.25">
      <c r="A23" s="202"/>
      <c r="B23" s="42" t="str">
        <f>A23&amp;"-"&amp;IF(DAY(Variables!$A$2)&lt;10,0,"")&amp;DAY(Variables!$A$2)</f>
        <v>-09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3" s="30" t="e">
        <f>VLOOKUP(B23,'Train Runs'!$A$13:$A$99933,1,FALSE)</f>
        <v>#N/A</v>
      </c>
    </row>
    <row r="24" spans="1:10" x14ac:dyDescent="0.25">
      <c r="A24" s="202"/>
      <c r="B24" s="42" t="str">
        <f>A24&amp;"-"&amp;IF(DAY(Variables!$A$2)&lt;10,0,"")&amp;DAY(Variables!$A$2)</f>
        <v>-09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4" s="30" t="e">
        <f>VLOOKUP(B24,'Train Runs'!$A$13:$A$99933,1,FALSE)</f>
        <v>#N/A</v>
      </c>
    </row>
    <row r="25" spans="1:10" x14ac:dyDescent="0.25">
      <c r="A25" s="202"/>
      <c r="B25" s="42" t="str">
        <f>A25&amp;"-"&amp;IF(DAY(Variables!$A$2)&lt;10,0,"")&amp;DAY(Variables!$A$2)</f>
        <v>-09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5" s="30" t="e">
        <f>VLOOKUP(B25,'Train Runs'!$A$13:$A$99933,1,FALSE)</f>
        <v>#N/A</v>
      </c>
    </row>
    <row r="26" spans="1:10" x14ac:dyDescent="0.25">
      <c r="A26" s="202"/>
      <c r="B26" s="42" t="str">
        <f>A26&amp;"-"&amp;IF(DAY(Variables!$A$2)&lt;10,0,"")&amp;DAY(Variables!$A$2)</f>
        <v>-09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6" s="30" t="e">
        <f>VLOOKUP(B26,'Train Runs'!$A$13:$A$99933,1,FALSE)</f>
        <v>#N/A</v>
      </c>
    </row>
    <row r="27" spans="1:10" x14ac:dyDescent="0.25">
      <c r="A27" s="202"/>
      <c r="B27" s="42" t="str">
        <f>A27&amp;"-"&amp;IF(DAY(Variables!$A$2)&lt;10,0,"")&amp;DAY(Variables!$A$2)</f>
        <v>-09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7" s="30" t="e">
        <f>VLOOKUP(B27,'Train Runs'!$A$13:$A$99933,1,FALSE)</f>
        <v>#N/A</v>
      </c>
    </row>
    <row r="28" spans="1:10" x14ac:dyDescent="0.25">
      <c r="A28" s="202"/>
      <c r="B28" s="42" t="str">
        <f>A28&amp;"-"&amp;IF(DAY(Variables!$A$2)&lt;10,0,"")&amp;DAY(Variables!$A$2)</f>
        <v>-09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8" s="30" t="e">
        <f>VLOOKUP(B28,'Train Runs'!$A$13:$A$99933,1,FALSE)</f>
        <v>#N/A</v>
      </c>
    </row>
    <row r="29" spans="1:10" x14ac:dyDescent="0.25">
      <c r="A29" s="202"/>
      <c r="B29" s="42" t="str">
        <f>A29&amp;"-"&amp;IF(DAY(Variables!$A$2)&lt;10,0,"")&amp;DAY(Variables!$A$2)</f>
        <v>-09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9" s="30" t="e">
        <f>VLOOKUP(B29,'Train Runs'!$A$13:$A$99933,1,FALSE)</f>
        <v>#N/A</v>
      </c>
    </row>
    <row r="30" spans="1:10" x14ac:dyDescent="0.25">
      <c r="A30" s="202"/>
      <c r="B30" s="42" t="str">
        <f>A30&amp;"-"&amp;IF(DAY(Variables!$A$2)&lt;10,0,"")&amp;DAY(Variables!$A$2)</f>
        <v>-09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0" s="30" t="e">
        <f>VLOOKUP(B30,'Train Runs'!$A$13:$A$99933,1,FALSE)</f>
        <v>#N/A</v>
      </c>
    </row>
    <row r="31" spans="1:10" x14ac:dyDescent="0.25">
      <c r="A31" s="202"/>
      <c r="B31" s="42" t="str">
        <f>A31&amp;"-"&amp;IF(DAY(Variables!$A$2)&lt;10,0,"")&amp;DAY(Variables!$A$2)</f>
        <v>-09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1" s="30" t="e">
        <f>VLOOKUP(B31,'Train Runs'!$A$13:$A$99933,1,FALSE)</f>
        <v>#N/A</v>
      </c>
    </row>
    <row r="32" spans="1:10" x14ac:dyDescent="0.25">
      <c r="A32" s="202"/>
      <c r="B32" s="42" t="str">
        <f>A32&amp;"-"&amp;IF(DAY(Variables!$A$2)&lt;10,0,"")&amp;DAY(Variables!$A$2)</f>
        <v>-09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2" s="30" t="e">
        <f>VLOOKUP(B32,'Train Runs'!$A$13:$A$99933,1,FALSE)</f>
        <v>#N/A</v>
      </c>
    </row>
    <row r="33" spans="1:10" x14ac:dyDescent="0.25">
      <c r="A33" s="202"/>
      <c r="B33" s="42" t="str">
        <f>A33&amp;"-"&amp;IF(DAY(Variables!$A$2)&lt;10,0,"")&amp;DAY(Variables!$A$2)</f>
        <v>-09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3" s="30" t="e">
        <f>VLOOKUP(B33,'Train Runs'!$A$13:$A$99933,1,FALSE)</f>
        <v>#N/A</v>
      </c>
    </row>
    <row r="34" spans="1:10" x14ac:dyDescent="0.25">
      <c r="A34" s="202"/>
      <c r="B34" s="42" t="str">
        <f>A34&amp;"-"&amp;IF(DAY(Variables!$A$2)&lt;10,0,"")&amp;DAY(Variables!$A$2)</f>
        <v>-09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4" s="30" t="e">
        <f>VLOOKUP(B34,'Train Runs'!$A$13:$A$99933,1,FALSE)</f>
        <v>#N/A</v>
      </c>
    </row>
    <row r="35" spans="1:10" x14ac:dyDescent="0.25">
      <c r="A35" s="202"/>
      <c r="B35" s="42" t="str">
        <f>A35&amp;"-"&amp;IF(DAY(Variables!$A$2)&lt;10,0,"")&amp;DAY(Variables!$A$2)</f>
        <v>-09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ref="I35:I5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5" s="30" t="e">
        <f>VLOOKUP(B35,'Train Runs'!$A$13:$A$99933,1,FALSE)</f>
        <v>#N/A</v>
      </c>
    </row>
    <row r="36" spans="1:10" x14ac:dyDescent="0.25">
      <c r="A36" s="202"/>
      <c r="B36" s="42" t="str">
        <f>A36&amp;"-"&amp;IF(DAY(Variables!$A$2)&lt;10,0,"")&amp;DAY(Variables!$A$2)</f>
        <v>-09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6" s="30" t="e">
        <f>VLOOKUP(B36,'Train Runs'!$A$13:$A$99933,1,FALSE)</f>
        <v>#N/A</v>
      </c>
    </row>
    <row r="37" spans="1:10" x14ac:dyDescent="0.25">
      <c r="A37" s="202"/>
      <c r="B37" s="42" t="str">
        <f>A37&amp;"-"&amp;IF(DAY(Variables!$A$2)&lt;10,0,"")&amp;DAY(Variables!$A$2)</f>
        <v>-09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7" s="30" t="e">
        <f>VLOOKUP(B37,'Train Runs'!$A$13:$A$99933,1,FALSE)</f>
        <v>#N/A</v>
      </c>
    </row>
    <row r="38" spans="1:10" x14ac:dyDescent="0.25">
      <c r="A38" s="202"/>
      <c r="B38" s="42" t="str">
        <f>A38&amp;"-"&amp;IF(DAY(Variables!$A$2)&lt;10,0,"")&amp;DAY(Variables!$A$2)</f>
        <v>-09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8" s="30" t="e">
        <f>VLOOKUP(B38,'Train Runs'!$A$13:$A$99933,1,FALSE)</f>
        <v>#N/A</v>
      </c>
    </row>
    <row r="39" spans="1:10" x14ac:dyDescent="0.25">
      <c r="A39" s="202"/>
      <c r="B39" s="42" t="str">
        <f>A39&amp;"-"&amp;IF(DAY(Variables!$A$2)&lt;10,0,"")&amp;DAY(Variables!$A$2)</f>
        <v>-09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9" s="30" t="e">
        <f>VLOOKUP(B39,'Train Runs'!$A$13:$A$99933,1,FALSE)</f>
        <v>#N/A</v>
      </c>
    </row>
    <row r="40" spans="1:10" x14ac:dyDescent="0.25">
      <c r="A40" s="202"/>
      <c r="B40" s="42" t="str">
        <f>A40&amp;"-"&amp;IF(DAY(Variables!$A$2)&lt;10,0,"")&amp;DAY(Variables!$A$2)</f>
        <v>-09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0" s="30" t="e">
        <f>VLOOKUP(B40,'Train Runs'!$A$13:$A$99933,1,FALSE)</f>
        <v>#N/A</v>
      </c>
    </row>
    <row r="41" spans="1:10" x14ac:dyDescent="0.25">
      <c r="A41" s="202"/>
      <c r="B41" s="42" t="str">
        <f>A41&amp;"-"&amp;IF(DAY(Variables!$A$2)&lt;10,0,"")&amp;DAY(Variables!$A$2)</f>
        <v>-09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1" s="30" t="e">
        <f>VLOOKUP(B41,'Train Runs'!$A$13:$A$99933,1,FALSE)</f>
        <v>#N/A</v>
      </c>
    </row>
    <row r="42" spans="1:10" x14ac:dyDescent="0.25">
      <c r="A42" s="202"/>
      <c r="B42" s="42" t="str">
        <f>A42&amp;"-"&amp;IF(DAY(Variables!$A$2)&lt;10,0,"")&amp;DAY(Variables!$A$2)</f>
        <v>-09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2" s="30" t="e">
        <f>VLOOKUP(B42,'Train Runs'!$A$13:$A$99933,1,FALSE)</f>
        <v>#N/A</v>
      </c>
    </row>
    <row r="43" spans="1:10" x14ac:dyDescent="0.25">
      <c r="A43" s="202"/>
      <c r="B43" s="42" t="str">
        <f>A43&amp;"-"&amp;IF(DAY(Variables!$A$2)&lt;10,0,"")&amp;DAY(Variables!$A$2)</f>
        <v>-09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3" s="30" t="e">
        <f>VLOOKUP(B43,'Train Runs'!$A$13:$A$99933,1,FALSE)</f>
        <v>#N/A</v>
      </c>
    </row>
    <row r="44" spans="1:10" x14ac:dyDescent="0.25">
      <c r="A44" s="202"/>
      <c r="B44" s="42" t="str">
        <f>A44&amp;"-"&amp;IF(DAY(Variables!$A$2)&lt;10,0,"")&amp;DAY(Variables!$A$2)</f>
        <v>-09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4" s="30" t="e">
        <f>VLOOKUP(B44,'Train Runs'!$A$13:$A$99933,1,FALSE)</f>
        <v>#N/A</v>
      </c>
    </row>
    <row r="45" spans="1:10" x14ac:dyDescent="0.25">
      <c r="A45" s="202"/>
      <c r="B45" s="42" t="str">
        <f>A45&amp;"-"&amp;IF(DAY(Variables!$A$2)&lt;10,0,"")&amp;DAY(Variables!$A$2)</f>
        <v>-09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5" s="30" t="e">
        <f>VLOOKUP(B45,'Train Runs'!$A$13:$A$99933,1,FALSE)</f>
        <v>#N/A</v>
      </c>
    </row>
    <row r="46" spans="1:10" x14ac:dyDescent="0.25">
      <c r="A46" s="202"/>
      <c r="B46" s="42" t="str">
        <f>A46&amp;"-"&amp;IF(DAY(Variables!$A$2)&lt;10,0,"")&amp;DAY(Variables!$A$2)</f>
        <v>-09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6" s="30" t="e">
        <f>VLOOKUP(B46,'Train Runs'!$A$13:$A$99933,1,FALSE)</f>
        <v>#N/A</v>
      </c>
    </row>
    <row r="47" spans="1:10" x14ac:dyDescent="0.25">
      <c r="A47" s="202"/>
      <c r="B47" s="42" t="str">
        <f>A47&amp;"-"&amp;IF(DAY(Variables!$A$2)&lt;10,0,"")&amp;DAY(Variables!$A$2)</f>
        <v>-09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7" s="30" t="e">
        <f>VLOOKUP(B47,'Train Runs'!$A$13:$A$99933,1,FALSE)</f>
        <v>#N/A</v>
      </c>
    </row>
    <row r="48" spans="1:10" x14ac:dyDescent="0.25">
      <c r="A48" s="202"/>
      <c r="B48" s="42" t="str">
        <f>A48&amp;"-"&amp;IF(DAY(Variables!$A$2)&lt;10,0,"")&amp;DAY(Variables!$A$2)</f>
        <v>-09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8" s="30" t="e">
        <f>VLOOKUP(B48,'Train Runs'!$A$13:$A$99933,1,FALSE)</f>
        <v>#N/A</v>
      </c>
    </row>
    <row r="49" spans="1:10" x14ac:dyDescent="0.25">
      <c r="A49" s="202"/>
      <c r="B49" s="42" t="str">
        <f>A49&amp;"-"&amp;IF(DAY(Variables!$A$2)&lt;10,0,"")&amp;DAY(Variables!$A$2)</f>
        <v>-09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9" s="30" t="e">
        <f>VLOOKUP(B49,'Train Runs'!$A$13:$A$99933,1,FALSE)</f>
        <v>#N/A</v>
      </c>
    </row>
    <row r="50" spans="1:10" x14ac:dyDescent="0.25">
      <c r="A50" s="202"/>
      <c r="B50" s="42" t="str">
        <f>A50&amp;"-"&amp;IF(DAY(Variables!$A$2)&lt;10,0,"")&amp;DAY(Variables!$A$2)</f>
        <v>-09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0" s="30" t="e">
        <f>VLOOKUP(B50,'Train Runs'!$A$13:$A$99933,1,FALSE)</f>
        <v>#N/A</v>
      </c>
    </row>
    <row r="51" spans="1:10" x14ac:dyDescent="0.25">
      <c r="A51" s="202"/>
      <c r="B51" s="42" t="str">
        <f>A51&amp;"-"&amp;IF(DAY(Variables!$A$2)&lt;10,0,"")&amp;DAY(Variables!$A$2)</f>
        <v>-09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1" s="30" t="e">
        <f>VLOOKUP(B51,'Train Runs'!$A$13:$A$99933,1,FALSE)</f>
        <v>#N/A</v>
      </c>
    </row>
    <row r="52" spans="1:10" x14ac:dyDescent="0.25">
      <c r="A52" s="202"/>
      <c r="B52" s="42" t="str">
        <f>A52&amp;"-"&amp;IF(DAY(Variables!$A$2)&lt;10,0,"")&amp;DAY(Variables!$A$2)</f>
        <v>-09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2" s="30" t="e">
        <f>VLOOKUP(B52,'Train Runs'!$A$13:$A$99933,1,FALSE)</f>
        <v>#N/A</v>
      </c>
    </row>
    <row r="53" spans="1:10" x14ac:dyDescent="0.25">
      <c r="A53" s="202"/>
      <c r="B53" s="42" t="str">
        <f>A53&amp;"-"&amp;IF(DAY(Variables!$A$2)&lt;10,0,"")&amp;DAY(Variables!$A$2)</f>
        <v>-09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3" s="30" t="e">
        <f>VLOOKUP(B53,'Train Runs'!$A$13:$A$99933,1,FALSE)</f>
        <v>#N/A</v>
      </c>
    </row>
    <row r="54" spans="1:10" x14ac:dyDescent="0.25">
      <c r="A54" s="202"/>
      <c r="B54" s="42" t="str">
        <f>A54&amp;"-"&amp;IF(DAY(Variables!$A$2)&lt;10,0,"")&amp;DAY(Variables!$A$2)</f>
        <v>-09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4" s="30" t="e">
        <f>VLOOKUP(B54,'Train Runs'!$A$13:$A$99933,1,FALSE)</f>
        <v>#N/A</v>
      </c>
    </row>
    <row r="55" spans="1:10" x14ac:dyDescent="0.25">
      <c r="A55" s="202"/>
      <c r="B55" s="42" t="str">
        <f>A55&amp;"-"&amp;IF(DAY(Variables!$A$2)&lt;10,0,"")&amp;DAY(Variables!$A$2)</f>
        <v>-09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5" s="30" t="e">
        <f>VLOOKUP(B55,'Train Runs'!$A$13:$A$99933,1,FALSE)</f>
        <v>#N/A</v>
      </c>
    </row>
    <row r="56" spans="1:10" x14ac:dyDescent="0.25">
      <c r="A56" s="202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202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202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202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202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202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202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202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202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</sheetData>
  <autoFilter ref="A2:J6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42895.048900462964</v>
      </c>
      <c r="B2" s="20" t="s">
        <v>503</v>
      </c>
      <c r="C2" s="20" t="s">
        <v>394</v>
      </c>
      <c r="D2" s="141">
        <v>2230000</v>
      </c>
      <c r="E2" s="20" t="s">
        <v>344</v>
      </c>
      <c r="F2" s="20" t="s">
        <v>194</v>
      </c>
      <c r="G2" s="8" t="str">
        <f>E2&amp;" "&amp;F2</f>
        <v>SMITH MICHAEL</v>
      </c>
    </row>
    <row r="3" spans="1:7" x14ac:dyDescent="0.25">
      <c r="A3" s="8">
        <v>42895.049328703702</v>
      </c>
      <c r="B3" s="20" t="s">
        <v>461</v>
      </c>
      <c r="C3" s="20" t="s">
        <v>379</v>
      </c>
      <c r="D3" s="141">
        <v>3000000</v>
      </c>
      <c r="E3" s="20" t="s">
        <v>439</v>
      </c>
      <c r="F3" s="20" t="s">
        <v>440</v>
      </c>
      <c r="G3" s="8" t="str">
        <f t="shared" ref="G3:G66" si="0">E3&amp;" "&amp;F3</f>
        <v>FORTUNATO FRANK</v>
      </c>
    </row>
    <row r="4" spans="1:7" x14ac:dyDescent="0.25">
      <c r="A4" s="8">
        <v>42895.050335648149</v>
      </c>
      <c r="B4" s="20" t="s">
        <v>503</v>
      </c>
      <c r="C4" s="20" t="s">
        <v>394</v>
      </c>
      <c r="D4" s="141">
        <v>2230000</v>
      </c>
      <c r="E4" s="20" t="s">
        <v>344</v>
      </c>
      <c r="F4" s="20" t="s">
        <v>194</v>
      </c>
      <c r="G4" s="8" t="str">
        <f t="shared" si="0"/>
        <v>SMITH MICHAEL</v>
      </c>
    </row>
    <row r="5" spans="1:7" x14ac:dyDescent="0.25">
      <c r="A5" s="8">
        <v>42895.069918981484</v>
      </c>
      <c r="B5" s="20" t="s">
        <v>505</v>
      </c>
      <c r="C5" s="20" t="s">
        <v>395</v>
      </c>
      <c r="D5" s="141">
        <v>2630000</v>
      </c>
      <c r="E5" s="20" t="s">
        <v>463</v>
      </c>
      <c r="F5" s="20" t="s">
        <v>464</v>
      </c>
      <c r="G5" s="8" t="str">
        <f t="shared" si="0"/>
        <v>SAFIEF AEIMEN</v>
      </c>
    </row>
    <row r="6" spans="1:7" x14ac:dyDescent="0.25">
      <c r="A6" s="8">
        <v>42895.090324074074</v>
      </c>
      <c r="B6" s="20" t="s">
        <v>462</v>
      </c>
      <c r="C6" s="20" t="s">
        <v>396</v>
      </c>
      <c r="D6" s="141">
        <v>3000000</v>
      </c>
      <c r="E6" s="20" t="s">
        <v>439</v>
      </c>
      <c r="F6" s="20" t="s">
        <v>440</v>
      </c>
      <c r="G6" s="8" t="str">
        <f t="shared" si="0"/>
        <v>FORTUNATO FRANK</v>
      </c>
    </row>
    <row r="7" spans="1:7" x14ac:dyDescent="0.25">
      <c r="A7" s="8">
        <v>42895.090925925928</v>
      </c>
      <c r="B7" s="20" t="s">
        <v>462</v>
      </c>
      <c r="C7" s="20" t="s">
        <v>396</v>
      </c>
      <c r="D7" s="141">
        <v>3000000</v>
      </c>
      <c r="E7" s="20" t="s">
        <v>439</v>
      </c>
      <c r="F7" s="20" t="s">
        <v>440</v>
      </c>
      <c r="G7" s="8" t="str">
        <f t="shared" si="0"/>
        <v>FORTUNATO FRANK</v>
      </c>
    </row>
    <row r="8" spans="1:7" x14ac:dyDescent="0.25">
      <c r="A8" s="8">
        <v>42895.09202546296</v>
      </c>
      <c r="B8" s="20" t="s">
        <v>462</v>
      </c>
      <c r="C8" s="20" t="s">
        <v>396</v>
      </c>
      <c r="D8" s="141">
        <v>3000000</v>
      </c>
      <c r="E8" s="20" t="s">
        <v>439</v>
      </c>
      <c r="F8" s="20" t="s">
        <v>440</v>
      </c>
      <c r="G8" s="8" t="str">
        <f t="shared" si="0"/>
        <v>FORTUNATO FRANK</v>
      </c>
    </row>
    <row r="9" spans="1:7" ht="15.75" thickBot="1" x14ac:dyDescent="0.3">
      <c r="A9" s="24">
        <v>42895.114976851852</v>
      </c>
      <c r="B9" s="20" t="s">
        <v>435</v>
      </c>
      <c r="C9" s="20" t="s">
        <v>586</v>
      </c>
      <c r="D9" s="141">
        <v>1110000</v>
      </c>
      <c r="E9" s="20" t="s">
        <v>485</v>
      </c>
      <c r="F9" s="20" t="s">
        <v>486</v>
      </c>
      <c r="G9" s="8" t="str">
        <f t="shared" si="0"/>
        <v>STARKS ANGELINA</v>
      </c>
    </row>
    <row r="10" spans="1:7" x14ac:dyDescent="0.25">
      <c r="A10" s="8">
        <v>42895.115983796299</v>
      </c>
      <c r="B10" s="20" t="s">
        <v>435</v>
      </c>
      <c r="C10" s="20" t="s">
        <v>586</v>
      </c>
      <c r="D10" s="141">
        <v>1110000</v>
      </c>
      <c r="E10" s="20" t="s">
        <v>485</v>
      </c>
      <c r="F10" s="20" t="s">
        <v>486</v>
      </c>
      <c r="G10" s="8" t="str">
        <f t="shared" si="0"/>
        <v>STARKS ANGELINA</v>
      </c>
    </row>
    <row r="11" spans="1:7" x14ac:dyDescent="0.25">
      <c r="A11" s="8">
        <v>42895.117245370369</v>
      </c>
      <c r="B11" s="20" t="s">
        <v>435</v>
      </c>
      <c r="C11" s="20" t="s">
        <v>586</v>
      </c>
      <c r="D11" s="141">
        <v>1110000</v>
      </c>
      <c r="E11" s="20" t="s">
        <v>485</v>
      </c>
      <c r="F11" s="20" t="s">
        <v>486</v>
      </c>
      <c r="G11" s="8" t="str">
        <f t="shared" si="0"/>
        <v>STARKS ANGELINA</v>
      </c>
    </row>
    <row r="12" spans="1:7" x14ac:dyDescent="0.25">
      <c r="A12" s="8">
        <v>42895.12909722222</v>
      </c>
      <c r="B12" s="20" t="s">
        <v>437</v>
      </c>
      <c r="C12" s="20" t="s">
        <v>636</v>
      </c>
      <c r="D12" s="141">
        <v>1090000</v>
      </c>
      <c r="E12" s="20" t="s">
        <v>484</v>
      </c>
      <c r="F12" s="20" t="s">
        <v>194</v>
      </c>
      <c r="G12" s="8" t="str">
        <f t="shared" si="0"/>
        <v>SPECTOR MICHAEL</v>
      </c>
    </row>
    <row r="13" spans="1:7" x14ac:dyDescent="0.25">
      <c r="A13" s="8">
        <v>42895.131388888891</v>
      </c>
      <c r="B13" s="20" t="s">
        <v>592</v>
      </c>
      <c r="C13" s="20" t="s">
        <v>637</v>
      </c>
      <c r="D13" s="141">
        <v>1110000</v>
      </c>
      <c r="E13" s="20" t="s">
        <v>485</v>
      </c>
      <c r="F13" s="20" t="s">
        <v>486</v>
      </c>
      <c r="G13" s="8" t="str">
        <f t="shared" si="0"/>
        <v>STARKS ANGELINA</v>
      </c>
    </row>
    <row r="14" spans="1:7" x14ac:dyDescent="0.25">
      <c r="A14" s="8">
        <v>42895.132962962962</v>
      </c>
      <c r="B14" s="20" t="s">
        <v>592</v>
      </c>
      <c r="C14" s="20" t="s">
        <v>637</v>
      </c>
      <c r="D14" s="141">
        <v>1110000</v>
      </c>
      <c r="E14" s="20" t="s">
        <v>485</v>
      </c>
      <c r="F14" s="20" t="s">
        <v>486</v>
      </c>
      <c r="G14" s="8" t="str">
        <f t="shared" si="0"/>
        <v>STARKS ANGELINA</v>
      </c>
    </row>
    <row r="15" spans="1:7" x14ac:dyDescent="0.25">
      <c r="A15" s="8">
        <v>42895.134143518517</v>
      </c>
      <c r="B15" s="20" t="s">
        <v>592</v>
      </c>
      <c r="C15" s="20" t="s">
        <v>637</v>
      </c>
      <c r="D15" s="141">
        <v>1110000</v>
      </c>
      <c r="E15" s="20" t="s">
        <v>485</v>
      </c>
      <c r="F15" s="20" t="s">
        <v>486</v>
      </c>
      <c r="G15" s="8" t="str">
        <f t="shared" si="0"/>
        <v>STARKS ANGELINA</v>
      </c>
    </row>
    <row r="16" spans="1:7" x14ac:dyDescent="0.25">
      <c r="A16" s="8">
        <v>42895.135254629633</v>
      </c>
      <c r="B16" s="20" t="s">
        <v>483</v>
      </c>
      <c r="C16" s="20" t="s">
        <v>638</v>
      </c>
      <c r="D16" s="141">
        <v>3040000</v>
      </c>
      <c r="E16" s="20" t="s">
        <v>388</v>
      </c>
      <c r="F16" s="20" t="s">
        <v>389</v>
      </c>
      <c r="G16" s="8" t="str">
        <f t="shared" si="0"/>
        <v>WILLIAMS DONTE</v>
      </c>
    </row>
    <row r="17" spans="1:7" x14ac:dyDescent="0.25">
      <c r="A17" s="8">
        <v>42895.139467592591</v>
      </c>
      <c r="B17" s="20" t="s">
        <v>592</v>
      </c>
      <c r="C17" s="20" t="s">
        <v>637</v>
      </c>
      <c r="D17" s="141">
        <v>1110000</v>
      </c>
      <c r="E17" s="20" t="s">
        <v>485</v>
      </c>
      <c r="F17" s="20" t="s">
        <v>486</v>
      </c>
      <c r="G17" s="8" t="str">
        <f t="shared" si="0"/>
        <v>STARKS ANGELINA</v>
      </c>
    </row>
    <row r="18" spans="1:7" x14ac:dyDescent="0.25">
      <c r="A18" s="8">
        <v>42895.14</v>
      </c>
      <c r="B18" s="20" t="s">
        <v>435</v>
      </c>
      <c r="C18" s="20" t="s">
        <v>639</v>
      </c>
      <c r="D18" s="141">
        <v>1090000</v>
      </c>
      <c r="E18" s="20" t="s">
        <v>484</v>
      </c>
      <c r="F18" s="20" t="s">
        <v>194</v>
      </c>
      <c r="G18" s="8" t="str">
        <f t="shared" si="0"/>
        <v>SPECTOR MICHAEL</v>
      </c>
    </row>
    <row r="19" spans="1:7" x14ac:dyDescent="0.25">
      <c r="A19" s="8">
        <v>42895.150173611109</v>
      </c>
      <c r="B19" s="20" t="s">
        <v>482</v>
      </c>
      <c r="C19" s="20" t="s">
        <v>640</v>
      </c>
      <c r="D19" s="141">
        <v>3040000</v>
      </c>
      <c r="E19" s="20" t="s">
        <v>388</v>
      </c>
      <c r="F19" s="20" t="s">
        <v>389</v>
      </c>
      <c r="G19" s="8" t="str">
        <f t="shared" si="0"/>
        <v>WILLIAMS DONTE</v>
      </c>
    </row>
    <row r="20" spans="1:7" x14ac:dyDescent="0.25">
      <c r="A20" s="8">
        <v>42895.16201388889</v>
      </c>
      <c r="B20" s="20" t="s">
        <v>552</v>
      </c>
      <c r="C20" s="20" t="s">
        <v>641</v>
      </c>
      <c r="D20" s="141">
        <v>940000</v>
      </c>
      <c r="E20" s="20" t="s">
        <v>522</v>
      </c>
      <c r="F20" s="20" t="s">
        <v>523</v>
      </c>
      <c r="G20" s="8" t="str">
        <f t="shared" si="0"/>
        <v>BONDS REYNALDO</v>
      </c>
    </row>
    <row r="21" spans="1:7" x14ac:dyDescent="0.25">
      <c r="A21" s="8">
        <v>42895.165034722224</v>
      </c>
      <c r="B21" s="20" t="s">
        <v>592</v>
      </c>
      <c r="C21" s="20" t="s">
        <v>637</v>
      </c>
      <c r="D21" s="141">
        <v>1110000</v>
      </c>
      <c r="E21" s="20" t="s">
        <v>485</v>
      </c>
      <c r="F21" s="20" t="s">
        <v>486</v>
      </c>
      <c r="G21" s="8" t="str">
        <f t="shared" si="0"/>
        <v>STARKS ANGELINA</v>
      </c>
    </row>
    <row r="22" spans="1:7" x14ac:dyDescent="0.25">
      <c r="A22" s="26">
        <v>42895.16710648148</v>
      </c>
      <c r="B22" s="20" t="s">
        <v>642</v>
      </c>
      <c r="C22" s="20" t="s">
        <v>643</v>
      </c>
      <c r="D22" s="141">
        <v>1110000</v>
      </c>
      <c r="E22" s="20" t="s">
        <v>485</v>
      </c>
      <c r="F22" s="20" t="s">
        <v>486</v>
      </c>
      <c r="G22" s="8" t="str">
        <f t="shared" si="0"/>
        <v>STARKS ANGELINA</v>
      </c>
    </row>
    <row r="23" spans="1:7" x14ac:dyDescent="0.25">
      <c r="A23" s="8">
        <v>42895.171631944446</v>
      </c>
      <c r="B23" s="20" t="s">
        <v>601</v>
      </c>
      <c r="C23" s="20" t="s">
        <v>644</v>
      </c>
      <c r="D23" s="141">
        <v>1100000</v>
      </c>
      <c r="E23" s="20" t="s">
        <v>520</v>
      </c>
      <c r="F23" s="20" t="s">
        <v>521</v>
      </c>
      <c r="G23" s="8" t="str">
        <f t="shared" si="0"/>
        <v>GEBRETEKLE DAGNEW</v>
      </c>
    </row>
    <row r="24" spans="1:7" x14ac:dyDescent="0.25">
      <c r="A24" s="8">
        <v>42895.172303240739</v>
      </c>
      <c r="B24" s="20" t="s">
        <v>553</v>
      </c>
      <c r="C24" s="20" t="s">
        <v>645</v>
      </c>
      <c r="D24" s="141">
        <v>940000</v>
      </c>
      <c r="E24" s="20" t="s">
        <v>522</v>
      </c>
      <c r="F24" s="20" t="s">
        <v>523</v>
      </c>
      <c r="G24" s="8" t="str">
        <f t="shared" si="0"/>
        <v>BONDS REYNALDO</v>
      </c>
    </row>
    <row r="25" spans="1:7" x14ac:dyDescent="0.25">
      <c r="A25" s="8">
        <v>42895.179652777777</v>
      </c>
      <c r="B25" s="20" t="s">
        <v>554</v>
      </c>
      <c r="C25" s="20" t="s">
        <v>646</v>
      </c>
      <c r="D25" s="141">
        <v>1990000</v>
      </c>
      <c r="E25" s="20" t="s">
        <v>425</v>
      </c>
      <c r="F25" s="20" t="s">
        <v>519</v>
      </c>
      <c r="G25" s="8" t="str">
        <f t="shared" si="0"/>
        <v>DAVIS WENDY</v>
      </c>
    </row>
    <row r="26" spans="1:7" x14ac:dyDescent="0.25">
      <c r="A26" s="8">
        <v>42895.183067129627</v>
      </c>
      <c r="B26" s="20" t="s">
        <v>504</v>
      </c>
      <c r="C26" s="20" t="s">
        <v>647</v>
      </c>
      <c r="D26" s="141">
        <v>1100000</v>
      </c>
      <c r="E26" s="20" t="s">
        <v>520</v>
      </c>
      <c r="F26" s="20" t="s">
        <v>521</v>
      </c>
      <c r="G26" s="8" t="str">
        <f t="shared" si="0"/>
        <v>GEBRETEKLE DAGNEW</v>
      </c>
    </row>
    <row r="27" spans="1:7" x14ac:dyDescent="0.25">
      <c r="A27" s="8">
        <v>42895.185717592591</v>
      </c>
      <c r="B27" s="20" t="s">
        <v>483</v>
      </c>
      <c r="C27" s="20" t="s">
        <v>648</v>
      </c>
      <c r="D27" s="141">
        <v>3040000</v>
      </c>
      <c r="E27" s="20" t="s">
        <v>388</v>
      </c>
      <c r="F27" s="20" t="s">
        <v>389</v>
      </c>
      <c r="G27" s="8" t="str">
        <f t="shared" si="0"/>
        <v>WILLIAMS DONTE</v>
      </c>
    </row>
    <row r="28" spans="1:7" x14ac:dyDescent="0.25">
      <c r="A28" s="8">
        <v>42895.194062499999</v>
      </c>
      <c r="B28" s="20" t="s">
        <v>407</v>
      </c>
      <c r="C28" s="20" t="s">
        <v>587</v>
      </c>
      <c r="D28" s="141">
        <v>1990000</v>
      </c>
      <c r="E28" s="20" t="s">
        <v>425</v>
      </c>
      <c r="F28" s="20" t="s">
        <v>519</v>
      </c>
      <c r="G28" s="8" t="str">
        <f t="shared" si="0"/>
        <v>DAVIS WENDY</v>
      </c>
    </row>
    <row r="29" spans="1:7" x14ac:dyDescent="0.25">
      <c r="A29" s="8">
        <v>42895.196400462963</v>
      </c>
      <c r="B29" s="20" t="s">
        <v>597</v>
      </c>
      <c r="C29" s="20" t="s">
        <v>649</v>
      </c>
      <c r="D29" s="141">
        <v>2600000</v>
      </c>
      <c r="E29" s="20" t="s">
        <v>650</v>
      </c>
      <c r="F29" s="20" t="s">
        <v>651</v>
      </c>
      <c r="G29" s="8" t="str">
        <f t="shared" si="0"/>
        <v>DAVIDSON DAVID</v>
      </c>
    </row>
    <row r="30" spans="1:7" x14ac:dyDescent="0.25">
      <c r="A30" s="8">
        <v>42895.19667824074</v>
      </c>
      <c r="B30" s="20" t="s">
        <v>341</v>
      </c>
      <c r="C30" s="20" t="s">
        <v>652</v>
      </c>
      <c r="D30" s="141">
        <v>2970000</v>
      </c>
      <c r="E30" s="20" t="s">
        <v>385</v>
      </c>
      <c r="F30" s="20" t="s">
        <v>386</v>
      </c>
      <c r="G30" s="8" t="str">
        <f t="shared" si="0"/>
        <v>GUZMAN DANNY</v>
      </c>
    </row>
    <row r="31" spans="1:7" x14ac:dyDescent="0.25">
      <c r="A31" s="8">
        <v>42895.205740740741</v>
      </c>
      <c r="B31" s="20" t="s">
        <v>592</v>
      </c>
      <c r="C31" s="20" t="s">
        <v>653</v>
      </c>
      <c r="D31" s="141">
        <v>1110000</v>
      </c>
      <c r="E31" s="20" t="s">
        <v>485</v>
      </c>
      <c r="F31" s="20" t="s">
        <v>486</v>
      </c>
      <c r="G31" s="8" t="str">
        <f t="shared" si="0"/>
        <v>STARKS ANGELINA</v>
      </c>
    </row>
    <row r="32" spans="1:7" x14ac:dyDescent="0.25">
      <c r="A32" s="8">
        <v>42895.206921296296</v>
      </c>
      <c r="B32" s="20" t="s">
        <v>592</v>
      </c>
      <c r="C32" s="20" t="s">
        <v>653</v>
      </c>
      <c r="D32" s="141">
        <v>1110000</v>
      </c>
      <c r="E32" s="20" t="s">
        <v>485</v>
      </c>
      <c r="F32" s="20" t="s">
        <v>486</v>
      </c>
      <c r="G32" s="8" t="str">
        <f t="shared" si="0"/>
        <v>STARKS ANGELINA</v>
      </c>
    </row>
    <row r="33" spans="1:7" x14ac:dyDescent="0.25">
      <c r="A33" s="8">
        <v>42895.208368055559</v>
      </c>
      <c r="B33" s="20" t="s">
        <v>475</v>
      </c>
      <c r="C33" s="20" t="s">
        <v>654</v>
      </c>
      <c r="D33" s="141">
        <v>2600000</v>
      </c>
      <c r="E33" s="20" t="s">
        <v>650</v>
      </c>
      <c r="F33" s="20" t="s">
        <v>651</v>
      </c>
      <c r="G33" s="8" t="str">
        <f t="shared" si="0"/>
        <v>DAVIDSON DAVID</v>
      </c>
    </row>
    <row r="34" spans="1:7" x14ac:dyDescent="0.25">
      <c r="A34" s="8">
        <v>42895.209351851852</v>
      </c>
      <c r="B34" s="20" t="s">
        <v>342</v>
      </c>
      <c r="C34" s="20" t="s">
        <v>588</v>
      </c>
      <c r="D34" s="141">
        <v>2970000</v>
      </c>
      <c r="E34" s="20" t="s">
        <v>385</v>
      </c>
      <c r="F34" s="20" t="s">
        <v>386</v>
      </c>
      <c r="G34" s="8" t="str">
        <f t="shared" si="0"/>
        <v>GUZMAN DANNY</v>
      </c>
    </row>
    <row r="35" spans="1:7" x14ac:dyDescent="0.25">
      <c r="A35" s="8">
        <v>42895.212071759262</v>
      </c>
      <c r="B35" s="20" t="s">
        <v>552</v>
      </c>
      <c r="C35" s="20" t="s">
        <v>655</v>
      </c>
      <c r="D35" s="141">
        <v>940000</v>
      </c>
      <c r="E35" s="20" t="s">
        <v>522</v>
      </c>
      <c r="F35" s="20" t="s">
        <v>523</v>
      </c>
      <c r="G35" s="8" t="str">
        <f t="shared" si="0"/>
        <v>BONDS REYNALDO</v>
      </c>
    </row>
    <row r="36" spans="1:7" x14ac:dyDescent="0.25">
      <c r="A36" s="8">
        <v>42895.213935185187</v>
      </c>
      <c r="B36" s="20" t="s">
        <v>601</v>
      </c>
      <c r="C36" s="20" t="s">
        <v>656</v>
      </c>
      <c r="D36" s="141">
        <v>1100000</v>
      </c>
      <c r="E36" s="20" t="s">
        <v>520</v>
      </c>
      <c r="F36" s="20" t="s">
        <v>521</v>
      </c>
      <c r="G36" s="8" t="str">
        <f t="shared" si="0"/>
        <v>GEBRETEKLE DAGNEW</v>
      </c>
    </row>
    <row r="37" spans="1:7" x14ac:dyDescent="0.25">
      <c r="A37" s="8">
        <v>42895.226319444446</v>
      </c>
      <c r="B37" s="20" t="s">
        <v>589</v>
      </c>
      <c r="C37" s="20" t="s">
        <v>590</v>
      </c>
      <c r="D37" s="141">
        <v>890000</v>
      </c>
      <c r="E37" s="20" t="s">
        <v>489</v>
      </c>
      <c r="F37" s="20" t="s">
        <v>490</v>
      </c>
      <c r="G37" s="8" t="str">
        <f t="shared" si="0"/>
        <v>LOZA FIDEL</v>
      </c>
    </row>
    <row r="38" spans="1:7" x14ac:dyDescent="0.25">
      <c r="A38" s="8">
        <v>42895.226979166669</v>
      </c>
      <c r="B38" s="20" t="s">
        <v>482</v>
      </c>
      <c r="C38" s="20" t="s">
        <v>657</v>
      </c>
      <c r="D38" s="141">
        <v>3040000</v>
      </c>
      <c r="E38" s="20" t="s">
        <v>388</v>
      </c>
      <c r="F38" s="20" t="s">
        <v>389</v>
      </c>
      <c r="G38" s="8" t="str">
        <f t="shared" si="0"/>
        <v>WILLIAMS DONTE</v>
      </c>
    </row>
    <row r="39" spans="1:7" x14ac:dyDescent="0.25">
      <c r="A39" s="8">
        <v>42895.229351851849</v>
      </c>
      <c r="B39" s="20" t="s">
        <v>341</v>
      </c>
      <c r="C39" s="20" t="s">
        <v>658</v>
      </c>
      <c r="D39" s="141">
        <v>2970000</v>
      </c>
      <c r="E39" s="20" t="s">
        <v>385</v>
      </c>
      <c r="F39" s="20" t="s">
        <v>386</v>
      </c>
      <c r="G39" s="8" t="str">
        <f t="shared" si="0"/>
        <v>GUZMAN DANNY</v>
      </c>
    </row>
    <row r="40" spans="1:7" x14ac:dyDescent="0.25">
      <c r="A40" s="8">
        <v>42895.236747685187</v>
      </c>
      <c r="B40" s="25" t="s">
        <v>554</v>
      </c>
      <c r="C40" s="20" t="s">
        <v>659</v>
      </c>
      <c r="D40" s="141">
        <v>1990000</v>
      </c>
      <c r="E40" s="20" t="s">
        <v>425</v>
      </c>
      <c r="F40" s="20" t="s">
        <v>519</v>
      </c>
      <c r="G40" s="8" t="str">
        <f t="shared" si="0"/>
        <v>DAVIS WENDY</v>
      </c>
    </row>
    <row r="41" spans="1:7" x14ac:dyDescent="0.25">
      <c r="A41" s="8">
        <v>42895.237407407411</v>
      </c>
      <c r="B41" s="20" t="s">
        <v>621</v>
      </c>
      <c r="C41" s="20" t="s">
        <v>660</v>
      </c>
      <c r="D41" s="141">
        <v>890000</v>
      </c>
      <c r="E41" s="20" t="s">
        <v>489</v>
      </c>
      <c r="F41" s="20" t="s">
        <v>490</v>
      </c>
      <c r="G41" s="8" t="str">
        <f t="shared" si="0"/>
        <v>LOZA FIDEL</v>
      </c>
    </row>
    <row r="42" spans="1:7" x14ac:dyDescent="0.25">
      <c r="A42" s="8">
        <v>42895.244097222225</v>
      </c>
      <c r="B42" s="20" t="s">
        <v>518</v>
      </c>
      <c r="C42" s="20" t="s">
        <v>661</v>
      </c>
      <c r="D42" s="141">
        <v>2530000</v>
      </c>
      <c r="E42" s="20" t="s">
        <v>662</v>
      </c>
      <c r="F42" s="20" t="s">
        <v>663</v>
      </c>
      <c r="G42" s="8" t="str">
        <f t="shared" si="0"/>
        <v>LALONDE GREGORY</v>
      </c>
    </row>
    <row r="43" spans="1:7" x14ac:dyDescent="0.25">
      <c r="A43" s="8">
        <v>42895.245509259257</v>
      </c>
      <c r="B43" s="20" t="s">
        <v>518</v>
      </c>
      <c r="C43" s="20" t="s">
        <v>661</v>
      </c>
      <c r="D43" s="141">
        <v>2530000</v>
      </c>
      <c r="E43" s="20" t="s">
        <v>662</v>
      </c>
      <c r="F43" s="20" t="s">
        <v>663</v>
      </c>
      <c r="G43" s="8" t="str">
        <f t="shared" si="0"/>
        <v>LALONDE GREGORY</v>
      </c>
    </row>
    <row r="44" spans="1:7" x14ac:dyDescent="0.25">
      <c r="A44" s="8">
        <v>42895.246527777781</v>
      </c>
      <c r="B44" s="20" t="s">
        <v>642</v>
      </c>
      <c r="C44" s="20" t="s">
        <v>664</v>
      </c>
      <c r="D44" s="141">
        <v>1110000</v>
      </c>
      <c r="E44" s="20" t="s">
        <v>485</v>
      </c>
      <c r="F44" s="20" t="s">
        <v>486</v>
      </c>
      <c r="G44" s="8" t="str">
        <f t="shared" si="0"/>
        <v>STARKS ANGELINA</v>
      </c>
    </row>
    <row r="45" spans="1:7" x14ac:dyDescent="0.25">
      <c r="A45" s="8">
        <v>42895.246805555558</v>
      </c>
      <c r="B45" s="20" t="s">
        <v>553</v>
      </c>
      <c r="C45" s="20" t="s">
        <v>665</v>
      </c>
      <c r="D45" s="141">
        <v>940000</v>
      </c>
      <c r="E45" s="20" t="s">
        <v>522</v>
      </c>
      <c r="F45" s="20" t="s">
        <v>523</v>
      </c>
      <c r="G45" s="8" t="str">
        <f t="shared" si="0"/>
        <v>BONDS REYNALDO</v>
      </c>
    </row>
    <row r="46" spans="1:7" x14ac:dyDescent="0.25">
      <c r="A46" s="8">
        <v>42895.247488425928</v>
      </c>
      <c r="B46" s="20" t="s">
        <v>597</v>
      </c>
      <c r="C46" s="20" t="s">
        <v>666</v>
      </c>
      <c r="D46" s="141">
        <v>2600000</v>
      </c>
      <c r="E46" s="20" t="s">
        <v>650</v>
      </c>
      <c r="F46" s="20" t="s">
        <v>651</v>
      </c>
      <c r="G46" s="8" t="str">
        <f t="shared" si="0"/>
        <v>DAVIDSON DAVID</v>
      </c>
    </row>
    <row r="47" spans="1:7" x14ac:dyDescent="0.25">
      <c r="A47" s="8">
        <v>42895.254537037035</v>
      </c>
      <c r="B47" s="20" t="s">
        <v>342</v>
      </c>
      <c r="C47" s="20" t="s">
        <v>591</v>
      </c>
      <c r="D47" s="141">
        <v>2970000</v>
      </c>
      <c r="E47" s="20" t="s">
        <v>385</v>
      </c>
      <c r="F47" s="20" t="s">
        <v>386</v>
      </c>
      <c r="G47" s="8" t="str">
        <f t="shared" si="0"/>
        <v>GUZMAN DANNY</v>
      </c>
    </row>
    <row r="48" spans="1:7" x14ac:dyDescent="0.25">
      <c r="A48" s="8">
        <v>42895.256481481483</v>
      </c>
      <c r="B48" s="20" t="s">
        <v>504</v>
      </c>
      <c r="C48" s="20" t="s">
        <v>667</v>
      </c>
      <c r="D48" s="141">
        <v>1100000</v>
      </c>
      <c r="E48" s="20" t="s">
        <v>520</v>
      </c>
      <c r="F48" s="20" t="s">
        <v>521</v>
      </c>
      <c r="G48" s="8" t="str">
        <f t="shared" si="0"/>
        <v>GEBRETEKLE DAGNEW</v>
      </c>
    </row>
    <row r="49" spans="1:7" x14ac:dyDescent="0.25">
      <c r="A49" s="8">
        <v>42895.258125</v>
      </c>
      <c r="B49" s="20" t="s">
        <v>483</v>
      </c>
      <c r="C49" s="20" t="s">
        <v>668</v>
      </c>
      <c r="D49" s="141">
        <v>3040000</v>
      </c>
      <c r="E49" s="20" t="s">
        <v>388</v>
      </c>
      <c r="F49" s="20" t="s">
        <v>389</v>
      </c>
      <c r="G49" s="8" t="str">
        <f t="shared" si="0"/>
        <v>WILLIAMS DONTE</v>
      </c>
    </row>
    <row r="50" spans="1:7" x14ac:dyDescent="0.25">
      <c r="A50" s="8">
        <v>42895.258912037039</v>
      </c>
      <c r="B50" s="20" t="s">
        <v>477</v>
      </c>
      <c r="C50" s="20" t="s">
        <v>669</v>
      </c>
      <c r="D50" s="141">
        <v>2530000</v>
      </c>
      <c r="E50" s="20" t="s">
        <v>662</v>
      </c>
      <c r="F50" s="20" t="s">
        <v>663</v>
      </c>
      <c r="G50" s="8" t="str">
        <f t="shared" si="0"/>
        <v>LALONDE GREGORY</v>
      </c>
    </row>
    <row r="51" spans="1:7" x14ac:dyDescent="0.25">
      <c r="A51" s="8">
        <v>42895.26803240741</v>
      </c>
      <c r="B51" s="20" t="s">
        <v>407</v>
      </c>
      <c r="C51" s="20" t="s">
        <v>670</v>
      </c>
      <c r="D51" s="141">
        <v>1990000</v>
      </c>
      <c r="E51" s="20" t="s">
        <v>425</v>
      </c>
      <c r="F51" s="20" t="s">
        <v>519</v>
      </c>
      <c r="G51" s="8" t="str">
        <f t="shared" si="0"/>
        <v>DAVIS WENDY</v>
      </c>
    </row>
    <row r="52" spans="1:7" x14ac:dyDescent="0.25">
      <c r="A52" s="8">
        <v>42895.269965277781</v>
      </c>
      <c r="B52" s="20" t="s">
        <v>341</v>
      </c>
      <c r="C52" s="20" t="s">
        <v>671</v>
      </c>
      <c r="D52" s="141">
        <v>2970000</v>
      </c>
      <c r="E52" s="20" t="s">
        <v>385</v>
      </c>
      <c r="F52" s="20" t="s">
        <v>386</v>
      </c>
      <c r="G52" s="8" t="str">
        <f t="shared" si="0"/>
        <v>GUZMAN DANNY</v>
      </c>
    </row>
    <row r="53" spans="1:7" x14ac:dyDescent="0.25">
      <c r="A53" s="8">
        <v>42895.274895833332</v>
      </c>
      <c r="B53" s="20" t="s">
        <v>518</v>
      </c>
      <c r="C53" s="20" t="s">
        <v>672</v>
      </c>
      <c r="D53" s="141">
        <v>2530000</v>
      </c>
      <c r="E53" s="20" t="s">
        <v>662</v>
      </c>
      <c r="F53" s="20" t="s">
        <v>663</v>
      </c>
      <c r="G53" s="8" t="str">
        <f t="shared" si="0"/>
        <v>LALONDE GREGORY</v>
      </c>
    </row>
    <row r="54" spans="1:7" x14ac:dyDescent="0.25">
      <c r="A54" s="8">
        <v>42895.276273148149</v>
      </c>
      <c r="B54" s="20" t="s">
        <v>589</v>
      </c>
      <c r="C54" s="20" t="s">
        <v>673</v>
      </c>
      <c r="D54" s="141">
        <v>890000</v>
      </c>
      <c r="E54" s="20" t="s">
        <v>489</v>
      </c>
      <c r="F54" s="20" t="s">
        <v>490</v>
      </c>
      <c r="G54" s="8" t="str">
        <f t="shared" si="0"/>
        <v>LOZA FIDEL</v>
      </c>
    </row>
    <row r="55" spans="1:7" x14ac:dyDescent="0.25">
      <c r="A55" s="8">
        <v>42895.27752314815</v>
      </c>
      <c r="B55" s="20" t="s">
        <v>592</v>
      </c>
      <c r="C55" s="20" t="s">
        <v>593</v>
      </c>
      <c r="D55" s="141">
        <v>1110000</v>
      </c>
      <c r="E55" s="20" t="s">
        <v>485</v>
      </c>
      <c r="F55" s="20" t="s">
        <v>486</v>
      </c>
      <c r="G55" s="8" t="str">
        <f t="shared" si="0"/>
        <v>STARKS ANGELINA</v>
      </c>
    </row>
    <row r="56" spans="1:7" x14ac:dyDescent="0.25">
      <c r="A56" s="8">
        <v>42895.286620370367</v>
      </c>
      <c r="B56" s="20" t="s">
        <v>552</v>
      </c>
      <c r="C56" s="20" t="s">
        <v>674</v>
      </c>
      <c r="D56" s="141">
        <v>940000</v>
      </c>
      <c r="E56" s="20" t="s">
        <v>522</v>
      </c>
      <c r="F56" s="20" t="s">
        <v>523</v>
      </c>
      <c r="G56" s="8" t="str">
        <f t="shared" si="0"/>
        <v>BONDS REYNALDO</v>
      </c>
    </row>
    <row r="57" spans="1:7" x14ac:dyDescent="0.25">
      <c r="A57" s="8">
        <v>42895.286921296298</v>
      </c>
      <c r="B57" s="20" t="s">
        <v>601</v>
      </c>
      <c r="C57" s="20" t="s">
        <v>675</v>
      </c>
      <c r="D57" s="141">
        <v>1100000</v>
      </c>
      <c r="E57" s="20" t="s">
        <v>520</v>
      </c>
      <c r="F57" s="20" t="s">
        <v>521</v>
      </c>
      <c r="G57" s="8" t="str">
        <f t="shared" si="0"/>
        <v>GEBRETEKLE DAGNEW</v>
      </c>
    </row>
    <row r="58" spans="1:7" x14ac:dyDescent="0.25">
      <c r="A58" s="8">
        <v>42895.287962962961</v>
      </c>
      <c r="B58" s="20" t="s">
        <v>475</v>
      </c>
      <c r="C58" s="20" t="s">
        <v>676</v>
      </c>
      <c r="D58" s="141">
        <v>2600000</v>
      </c>
      <c r="E58" s="20" t="s">
        <v>650</v>
      </c>
      <c r="F58" s="20" t="s">
        <v>651</v>
      </c>
      <c r="G58" s="8" t="str">
        <f t="shared" si="0"/>
        <v>DAVIDSON DAVID</v>
      </c>
    </row>
    <row r="59" spans="1:7" x14ac:dyDescent="0.25">
      <c r="A59" s="8">
        <v>42895.290300925924</v>
      </c>
      <c r="B59" s="20" t="s">
        <v>477</v>
      </c>
      <c r="C59" s="20" t="s">
        <v>677</v>
      </c>
      <c r="D59" s="141">
        <v>2530000</v>
      </c>
      <c r="E59" s="20" t="s">
        <v>662</v>
      </c>
      <c r="F59" s="20" t="s">
        <v>663</v>
      </c>
      <c r="G59" s="8" t="str">
        <f t="shared" si="0"/>
        <v>LALONDE GREGORY</v>
      </c>
    </row>
    <row r="60" spans="1:7" x14ac:dyDescent="0.25">
      <c r="A60" s="8">
        <v>42895.296666666669</v>
      </c>
      <c r="B60" s="20" t="s">
        <v>342</v>
      </c>
      <c r="C60" s="20" t="s">
        <v>678</v>
      </c>
      <c r="D60" s="141">
        <v>2970000</v>
      </c>
      <c r="E60" s="20" t="s">
        <v>385</v>
      </c>
      <c r="F60" s="20" t="s">
        <v>386</v>
      </c>
      <c r="G60" s="8" t="str">
        <f t="shared" si="0"/>
        <v>GUZMAN DANNY</v>
      </c>
    </row>
    <row r="61" spans="1:7" x14ac:dyDescent="0.25">
      <c r="A61" s="8">
        <v>42895.298993055556</v>
      </c>
      <c r="B61" s="20" t="s">
        <v>482</v>
      </c>
      <c r="C61" s="20" t="s">
        <v>679</v>
      </c>
      <c r="D61" s="141">
        <v>3040000</v>
      </c>
      <c r="E61" s="20" t="s">
        <v>388</v>
      </c>
      <c r="F61" s="20" t="s">
        <v>389</v>
      </c>
      <c r="G61" s="8" t="str">
        <f t="shared" si="0"/>
        <v>WILLIAMS DONTE</v>
      </c>
    </row>
    <row r="62" spans="1:7" x14ac:dyDescent="0.25">
      <c r="A62" s="8">
        <v>42895.309444444443</v>
      </c>
      <c r="B62" s="20" t="s">
        <v>554</v>
      </c>
      <c r="C62" s="20" t="s">
        <v>680</v>
      </c>
      <c r="D62" s="141">
        <v>1990000</v>
      </c>
      <c r="E62" s="20" t="s">
        <v>425</v>
      </c>
      <c r="F62" s="20" t="s">
        <v>519</v>
      </c>
      <c r="G62" s="8" t="str">
        <f t="shared" si="0"/>
        <v>DAVIS WENDY</v>
      </c>
    </row>
    <row r="63" spans="1:7" x14ac:dyDescent="0.25">
      <c r="A63" s="8">
        <v>42895.309803240743</v>
      </c>
      <c r="B63" s="20" t="s">
        <v>621</v>
      </c>
      <c r="C63" s="20" t="s">
        <v>681</v>
      </c>
      <c r="D63" s="141">
        <v>890000</v>
      </c>
      <c r="E63" s="20" t="s">
        <v>489</v>
      </c>
      <c r="F63" s="20" t="s">
        <v>490</v>
      </c>
      <c r="G63" s="8" t="str">
        <f t="shared" si="0"/>
        <v>LOZA FIDEL</v>
      </c>
    </row>
    <row r="64" spans="1:7" x14ac:dyDescent="0.25">
      <c r="A64" s="26">
        <v>42895.311388888891</v>
      </c>
      <c r="B64" s="20" t="s">
        <v>341</v>
      </c>
      <c r="C64" s="20" t="s">
        <v>682</v>
      </c>
      <c r="D64" s="141">
        <v>2970000</v>
      </c>
      <c r="E64" s="20" t="s">
        <v>385</v>
      </c>
      <c r="F64" s="20" t="s">
        <v>386</v>
      </c>
      <c r="G64" s="8" t="str">
        <f t="shared" si="0"/>
        <v>GUZMAN DANNY</v>
      </c>
    </row>
    <row r="65" spans="1:7" x14ac:dyDescent="0.25">
      <c r="A65" s="8">
        <v>42895.316493055558</v>
      </c>
      <c r="B65" s="20" t="s">
        <v>518</v>
      </c>
      <c r="C65" s="20" t="s">
        <v>683</v>
      </c>
      <c r="D65" s="141">
        <v>2530000</v>
      </c>
      <c r="E65" s="20" t="s">
        <v>662</v>
      </c>
      <c r="F65" s="20" t="s">
        <v>663</v>
      </c>
      <c r="G65" s="8" t="str">
        <f t="shared" si="0"/>
        <v>LALONDE GREGORY</v>
      </c>
    </row>
    <row r="66" spans="1:7" x14ac:dyDescent="0.25">
      <c r="A66" s="8">
        <v>42895.319155092591</v>
      </c>
      <c r="B66" s="20" t="s">
        <v>553</v>
      </c>
      <c r="C66" s="20" t="s">
        <v>684</v>
      </c>
      <c r="D66" s="141">
        <v>940000</v>
      </c>
      <c r="E66" s="20" t="s">
        <v>522</v>
      </c>
      <c r="F66" s="20" t="s">
        <v>523</v>
      </c>
      <c r="G66" s="8" t="str">
        <f t="shared" si="0"/>
        <v>BONDS REYNALDO</v>
      </c>
    </row>
    <row r="67" spans="1:7" x14ac:dyDescent="0.25">
      <c r="A67" s="8">
        <v>42895.319178240738</v>
      </c>
      <c r="B67" s="20" t="s">
        <v>642</v>
      </c>
      <c r="C67" s="20" t="s">
        <v>685</v>
      </c>
      <c r="D67" s="141">
        <v>1110000</v>
      </c>
      <c r="E67" s="20" t="s">
        <v>485</v>
      </c>
      <c r="F67" s="20" t="s">
        <v>486</v>
      </c>
      <c r="G67" s="8" t="str">
        <f t="shared" ref="G67:G130" si="1">E67&amp;" "&amp;F67</f>
        <v>STARKS ANGELINA</v>
      </c>
    </row>
    <row r="68" spans="1:7" x14ac:dyDescent="0.25">
      <c r="A68" s="8">
        <v>42895.319490740738</v>
      </c>
      <c r="B68" s="20" t="s">
        <v>597</v>
      </c>
      <c r="C68" s="20" t="s">
        <v>686</v>
      </c>
      <c r="D68" s="141">
        <v>2600000</v>
      </c>
      <c r="E68" s="20" t="s">
        <v>650</v>
      </c>
      <c r="F68" s="20" t="s">
        <v>651</v>
      </c>
      <c r="G68" s="8" t="str">
        <f t="shared" si="1"/>
        <v>DAVIDSON DAVID</v>
      </c>
    </row>
    <row r="69" spans="1:7" x14ac:dyDescent="0.25">
      <c r="A69" s="8">
        <v>42895.328877314816</v>
      </c>
      <c r="B69" s="20" t="s">
        <v>504</v>
      </c>
      <c r="C69" s="20" t="s">
        <v>687</v>
      </c>
      <c r="D69" s="141">
        <v>1100000</v>
      </c>
      <c r="E69" s="20" t="s">
        <v>520</v>
      </c>
      <c r="F69" s="20" t="s">
        <v>521</v>
      </c>
      <c r="G69" s="8" t="str">
        <f t="shared" si="1"/>
        <v>GEBRETEKLE DAGNEW</v>
      </c>
    </row>
    <row r="70" spans="1:7" x14ac:dyDescent="0.25">
      <c r="A70" s="8">
        <v>42895.331331018519</v>
      </c>
      <c r="B70" s="20" t="s">
        <v>477</v>
      </c>
      <c r="C70" s="20" t="s">
        <v>688</v>
      </c>
      <c r="D70" s="141">
        <v>2530000</v>
      </c>
      <c r="E70" s="20" t="s">
        <v>662</v>
      </c>
      <c r="F70" s="20" t="s">
        <v>663</v>
      </c>
      <c r="G70" s="8" t="str">
        <f t="shared" si="1"/>
        <v>LALONDE GREGORY</v>
      </c>
    </row>
    <row r="71" spans="1:7" x14ac:dyDescent="0.25">
      <c r="A71" s="8">
        <v>42895.332280092596</v>
      </c>
      <c r="B71" s="20" t="s">
        <v>483</v>
      </c>
      <c r="C71" s="20" t="s">
        <v>689</v>
      </c>
      <c r="D71" s="141">
        <v>3040000</v>
      </c>
      <c r="E71" s="20" t="s">
        <v>388</v>
      </c>
      <c r="F71" s="20" t="s">
        <v>389</v>
      </c>
      <c r="G71" s="8" t="str">
        <f t="shared" si="1"/>
        <v>WILLIAMS DONTE</v>
      </c>
    </row>
    <row r="72" spans="1:7" x14ac:dyDescent="0.25">
      <c r="A72" s="8">
        <v>42895.33829861111</v>
      </c>
      <c r="B72" s="20" t="s">
        <v>342</v>
      </c>
      <c r="C72" s="20" t="s">
        <v>594</v>
      </c>
      <c r="D72" s="141">
        <v>2970000</v>
      </c>
      <c r="E72" s="20" t="s">
        <v>385</v>
      </c>
      <c r="F72" s="20" t="s">
        <v>386</v>
      </c>
      <c r="G72" s="8" t="str">
        <f t="shared" si="1"/>
        <v>GUZMAN DANNY</v>
      </c>
    </row>
    <row r="73" spans="1:7" x14ac:dyDescent="0.25">
      <c r="A73" s="8">
        <v>42895.340532407405</v>
      </c>
      <c r="B73" s="20" t="s">
        <v>407</v>
      </c>
      <c r="C73" s="20" t="s">
        <v>690</v>
      </c>
      <c r="D73" s="141">
        <v>1990000</v>
      </c>
      <c r="E73" s="20" t="s">
        <v>425</v>
      </c>
      <c r="F73" s="20" t="s">
        <v>519</v>
      </c>
      <c r="G73" s="8" t="str">
        <f t="shared" si="1"/>
        <v>DAVIS WENDY</v>
      </c>
    </row>
    <row r="74" spans="1:7" x14ac:dyDescent="0.25">
      <c r="A74" s="8">
        <v>42895.349849537037</v>
      </c>
      <c r="B74" s="20" t="s">
        <v>589</v>
      </c>
      <c r="C74" s="20" t="s">
        <v>691</v>
      </c>
      <c r="D74" s="141">
        <v>890000</v>
      </c>
      <c r="E74" s="20" t="s">
        <v>489</v>
      </c>
      <c r="F74" s="20" t="s">
        <v>490</v>
      </c>
      <c r="G74" s="8" t="str">
        <f t="shared" si="1"/>
        <v>LOZA FIDEL</v>
      </c>
    </row>
    <row r="75" spans="1:7" x14ac:dyDescent="0.25">
      <c r="A75" s="8">
        <v>42895.351157407407</v>
      </c>
      <c r="B75" s="20" t="s">
        <v>592</v>
      </c>
      <c r="C75" s="20" t="s">
        <v>595</v>
      </c>
      <c r="D75" s="141">
        <v>1110000</v>
      </c>
      <c r="E75" s="20" t="s">
        <v>485</v>
      </c>
      <c r="F75" s="20" t="s">
        <v>486</v>
      </c>
      <c r="G75" s="8" t="str">
        <f t="shared" si="1"/>
        <v>STARKS ANGELINA</v>
      </c>
    </row>
    <row r="76" spans="1:7" x14ac:dyDescent="0.25">
      <c r="A76" s="8">
        <v>42895.354583333334</v>
      </c>
      <c r="B76" s="20" t="s">
        <v>341</v>
      </c>
      <c r="C76" s="20" t="s">
        <v>692</v>
      </c>
      <c r="D76" s="141">
        <v>2970000</v>
      </c>
      <c r="E76" s="20" t="s">
        <v>385</v>
      </c>
      <c r="F76" s="20" t="s">
        <v>386</v>
      </c>
      <c r="G76" s="8" t="str">
        <f t="shared" si="1"/>
        <v>GUZMAN DANNY</v>
      </c>
    </row>
    <row r="77" spans="1:7" x14ac:dyDescent="0.25">
      <c r="A77" s="8">
        <v>42895.358252314814</v>
      </c>
      <c r="B77" s="20" t="s">
        <v>518</v>
      </c>
      <c r="C77" s="20" t="s">
        <v>693</v>
      </c>
      <c r="D77" s="141">
        <v>2530000</v>
      </c>
      <c r="E77" s="20" t="s">
        <v>662</v>
      </c>
      <c r="F77" s="20" t="s">
        <v>663</v>
      </c>
      <c r="G77" s="8" t="str">
        <f t="shared" si="1"/>
        <v>LALONDE GREGORY</v>
      </c>
    </row>
    <row r="78" spans="1:7" x14ac:dyDescent="0.25">
      <c r="A78" s="8">
        <v>42895.358738425923</v>
      </c>
      <c r="B78" s="20" t="s">
        <v>552</v>
      </c>
      <c r="C78" s="20" t="s">
        <v>694</v>
      </c>
      <c r="D78" s="141">
        <v>940000</v>
      </c>
      <c r="E78" s="20" t="s">
        <v>522</v>
      </c>
      <c r="F78" s="20" t="s">
        <v>523</v>
      </c>
      <c r="G78" s="8" t="str">
        <f t="shared" si="1"/>
        <v>BONDS REYNALDO</v>
      </c>
    </row>
    <row r="79" spans="1:7" x14ac:dyDescent="0.25">
      <c r="A79" s="8">
        <v>42895.359560185185</v>
      </c>
      <c r="B79" s="20" t="s">
        <v>601</v>
      </c>
      <c r="C79" s="20" t="s">
        <v>695</v>
      </c>
      <c r="D79" s="141">
        <v>1100000</v>
      </c>
      <c r="E79" s="20" t="s">
        <v>520</v>
      </c>
      <c r="F79" s="20" t="s">
        <v>521</v>
      </c>
      <c r="G79" s="8" t="str">
        <f t="shared" si="1"/>
        <v>GEBRETEKLE DAGNEW</v>
      </c>
    </row>
    <row r="80" spans="1:7" x14ac:dyDescent="0.25">
      <c r="A80" s="8">
        <v>42895.361550925925</v>
      </c>
      <c r="B80" s="20" t="s">
        <v>475</v>
      </c>
      <c r="C80" s="20" t="s">
        <v>696</v>
      </c>
      <c r="D80" s="141">
        <v>2600000</v>
      </c>
      <c r="E80" s="20" t="s">
        <v>650</v>
      </c>
      <c r="F80" s="20" t="s">
        <v>651</v>
      </c>
      <c r="G80" s="8" t="str">
        <f t="shared" si="1"/>
        <v>DAVIDSON DAVID</v>
      </c>
    </row>
    <row r="81" spans="1:7" x14ac:dyDescent="0.25">
      <c r="A81" s="8">
        <v>42895.372430555559</v>
      </c>
      <c r="B81" s="20" t="s">
        <v>482</v>
      </c>
      <c r="C81" s="20" t="s">
        <v>697</v>
      </c>
      <c r="D81" s="141">
        <v>3040000</v>
      </c>
      <c r="E81" s="20" t="s">
        <v>388</v>
      </c>
      <c r="F81" s="20" t="s">
        <v>389</v>
      </c>
      <c r="G81" s="8" t="str">
        <f t="shared" si="1"/>
        <v>WILLIAMS DONTE</v>
      </c>
    </row>
    <row r="82" spans="1:7" x14ac:dyDescent="0.25">
      <c r="A82" s="8">
        <v>42895.372928240744</v>
      </c>
      <c r="B82" s="20" t="s">
        <v>477</v>
      </c>
      <c r="C82" s="20" t="s">
        <v>596</v>
      </c>
      <c r="D82" s="141">
        <v>2530000</v>
      </c>
      <c r="E82" s="20" t="s">
        <v>662</v>
      </c>
      <c r="F82" s="20" t="s">
        <v>663</v>
      </c>
      <c r="G82" s="8" t="str">
        <f t="shared" si="1"/>
        <v>LALONDE GREGORY</v>
      </c>
    </row>
    <row r="83" spans="1:7" x14ac:dyDescent="0.25">
      <c r="A83" s="8">
        <v>42895.381493055553</v>
      </c>
      <c r="B83" s="20" t="s">
        <v>621</v>
      </c>
      <c r="C83" s="20" t="s">
        <v>698</v>
      </c>
      <c r="D83" s="141">
        <v>890000</v>
      </c>
      <c r="E83" s="20" t="s">
        <v>489</v>
      </c>
      <c r="F83" s="20" t="s">
        <v>490</v>
      </c>
      <c r="G83" s="8" t="str">
        <f t="shared" si="1"/>
        <v>LOZA FIDEL</v>
      </c>
    </row>
    <row r="84" spans="1:7" x14ac:dyDescent="0.25">
      <c r="A84" s="8">
        <v>42895.381562499999</v>
      </c>
      <c r="B84" s="20" t="s">
        <v>554</v>
      </c>
      <c r="C84" s="20" t="s">
        <v>699</v>
      </c>
      <c r="D84" s="141">
        <v>1990000</v>
      </c>
      <c r="E84" s="20" t="s">
        <v>425</v>
      </c>
      <c r="F84" s="20" t="s">
        <v>519</v>
      </c>
      <c r="G84" s="8" t="str">
        <f t="shared" si="1"/>
        <v>DAVIS WENDY</v>
      </c>
    </row>
    <row r="85" spans="1:7" x14ac:dyDescent="0.25">
      <c r="A85" s="8">
        <v>42895.391875000001</v>
      </c>
      <c r="B85" s="20" t="s">
        <v>597</v>
      </c>
      <c r="C85" s="20" t="s">
        <v>598</v>
      </c>
      <c r="D85" s="141">
        <v>2600000</v>
      </c>
      <c r="E85" s="20" t="s">
        <v>650</v>
      </c>
      <c r="F85" s="20" t="s">
        <v>651</v>
      </c>
      <c r="G85" s="8" t="str">
        <f t="shared" si="1"/>
        <v>DAVIDSON DAVID</v>
      </c>
    </row>
    <row r="86" spans="1:7" x14ac:dyDescent="0.25">
      <c r="A86" s="8">
        <v>42895.391944444447</v>
      </c>
      <c r="B86" s="20" t="s">
        <v>553</v>
      </c>
      <c r="C86" s="20" t="s">
        <v>700</v>
      </c>
      <c r="D86" s="141">
        <v>940000</v>
      </c>
      <c r="E86" s="20" t="s">
        <v>522</v>
      </c>
      <c r="F86" s="20" t="s">
        <v>523</v>
      </c>
      <c r="G86" s="8" t="str">
        <f t="shared" si="1"/>
        <v>BONDS REYNALDO</v>
      </c>
    </row>
    <row r="87" spans="1:7" x14ac:dyDescent="0.25">
      <c r="A87" s="8">
        <v>42895.39303240741</v>
      </c>
      <c r="B87" s="20" t="s">
        <v>642</v>
      </c>
      <c r="C87" s="20" t="s">
        <v>701</v>
      </c>
      <c r="D87" s="141">
        <v>1110000</v>
      </c>
      <c r="E87" s="20" t="s">
        <v>485</v>
      </c>
      <c r="F87" s="20" t="s">
        <v>486</v>
      </c>
      <c r="G87" s="8" t="str">
        <f t="shared" si="1"/>
        <v>STARKS ANGELINA</v>
      </c>
    </row>
    <row r="88" spans="1:7" x14ac:dyDescent="0.25">
      <c r="A88" s="8">
        <v>42895.393564814818</v>
      </c>
      <c r="B88" s="20" t="s">
        <v>642</v>
      </c>
      <c r="C88" s="20" t="s">
        <v>702</v>
      </c>
      <c r="D88" s="141">
        <v>1110000</v>
      </c>
      <c r="E88" s="20" t="s">
        <v>485</v>
      </c>
      <c r="F88" s="20" t="s">
        <v>486</v>
      </c>
      <c r="G88" s="8" t="str">
        <f t="shared" si="1"/>
        <v>STARKS ANGELINA</v>
      </c>
    </row>
    <row r="89" spans="1:7" x14ac:dyDescent="0.25">
      <c r="A89" s="8">
        <v>42895.400358796294</v>
      </c>
      <c r="B89" s="20" t="s">
        <v>518</v>
      </c>
      <c r="C89" s="20" t="s">
        <v>703</v>
      </c>
      <c r="D89" s="141">
        <v>2530000</v>
      </c>
      <c r="E89" s="20" t="s">
        <v>662</v>
      </c>
      <c r="F89" s="20" t="s">
        <v>663</v>
      </c>
      <c r="G89" s="8" t="str">
        <f t="shared" si="1"/>
        <v>LALONDE GREGORY</v>
      </c>
    </row>
    <row r="90" spans="1:7" x14ac:dyDescent="0.25">
      <c r="A90" s="8">
        <v>42895.403391203705</v>
      </c>
      <c r="B90" s="20" t="s">
        <v>504</v>
      </c>
      <c r="C90" s="20" t="s">
        <v>704</v>
      </c>
      <c r="D90" s="141">
        <v>1100000</v>
      </c>
      <c r="E90" s="20" t="s">
        <v>520</v>
      </c>
      <c r="F90" s="20" t="s">
        <v>521</v>
      </c>
      <c r="G90" s="8" t="str">
        <f t="shared" si="1"/>
        <v>GEBRETEKLE DAGNEW</v>
      </c>
    </row>
    <row r="91" spans="1:7" x14ac:dyDescent="0.25">
      <c r="A91" s="8">
        <v>42895.40353009259</v>
      </c>
      <c r="B91" s="20" t="s">
        <v>483</v>
      </c>
      <c r="C91" s="20" t="s">
        <v>705</v>
      </c>
      <c r="D91" s="141">
        <v>3040000</v>
      </c>
      <c r="E91" s="20" t="s">
        <v>388</v>
      </c>
      <c r="F91" s="20" t="s">
        <v>389</v>
      </c>
      <c r="G91" s="8" t="str">
        <f t="shared" si="1"/>
        <v>WILLIAMS DONTE</v>
      </c>
    </row>
    <row r="92" spans="1:7" x14ac:dyDescent="0.25">
      <c r="A92" s="8">
        <v>42895.412939814814</v>
      </c>
      <c r="B92" s="20" t="s">
        <v>407</v>
      </c>
      <c r="C92" s="20" t="s">
        <v>706</v>
      </c>
      <c r="D92" s="141">
        <v>1990000</v>
      </c>
      <c r="E92" s="20" t="s">
        <v>425</v>
      </c>
      <c r="F92" s="20" t="s">
        <v>519</v>
      </c>
      <c r="G92" s="8" t="str">
        <f t="shared" si="1"/>
        <v>DAVIS WENDY</v>
      </c>
    </row>
    <row r="93" spans="1:7" x14ac:dyDescent="0.25">
      <c r="A93" s="8">
        <v>42895.414722222224</v>
      </c>
      <c r="B93" s="20" t="s">
        <v>477</v>
      </c>
      <c r="C93" s="20" t="s">
        <v>707</v>
      </c>
      <c r="D93" s="141">
        <v>2530000</v>
      </c>
      <c r="E93" s="20" t="s">
        <v>662</v>
      </c>
      <c r="F93" s="20" t="s">
        <v>663</v>
      </c>
      <c r="G93" s="8" t="str">
        <f t="shared" si="1"/>
        <v>LALONDE GREGORY</v>
      </c>
    </row>
    <row r="94" spans="1:7" x14ac:dyDescent="0.25">
      <c r="A94" s="8">
        <v>42895.423680555556</v>
      </c>
      <c r="B94" s="20" t="s">
        <v>589</v>
      </c>
      <c r="C94" s="20" t="s">
        <v>599</v>
      </c>
      <c r="D94" s="141">
        <v>890000</v>
      </c>
      <c r="E94" s="20" t="s">
        <v>489</v>
      </c>
      <c r="F94" s="20" t="s">
        <v>490</v>
      </c>
      <c r="G94" s="8" t="str">
        <f t="shared" si="1"/>
        <v>LOZA FIDEL</v>
      </c>
    </row>
    <row r="95" spans="1:7" x14ac:dyDescent="0.25">
      <c r="A95" s="8">
        <v>42895.426863425928</v>
      </c>
      <c r="B95" s="20" t="s">
        <v>592</v>
      </c>
      <c r="C95" s="20" t="s">
        <v>701</v>
      </c>
      <c r="D95" s="141">
        <v>2970000</v>
      </c>
      <c r="E95" s="20" t="s">
        <v>385</v>
      </c>
      <c r="F95" s="20" t="s">
        <v>386</v>
      </c>
      <c r="G95" s="8" t="str">
        <f t="shared" si="1"/>
        <v>GUZMAN DANNY</v>
      </c>
    </row>
    <row r="96" spans="1:7" x14ac:dyDescent="0.25">
      <c r="A96" s="8">
        <v>42895.432164351849</v>
      </c>
      <c r="B96" s="20" t="s">
        <v>552</v>
      </c>
      <c r="C96" s="20" t="s">
        <v>708</v>
      </c>
      <c r="D96" s="141">
        <v>940000</v>
      </c>
      <c r="E96" s="20" t="s">
        <v>522</v>
      </c>
      <c r="F96" s="20" t="s">
        <v>523</v>
      </c>
      <c r="G96" s="8" t="str">
        <f t="shared" si="1"/>
        <v>BONDS REYNALDO</v>
      </c>
    </row>
    <row r="97" spans="1:7" x14ac:dyDescent="0.25">
      <c r="A97" s="8">
        <v>42895.433449074073</v>
      </c>
      <c r="B97" s="20" t="s">
        <v>601</v>
      </c>
      <c r="C97" s="20" t="s">
        <v>602</v>
      </c>
      <c r="D97" s="141">
        <v>1100000</v>
      </c>
      <c r="E97" s="20" t="s">
        <v>520</v>
      </c>
      <c r="F97" s="20" t="s">
        <v>521</v>
      </c>
      <c r="G97" s="8" t="str">
        <f t="shared" si="1"/>
        <v>GEBRETEKLE DAGNEW</v>
      </c>
    </row>
    <row r="98" spans="1:7" x14ac:dyDescent="0.25">
      <c r="A98" s="8">
        <v>42895.434675925928</v>
      </c>
      <c r="B98" s="20" t="s">
        <v>475</v>
      </c>
      <c r="C98" s="20" t="s">
        <v>709</v>
      </c>
      <c r="D98" s="141">
        <v>2600000</v>
      </c>
      <c r="E98" s="20" t="s">
        <v>650</v>
      </c>
      <c r="F98" s="20" t="s">
        <v>651</v>
      </c>
      <c r="G98" s="8" t="str">
        <f t="shared" si="1"/>
        <v>DAVIDSON DAVID</v>
      </c>
    </row>
    <row r="99" spans="1:7" x14ac:dyDescent="0.25">
      <c r="A99" s="8">
        <v>42895.443055555559</v>
      </c>
      <c r="B99" s="20" t="s">
        <v>518</v>
      </c>
      <c r="C99" s="20" t="s">
        <v>710</v>
      </c>
      <c r="D99" s="141">
        <v>2530000</v>
      </c>
      <c r="E99" s="20" t="s">
        <v>662</v>
      </c>
      <c r="F99" s="20" t="s">
        <v>663</v>
      </c>
      <c r="G99" s="8" t="str">
        <f t="shared" si="1"/>
        <v>LALONDE GREGORY</v>
      </c>
    </row>
    <row r="100" spans="1:7" x14ac:dyDescent="0.25">
      <c r="A100" s="8">
        <v>42895.444456018522</v>
      </c>
      <c r="B100" s="20" t="s">
        <v>375</v>
      </c>
      <c r="C100" s="20" t="s">
        <v>711</v>
      </c>
      <c r="D100" s="141">
        <v>1780000</v>
      </c>
      <c r="E100" s="20" t="s">
        <v>712</v>
      </c>
      <c r="F100" s="20" t="s">
        <v>713</v>
      </c>
      <c r="G100" s="8" t="str">
        <f t="shared" si="1"/>
        <v>DE LA ROSA ALEX</v>
      </c>
    </row>
    <row r="101" spans="1:7" x14ac:dyDescent="0.25">
      <c r="A101" s="8">
        <v>42895.445185185185</v>
      </c>
      <c r="B101" s="20" t="s">
        <v>375</v>
      </c>
      <c r="C101" s="20" t="s">
        <v>711</v>
      </c>
      <c r="D101" s="141">
        <v>1780000</v>
      </c>
      <c r="E101" s="20" t="s">
        <v>712</v>
      </c>
      <c r="F101" s="20" t="s">
        <v>713</v>
      </c>
      <c r="G101" s="8" t="str">
        <f t="shared" si="1"/>
        <v>DE LA ROSA ALEX</v>
      </c>
    </row>
    <row r="102" spans="1:7" x14ac:dyDescent="0.25">
      <c r="A102" s="8">
        <v>42895.44672453704</v>
      </c>
      <c r="B102" s="20" t="s">
        <v>482</v>
      </c>
      <c r="C102" s="20" t="s">
        <v>600</v>
      </c>
      <c r="D102" s="141">
        <v>1520000</v>
      </c>
      <c r="E102" s="20" t="s">
        <v>714</v>
      </c>
      <c r="F102" s="20" t="s">
        <v>715</v>
      </c>
      <c r="G102" s="8" t="str">
        <f t="shared" si="1"/>
        <v>MAYBERRY BILL</v>
      </c>
    </row>
    <row r="103" spans="1:7" x14ac:dyDescent="0.25">
      <c r="A103" s="8">
        <v>42895.452233796299</v>
      </c>
      <c r="B103" s="20" t="s">
        <v>437</v>
      </c>
      <c r="C103" s="20" t="s">
        <v>716</v>
      </c>
      <c r="D103" s="141">
        <v>1800000</v>
      </c>
      <c r="E103" s="20" t="s">
        <v>383</v>
      </c>
      <c r="F103" s="20" t="s">
        <v>384</v>
      </c>
      <c r="G103" s="8" t="str">
        <f t="shared" si="1"/>
        <v>CHANDLER KELVIN</v>
      </c>
    </row>
    <row r="104" spans="1:7" x14ac:dyDescent="0.25">
      <c r="A104" s="8">
        <v>42895.452743055554</v>
      </c>
      <c r="B104" s="20" t="s">
        <v>437</v>
      </c>
      <c r="C104" s="20" t="s">
        <v>716</v>
      </c>
      <c r="D104" s="141">
        <v>1800000</v>
      </c>
      <c r="E104" s="20" t="s">
        <v>383</v>
      </c>
      <c r="F104" s="20" t="s">
        <v>384</v>
      </c>
      <c r="G104" s="8" t="str">
        <f t="shared" si="1"/>
        <v>CHANDLER KELVIN</v>
      </c>
    </row>
    <row r="105" spans="1:7" x14ac:dyDescent="0.25">
      <c r="A105" s="8">
        <v>42895.453576388885</v>
      </c>
      <c r="B105" s="20" t="s">
        <v>437</v>
      </c>
      <c r="C105" s="20" t="s">
        <v>716</v>
      </c>
      <c r="D105" s="141">
        <v>1800000</v>
      </c>
      <c r="E105" s="20" t="s">
        <v>383</v>
      </c>
      <c r="F105" s="20" t="s">
        <v>384</v>
      </c>
      <c r="G105" s="8" t="str">
        <f t="shared" si="1"/>
        <v>CHANDLER KELVIN</v>
      </c>
    </row>
    <row r="106" spans="1:7" x14ac:dyDescent="0.25">
      <c r="A106" s="8">
        <v>42895.454143518517</v>
      </c>
      <c r="B106" s="20" t="s">
        <v>554</v>
      </c>
      <c r="C106" s="20" t="s">
        <v>717</v>
      </c>
      <c r="D106" s="141">
        <v>1990000</v>
      </c>
      <c r="E106" s="20" t="s">
        <v>425</v>
      </c>
      <c r="F106" s="20" t="s">
        <v>519</v>
      </c>
      <c r="G106" s="8" t="str">
        <f t="shared" si="1"/>
        <v>DAVIS WENDY</v>
      </c>
    </row>
    <row r="107" spans="1:7" x14ac:dyDescent="0.25">
      <c r="A107" s="8">
        <v>42895.455405092594</v>
      </c>
      <c r="B107" s="20" t="s">
        <v>642</v>
      </c>
      <c r="C107" s="20" t="s">
        <v>718</v>
      </c>
      <c r="D107" s="141">
        <v>2970000</v>
      </c>
      <c r="E107" s="20" t="s">
        <v>385</v>
      </c>
      <c r="F107" s="20" t="s">
        <v>386</v>
      </c>
      <c r="G107" s="8" t="str">
        <f t="shared" si="1"/>
        <v>GUZMAN DANNY</v>
      </c>
    </row>
    <row r="108" spans="1:7" x14ac:dyDescent="0.25">
      <c r="A108" s="8">
        <v>42895.462141203701</v>
      </c>
      <c r="B108" s="20" t="s">
        <v>621</v>
      </c>
      <c r="C108" s="20" t="s">
        <v>719</v>
      </c>
      <c r="D108" s="141">
        <v>1780000</v>
      </c>
      <c r="E108" s="20" t="s">
        <v>712</v>
      </c>
      <c r="F108" s="20" t="s">
        <v>713</v>
      </c>
      <c r="G108" s="8" t="str">
        <f t="shared" si="1"/>
        <v>DE LA ROSA ALEX</v>
      </c>
    </row>
    <row r="109" spans="1:7" x14ac:dyDescent="0.25">
      <c r="A109" s="8">
        <v>42895.465914351851</v>
      </c>
      <c r="B109" s="20" t="s">
        <v>589</v>
      </c>
      <c r="C109" s="20" t="s">
        <v>719</v>
      </c>
      <c r="D109" s="141">
        <v>1780000</v>
      </c>
      <c r="E109" s="20" t="s">
        <v>712</v>
      </c>
      <c r="F109" s="20" t="s">
        <v>713</v>
      </c>
      <c r="G109" s="8" t="str">
        <f t="shared" si="1"/>
        <v>DE LA ROSA ALEX</v>
      </c>
    </row>
    <row r="110" spans="1:7" x14ac:dyDescent="0.25">
      <c r="A110" s="8">
        <v>42895.466053240743</v>
      </c>
      <c r="B110" s="20" t="s">
        <v>477</v>
      </c>
      <c r="C110" s="20" t="s">
        <v>720</v>
      </c>
      <c r="D110" s="141">
        <v>2530000</v>
      </c>
      <c r="E110" s="20" t="s">
        <v>662</v>
      </c>
      <c r="F110" s="20" t="s">
        <v>663</v>
      </c>
      <c r="G110" s="8" t="str">
        <f t="shared" si="1"/>
        <v>LALONDE GREGORY</v>
      </c>
    </row>
    <row r="111" spans="1:7" x14ac:dyDescent="0.25">
      <c r="A111" s="8">
        <v>42895.467395833337</v>
      </c>
      <c r="B111" s="20" t="s">
        <v>553</v>
      </c>
      <c r="C111" s="20" t="s">
        <v>721</v>
      </c>
      <c r="D111" s="141">
        <v>2360000</v>
      </c>
      <c r="E111" s="20" t="s">
        <v>722</v>
      </c>
      <c r="F111" s="20" t="s">
        <v>723</v>
      </c>
      <c r="G111" s="8" t="str">
        <f t="shared" si="1"/>
        <v>BRANDNER MELINDA</v>
      </c>
    </row>
    <row r="112" spans="1:7" x14ac:dyDescent="0.25">
      <c r="A112" s="8">
        <v>42895.467407407406</v>
      </c>
      <c r="B112" s="20" t="s">
        <v>597</v>
      </c>
      <c r="C112" s="20" t="s">
        <v>724</v>
      </c>
      <c r="D112" s="141">
        <v>2600000</v>
      </c>
      <c r="E112" s="20" t="s">
        <v>650</v>
      </c>
      <c r="F112" s="20" t="s">
        <v>651</v>
      </c>
      <c r="G112" s="8" t="str">
        <f t="shared" si="1"/>
        <v>DAVIDSON DAVID</v>
      </c>
    </row>
    <row r="113" spans="1:7" x14ac:dyDescent="0.25">
      <c r="A113" s="8">
        <v>42895.477847222224</v>
      </c>
      <c r="B113" s="20" t="s">
        <v>504</v>
      </c>
      <c r="C113" s="20" t="s">
        <v>725</v>
      </c>
      <c r="D113" s="141">
        <v>880000</v>
      </c>
      <c r="E113" s="20" t="s">
        <v>508</v>
      </c>
      <c r="F113" s="20" t="s">
        <v>194</v>
      </c>
      <c r="G113" s="8" t="str">
        <f t="shared" si="1"/>
        <v>STEWART MICHAEL</v>
      </c>
    </row>
    <row r="114" spans="1:7" x14ac:dyDescent="0.25">
      <c r="A114" s="8">
        <v>42895.47965277778</v>
      </c>
      <c r="B114" s="20" t="s">
        <v>483</v>
      </c>
      <c r="C114" s="20" t="s">
        <v>604</v>
      </c>
      <c r="D114" s="141">
        <v>1520000</v>
      </c>
      <c r="E114" s="20" t="s">
        <v>714</v>
      </c>
      <c r="F114" s="20" t="s">
        <v>715</v>
      </c>
      <c r="G114" s="8" t="str">
        <f t="shared" si="1"/>
        <v>MAYBERRY BILL</v>
      </c>
    </row>
    <row r="115" spans="1:7" x14ac:dyDescent="0.25">
      <c r="A115" s="8">
        <v>42895.48300925926</v>
      </c>
      <c r="B115" s="20" t="s">
        <v>621</v>
      </c>
      <c r="C115" s="20" t="s">
        <v>711</v>
      </c>
      <c r="D115" s="141">
        <v>1780000</v>
      </c>
      <c r="E115" s="20" t="s">
        <v>712</v>
      </c>
      <c r="F115" s="20" t="s">
        <v>713</v>
      </c>
      <c r="G115" s="8" t="str">
        <f t="shared" si="1"/>
        <v>DE LA ROSA ALEX</v>
      </c>
    </row>
    <row r="116" spans="1:7" x14ac:dyDescent="0.25">
      <c r="A116" s="8">
        <v>42895.483287037037</v>
      </c>
      <c r="B116" s="20" t="s">
        <v>378</v>
      </c>
      <c r="C116" s="20" t="s">
        <v>726</v>
      </c>
      <c r="D116" s="141">
        <v>1100000</v>
      </c>
      <c r="E116" s="20" t="s">
        <v>520</v>
      </c>
      <c r="F116" s="20" t="s">
        <v>521</v>
      </c>
      <c r="G116" s="8" t="str">
        <f t="shared" si="1"/>
        <v>GEBRETEKLE DAGNEW</v>
      </c>
    </row>
    <row r="117" spans="1:7" x14ac:dyDescent="0.25">
      <c r="A117" s="8">
        <v>42895.483391203707</v>
      </c>
      <c r="B117" s="20" t="s">
        <v>518</v>
      </c>
      <c r="C117" s="20" t="s">
        <v>603</v>
      </c>
      <c r="D117" s="141">
        <v>2530000</v>
      </c>
      <c r="E117" s="20" t="s">
        <v>662</v>
      </c>
      <c r="F117" s="20" t="s">
        <v>663</v>
      </c>
      <c r="G117" s="8" t="str">
        <f t="shared" si="1"/>
        <v>LALONDE GREGORY</v>
      </c>
    </row>
    <row r="118" spans="1:7" x14ac:dyDescent="0.25">
      <c r="A118" s="8">
        <v>42895.483495370368</v>
      </c>
      <c r="B118" s="20" t="s">
        <v>621</v>
      </c>
      <c r="C118" s="20" t="s">
        <v>711</v>
      </c>
      <c r="D118" s="141">
        <v>1780000</v>
      </c>
      <c r="E118" s="20" t="s">
        <v>712</v>
      </c>
      <c r="F118" s="20" t="s">
        <v>713</v>
      </c>
      <c r="G118" s="8" t="str">
        <f t="shared" si="1"/>
        <v>DE LA ROSA ALEX</v>
      </c>
    </row>
    <row r="119" spans="1:7" x14ac:dyDescent="0.25">
      <c r="A119" s="8">
        <v>42895.49119212963</v>
      </c>
      <c r="B119" s="20" t="s">
        <v>407</v>
      </c>
      <c r="C119" s="20" t="s">
        <v>727</v>
      </c>
      <c r="D119" s="141">
        <v>1810000</v>
      </c>
      <c r="E119" s="20" t="s">
        <v>373</v>
      </c>
      <c r="F119" s="20" t="s">
        <v>191</v>
      </c>
      <c r="G119" s="8" t="str">
        <f t="shared" si="1"/>
        <v>NEWELL JAMES</v>
      </c>
    </row>
    <row r="120" spans="1:7" x14ac:dyDescent="0.25">
      <c r="A120" s="8">
        <v>42895.49664351852</v>
      </c>
      <c r="B120" s="20" t="s">
        <v>435</v>
      </c>
      <c r="C120" s="20" t="s">
        <v>728</v>
      </c>
      <c r="D120" s="141">
        <v>1800000</v>
      </c>
      <c r="E120" s="20" t="s">
        <v>383</v>
      </c>
      <c r="F120" s="20" t="s">
        <v>384</v>
      </c>
      <c r="G120" s="8" t="str">
        <f t="shared" si="1"/>
        <v>CHANDLER KELVIN</v>
      </c>
    </row>
    <row r="121" spans="1:7" x14ac:dyDescent="0.25">
      <c r="A121" s="8">
        <v>42895.497719907406</v>
      </c>
      <c r="B121" s="20" t="s">
        <v>477</v>
      </c>
      <c r="C121" s="20" t="s">
        <v>729</v>
      </c>
      <c r="D121" s="141">
        <v>2530000</v>
      </c>
      <c r="E121" s="20" t="s">
        <v>662</v>
      </c>
      <c r="F121" s="20" t="s">
        <v>663</v>
      </c>
      <c r="G121" s="8" t="str">
        <f t="shared" si="1"/>
        <v>LALONDE GREGORY</v>
      </c>
    </row>
    <row r="122" spans="1:7" x14ac:dyDescent="0.25">
      <c r="A122" s="8">
        <v>42895.498564814814</v>
      </c>
      <c r="B122" s="25" t="s">
        <v>592</v>
      </c>
      <c r="C122" s="20" t="s">
        <v>730</v>
      </c>
      <c r="D122" s="141">
        <v>2730000</v>
      </c>
      <c r="E122" s="20" t="s">
        <v>506</v>
      </c>
      <c r="F122" s="20" t="s">
        <v>507</v>
      </c>
      <c r="G122" s="8" t="str">
        <f t="shared" si="1"/>
        <v>YANG JAN</v>
      </c>
    </row>
    <row r="123" spans="1:7" x14ac:dyDescent="0.25">
      <c r="A123" s="8">
        <v>42895.505254629628</v>
      </c>
      <c r="B123" s="20" t="s">
        <v>552</v>
      </c>
      <c r="C123" s="20" t="s">
        <v>731</v>
      </c>
      <c r="D123" s="141">
        <v>2360000</v>
      </c>
      <c r="E123" s="20" t="s">
        <v>722</v>
      </c>
      <c r="F123" s="20" t="s">
        <v>723</v>
      </c>
      <c r="G123" s="8" t="str">
        <f t="shared" si="1"/>
        <v>BRANDNER MELINDA</v>
      </c>
    </row>
    <row r="124" spans="1:7" x14ac:dyDescent="0.25">
      <c r="A124" s="8">
        <v>42895.510289351849</v>
      </c>
      <c r="B124" s="20" t="s">
        <v>475</v>
      </c>
      <c r="C124" s="20" t="s">
        <v>732</v>
      </c>
      <c r="D124" s="141">
        <v>1300000</v>
      </c>
      <c r="E124" s="20" t="s">
        <v>491</v>
      </c>
      <c r="F124" s="20" t="s">
        <v>492</v>
      </c>
      <c r="G124" s="8" t="str">
        <f t="shared" si="1"/>
        <v>LEVIN SCOTT</v>
      </c>
    </row>
    <row r="125" spans="1:7" x14ac:dyDescent="0.25">
      <c r="A125" s="8">
        <v>42895.515879629631</v>
      </c>
      <c r="B125" s="20" t="s">
        <v>601</v>
      </c>
      <c r="C125" s="20" t="s">
        <v>733</v>
      </c>
      <c r="D125" s="141">
        <v>880000</v>
      </c>
      <c r="E125" s="20" t="s">
        <v>508</v>
      </c>
      <c r="F125" s="20" t="s">
        <v>194</v>
      </c>
      <c r="G125" s="8" t="str">
        <f t="shared" si="1"/>
        <v>STEWART MICHAEL</v>
      </c>
    </row>
    <row r="126" spans="1:7" x14ac:dyDescent="0.25">
      <c r="A126" s="8">
        <v>42895.51834490741</v>
      </c>
      <c r="B126" s="20" t="s">
        <v>482</v>
      </c>
      <c r="C126" s="20" t="s">
        <v>734</v>
      </c>
      <c r="D126" s="141">
        <v>1520000</v>
      </c>
      <c r="E126" s="20" t="s">
        <v>714</v>
      </c>
      <c r="F126" s="20" t="s">
        <v>715</v>
      </c>
      <c r="G126" s="8" t="str">
        <f t="shared" si="1"/>
        <v>MAYBERRY BILL</v>
      </c>
    </row>
    <row r="127" spans="1:7" x14ac:dyDescent="0.25">
      <c r="A127" s="8">
        <v>42895.520428240743</v>
      </c>
      <c r="B127" s="20" t="s">
        <v>554</v>
      </c>
      <c r="C127" s="20" t="s">
        <v>606</v>
      </c>
      <c r="D127" s="141">
        <v>1810000</v>
      </c>
      <c r="E127" s="20" t="s">
        <v>373</v>
      </c>
      <c r="F127" s="20" t="s">
        <v>191</v>
      </c>
      <c r="G127" s="8" t="str">
        <f t="shared" si="1"/>
        <v>NEWELL JAMES</v>
      </c>
    </row>
    <row r="128" spans="1:7" x14ac:dyDescent="0.25">
      <c r="A128" s="8">
        <v>42895.524988425925</v>
      </c>
      <c r="B128" s="20" t="s">
        <v>518</v>
      </c>
      <c r="C128" s="20" t="s">
        <v>605</v>
      </c>
      <c r="D128" s="141">
        <v>2530000</v>
      </c>
      <c r="E128" s="20" t="s">
        <v>662</v>
      </c>
      <c r="F128" s="20" t="s">
        <v>663</v>
      </c>
      <c r="G128" s="8" t="str">
        <f t="shared" si="1"/>
        <v>LALONDE GREGORY</v>
      </c>
    </row>
    <row r="129" spans="1:7" x14ac:dyDescent="0.25">
      <c r="A129" s="8">
        <v>42895.529583333337</v>
      </c>
      <c r="B129" s="20" t="s">
        <v>437</v>
      </c>
      <c r="C129" s="20" t="s">
        <v>735</v>
      </c>
      <c r="D129" s="141">
        <v>1780000</v>
      </c>
      <c r="E129" s="20" t="s">
        <v>712</v>
      </c>
      <c r="F129" s="20" t="s">
        <v>713</v>
      </c>
      <c r="G129" s="8" t="str">
        <f t="shared" si="1"/>
        <v>DE LA ROSA ALEX</v>
      </c>
    </row>
    <row r="130" spans="1:7" x14ac:dyDescent="0.25">
      <c r="A130" s="8">
        <v>42895.536585648151</v>
      </c>
      <c r="B130" s="20" t="s">
        <v>642</v>
      </c>
      <c r="C130" s="20" t="s">
        <v>736</v>
      </c>
      <c r="D130" s="141">
        <v>2730000</v>
      </c>
      <c r="E130" s="20" t="s">
        <v>506</v>
      </c>
      <c r="F130" s="20" t="s">
        <v>507</v>
      </c>
      <c r="G130" s="8" t="str">
        <f t="shared" si="1"/>
        <v>YANG JAN</v>
      </c>
    </row>
    <row r="131" spans="1:7" x14ac:dyDescent="0.25">
      <c r="A131" s="8">
        <v>42895.540821759256</v>
      </c>
      <c r="B131" s="20" t="s">
        <v>553</v>
      </c>
      <c r="C131" s="20" t="s">
        <v>607</v>
      </c>
      <c r="D131" s="141">
        <v>2360000</v>
      </c>
      <c r="E131" s="20" t="s">
        <v>722</v>
      </c>
      <c r="F131" s="20" t="s">
        <v>723</v>
      </c>
      <c r="G131" s="8" t="str">
        <f t="shared" ref="G131:G194" si="2">E131&amp;" "&amp;F131</f>
        <v>BRANDNER MELINDA</v>
      </c>
    </row>
    <row r="132" spans="1:7" x14ac:dyDescent="0.25">
      <c r="A132" s="8">
        <v>42895.542337962965</v>
      </c>
      <c r="B132" s="20" t="s">
        <v>477</v>
      </c>
      <c r="C132" s="20" t="s">
        <v>737</v>
      </c>
      <c r="D132" s="141">
        <v>2350000</v>
      </c>
      <c r="E132" s="20" t="s">
        <v>526</v>
      </c>
      <c r="F132" s="20" t="s">
        <v>527</v>
      </c>
      <c r="G132" s="8" t="str">
        <f t="shared" si="2"/>
        <v>BERLING GARY</v>
      </c>
    </row>
    <row r="133" spans="1:7" x14ac:dyDescent="0.25">
      <c r="A133" s="8">
        <v>42895.548229166663</v>
      </c>
      <c r="B133" s="20" t="s">
        <v>597</v>
      </c>
      <c r="C133" s="20" t="s">
        <v>738</v>
      </c>
      <c r="D133" s="141">
        <v>1300000</v>
      </c>
      <c r="E133" s="20" t="s">
        <v>491</v>
      </c>
      <c r="F133" s="20" t="s">
        <v>492</v>
      </c>
      <c r="G133" s="8" t="str">
        <f t="shared" si="2"/>
        <v>LEVIN SCOTT</v>
      </c>
    </row>
    <row r="134" spans="1:7" x14ac:dyDescent="0.25">
      <c r="A134" s="8">
        <v>42895.550416666665</v>
      </c>
      <c r="B134" s="20" t="s">
        <v>504</v>
      </c>
      <c r="C134" s="20" t="s">
        <v>739</v>
      </c>
      <c r="D134" s="141">
        <v>880000</v>
      </c>
      <c r="E134" s="20" t="s">
        <v>508</v>
      </c>
      <c r="F134" s="20" t="s">
        <v>194</v>
      </c>
      <c r="G134" s="8" t="str">
        <f t="shared" si="2"/>
        <v>STEWART MICHAEL</v>
      </c>
    </row>
    <row r="135" spans="1:7" x14ac:dyDescent="0.25">
      <c r="A135" s="8">
        <v>42895.556215277778</v>
      </c>
      <c r="B135" s="20" t="s">
        <v>483</v>
      </c>
      <c r="C135" s="20" t="s">
        <v>740</v>
      </c>
      <c r="D135" s="141">
        <v>1520000</v>
      </c>
      <c r="E135" s="20" t="s">
        <v>714</v>
      </c>
      <c r="F135" s="20" t="s">
        <v>715</v>
      </c>
      <c r="G135" s="8" t="str">
        <f t="shared" si="2"/>
        <v>MAYBERRY BILL</v>
      </c>
    </row>
    <row r="136" spans="1:7" x14ac:dyDescent="0.25">
      <c r="A136" s="8">
        <v>42895.558148148149</v>
      </c>
      <c r="B136" s="20" t="s">
        <v>407</v>
      </c>
      <c r="C136" s="20" t="s">
        <v>741</v>
      </c>
      <c r="D136" s="141">
        <v>1360000</v>
      </c>
      <c r="E136" s="20" t="s">
        <v>742</v>
      </c>
      <c r="F136" s="20" t="s">
        <v>743</v>
      </c>
      <c r="G136" s="8" t="str">
        <f t="shared" si="2"/>
        <v>SANTIZO D. EDY</v>
      </c>
    </row>
    <row r="137" spans="1:7" x14ac:dyDescent="0.25">
      <c r="A137" s="8">
        <v>42895.567418981482</v>
      </c>
      <c r="B137" s="20" t="s">
        <v>435</v>
      </c>
      <c r="C137" s="20" t="s">
        <v>744</v>
      </c>
      <c r="D137" s="141">
        <v>1780000</v>
      </c>
      <c r="E137" s="20" t="s">
        <v>712</v>
      </c>
      <c r="F137" s="20" t="s">
        <v>713</v>
      </c>
      <c r="G137" s="8" t="str">
        <f t="shared" si="2"/>
        <v>DE LA ROSA ALEX</v>
      </c>
    </row>
    <row r="138" spans="1:7" x14ac:dyDescent="0.25">
      <c r="A138" s="8">
        <v>42895.567881944444</v>
      </c>
      <c r="B138" s="20" t="s">
        <v>518</v>
      </c>
      <c r="C138" s="20" t="s">
        <v>745</v>
      </c>
      <c r="D138" s="141">
        <v>2350000</v>
      </c>
      <c r="E138" s="20" t="s">
        <v>526</v>
      </c>
      <c r="F138" s="20" t="s">
        <v>527</v>
      </c>
      <c r="G138" s="8" t="str">
        <f t="shared" si="2"/>
        <v>BERLING GARY</v>
      </c>
    </row>
    <row r="139" spans="1:7" x14ac:dyDescent="0.25">
      <c r="A139" s="8">
        <v>42895.569571759261</v>
      </c>
      <c r="B139" s="20" t="s">
        <v>592</v>
      </c>
      <c r="C139" s="20" t="s">
        <v>746</v>
      </c>
      <c r="D139" s="141">
        <v>2730000</v>
      </c>
      <c r="E139" s="20" t="s">
        <v>506</v>
      </c>
      <c r="F139" s="20" t="s">
        <v>507</v>
      </c>
      <c r="G139" s="8" t="str">
        <f t="shared" si="2"/>
        <v>YANG JAN</v>
      </c>
    </row>
    <row r="140" spans="1:7" x14ac:dyDescent="0.25">
      <c r="A140" s="8">
        <v>42895.579097222224</v>
      </c>
      <c r="B140" s="20" t="s">
        <v>552</v>
      </c>
      <c r="C140" s="20" t="s">
        <v>608</v>
      </c>
      <c r="D140" s="141">
        <v>2360000</v>
      </c>
      <c r="E140" s="20" t="s">
        <v>722</v>
      </c>
      <c r="F140" s="20" t="s">
        <v>723</v>
      </c>
      <c r="G140" s="8" t="str">
        <f t="shared" si="2"/>
        <v>BRANDNER MELINDA</v>
      </c>
    </row>
    <row r="141" spans="1:7" x14ac:dyDescent="0.25">
      <c r="A141" s="8">
        <v>42895.581550925926</v>
      </c>
      <c r="B141" s="20" t="s">
        <v>475</v>
      </c>
      <c r="C141" s="20" t="s">
        <v>738</v>
      </c>
      <c r="D141" s="141">
        <v>1300000</v>
      </c>
      <c r="E141" s="20" t="s">
        <v>491</v>
      </c>
      <c r="F141" s="20" t="s">
        <v>492</v>
      </c>
      <c r="G141" s="8" t="str">
        <f t="shared" si="2"/>
        <v>LEVIN SCOTT</v>
      </c>
    </row>
    <row r="142" spans="1:7" x14ac:dyDescent="0.25">
      <c r="A142" s="8">
        <v>42895.582280092596</v>
      </c>
      <c r="B142" s="20" t="s">
        <v>475</v>
      </c>
      <c r="C142" s="20" t="s">
        <v>747</v>
      </c>
      <c r="D142" s="141">
        <v>1300000</v>
      </c>
      <c r="E142" s="20" t="s">
        <v>491</v>
      </c>
      <c r="F142" s="20" t="s">
        <v>492</v>
      </c>
      <c r="G142" s="8" t="str">
        <f t="shared" si="2"/>
        <v>LEVIN SCOTT</v>
      </c>
    </row>
    <row r="143" spans="1:7" x14ac:dyDescent="0.25">
      <c r="A143" s="8">
        <v>42895.588287037041</v>
      </c>
      <c r="B143" s="20" t="s">
        <v>477</v>
      </c>
      <c r="C143" s="20" t="s">
        <v>748</v>
      </c>
      <c r="D143" s="141">
        <v>2350000</v>
      </c>
      <c r="E143" s="20" t="s">
        <v>526</v>
      </c>
      <c r="F143" s="20" t="s">
        <v>527</v>
      </c>
      <c r="G143" s="8" t="str">
        <f t="shared" si="2"/>
        <v>BERLING GARY</v>
      </c>
    </row>
    <row r="144" spans="1:7" x14ac:dyDescent="0.25">
      <c r="A144" s="8">
        <v>42895.589432870373</v>
      </c>
      <c r="B144" s="20" t="s">
        <v>601</v>
      </c>
      <c r="C144" s="20" t="s">
        <v>749</v>
      </c>
      <c r="D144" s="141">
        <v>880000</v>
      </c>
      <c r="E144" s="20" t="s">
        <v>508</v>
      </c>
      <c r="F144" s="20" t="s">
        <v>194</v>
      </c>
      <c r="G144" s="8" t="str">
        <f t="shared" si="2"/>
        <v>STEWART MICHAEL</v>
      </c>
    </row>
    <row r="145" spans="1:7" x14ac:dyDescent="0.25">
      <c r="A145" s="8">
        <v>42895.590289351851</v>
      </c>
      <c r="B145" s="20" t="s">
        <v>554</v>
      </c>
      <c r="C145" s="20" t="s">
        <v>612</v>
      </c>
      <c r="D145" s="141">
        <v>1360000</v>
      </c>
      <c r="E145" s="20" t="s">
        <v>742</v>
      </c>
      <c r="F145" s="20" t="s">
        <v>743</v>
      </c>
      <c r="G145" s="8" t="str">
        <f t="shared" si="2"/>
        <v>SANTIZO D. EDY</v>
      </c>
    </row>
    <row r="146" spans="1:7" x14ac:dyDescent="0.25">
      <c r="A146" s="8">
        <v>42895.59097222222</v>
      </c>
      <c r="B146" s="20" t="s">
        <v>482</v>
      </c>
      <c r="C146" s="20" t="s">
        <v>611</v>
      </c>
      <c r="D146" s="141">
        <v>1520000</v>
      </c>
      <c r="E146" s="20" t="s">
        <v>714</v>
      </c>
      <c r="F146" s="20" t="s">
        <v>715</v>
      </c>
      <c r="G146" s="8" t="str">
        <f t="shared" si="2"/>
        <v>MAYBERRY BILL</v>
      </c>
    </row>
    <row r="147" spans="1:7" x14ac:dyDescent="0.25">
      <c r="A147" s="8">
        <v>42895.600787037038</v>
      </c>
      <c r="B147" s="20" t="s">
        <v>482</v>
      </c>
      <c r="C147" s="20" t="s">
        <v>611</v>
      </c>
      <c r="D147" s="141">
        <v>1520000</v>
      </c>
      <c r="E147" s="20" t="s">
        <v>714</v>
      </c>
      <c r="F147" s="20" t="s">
        <v>715</v>
      </c>
      <c r="G147" s="8" t="str">
        <f t="shared" si="2"/>
        <v>MAYBERRY BILL</v>
      </c>
    </row>
    <row r="148" spans="1:7" x14ac:dyDescent="0.25">
      <c r="A148" s="8">
        <v>42895.603773148148</v>
      </c>
      <c r="B148" s="20" t="s">
        <v>437</v>
      </c>
      <c r="C148" s="20" t="s">
        <v>609</v>
      </c>
      <c r="D148" s="141">
        <v>2420000</v>
      </c>
      <c r="E148" s="20" t="s">
        <v>524</v>
      </c>
      <c r="F148" s="20" t="s">
        <v>525</v>
      </c>
      <c r="G148" s="8" t="str">
        <f t="shared" si="2"/>
        <v>HOLCOMB KAMDEN</v>
      </c>
    </row>
    <row r="149" spans="1:7" x14ac:dyDescent="0.25">
      <c r="A149" s="8">
        <v>42895.609143518515</v>
      </c>
      <c r="B149" s="20" t="s">
        <v>642</v>
      </c>
      <c r="C149" s="20" t="s">
        <v>750</v>
      </c>
      <c r="D149" s="141">
        <v>2730000</v>
      </c>
      <c r="E149" s="20" t="s">
        <v>506</v>
      </c>
      <c r="F149" s="20" t="s">
        <v>507</v>
      </c>
      <c r="G149" s="8" t="str">
        <f t="shared" si="2"/>
        <v>YANG JAN</v>
      </c>
    </row>
    <row r="150" spans="1:7" x14ac:dyDescent="0.25">
      <c r="A150" s="8">
        <v>42895.609467592592</v>
      </c>
      <c r="B150" s="20" t="s">
        <v>518</v>
      </c>
      <c r="C150" s="20" t="s">
        <v>610</v>
      </c>
      <c r="D150" s="141">
        <v>2350000</v>
      </c>
      <c r="E150" s="20" t="s">
        <v>526</v>
      </c>
      <c r="F150" s="20" t="s">
        <v>527</v>
      </c>
      <c r="G150" s="8" t="str">
        <f t="shared" si="2"/>
        <v>BERLING GARY</v>
      </c>
    </row>
    <row r="151" spans="1:7" x14ac:dyDescent="0.25">
      <c r="A151" s="8">
        <v>42895.613171296296</v>
      </c>
      <c r="B151" s="20" t="s">
        <v>553</v>
      </c>
      <c r="C151" s="20" t="s">
        <v>613</v>
      </c>
      <c r="D151" s="141">
        <v>2360000</v>
      </c>
      <c r="E151" s="20" t="s">
        <v>722</v>
      </c>
      <c r="F151" s="20" t="s">
        <v>723</v>
      </c>
      <c r="G151" s="8" t="str">
        <f t="shared" si="2"/>
        <v>BRANDNER MELINDA</v>
      </c>
    </row>
    <row r="152" spans="1:7" x14ac:dyDescent="0.25">
      <c r="A152" s="8">
        <v>42895.619803240741</v>
      </c>
      <c r="B152" s="20" t="s">
        <v>597</v>
      </c>
      <c r="C152" s="20" t="s">
        <v>751</v>
      </c>
      <c r="D152" s="141">
        <v>1300000</v>
      </c>
      <c r="E152" s="20" t="s">
        <v>491</v>
      </c>
      <c r="F152" s="20" t="s">
        <v>492</v>
      </c>
      <c r="G152" s="8" t="str">
        <f t="shared" si="2"/>
        <v>LEVIN SCOTT</v>
      </c>
    </row>
    <row r="153" spans="1:7" x14ac:dyDescent="0.25">
      <c r="A153" s="8">
        <v>42895.622939814813</v>
      </c>
      <c r="B153" s="20" t="s">
        <v>504</v>
      </c>
      <c r="C153" s="20" t="s">
        <v>752</v>
      </c>
      <c r="D153" s="141">
        <v>880000</v>
      </c>
      <c r="E153" s="20" t="s">
        <v>508</v>
      </c>
      <c r="F153" s="20" t="s">
        <v>194</v>
      </c>
      <c r="G153" s="8" t="str">
        <f t="shared" si="2"/>
        <v>STEWART MICHAEL</v>
      </c>
    </row>
    <row r="154" spans="1:7" x14ac:dyDescent="0.25">
      <c r="A154" s="8">
        <v>42895.628865740742</v>
      </c>
      <c r="B154" s="20" t="s">
        <v>483</v>
      </c>
      <c r="C154" s="20" t="s">
        <v>753</v>
      </c>
      <c r="D154" s="141">
        <v>1520000</v>
      </c>
      <c r="E154" s="20" t="s">
        <v>714</v>
      </c>
      <c r="F154" s="20" t="s">
        <v>715</v>
      </c>
      <c r="G154" s="8" t="str">
        <f t="shared" si="2"/>
        <v>MAYBERRY BILL</v>
      </c>
    </row>
    <row r="155" spans="1:7" x14ac:dyDescent="0.25">
      <c r="A155" s="8">
        <v>42895.629363425927</v>
      </c>
      <c r="B155" s="20" t="s">
        <v>477</v>
      </c>
      <c r="C155" s="20" t="s">
        <v>754</v>
      </c>
      <c r="D155" s="141">
        <v>2350000</v>
      </c>
      <c r="E155" s="20" t="s">
        <v>526</v>
      </c>
      <c r="F155" s="20" t="s">
        <v>527</v>
      </c>
      <c r="G155" s="8" t="str">
        <f t="shared" si="2"/>
        <v>BERLING GARY</v>
      </c>
    </row>
    <row r="156" spans="1:7" x14ac:dyDescent="0.25">
      <c r="A156" s="8">
        <v>42895.633437500001</v>
      </c>
      <c r="B156" s="20" t="s">
        <v>407</v>
      </c>
      <c r="C156" s="20" t="s">
        <v>755</v>
      </c>
      <c r="D156" s="141">
        <v>1810000</v>
      </c>
      <c r="E156" s="20" t="s">
        <v>373</v>
      </c>
      <c r="F156" s="20" t="s">
        <v>191</v>
      </c>
      <c r="G156" s="8" t="str">
        <f t="shared" si="2"/>
        <v>NEWELL JAMES</v>
      </c>
    </row>
    <row r="157" spans="1:7" x14ac:dyDescent="0.25">
      <c r="A157" s="8">
        <v>42895.640219907407</v>
      </c>
      <c r="B157" s="20" t="s">
        <v>435</v>
      </c>
      <c r="C157" s="20" t="s">
        <v>756</v>
      </c>
      <c r="D157" s="141">
        <v>2420000</v>
      </c>
      <c r="E157" s="20" t="s">
        <v>524</v>
      </c>
      <c r="F157" s="20" t="s">
        <v>525</v>
      </c>
      <c r="G157" s="8" t="str">
        <f t="shared" si="2"/>
        <v>HOLCOMB KAMDEN</v>
      </c>
    </row>
    <row r="158" spans="1:7" x14ac:dyDescent="0.25">
      <c r="A158" s="8">
        <v>42895.6403125</v>
      </c>
      <c r="B158" s="20" t="s">
        <v>342</v>
      </c>
      <c r="C158" s="20" t="s">
        <v>757</v>
      </c>
      <c r="D158" s="141">
        <v>2540000</v>
      </c>
      <c r="E158" s="20" t="s">
        <v>758</v>
      </c>
      <c r="F158" s="20" t="s">
        <v>759</v>
      </c>
      <c r="G158" s="8" t="str">
        <f t="shared" si="2"/>
        <v>MCREYNOLDS KYLE</v>
      </c>
    </row>
    <row r="159" spans="1:7" x14ac:dyDescent="0.25">
      <c r="A159" s="8">
        <v>42895.642465277779</v>
      </c>
      <c r="B159" s="20" t="s">
        <v>592</v>
      </c>
      <c r="C159" s="20" t="s">
        <v>760</v>
      </c>
      <c r="D159" s="141">
        <v>2730000</v>
      </c>
      <c r="E159" s="20" t="s">
        <v>506</v>
      </c>
      <c r="F159" s="20" t="s">
        <v>507</v>
      </c>
      <c r="G159" s="8" t="str">
        <f t="shared" si="2"/>
        <v>YANG JAN</v>
      </c>
    </row>
    <row r="160" spans="1:7" x14ac:dyDescent="0.25">
      <c r="A160" s="8">
        <v>42895.650879629633</v>
      </c>
      <c r="B160" s="20" t="s">
        <v>518</v>
      </c>
      <c r="C160" s="20" t="s">
        <v>614</v>
      </c>
      <c r="D160" s="141">
        <v>2350000</v>
      </c>
      <c r="E160" s="20" t="s">
        <v>526</v>
      </c>
      <c r="F160" s="20" t="s">
        <v>527</v>
      </c>
      <c r="G160" s="8" t="str">
        <f t="shared" si="2"/>
        <v>BERLING GARY</v>
      </c>
    </row>
    <row r="161" spans="1:7" x14ac:dyDescent="0.25">
      <c r="A161" s="8">
        <v>42895.652407407404</v>
      </c>
      <c r="B161" s="20" t="s">
        <v>552</v>
      </c>
      <c r="C161" s="20" t="s">
        <v>761</v>
      </c>
      <c r="D161" s="141">
        <v>2360000</v>
      </c>
      <c r="E161" s="20" t="s">
        <v>722</v>
      </c>
      <c r="F161" s="20" t="s">
        <v>723</v>
      </c>
      <c r="G161" s="8" t="str">
        <f t="shared" si="2"/>
        <v>BRANDNER MELINDA</v>
      </c>
    </row>
    <row r="162" spans="1:7" x14ac:dyDescent="0.25">
      <c r="A162" s="8">
        <v>42895.654664351852</v>
      </c>
      <c r="B162" s="20" t="s">
        <v>475</v>
      </c>
      <c r="C162" s="20" t="s">
        <v>762</v>
      </c>
      <c r="D162" s="141">
        <v>1300000</v>
      </c>
      <c r="E162" s="20" t="s">
        <v>491</v>
      </c>
      <c r="F162" s="20" t="s">
        <v>492</v>
      </c>
      <c r="G162" s="8" t="str">
        <f t="shared" si="2"/>
        <v>LEVIN SCOTT</v>
      </c>
    </row>
    <row r="163" spans="1:7" x14ac:dyDescent="0.25">
      <c r="A163" s="8">
        <v>42895.657025462962</v>
      </c>
      <c r="B163" s="20" t="s">
        <v>341</v>
      </c>
      <c r="C163" s="20" t="s">
        <v>763</v>
      </c>
      <c r="D163" s="141">
        <v>2540000</v>
      </c>
      <c r="E163" s="20" t="s">
        <v>758</v>
      </c>
      <c r="F163" s="20" t="s">
        <v>759</v>
      </c>
      <c r="G163" s="8" t="str">
        <f t="shared" si="2"/>
        <v>MCREYNOLDS KYLE</v>
      </c>
    </row>
    <row r="164" spans="1:7" x14ac:dyDescent="0.25">
      <c r="A164" s="8">
        <v>42895.662523148145</v>
      </c>
      <c r="B164" s="20" t="s">
        <v>601</v>
      </c>
      <c r="C164" s="20" t="s">
        <v>764</v>
      </c>
      <c r="D164" s="141">
        <v>880000</v>
      </c>
      <c r="E164" s="20" t="s">
        <v>508</v>
      </c>
      <c r="F164" s="20" t="s">
        <v>194</v>
      </c>
      <c r="G164" s="8" t="str">
        <f t="shared" si="2"/>
        <v>STEWART MICHAEL</v>
      </c>
    </row>
    <row r="165" spans="1:7" x14ac:dyDescent="0.25">
      <c r="A165" s="8">
        <v>42895.663148148145</v>
      </c>
      <c r="B165" s="20" t="s">
        <v>482</v>
      </c>
      <c r="C165" s="20" t="s">
        <v>615</v>
      </c>
      <c r="D165" s="141">
        <v>1520000</v>
      </c>
      <c r="E165" s="20" t="s">
        <v>714</v>
      </c>
      <c r="F165" s="20" t="s">
        <v>715</v>
      </c>
      <c r="G165" s="8" t="str">
        <f t="shared" si="2"/>
        <v>MAYBERRY BILL</v>
      </c>
    </row>
    <row r="166" spans="1:7" x14ac:dyDescent="0.25">
      <c r="A166" s="8">
        <v>42895.666284722225</v>
      </c>
      <c r="B166" s="20" t="s">
        <v>477</v>
      </c>
      <c r="C166" s="20" t="s">
        <v>616</v>
      </c>
      <c r="D166" s="141">
        <v>2350000</v>
      </c>
      <c r="E166" s="20" t="s">
        <v>526</v>
      </c>
      <c r="F166" s="20" t="s">
        <v>527</v>
      </c>
      <c r="G166" s="8" t="str">
        <f t="shared" si="2"/>
        <v>BERLING GARY</v>
      </c>
    </row>
    <row r="167" spans="1:7" x14ac:dyDescent="0.25">
      <c r="A167" s="8">
        <v>42895.670069444444</v>
      </c>
      <c r="B167" s="20" t="s">
        <v>554</v>
      </c>
      <c r="C167" s="20" t="s">
        <v>765</v>
      </c>
      <c r="D167" s="141">
        <v>1810000</v>
      </c>
      <c r="E167" s="20" t="s">
        <v>373</v>
      </c>
      <c r="F167" s="20" t="s">
        <v>191</v>
      </c>
      <c r="G167" s="8" t="str">
        <f t="shared" si="2"/>
        <v>NEWELL JAMES</v>
      </c>
    </row>
    <row r="168" spans="1:7" x14ac:dyDescent="0.25">
      <c r="A168" s="8">
        <v>42895.672627314816</v>
      </c>
      <c r="B168" s="20" t="s">
        <v>342</v>
      </c>
      <c r="C168" s="20" t="s">
        <v>766</v>
      </c>
      <c r="D168" s="141">
        <v>2540000</v>
      </c>
      <c r="E168" s="20" t="s">
        <v>758</v>
      </c>
      <c r="F168" s="20" t="s">
        <v>759</v>
      </c>
      <c r="G168" s="8" t="str">
        <f t="shared" si="2"/>
        <v>MCREYNOLDS KYLE</v>
      </c>
    </row>
    <row r="169" spans="1:7" x14ac:dyDescent="0.25">
      <c r="A169" s="8">
        <v>42895.672638888886</v>
      </c>
      <c r="B169" s="20" t="s">
        <v>437</v>
      </c>
      <c r="C169" s="20" t="s">
        <v>767</v>
      </c>
      <c r="D169" s="141">
        <v>2420000</v>
      </c>
      <c r="E169" s="20" t="s">
        <v>524</v>
      </c>
      <c r="F169" s="20" t="s">
        <v>525</v>
      </c>
      <c r="G169" s="8" t="str">
        <f t="shared" si="2"/>
        <v>HOLCOMB KAMDEN</v>
      </c>
    </row>
    <row r="170" spans="1:7" x14ac:dyDescent="0.25">
      <c r="A170" s="8">
        <v>42895.682303240741</v>
      </c>
      <c r="B170" s="20" t="s">
        <v>642</v>
      </c>
      <c r="C170" s="20" t="s">
        <v>768</v>
      </c>
      <c r="D170" s="141">
        <v>2730000</v>
      </c>
      <c r="E170" s="20" t="s">
        <v>506</v>
      </c>
      <c r="F170" s="20" t="s">
        <v>507</v>
      </c>
      <c r="G170" s="8" t="str">
        <f t="shared" si="2"/>
        <v>YANG JAN</v>
      </c>
    </row>
    <row r="171" spans="1:7" x14ac:dyDescent="0.25">
      <c r="A171" s="8">
        <v>42895.683981481481</v>
      </c>
      <c r="B171" s="20" t="s">
        <v>553</v>
      </c>
      <c r="C171" s="20" t="s">
        <v>619</v>
      </c>
      <c r="D171" s="141">
        <v>2360000</v>
      </c>
      <c r="E171" s="20" t="s">
        <v>722</v>
      </c>
      <c r="F171" s="20" t="s">
        <v>723</v>
      </c>
      <c r="G171" s="8" t="str">
        <f t="shared" si="2"/>
        <v>BRANDNER MELINDA</v>
      </c>
    </row>
    <row r="172" spans="1:7" x14ac:dyDescent="0.25">
      <c r="A172" s="8">
        <v>42895.692685185182</v>
      </c>
      <c r="B172" s="20" t="s">
        <v>518</v>
      </c>
      <c r="C172" s="20" t="s">
        <v>617</v>
      </c>
      <c r="D172" s="141">
        <v>2350000</v>
      </c>
      <c r="E172" s="20" t="s">
        <v>526</v>
      </c>
      <c r="F172" s="20" t="s">
        <v>527</v>
      </c>
      <c r="G172" s="8" t="str">
        <f t="shared" si="2"/>
        <v>BERLING GARY</v>
      </c>
    </row>
    <row r="173" spans="1:7" x14ac:dyDescent="0.25">
      <c r="A173" s="8">
        <v>42895.693668981483</v>
      </c>
      <c r="B173" s="20" t="s">
        <v>597</v>
      </c>
      <c r="C173" s="20" t="s">
        <v>618</v>
      </c>
      <c r="D173" s="141">
        <v>1300000</v>
      </c>
      <c r="E173" s="20" t="s">
        <v>491</v>
      </c>
      <c r="F173" s="20" t="s">
        <v>492</v>
      </c>
      <c r="G173" s="8" t="str">
        <f t="shared" si="2"/>
        <v>LEVIN SCOTT</v>
      </c>
    </row>
    <row r="174" spans="1:7" x14ac:dyDescent="0.25">
      <c r="A174" s="8">
        <v>42895.696064814816</v>
      </c>
      <c r="B174" s="20" t="s">
        <v>504</v>
      </c>
      <c r="C174" s="20" t="s">
        <v>769</v>
      </c>
      <c r="D174" s="141">
        <v>880000</v>
      </c>
      <c r="E174" s="20" t="s">
        <v>508</v>
      </c>
      <c r="F174" s="20" t="s">
        <v>194</v>
      </c>
      <c r="G174" s="8" t="str">
        <f t="shared" si="2"/>
        <v>STEWART MICHAEL</v>
      </c>
    </row>
    <row r="175" spans="1:7" x14ac:dyDescent="0.25">
      <c r="A175" s="8">
        <v>42895.698379629626</v>
      </c>
      <c r="B175" s="20" t="s">
        <v>341</v>
      </c>
      <c r="C175" s="20" t="s">
        <v>770</v>
      </c>
      <c r="D175" s="141">
        <v>2540000</v>
      </c>
      <c r="E175" s="20" t="s">
        <v>758</v>
      </c>
      <c r="F175" s="20" t="s">
        <v>759</v>
      </c>
      <c r="G175" s="8" t="str">
        <f t="shared" si="2"/>
        <v>MCREYNOLDS KYLE</v>
      </c>
    </row>
    <row r="176" spans="1:7" x14ac:dyDescent="0.25">
      <c r="A176" s="8">
        <v>42895.699791666666</v>
      </c>
      <c r="B176" s="20" t="s">
        <v>483</v>
      </c>
      <c r="C176" s="20" t="s">
        <v>620</v>
      </c>
      <c r="D176" s="141">
        <v>1520000</v>
      </c>
      <c r="E176" s="20" t="s">
        <v>714</v>
      </c>
      <c r="F176" s="20" t="s">
        <v>715</v>
      </c>
      <c r="G176" s="8" t="str">
        <f t="shared" si="2"/>
        <v>MAYBERRY BILL</v>
      </c>
    </row>
    <row r="177" spans="1:7" x14ac:dyDescent="0.25">
      <c r="A177" s="8">
        <v>42895.705069444448</v>
      </c>
      <c r="B177" s="20" t="s">
        <v>407</v>
      </c>
      <c r="C177" s="20" t="s">
        <v>771</v>
      </c>
      <c r="D177" s="141">
        <v>1810000</v>
      </c>
      <c r="E177" s="20" t="s">
        <v>373</v>
      </c>
      <c r="F177" s="20" t="s">
        <v>191</v>
      </c>
      <c r="G177" s="8" t="str">
        <f t="shared" si="2"/>
        <v>NEWELL JAMES</v>
      </c>
    </row>
    <row r="178" spans="1:7" x14ac:dyDescent="0.25">
      <c r="A178" s="8">
        <v>42895.709027777775</v>
      </c>
      <c r="B178" s="20" t="s">
        <v>477</v>
      </c>
      <c r="C178" s="20" t="s">
        <v>623</v>
      </c>
      <c r="D178" s="141">
        <v>2440000</v>
      </c>
      <c r="E178" s="20" t="s">
        <v>772</v>
      </c>
      <c r="F178" s="20" t="s">
        <v>773</v>
      </c>
      <c r="G178" s="8" t="str">
        <f t="shared" si="2"/>
        <v>LOPES KIMBERLY</v>
      </c>
    </row>
    <row r="179" spans="1:7" x14ac:dyDescent="0.25">
      <c r="A179" s="8">
        <v>42895.714131944442</v>
      </c>
      <c r="B179" s="20" t="s">
        <v>342</v>
      </c>
      <c r="C179" s="20" t="s">
        <v>774</v>
      </c>
      <c r="D179" s="141">
        <v>2540000</v>
      </c>
      <c r="E179" s="20" t="s">
        <v>758</v>
      </c>
      <c r="F179" s="20" t="s">
        <v>759</v>
      </c>
      <c r="G179" s="8" t="str">
        <f t="shared" si="2"/>
        <v>MCREYNOLDS KYLE</v>
      </c>
    </row>
    <row r="180" spans="1:7" x14ac:dyDescent="0.25">
      <c r="A180" s="8">
        <v>42895.715879629628</v>
      </c>
      <c r="B180" s="20" t="s">
        <v>435</v>
      </c>
      <c r="C180" s="20" t="s">
        <v>624</v>
      </c>
      <c r="D180" s="141">
        <v>2420000</v>
      </c>
      <c r="E180" s="20" t="s">
        <v>524</v>
      </c>
      <c r="F180" s="20" t="s">
        <v>525</v>
      </c>
      <c r="G180" s="8" t="str">
        <f t="shared" si="2"/>
        <v>HOLCOMB KAMDEN</v>
      </c>
    </row>
    <row r="181" spans="1:7" x14ac:dyDescent="0.25">
      <c r="A181" s="8">
        <v>42895.717766203707</v>
      </c>
      <c r="B181" s="20" t="s">
        <v>592</v>
      </c>
      <c r="C181" s="20" t="s">
        <v>775</v>
      </c>
      <c r="D181" s="141">
        <v>2730000</v>
      </c>
      <c r="E181" s="20" t="s">
        <v>506</v>
      </c>
      <c r="F181" s="20" t="s">
        <v>507</v>
      </c>
      <c r="G181" s="8" t="str">
        <f t="shared" si="2"/>
        <v>YANG JAN</v>
      </c>
    </row>
    <row r="182" spans="1:7" x14ac:dyDescent="0.25">
      <c r="A182" s="8">
        <v>42895.720057870371</v>
      </c>
      <c r="B182" s="20" t="s">
        <v>621</v>
      </c>
      <c r="C182" s="20" t="s">
        <v>622</v>
      </c>
      <c r="D182" s="141">
        <v>1800000</v>
      </c>
      <c r="E182" s="20" t="s">
        <v>383</v>
      </c>
      <c r="F182" s="20" t="s">
        <v>384</v>
      </c>
      <c r="G182" s="8" t="str">
        <f t="shared" si="2"/>
        <v>CHANDLER KELVIN</v>
      </c>
    </row>
    <row r="183" spans="1:7" x14ac:dyDescent="0.25">
      <c r="A183" s="8">
        <v>42895.724756944444</v>
      </c>
      <c r="B183" s="20" t="s">
        <v>552</v>
      </c>
      <c r="C183" s="20" t="s">
        <v>776</v>
      </c>
      <c r="D183" s="141">
        <v>2360000</v>
      </c>
      <c r="E183" s="20" t="s">
        <v>722</v>
      </c>
      <c r="F183" s="20" t="s">
        <v>723</v>
      </c>
      <c r="G183" s="8" t="str">
        <f t="shared" si="2"/>
        <v>BRANDNER MELINDA</v>
      </c>
    </row>
    <row r="184" spans="1:7" x14ac:dyDescent="0.25">
      <c r="A184" s="8">
        <v>42895.726180555554</v>
      </c>
      <c r="B184" s="20" t="s">
        <v>475</v>
      </c>
      <c r="C184" s="20" t="s">
        <v>777</v>
      </c>
      <c r="D184" s="141">
        <v>1300000</v>
      </c>
      <c r="E184" s="20" t="s">
        <v>491</v>
      </c>
      <c r="F184" s="20" t="s">
        <v>492</v>
      </c>
      <c r="G184" s="8" t="str">
        <f t="shared" si="2"/>
        <v>LEVIN SCOTT</v>
      </c>
    </row>
    <row r="185" spans="1:7" x14ac:dyDescent="0.25">
      <c r="A185" s="8">
        <v>42895.72824074074</v>
      </c>
      <c r="B185" s="20" t="s">
        <v>341</v>
      </c>
      <c r="C185" s="20" t="s">
        <v>778</v>
      </c>
      <c r="D185" s="141">
        <v>2540000</v>
      </c>
      <c r="E185" s="20" t="s">
        <v>758</v>
      </c>
      <c r="F185" s="20" t="s">
        <v>759</v>
      </c>
      <c r="G185" s="8" t="str">
        <f t="shared" si="2"/>
        <v>MCREYNOLDS KYLE</v>
      </c>
    </row>
    <row r="186" spans="1:7" x14ac:dyDescent="0.25">
      <c r="A186" s="8">
        <v>42895.735081018516</v>
      </c>
      <c r="B186" s="20" t="s">
        <v>621</v>
      </c>
      <c r="C186" s="20" t="s">
        <v>622</v>
      </c>
      <c r="D186" s="141">
        <v>1800000</v>
      </c>
      <c r="E186" s="20" t="s">
        <v>383</v>
      </c>
      <c r="F186" s="20" t="s">
        <v>384</v>
      </c>
      <c r="G186" s="8" t="str">
        <f t="shared" si="2"/>
        <v>CHANDLER KELVIN</v>
      </c>
    </row>
    <row r="187" spans="1:7" x14ac:dyDescent="0.25">
      <c r="A187" s="8">
        <v>42895.736064814817</v>
      </c>
      <c r="B187" s="20" t="s">
        <v>371</v>
      </c>
      <c r="C187" s="20" t="s">
        <v>779</v>
      </c>
      <c r="D187" s="141">
        <v>3010000</v>
      </c>
      <c r="E187" s="20" t="s">
        <v>399</v>
      </c>
      <c r="F187" s="20" t="s">
        <v>400</v>
      </c>
      <c r="G187" s="8" t="str">
        <f t="shared" si="2"/>
        <v>SULLIVAN BRANDON</v>
      </c>
    </row>
    <row r="188" spans="1:7" x14ac:dyDescent="0.25">
      <c r="A188" s="8">
        <v>42895.736064814817</v>
      </c>
      <c r="B188" s="20" t="s">
        <v>518</v>
      </c>
      <c r="C188" s="20" t="s">
        <v>625</v>
      </c>
      <c r="D188" s="141">
        <v>2440000</v>
      </c>
      <c r="E188" s="20" t="s">
        <v>772</v>
      </c>
      <c r="F188" s="20" t="s">
        <v>773</v>
      </c>
      <c r="G188" s="8" t="str">
        <f t="shared" si="2"/>
        <v>LOPES KIMBERLY</v>
      </c>
    </row>
    <row r="189" spans="1:7" x14ac:dyDescent="0.25">
      <c r="A189" s="8">
        <v>42895.736481481479</v>
      </c>
      <c r="B189" s="20" t="s">
        <v>601</v>
      </c>
      <c r="C189" s="20" t="s">
        <v>626</v>
      </c>
      <c r="D189" s="141">
        <v>880000</v>
      </c>
      <c r="E189" s="20" t="s">
        <v>508</v>
      </c>
      <c r="F189" s="20" t="s">
        <v>194</v>
      </c>
      <c r="G189" s="8" t="str">
        <f t="shared" si="2"/>
        <v>STEWART MICHAEL</v>
      </c>
    </row>
    <row r="190" spans="1:7" x14ac:dyDescent="0.25">
      <c r="A190" s="8">
        <v>42895.738078703704</v>
      </c>
      <c r="B190" s="20" t="s">
        <v>554</v>
      </c>
      <c r="C190" s="20" t="s">
        <v>780</v>
      </c>
      <c r="D190" s="141">
        <v>1810000</v>
      </c>
      <c r="E190" s="20" t="s">
        <v>373</v>
      </c>
      <c r="F190" s="20" t="s">
        <v>191</v>
      </c>
      <c r="G190" s="8" t="str">
        <f t="shared" si="2"/>
        <v>NEWELL JAMES</v>
      </c>
    </row>
    <row r="191" spans="1:7" x14ac:dyDescent="0.25">
      <c r="A191" s="8">
        <v>42895.738553240742</v>
      </c>
      <c r="B191" s="20" t="s">
        <v>482</v>
      </c>
      <c r="C191" s="20" t="s">
        <v>781</v>
      </c>
      <c r="D191" s="141">
        <v>1540000</v>
      </c>
      <c r="E191" s="20" t="s">
        <v>487</v>
      </c>
      <c r="F191" s="20" t="s">
        <v>488</v>
      </c>
      <c r="G191" s="8" t="str">
        <f t="shared" si="2"/>
        <v>HELVIE ADAM</v>
      </c>
    </row>
    <row r="192" spans="1:7" x14ac:dyDescent="0.25">
      <c r="A192" s="8">
        <v>42895.746550925927</v>
      </c>
      <c r="B192" s="20" t="s">
        <v>437</v>
      </c>
      <c r="C192" s="20" t="s">
        <v>782</v>
      </c>
      <c r="D192" s="141">
        <v>2420000</v>
      </c>
      <c r="E192" s="20" t="s">
        <v>524</v>
      </c>
      <c r="F192" s="20" t="s">
        <v>525</v>
      </c>
      <c r="G192" s="8" t="str">
        <f t="shared" si="2"/>
        <v>HOLCOMB KAMDEN</v>
      </c>
    </row>
    <row r="193" spans="1:7" x14ac:dyDescent="0.25">
      <c r="A193" s="8">
        <v>42895.753958333335</v>
      </c>
      <c r="B193" s="20" t="s">
        <v>642</v>
      </c>
      <c r="C193" s="20" t="s">
        <v>783</v>
      </c>
      <c r="D193" s="141">
        <v>2730000</v>
      </c>
      <c r="E193" s="20" t="s">
        <v>506</v>
      </c>
      <c r="F193" s="20" t="s">
        <v>507</v>
      </c>
      <c r="G193" s="8" t="str">
        <f t="shared" si="2"/>
        <v>YANG JAN</v>
      </c>
    </row>
    <row r="194" spans="1:7" x14ac:dyDescent="0.25">
      <c r="A194" s="8">
        <v>42895.756701388891</v>
      </c>
      <c r="B194" s="20" t="s">
        <v>342</v>
      </c>
      <c r="C194" s="20" t="s">
        <v>784</v>
      </c>
      <c r="D194" s="141">
        <v>2540000</v>
      </c>
      <c r="E194" s="20" t="s">
        <v>758</v>
      </c>
      <c r="F194" s="20" t="s">
        <v>759</v>
      </c>
      <c r="G194" s="8" t="str">
        <f t="shared" si="2"/>
        <v>MCREYNOLDS KYLE</v>
      </c>
    </row>
    <row r="195" spans="1:7" x14ac:dyDescent="0.25">
      <c r="A195" s="8">
        <v>42895.758622685185</v>
      </c>
      <c r="B195" s="20" t="s">
        <v>553</v>
      </c>
      <c r="C195" s="20" t="s">
        <v>785</v>
      </c>
      <c r="D195" s="141">
        <v>3030000</v>
      </c>
      <c r="E195" s="20" t="s">
        <v>387</v>
      </c>
      <c r="F195" s="20" t="s">
        <v>372</v>
      </c>
      <c r="G195" s="8" t="str">
        <f t="shared" ref="G195:G258" si="3">E195&amp;" "&amp;F195</f>
        <v>BIRENBAUM THOMAS</v>
      </c>
    </row>
    <row r="196" spans="1:7" x14ac:dyDescent="0.25">
      <c r="A196" s="8">
        <v>42895.762708333335</v>
      </c>
      <c r="B196" s="20" t="s">
        <v>477</v>
      </c>
      <c r="C196" s="20" t="s">
        <v>786</v>
      </c>
      <c r="D196" s="141">
        <v>2440000</v>
      </c>
      <c r="E196" s="20" t="s">
        <v>772</v>
      </c>
      <c r="F196" s="20" t="s">
        <v>773</v>
      </c>
      <c r="G196" s="8" t="str">
        <f t="shared" si="3"/>
        <v>LOPES KIMBERLY</v>
      </c>
    </row>
    <row r="197" spans="1:7" x14ac:dyDescent="0.25">
      <c r="A197" s="8">
        <v>42895.766562500001</v>
      </c>
      <c r="B197" s="20" t="s">
        <v>597</v>
      </c>
      <c r="C197" s="20" t="s">
        <v>787</v>
      </c>
      <c r="D197" s="141">
        <v>1300000</v>
      </c>
      <c r="E197" s="20" t="s">
        <v>491</v>
      </c>
      <c r="F197" s="20" t="s">
        <v>492</v>
      </c>
      <c r="G197" s="8" t="str">
        <f t="shared" si="3"/>
        <v>LEVIN SCOTT</v>
      </c>
    </row>
    <row r="198" spans="1:7" x14ac:dyDescent="0.25">
      <c r="A198" s="8">
        <v>42895.767245370371</v>
      </c>
      <c r="B198" s="20" t="s">
        <v>504</v>
      </c>
      <c r="C198" s="20" t="s">
        <v>788</v>
      </c>
      <c r="D198" s="141">
        <v>3000000</v>
      </c>
      <c r="E198" s="20" t="s">
        <v>439</v>
      </c>
      <c r="F198" s="20" t="s">
        <v>440</v>
      </c>
      <c r="G198" s="8" t="str">
        <f t="shared" si="3"/>
        <v>FORTUNATO FRANK</v>
      </c>
    </row>
    <row r="199" spans="1:7" x14ac:dyDescent="0.25">
      <c r="A199" s="8">
        <v>42895.776550925926</v>
      </c>
      <c r="B199" s="20" t="s">
        <v>518</v>
      </c>
      <c r="C199" s="20" t="s">
        <v>789</v>
      </c>
      <c r="D199" s="141">
        <v>2440000</v>
      </c>
      <c r="E199" s="20" t="s">
        <v>772</v>
      </c>
      <c r="F199" s="20" t="s">
        <v>773</v>
      </c>
      <c r="G199" s="8" t="str">
        <f t="shared" si="3"/>
        <v>LOPES KIMBERLY</v>
      </c>
    </row>
    <row r="200" spans="1:7" x14ac:dyDescent="0.25">
      <c r="A200" s="8">
        <v>42895.777268518519</v>
      </c>
      <c r="B200" s="20" t="s">
        <v>483</v>
      </c>
      <c r="C200" s="20" t="s">
        <v>790</v>
      </c>
      <c r="D200" s="141">
        <v>1540000</v>
      </c>
      <c r="E200" s="20" t="s">
        <v>487</v>
      </c>
      <c r="F200" s="20" t="s">
        <v>488</v>
      </c>
      <c r="G200" s="8" t="str">
        <f t="shared" si="3"/>
        <v>HELVIE ADAM</v>
      </c>
    </row>
    <row r="201" spans="1:7" x14ac:dyDescent="0.25">
      <c r="A201" s="8">
        <v>42895.782199074078</v>
      </c>
      <c r="B201" s="20" t="s">
        <v>341</v>
      </c>
      <c r="C201" s="20" t="s">
        <v>791</v>
      </c>
      <c r="D201" s="141">
        <v>2540000</v>
      </c>
      <c r="E201" s="20" t="s">
        <v>758</v>
      </c>
      <c r="F201" s="20" t="s">
        <v>759</v>
      </c>
      <c r="G201" s="8" t="str">
        <f t="shared" si="3"/>
        <v>MCREYNOLDS KYLE</v>
      </c>
    </row>
    <row r="202" spans="1:7" x14ac:dyDescent="0.25">
      <c r="A202" s="26">
        <v>42895.784930555557</v>
      </c>
      <c r="B202" s="20" t="s">
        <v>407</v>
      </c>
      <c r="C202" s="20" t="s">
        <v>792</v>
      </c>
      <c r="D202" s="141">
        <v>3130000</v>
      </c>
      <c r="E202" s="20" t="s">
        <v>390</v>
      </c>
      <c r="F202" s="20" t="s">
        <v>391</v>
      </c>
      <c r="G202" s="8" t="str">
        <f t="shared" si="3"/>
        <v>ZEWDU DEREJE</v>
      </c>
    </row>
    <row r="203" spans="1:7" x14ac:dyDescent="0.25">
      <c r="A203" s="8">
        <v>42895.789131944446</v>
      </c>
      <c r="B203" s="20" t="s">
        <v>435</v>
      </c>
      <c r="C203" s="20" t="s">
        <v>793</v>
      </c>
      <c r="D203" s="141">
        <v>2420000</v>
      </c>
      <c r="E203" s="20" t="s">
        <v>524</v>
      </c>
      <c r="F203" s="20" t="s">
        <v>525</v>
      </c>
      <c r="G203" s="8" t="str">
        <f t="shared" si="3"/>
        <v>HOLCOMB KAMDEN</v>
      </c>
    </row>
    <row r="204" spans="1:7" x14ac:dyDescent="0.25">
      <c r="A204" s="8">
        <v>42895.794490740744</v>
      </c>
      <c r="B204" s="20" t="s">
        <v>477</v>
      </c>
      <c r="C204" s="20" t="s">
        <v>794</v>
      </c>
      <c r="D204" s="141">
        <v>2440000</v>
      </c>
      <c r="E204" s="20" t="s">
        <v>772</v>
      </c>
      <c r="F204" s="20" t="s">
        <v>773</v>
      </c>
      <c r="G204" s="8" t="str">
        <f t="shared" si="3"/>
        <v>LOPES KIMBERLY</v>
      </c>
    </row>
    <row r="205" spans="1:7" x14ac:dyDescent="0.25">
      <c r="A205" s="8">
        <v>42895.796909722223</v>
      </c>
      <c r="B205" s="20" t="s">
        <v>552</v>
      </c>
      <c r="C205" s="20" t="s">
        <v>628</v>
      </c>
      <c r="D205" s="141">
        <v>3030000</v>
      </c>
      <c r="E205" s="20" t="s">
        <v>387</v>
      </c>
      <c r="F205" s="20" t="s">
        <v>372</v>
      </c>
      <c r="G205" s="8" t="str">
        <f t="shared" si="3"/>
        <v>BIRENBAUM THOMAS</v>
      </c>
    </row>
    <row r="206" spans="1:7" x14ac:dyDescent="0.25">
      <c r="A206" s="8">
        <v>42895.797384259262</v>
      </c>
      <c r="B206" s="20" t="s">
        <v>342</v>
      </c>
      <c r="C206" s="20" t="s">
        <v>795</v>
      </c>
      <c r="D206" s="141">
        <v>2540000</v>
      </c>
      <c r="E206" s="20" t="s">
        <v>758</v>
      </c>
      <c r="F206" s="20" t="s">
        <v>759</v>
      </c>
      <c r="G206" s="8" t="str">
        <f t="shared" si="3"/>
        <v>MCREYNOLDS KYLE</v>
      </c>
    </row>
    <row r="207" spans="1:7" x14ac:dyDescent="0.25">
      <c r="A207" s="8">
        <v>42895.797986111109</v>
      </c>
      <c r="B207" s="20" t="s">
        <v>475</v>
      </c>
      <c r="C207" s="20" t="s">
        <v>796</v>
      </c>
      <c r="D207" s="141">
        <v>1300000</v>
      </c>
      <c r="E207" s="20" t="s">
        <v>491</v>
      </c>
      <c r="F207" s="20" t="s">
        <v>492</v>
      </c>
      <c r="G207" s="8" t="str">
        <f t="shared" si="3"/>
        <v>LEVIN SCOTT</v>
      </c>
    </row>
    <row r="208" spans="1:7" x14ac:dyDescent="0.25">
      <c r="A208" s="8">
        <v>42895.800208333334</v>
      </c>
      <c r="B208" s="20" t="s">
        <v>592</v>
      </c>
      <c r="C208" s="20" t="s">
        <v>627</v>
      </c>
      <c r="D208" s="141">
        <v>1810000</v>
      </c>
      <c r="E208" s="20" t="s">
        <v>373</v>
      </c>
      <c r="F208" s="20" t="s">
        <v>191</v>
      </c>
      <c r="G208" s="8" t="str">
        <f t="shared" si="3"/>
        <v>NEWELL JAMES</v>
      </c>
    </row>
    <row r="209" spans="1:7" x14ac:dyDescent="0.25">
      <c r="A209" s="8">
        <v>42895.805902777778</v>
      </c>
      <c r="B209" s="20" t="s">
        <v>341</v>
      </c>
      <c r="C209" s="20" t="s">
        <v>795</v>
      </c>
      <c r="D209" s="141">
        <v>2540000</v>
      </c>
      <c r="E209" s="20" t="s">
        <v>758</v>
      </c>
      <c r="F209" s="20" t="s">
        <v>759</v>
      </c>
      <c r="G209" s="8" t="str">
        <f t="shared" si="3"/>
        <v>MCREYNOLDS KYLE</v>
      </c>
    </row>
    <row r="210" spans="1:7" x14ac:dyDescent="0.25">
      <c r="A210" s="8">
        <v>42895.807210648149</v>
      </c>
      <c r="B210" s="20" t="s">
        <v>601</v>
      </c>
      <c r="C210" s="20" t="s">
        <v>797</v>
      </c>
      <c r="D210" s="141">
        <v>3000000</v>
      </c>
      <c r="E210" s="20" t="s">
        <v>439</v>
      </c>
      <c r="F210" s="20" t="s">
        <v>440</v>
      </c>
      <c r="G210" s="8" t="str">
        <f t="shared" si="3"/>
        <v>FORTUNATO FRANK</v>
      </c>
    </row>
    <row r="211" spans="1:7" x14ac:dyDescent="0.25">
      <c r="A211" s="8">
        <v>42895.812928240739</v>
      </c>
      <c r="B211" s="20" t="s">
        <v>482</v>
      </c>
      <c r="C211" s="20" t="s">
        <v>629</v>
      </c>
      <c r="D211" s="141">
        <v>1540000</v>
      </c>
      <c r="E211" s="20" t="s">
        <v>487</v>
      </c>
      <c r="F211" s="20" t="s">
        <v>488</v>
      </c>
      <c r="G211" s="8" t="str">
        <f t="shared" si="3"/>
        <v>HELVIE ADAM</v>
      </c>
    </row>
    <row r="212" spans="1:7" x14ac:dyDescent="0.25">
      <c r="A212" s="8">
        <v>42895.817187499997</v>
      </c>
      <c r="B212" s="20" t="s">
        <v>518</v>
      </c>
      <c r="C212" s="20" t="s">
        <v>798</v>
      </c>
      <c r="D212" s="141">
        <v>2440000</v>
      </c>
      <c r="E212" s="20" t="s">
        <v>772</v>
      </c>
      <c r="F212" s="20" t="s">
        <v>773</v>
      </c>
      <c r="G212" s="8" t="str">
        <f t="shared" si="3"/>
        <v>LOPES KIMBERLY</v>
      </c>
    </row>
    <row r="213" spans="1:7" x14ac:dyDescent="0.25">
      <c r="A213" s="8">
        <v>42895.819305555553</v>
      </c>
      <c r="B213" s="20" t="s">
        <v>437</v>
      </c>
      <c r="C213" s="20" t="s">
        <v>799</v>
      </c>
      <c r="D213" s="141">
        <v>2420000</v>
      </c>
      <c r="E213" s="20" t="s">
        <v>524</v>
      </c>
      <c r="F213" s="20" t="s">
        <v>525</v>
      </c>
      <c r="G213" s="8" t="str">
        <f t="shared" si="3"/>
        <v>HOLCOMB KAMDEN</v>
      </c>
    </row>
    <row r="214" spans="1:7" x14ac:dyDescent="0.25">
      <c r="A214" s="8">
        <v>42895.829872685186</v>
      </c>
      <c r="B214" s="20" t="s">
        <v>554</v>
      </c>
      <c r="C214" s="20" t="s">
        <v>800</v>
      </c>
      <c r="D214" s="141">
        <v>3130000</v>
      </c>
      <c r="E214" s="20" t="s">
        <v>390</v>
      </c>
      <c r="F214" s="20" t="s">
        <v>391</v>
      </c>
      <c r="G214" s="8" t="str">
        <f t="shared" si="3"/>
        <v>ZEWDU DEREJE</v>
      </c>
    </row>
    <row r="215" spans="1:7" x14ac:dyDescent="0.25">
      <c r="A215" s="8">
        <v>42895.830011574071</v>
      </c>
      <c r="B215" s="20" t="s">
        <v>553</v>
      </c>
      <c r="C215" s="20" t="s">
        <v>801</v>
      </c>
      <c r="D215" s="141">
        <v>3030000</v>
      </c>
      <c r="E215" s="20" t="s">
        <v>387</v>
      </c>
      <c r="F215" s="20" t="s">
        <v>372</v>
      </c>
      <c r="G215" s="8" t="str">
        <f t="shared" si="3"/>
        <v>BIRENBAUM THOMAS</v>
      </c>
    </row>
    <row r="216" spans="1:7" x14ac:dyDescent="0.25">
      <c r="A216" s="8">
        <v>42895.831145833334</v>
      </c>
      <c r="B216" s="20" t="s">
        <v>343</v>
      </c>
      <c r="C216" s="20" t="s">
        <v>802</v>
      </c>
      <c r="D216" s="141">
        <v>3010000</v>
      </c>
      <c r="E216" s="20" t="s">
        <v>399</v>
      </c>
      <c r="F216" s="20" t="s">
        <v>400</v>
      </c>
      <c r="G216" s="8" t="str">
        <f t="shared" si="3"/>
        <v>SULLIVAN BRANDON</v>
      </c>
    </row>
    <row r="217" spans="1:7" x14ac:dyDescent="0.25">
      <c r="A217" s="8">
        <v>42895.839444444442</v>
      </c>
      <c r="B217" s="20" t="s">
        <v>477</v>
      </c>
      <c r="C217" s="20" t="s">
        <v>803</v>
      </c>
      <c r="D217" s="141">
        <v>2440000</v>
      </c>
      <c r="E217" s="20" t="s">
        <v>772</v>
      </c>
      <c r="F217" s="20" t="s">
        <v>773</v>
      </c>
      <c r="G217" s="8" t="str">
        <f t="shared" si="3"/>
        <v>LOPES KIMBERLY</v>
      </c>
    </row>
    <row r="218" spans="1:7" x14ac:dyDescent="0.25">
      <c r="A218" s="8">
        <v>42895.841932870368</v>
      </c>
      <c r="B218" s="20" t="s">
        <v>371</v>
      </c>
      <c r="C218" s="20" t="s">
        <v>802</v>
      </c>
      <c r="D218" s="141">
        <v>3010000</v>
      </c>
      <c r="E218" s="20" t="s">
        <v>399</v>
      </c>
      <c r="F218" s="20" t="s">
        <v>400</v>
      </c>
      <c r="G218" s="8" t="str">
        <f t="shared" si="3"/>
        <v>SULLIVAN BRANDON</v>
      </c>
    </row>
    <row r="219" spans="1:7" x14ac:dyDescent="0.25">
      <c r="A219" s="8">
        <v>42895.847245370373</v>
      </c>
      <c r="B219" s="20" t="s">
        <v>504</v>
      </c>
      <c r="C219" s="20" t="s">
        <v>804</v>
      </c>
      <c r="D219" s="141">
        <v>3000000</v>
      </c>
      <c r="E219" s="20" t="s">
        <v>439</v>
      </c>
      <c r="F219" s="20" t="s">
        <v>440</v>
      </c>
      <c r="G219" s="8" t="str">
        <f t="shared" si="3"/>
        <v>FORTUNATO FRANK</v>
      </c>
    </row>
    <row r="220" spans="1:7" x14ac:dyDescent="0.25">
      <c r="A220" s="8">
        <v>42895.850891203707</v>
      </c>
      <c r="B220" s="20" t="s">
        <v>483</v>
      </c>
      <c r="C220" s="20" t="s">
        <v>805</v>
      </c>
      <c r="D220" s="141">
        <v>1540000</v>
      </c>
      <c r="E220" s="20" t="s">
        <v>487</v>
      </c>
      <c r="F220" s="20" t="s">
        <v>488</v>
      </c>
      <c r="G220" s="8" t="str">
        <f t="shared" si="3"/>
        <v>HELVIE ADAM</v>
      </c>
    </row>
    <row r="221" spans="1:7" x14ac:dyDescent="0.25">
      <c r="A221" s="8">
        <v>42895.85261574074</v>
      </c>
      <c r="B221" s="20" t="s">
        <v>483</v>
      </c>
      <c r="C221" s="20" t="s">
        <v>805</v>
      </c>
      <c r="D221" s="141">
        <v>1540000</v>
      </c>
      <c r="E221" s="20" t="s">
        <v>487</v>
      </c>
      <c r="F221" s="20" t="s">
        <v>488</v>
      </c>
      <c r="G221" s="8" t="str">
        <f t="shared" si="3"/>
        <v>HELVIE ADAM</v>
      </c>
    </row>
    <row r="222" spans="1:7" x14ac:dyDescent="0.25">
      <c r="A222" s="8">
        <v>42895.859837962962</v>
      </c>
      <c r="B222" s="20" t="s">
        <v>518</v>
      </c>
      <c r="C222" s="20" t="s">
        <v>630</v>
      </c>
      <c r="D222" s="141">
        <v>2440000</v>
      </c>
      <c r="E222" s="20" t="s">
        <v>772</v>
      </c>
      <c r="F222" s="20" t="s">
        <v>773</v>
      </c>
      <c r="G222" s="8" t="str">
        <f t="shared" si="3"/>
        <v>LOPES KIMBERLY</v>
      </c>
    </row>
    <row r="223" spans="1:7" x14ac:dyDescent="0.25">
      <c r="A223" s="8">
        <v>42895.867326388892</v>
      </c>
      <c r="B223" s="20" t="s">
        <v>552</v>
      </c>
      <c r="C223" s="20" t="s">
        <v>806</v>
      </c>
      <c r="D223" s="141">
        <v>3030000</v>
      </c>
      <c r="E223" s="20" t="s">
        <v>387</v>
      </c>
      <c r="F223" s="20" t="s">
        <v>372</v>
      </c>
      <c r="G223" s="8" t="str">
        <f t="shared" si="3"/>
        <v>BIRENBAUM THOMAS</v>
      </c>
    </row>
    <row r="224" spans="1:7" x14ac:dyDescent="0.25">
      <c r="A224" s="8">
        <v>42895.867384259262</v>
      </c>
      <c r="B224" t="s">
        <v>343</v>
      </c>
      <c r="C224" t="s">
        <v>800</v>
      </c>
      <c r="D224" s="141">
        <v>3130000</v>
      </c>
      <c r="E224" t="s">
        <v>390</v>
      </c>
      <c r="F224" s="20" t="s">
        <v>391</v>
      </c>
      <c r="G224" s="8" t="str">
        <f t="shared" si="3"/>
        <v>ZEWDU DEREJE</v>
      </c>
    </row>
    <row r="225" spans="1:7" x14ac:dyDescent="0.25">
      <c r="A225" s="8">
        <v>42895.871782407405</v>
      </c>
      <c r="B225" t="s">
        <v>343</v>
      </c>
      <c r="C225" t="s">
        <v>807</v>
      </c>
      <c r="D225" s="141">
        <v>3090000</v>
      </c>
      <c r="E225" t="s">
        <v>381</v>
      </c>
      <c r="F225" s="20" t="s">
        <v>382</v>
      </c>
      <c r="G225" s="8" t="str">
        <f t="shared" si="3"/>
        <v>LAMAR NEKESHA</v>
      </c>
    </row>
    <row r="226" spans="1:7" x14ac:dyDescent="0.25">
      <c r="A226" s="8">
        <v>42895.877604166664</v>
      </c>
      <c r="B226" t="s">
        <v>477</v>
      </c>
      <c r="C226" t="s">
        <v>808</v>
      </c>
      <c r="D226" s="141">
        <v>2540000</v>
      </c>
      <c r="E226" t="s">
        <v>758</v>
      </c>
      <c r="F226" s="20" t="s">
        <v>759</v>
      </c>
      <c r="G226" s="8" t="str">
        <f t="shared" si="3"/>
        <v>MCREYNOLDS KYLE</v>
      </c>
    </row>
    <row r="227" spans="1:7" x14ac:dyDescent="0.25">
      <c r="A227" s="8">
        <v>42895.884641203702</v>
      </c>
      <c r="B227" t="s">
        <v>601</v>
      </c>
      <c r="C227" t="s">
        <v>809</v>
      </c>
      <c r="D227" s="141">
        <v>3000000</v>
      </c>
      <c r="E227" t="s">
        <v>439</v>
      </c>
      <c r="F227" s="20" t="s">
        <v>440</v>
      </c>
      <c r="G227" s="8" t="str">
        <f t="shared" si="3"/>
        <v>FORTUNATO FRANK</v>
      </c>
    </row>
    <row r="228" spans="1:7" x14ac:dyDescent="0.25">
      <c r="A228" s="8">
        <v>42895.894155092596</v>
      </c>
      <c r="B228" t="s">
        <v>482</v>
      </c>
      <c r="C228" t="s">
        <v>810</v>
      </c>
      <c r="D228" s="141">
        <v>1540000</v>
      </c>
      <c r="E228" t="s">
        <v>487</v>
      </c>
      <c r="F228" s="20" t="s">
        <v>488</v>
      </c>
      <c r="G228" s="8" t="str">
        <f t="shared" si="3"/>
        <v>HELVIE ADAM</v>
      </c>
    </row>
    <row r="229" spans="1:7" x14ac:dyDescent="0.25">
      <c r="A229" s="8">
        <v>42895.901504629626</v>
      </c>
      <c r="B229" t="s">
        <v>518</v>
      </c>
      <c r="C229" t="s">
        <v>811</v>
      </c>
      <c r="D229" s="141">
        <v>2540000</v>
      </c>
      <c r="E229" t="s">
        <v>758</v>
      </c>
      <c r="F229" s="20" t="s">
        <v>759</v>
      </c>
      <c r="G229" s="8" t="str">
        <f t="shared" si="3"/>
        <v>MCREYNOLDS KYLE</v>
      </c>
    </row>
    <row r="230" spans="1:7" x14ac:dyDescent="0.25">
      <c r="A230" s="8">
        <v>42895.909560185188</v>
      </c>
      <c r="B230" t="s">
        <v>371</v>
      </c>
      <c r="C230" t="s">
        <v>812</v>
      </c>
      <c r="D230" s="141">
        <v>3090000</v>
      </c>
      <c r="E230" t="s">
        <v>381</v>
      </c>
      <c r="F230" s="20" t="s">
        <v>382</v>
      </c>
      <c r="G230" s="8" t="str">
        <f t="shared" si="3"/>
        <v>LAMAR NEKESHA</v>
      </c>
    </row>
    <row r="231" spans="1:7" x14ac:dyDescent="0.25">
      <c r="A231" s="8">
        <v>42895.912962962961</v>
      </c>
      <c r="B231" t="s">
        <v>553</v>
      </c>
      <c r="C231" t="s">
        <v>813</v>
      </c>
      <c r="D231" s="141">
        <v>3030000</v>
      </c>
      <c r="E231" t="s">
        <v>387</v>
      </c>
      <c r="F231" s="20" t="s">
        <v>372</v>
      </c>
      <c r="G231" s="8" t="str">
        <f t="shared" si="3"/>
        <v>BIRENBAUM THOMAS</v>
      </c>
    </row>
    <row r="232" spans="1:7" x14ac:dyDescent="0.25">
      <c r="A232" s="8">
        <v>42895.915150462963</v>
      </c>
      <c r="B232" t="s">
        <v>477</v>
      </c>
      <c r="C232" t="s">
        <v>814</v>
      </c>
      <c r="D232" s="141">
        <v>2540000</v>
      </c>
      <c r="E232" t="s">
        <v>758</v>
      </c>
      <c r="F232" s="20" t="s">
        <v>759</v>
      </c>
      <c r="G232" s="8" t="str">
        <f t="shared" si="3"/>
        <v>MCREYNOLDS KYLE</v>
      </c>
    </row>
    <row r="233" spans="1:7" x14ac:dyDescent="0.25">
      <c r="A233" s="8">
        <v>42895.926400462966</v>
      </c>
      <c r="B233" t="s">
        <v>504</v>
      </c>
      <c r="C233" t="s">
        <v>631</v>
      </c>
      <c r="D233" s="141">
        <v>3000000</v>
      </c>
      <c r="E233" t="s">
        <v>439</v>
      </c>
      <c r="F233" s="20" t="s">
        <v>440</v>
      </c>
      <c r="G233" s="8" t="str">
        <f t="shared" si="3"/>
        <v>FORTUNATO FRANK</v>
      </c>
    </row>
    <row r="234" spans="1:7" x14ac:dyDescent="0.25">
      <c r="A234" s="8">
        <v>42895.932233796295</v>
      </c>
      <c r="B234" t="s">
        <v>483</v>
      </c>
      <c r="C234" t="s">
        <v>815</v>
      </c>
      <c r="D234" s="141">
        <v>1540000</v>
      </c>
      <c r="E234" t="s">
        <v>487</v>
      </c>
      <c r="F234" s="20" t="s">
        <v>488</v>
      </c>
      <c r="G234" s="8" t="str">
        <f t="shared" si="3"/>
        <v>HELVIE ADAM</v>
      </c>
    </row>
    <row r="235" spans="1:7" x14ac:dyDescent="0.25">
      <c r="A235" s="8">
        <v>42895.943553240744</v>
      </c>
      <c r="B235" t="s">
        <v>518</v>
      </c>
      <c r="C235" t="s">
        <v>816</v>
      </c>
      <c r="D235" s="141">
        <v>2540000</v>
      </c>
      <c r="E235" t="s">
        <v>758</v>
      </c>
      <c r="F235" s="20" t="s">
        <v>759</v>
      </c>
      <c r="G235" s="8" t="str">
        <f t="shared" si="3"/>
        <v>MCREYNOLDS KYLE</v>
      </c>
    </row>
    <row r="236" spans="1:7" x14ac:dyDescent="0.25">
      <c r="A236" s="8">
        <v>42895.953888888886</v>
      </c>
      <c r="B236" t="s">
        <v>552</v>
      </c>
      <c r="C236" t="s">
        <v>817</v>
      </c>
      <c r="D236" s="141">
        <v>3030000</v>
      </c>
      <c r="E236" t="s">
        <v>387</v>
      </c>
      <c r="F236" s="20" t="s">
        <v>372</v>
      </c>
      <c r="G236" s="8" t="str">
        <f t="shared" si="3"/>
        <v>BIRENBAUM THOMAS</v>
      </c>
    </row>
    <row r="237" spans="1:7" x14ac:dyDescent="0.25">
      <c r="A237" s="8">
        <v>42895.956458333334</v>
      </c>
      <c r="B237" t="s">
        <v>343</v>
      </c>
      <c r="C237" t="s">
        <v>818</v>
      </c>
      <c r="D237" s="141">
        <v>3130000</v>
      </c>
      <c r="E237" t="s">
        <v>390</v>
      </c>
      <c r="F237" s="20" t="s">
        <v>391</v>
      </c>
      <c r="G237" s="8" t="str">
        <f t="shared" si="3"/>
        <v>ZEWDU DEREJE</v>
      </c>
    </row>
    <row r="238" spans="1:7" x14ac:dyDescent="0.25">
      <c r="A238" s="8">
        <v>42895.965219907404</v>
      </c>
      <c r="B238" t="s">
        <v>407</v>
      </c>
      <c r="C238" t="s">
        <v>819</v>
      </c>
      <c r="D238" s="141">
        <v>3010000</v>
      </c>
      <c r="E238" t="s">
        <v>399</v>
      </c>
      <c r="F238" s="20" t="s">
        <v>400</v>
      </c>
      <c r="G238" s="8" t="str">
        <f t="shared" si="3"/>
        <v>SULLIVAN BRANDON</v>
      </c>
    </row>
    <row r="239" spans="1:7" x14ac:dyDescent="0.25">
      <c r="A239" s="8">
        <v>42895.966284722221</v>
      </c>
      <c r="B239" t="s">
        <v>601</v>
      </c>
      <c r="C239" t="s">
        <v>820</v>
      </c>
      <c r="D239" s="141">
        <v>3000000</v>
      </c>
      <c r="E239" t="s">
        <v>439</v>
      </c>
      <c r="F239" s="20" t="s">
        <v>440</v>
      </c>
      <c r="G239" s="8" t="str">
        <f t="shared" si="3"/>
        <v>FORTUNATO FRANK</v>
      </c>
    </row>
    <row r="240" spans="1:7" x14ac:dyDescent="0.25">
      <c r="A240" s="8">
        <v>42895.968518518515</v>
      </c>
      <c r="B240" t="s">
        <v>554</v>
      </c>
      <c r="C240" t="s">
        <v>821</v>
      </c>
      <c r="D240" s="141">
        <v>3010000</v>
      </c>
      <c r="E240" t="s">
        <v>399</v>
      </c>
      <c r="F240" s="20" t="s">
        <v>400</v>
      </c>
      <c r="G240" s="8" t="str">
        <f t="shared" si="3"/>
        <v>SULLIVAN BRANDON</v>
      </c>
    </row>
    <row r="241" spans="1:7" x14ac:dyDescent="0.25">
      <c r="A241" s="8">
        <v>42895.975173611114</v>
      </c>
      <c r="B241" t="s">
        <v>482</v>
      </c>
      <c r="C241" t="s">
        <v>822</v>
      </c>
      <c r="D241" s="141">
        <v>1540000</v>
      </c>
      <c r="E241" t="s">
        <v>487</v>
      </c>
      <c r="F241" s="20" t="s">
        <v>488</v>
      </c>
      <c r="G241" s="8" t="str">
        <f t="shared" si="3"/>
        <v>HELVIE ADAM</v>
      </c>
    </row>
    <row r="242" spans="1:7" x14ac:dyDescent="0.25">
      <c r="A242" s="8">
        <v>42895.992164351854</v>
      </c>
      <c r="B242" t="s">
        <v>371</v>
      </c>
      <c r="C242" t="s">
        <v>633</v>
      </c>
      <c r="D242" s="141">
        <v>3090000</v>
      </c>
      <c r="E242" t="s">
        <v>381</v>
      </c>
      <c r="F242" s="20" t="s">
        <v>382</v>
      </c>
      <c r="G242" s="8" t="str">
        <f t="shared" si="3"/>
        <v>LAMAR NEKESHA</v>
      </c>
    </row>
    <row r="243" spans="1:7" x14ac:dyDescent="0.25">
      <c r="A243" s="8">
        <v>42895.995891203704</v>
      </c>
      <c r="B243" t="s">
        <v>553</v>
      </c>
      <c r="C243" t="s">
        <v>632</v>
      </c>
      <c r="D243" s="141">
        <v>3030000</v>
      </c>
      <c r="E243" t="s">
        <v>387</v>
      </c>
      <c r="F243" s="20" t="s">
        <v>372</v>
      </c>
      <c r="G243" s="8" t="str">
        <f t="shared" si="3"/>
        <v>BIRENBAUM THOMAS</v>
      </c>
    </row>
    <row r="244" spans="1:7" x14ac:dyDescent="0.25">
      <c r="A244" s="8">
        <v>42896.006863425922</v>
      </c>
      <c r="B244" t="s">
        <v>504</v>
      </c>
      <c r="C244" t="s">
        <v>823</v>
      </c>
      <c r="D244" s="141">
        <v>3000000</v>
      </c>
      <c r="E244" t="s">
        <v>439</v>
      </c>
      <c r="F244" s="20" t="s">
        <v>440</v>
      </c>
      <c r="G244" s="8" t="str">
        <f t="shared" si="3"/>
        <v>FORTUNATO FRANK</v>
      </c>
    </row>
    <row r="245" spans="1:7" x14ac:dyDescent="0.25">
      <c r="A245" s="8">
        <v>42896.011655092596</v>
      </c>
      <c r="B245" t="s">
        <v>553</v>
      </c>
      <c r="C245" t="s">
        <v>632</v>
      </c>
      <c r="D245" s="141">
        <v>3030000</v>
      </c>
      <c r="E245" t="s">
        <v>387</v>
      </c>
      <c r="F245" s="20" t="s">
        <v>372</v>
      </c>
      <c r="G245" s="8" t="str">
        <f t="shared" si="3"/>
        <v>BIRENBAUM THOMAS</v>
      </c>
    </row>
    <row r="246" spans="1:7" x14ac:dyDescent="0.25">
      <c r="A246" s="8">
        <v>42896.014861111114</v>
      </c>
      <c r="B246" t="s">
        <v>483</v>
      </c>
      <c r="C246" t="s">
        <v>634</v>
      </c>
      <c r="D246" s="141">
        <v>1540000</v>
      </c>
      <c r="E246" t="s">
        <v>487</v>
      </c>
      <c r="F246" s="20" t="s">
        <v>488</v>
      </c>
      <c r="G246" s="8" t="str">
        <f t="shared" si="3"/>
        <v>HELVIE ADAM</v>
      </c>
    </row>
    <row r="247" spans="1:7" x14ac:dyDescent="0.25">
      <c r="A247" s="8">
        <v>42896.035694444443</v>
      </c>
      <c r="B247" t="s">
        <v>552</v>
      </c>
      <c r="C247" t="s">
        <v>635</v>
      </c>
      <c r="D247" s="141">
        <v>3030000</v>
      </c>
      <c r="E247" t="s">
        <v>387</v>
      </c>
      <c r="F247" s="20" t="s">
        <v>372</v>
      </c>
      <c r="G247" s="8" t="str">
        <f t="shared" si="3"/>
        <v>BIRENBAUM THOMAS</v>
      </c>
    </row>
    <row r="248" spans="1:7" x14ac:dyDescent="0.25">
      <c r="A248" s="8">
        <v>42896.036608796298</v>
      </c>
      <c r="B248" t="s">
        <v>407</v>
      </c>
      <c r="C248" t="s">
        <v>824</v>
      </c>
      <c r="D248" s="141">
        <v>3090000</v>
      </c>
      <c r="E248" t="s">
        <v>381</v>
      </c>
      <c r="F248" s="20" t="s">
        <v>382</v>
      </c>
      <c r="G248" s="8" t="str">
        <f t="shared" si="3"/>
        <v>LAMAR NEKESHA</v>
      </c>
    </row>
    <row r="249" spans="1:7" x14ac:dyDescent="0.25">
      <c r="A249" s="8">
        <v>42896.04928240741</v>
      </c>
      <c r="B249" t="s">
        <v>601</v>
      </c>
      <c r="C249" t="s">
        <v>825</v>
      </c>
      <c r="D249" s="141">
        <v>3000000</v>
      </c>
      <c r="E249" t="s">
        <v>439</v>
      </c>
      <c r="F249" s="20" t="s">
        <v>440</v>
      </c>
      <c r="G249" s="8" t="str">
        <f t="shared" si="3"/>
        <v>FORTUNATO FRANK</v>
      </c>
    </row>
    <row r="250" spans="1:7" x14ac:dyDescent="0.25">
      <c r="A250" s="8">
        <v>42896.050185185188</v>
      </c>
      <c r="B250" t="s">
        <v>482</v>
      </c>
      <c r="C250" t="s">
        <v>826</v>
      </c>
      <c r="D250" s="141">
        <v>1540000</v>
      </c>
      <c r="E250" t="s">
        <v>487</v>
      </c>
      <c r="F250" s="20" t="s">
        <v>488</v>
      </c>
      <c r="G250" s="8" t="str">
        <f t="shared" si="3"/>
        <v>HELVIE ADAM</v>
      </c>
    </row>
    <row r="251" spans="1:7" x14ac:dyDescent="0.25">
      <c r="A251" s="8">
        <v>42896.068599537037</v>
      </c>
      <c r="B251" t="s">
        <v>553</v>
      </c>
      <c r="C251" t="s">
        <v>827</v>
      </c>
      <c r="D251" s="141">
        <v>3030000</v>
      </c>
      <c r="E251" t="s">
        <v>387</v>
      </c>
      <c r="F251" s="20" t="s">
        <v>372</v>
      </c>
      <c r="G251" s="8" t="str">
        <f t="shared" si="3"/>
        <v>BIRENBAUM THOMAS</v>
      </c>
    </row>
    <row r="252" spans="1:7" x14ac:dyDescent="0.25">
      <c r="A252" s="8">
        <v>42896.071620370371</v>
      </c>
      <c r="B252" t="s">
        <v>554</v>
      </c>
      <c r="C252" t="s">
        <v>828</v>
      </c>
      <c r="D252" s="141">
        <v>3090000</v>
      </c>
      <c r="E252" t="s">
        <v>381</v>
      </c>
      <c r="F252" s="20" t="s">
        <v>382</v>
      </c>
      <c r="G252" s="8" t="str">
        <f t="shared" si="3"/>
        <v>LAMAR NEKESHA</v>
      </c>
    </row>
    <row r="253" spans="1:7" x14ac:dyDescent="0.25">
      <c r="A253" s="8">
        <v>42896.089583333334</v>
      </c>
      <c r="B253" t="s">
        <v>504</v>
      </c>
      <c r="C253" t="s">
        <v>829</v>
      </c>
      <c r="D253" s="141">
        <v>3000000</v>
      </c>
      <c r="E253" t="s">
        <v>439</v>
      </c>
      <c r="F253" s="20" t="s">
        <v>440</v>
      </c>
      <c r="G253" s="8" t="str">
        <f t="shared" si="3"/>
        <v>FORTUNATO FRANK</v>
      </c>
    </row>
    <row r="254" spans="1:7" x14ac:dyDescent="0.25">
      <c r="A254" s="8">
        <v>42896.110879629632</v>
      </c>
      <c r="B254" t="s">
        <v>407</v>
      </c>
      <c r="C254" t="s">
        <v>830</v>
      </c>
      <c r="D254" s="141">
        <v>3090000</v>
      </c>
      <c r="E254" t="s">
        <v>381</v>
      </c>
      <c r="F254" s="20" t="s">
        <v>382</v>
      </c>
      <c r="G254" s="8" t="str">
        <f t="shared" si="3"/>
        <v>LAMAR NEKESHA</v>
      </c>
    </row>
    <row r="255" spans="1:7" x14ac:dyDescent="0.25">
      <c r="A255" s="8">
        <v>42893.090601851851</v>
      </c>
      <c r="B255" t="s">
        <v>378</v>
      </c>
      <c r="C255" t="s">
        <v>509</v>
      </c>
      <c r="D255" s="141">
        <v>2610000</v>
      </c>
      <c r="E255" t="s">
        <v>428</v>
      </c>
      <c r="F255" s="20" t="s">
        <v>429</v>
      </c>
      <c r="G255" s="8" t="str">
        <f t="shared" si="3"/>
        <v>MAGEE KENYA</v>
      </c>
    </row>
    <row r="256" spans="1:7" x14ac:dyDescent="0.25">
      <c r="A256" s="8">
        <v>42892.071006944447</v>
      </c>
      <c r="B256" t="s">
        <v>477</v>
      </c>
      <c r="C256" t="s">
        <v>493</v>
      </c>
      <c r="D256" s="141">
        <v>2090000</v>
      </c>
      <c r="E256" t="s">
        <v>478</v>
      </c>
      <c r="F256" s="20" t="s">
        <v>194</v>
      </c>
      <c r="G256" s="8" t="str">
        <f t="shared" si="3"/>
        <v>HAITHCOX MICHAEL</v>
      </c>
    </row>
    <row r="257" spans="1:7" x14ac:dyDescent="0.25">
      <c r="A257" s="8">
        <v>42892.090775462966</v>
      </c>
      <c r="B257" t="s">
        <v>362</v>
      </c>
      <c r="C257" t="s">
        <v>494</v>
      </c>
      <c r="D257" s="141">
        <v>2970000</v>
      </c>
      <c r="E257" t="s">
        <v>385</v>
      </c>
      <c r="F257" s="20" t="s">
        <v>386</v>
      </c>
      <c r="G257" s="8" t="str">
        <f t="shared" si="3"/>
        <v>GUZMAN DANNY</v>
      </c>
    </row>
    <row r="258" spans="1:7" x14ac:dyDescent="0.25">
      <c r="A258" s="8">
        <v>42892.09138888889</v>
      </c>
      <c r="B258" t="s">
        <v>362</v>
      </c>
      <c r="C258" t="s">
        <v>494</v>
      </c>
      <c r="D258" s="141">
        <v>2970000</v>
      </c>
      <c r="E258" t="s">
        <v>385</v>
      </c>
      <c r="F258" s="20" t="s">
        <v>386</v>
      </c>
      <c r="G258" s="8" t="str">
        <f t="shared" si="3"/>
        <v>GUZMAN DANNY</v>
      </c>
    </row>
    <row r="259" spans="1:7" x14ac:dyDescent="0.25">
      <c r="A259" s="8">
        <v>42892.092372685183</v>
      </c>
      <c r="B259" t="s">
        <v>362</v>
      </c>
      <c r="C259" t="s">
        <v>494</v>
      </c>
      <c r="D259" s="141">
        <v>2970000</v>
      </c>
      <c r="E259" t="s">
        <v>385</v>
      </c>
      <c r="F259" s="20" t="s">
        <v>386</v>
      </c>
      <c r="G259" s="8" t="str">
        <f t="shared" ref="G259:G322" si="4">E259&amp;" "&amp;F259</f>
        <v>GUZMAN DANNY</v>
      </c>
    </row>
    <row r="260" spans="1:7" x14ac:dyDescent="0.25">
      <c r="A260" s="8">
        <v>42888.081956018519</v>
      </c>
      <c r="B260" t="s">
        <v>370</v>
      </c>
      <c r="C260" t="s">
        <v>469</v>
      </c>
      <c r="D260" s="141">
        <v>2630000</v>
      </c>
      <c r="E260" t="s">
        <v>463</v>
      </c>
      <c r="F260" s="20" t="s">
        <v>464</v>
      </c>
      <c r="G260" s="8" t="str">
        <f t="shared" si="4"/>
        <v>SAFIEF AEIMEN</v>
      </c>
    </row>
    <row r="261" spans="1:7" x14ac:dyDescent="0.25">
      <c r="A261" s="8">
        <v>42888.082962962966</v>
      </c>
      <c r="B261" t="s">
        <v>461</v>
      </c>
      <c r="C261" t="s">
        <v>470</v>
      </c>
      <c r="D261" s="141">
        <v>910000</v>
      </c>
      <c r="E261" t="s">
        <v>471</v>
      </c>
      <c r="F261" s="20" t="s">
        <v>472</v>
      </c>
      <c r="G261" s="8" t="str">
        <f t="shared" si="4"/>
        <v>SUR JEREMY</v>
      </c>
    </row>
    <row r="262" spans="1:7" x14ac:dyDescent="0.25">
      <c r="A262" s="8">
        <v>42888.086365740739</v>
      </c>
      <c r="B262" t="s">
        <v>461</v>
      </c>
      <c r="C262" t="s">
        <v>470</v>
      </c>
      <c r="D262" s="141">
        <v>910000</v>
      </c>
      <c r="E262" t="s">
        <v>471</v>
      </c>
      <c r="F262" s="20" t="s">
        <v>472</v>
      </c>
      <c r="G262" s="8" t="str">
        <f t="shared" si="4"/>
        <v>SUR JEREMY</v>
      </c>
    </row>
    <row r="263" spans="1:7" x14ac:dyDescent="0.25">
      <c r="A263" s="8">
        <v>42888.089062500003</v>
      </c>
      <c r="B263" t="s">
        <v>406</v>
      </c>
      <c r="C263" t="s">
        <v>473</v>
      </c>
      <c r="D263" s="141">
        <v>3000000</v>
      </c>
      <c r="E263" t="s">
        <v>439</v>
      </c>
      <c r="F263" s="20" t="s">
        <v>440</v>
      </c>
      <c r="G263" s="8" t="str">
        <f t="shared" si="4"/>
        <v>FORTUNATO FRANK</v>
      </c>
    </row>
    <row r="264" spans="1:7" x14ac:dyDescent="0.25">
      <c r="A264" s="8">
        <v>42888.097442129627</v>
      </c>
      <c r="B264" t="s">
        <v>462</v>
      </c>
      <c r="C264" t="s">
        <v>470</v>
      </c>
      <c r="D264" s="141">
        <v>910000</v>
      </c>
      <c r="E264" t="s">
        <v>471</v>
      </c>
      <c r="F264" s="20" t="s">
        <v>472</v>
      </c>
      <c r="G264" s="8" t="str">
        <f t="shared" si="4"/>
        <v>SUR JEREMY</v>
      </c>
    </row>
    <row r="265" spans="1:7" x14ac:dyDescent="0.25">
      <c r="A265" s="8">
        <v>42878.991388888891</v>
      </c>
      <c r="B265" t="s">
        <v>423</v>
      </c>
      <c r="C265" t="s">
        <v>443</v>
      </c>
      <c r="D265" s="141">
        <v>2140000</v>
      </c>
      <c r="E265" t="s">
        <v>420</v>
      </c>
      <c r="F265" s="20" t="s">
        <v>421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378</v>
      </c>
      <c r="C266" t="s">
        <v>442</v>
      </c>
      <c r="D266" s="141">
        <v>2000000</v>
      </c>
      <c r="E266" t="s">
        <v>424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437</v>
      </c>
      <c r="C267" t="s">
        <v>444</v>
      </c>
      <c r="D267" s="141">
        <v>3000000</v>
      </c>
      <c r="E267" t="s">
        <v>439</v>
      </c>
      <c r="F267" s="20" t="s">
        <v>440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404</v>
      </c>
      <c r="C268" t="s">
        <v>436</v>
      </c>
      <c r="D268" s="141">
        <v>2680000</v>
      </c>
      <c r="E268" t="s">
        <v>426</v>
      </c>
      <c r="F268" s="20" t="s">
        <v>427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445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438</v>
      </c>
      <c r="C270" t="s">
        <v>446</v>
      </c>
      <c r="D270" s="141">
        <v>2610000</v>
      </c>
      <c r="E270" t="s">
        <v>428</v>
      </c>
      <c r="F270" s="20" t="s">
        <v>429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362</v>
      </c>
      <c r="C271" t="s">
        <v>447</v>
      </c>
      <c r="D271" s="141">
        <v>2140000</v>
      </c>
      <c r="E271" t="s">
        <v>420</v>
      </c>
      <c r="F271" s="20" t="s">
        <v>421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435</v>
      </c>
      <c r="C272" t="s">
        <v>448</v>
      </c>
      <c r="D272" s="141">
        <v>3000000</v>
      </c>
      <c r="E272" t="s">
        <v>439</v>
      </c>
      <c r="F272" s="20" t="s">
        <v>440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405</v>
      </c>
      <c r="C273" t="s">
        <v>441</v>
      </c>
      <c r="D273" s="141">
        <v>2680000</v>
      </c>
      <c r="E273" t="s">
        <v>426</v>
      </c>
      <c r="F273" s="20" t="s">
        <v>427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449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434</v>
      </c>
      <c r="C275" t="s">
        <v>450</v>
      </c>
      <c r="D275" s="141">
        <v>2610000</v>
      </c>
      <c r="E275" t="s">
        <v>428</v>
      </c>
      <c r="F275" s="20" t="s">
        <v>429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437</v>
      </c>
      <c r="C276" t="s">
        <v>451</v>
      </c>
      <c r="D276" s="141">
        <v>3000000</v>
      </c>
      <c r="E276" t="s">
        <v>439</v>
      </c>
      <c r="F276" s="20" t="s">
        <v>440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438</v>
      </c>
      <c r="C277" t="s">
        <v>452</v>
      </c>
      <c r="D277" s="141">
        <v>2610000</v>
      </c>
      <c r="E277" t="s">
        <v>428</v>
      </c>
      <c r="F277" s="20" t="s">
        <v>429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408</v>
      </c>
      <c r="C278" t="s">
        <v>409</v>
      </c>
      <c r="D278" s="141">
        <v>2970000</v>
      </c>
      <c r="E278" t="s">
        <v>385</v>
      </c>
      <c r="F278" s="20" t="s">
        <v>386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407</v>
      </c>
      <c r="C279" t="s">
        <v>413</v>
      </c>
      <c r="D279" s="141">
        <v>1810000</v>
      </c>
      <c r="E279" t="s">
        <v>373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414</v>
      </c>
      <c r="D280" s="141">
        <v>3090000</v>
      </c>
      <c r="E280" t="s">
        <v>381</v>
      </c>
      <c r="F280" s="20" t="s">
        <v>382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405</v>
      </c>
      <c r="C281" t="s">
        <v>410</v>
      </c>
      <c r="D281" s="141">
        <v>3010000</v>
      </c>
      <c r="E281" t="s">
        <v>399</v>
      </c>
      <c r="F281" s="20" t="s">
        <v>400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411</v>
      </c>
      <c r="C282" t="s">
        <v>412</v>
      </c>
      <c r="D282" s="141">
        <v>2970000</v>
      </c>
      <c r="E282" t="s">
        <v>385</v>
      </c>
      <c r="F282" s="20" t="s">
        <v>386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404</v>
      </c>
      <c r="C283" t="s">
        <v>410</v>
      </c>
      <c r="D283" s="141">
        <v>3010000</v>
      </c>
      <c r="E283" t="s">
        <v>399</v>
      </c>
      <c r="F283" s="20" t="s">
        <v>400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406</v>
      </c>
      <c r="C284" t="s">
        <v>415</v>
      </c>
      <c r="D284" s="141">
        <v>3030000</v>
      </c>
      <c r="E284" t="s">
        <v>387</v>
      </c>
      <c r="F284" s="20" t="s">
        <v>372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404</v>
      </c>
      <c r="C285" t="s">
        <v>410</v>
      </c>
      <c r="D285" s="141">
        <v>3010000</v>
      </c>
      <c r="E285" t="s">
        <v>399</v>
      </c>
      <c r="F285" s="20" t="s">
        <v>400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408</v>
      </c>
      <c r="C286" t="s">
        <v>409</v>
      </c>
      <c r="D286" s="141">
        <v>2970000</v>
      </c>
      <c r="E286" t="s">
        <v>385</v>
      </c>
      <c r="F286" s="20" t="s">
        <v>386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411</v>
      </c>
      <c r="C287" t="s">
        <v>412</v>
      </c>
      <c r="D287" s="141">
        <v>2970000</v>
      </c>
      <c r="E287" t="s">
        <v>385</v>
      </c>
      <c r="F287" s="20" t="s">
        <v>386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416</v>
      </c>
      <c r="D288" s="141">
        <v>3090000</v>
      </c>
      <c r="E288" t="s">
        <v>381</v>
      </c>
      <c r="F288" s="20" t="s">
        <v>382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408</v>
      </c>
      <c r="C289" t="s">
        <v>409</v>
      </c>
      <c r="D289" s="141">
        <v>2970000</v>
      </c>
      <c r="E289" t="s">
        <v>385</v>
      </c>
      <c r="F289" s="20" t="s">
        <v>386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405</v>
      </c>
      <c r="C290" t="s">
        <v>410</v>
      </c>
      <c r="D290" s="141">
        <v>3010000</v>
      </c>
      <c r="E290" t="s">
        <v>399</v>
      </c>
      <c r="F290" s="20" t="s">
        <v>400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405</v>
      </c>
      <c r="C291" t="s">
        <v>410</v>
      </c>
      <c r="D291" s="141">
        <v>3010000</v>
      </c>
      <c r="E291" t="s">
        <v>399</v>
      </c>
      <c r="F291" s="20" t="s">
        <v>400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405</v>
      </c>
      <c r="C292" t="s">
        <v>410</v>
      </c>
      <c r="D292" s="141">
        <v>3010000</v>
      </c>
      <c r="E292" t="s">
        <v>399</v>
      </c>
      <c r="F292" s="20" t="s">
        <v>400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405</v>
      </c>
      <c r="C293" t="s">
        <v>410</v>
      </c>
      <c r="D293" s="141">
        <v>3010000</v>
      </c>
      <c r="E293" t="s">
        <v>399</v>
      </c>
      <c r="F293" s="20" t="s">
        <v>400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411</v>
      </c>
      <c r="C294" t="s">
        <v>412</v>
      </c>
      <c r="D294" s="141">
        <v>2970000</v>
      </c>
      <c r="E294" t="s">
        <v>385</v>
      </c>
      <c r="F294" s="20" t="s">
        <v>386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392</v>
      </c>
      <c r="D295" s="141">
        <v>1800000</v>
      </c>
      <c r="E295" t="s">
        <v>383</v>
      </c>
      <c r="F295" s="20" t="s">
        <v>384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371</v>
      </c>
      <c r="C296" t="s">
        <v>393</v>
      </c>
      <c r="D296" s="141">
        <v>3030000</v>
      </c>
      <c r="E296" t="s">
        <v>387</v>
      </c>
      <c r="F296" s="20" t="s">
        <v>372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380</v>
      </c>
      <c r="C297" t="s">
        <v>376</v>
      </c>
      <c r="D297" s="141">
        <v>2970000</v>
      </c>
      <c r="E297" t="s">
        <v>385</v>
      </c>
      <c r="F297" s="20" t="s">
        <v>386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362</v>
      </c>
      <c r="C298" t="s">
        <v>394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374</v>
      </c>
      <c r="C299" t="s">
        <v>376</v>
      </c>
      <c r="D299" s="141">
        <v>2970000</v>
      </c>
      <c r="E299" t="s">
        <v>385</v>
      </c>
      <c r="F299" s="20" t="s">
        <v>386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375</v>
      </c>
      <c r="C300" t="s">
        <v>379</v>
      </c>
      <c r="D300" s="141">
        <v>3130000</v>
      </c>
      <c r="E300" t="s">
        <v>390</v>
      </c>
      <c r="F300" s="20" t="s">
        <v>391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374</v>
      </c>
      <c r="C301" t="s">
        <v>376</v>
      </c>
      <c r="D301" s="141">
        <v>2970000</v>
      </c>
      <c r="E301" t="s">
        <v>385</v>
      </c>
      <c r="F301" s="20" t="s">
        <v>386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369</v>
      </c>
      <c r="C302" t="s">
        <v>377</v>
      </c>
      <c r="D302" s="141">
        <v>3040000</v>
      </c>
      <c r="E302" t="s">
        <v>388</v>
      </c>
      <c r="F302" s="20" t="s">
        <v>389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369</v>
      </c>
      <c r="C303" t="s">
        <v>377</v>
      </c>
      <c r="D303" s="141">
        <v>3040000</v>
      </c>
      <c r="E303" t="s">
        <v>388</v>
      </c>
      <c r="F303" s="20" t="s">
        <v>389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395</v>
      </c>
      <c r="D304" s="141">
        <v>3030000</v>
      </c>
      <c r="E304" t="s">
        <v>387</v>
      </c>
      <c r="F304" s="20" t="s">
        <v>372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380</v>
      </c>
      <c r="C305" t="s">
        <v>376</v>
      </c>
      <c r="D305" s="141">
        <v>2970000</v>
      </c>
      <c r="E305" t="s">
        <v>385</v>
      </c>
      <c r="F305" s="20" t="s">
        <v>386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374</v>
      </c>
      <c r="C306" t="s">
        <v>376</v>
      </c>
      <c r="D306" s="141">
        <v>2970000</v>
      </c>
      <c r="E306" t="s">
        <v>385</v>
      </c>
      <c r="F306" s="20" t="s">
        <v>386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370</v>
      </c>
      <c r="C307" t="s">
        <v>377</v>
      </c>
      <c r="D307" s="141">
        <v>3040000</v>
      </c>
      <c r="E307" t="s">
        <v>388</v>
      </c>
      <c r="F307" s="20" t="s">
        <v>389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378</v>
      </c>
      <c r="C308" t="s">
        <v>396</v>
      </c>
      <c r="D308" s="141">
        <v>3130000</v>
      </c>
      <c r="E308" t="s">
        <v>390</v>
      </c>
      <c r="F308" s="20" t="s">
        <v>391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369</v>
      </c>
      <c r="C309" t="s">
        <v>377</v>
      </c>
      <c r="D309" s="141">
        <v>3040000</v>
      </c>
      <c r="E309" t="s">
        <v>388</v>
      </c>
      <c r="F309" s="20" t="s">
        <v>389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380</v>
      </c>
      <c r="C310" t="s">
        <v>376</v>
      </c>
      <c r="D310" s="141">
        <v>2970000</v>
      </c>
      <c r="E310" t="s">
        <v>385</v>
      </c>
      <c r="F310" s="20" t="s">
        <v>386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374</v>
      </c>
      <c r="C311" t="s">
        <v>376</v>
      </c>
      <c r="D311" s="141">
        <v>2970000</v>
      </c>
      <c r="E311" t="s">
        <v>385</v>
      </c>
      <c r="F311" s="20" t="s">
        <v>386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161</v>
      </c>
      <c r="K1" s="178" t="s">
        <v>159</v>
      </c>
      <c r="L1" s="178" t="s">
        <v>154</v>
      </c>
      <c r="M1" s="178" t="s">
        <v>164</v>
      </c>
      <c r="N1" s="178" t="s">
        <v>158</v>
      </c>
      <c r="O1" s="178" t="s">
        <v>165</v>
      </c>
      <c r="P1" s="178" t="s">
        <v>162</v>
      </c>
      <c r="Q1"/>
      <c r="R1"/>
    </row>
    <row r="2" spans="1:18" x14ac:dyDescent="0.25">
      <c r="A2" s="179">
        <v>67.25</v>
      </c>
      <c r="B2" s="179">
        <v>0.17</v>
      </c>
      <c r="C2" s="179">
        <v>48.32</v>
      </c>
      <c r="D2" s="8">
        <v>42895</v>
      </c>
      <c r="E2" s="179">
        <v>0.51</v>
      </c>
      <c r="F2" s="179" t="s">
        <v>528</v>
      </c>
      <c r="G2" s="179">
        <v>307.16000000000003</v>
      </c>
      <c r="H2" s="179">
        <v>0</v>
      </c>
      <c r="I2" s="179">
        <v>0</v>
      </c>
      <c r="J2" s="179">
        <v>1008.69</v>
      </c>
      <c r="K2" s="179" t="s">
        <v>529</v>
      </c>
      <c r="L2" s="179">
        <v>67.25</v>
      </c>
      <c r="M2" s="179">
        <v>1496988000</v>
      </c>
      <c r="N2" s="179">
        <v>2.13</v>
      </c>
      <c r="O2" s="179">
        <v>193</v>
      </c>
      <c r="P2" s="179">
        <v>3.11</v>
      </c>
      <c r="Q2"/>
      <c r="R2"/>
    </row>
    <row r="3" spans="1:18" x14ac:dyDescent="0.25">
      <c r="A3" s="179">
        <v>65.55</v>
      </c>
      <c r="B3" s="179">
        <v>0.16</v>
      </c>
      <c r="C3" s="179">
        <v>47.19</v>
      </c>
      <c r="D3" s="8">
        <v>42895.041666666664</v>
      </c>
      <c r="E3" s="179">
        <v>0.51</v>
      </c>
      <c r="F3" s="179" t="s">
        <v>528</v>
      </c>
      <c r="G3" s="179">
        <v>306.81</v>
      </c>
      <c r="H3" s="179">
        <v>0</v>
      </c>
      <c r="I3" s="179">
        <v>0</v>
      </c>
      <c r="J3" s="179">
        <v>1008.59</v>
      </c>
      <c r="K3" s="179" t="s">
        <v>529</v>
      </c>
      <c r="L3" s="179">
        <v>65.55</v>
      </c>
      <c r="M3" s="179">
        <v>1496991600</v>
      </c>
      <c r="N3" s="179">
        <v>2.21</v>
      </c>
      <c r="O3" s="179">
        <v>193</v>
      </c>
      <c r="P3" s="179">
        <v>3.25</v>
      </c>
      <c r="Q3"/>
      <c r="R3"/>
    </row>
    <row r="4" spans="1:18" x14ac:dyDescent="0.25">
      <c r="A4" s="179">
        <v>64.3</v>
      </c>
      <c r="B4" s="179">
        <v>0.15</v>
      </c>
      <c r="C4" s="179">
        <v>45.91</v>
      </c>
      <c r="D4" s="8">
        <v>42895.083333333336</v>
      </c>
      <c r="E4" s="179">
        <v>0.51</v>
      </c>
      <c r="F4" s="179" t="s">
        <v>528</v>
      </c>
      <c r="G4" s="179">
        <v>306.45</v>
      </c>
      <c r="H4" s="179">
        <v>0</v>
      </c>
      <c r="I4" s="179">
        <v>0</v>
      </c>
      <c r="J4" s="179">
        <v>1008.49</v>
      </c>
      <c r="K4" s="179" t="s">
        <v>529</v>
      </c>
      <c r="L4" s="179">
        <v>64.3</v>
      </c>
      <c r="M4" s="179">
        <v>1496995200</v>
      </c>
      <c r="N4" s="179">
        <v>2.2999999999999998</v>
      </c>
      <c r="O4" s="179">
        <v>207</v>
      </c>
      <c r="P4" s="179">
        <v>3.37</v>
      </c>
      <c r="Q4"/>
      <c r="R4"/>
    </row>
    <row r="5" spans="1:18" x14ac:dyDescent="0.25">
      <c r="A5" s="179">
        <v>63.63</v>
      </c>
      <c r="B5" s="179">
        <v>0.19</v>
      </c>
      <c r="C5" s="179">
        <v>45.41</v>
      </c>
      <c r="D5" s="8">
        <v>42895.125</v>
      </c>
      <c r="E5" s="179">
        <v>0.51</v>
      </c>
      <c r="F5" s="179" t="s">
        <v>528</v>
      </c>
      <c r="G5" s="179">
        <v>306.10000000000002</v>
      </c>
      <c r="H5" s="179">
        <v>0</v>
      </c>
      <c r="I5" s="179">
        <v>0</v>
      </c>
      <c r="J5" s="179">
        <v>1008.41</v>
      </c>
      <c r="K5" s="179" t="s">
        <v>529</v>
      </c>
      <c r="L5" s="179">
        <v>63.63</v>
      </c>
      <c r="M5" s="179">
        <v>1496998800</v>
      </c>
      <c r="N5" s="179">
        <v>9.81</v>
      </c>
      <c r="O5" s="179">
        <v>200</v>
      </c>
      <c r="P5" s="179">
        <v>3.17</v>
      </c>
      <c r="Q5"/>
      <c r="R5"/>
    </row>
    <row r="6" spans="1:18" x14ac:dyDescent="0.25">
      <c r="A6" s="179">
        <v>60.63</v>
      </c>
      <c r="B6" s="179">
        <v>0.16</v>
      </c>
      <c r="C6" s="179">
        <v>43.56</v>
      </c>
      <c r="D6" s="8">
        <v>42895.166666666664</v>
      </c>
      <c r="E6" s="179">
        <v>0.53</v>
      </c>
      <c r="F6" s="179" t="s">
        <v>528</v>
      </c>
      <c r="G6" s="179">
        <v>304.45</v>
      </c>
      <c r="H6" s="179">
        <v>0</v>
      </c>
      <c r="I6" s="179">
        <v>0</v>
      </c>
      <c r="J6" s="179">
        <v>1008.53</v>
      </c>
      <c r="K6" s="179" t="s">
        <v>529</v>
      </c>
      <c r="L6" s="179">
        <v>60.63</v>
      </c>
      <c r="M6" s="179">
        <v>1497002400</v>
      </c>
      <c r="N6" s="179">
        <v>2.68</v>
      </c>
      <c r="O6" s="179">
        <v>219</v>
      </c>
      <c r="P6" s="179">
        <v>3.5</v>
      </c>
      <c r="Q6"/>
      <c r="R6"/>
    </row>
    <row r="7" spans="1:18" x14ac:dyDescent="0.25">
      <c r="A7" s="179">
        <v>59.36</v>
      </c>
      <c r="B7" s="179">
        <v>0.18</v>
      </c>
      <c r="C7" s="179">
        <v>41.44</v>
      </c>
      <c r="D7" s="8">
        <v>42895.208333333336</v>
      </c>
      <c r="E7" s="179">
        <v>0.51</v>
      </c>
      <c r="F7" s="179" t="s">
        <v>528</v>
      </c>
      <c r="G7" s="179">
        <v>302.33999999999997</v>
      </c>
      <c r="H7" s="179">
        <v>0</v>
      </c>
      <c r="I7" s="179">
        <v>0</v>
      </c>
      <c r="J7" s="179">
        <v>1008.74</v>
      </c>
      <c r="K7" s="179" t="s">
        <v>529</v>
      </c>
      <c r="L7" s="179">
        <v>59.36</v>
      </c>
      <c r="M7" s="179">
        <v>1497006000</v>
      </c>
      <c r="N7" s="179">
        <v>2.93</v>
      </c>
      <c r="O7" s="179">
        <v>218</v>
      </c>
      <c r="P7" s="179">
        <v>3.78</v>
      </c>
      <c r="Q7"/>
      <c r="R7"/>
    </row>
    <row r="8" spans="1:18" x14ac:dyDescent="0.25">
      <c r="A8" s="179">
        <v>59.78</v>
      </c>
      <c r="B8" s="179">
        <v>0.24</v>
      </c>
      <c r="C8" s="179">
        <v>40.89</v>
      </c>
      <c r="D8" s="8">
        <v>42895.25</v>
      </c>
      <c r="E8" s="179">
        <v>0.5</v>
      </c>
      <c r="F8" s="179" t="s">
        <v>530</v>
      </c>
      <c r="G8" s="179">
        <v>300.8</v>
      </c>
      <c r="H8" s="179">
        <v>0</v>
      </c>
      <c r="I8" s="179">
        <v>0</v>
      </c>
      <c r="J8" s="179">
        <v>1008.69</v>
      </c>
      <c r="K8" s="179" t="s">
        <v>529</v>
      </c>
      <c r="L8" s="179">
        <v>59.78</v>
      </c>
      <c r="M8" s="179">
        <v>1497009600</v>
      </c>
      <c r="N8" s="179">
        <v>2.29</v>
      </c>
      <c r="O8" s="179">
        <v>207</v>
      </c>
      <c r="P8" s="179">
        <v>3.77</v>
      </c>
      <c r="Q8"/>
      <c r="R8"/>
    </row>
    <row r="9" spans="1:18" x14ac:dyDescent="0.25">
      <c r="A9" s="179">
        <v>63.86</v>
      </c>
      <c r="B9" s="179">
        <v>0.28000000000000003</v>
      </c>
      <c r="C9" s="179">
        <v>40.75</v>
      </c>
      <c r="D9" s="8">
        <v>42895.291666666664</v>
      </c>
      <c r="E9" s="179">
        <v>0.43</v>
      </c>
      <c r="F9" s="179" t="s">
        <v>479</v>
      </c>
      <c r="G9" s="179">
        <v>300.31</v>
      </c>
      <c r="H9" s="179">
        <v>0</v>
      </c>
      <c r="I9" s="179">
        <v>0</v>
      </c>
      <c r="J9" s="179">
        <v>1008.07</v>
      </c>
      <c r="K9" s="179" t="s">
        <v>480</v>
      </c>
      <c r="L9" s="179">
        <v>63.86</v>
      </c>
      <c r="M9" s="179">
        <v>1497013200</v>
      </c>
      <c r="N9" s="179">
        <v>2.0299999999999998</v>
      </c>
      <c r="O9" s="179">
        <v>214</v>
      </c>
      <c r="P9" s="179">
        <v>2.76</v>
      </c>
      <c r="Q9"/>
      <c r="R9"/>
    </row>
    <row r="10" spans="1:18" x14ac:dyDescent="0.25">
      <c r="A10" s="179">
        <v>70.61</v>
      </c>
      <c r="B10" s="179">
        <v>0.35</v>
      </c>
      <c r="C10" s="179">
        <v>42</v>
      </c>
      <c r="D10" s="8">
        <v>42895.333333333336</v>
      </c>
      <c r="E10" s="179">
        <v>0.36</v>
      </c>
      <c r="F10" s="179" t="s">
        <v>831</v>
      </c>
      <c r="G10" s="179">
        <v>300.39999999999998</v>
      </c>
      <c r="H10" s="179">
        <v>0</v>
      </c>
      <c r="I10" s="179">
        <v>0</v>
      </c>
      <c r="J10" s="179">
        <v>1007.23</v>
      </c>
      <c r="K10" s="179" t="s">
        <v>832</v>
      </c>
      <c r="L10" s="179">
        <v>70.61</v>
      </c>
      <c r="M10" s="179">
        <v>1497016800</v>
      </c>
      <c r="N10" s="179">
        <v>1.91</v>
      </c>
      <c r="O10" s="179">
        <v>212</v>
      </c>
      <c r="P10" s="179">
        <v>3.69</v>
      </c>
      <c r="Q10"/>
      <c r="R10"/>
    </row>
    <row r="11" spans="1:18" x14ac:dyDescent="0.25">
      <c r="A11" s="179">
        <v>76.739999999999995</v>
      </c>
      <c r="B11" s="179">
        <v>0.38</v>
      </c>
      <c r="C11" s="179">
        <v>42.05</v>
      </c>
      <c r="D11" s="8">
        <v>42895.375</v>
      </c>
      <c r="E11" s="179">
        <v>0.28999999999999998</v>
      </c>
      <c r="F11" s="179" t="s">
        <v>831</v>
      </c>
      <c r="G11" s="179">
        <v>300.7</v>
      </c>
      <c r="H11" s="179">
        <v>0</v>
      </c>
      <c r="I11" s="179">
        <v>0</v>
      </c>
      <c r="J11" s="179">
        <v>1006.49</v>
      </c>
      <c r="K11" s="179" t="s">
        <v>832</v>
      </c>
      <c r="L11" s="179">
        <v>76.739999999999995</v>
      </c>
      <c r="M11" s="179">
        <v>1497020400</v>
      </c>
      <c r="N11" s="179">
        <v>1.88</v>
      </c>
      <c r="O11" s="179">
        <v>216</v>
      </c>
      <c r="P11" s="179">
        <v>3.34</v>
      </c>
      <c r="Q11"/>
      <c r="R11"/>
    </row>
    <row r="12" spans="1:18" x14ac:dyDescent="0.25">
      <c r="A12" s="179">
        <v>80.569999999999993</v>
      </c>
      <c r="B12" s="179">
        <v>0.31</v>
      </c>
      <c r="C12" s="179">
        <v>39.14</v>
      </c>
      <c r="D12" s="8">
        <v>42895.416666666664</v>
      </c>
      <c r="E12" s="179">
        <v>0.21</v>
      </c>
      <c r="F12" s="179" t="s">
        <v>831</v>
      </c>
      <c r="G12" s="179">
        <v>301.17</v>
      </c>
      <c r="H12" s="179">
        <v>0</v>
      </c>
      <c r="I12" s="179">
        <v>0</v>
      </c>
      <c r="J12" s="179">
        <v>1005.97</v>
      </c>
      <c r="K12" s="179" t="s">
        <v>832</v>
      </c>
      <c r="L12" s="179">
        <v>82.95</v>
      </c>
      <c r="M12" s="179">
        <v>1497024000</v>
      </c>
      <c r="N12" s="179">
        <v>1.42</v>
      </c>
      <c r="O12" s="179">
        <v>201</v>
      </c>
      <c r="P12" s="179">
        <v>1.99</v>
      </c>
      <c r="Q12"/>
      <c r="R12"/>
    </row>
    <row r="13" spans="1:18" x14ac:dyDescent="0.25">
      <c r="A13" s="179">
        <v>84.23</v>
      </c>
      <c r="B13" s="179">
        <v>0.39</v>
      </c>
      <c r="C13" s="179">
        <v>33.85</v>
      </c>
      <c r="D13" s="8">
        <v>42895.458333333336</v>
      </c>
      <c r="E13" s="179">
        <v>0.15</v>
      </c>
      <c r="F13" s="179" t="s">
        <v>831</v>
      </c>
      <c r="G13" s="179">
        <v>301.85000000000002</v>
      </c>
      <c r="H13" s="179">
        <v>0</v>
      </c>
      <c r="I13" s="179">
        <v>0</v>
      </c>
      <c r="J13" s="179">
        <v>1005.49</v>
      </c>
      <c r="K13" s="179" t="s">
        <v>832</v>
      </c>
      <c r="L13" s="179">
        <v>87.96</v>
      </c>
      <c r="M13" s="179">
        <v>1497027600</v>
      </c>
      <c r="N13" s="179">
        <v>1.45</v>
      </c>
      <c r="O13" s="179">
        <v>230</v>
      </c>
      <c r="P13" s="179">
        <v>2.54</v>
      </c>
      <c r="Q13"/>
      <c r="R13"/>
    </row>
    <row r="14" spans="1:18" x14ac:dyDescent="0.25">
      <c r="A14" s="179">
        <v>86.3</v>
      </c>
      <c r="B14" s="179">
        <v>0.48</v>
      </c>
      <c r="C14" s="179">
        <v>33.72</v>
      </c>
      <c r="D14" s="8">
        <v>42895.5</v>
      </c>
      <c r="E14" s="179">
        <v>0.13</v>
      </c>
      <c r="F14" s="179" t="s">
        <v>479</v>
      </c>
      <c r="G14" s="179">
        <v>302.45</v>
      </c>
      <c r="H14" s="179">
        <v>0</v>
      </c>
      <c r="I14" s="179">
        <v>0</v>
      </c>
      <c r="J14" s="179">
        <v>1004.92</v>
      </c>
      <c r="K14" s="179" t="s">
        <v>480</v>
      </c>
      <c r="L14" s="179">
        <v>90.44</v>
      </c>
      <c r="M14" s="179">
        <v>1497031200</v>
      </c>
      <c r="N14" s="179">
        <v>10</v>
      </c>
      <c r="O14" s="179">
        <v>27</v>
      </c>
      <c r="P14" s="179">
        <v>0.62</v>
      </c>
      <c r="Q14"/>
      <c r="R14"/>
    </row>
    <row r="15" spans="1:18" x14ac:dyDescent="0.25">
      <c r="A15" s="179">
        <v>87.43</v>
      </c>
      <c r="B15" s="179">
        <v>0.46</v>
      </c>
      <c r="C15" s="179">
        <v>33.04</v>
      </c>
      <c r="D15" s="8">
        <v>42895.541666666664</v>
      </c>
      <c r="E15" s="179">
        <v>0.13</v>
      </c>
      <c r="F15" s="179" t="s">
        <v>831</v>
      </c>
      <c r="G15" s="179">
        <v>302.74</v>
      </c>
      <c r="H15" s="179">
        <v>0</v>
      </c>
      <c r="I15" s="179">
        <v>0</v>
      </c>
      <c r="J15" s="179">
        <v>1004.17</v>
      </c>
      <c r="K15" s="179" t="s">
        <v>832</v>
      </c>
      <c r="L15" s="179">
        <v>91.88</v>
      </c>
      <c r="M15" s="179">
        <v>1497034800</v>
      </c>
      <c r="N15" s="179">
        <v>1.45</v>
      </c>
      <c r="O15" s="179">
        <v>208</v>
      </c>
      <c r="P15" s="179">
        <v>1.58</v>
      </c>
      <c r="Q15"/>
      <c r="R15"/>
    </row>
    <row r="16" spans="1:18" x14ac:dyDescent="0.25">
      <c r="A16" s="179">
        <v>86.17</v>
      </c>
      <c r="B16" s="179">
        <v>0.5</v>
      </c>
      <c r="C16" s="179">
        <v>33.14</v>
      </c>
      <c r="D16" s="8">
        <v>42895.583333333336</v>
      </c>
      <c r="E16" s="179">
        <v>0.13</v>
      </c>
      <c r="F16" s="179" t="s">
        <v>831</v>
      </c>
      <c r="G16" s="179">
        <v>302.94</v>
      </c>
      <c r="H16" s="179">
        <v>0</v>
      </c>
      <c r="I16" s="179">
        <v>0</v>
      </c>
      <c r="J16" s="179">
        <v>1003.33</v>
      </c>
      <c r="K16" s="179" t="s">
        <v>832</v>
      </c>
      <c r="L16" s="179">
        <v>90.29</v>
      </c>
      <c r="M16" s="179">
        <v>1497038400</v>
      </c>
      <c r="N16" s="179">
        <v>1.44</v>
      </c>
      <c r="O16" s="179">
        <v>204</v>
      </c>
      <c r="P16" s="179">
        <v>1.58</v>
      </c>
      <c r="Q16"/>
      <c r="R16"/>
    </row>
    <row r="17" spans="1:18" x14ac:dyDescent="0.25">
      <c r="A17" s="179">
        <v>88.27</v>
      </c>
      <c r="B17" s="179">
        <v>0.41</v>
      </c>
      <c r="C17" s="179">
        <v>32.04</v>
      </c>
      <c r="D17" s="8">
        <v>42895.625</v>
      </c>
      <c r="E17" s="179">
        <v>0.12</v>
      </c>
      <c r="F17" s="179" t="s">
        <v>479</v>
      </c>
      <c r="G17" s="179">
        <v>303.44</v>
      </c>
      <c r="H17" s="179">
        <v>0</v>
      </c>
      <c r="I17" s="179">
        <v>0</v>
      </c>
      <c r="J17" s="179">
        <v>1002.48</v>
      </c>
      <c r="K17" s="179" t="s">
        <v>480</v>
      </c>
      <c r="L17" s="179">
        <v>93.14</v>
      </c>
      <c r="M17" s="179">
        <v>1497042000</v>
      </c>
      <c r="N17" s="179">
        <v>3.43</v>
      </c>
      <c r="O17" s="179">
        <v>123</v>
      </c>
      <c r="P17" s="179">
        <v>1.35</v>
      </c>
      <c r="Q17"/>
      <c r="R17"/>
    </row>
    <row r="18" spans="1:18" x14ac:dyDescent="0.25">
      <c r="A18" s="179">
        <v>89.04</v>
      </c>
      <c r="B18" s="179">
        <v>0.41</v>
      </c>
      <c r="C18" s="179">
        <v>32.93</v>
      </c>
      <c r="D18" s="8">
        <v>42895.666666666664</v>
      </c>
      <c r="E18" s="179">
        <v>0.12</v>
      </c>
      <c r="F18" s="179" t="s">
        <v>479</v>
      </c>
      <c r="G18" s="179">
        <v>304.57</v>
      </c>
      <c r="H18" s="179">
        <v>0</v>
      </c>
      <c r="I18" s="179">
        <v>0</v>
      </c>
      <c r="J18" s="179">
        <v>1001.6</v>
      </c>
      <c r="K18" s="179" t="s">
        <v>480</v>
      </c>
      <c r="L18" s="179">
        <v>93.97</v>
      </c>
      <c r="M18" s="179">
        <v>1497045600</v>
      </c>
      <c r="N18" s="179">
        <v>3.37</v>
      </c>
      <c r="O18" s="179">
        <v>127</v>
      </c>
      <c r="P18" s="179">
        <v>1.85</v>
      </c>
      <c r="Q18"/>
      <c r="R18"/>
    </row>
    <row r="19" spans="1:18" x14ac:dyDescent="0.25">
      <c r="A19" s="179">
        <v>88.16</v>
      </c>
      <c r="B19" s="179">
        <v>0.42</v>
      </c>
      <c r="C19" s="179">
        <v>34.28</v>
      </c>
      <c r="D19" s="8">
        <v>42895.708333333336</v>
      </c>
      <c r="E19" s="179">
        <v>0.13</v>
      </c>
      <c r="F19" s="179" t="s">
        <v>479</v>
      </c>
      <c r="G19" s="179">
        <v>305.99</v>
      </c>
      <c r="H19" s="179">
        <v>0</v>
      </c>
      <c r="I19" s="179">
        <v>0</v>
      </c>
      <c r="J19" s="179">
        <v>1000.82</v>
      </c>
      <c r="K19" s="179" t="s">
        <v>480</v>
      </c>
      <c r="L19" s="179">
        <v>92.61</v>
      </c>
      <c r="M19" s="179">
        <v>1497049200</v>
      </c>
      <c r="N19" s="179">
        <v>3.37</v>
      </c>
      <c r="O19" s="179">
        <v>112</v>
      </c>
      <c r="P19" s="179">
        <v>3.08</v>
      </c>
      <c r="Q19"/>
      <c r="R19"/>
    </row>
    <row r="20" spans="1:18" x14ac:dyDescent="0.25">
      <c r="A20" s="179">
        <v>86.39</v>
      </c>
      <c r="B20" s="179">
        <v>0.25</v>
      </c>
      <c r="C20" s="179">
        <v>34.229999999999997</v>
      </c>
      <c r="D20" s="8">
        <v>42895.75</v>
      </c>
      <c r="E20" s="179">
        <v>0.14000000000000001</v>
      </c>
      <c r="F20" s="179" t="s">
        <v>479</v>
      </c>
      <c r="G20" s="179">
        <v>307.16000000000003</v>
      </c>
      <c r="H20" s="179">
        <v>0</v>
      </c>
      <c r="I20" s="179">
        <v>0</v>
      </c>
      <c r="J20" s="179">
        <v>1000.39</v>
      </c>
      <c r="K20" s="179" t="s">
        <v>480</v>
      </c>
      <c r="L20" s="179">
        <v>90.53</v>
      </c>
      <c r="M20" s="179">
        <v>1497052800</v>
      </c>
      <c r="N20" s="179">
        <v>3.47</v>
      </c>
      <c r="O20" s="179">
        <v>106</v>
      </c>
      <c r="P20" s="179">
        <v>4.46</v>
      </c>
      <c r="Q20"/>
      <c r="R20"/>
    </row>
    <row r="21" spans="1:18" x14ac:dyDescent="0.25">
      <c r="A21" s="179">
        <v>83.57</v>
      </c>
      <c r="B21" s="179">
        <v>0.11</v>
      </c>
      <c r="C21" s="179">
        <v>36.06</v>
      </c>
      <c r="D21" s="8">
        <v>42895.791666666664</v>
      </c>
      <c r="E21" s="179">
        <v>0.16</v>
      </c>
      <c r="F21" s="179" t="s">
        <v>530</v>
      </c>
      <c r="G21" s="179">
        <v>307.89999999999998</v>
      </c>
      <c r="H21" s="179">
        <v>0</v>
      </c>
      <c r="I21" s="179">
        <v>0</v>
      </c>
      <c r="J21" s="179">
        <v>1000.01</v>
      </c>
      <c r="K21" s="179" t="s">
        <v>529</v>
      </c>
      <c r="L21" s="179">
        <v>87.1</v>
      </c>
      <c r="M21" s="179">
        <v>1497056400</v>
      </c>
      <c r="N21" s="179">
        <v>3.72</v>
      </c>
      <c r="O21" s="179">
        <v>112</v>
      </c>
      <c r="P21" s="179">
        <v>3.5</v>
      </c>
      <c r="Q21"/>
      <c r="R21"/>
    </row>
    <row r="22" spans="1:18" x14ac:dyDescent="0.25">
      <c r="A22" s="179">
        <v>81.66</v>
      </c>
      <c r="B22" s="179">
        <v>0.06</v>
      </c>
      <c r="C22" s="179">
        <v>40.14</v>
      </c>
      <c r="D22" s="8">
        <v>42895.833333333336</v>
      </c>
      <c r="E22" s="179">
        <v>0.21</v>
      </c>
      <c r="F22" s="179" t="s">
        <v>530</v>
      </c>
      <c r="G22" s="179">
        <v>308.39</v>
      </c>
      <c r="H22" s="179">
        <v>0</v>
      </c>
      <c r="I22" s="179">
        <v>0</v>
      </c>
      <c r="J22" s="179">
        <v>1000.11</v>
      </c>
      <c r="K22" s="179" t="s">
        <v>529</v>
      </c>
      <c r="L22" s="179">
        <v>84.45</v>
      </c>
      <c r="M22" s="179">
        <v>1497060000</v>
      </c>
      <c r="N22" s="179">
        <v>4.21</v>
      </c>
      <c r="O22" s="179">
        <v>155</v>
      </c>
      <c r="P22" s="179">
        <v>1.31</v>
      </c>
      <c r="Q22"/>
      <c r="R22"/>
    </row>
    <row r="23" spans="1:18" x14ac:dyDescent="0.25">
      <c r="A23" s="179">
        <v>77.69</v>
      </c>
      <c r="B23" s="179">
        <v>0.06</v>
      </c>
      <c r="C23" s="179">
        <v>42.25</v>
      </c>
      <c r="D23" s="8">
        <v>42895.875</v>
      </c>
      <c r="E23" s="179">
        <v>0.28000000000000003</v>
      </c>
      <c r="F23" s="179" t="s">
        <v>528</v>
      </c>
      <c r="G23" s="179">
        <v>308.55</v>
      </c>
      <c r="H23" s="179">
        <v>0</v>
      </c>
      <c r="I23" s="179">
        <v>0</v>
      </c>
      <c r="J23" s="179">
        <v>1000.31</v>
      </c>
      <c r="K23" s="179" t="s">
        <v>529</v>
      </c>
      <c r="L23" s="179">
        <v>77.69</v>
      </c>
      <c r="M23" s="179">
        <v>1497063600</v>
      </c>
      <c r="N23" s="179">
        <v>5.07</v>
      </c>
      <c r="O23" s="179">
        <v>227</v>
      </c>
      <c r="P23" s="179">
        <v>3</v>
      </c>
      <c r="Q23"/>
      <c r="R23"/>
    </row>
    <row r="24" spans="1:18" x14ac:dyDescent="0.25">
      <c r="A24" s="179">
        <v>75.760000000000005</v>
      </c>
      <c r="B24" s="179">
        <v>0.05</v>
      </c>
      <c r="C24" s="179">
        <v>38.229999999999997</v>
      </c>
      <c r="D24" s="8">
        <v>42895.916666666664</v>
      </c>
      <c r="E24" s="179">
        <v>0.26</v>
      </c>
      <c r="F24" s="179" t="s">
        <v>528</v>
      </c>
      <c r="G24" s="179">
        <v>308.37</v>
      </c>
      <c r="H24" s="179">
        <v>0</v>
      </c>
      <c r="I24" s="179">
        <v>0</v>
      </c>
      <c r="J24" s="179">
        <v>1000.3</v>
      </c>
      <c r="K24" s="179" t="s">
        <v>529</v>
      </c>
      <c r="L24" s="179">
        <v>75.760000000000005</v>
      </c>
      <c r="M24" s="179">
        <v>1497067200</v>
      </c>
      <c r="N24" s="179">
        <v>4.42</v>
      </c>
      <c r="O24" s="179">
        <v>201</v>
      </c>
      <c r="P24" s="179">
        <v>3.34</v>
      </c>
      <c r="Q24"/>
      <c r="R24"/>
    </row>
    <row r="25" spans="1:18" x14ac:dyDescent="0.25">
      <c r="A25" s="179">
        <v>74.11</v>
      </c>
      <c r="B25" s="179">
        <v>7.0000000000000007E-2</v>
      </c>
      <c r="C25" s="179">
        <v>37.9</v>
      </c>
      <c r="D25" s="8">
        <v>42895.958333333336</v>
      </c>
      <c r="E25" s="179">
        <v>0.27</v>
      </c>
      <c r="F25" s="179" t="s">
        <v>528</v>
      </c>
      <c r="G25" s="179">
        <v>307.86</v>
      </c>
      <c r="H25" s="179">
        <v>0</v>
      </c>
      <c r="I25" s="179">
        <v>0</v>
      </c>
      <c r="J25" s="179">
        <v>1000.21</v>
      </c>
      <c r="K25" s="179" t="s">
        <v>529</v>
      </c>
      <c r="L25" s="179">
        <v>74.11</v>
      </c>
      <c r="M25" s="179">
        <v>1497070800</v>
      </c>
      <c r="N25" s="179">
        <v>3.18</v>
      </c>
      <c r="O25" s="179">
        <v>185</v>
      </c>
      <c r="P25" s="179">
        <v>3.78</v>
      </c>
      <c r="Q25"/>
      <c r="R25"/>
    </row>
    <row r="26" spans="1:18" x14ac:dyDescent="0.25">
      <c r="A26" s="179">
        <v>71.73</v>
      </c>
      <c r="B26" s="179">
        <v>0.1</v>
      </c>
      <c r="C26" s="179">
        <v>37.909999999999997</v>
      </c>
      <c r="D26" s="8">
        <v>42896</v>
      </c>
      <c r="E26" s="179">
        <v>0.28999999999999998</v>
      </c>
      <c r="F26" s="179" t="s">
        <v>528</v>
      </c>
      <c r="G26" s="179">
        <v>306.93</v>
      </c>
      <c r="H26" s="179">
        <v>0</v>
      </c>
      <c r="I26" s="179">
        <v>0</v>
      </c>
      <c r="J26" s="179">
        <v>1000.21</v>
      </c>
      <c r="K26" s="179" t="s">
        <v>529</v>
      </c>
      <c r="L26" s="179">
        <v>71.73</v>
      </c>
      <c r="M26" s="179">
        <v>1497074400</v>
      </c>
      <c r="N26" s="179">
        <v>2.74</v>
      </c>
      <c r="O26" s="179">
        <v>217</v>
      </c>
      <c r="P26" s="179">
        <v>4.22</v>
      </c>
      <c r="Q26"/>
      <c r="R26"/>
    </row>
    <row r="27" spans="1:18" x14ac:dyDescent="0.25">
      <c r="A27" s="179">
        <v>70.22</v>
      </c>
      <c r="B27" s="179">
        <v>0.13</v>
      </c>
      <c r="C27" s="179">
        <v>37.270000000000003</v>
      </c>
      <c r="D27" s="8">
        <v>42896.041666666664</v>
      </c>
      <c r="E27" s="179">
        <v>0.3</v>
      </c>
      <c r="F27" s="179" t="s">
        <v>528</v>
      </c>
      <c r="G27" s="179">
        <v>305.16000000000003</v>
      </c>
      <c r="H27" s="179">
        <v>0</v>
      </c>
      <c r="I27" s="179">
        <v>0</v>
      </c>
      <c r="J27" s="179">
        <v>1000.71</v>
      </c>
      <c r="K27" s="179" t="s">
        <v>529</v>
      </c>
      <c r="L27" s="179">
        <v>70.22</v>
      </c>
      <c r="M27" s="179">
        <v>1497078000</v>
      </c>
      <c r="N27" s="179">
        <v>2.67</v>
      </c>
      <c r="O27" s="179">
        <v>189</v>
      </c>
      <c r="P27" s="179">
        <v>3.33</v>
      </c>
      <c r="Q27"/>
      <c r="R27"/>
    </row>
    <row r="28" spans="1:18" x14ac:dyDescent="0.25">
      <c r="A28" s="179">
        <v>69.34</v>
      </c>
      <c r="B28" s="179">
        <v>0.23</v>
      </c>
      <c r="C28" s="179">
        <v>36.479999999999997</v>
      </c>
      <c r="D28" s="8">
        <v>42896.083333333336</v>
      </c>
      <c r="E28" s="179">
        <v>0.3</v>
      </c>
      <c r="F28" s="179" t="s">
        <v>528</v>
      </c>
      <c r="G28" s="179">
        <v>303.39999999999998</v>
      </c>
      <c r="H28" s="179">
        <v>0</v>
      </c>
      <c r="I28" s="179">
        <v>0</v>
      </c>
      <c r="J28" s="179">
        <v>1001.09</v>
      </c>
      <c r="K28" s="179" t="s">
        <v>529</v>
      </c>
      <c r="L28" s="179">
        <v>69.34</v>
      </c>
      <c r="M28" s="179">
        <v>1497081600</v>
      </c>
      <c r="N28" s="179">
        <v>2.81</v>
      </c>
      <c r="O28" s="179">
        <v>195</v>
      </c>
      <c r="P28" s="179">
        <v>2.61</v>
      </c>
      <c r="Q28"/>
      <c r="R28"/>
    </row>
    <row r="29" spans="1:18" x14ac:dyDescent="0.25">
      <c r="A29" s="179">
        <v>68.11</v>
      </c>
      <c r="B29" s="179">
        <v>0.41</v>
      </c>
      <c r="C29" s="179">
        <v>36.299999999999997</v>
      </c>
      <c r="D29" s="8">
        <v>42896.125</v>
      </c>
      <c r="E29" s="179">
        <v>0.31</v>
      </c>
      <c r="F29" s="179" t="s">
        <v>495</v>
      </c>
      <c r="G29" s="179">
        <v>301.63</v>
      </c>
      <c r="H29" s="179">
        <v>0</v>
      </c>
      <c r="I29" s="179">
        <v>0</v>
      </c>
      <c r="J29" s="179">
        <v>1001.42</v>
      </c>
      <c r="K29" s="179" t="s">
        <v>480</v>
      </c>
      <c r="L29" s="179">
        <v>68.11</v>
      </c>
      <c r="M29" s="179">
        <v>1497085200</v>
      </c>
      <c r="N29" s="179">
        <v>2.1</v>
      </c>
      <c r="O29" s="179">
        <v>191</v>
      </c>
      <c r="P29" s="179">
        <v>2.2400000000000002</v>
      </c>
      <c r="Q29"/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0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42895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454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455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986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987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988</v>
      </c>
      <c r="J20" s="143" t="s">
        <v>87</v>
      </c>
      <c r="M20" s="157" t="s">
        <v>365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989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990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991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992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993</v>
      </c>
      <c r="J25" s="143" t="s">
        <v>148</v>
      </c>
      <c r="M25" s="157" t="b">
        <v>1</v>
      </c>
    </row>
    <row r="26" spans="3:24" x14ac:dyDescent="0.25">
      <c r="C26" t="s">
        <v>994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C:\Users\stu\Documents\GitHub\eaglep3-reporting\EC\2017-06-09-refined-times.txt</v>
      </c>
    </row>
    <row r="27" spans="3:24" x14ac:dyDescent="0.25">
      <c r="C27" t="s">
        <v>995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C:\Users\stu\Documents\GitHub\eaglep3-reporting\EC\2017-06-09-Enforcements.txt</v>
      </c>
    </row>
    <row r="28" spans="3:24" x14ac:dyDescent="0.25">
      <c r="C28" t="s">
        <v>996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C:\Users\stu\Documents\GitHub\eaglep3-reporting\EC\2017-06-09-Runs-refined.txt</v>
      </c>
    </row>
    <row r="29" spans="3:24" x14ac:dyDescent="0.25">
      <c r="C29" t="s">
        <v>997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C:\Users\stu\Documents\GitHub\eaglep3-reporting\EC\2017-06-09-Trips.txt</v>
      </c>
    </row>
    <row r="30" spans="3:24" x14ac:dyDescent="0.25">
      <c r="C30" t="s">
        <v>998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C:\Users\stu\Documents\GitHub\eaglep3-reporting\EC\2017-06-09-Weather.txt</v>
      </c>
    </row>
    <row r="31" spans="3:24" x14ac:dyDescent="0.25">
      <c r="C31" t="s">
        <v>999</v>
      </c>
      <c r="J31" s="143" t="s">
        <v>198</v>
      </c>
      <c r="M31" s="157" t="s">
        <v>199</v>
      </c>
    </row>
    <row r="32" spans="3:24" x14ac:dyDescent="0.25">
      <c r="C32" t="s">
        <v>1000</v>
      </c>
    </row>
    <row r="33" spans="3:3" x14ac:dyDescent="0.25">
      <c r="C33" t="s">
        <v>1001</v>
      </c>
    </row>
    <row r="34" spans="3:3" x14ac:dyDescent="0.25">
      <c r="C34" t="s">
        <v>1002</v>
      </c>
    </row>
    <row r="35" spans="3:3" x14ac:dyDescent="0.25">
      <c r="C35" t="s">
        <v>1003</v>
      </c>
    </row>
    <row r="36" spans="3:3" x14ac:dyDescent="0.25">
      <c r="C36" t="s">
        <v>1004</v>
      </c>
    </row>
    <row r="37" spans="3:3" x14ac:dyDescent="0.25">
      <c r="C37" t="s">
        <v>1005</v>
      </c>
    </row>
    <row r="38" spans="3:3" x14ac:dyDescent="0.25">
      <c r="C38" t="s">
        <v>1006</v>
      </c>
    </row>
    <row r="39" spans="3:3" x14ac:dyDescent="0.25">
      <c r="C39" t="s">
        <v>1007</v>
      </c>
    </row>
    <row r="40" spans="3:3" x14ac:dyDescent="0.25">
      <c r="C40" t="s">
        <v>1008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2017-06-12T15:33:24Z</dcterms:modified>
</cp:coreProperties>
</file>