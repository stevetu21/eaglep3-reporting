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Enforcements!$A$6:$AC$75</definedName>
    <definedName name="_xlnm._FilterDatabase" localSheetId="2" hidden="1">'Missing Trips'!$A$2:$J$61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2" i="3" l="1"/>
  <c r="W222" i="1"/>
  <c r="X222" i="1"/>
  <c r="K221" i="1"/>
  <c r="L221" i="1"/>
  <c r="M221" i="1"/>
  <c r="N221" i="1"/>
  <c r="V221" i="1"/>
  <c r="AA221" i="1"/>
  <c r="AB221" i="1"/>
  <c r="AC221" i="1"/>
  <c r="AD221" i="1"/>
  <c r="T221" i="1" s="1"/>
  <c r="AE221" i="1"/>
  <c r="AF221" i="1"/>
  <c r="AH221" i="1"/>
  <c r="AM221" i="1"/>
  <c r="AN221" i="1"/>
  <c r="X140" i="1"/>
  <c r="X141" i="1"/>
  <c r="X142" i="1"/>
  <c r="X143" i="1"/>
  <c r="K140" i="1"/>
  <c r="M140" i="1"/>
  <c r="N140" i="1" s="1"/>
  <c r="V140" i="1"/>
  <c r="AA140" i="1"/>
  <c r="W140" i="1" s="1"/>
  <c r="AB140" i="1"/>
  <c r="AC140" i="1"/>
  <c r="AD140" i="1"/>
  <c r="T140" i="1" s="1"/>
  <c r="AE140" i="1"/>
  <c r="R30" i="3" s="1"/>
  <c r="AF140" i="1"/>
  <c r="AG140" i="1"/>
  <c r="AH140" i="1"/>
  <c r="AM140" i="1"/>
  <c r="AN140" i="1"/>
  <c r="P118" i="1"/>
  <c r="P58" i="1"/>
  <c r="X57" i="1"/>
  <c r="X58" i="1"/>
  <c r="X59" i="1"/>
  <c r="X60" i="1"/>
  <c r="X61" i="1"/>
  <c r="X62" i="1"/>
  <c r="X63" i="1"/>
  <c r="P74" i="1"/>
  <c r="P2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T21" i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A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V36" i="1"/>
  <c r="Y36" i="1"/>
  <c r="Z36" i="1"/>
  <c r="AA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S18" i="3" s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/>
  <c r="AB40" i="1"/>
  <c r="AC40" i="1"/>
  <c r="AD40" i="1"/>
  <c r="AE40" i="1"/>
  <c r="R12" i="3" s="1"/>
  <c r="AF40" i="1"/>
  <c r="AH40" i="1"/>
  <c r="AM40" i="1"/>
  <c r="AN40" i="1"/>
  <c r="K41" i="1"/>
  <c r="L41" i="1"/>
  <c r="M41" i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P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R13" i="3" s="1"/>
  <c r="AF46" i="1"/>
  <c r="AH46" i="1"/>
  <c r="AM46" i="1"/>
  <c r="AN46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W52" i="1" s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P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V57" i="1"/>
  <c r="Y57" i="1"/>
  <c r="Z57" i="1"/>
  <c r="AB57" i="1"/>
  <c r="AC57" i="1"/>
  <c r="AD57" i="1"/>
  <c r="AG57" i="1" s="1"/>
  <c r="AI57" i="1" s="1"/>
  <c r="AE57" i="1"/>
  <c r="AF57" i="1"/>
  <c r="AH57" i="1"/>
  <c r="AM57" i="1"/>
  <c r="AN57" i="1"/>
  <c r="K58" i="1"/>
  <c r="L58" i="1"/>
  <c r="M58" i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K59" i="1"/>
  <c r="L59" i="1"/>
  <c r="M59" i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P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W67" i="1" s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P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R14" i="3" s="1"/>
  <c r="AF70" i="1"/>
  <c r="AH70" i="1"/>
  <c r="AM70" i="1"/>
  <c r="AN70" i="1"/>
  <c r="K71" i="1"/>
  <c r="L71" i="1"/>
  <c r="M71" i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P71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S15" i="3" s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V80" i="1"/>
  <c r="S21" i="3" s="1"/>
  <c r="Y80" i="1"/>
  <c r="Z80" i="1"/>
  <c r="AB80" i="1"/>
  <c r="AC80" i="1"/>
  <c r="AD80" i="1"/>
  <c r="T80" i="1" s="1"/>
  <c r="AE80" i="1"/>
  <c r="R21" i="3" s="1"/>
  <c r="AF80" i="1"/>
  <c r="AH80" i="1"/>
  <c r="AM80" i="1"/>
  <c r="AN80" i="1"/>
  <c r="K81" i="1"/>
  <c r="L81" i="1"/>
  <c r="M81" i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K83" i="1"/>
  <c r="L83" i="1"/>
  <c r="M83" i="1"/>
  <c r="P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11" i="3" s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P86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P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V90" i="1"/>
  <c r="Y90" i="1"/>
  <c r="Z90" i="1"/>
  <c r="AA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T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V93" i="1"/>
  <c r="Y93" i="1"/>
  <c r="Z93" i="1"/>
  <c r="AA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T94" i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P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T101" i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T117" i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V118" i="1"/>
  <c r="Y118" i="1"/>
  <c r="Z118" i="1"/>
  <c r="AB118" i="1"/>
  <c r="AC118" i="1"/>
  <c r="AD118" i="1"/>
  <c r="AE118" i="1"/>
  <c r="R10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W120" i="1" s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X121" i="1"/>
  <c r="Y121" i="1"/>
  <c r="Z121" i="1"/>
  <c r="AB121" i="1"/>
  <c r="AC121" i="1"/>
  <c r="AD121" i="1"/>
  <c r="T121" i="1" s="1"/>
  <c r="AE121" i="1"/>
  <c r="AF121" i="1"/>
  <c r="AG121" i="1"/>
  <c r="AI121" i="1" s="1"/>
  <c r="AH121" i="1"/>
  <c r="AM121" i="1"/>
  <c r="AN121" i="1"/>
  <c r="K122" i="1"/>
  <c r="L122" i="1"/>
  <c r="M122" i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P122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S32" i="3" s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G139" i="1"/>
  <c r="AH139" i="1"/>
  <c r="AM139" i="1"/>
  <c r="AN139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/>
  <c r="V143" i="1"/>
  <c r="Y143" i="1"/>
  <c r="Z143" i="1"/>
  <c r="AA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W145" i="1" s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AA149" i="1" s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R27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S16" i="3" s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A161" i="1" s="1"/>
  <c r="AB161" i="1"/>
  <c r="AC161" i="1"/>
  <c r="AD161" i="1"/>
  <c r="AG161" i="1" s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AM162" i="1"/>
  <c r="AN162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63" i="1"/>
  <c r="AM163" i="1"/>
  <c r="AN163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64" i="1"/>
  <c r="AM164" i="1"/>
  <c r="AN164" i="1"/>
  <c r="K165" i="1"/>
  <c r="L165" i="1"/>
  <c r="M165" i="1"/>
  <c r="N165" i="1" s="1"/>
  <c r="V165" i="1"/>
  <c r="Y165" i="1"/>
  <c r="AA165" i="1" s="1"/>
  <c r="Z165" i="1"/>
  <c r="AB165" i="1"/>
  <c r="AC165" i="1"/>
  <c r="AD165" i="1"/>
  <c r="AG165" i="1" s="1"/>
  <c r="AE165" i="1"/>
  <c r="AF165" i="1"/>
  <c r="AH165" i="1"/>
  <c r="AM165" i="1"/>
  <c r="AN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66" i="1"/>
  <c r="AM166" i="1"/>
  <c r="AN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67" i="1"/>
  <c r="AM167" i="1"/>
  <c r="AN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68" i="1"/>
  <c r="AM168" i="1"/>
  <c r="AN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69" i="1"/>
  <c r="AM169" i="1"/>
  <c r="AN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70" i="1"/>
  <c r="AM170" i="1"/>
  <c r="AN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71" i="1"/>
  <c r="AM171" i="1"/>
  <c r="AN171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72" i="1"/>
  <c r="AM172" i="1"/>
  <c r="AN172" i="1"/>
  <c r="K173" i="1"/>
  <c r="L173" i="1"/>
  <c r="M173" i="1"/>
  <c r="N173" i="1" s="1"/>
  <c r="V173" i="1"/>
  <c r="Y173" i="1"/>
  <c r="AA173" i="1" s="1"/>
  <c r="Z173" i="1"/>
  <c r="AB173" i="1"/>
  <c r="AC173" i="1"/>
  <c r="AD173" i="1"/>
  <c r="AG173" i="1" s="1"/>
  <c r="AE173" i="1"/>
  <c r="AF173" i="1"/>
  <c r="AH173" i="1"/>
  <c r="AM173" i="1"/>
  <c r="AN173" i="1"/>
  <c r="K174" i="1"/>
  <c r="L174" i="1"/>
  <c r="M174" i="1"/>
  <c r="N174" i="1" s="1"/>
  <c r="T174" i="1"/>
  <c r="V174" i="1"/>
  <c r="X174" i="1"/>
  <c r="Y174" i="1"/>
  <c r="Z174" i="1"/>
  <c r="AB174" i="1"/>
  <c r="AC174" i="1"/>
  <c r="AD174" i="1"/>
  <c r="AE174" i="1"/>
  <c r="AF174" i="1"/>
  <c r="AG174" i="1"/>
  <c r="AH174" i="1"/>
  <c r="AM174" i="1"/>
  <c r="AN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75" i="1"/>
  <c r="AM175" i="1"/>
  <c r="AN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76" i="1"/>
  <c r="AM176" i="1"/>
  <c r="AN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77" i="1"/>
  <c r="AM177" i="1"/>
  <c r="AN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78" i="1"/>
  <c r="AM178" i="1"/>
  <c r="AN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79" i="1"/>
  <c r="AM179" i="1"/>
  <c r="AN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80" i="1"/>
  <c r="AM180" i="1"/>
  <c r="AN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81" i="1"/>
  <c r="AM181" i="1"/>
  <c r="AN181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182" i="1"/>
  <c r="AM182" i="1"/>
  <c r="AN182" i="1"/>
  <c r="K230" i="1"/>
  <c r="L230" i="1"/>
  <c r="M230" i="1"/>
  <c r="N230" i="1" s="1"/>
  <c r="T230" i="1"/>
  <c r="V230" i="1"/>
  <c r="Y230" i="1"/>
  <c r="Z230" i="1"/>
  <c r="AA230" i="1" s="1"/>
  <c r="AB230" i="1"/>
  <c r="AC230" i="1"/>
  <c r="AD230" i="1"/>
  <c r="AG230" i="1" s="1"/>
  <c r="AE230" i="1"/>
  <c r="AF230" i="1"/>
  <c r="AH183" i="1"/>
  <c r="AM183" i="1"/>
  <c r="AN183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4" i="1"/>
  <c r="AM184" i="1"/>
  <c r="AN184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85" i="1"/>
  <c r="AM185" i="1"/>
  <c r="AN185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G233" i="1"/>
  <c r="AH186" i="1"/>
  <c r="AM186" i="1"/>
  <c r="AN186" i="1"/>
  <c r="K234" i="1"/>
  <c r="L234" i="1"/>
  <c r="M234" i="1"/>
  <c r="N234" i="1" s="1"/>
  <c r="T234" i="1"/>
  <c r="V234" i="1"/>
  <c r="Y234" i="1"/>
  <c r="Z234" i="1"/>
  <c r="AA234" i="1" s="1"/>
  <c r="AB234" i="1"/>
  <c r="AC234" i="1"/>
  <c r="AD234" i="1"/>
  <c r="AE234" i="1"/>
  <c r="AF234" i="1"/>
  <c r="AG234" i="1"/>
  <c r="AH187" i="1"/>
  <c r="AM187" i="1"/>
  <c r="AN187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8" i="1"/>
  <c r="AM188" i="1"/>
  <c r="AN188" i="1"/>
  <c r="K236" i="1"/>
  <c r="L236" i="1"/>
  <c r="M236" i="1"/>
  <c r="N236" i="1" s="1"/>
  <c r="V236" i="1"/>
  <c r="Y236" i="1"/>
  <c r="Z236" i="1"/>
  <c r="AA236" i="1" s="1"/>
  <c r="AB236" i="1"/>
  <c r="AC236" i="1"/>
  <c r="AD236" i="1"/>
  <c r="T236" i="1" s="1"/>
  <c r="AE236" i="1"/>
  <c r="AF236" i="1"/>
  <c r="AH189" i="1"/>
  <c r="AM189" i="1"/>
  <c r="AN189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90" i="1"/>
  <c r="AM190" i="1"/>
  <c r="AN190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91" i="1"/>
  <c r="AM191" i="1"/>
  <c r="AN191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92" i="1"/>
  <c r="AM192" i="1"/>
  <c r="AN192" i="1"/>
  <c r="K240" i="1"/>
  <c r="L240" i="1"/>
  <c r="M240" i="1"/>
  <c r="N240" i="1"/>
  <c r="V240" i="1"/>
  <c r="Y240" i="1"/>
  <c r="Z240" i="1"/>
  <c r="AB240" i="1"/>
  <c r="AC240" i="1"/>
  <c r="AD240" i="1"/>
  <c r="T240" i="1" s="1"/>
  <c r="AE240" i="1"/>
  <c r="AF240" i="1"/>
  <c r="AH193" i="1"/>
  <c r="AM193" i="1"/>
  <c r="AN193" i="1"/>
  <c r="K241" i="1"/>
  <c r="L241" i="1"/>
  <c r="M241" i="1"/>
  <c r="N241" i="1" s="1"/>
  <c r="V241" i="1"/>
  <c r="Y241" i="1"/>
  <c r="Z241" i="1"/>
  <c r="AA241" i="1" s="1"/>
  <c r="AB241" i="1"/>
  <c r="AC241" i="1"/>
  <c r="AD241" i="1"/>
  <c r="AE241" i="1"/>
  <c r="AF241" i="1"/>
  <c r="AH194" i="1"/>
  <c r="AM194" i="1"/>
  <c r="AN194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95" i="1"/>
  <c r="AM195" i="1"/>
  <c r="AN195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6" i="1"/>
  <c r="AM196" i="1"/>
  <c r="AN196" i="1"/>
  <c r="K251" i="1"/>
  <c r="L251" i="1"/>
  <c r="M251" i="1"/>
  <c r="N251" i="1"/>
  <c r="V251" i="1"/>
  <c r="Y251" i="1"/>
  <c r="Z251" i="1"/>
  <c r="AB251" i="1"/>
  <c r="AC251" i="1"/>
  <c r="AD251" i="1"/>
  <c r="T251" i="1" s="1"/>
  <c r="AE251" i="1"/>
  <c r="AF251" i="1"/>
  <c r="AH197" i="1"/>
  <c r="AM197" i="1"/>
  <c r="AN197" i="1"/>
  <c r="K252" i="1"/>
  <c r="L252" i="1"/>
  <c r="M252" i="1"/>
  <c r="N252" i="1" s="1"/>
  <c r="V252" i="1"/>
  <c r="Y252" i="1"/>
  <c r="AA252" i="1" s="1"/>
  <c r="Z252" i="1"/>
  <c r="AB252" i="1"/>
  <c r="AC252" i="1"/>
  <c r="AD252" i="1"/>
  <c r="T252" i="1" s="1"/>
  <c r="AE252" i="1"/>
  <c r="AF252" i="1"/>
  <c r="AH198" i="1"/>
  <c r="AM198" i="1"/>
  <c r="AN198" i="1"/>
  <c r="K253" i="1"/>
  <c r="L253" i="1"/>
  <c r="M253" i="1"/>
  <c r="N253" i="1" s="1"/>
  <c r="V253" i="1"/>
  <c r="X253" i="1"/>
  <c r="Y253" i="1"/>
  <c r="Z253" i="1"/>
  <c r="AB253" i="1"/>
  <c r="AC253" i="1"/>
  <c r="AD253" i="1"/>
  <c r="AE253" i="1"/>
  <c r="AF253" i="1"/>
  <c r="AH199" i="1"/>
  <c r="AM199" i="1"/>
  <c r="AN199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200" i="1"/>
  <c r="AM200" i="1"/>
  <c r="AN200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01" i="1"/>
  <c r="AM201" i="1"/>
  <c r="AN201" i="1"/>
  <c r="K256" i="1"/>
  <c r="L256" i="1"/>
  <c r="M256" i="1"/>
  <c r="N256" i="1" s="1"/>
  <c r="V256" i="1"/>
  <c r="Y256" i="1"/>
  <c r="AA256" i="1" s="1"/>
  <c r="Z256" i="1"/>
  <c r="AB256" i="1"/>
  <c r="AC256" i="1"/>
  <c r="AD256" i="1"/>
  <c r="T256" i="1" s="1"/>
  <c r="AE256" i="1"/>
  <c r="AF256" i="1"/>
  <c r="AH202" i="1"/>
  <c r="AM202" i="1"/>
  <c r="AN202" i="1"/>
  <c r="K257" i="1"/>
  <c r="L257" i="1"/>
  <c r="M257" i="1"/>
  <c r="N257" i="1" s="1"/>
  <c r="V257" i="1"/>
  <c r="Y257" i="1"/>
  <c r="Z257" i="1"/>
  <c r="AB257" i="1"/>
  <c r="AC257" i="1"/>
  <c r="AD257" i="1"/>
  <c r="AG257" i="1" s="1"/>
  <c r="AE257" i="1"/>
  <c r="AF257" i="1"/>
  <c r="AH203" i="1"/>
  <c r="AM203" i="1"/>
  <c r="AN203" i="1"/>
  <c r="K258" i="1"/>
  <c r="L258" i="1"/>
  <c r="M258" i="1"/>
  <c r="N258" i="1" s="1"/>
  <c r="V258" i="1"/>
  <c r="Y258" i="1"/>
  <c r="Z258" i="1"/>
  <c r="AB258" i="1"/>
  <c r="AC258" i="1"/>
  <c r="AD258" i="1"/>
  <c r="T258" i="1" s="1"/>
  <c r="AE258" i="1"/>
  <c r="AF258" i="1"/>
  <c r="AH204" i="1"/>
  <c r="AM204" i="1"/>
  <c r="AN204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5" i="1"/>
  <c r="AM205" i="1"/>
  <c r="AN205" i="1"/>
  <c r="K260" i="1"/>
  <c r="L260" i="1"/>
  <c r="M260" i="1"/>
  <c r="N260" i="1" s="1"/>
  <c r="V260" i="1"/>
  <c r="Y260" i="1"/>
  <c r="Z260" i="1"/>
  <c r="AB260" i="1"/>
  <c r="AC260" i="1"/>
  <c r="AD260" i="1"/>
  <c r="AE260" i="1"/>
  <c r="AF260" i="1"/>
  <c r="AH206" i="1"/>
  <c r="AM206" i="1"/>
  <c r="AN206" i="1"/>
  <c r="K261" i="1"/>
  <c r="L261" i="1"/>
  <c r="M261" i="1"/>
  <c r="N261" i="1" s="1"/>
  <c r="V261" i="1"/>
  <c r="Y261" i="1"/>
  <c r="Z261" i="1"/>
  <c r="AB261" i="1"/>
  <c r="AC261" i="1"/>
  <c r="AD261" i="1"/>
  <c r="AE261" i="1"/>
  <c r="AF261" i="1"/>
  <c r="AH207" i="1"/>
  <c r="AM207" i="1"/>
  <c r="AN20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8" i="1"/>
  <c r="AM208" i="1"/>
  <c r="AN20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9" i="1"/>
  <c r="AM209" i="1"/>
  <c r="AN209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10" i="1"/>
  <c r="AM210" i="1"/>
  <c r="AN210" i="1"/>
  <c r="K186" i="1"/>
  <c r="L186" i="1"/>
  <c r="M186" i="1"/>
  <c r="N186" i="1"/>
  <c r="V186" i="1"/>
  <c r="Y186" i="1"/>
  <c r="Z186" i="1"/>
  <c r="AB186" i="1"/>
  <c r="AC186" i="1"/>
  <c r="AD186" i="1"/>
  <c r="AG186" i="1" s="1"/>
  <c r="AI186" i="1" s="1"/>
  <c r="AE186" i="1"/>
  <c r="AF186" i="1"/>
  <c r="AH211" i="1"/>
  <c r="AM211" i="1"/>
  <c r="AN211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2" i="1"/>
  <c r="AM212" i="1"/>
  <c r="AN212" i="1"/>
  <c r="K188" i="1"/>
  <c r="L188" i="1"/>
  <c r="M188" i="1"/>
  <c r="N188" i="1" s="1"/>
  <c r="V188" i="1"/>
  <c r="Y188" i="1"/>
  <c r="Z188" i="1"/>
  <c r="AB188" i="1"/>
  <c r="AC188" i="1"/>
  <c r="AD188" i="1"/>
  <c r="X189" i="1" s="1"/>
  <c r="AE188" i="1"/>
  <c r="AF188" i="1"/>
  <c r="AH213" i="1"/>
  <c r="AM213" i="1"/>
  <c r="AN21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4" i="1"/>
  <c r="AM214" i="1"/>
  <c r="AN214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5" i="1"/>
  <c r="AM215" i="1"/>
  <c r="AN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AM216" i="1"/>
  <c r="AN216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7" i="1"/>
  <c r="AM217" i="1"/>
  <c r="AN217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8" i="1"/>
  <c r="AM218" i="1"/>
  <c r="AN218" i="1"/>
  <c r="K194" i="1"/>
  <c r="L194" i="1"/>
  <c r="M194" i="1"/>
  <c r="N194" i="1" s="1"/>
  <c r="V194" i="1"/>
  <c r="Y194" i="1"/>
  <c r="Z194" i="1"/>
  <c r="AB194" i="1"/>
  <c r="AC194" i="1"/>
  <c r="AD194" i="1"/>
  <c r="AE194" i="1"/>
  <c r="R35" i="3" s="1"/>
  <c r="AF194" i="1"/>
  <c r="AH219" i="1"/>
  <c r="AM219" i="1"/>
  <c r="AN219" i="1"/>
  <c r="K195" i="1"/>
  <c r="L195" i="1"/>
  <c r="M195" i="1"/>
  <c r="N195" i="1" s="1"/>
  <c r="V195" i="1"/>
  <c r="Y195" i="1"/>
  <c r="AA195" i="1" s="1"/>
  <c r="Z195" i="1"/>
  <c r="AB195" i="1"/>
  <c r="AC195" i="1"/>
  <c r="AD195" i="1"/>
  <c r="AE195" i="1"/>
  <c r="AF195" i="1"/>
  <c r="AH220" i="1"/>
  <c r="AM220" i="1"/>
  <c r="AN22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2" i="1"/>
  <c r="AM222" i="1"/>
  <c r="AN22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3" i="1"/>
  <c r="AM223" i="1"/>
  <c r="AN223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5" i="1"/>
  <c r="AM225" i="1"/>
  <c r="AN225" i="1"/>
  <c r="K200" i="1"/>
  <c r="L200" i="1"/>
  <c r="M200" i="1"/>
  <c r="N200" i="1"/>
  <c r="V200" i="1"/>
  <c r="Y200" i="1"/>
  <c r="Z200" i="1"/>
  <c r="AB200" i="1"/>
  <c r="AC200" i="1"/>
  <c r="AD200" i="1"/>
  <c r="AE200" i="1"/>
  <c r="AF200" i="1"/>
  <c r="AH226" i="1"/>
  <c r="AM226" i="1"/>
  <c r="AN226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7" i="1"/>
  <c r="AM227" i="1"/>
  <c r="AN227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9" i="1"/>
  <c r="AM229" i="1"/>
  <c r="AN229" i="1"/>
  <c r="K204" i="1"/>
  <c r="L204" i="1"/>
  <c r="M204" i="1"/>
  <c r="N204" i="1"/>
  <c r="V204" i="1"/>
  <c r="Y204" i="1"/>
  <c r="Z204" i="1"/>
  <c r="AB204" i="1"/>
  <c r="AC204" i="1"/>
  <c r="AD204" i="1"/>
  <c r="AE204" i="1"/>
  <c r="AF204" i="1"/>
  <c r="AH230" i="1"/>
  <c r="AM230" i="1"/>
  <c r="AN230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31" i="1"/>
  <c r="AM231" i="1"/>
  <c r="AN231" i="1"/>
  <c r="K206" i="1"/>
  <c r="L206" i="1"/>
  <c r="M206" i="1"/>
  <c r="N206" i="1" s="1"/>
  <c r="T206" i="1"/>
  <c r="V206" i="1"/>
  <c r="Y206" i="1"/>
  <c r="Z206" i="1"/>
  <c r="AB206" i="1"/>
  <c r="AC206" i="1"/>
  <c r="AD206" i="1"/>
  <c r="AG206" i="1" s="1"/>
  <c r="AE206" i="1"/>
  <c r="AF206" i="1"/>
  <c r="AH232" i="1"/>
  <c r="AM232" i="1"/>
  <c r="AN232" i="1"/>
  <c r="K207" i="1"/>
  <c r="L207" i="1"/>
  <c r="M207" i="1"/>
  <c r="N207" i="1" s="1"/>
  <c r="V207" i="1"/>
  <c r="Y207" i="1"/>
  <c r="AA207" i="1" s="1"/>
  <c r="Z207" i="1"/>
  <c r="AB207" i="1"/>
  <c r="AC207" i="1"/>
  <c r="AD207" i="1"/>
  <c r="AE207" i="1"/>
  <c r="AF207" i="1"/>
  <c r="AH233" i="1"/>
  <c r="AI233" i="1"/>
  <c r="AM233" i="1"/>
  <c r="AN233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34" i="1"/>
  <c r="AM234" i="1"/>
  <c r="AN234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G209" i="1"/>
  <c r="AH235" i="1"/>
  <c r="AM235" i="1"/>
  <c r="AN235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36" i="1"/>
  <c r="AM236" i="1"/>
  <c r="AN236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37" i="1"/>
  <c r="AM237" i="1"/>
  <c r="AN237" i="1"/>
  <c r="K212" i="1"/>
  <c r="L212" i="1"/>
  <c r="M212" i="1"/>
  <c r="N212" i="1"/>
  <c r="V212" i="1"/>
  <c r="Y212" i="1"/>
  <c r="Z212" i="1"/>
  <c r="AB212" i="1"/>
  <c r="AC212" i="1"/>
  <c r="AD212" i="1"/>
  <c r="AE212" i="1"/>
  <c r="AF212" i="1"/>
  <c r="AH238" i="1"/>
  <c r="AM238" i="1"/>
  <c r="AN238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39" i="1"/>
  <c r="AM239" i="1"/>
  <c r="AN239" i="1"/>
  <c r="K214" i="1"/>
  <c r="L214" i="1"/>
  <c r="M214" i="1"/>
  <c r="N214" i="1" s="1"/>
  <c r="T214" i="1"/>
  <c r="V214" i="1"/>
  <c r="Y214" i="1"/>
  <c r="Z214" i="1"/>
  <c r="AA214" i="1" s="1"/>
  <c r="AB214" i="1"/>
  <c r="AC214" i="1"/>
  <c r="AD214" i="1"/>
  <c r="AE214" i="1"/>
  <c r="AF214" i="1"/>
  <c r="AH240" i="1"/>
  <c r="AM240" i="1"/>
  <c r="AN24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241" i="1"/>
  <c r="AM241" i="1"/>
  <c r="AN241" i="1"/>
  <c r="K216" i="1"/>
  <c r="L216" i="1"/>
  <c r="M216" i="1"/>
  <c r="N216" i="1"/>
  <c r="V216" i="1"/>
  <c r="Y216" i="1"/>
  <c r="Z216" i="1"/>
  <c r="AB216" i="1"/>
  <c r="AC216" i="1"/>
  <c r="AD216" i="1"/>
  <c r="AE216" i="1"/>
  <c r="AF216" i="1"/>
  <c r="AH242" i="1"/>
  <c r="AM242" i="1"/>
  <c r="AN242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43" i="1"/>
  <c r="AM243" i="1"/>
  <c r="AN243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44" i="1"/>
  <c r="AM244" i="1"/>
  <c r="AN244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45" i="1"/>
  <c r="AM245" i="1"/>
  <c r="AN245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6" i="1"/>
  <c r="AM246" i="1"/>
  <c r="AN246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7" i="1"/>
  <c r="AM247" i="1"/>
  <c r="AN247" i="1"/>
  <c r="K223" i="1"/>
  <c r="L223" i="1"/>
  <c r="M223" i="1"/>
  <c r="N223" i="1"/>
  <c r="V223" i="1"/>
  <c r="Y223" i="1"/>
  <c r="Z223" i="1"/>
  <c r="AB223" i="1"/>
  <c r="AC223" i="1"/>
  <c r="AD223" i="1"/>
  <c r="AG223" i="1" s="1"/>
  <c r="AE223" i="1"/>
  <c r="AF223" i="1"/>
  <c r="AH248" i="1"/>
  <c r="AM248" i="1"/>
  <c r="AN24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34" i="3" s="1"/>
  <c r="AF224" i="1"/>
  <c r="AH249" i="1"/>
  <c r="AM249" i="1"/>
  <c r="AN24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50" i="1"/>
  <c r="AM250" i="1"/>
  <c r="AN250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51" i="1"/>
  <c r="AM251" i="1"/>
  <c r="AN251" i="1"/>
  <c r="K227" i="1"/>
  <c r="L227" i="1"/>
  <c r="M227" i="1"/>
  <c r="N227" i="1"/>
  <c r="V227" i="1"/>
  <c r="Y227" i="1"/>
  <c r="Z227" i="1"/>
  <c r="AA227" i="1" s="1"/>
  <c r="AB227" i="1"/>
  <c r="AC227" i="1"/>
  <c r="AD227" i="1"/>
  <c r="AE227" i="1"/>
  <c r="AF227" i="1"/>
  <c r="AH252" i="1"/>
  <c r="AM252" i="1"/>
  <c r="AN252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253" i="1"/>
  <c r="AM253" i="1"/>
  <c r="AN253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254" i="1"/>
  <c r="AM254" i="1"/>
  <c r="AN254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255" i="1"/>
  <c r="AM255" i="1"/>
  <c r="AN255" i="1"/>
  <c r="K245" i="1"/>
  <c r="L245" i="1"/>
  <c r="M245" i="1"/>
  <c r="N245" i="1" s="1"/>
  <c r="V245" i="1"/>
  <c r="Y245" i="1"/>
  <c r="Z245" i="1"/>
  <c r="AA245" i="1" s="1"/>
  <c r="AB245" i="1"/>
  <c r="AC245" i="1"/>
  <c r="AD245" i="1"/>
  <c r="T245" i="1" s="1"/>
  <c r="AE245" i="1"/>
  <c r="AF245" i="1"/>
  <c r="AH256" i="1"/>
  <c r="AM256" i="1"/>
  <c r="AN256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257" i="1"/>
  <c r="AM257" i="1"/>
  <c r="AN257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58" i="1"/>
  <c r="AM258" i="1"/>
  <c r="AN258" i="1"/>
  <c r="K248" i="1"/>
  <c r="L248" i="1"/>
  <c r="M248" i="1"/>
  <c r="N248" i="1" s="1"/>
  <c r="V248" i="1"/>
  <c r="Y248" i="1"/>
  <c r="Z248" i="1"/>
  <c r="AA248" i="1" s="1"/>
  <c r="AB248" i="1"/>
  <c r="AC248" i="1"/>
  <c r="AD248" i="1"/>
  <c r="AG248" i="1" s="1"/>
  <c r="AE248" i="1"/>
  <c r="AF248" i="1"/>
  <c r="AH259" i="1"/>
  <c r="AM259" i="1"/>
  <c r="AN259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260" i="1"/>
  <c r="AM260" i="1"/>
  <c r="AN260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261" i="1"/>
  <c r="AM261" i="1"/>
  <c r="AN261" i="1"/>
  <c r="M23" i="3"/>
  <c r="R23" i="3"/>
  <c r="S23" i="3"/>
  <c r="U23" i="3"/>
  <c r="T23" i="3" s="1"/>
  <c r="V23" i="3"/>
  <c r="W23" i="3"/>
  <c r="Y23" i="3" s="1"/>
  <c r="X23" i="3"/>
  <c r="AC23" i="3"/>
  <c r="M18" i="3"/>
  <c r="R18" i="3"/>
  <c r="U18" i="3"/>
  <c r="V18" i="3"/>
  <c r="W18" i="3"/>
  <c r="Y18" i="3" s="1"/>
  <c r="X18" i="3"/>
  <c r="M12" i="3"/>
  <c r="S12" i="3"/>
  <c r="U12" i="3"/>
  <c r="V12" i="3"/>
  <c r="W12" i="3"/>
  <c r="X12" i="3"/>
  <c r="Y12" i="3"/>
  <c r="M13" i="3"/>
  <c r="S13" i="3"/>
  <c r="T13" i="3"/>
  <c r="U13" i="3"/>
  <c r="AC13" i="3" s="1"/>
  <c r="V13" i="3"/>
  <c r="W13" i="3"/>
  <c r="Y13" i="3" s="1"/>
  <c r="X13" i="3"/>
  <c r="M35" i="3"/>
  <c r="S35" i="3"/>
  <c r="U35" i="3"/>
  <c r="V35" i="3"/>
  <c r="W35" i="3"/>
  <c r="X35" i="3"/>
  <c r="AC35" i="3"/>
  <c r="M14" i="3"/>
  <c r="S14" i="3"/>
  <c r="U14" i="3"/>
  <c r="AD13" i="3" s="1"/>
  <c r="V14" i="3"/>
  <c r="W14" i="3"/>
  <c r="X14" i="3"/>
  <c r="Y14" i="3"/>
  <c r="M15" i="3"/>
  <c r="R15" i="3"/>
  <c r="U15" i="3"/>
  <c r="V15" i="3"/>
  <c r="W15" i="3"/>
  <c r="X15" i="3"/>
  <c r="M11" i="3"/>
  <c r="R11" i="3"/>
  <c r="T11" i="3"/>
  <c r="U11" i="3"/>
  <c r="AC11" i="3" s="1"/>
  <c r="V11" i="3"/>
  <c r="W11" i="3"/>
  <c r="X11" i="3"/>
  <c r="M37" i="3"/>
  <c r="R37" i="3"/>
  <c r="S37" i="3"/>
  <c r="U37" i="3"/>
  <c r="V37" i="3"/>
  <c r="W37" i="3"/>
  <c r="X37" i="3"/>
  <c r="AC37" i="3"/>
  <c r="M21" i="3"/>
  <c r="U21" i="3"/>
  <c r="V21" i="3"/>
  <c r="W21" i="3"/>
  <c r="X21" i="3"/>
  <c r="M17" i="3"/>
  <c r="R17" i="3"/>
  <c r="U17" i="3"/>
  <c r="AC17" i="3" s="1"/>
  <c r="V17" i="3"/>
  <c r="W17" i="3"/>
  <c r="X17" i="3"/>
  <c r="M31" i="3"/>
  <c r="R31" i="3"/>
  <c r="U31" i="3"/>
  <c r="AC31" i="3" s="1"/>
  <c r="V31" i="3"/>
  <c r="W31" i="3"/>
  <c r="X31" i="3"/>
  <c r="M10" i="3"/>
  <c r="S10" i="3"/>
  <c r="U10" i="3"/>
  <c r="T10" i="3" s="1"/>
  <c r="V10" i="3"/>
  <c r="W10" i="3"/>
  <c r="Y10" i="3" s="1"/>
  <c r="X10" i="3"/>
  <c r="AC10" i="3"/>
  <c r="M7" i="3"/>
  <c r="S7" i="3"/>
  <c r="U7" i="3"/>
  <c r="V7" i="3"/>
  <c r="W7" i="3"/>
  <c r="Y7" i="3" s="1"/>
  <c r="X7" i="3"/>
  <c r="M9" i="3"/>
  <c r="R9" i="3"/>
  <c r="S9" i="3"/>
  <c r="U9" i="3"/>
  <c r="AC9" i="3" s="1"/>
  <c r="V9" i="3"/>
  <c r="W9" i="3"/>
  <c r="X9" i="3"/>
  <c r="M33" i="3"/>
  <c r="R33" i="3"/>
  <c r="S33" i="3"/>
  <c r="T33" i="3"/>
  <c r="U33" i="3"/>
  <c r="AC33" i="3" s="1"/>
  <c r="V33" i="3"/>
  <c r="W33" i="3"/>
  <c r="Y33" i="3" s="1"/>
  <c r="X33" i="3"/>
  <c r="AD23" i="3"/>
  <c r="AE23" i="3"/>
  <c r="M32" i="3"/>
  <c r="R32" i="3"/>
  <c r="U32" i="3"/>
  <c r="V32" i="3"/>
  <c r="W32" i="3"/>
  <c r="X32" i="3"/>
  <c r="AC32" i="3"/>
  <c r="M19" i="3"/>
  <c r="R19" i="3"/>
  <c r="S19" i="3"/>
  <c r="U19" i="3"/>
  <c r="V19" i="3"/>
  <c r="W19" i="3"/>
  <c r="Y19" i="3" s="1"/>
  <c r="X19" i="3"/>
  <c r="M24" i="3"/>
  <c r="R24" i="3"/>
  <c r="S24" i="3"/>
  <c r="U24" i="3"/>
  <c r="AC24" i="3" s="1"/>
  <c r="V24" i="3"/>
  <c r="W24" i="3"/>
  <c r="Y24" i="3" s="1"/>
  <c r="X24" i="3"/>
  <c r="M25" i="3"/>
  <c r="R25" i="3"/>
  <c r="S25" i="3"/>
  <c r="U25" i="3"/>
  <c r="AC25" i="3" s="1"/>
  <c r="V25" i="3"/>
  <c r="W25" i="3"/>
  <c r="X25" i="3"/>
  <c r="M30" i="3"/>
  <c r="N30" i="3"/>
  <c r="S30" i="3"/>
  <c r="U30" i="3"/>
  <c r="T30" i="3" s="1"/>
  <c r="V30" i="3"/>
  <c r="W30" i="3"/>
  <c r="Y30" i="3" s="1"/>
  <c r="X30" i="3"/>
  <c r="AC30" i="3"/>
  <c r="M26" i="3"/>
  <c r="R26" i="3"/>
  <c r="S26" i="3"/>
  <c r="U26" i="3"/>
  <c r="V26" i="3"/>
  <c r="W26" i="3"/>
  <c r="Y26" i="3" s="1"/>
  <c r="X26" i="3"/>
  <c r="M20" i="3"/>
  <c r="R20" i="3"/>
  <c r="S20" i="3"/>
  <c r="U20" i="3"/>
  <c r="AC20" i="3" s="1"/>
  <c r="V20" i="3"/>
  <c r="W20" i="3"/>
  <c r="X20" i="3"/>
  <c r="Y20" i="3"/>
  <c r="M8" i="3"/>
  <c r="S8" i="3"/>
  <c r="T8" i="3"/>
  <c r="U8" i="3"/>
  <c r="AC8" i="3" s="1"/>
  <c r="V8" i="3"/>
  <c r="W8" i="3"/>
  <c r="X8" i="3"/>
  <c r="AE31" i="3"/>
  <c r="M27" i="3"/>
  <c r="S27" i="3"/>
  <c r="U27" i="3"/>
  <c r="AD32" i="3" s="1"/>
  <c r="V27" i="3"/>
  <c r="W27" i="3"/>
  <c r="X27" i="3"/>
  <c r="AC27" i="3"/>
  <c r="M34" i="3"/>
  <c r="S34" i="3"/>
  <c r="U34" i="3"/>
  <c r="AD33" i="3" s="1"/>
  <c r="V34" i="3"/>
  <c r="W34" i="3"/>
  <c r="Y34" i="3" s="1"/>
  <c r="X34" i="3"/>
  <c r="M16" i="3"/>
  <c r="R16" i="3"/>
  <c r="U16" i="3"/>
  <c r="AC16" i="3" s="1"/>
  <c r="V16" i="3"/>
  <c r="W16" i="3"/>
  <c r="X16" i="3"/>
  <c r="M36" i="3"/>
  <c r="R36" i="3"/>
  <c r="S36" i="3"/>
  <c r="U36" i="3"/>
  <c r="AC36" i="3" s="1"/>
  <c r="V36" i="3"/>
  <c r="W36" i="3"/>
  <c r="Y36" i="3" s="1"/>
  <c r="X36" i="3"/>
  <c r="M28" i="3"/>
  <c r="R28" i="3"/>
  <c r="S28" i="3"/>
  <c r="U28" i="3"/>
  <c r="T28" i="3" s="1"/>
  <c r="V28" i="3"/>
  <c r="W28" i="3"/>
  <c r="X28" i="3"/>
  <c r="AC28" i="3"/>
  <c r="AD36" i="3"/>
  <c r="M29" i="3"/>
  <c r="R29" i="3"/>
  <c r="S29" i="3"/>
  <c r="U29" i="3"/>
  <c r="AD37" i="3" s="1"/>
  <c r="V29" i="3"/>
  <c r="W29" i="3"/>
  <c r="X29" i="3"/>
  <c r="AC29" i="3"/>
  <c r="W221" i="1" l="1"/>
  <c r="AG221" i="1"/>
  <c r="X221" i="1"/>
  <c r="U140" i="1"/>
  <c r="S140" i="1" s="1"/>
  <c r="AI140" i="1"/>
  <c r="AG149" i="1"/>
  <c r="X149" i="1"/>
  <c r="AE36" i="3"/>
  <c r="T35" i="3"/>
  <c r="AD35" i="3"/>
  <c r="AG158" i="1"/>
  <c r="X158" i="1"/>
  <c r="X150" i="1"/>
  <c r="AG150" i="1"/>
  <c r="T127" i="1"/>
  <c r="AG127" i="1"/>
  <c r="S31" i="3"/>
  <c r="S17" i="3"/>
  <c r="AG82" i="1"/>
  <c r="W82" i="1" s="1"/>
  <c r="X82" i="1"/>
  <c r="T40" i="1"/>
  <c r="AG40" i="1"/>
  <c r="AI40" i="1" s="1"/>
  <c r="Y16" i="3"/>
  <c r="R8" i="3"/>
  <c r="AC15" i="3"/>
  <c r="AE15" i="3"/>
  <c r="T227" i="1"/>
  <c r="X227" i="1"/>
  <c r="AG227" i="1"/>
  <c r="U227" i="1" s="1"/>
  <c r="T219" i="1"/>
  <c r="AG219" i="1"/>
  <c r="U219" i="1" s="1"/>
  <c r="AG214" i="1"/>
  <c r="W214" i="1" s="1"/>
  <c r="X214" i="1"/>
  <c r="T260" i="1"/>
  <c r="AG260" i="1"/>
  <c r="AI260" i="1" s="1"/>
  <c r="Y29" i="3"/>
  <c r="R7" i="3"/>
  <c r="AD15" i="3"/>
  <c r="AG183" i="1"/>
  <c r="AG253" i="1"/>
  <c r="AI253" i="1" s="1"/>
  <c r="T253" i="1"/>
  <c r="T241" i="1"/>
  <c r="X241" i="1"/>
  <c r="AG153" i="1"/>
  <c r="X153" i="1"/>
  <c r="T150" i="1"/>
  <c r="AG130" i="1"/>
  <c r="T130" i="1"/>
  <c r="AG128" i="1"/>
  <c r="X128" i="1"/>
  <c r="AG69" i="1"/>
  <c r="T69" i="1"/>
  <c r="AA48" i="1"/>
  <c r="W48" i="1" s="1"/>
  <c r="AA27" i="1"/>
  <c r="W127" i="1"/>
  <c r="W40" i="1"/>
  <c r="T29" i="1"/>
  <c r="AG29" i="1"/>
  <c r="AI29" i="1" s="1"/>
  <c r="X257" i="1"/>
  <c r="AG256" i="1"/>
  <c r="AI256" i="1" s="1"/>
  <c r="X256" i="1"/>
  <c r="X165" i="1"/>
  <c r="AI104" i="1"/>
  <c r="AA15" i="1"/>
  <c r="AG250" i="1"/>
  <c r="T250" i="1"/>
  <c r="X169" i="1"/>
  <c r="AG166" i="1"/>
  <c r="X166" i="1"/>
  <c r="T144" i="1"/>
  <c r="AG144" i="1"/>
  <c r="U144" i="1" s="1"/>
  <c r="S144" i="1" s="1"/>
  <c r="AG138" i="1"/>
  <c r="X138" i="1"/>
  <c r="W128" i="1"/>
  <c r="P92" i="1"/>
  <c r="AA65" i="1"/>
  <c r="AA59" i="1"/>
  <c r="AG58" i="1"/>
  <c r="AI58" i="1" s="1"/>
  <c r="T58" i="1"/>
  <c r="X41" i="1"/>
  <c r="T41" i="1"/>
  <c r="P35" i="1"/>
  <c r="AE19" i="3"/>
  <c r="AD24" i="3"/>
  <c r="Y11" i="3"/>
  <c r="Y15" i="3"/>
  <c r="AA187" i="1"/>
  <c r="AA178" i="1"/>
  <c r="AD31" i="3"/>
  <c r="AD21" i="3"/>
  <c r="Y17" i="3"/>
  <c r="AA249" i="1"/>
  <c r="AG224" i="1"/>
  <c r="AA223" i="1"/>
  <c r="W223" i="1" s="1"/>
  <c r="AA222" i="1"/>
  <c r="AI218" i="1"/>
  <c r="AG191" i="1"/>
  <c r="U191" i="1" s="1"/>
  <c r="S191" i="1" s="1"/>
  <c r="AA190" i="1"/>
  <c r="W190" i="1" s="1"/>
  <c r="AG258" i="1"/>
  <c r="AI258" i="1" s="1"/>
  <c r="AG254" i="1"/>
  <c r="AA253" i="1"/>
  <c r="W253" i="1" s="1"/>
  <c r="AG238" i="1"/>
  <c r="AA237" i="1"/>
  <c r="AG182" i="1"/>
  <c r="AI182" i="1" s="1"/>
  <c r="AA181" i="1"/>
  <c r="AA177" i="1"/>
  <c r="AA171" i="1"/>
  <c r="AA169" i="1"/>
  <c r="X162" i="1"/>
  <c r="AA148" i="1"/>
  <c r="AG131" i="1"/>
  <c r="AI131" i="1" s="1"/>
  <c r="AA129" i="1"/>
  <c r="P125" i="1"/>
  <c r="AA119" i="1"/>
  <c r="AA117" i="1"/>
  <c r="P109" i="1"/>
  <c r="AA99" i="1"/>
  <c r="W99" i="1" s="1"/>
  <c r="AA85" i="1"/>
  <c r="W85" i="1" s="1"/>
  <c r="AA71" i="1"/>
  <c r="P65" i="1"/>
  <c r="P59" i="1"/>
  <c r="AG49" i="1"/>
  <c r="AI49" i="1" s="1"/>
  <c r="P47" i="1"/>
  <c r="AG46" i="1"/>
  <c r="AA45" i="1"/>
  <c r="W45" i="1" s="1"/>
  <c r="AA43" i="1"/>
  <c r="AA41" i="1"/>
  <c r="P41" i="1"/>
  <c r="AA35" i="1"/>
  <c r="AA31" i="1"/>
  <c r="AG25" i="1"/>
  <c r="AA24" i="1"/>
  <c r="AG21" i="1"/>
  <c r="AI21" i="1" s="1"/>
  <c r="AA14" i="1"/>
  <c r="Y21" i="3"/>
  <c r="W139" i="1"/>
  <c r="AA131" i="1"/>
  <c r="W131" i="1" s="1"/>
  <c r="AI105" i="1"/>
  <c r="P97" i="1"/>
  <c r="X91" i="1"/>
  <c r="P80" i="1"/>
  <c r="P77" i="1"/>
  <c r="P53" i="1"/>
  <c r="T126" i="1"/>
  <c r="AA126" i="1"/>
  <c r="AA125" i="1"/>
  <c r="AA100" i="1"/>
  <c r="AI101" i="1"/>
  <c r="AG97" i="1"/>
  <c r="AI97" i="1" s="1"/>
  <c r="X97" i="1"/>
  <c r="AA97" i="1"/>
  <c r="AA87" i="1"/>
  <c r="X72" i="1"/>
  <c r="AA66" i="1"/>
  <c r="AA57" i="1"/>
  <c r="AA53" i="1"/>
  <c r="AG53" i="1"/>
  <c r="AI53" i="1" s="1"/>
  <c r="X53" i="1"/>
  <c r="AA44" i="1"/>
  <c r="T44" i="1"/>
  <c r="X42" i="1"/>
  <c r="AG41" i="1"/>
  <c r="AI41" i="1" s="1"/>
  <c r="T229" i="1"/>
  <c r="U229" i="1" s="1"/>
  <c r="S229" i="1" s="1"/>
  <c r="T248" i="1"/>
  <c r="T226" i="1"/>
  <c r="AA224" i="1"/>
  <c r="W224" i="1" s="1"/>
  <c r="T223" i="1"/>
  <c r="AG222" i="1"/>
  <c r="X218" i="1"/>
  <c r="AG210" i="1"/>
  <c r="AI210" i="1" s="1"/>
  <c r="X210" i="1"/>
  <c r="T203" i="1"/>
  <c r="AG203" i="1"/>
  <c r="T207" i="1"/>
  <c r="AG207" i="1"/>
  <c r="T199" i="1"/>
  <c r="AG199" i="1"/>
  <c r="T197" i="1"/>
  <c r="AG197" i="1"/>
  <c r="T185" i="1"/>
  <c r="AG185" i="1"/>
  <c r="W185" i="1" s="1"/>
  <c r="AA250" i="1"/>
  <c r="AA247" i="1"/>
  <c r="AG245" i="1"/>
  <c r="W245" i="1" s="1"/>
  <c r="U226" i="1"/>
  <c r="AA226" i="1"/>
  <c r="AI223" i="1"/>
  <c r="AA217" i="1"/>
  <c r="AA215" i="1"/>
  <c r="T211" i="1"/>
  <c r="AG211" i="1"/>
  <c r="AG202" i="1"/>
  <c r="AI202" i="1" s="1"/>
  <c r="T202" i="1"/>
  <c r="X202" i="1"/>
  <c r="T195" i="1"/>
  <c r="AG195" i="1"/>
  <c r="T217" i="1"/>
  <c r="AG217" i="1"/>
  <c r="U215" i="1"/>
  <c r="S215" i="1" s="1"/>
  <c r="W209" i="1"/>
  <c r="X198" i="1"/>
  <c r="T193" i="1"/>
  <c r="AG193" i="1"/>
  <c r="AA213" i="1"/>
  <c r="AA191" i="1"/>
  <c r="T190" i="1"/>
  <c r="AA189" i="1"/>
  <c r="AA260" i="1"/>
  <c r="W260" i="1" s="1"/>
  <c r="AG252" i="1"/>
  <c r="X242" i="1"/>
  <c r="AG241" i="1"/>
  <c r="AI241" i="1" s="1"/>
  <c r="AG239" i="1"/>
  <c r="AG179" i="1"/>
  <c r="X179" i="1"/>
  <c r="AA176" i="1"/>
  <c r="X173" i="1"/>
  <c r="AG170" i="1"/>
  <c r="X170" i="1"/>
  <c r="AA167" i="1"/>
  <c r="T162" i="1"/>
  <c r="AA160" i="1"/>
  <c r="X157" i="1"/>
  <c r="AG154" i="1"/>
  <c r="X154" i="1"/>
  <c r="AA151" i="1"/>
  <c r="T143" i="1"/>
  <c r="AA141" i="1"/>
  <c r="W141" i="1" s="1"/>
  <c r="T137" i="1"/>
  <c r="AA136" i="1"/>
  <c r="AA135" i="1"/>
  <c r="AG133" i="1"/>
  <c r="AI133" i="1" s="1"/>
  <c r="X133" i="1"/>
  <c r="X132" i="1"/>
  <c r="AG129" i="1"/>
  <c r="AI129" i="1" s="1"/>
  <c r="X129" i="1"/>
  <c r="X120" i="1"/>
  <c r="AA110" i="1"/>
  <c r="AA109" i="1"/>
  <c r="AA108" i="1"/>
  <c r="AA103" i="1"/>
  <c r="AG100" i="1"/>
  <c r="AI100" i="1" s="1"/>
  <c r="X100" i="1"/>
  <c r="AG95" i="1"/>
  <c r="X95" i="1"/>
  <c r="T90" i="1"/>
  <c r="AA86" i="1"/>
  <c r="W86" i="1" s="1"/>
  <c r="AG83" i="1"/>
  <c r="AI83" i="1" s="1"/>
  <c r="X83" i="1"/>
  <c r="AA80" i="1"/>
  <c r="AA77" i="1"/>
  <c r="AA76" i="1"/>
  <c r="AG74" i="1"/>
  <c r="AI74" i="1" s="1"/>
  <c r="AA73" i="1"/>
  <c r="W73" i="1" s="1"/>
  <c r="AA70" i="1"/>
  <c r="X64" i="1"/>
  <c r="AG50" i="1"/>
  <c r="U50" i="1" s="1"/>
  <c r="X50" i="1"/>
  <c r="AI45" i="1"/>
  <c r="AA42" i="1"/>
  <c r="T42" i="1"/>
  <c r="AG30" i="1"/>
  <c r="AI30" i="1" s="1"/>
  <c r="W58" i="1"/>
  <c r="W57" i="1"/>
  <c r="AI25" i="1"/>
  <c r="AA206" i="1"/>
  <c r="W206" i="1" s="1"/>
  <c r="AA205" i="1"/>
  <c r="AA202" i="1"/>
  <c r="W202" i="1" s="1"/>
  <c r="AA201" i="1"/>
  <c r="W201" i="1" s="1"/>
  <c r="AA197" i="1"/>
  <c r="W197" i="1" s="1"/>
  <c r="AA193" i="1"/>
  <c r="W193" i="1" s="1"/>
  <c r="AI190" i="1"/>
  <c r="AA184" i="1"/>
  <c r="AA183" i="1"/>
  <c r="AG243" i="1"/>
  <c r="AI243" i="1" s="1"/>
  <c r="AA239" i="1"/>
  <c r="AG235" i="1"/>
  <c r="AI235" i="1" s="1"/>
  <c r="AG231" i="1"/>
  <c r="AI231" i="1" s="1"/>
  <c r="AA175" i="1"/>
  <c r="AA168" i="1"/>
  <c r="AG162" i="1"/>
  <c r="AA159" i="1"/>
  <c r="AA152" i="1"/>
  <c r="AG146" i="1"/>
  <c r="AG137" i="1"/>
  <c r="AI137" i="1" s="1"/>
  <c r="AA130" i="1"/>
  <c r="W130" i="1" s="1"/>
  <c r="AA113" i="1"/>
  <c r="AG109" i="1"/>
  <c r="AI109" i="1" s="1"/>
  <c r="AG108" i="1"/>
  <c r="AA106" i="1"/>
  <c r="AA105" i="1"/>
  <c r="W105" i="1" s="1"/>
  <c r="AA104" i="1"/>
  <c r="W104" i="1" s="1"/>
  <c r="AA102" i="1"/>
  <c r="AA101" i="1"/>
  <c r="W101" i="1" s="1"/>
  <c r="AA94" i="1"/>
  <c r="W94" i="1" s="1"/>
  <c r="AA84" i="1"/>
  <c r="AA81" i="1"/>
  <c r="W81" i="1" s="1"/>
  <c r="AG76" i="1"/>
  <c r="AA74" i="1"/>
  <c r="AA69" i="1"/>
  <c r="W69" i="1" s="1"/>
  <c r="X68" i="1"/>
  <c r="AA68" i="1"/>
  <c r="T64" i="1"/>
  <c r="AA63" i="1"/>
  <c r="AA60" i="1"/>
  <c r="AG54" i="1"/>
  <c r="U54" i="1" s="1"/>
  <c r="X54" i="1"/>
  <c r="X49" i="1"/>
  <c r="AG42" i="1"/>
  <c r="AI42" i="1" s="1"/>
  <c r="AG26" i="1"/>
  <c r="AI26" i="1" s="1"/>
  <c r="X20" i="1"/>
  <c r="W252" i="1"/>
  <c r="W234" i="1"/>
  <c r="W233" i="1"/>
  <c r="W230" i="1"/>
  <c r="W182" i="1"/>
  <c r="X177" i="1"/>
  <c r="X161" i="1"/>
  <c r="W144" i="1"/>
  <c r="T141" i="1"/>
  <c r="AI139" i="1"/>
  <c r="T136" i="1"/>
  <c r="U127" i="1"/>
  <c r="S127" i="1" s="1"/>
  <c r="X125" i="1"/>
  <c r="X104" i="1"/>
  <c r="W97" i="1"/>
  <c r="X87" i="1"/>
  <c r="T77" i="1"/>
  <c r="T73" i="1"/>
  <c r="W213" i="1"/>
  <c r="AI249" i="1"/>
  <c r="W205" i="1"/>
  <c r="X250" i="1"/>
  <c r="X249" i="1"/>
  <c r="X248" i="1"/>
  <c r="U245" i="1"/>
  <c r="S245" i="1" s="1"/>
  <c r="AA225" i="1"/>
  <c r="AA218" i="1"/>
  <c r="W218" i="1" s="1"/>
  <c r="T218" i="1"/>
  <c r="X217" i="1"/>
  <c r="U211" i="1"/>
  <c r="S211" i="1" s="1"/>
  <c r="AA210" i="1"/>
  <c r="W210" i="1" s="1"/>
  <c r="T210" i="1"/>
  <c r="X209" i="1"/>
  <c r="X206" i="1"/>
  <c r="U203" i="1"/>
  <c r="S203" i="1" s="1"/>
  <c r="U199" i="1"/>
  <c r="T189" i="1"/>
  <c r="X190" i="1"/>
  <c r="AG189" i="1"/>
  <c r="U189" i="1" s="1"/>
  <c r="S189" i="1" s="1"/>
  <c r="T187" i="1"/>
  <c r="AG187" i="1"/>
  <c r="W187" i="1" s="1"/>
  <c r="AG261" i="1"/>
  <c r="T261" i="1"/>
  <c r="X261" i="1"/>
  <c r="W249" i="1"/>
  <c r="X246" i="1"/>
  <c r="X245" i="1"/>
  <c r="X244" i="1"/>
  <c r="AA228" i="1"/>
  <c r="W228" i="1" s="1"/>
  <c r="AA220" i="1"/>
  <c r="U217" i="1"/>
  <c r="S217" i="1" s="1"/>
  <c r="W215" i="1"/>
  <c r="T213" i="1"/>
  <c r="U213" i="1" s="1"/>
  <c r="S213" i="1" s="1"/>
  <c r="AA212" i="1"/>
  <c r="U209" i="1"/>
  <c r="S209" i="1" s="1"/>
  <c r="W207" i="1"/>
  <c r="T205" i="1"/>
  <c r="U205" i="1" s="1"/>
  <c r="S205" i="1" s="1"/>
  <c r="T201" i="1"/>
  <c r="U201" i="1" s="1"/>
  <c r="S201" i="1" s="1"/>
  <c r="AA200" i="1"/>
  <c r="AG198" i="1"/>
  <c r="AI198" i="1" s="1"/>
  <c r="T198" i="1"/>
  <c r="U260" i="1"/>
  <c r="S260" i="1" s="1"/>
  <c r="W226" i="1"/>
  <c r="U222" i="1"/>
  <c r="S222" i="1" s="1"/>
  <c r="AI245" i="1"/>
  <c r="X213" i="1"/>
  <c r="X205" i="1"/>
  <c r="AI229" i="1"/>
  <c r="AI227" i="1"/>
  <c r="X201" i="1"/>
  <c r="AG194" i="1"/>
  <c r="AI194" i="1" s="1"/>
  <c r="T194" i="1"/>
  <c r="X194" i="1"/>
  <c r="T249" i="1"/>
  <c r="U249" i="1" s="1"/>
  <c r="S249" i="1" s="1"/>
  <c r="AG247" i="1"/>
  <c r="AI247" i="1" s="1"/>
  <c r="AA246" i="1"/>
  <c r="W246" i="1" s="1"/>
  <c r="T246" i="1"/>
  <c r="AA244" i="1"/>
  <c r="W244" i="1" s="1"/>
  <c r="T244" i="1"/>
  <c r="X229" i="1"/>
  <c r="X230" i="1"/>
  <c r="AA229" i="1"/>
  <c r="W229" i="1" s="1"/>
  <c r="U224" i="1"/>
  <c r="S224" i="1" s="1"/>
  <c r="X223" i="1"/>
  <c r="AA219" i="1"/>
  <c r="W219" i="1" s="1"/>
  <c r="AA216" i="1"/>
  <c r="AI214" i="1"/>
  <c r="AA211" i="1"/>
  <c r="W211" i="1" s="1"/>
  <c r="AA208" i="1"/>
  <c r="AI206" i="1"/>
  <c r="AA203" i="1"/>
  <c r="W203" i="1" s="1"/>
  <c r="U193" i="1"/>
  <c r="S193" i="1" s="1"/>
  <c r="AA204" i="1"/>
  <c r="AA199" i="1"/>
  <c r="W199" i="1" s="1"/>
  <c r="AA196" i="1"/>
  <c r="AA186" i="1"/>
  <c r="T186" i="1"/>
  <c r="X185" i="1"/>
  <c r="X260" i="1"/>
  <c r="AA258" i="1"/>
  <c r="W258" i="1" s="1"/>
  <c r="AA255" i="1"/>
  <c r="X252" i="1"/>
  <c r="AA243" i="1"/>
  <c r="W243" i="1" s="1"/>
  <c r="AA240" i="1"/>
  <c r="AA238" i="1"/>
  <c r="W238" i="1" s="1"/>
  <c r="AG237" i="1"/>
  <c r="W237" i="1" s="1"/>
  <c r="AA235" i="1"/>
  <c r="W235" i="1" s="1"/>
  <c r="X233" i="1"/>
  <c r="AA231" i="1"/>
  <c r="W231" i="1" s="1"/>
  <c r="X182" i="1"/>
  <c r="AG178" i="1"/>
  <c r="U178" i="1" s="1"/>
  <c r="X178" i="1"/>
  <c r="T177" i="1"/>
  <c r="AA174" i="1"/>
  <c r="W174" i="1" s="1"/>
  <c r="T173" i="1"/>
  <c r="AA170" i="1"/>
  <c r="W170" i="1" s="1"/>
  <c r="T169" i="1"/>
  <c r="AA166" i="1"/>
  <c r="W166" i="1" s="1"/>
  <c r="T165" i="1"/>
  <c r="AA162" i="1"/>
  <c r="W162" i="1" s="1"/>
  <c r="T161" i="1"/>
  <c r="AA158" i="1"/>
  <c r="W158" i="1" s="1"/>
  <c r="T157" i="1"/>
  <c r="AA154" i="1"/>
  <c r="W154" i="1" s="1"/>
  <c r="T153" i="1"/>
  <c r="AA150" i="1"/>
  <c r="W150" i="1" s="1"/>
  <c r="T149" i="1"/>
  <c r="AA146" i="1"/>
  <c r="W146" i="1" s="1"/>
  <c r="AI145" i="1"/>
  <c r="AI144" i="1"/>
  <c r="AG142" i="1"/>
  <c r="AI142" i="1" s="1"/>
  <c r="AA138" i="1"/>
  <c r="W138" i="1" s="1"/>
  <c r="T138" i="1"/>
  <c r="AA137" i="1"/>
  <c r="W137" i="1" s="1"/>
  <c r="AG135" i="1"/>
  <c r="AA132" i="1"/>
  <c r="W132" i="1" s="1"/>
  <c r="T132" i="1"/>
  <c r="X130" i="1"/>
  <c r="AI127" i="1"/>
  <c r="AG118" i="1"/>
  <c r="T118" i="1"/>
  <c r="X117" i="1"/>
  <c r="AG117" i="1"/>
  <c r="AI117" i="1" s="1"/>
  <c r="W117" i="1"/>
  <c r="W108" i="1"/>
  <c r="AG107" i="1"/>
  <c r="X107" i="1"/>
  <c r="AI28" i="1"/>
  <c r="AA198" i="1"/>
  <c r="W198" i="1" s="1"/>
  <c r="X197" i="1"/>
  <c r="W195" i="1"/>
  <c r="AA192" i="1"/>
  <c r="U185" i="1"/>
  <c r="S185" i="1" s="1"/>
  <c r="W183" i="1"/>
  <c r="U258" i="1"/>
  <c r="AA257" i="1"/>
  <c r="W257" i="1" s="1"/>
  <c r="T257" i="1"/>
  <c r="U256" i="1"/>
  <c r="S256" i="1" s="1"/>
  <c r="U243" i="1"/>
  <c r="AA242" i="1"/>
  <c r="W242" i="1" s="1"/>
  <c r="T242" i="1"/>
  <c r="U241" i="1"/>
  <c r="S241" i="1" s="1"/>
  <c r="W239" i="1"/>
  <c r="X237" i="1"/>
  <c r="U234" i="1"/>
  <c r="S234" i="1" s="1"/>
  <c r="X234" i="1"/>
  <c r="U230" i="1"/>
  <c r="X136" i="1"/>
  <c r="AA134" i="1"/>
  <c r="T134" i="1"/>
  <c r="AA133" i="1"/>
  <c r="W133" i="1" s="1"/>
  <c r="W129" i="1"/>
  <c r="T128" i="1"/>
  <c r="X126" i="1"/>
  <c r="T125" i="1"/>
  <c r="AA124" i="1"/>
  <c r="T124" i="1"/>
  <c r="AA122" i="1"/>
  <c r="W122" i="1" s="1"/>
  <c r="T122" i="1"/>
  <c r="U122" i="1" s="1"/>
  <c r="X118" i="1"/>
  <c r="X116" i="1"/>
  <c r="AG112" i="1"/>
  <c r="X112" i="1"/>
  <c r="X108" i="1"/>
  <c r="X109" i="1"/>
  <c r="W36" i="1"/>
  <c r="W32" i="1"/>
  <c r="W24" i="1"/>
  <c r="W16" i="1"/>
  <c r="U197" i="1"/>
  <c r="S197" i="1" s="1"/>
  <c r="AA194" i="1"/>
  <c r="X193" i="1"/>
  <c r="W191" i="1"/>
  <c r="AA188" i="1"/>
  <c r="X186" i="1"/>
  <c r="AA261" i="1"/>
  <c r="AA259" i="1"/>
  <c r="AA254" i="1"/>
  <c r="W254" i="1" s="1"/>
  <c r="AA251" i="1"/>
  <c r="U238" i="1"/>
  <c r="X238" i="1"/>
  <c r="AA180" i="1"/>
  <c r="AA114" i="1"/>
  <c r="X113" i="1"/>
  <c r="AG113" i="1"/>
  <c r="AI113" i="1" s="1"/>
  <c r="U108" i="1"/>
  <c r="S108" i="1" s="1"/>
  <c r="AI108" i="1"/>
  <c r="AI36" i="1"/>
  <c r="AI32" i="1"/>
  <c r="AI24" i="1"/>
  <c r="AI16" i="1"/>
  <c r="U252" i="1"/>
  <c r="S252" i="1" s="1"/>
  <c r="U233" i="1"/>
  <c r="S233" i="1" s="1"/>
  <c r="U182" i="1"/>
  <c r="S182" i="1" s="1"/>
  <c r="AA142" i="1"/>
  <c r="W142" i="1" s="1"/>
  <c r="X134" i="1"/>
  <c r="AG125" i="1"/>
  <c r="AI125" i="1" s="1"/>
  <c r="X124" i="1"/>
  <c r="X122" i="1"/>
  <c r="T116" i="1"/>
  <c r="W28" i="1"/>
  <c r="X105" i="1"/>
  <c r="X103" i="1"/>
  <c r="X101" i="1"/>
  <c r="U95" i="1"/>
  <c r="S95" i="1" s="1"/>
  <c r="X94" i="1"/>
  <c r="AA92" i="1"/>
  <c r="T87" i="1"/>
  <c r="X79" i="1"/>
  <c r="AA75" i="1"/>
  <c r="W75" i="1" s="1"/>
  <c r="T75" i="1"/>
  <c r="X73" i="1"/>
  <c r="X71" i="1"/>
  <c r="X69" i="1"/>
  <c r="T68" i="1"/>
  <c r="U58" i="1"/>
  <c r="AA54" i="1"/>
  <c r="W54" i="1" s="1"/>
  <c r="AA51" i="1"/>
  <c r="AA50" i="1"/>
  <c r="U49" i="1"/>
  <c r="S49" i="1" s="1"/>
  <c r="X45" i="1"/>
  <c r="W41" i="1"/>
  <c r="U40" i="1"/>
  <c r="S40" i="1" s="1"/>
  <c r="X36" i="1"/>
  <c r="X32" i="1"/>
  <c r="X28" i="1"/>
  <c r="X24" i="1"/>
  <c r="X16" i="1"/>
  <c r="T104" i="1"/>
  <c r="W100" i="1"/>
  <c r="T99" i="1"/>
  <c r="AA98" i="1"/>
  <c r="T86" i="1"/>
  <c r="U86" i="1" s="1"/>
  <c r="U76" i="1"/>
  <c r="S76" i="1" s="1"/>
  <c r="T72" i="1"/>
  <c r="T67" i="1"/>
  <c r="AA61" i="1"/>
  <c r="T60" i="1"/>
  <c r="T57" i="1"/>
  <c r="AA55" i="1"/>
  <c r="X46" i="1"/>
  <c r="X40" i="1"/>
  <c r="AG38" i="1"/>
  <c r="AI38" i="1" s="1"/>
  <c r="AG37" i="1"/>
  <c r="AI37" i="1" s="1"/>
  <c r="X37" i="1"/>
  <c r="AG34" i="1"/>
  <c r="AI34" i="1" s="1"/>
  <c r="AG33" i="1"/>
  <c r="AI33" i="1" s="1"/>
  <c r="X33" i="1"/>
  <c r="X29" i="1"/>
  <c r="X25" i="1"/>
  <c r="AG17" i="1"/>
  <c r="AI17" i="1" s="1"/>
  <c r="X17" i="1"/>
  <c r="U104" i="1"/>
  <c r="S104" i="1" s="1"/>
  <c r="T103" i="1"/>
  <c r="U100" i="1"/>
  <c r="AA91" i="1"/>
  <c r="AG89" i="1"/>
  <c r="W89" i="1" s="1"/>
  <c r="AG87" i="1"/>
  <c r="AI87" i="1" s="1"/>
  <c r="T79" i="1"/>
  <c r="X76" i="1"/>
  <c r="X75" i="1"/>
  <c r="AG72" i="1"/>
  <c r="T71" i="1"/>
  <c r="AG68" i="1"/>
  <c r="AA64" i="1"/>
  <c r="T63" i="1"/>
  <c r="T59" i="1"/>
  <c r="U57" i="1"/>
  <c r="T45" i="1"/>
  <c r="T36" i="1"/>
  <c r="U36" i="1" s="1"/>
  <c r="T32" i="1"/>
  <c r="U32" i="1" s="1"/>
  <c r="S32" i="1" s="1"/>
  <c r="T28" i="1"/>
  <c r="U28" i="1" s="1"/>
  <c r="S28" i="1" s="1"/>
  <c r="T24" i="1"/>
  <c r="U24" i="1" s="1"/>
  <c r="S24" i="1" s="1"/>
  <c r="T16" i="1"/>
  <c r="U16" i="1" s="1"/>
  <c r="S16" i="1" s="1"/>
  <c r="AA121" i="1"/>
  <c r="W121" i="1" s="1"/>
  <c r="T120" i="1"/>
  <c r="AA118" i="1"/>
  <c r="X99" i="1"/>
  <c r="AA95" i="1"/>
  <c r="W95" i="1" s="1"/>
  <c r="AG93" i="1"/>
  <c r="AI93" i="1" s="1"/>
  <c r="AG91" i="1"/>
  <c r="AI91" i="1" s="1"/>
  <c r="X90" i="1"/>
  <c r="AA88" i="1"/>
  <c r="X86" i="1"/>
  <c r="AA83" i="1"/>
  <c r="W83" i="1" s="1"/>
  <c r="T82" i="1"/>
  <c r="AA78" i="1"/>
  <c r="X77" i="1"/>
  <c r="AI76" i="1"/>
  <c r="X67" i="1"/>
  <c r="AG64" i="1"/>
  <c r="AG60" i="1"/>
  <c r="W60" i="1" s="1"/>
  <c r="T52" i="1"/>
  <c r="T48" i="1"/>
  <c r="AA47" i="1"/>
  <c r="AA46" i="1"/>
  <c r="W46" i="1" s="1"/>
  <c r="AA39" i="1"/>
  <c r="AA38" i="1"/>
  <c r="AA37" i="1"/>
  <c r="W37" i="1" s="1"/>
  <c r="AA34" i="1"/>
  <c r="AA33" i="1"/>
  <c r="W33" i="1" s="1"/>
  <c r="AA30" i="1"/>
  <c r="W30" i="1" s="1"/>
  <c r="AA29" i="1"/>
  <c r="W29" i="1" s="1"/>
  <c r="AA26" i="1"/>
  <c r="W26" i="1" s="1"/>
  <c r="AA25" i="1"/>
  <c r="W25" i="1" s="1"/>
  <c r="AA21" i="1"/>
  <c r="W21" i="1" s="1"/>
  <c r="T20" i="1"/>
  <c r="AA18" i="1"/>
  <c r="AA17" i="1"/>
  <c r="W17" i="1" s="1"/>
  <c r="U248" i="1"/>
  <c r="S248" i="1" s="1"/>
  <c r="U244" i="1"/>
  <c r="S244" i="1" s="1"/>
  <c r="AI261" i="1"/>
  <c r="U250" i="1"/>
  <c r="S250" i="1" s="1"/>
  <c r="AI257" i="1"/>
  <c r="U246" i="1"/>
  <c r="S246" i="1" s="1"/>
  <c r="W250" i="1"/>
  <c r="W248" i="1"/>
  <c r="S226" i="1"/>
  <c r="U214" i="1"/>
  <c r="S214" i="1" s="1"/>
  <c r="U206" i="1"/>
  <c r="S206" i="1" s="1"/>
  <c r="U198" i="1"/>
  <c r="S198" i="1" s="1"/>
  <c r="AI224" i="1"/>
  <c r="U195" i="1"/>
  <c r="W194" i="1"/>
  <c r="U183" i="1"/>
  <c r="W261" i="1"/>
  <c r="U257" i="1"/>
  <c r="S257" i="1" s="1"/>
  <c r="AI203" i="1"/>
  <c r="U242" i="1"/>
  <c r="S242" i="1" s="1"/>
  <c r="AI195" i="1"/>
  <c r="U235" i="1"/>
  <c r="U231" i="1"/>
  <c r="S231" i="1" s="1"/>
  <c r="W180" i="1"/>
  <c r="U247" i="1"/>
  <c r="S247" i="1" s="1"/>
  <c r="W227" i="1"/>
  <c r="X226" i="1"/>
  <c r="AG225" i="1"/>
  <c r="AI225" i="1" s="1"/>
  <c r="U194" i="1"/>
  <c r="S194" i="1" s="1"/>
  <c r="AI219" i="1"/>
  <c r="U261" i="1"/>
  <c r="S261" i="1" s="1"/>
  <c r="AI207" i="1"/>
  <c r="AI180" i="1"/>
  <c r="U179" i="1"/>
  <c r="S179" i="1" s="1"/>
  <c r="X247" i="1"/>
  <c r="T228" i="1"/>
  <c r="U228" i="1" s="1"/>
  <c r="S228" i="1" s="1"/>
  <c r="X228" i="1"/>
  <c r="X225" i="1"/>
  <c r="U223" i="1"/>
  <c r="S223" i="1" s="1"/>
  <c r="AI248" i="1"/>
  <c r="U218" i="1"/>
  <c r="S218" i="1" s="1"/>
  <c r="AI244" i="1"/>
  <c r="U210" i="1"/>
  <c r="S210" i="1" s="1"/>
  <c r="U202" i="1"/>
  <c r="S202" i="1" s="1"/>
  <c r="AI228" i="1"/>
  <c r="U190" i="1"/>
  <c r="S190" i="1" s="1"/>
  <c r="AI215" i="1"/>
  <c r="U187" i="1"/>
  <c r="S187" i="1" s="1"/>
  <c r="W186" i="1"/>
  <c r="U253" i="1"/>
  <c r="S253" i="1" s="1"/>
  <c r="AI199" i="1"/>
  <c r="S227" i="1"/>
  <c r="AI252" i="1"/>
  <c r="U186" i="1"/>
  <c r="S186" i="1" s="1"/>
  <c r="AI211" i="1"/>
  <c r="X224" i="1"/>
  <c r="AG220" i="1"/>
  <c r="W220" i="1" s="1"/>
  <c r="X219" i="1"/>
  <c r="AG216" i="1"/>
  <c r="AI216" i="1" s="1"/>
  <c r="X215" i="1"/>
  <c r="AG212" i="1"/>
  <c r="W212" i="1" s="1"/>
  <c r="X211" i="1"/>
  <c r="AG208" i="1"/>
  <c r="AI208" i="1" s="1"/>
  <c r="X207" i="1"/>
  <c r="AG204" i="1"/>
  <c r="AI204" i="1" s="1"/>
  <c r="X203" i="1"/>
  <c r="AG200" i="1"/>
  <c r="AI200" i="1" s="1"/>
  <c r="X199" i="1"/>
  <c r="AG196" i="1"/>
  <c r="AI196" i="1" s="1"/>
  <c r="X195" i="1"/>
  <c r="AG192" i="1"/>
  <c r="AI192" i="1" s="1"/>
  <c r="X191" i="1"/>
  <c r="AG188" i="1"/>
  <c r="AI188" i="1" s="1"/>
  <c r="X187" i="1"/>
  <c r="AG184" i="1"/>
  <c r="AI184" i="1" s="1"/>
  <c r="X183" i="1"/>
  <c r="AG259" i="1"/>
  <c r="AI259" i="1" s="1"/>
  <c r="X258" i="1"/>
  <c r="AG255" i="1"/>
  <c r="AI255" i="1" s="1"/>
  <c r="X254" i="1"/>
  <c r="AG251" i="1"/>
  <c r="AI251" i="1" s="1"/>
  <c r="X243" i="1"/>
  <c r="AG240" i="1"/>
  <c r="AI240" i="1" s="1"/>
  <c r="X239" i="1"/>
  <c r="AI191" i="1"/>
  <c r="S238" i="1"/>
  <c r="AG236" i="1"/>
  <c r="AI236" i="1" s="1"/>
  <c r="X235" i="1"/>
  <c r="AI187" i="1"/>
  <c r="AG232" i="1"/>
  <c r="AI232" i="1" s="1"/>
  <c r="X231" i="1"/>
  <c r="AI183" i="1"/>
  <c r="S230" i="1"/>
  <c r="AG181" i="1"/>
  <c r="X180" i="1"/>
  <c r="T180" i="1"/>
  <c r="U180" i="1" s="1"/>
  <c r="S180" i="1" s="1"/>
  <c r="AI179" i="1"/>
  <c r="AA179" i="1"/>
  <c r="W179" i="1" s="1"/>
  <c r="W178" i="1"/>
  <c r="W177" i="1"/>
  <c r="X220" i="1"/>
  <c r="T220" i="1"/>
  <c r="S219" i="1"/>
  <c r="X216" i="1"/>
  <c r="T216" i="1"/>
  <c r="X212" i="1"/>
  <c r="T212" i="1"/>
  <c r="X208" i="1"/>
  <c r="T208" i="1"/>
  <c r="X204" i="1"/>
  <c r="T204" i="1"/>
  <c r="X200" i="1"/>
  <c r="T200" i="1"/>
  <c r="S199" i="1"/>
  <c r="X196" i="1"/>
  <c r="T196" i="1"/>
  <c r="S195" i="1"/>
  <c r="X192" i="1"/>
  <c r="T192" i="1"/>
  <c r="X188" i="1"/>
  <c r="T188" i="1"/>
  <c r="X184" i="1"/>
  <c r="T184" i="1"/>
  <c r="S183" i="1"/>
  <c r="X259" i="1"/>
  <c r="S258" i="1"/>
  <c r="X255" i="1"/>
  <c r="X251" i="1"/>
  <c r="S243" i="1"/>
  <c r="X240" i="1"/>
  <c r="X236" i="1"/>
  <c r="S235" i="1"/>
  <c r="X232" i="1"/>
  <c r="X181" i="1"/>
  <c r="S178" i="1"/>
  <c r="AI178" i="1"/>
  <c r="U177" i="1"/>
  <c r="S177" i="1" s="1"/>
  <c r="AI177" i="1"/>
  <c r="W173" i="1"/>
  <c r="W169" i="1"/>
  <c r="W165" i="1"/>
  <c r="W161" i="1"/>
  <c r="W157" i="1"/>
  <c r="W153" i="1"/>
  <c r="W149" i="1"/>
  <c r="U173" i="1"/>
  <c r="S173" i="1" s="1"/>
  <c r="AI173" i="1"/>
  <c r="U169" i="1"/>
  <c r="S169" i="1" s="1"/>
  <c r="AI169" i="1"/>
  <c r="U165" i="1"/>
  <c r="S165" i="1" s="1"/>
  <c r="AI165" i="1"/>
  <c r="U161" i="1"/>
  <c r="S161" i="1" s="1"/>
  <c r="AI161" i="1"/>
  <c r="U157" i="1"/>
  <c r="S157" i="1" s="1"/>
  <c r="AI157" i="1"/>
  <c r="U153" i="1"/>
  <c r="S153" i="1" s="1"/>
  <c r="AI153" i="1"/>
  <c r="U149" i="1"/>
  <c r="S149" i="1" s="1"/>
  <c r="AI149" i="1"/>
  <c r="U174" i="1"/>
  <c r="S174" i="1" s="1"/>
  <c r="U170" i="1"/>
  <c r="S170" i="1" s="1"/>
  <c r="U166" i="1"/>
  <c r="S166" i="1" s="1"/>
  <c r="U162" i="1"/>
  <c r="S162" i="1" s="1"/>
  <c r="U158" i="1"/>
  <c r="S158" i="1" s="1"/>
  <c r="U154" i="1"/>
  <c r="S154" i="1" s="1"/>
  <c r="U150" i="1"/>
  <c r="S150" i="1" s="1"/>
  <c r="U146" i="1"/>
  <c r="S146" i="1" s="1"/>
  <c r="AI134" i="1"/>
  <c r="U134" i="1"/>
  <c r="S134" i="1" s="1"/>
  <c r="U124" i="1"/>
  <c r="S124" i="1" s="1"/>
  <c r="AI124" i="1"/>
  <c r="AI118" i="1"/>
  <c r="U118" i="1"/>
  <c r="S118" i="1" s="1"/>
  <c r="AG175" i="1"/>
  <c r="AG171" i="1"/>
  <c r="W171" i="1" s="1"/>
  <c r="AG167" i="1"/>
  <c r="AG163" i="1"/>
  <c r="W163" i="1" s="1"/>
  <c r="AG159" i="1"/>
  <c r="AG155" i="1"/>
  <c r="W155" i="1" s="1"/>
  <c r="AG151" i="1"/>
  <c r="AG147" i="1"/>
  <c r="W147" i="1" s="1"/>
  <c r="X146" i="1"/>
  <c r="T145" i="1"/>
  <c r="U145" i="1" s="1"/>
  <c r="S145" i="1" s="1"/>
  <c r="W143" i="1"/>
  <c r="U141" i="1"/>
  <c r="S141" i="1" s="1"/>
  <c r="AI141" i="1"/>
  <c r="U139" i="1"/>
  <c r="S139" i="1" s="1"/>
  <c r="W136" i="1"/>
  <c r="AI130" i="1"/>
  <c r="U130" i="1"/>
  <c r="S130" i="1" s="1"/>
  <c r="W126" i="1"/>
  <c r="AI122" i="1"/>
  <c r="W116" i="1"/>
  <c r="W112" i="1"/>
  <c r="W107" i="1"/>
  <c r="W103" i="1"/>
  <c r="U99" i="1"/>
  <c r="S99" i="1" s="1"/>
  <c r="AI99" i="1"/>
  <c r="AG176" i="1"/>
  <c r="X175" i="1"/>
  <c r="AI174" i="1"/>
  <c r="AG172" i="1"/>
  <c r="X171" i="1"/>
  <c r="AI170" i="1"/>
  <c r="AG168" i="1"/>
  <c r="X167" i="1"/>
  <c r="AI166" i="1"/>
  <c r="AG164" i="1"/>
  <c r="W164" i="1" s="1"/>
  <c r="X163" i="1"/>
  <c r="AI162" i="1"/>
  <c r="AG160" i="1"/>
  <c r="X159" i="1"/>
  <c r="AI158" i="1"/>
  <c r="AG156" i="1"/>
  <c r="X155" i="1"/>
  <c r="AI154" i="1"/>
  <c r="AG152" i="1"/>
  <c r="X151" i="1"/>
  <c r="AI150" i="1"/>
  <c r="AG148" i="1"/>
  <c r="W148" i="1" s="1"/>
  <c r="X147" i="1"/>
  <c r="AI146" i="1"/>
  <c r="X145" i="1"/>
  <c r="AI143" i="1"/>
  <c r="U143" i="1"/>
  <c r="S143" i="1" s="1"/>
  <c r="U136" i="1"/>
  <c r="S136" i="1" s="1"/>
  <c r="AI136" i="1"/>
  <c r="AI126" i="1"/>
  <c r="U126" i="1"/>
  <c r="U116" i="1"/>
  <c r="S116" i="1" s="1"/>
  <c r="AI116" i="1"/>
  <c r="U112" i="1"/>
  <c r="S112" i="1" s="1"/>
  <c r="AI112" i="1"/>
  <c r="U107" i="1"/>
  <c r="S107" i="1" s="1"/>
  <c r="AI107" i="1"/>
  <c r="U103" i="1"/>
  <c r="S103" i="1" s="1"/>
  <c r="AI103" i="1"/>
  <c r="X176" i="1"/>
  <c r="X172" i="1"/>
  <c r="X168" i="1"/>
  <c r="X164" i="1"/>
  <c r="X160" i="1"/>
  <c r="X156" i="1"/>
  <c r="X152" i="1"/>
  <c r="X148" i="1"/>
  <c r="AI138" i="1"/>
  <c r="U138" i="1"/>
  <c r="S138" i="1" s="1"/>
  <c r="W134" i="1"/>
  <c r="U132" i="1"/>
  <c r="S132" i="1" s="1"/>
  <c r="AI132" i="1"/>
  <c r="U131" i="1"/>
  <c r="S131" i="1" s="1"/>
  <c r="U128" i="1"/>
  <c r="S128" i="1" s="1"/>
  <c r="AI128" i="1"/>
  <c r="W124" i="1"/>
  <c r="U120" i="1"/>
  <c r="S120" i="1" s="1"/>
  <c r="AI120" i="1"/>
  <c r="W118" i="1"/>
  <c r="U142" i="1"/>
  <c r="S142" i="1" s="1"/>
  <c r="U137" i="1"/>
  <c r="S137" i="1" s="1"/>
  <c r="U133" i="1"/>
  <c r="S133" i="1" s="1"/>
  <c r="U129" i="1"/>
  <c r="S129" i="1" s="1"/>
  <c r="U121" i="1"/>
  <c r="S121" i="1" s="1"/>
  <c r="U117" i="1"/>
  <c r="S117" i="1" s="1"/>
  <c r="U113" i="1"/>
  <c r="S113" i="1" s="1"/>
  <c r="U109" i="1"/>
  <c r="U105" i="1"/>
  <c r="S105" i="1" s="1"/>
  <c r="U101" i="1"/>
  <c r="U97" i="1"/>
  <c r="X96" i="1"/>
  <c r="AI81" i="1"/>
  <c r="AG114" i="1"/>
  <c r="W114" i="1" s="1"/>
  <c r="AG110" i="1"/>
  <c r="W110" i="1" s="1"/>
  <c r="AG106" i="1"/>
  <c r="AG102" i="1"/>
  <c r="W102" i="1" s="1"/>
  <c r="AG98" i="1"/>
  <c r="W98" i="1" s="1"/>
  <c r="AI95" i="1"/>
  <c r="W90" i="1"/>
  <c r="AI86" i="1"/>
  <c r="W79" i="1"/>
  <c r="W77" i="1"/>
  <c r="AI75" i="1"/>
  <c r="U75" i="1"/>
  <c r="U74" i="1"/>
  <c r="W71" i="1"/>
  <c r="AI67" i="1"/>
  <c r="U67" i="1"/>
  <c r="S67" i="1" s="1"/>
  <c r="W65" i="1"/>
  <c r="W63" i="1"/>
  <c r="W61" i="1"/>
  <c r="W59" i="1"/>
  <c r="W55" i="1"/>
  <c r="AG123" i="1"/>
  <c r="W123" i="1" s="1"/>
  <c r="AG119" i="1"/>
  <c r="AG115" i="1"/>
  <c r="X114" i="1"/>
  <c r="AG111" i="1"/>
  <c r="X110" i="1"/>
  <c r="X106" i="1"/>
  <c r="X102" i="1"/>
  <c r="X98" i="1"/>
  <c r="W96" i="1"/>
  <c r="T96" i="1"/>
  <c r="U96" i="1" s="1"/>
  <c r="S96" i="1" s="1"/>
  <c r="AI90" i="1"/>
  <c r="U90" i="1"/>
  <c r="AI79" i="1"/>
  <c r="U79" i="1"/>
  <c r="S79" i="1" s="1"/>
  <c r="U77" i="1"/>
  <c r="AI77" i="1"/>
  <c r="AI71" i="1"/>
  <c r="U71" i="1"/>
  <c r="AI65" i="1"/>
  <c r="AI63" i="1"/>
  <c r="U63" i="1"/>
  <c r="AI61" i="1"/>
  <c r="AI59" i="1"/>
  <c r="U59" i="1"/>
  <c r="AI55" i="1"/>
  <c r="X144" i="1"/>
  <c r="X139" i="1"/>
  <c r="X135" i="1"/>
  <c r="X131" i="1"/>
  <c r="X127" i="1"/>
  <c r="X123" i="1"/>
  <c r="X119" i="1"/>
  <c r="X115" i="1"/>
  <c r="X111" i="1"/>
  <c r="AI96" i="1"/>
  <c r="AI94" i="1"/>
  <c r="U94" i="1"/>
  <c r="S94" i="1" s="1"/>
  <c r="AI85" i="1"/>
  <c r="AI82" i="1"/>
  <c r="U82" i="1"/>
  <c r="S82" i="1" s="1"/>
  <c r="U73" i="1"/>
  <c r="S73" i="1" s="1"/>
  <c r="AI73" i="1"/>
  <c r="U69" i="1"/>
  <c r="AI69" i="1"/>
  <c r="X93" i="1"/>
  <c r="X89" i="1"/>
  <c r="X85" i="1"/>
  <c r="T85" i="1"/>
  <c r="U85" i="1" s="1"/>
  <c r="S85" i="1" s="1"/>
  <c r="X81" i="1"/>
  <c r="T81" i="1"/>
  <c r="U81" i="1" s="1"/>
  <c r="AG78" i="1"/>
  <c r="W78" i="1" s="1"/>
  <c r="AG70" i="1"/>
  <c r="AG66" i="1"/>
  <c r="W66" i="1" s="1"/>
  <c r="X65" i="1"/>
  <c r="T65" i="1"/>
  <c r="U65" i="1" s="1"/>
  <c r="AG62" i="1"/>
  <c r="W62" i="1" s="1"/>
  <c r="T61" i="1"/>
  <c r="U61" i="1" s="1"/>
  <c r="S61" i="1" s="1"/>
  <c r="S58" i="1"/>
  <c r="AG56" i="1"/>
  <c r="W56" i="1" s="1"/>
  <c r="X55" i="1"/>
  <c r="T55" i="1"/>
  <c r="U55" i="1" s="1"/>
  <c r="S55" i="1" s="1"/>
  <c r="U53" i="1"/>
  <c r="U52" i="1"/>
  <c r="S52" i="1" s="1"/>
  <c r="AI52" i="1"/>
  <c r="U48" i="1"/>
  <c r="AI48" i="1"/>
  <c r="U91" i="1"/>
  <c r="S91" i="1" s="1"/>
  <c r="U83" i="1"/>
  <c r="X78" i="1"/>
  <c r="X74" i="1"/>
  <c r="X70" i="1"/>
  <c r="X66" i="1"/>
  <c r="X56" i="1"/>
  <c r="AI54" i="1"/>
  <c r="AG92" i="1"/>
  <c r="AG88" i="1"/>
  <c r="AG84" i="1"/>
  <c r="AG80" i="1"/>
  <c r="W44" i="1"/>
  <c r="W20" i="1"/>
  <c r="X92" i="1"/>
  <c r="X88" i="1"/>
  <c r="X84" i="1"/>
  <c r="X80" i="1"/>
  <c r="U44" i="1"/>
  <c r="AI44" i="1"/>
  <c r="U20" i="1"/>
  <c r="S20" i="1" s="1"/>
  <c r="AI20" i="1"/>
  <c r="X52" i="1"/>
  <c r="X48" i="1"/>
  <c r="U45" i="1"/>
  <c r="X44" i="1"/>
  <c r="U41" i="1"/>
  <c r="U37" i="1"/>
  <c r="S37" i="1" s="1"/>
  <c r="U33" i="1"/>
  <c r="S33" i="1" s="1"/>
  <c r="U29" i="1"/>
  <c r="S29" i="1" s="1"/>
  <c r="U25" i="1"/>
  <c r="S25" i="1" s="1"/>
  <c r="U21" i="1"/>
  <c r="S21" i="1" s="1"/>
  <c r="U17" i="1"/>
  <c r="S17" i="1" s="1"/>
  <c r="U46" i="1"/>
  <c r="S46" i="1" s="1"/>
  <c r="U42" i="1"/>
  <c r="U38" i="1"/>
  <c r="U34" i="1"/>
  <c r="S34" i="1" s="1"/>
  <c r="U30" i="1"/>
  <c r="S30" i="1" s="1"/>
  <c r="U26" i="1"/>
  <c r="S26" i="1" s="1"/>
  <c r="AG22" i="1"/>
  <c r="W22" i="1" s="1"/>
  <c r="AG18" i="1"/>
  <c r="AG14" i="1"/>
  <c r="W14" i="1" s="1"/>
  <c r="AG51" i="1"/>
  <c r="W51" i="1" s="1"/>
  <c r="AG47" i="1"/>
  <c r="AG43" i="1"/>
  <c r="W43" i="1" s="1"/>
  <c r="AG39" i="1"/>
  <c r="W39" i="1" s="1"/>
  <c r="X38" i="1"/>
  <c r="AG35" i="1"/>
  <c r="X34" i="1"/>
  <c r="AG31" i="1"/>
  <c r="X30" i="1"/>
  <c r="AG27" i="1"/>
  <c r="W27" i="1" s="1"/>
  <c r="X26" i="1"/>
  <c r="AG23" i="1"/>
  <c r="W23" i="1" s="1"/>
  <c r="X22" i="1"/>
  <c r="AG19" i="1"/>
  <c r="X18" i="1"/>
  <c r="AG15" i="1"/>
  <c r="X51" i="1"/>
  <c r="AI50" i="1"/>
  <c r="X47" i="1"/>
  <c r="AI46" i="1"/>
  <c r="X43" i="1"/>
  <c r="X39" i="1"/>
  <c r="X35" i="1"/>
  <c r="X31" i="1"/>
  <c r="X27" i="1"/>
  <c r="X23" i="1"/>
  <c r="X19" i="1"/>
  <c r="X15" i="1"/>
  <c r="AD27" i="3"/>
  <c r="T31" i="3"/>
  <c r="AD29" i="3"/>
  <c r="T25" i="3"/>
  <c r="Y9" i="3"/>
  <c r="Y31" i="3"/>
  <c r="AE11" i="3"/>
  <c r="AD9" i="3"/>
  <c r="Y27" i="3"/>
  <c r="Y25" i="3"/>
  <c r="AD17" i="3"/>
  <c r="Y35" i="3"/>
  <c r="AD11" i="3"/>
  <c r="AD8" i="3"/>
  <c r="AE27" i="3"/>
  <c r="AD25" i="3"/>
  <c r="AD19" i="3"/>
  <c r="AD16" i="3"/>
  <c r="Y28" i="3"/>
  <c r="AE35" i="3"/>
  <c r="AC34" i="3"/>
  <c r="T27" i="3"/>
  <c r="Y8" i="3"/>
  <c r="AE30" i="3"/>
  <c r="AD28" i="3"/>
  <c r="AE28" i="3"/>
  <c r="T24" i="3"/>
  <c r="T32" i="3"/>
  <c r="AD20" i="3"/>
  <c r="AE20" i="3"/>
  <c r="T17" i="3"/>
  <c r="T37" i="3"/>
  <c r="AE14" i="3"/>
  <c r="AD12" i="3"/>
  <c r="AE12" i="3"/>
  <c r="T12" i="3"/>
  <c r="Y32" i="3"/>
  <c r="Y37" i="3"/>
  <c r="T36" i="3"/>
  <c r="AE32" i="3"/>
  <c r="T20" i="3"/>
  <c r="AE26" i="3"/>
  <c r="AE24" i="3"/>
  <c r="T9" i="3"/>
  <c r="AE18" i="3"/>
  <c r="AE16" i="3"/>
  <c r="T15" i="3"/>
  <c r="AE10" i="3"/>
  <c r="AC26" i="3"/>
  <c r="AC19" i="3"/>
  <c r="AC7" i="3"/>
  <c r="AC21" i="3"/>
  <c r="AC14" i="3"/>
  <c r="AC18" i="3"/>
  <c r="AE34" i="3"/>
  <c r="T16" i="3"/>
  <c r="AE37" i="3"/>
  <c r="T29" i="3"/>
  <c r="AD34" i="3"/>
  <c r="AE33" i="3"/>
  <c r="T34" i="3"/>
  <c r="AD30" i="3"/>
  <c r="AE29" i="3"/>
  <c r="T26" i="3"/>
  <c r="AD26" i="3"/>
  <c r="AE25" i="3"/>
  <c r="T19" i="3"/>
  <c r="AE21" i="3"/>
  <c r="T7" i="3"/>
  <c r="AD18" i="3"/>
  <c r="AE17" i="3"/>
  <c r="T21" i="3"/>
  <c r="AD14" i="3"/>
  <c r="AE13" i="3"/>
  <c r="T14" i="3"/>
  <c r="AD10" i="3"/>
  <c r="AE9" i="3"/>
  <c r="T18" i="3"/>
  <c r="AE8" i="3"/>
  <c r="M22" i="3"/>
  <c r="R22" i="3"/>
  <c r="S22" i="3"/>
  <c r="U22" i="3"/>
  <c r="T22" i="3" s="1"/>
  <c r="V22" i="3"/>
  <c r="W22" i="3"/>
  <c r="X22" i="3"/>
  <c r="U221" i="1" l="1"/>
  <c r="S221" i="1" s="1"/>
  <c r="AI221" i="1"/>
  <c r="S100" i="1"/>
  <c r="W189" i="1"/>
  <c r="W241" i="1"/>
  <c r="W49" i="1"/>
  <c r="U254" i="1"/>
  <c r="S254" i="1" s="1"/>
  <c r="AI254" i="1"/>
  <c r="U87" i="1"/>
  <c r="S86" i="1" s="1"/>
  <c r="U207" i="1"/>
  <c r="S207" i="1" s="1"/>
  <c r="W256" i="1"/>
  <c r="U125" i="1"/>
  <c r="S125" i="1" s="1"/>
  <c r="U93" i="1"/>
  <c r="W84" i="1"/>
  <c r="W74" i="1"/>
  <c r="S74" i="1"/>
  <c r="S53" i="1"/>
  <c r="W53" i="1"/>
  <c r="W50" i="1"/>
  <c r="S44" i="1"/>
  <c r="S41" i="1"/>
  <c r="W38" i="1"/>
  <c r="U239" i="1"/>
  <c r="S239" i="1" s="1"/>
  <c r="AI239" i="1"/>
  <c r="W34" i="1"/>
  <c r="W91" i="1"/>
  <c r="W42" i="1"/>
  <c r="W76" i="1"/>
  <c r="W109" i="1"/>
  <c r="W217" i="1"/>
  <c r="W196" i="1"/>
  <c r="U64" i="1"/>
  <c r="S64" i="1" s="1"/>
  <c r="AI64" i="1"/>
  <c r="U68" i="1"/>
  <c r="S68" i="1" s="1"/>
  <c r="AI68" i="1"/>
  <c r="AI212" i="1"/>
  <c r="AI220" i="1"/>
  <c r="W225" i="1"/>
  <c r="W68" i="1"/>
  <c r="W87" i="1"/>
  <c r="U135" i="1"/>
  <c r="S135" i="1" s="1"/>
  <c r="AI135" i="1"/>
  <c r="W135" i="1"/>
  <c r="U72" i="1"/>
  <c r="S71" i="1" s="1"/>
  <c r="AI72" i="1"/>
  <c r="W93" i="1"/>
  <c r="W72" i="1"/>
  <c r="W113" i="1"/>
  <c r="W125" i="1"/>
  <c r="W247" i="1"/>
  <c r="W192" i="1"/>
  <c r="W204" i="1"/>
  <c r="U60" i="1"/>
  <c r="S59" i="1" s="1"/>
  <c r="AI60" i="1"/>
  <c r="W64" i="1"/>
  <c r="U89" i="1"/>
  <c r="S89" i="1" s="1"/>
  <c r="AI89" i="1"/>
  <c r="U237" i="1"/>
  <c r="S237" i="1" s="1"/>
  <c r="AI237" i="1"/>
  <c r="U35" i="1"/>
  <c r="S35" i="1" s="1"/>
  <c r="AI35" i="1"/>
  <c r="U80" i="1"/>
  <c r="S80" i="1" s="1"/>
  <c r="AI80" i="1"/>
  <c r="U15" i="1"/>
  <c r="S15" i="1" s="1"/>
  <c r="AI15" i="1"/>
  <c r="U31" i="1"/>
  <c r="S31" i="1" s="1"/>
  <c r="AI31" i="1"/>
  <c r="W31" i="1"/>
  <c r="U88" i="1"/>
  <c r="S88" i="1" s="1"/>
  <c r="AI88" i="1"/>
  <c r="U111" i="1"/>
  <c r="S111" i="1" s="1"/>
  <c r="AI111" i="1"/>
  <c r="U43" i="1"/>
  <c r="S43" i="1" s="1"/>
  <c r="AI43" i="1"/>
  <c r="AI18" i="1"/>
  <c r="U18" i="1"/>
  <c r="S18" i="1" s="1"/>
  <c r="W18" i="1"/>
  <c r="W35" i="1"/>
  <c r="U92" i="1"/>
  <c r="AI92" i="1"/>
  <c r="W80" i="1"/>
  <c r="AI102" i="1"/>
  <c r="U102" i="1"/>
  <c r="S102" i="1" s="1"/>
  <c r="W92" i="1"/>
  <c r="U160" i="1"/>
  <c r="S160" i="1" s="1"/>
  <c r="AI160" i="1"/>
  <c r="U176" i="1"/>
  <c r="S176" i="1" s="1"/>
  <c r="AI176" i="1"/>
  <c r="S151" i="1"/>
  <c r="AI151" i="1"/>
  <c r="U151" i="1"/>
  <c r="AI167" i="1"/>
  <c r="U167" i="1"/>
  <c r="S167" i="1" s="1"/>
  <c r="AI181" i="1"/>
  <c r="U181" i="1"/>
  <c r="S181" i="1" s="1"/>
  <c r="AI185" i="1"/>
  <c r="U232" i="1"/>
  <c r="S232" i="1" s="1"/>
  <c r="AI189" i="1"/>
  <c r="U236" i="1"/>
  <c r="S236" i="1" s="1"/>
  <c r="AI193" i="1"/>
  <c r="U240" i="1"/>
  <c r="S240" i="1" s="1"/>
  <c r="AI201" i="1"/>
  <c r="U255" i="1"/>
  <c r="S255" i="1" s="1"/>
  <c r="AI209" i="1"/>
  <c r="U184" i="1"/>
  <c r="S184" i="1" s="1"/>
  <c r="AI217" i="1"/>
  <c r="U192" i="1"/>
  <c r="S192" i="1" s="1"/>
  <c r="AI226" i="1"/>
  <c r="U200" i="1"/>
  <c r="S200" i="1" s="1"/>
  <c r="AI234" i="1"/>
  <c r="U208" i="1"/>
  <c r="S208" i="1" s="1"/>
  <c r="AI242" i="1"/>
  <c r="U216" i="1"/>
  <c r="S216" i="1" s="1"/>
  <c r="W181" i="1"/>
  <c r="W200" i="1"/>
  <c r="W208" i="1"/>
  <c r="W216" i="1"/>
  <c r="U47" i="1"/>
  <c r="S47" i="1" s="1"/>
  <c r="AI47" i="1"/>
  <c r="U115" i="1"/>
  <c r="S115" i="1" s="1"/>
  <c r="AI115" i="1"/>
  <c r="AI106" i="1"/>
  <c r="U106" i="1"/>
  <c r="S106" i="1" s="1"/>
  <c r="W106" i="1"/>
  <c r="U156" i="1"/>
  <c r="S156" i="1" s="1"/>
  <c r="AI156" i="1"/>
  <c r="U172" i="1"/>
  <c r="S172" i="1" s="1"/>
  <c r="AI172" i="1"/>
  <c r="S155" i="1"/>
  <c r="AI155" i="1"/>
  <c r="U155" i="1"/>
  <c r="AI171" i="1"/>
  <c r="U171" i="1"/>
  <c r="S171" i="1" s="1"/>
  <c r="U19" i="1"/>
  <c r="S19" i="1" s="1"/>
  <c r="AI19" i="1"/>
  <c r="U51" i="1"/>
  <c r="S50" i="1" s="1"/>
  <c r="AI51" i="1"/>
  <c r="W47" i="1"/>
  <c r="W15" i="1"/>
  <c r="U84" i="1"/>
  <c r="S83" i="1" s="1"/>
  <c r="AI84" i="1"/>
  <c r="AI78" i="1"/>
  <c r="U78" i="1"/>
  <c r="S77" i="1" s="1"/>
  <c r="W88" i="1"/>
  <c r="U119" i="1"/>
  <c r="S119" i="1" s="1"/>
  <c r="AI119" i="1"/>
  <c r="AI98" i="1"/>
  <c r="U98" i="1"/>
  <c r="S97" i="1" s="1"/>
  <c r="AI110" i="1"/>
  <c r="U110" i="1"/>
  <c r="S109" i="1" s="1"/>
  <c r="W111" i="1"/>
  <c r="W115" i="1"/>
  <c r="U152" i="1"/>
  <c r="S152" i="1" s="1"/>
  <c r="AI152" i="1"/>
  <c r="U168" i="1"/>
  <c r="S168" i="1" s="1"/>
  <c r="AI168" i="1"/>
  <c r="AI159" i="1"/>
  <c r="U159" i="1"/>
  <c r="S159" i="1" s="1"/>
  <c r="AI175" i="1"/>
  <c r="U175" i="1"/>
  <c r="S175" i="1" s="1"/>
  <c r="W119" i="1"/>
  <c r="W152" i="1"/>
  <c r="W156" i="1"/>
  <c r="W160" i="1"/>
  <c r="W168" i="1"/>
  <c r="W172" i="1"/>
  <c r="W176" i="1"/>
  <c r="W151" i="1"/>
  <c r="W159" i="1"/>
  <c r="W167" i="1"/>
  <c r="W175" i="1"/>
  <c r="AI197" i="1"/>
  <c r="U251" i="1"/>
  <c r="S251" i="1" s="1"/>
  <c r="AI205" i="1"/>
  <c r="U259" i="1"/>
  <c r="S259" i="1" s="1"/>
  <c r="AI213" i="1"/>
  <c r="U188" i="1"/>
  <c r="S188" i="1" s="1"/>
  <c r="AI222" i="1"/>
  <c r="U196" i="1"/>
  <c r="S196" i="1" s="1"/>
  <c r="AI230" i="1"/>
  <c r="U204" i="1"/>
  <c r="S204" i="1" s="1"/>
  <c r="AI238" i="1"/>
  <c r="U212" i="1"/>
  <c r="S212" i="1" s="1"/>
  <c r="AI246" i="1"/>
  <c r="U220" i="1"/>
  <c r="S220" i="1" s="1"/>
  <c r="W240" i="1"/>
  <c r="W255" i="1"/>
  <c r="W236" i="1"/>
  <c r="W184" i="1"/>
  <c r="AI250" i="1"/>
  <c r="U225" i="1"/>
  <c r="S225" i="1" s="1"/>
  <c r="W232" i="1"/>
  <c r="W188" i="1"/>
  <c r="U27" i="1"/>
  <c r="S27" i="1" s="1"/>
  <c r="AI27" i="1"/>
  <c r="AI22" i="1"/>
  <c r="U22" i="1"/>
  <c r="W19" i="1"/>
  <c r="AI70" i="1"/>
  <c r="U70" i="1"/>
  <c r="S70" i="1" s="1"/>
  <c r="U23" i="1"/>
  <c r="S23" i="1" s="1"/>
  <c r="AI23" i="1"/>
  <c r="U39" i="1"/>
  <c r="S38" i="1" s="1"/>
  <c r="AI39" i="1"/>
  <c r="S14" i="1"/>
  <c r="AI14" i="1"/>
  <c r="U14" i="1"/>
  <c r="AI56" i="1"/>
  <c r="U56" i="1"/>
  <c r="S56" i="1" s="1"/>
  <c r="AI62" i="1"/>
  <c r="U62" i="1"/>
  <c r="S62" i="1" s="1"/>
  <c r="AI66" i="1"/>
  <c r="U66" i="1"/>
  <c r="S65" i="1" s="1"/>
  <c r="W70" i="1"/>
  <c r="U123" i="1"/>
  <c r="S122" i="1" s="1"/>
  <c r="AI123" i="1"/>
  <c r="AI114" i="1"/>
  <c r="U114" i="1"/>
  <c r="S114" i="1" s="1"/>
  <c r="U148" i="1"/>
  <c r="S148" i="1" s="1"/>
  <c r="AI148" i="1"/>
  <c r="U164" i="1"/>
  <c r="S164" i="1" s="1"/>
  <c r="AI164" i="1"/>
  <c r="AI147" i="1"/>
  <c r="U147" i="1"/>
  <c r="S147" i="1" s="1"/>
  <c r="AI163" i="1"/>
  <c r="U163" i="1"/>
  <c r="S163" i="1" s="1"/>
  <c r="W251" i="1"/>
  <c r="W259" i="1"/>
  <c r="AC22" i="3"/>
  <c r="AD22" i="3"/>
  <c r="AE22" i="3"/>
  <c r="Y22" i="3"/>
  <c r="S92" i="1" l="1"/>
  <c r="Z13" i="1"/>
  <c r="Y13" i="1"/>
  <c r="O2" i="3" l="1"/>
  <c r="M28" i="5" l="1"/>
  <c r="M23" i="5" l="1"/>
  <c r="AD7" i="3" l="1"/>
  <c r="AN13" i="1"/>
  <c r="AE7" i="3" l="1"/>
  <c r="K13" i="1" l="1"/>
  <c r="M13" i="1"/>
  <c r="N13" i="1" s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3" i="6" l="1"/>
  <c r="B87" i="9"/>
  <c r="B88" i="9"/>
  <c r="B89" i="9"/>
  <c r="B90" i="9"/>
  <c r="B91" i="9"/>
  <c r="B92" i="9"/>
  <c r="B4" i="6" l="1"/>
  <c r="F3" i="6"/>
  <c r="G3" i="6"/>
  <c r="I3" i="6"/>
  <c r="J3" i="6"/>
  <c r="C88" i="9"/>
  <c r="C92" i="9"/>
  <c r="C93" i="9"/>
  <c r="C90" i="9"/>
  <c r="C89" i="9"/>
  <c r="C91" i="9"/>
  <c r="B5" i="6" l="1"/>
  <c r="G4" i="6"/>
  <c r="I4" i="6"/>
  <c r="J4" i="6"/>
  <c r="F4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5" i="6" l="1"/>
  <c r="G5" i="6"/>
  <c r="I5" i="6"/>
  <c r="J5" i="6"/>
  <c r="B6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6" i="6" l="1"/>
  <c r="F6" i="6"/>
  <c r="G6" i="6"/>
  <c r="J6" i="6"/>
  <c r="B7" i="6"/>
  <c r="B55" i="9"/>
  <c r="B56" i="9"/>
  <c r="B57" i="9"/>
  <c r="B58" i="9"/>
  <c r="B59" i="9"/>
  <c r="B60" i="9"/>
  <c r="B61" i="9"/>
  <c r="B62" i="9"/>
  <c r="C63" i="9" s="1"/>
  <c r="F7" i="6" l="1"/>
  <c r="I7" i="6"/>
  <c r="G7" i="6"/>
  <c r="J7" i="6"/>
  <c r="B8" i="6"/>
  <c r="C61" i="9"/>
  <c r="C57" i="9"/>
  <c r="C59" i="9"/>
  <c r="C62" i="9"/>
  <c r="C60" i="9"/>
  <c r="C58" i="9"/>
  <c r="C56" i="9"/>
  <c r="G8" i="6" l="1"/>
  <c r="I8" i="6"/>
  <c r="J8" i="6"/>
  <c r="F8" i="6"/>
  <c r="B9" i="6"/>
  <c r="B50" i="9"/>
  <c r="B51" i="9"/>
  <c r="B52" i="9"/>
  <c r="B53" i="9"/>
  <c r="B54" i="9"/>
  <c r="F9" i="6" l="1"/>
  <c r="G9" i="6"/>
  <c r="I9" i="6"/>
  <c r="J9" i="6"/>
  <c r="B10" i="6"/>
  <c r="C52" i="9"/>
  <c r="C54" i="9"/>
  <c r="C55" i="9"/>
  <c r="C53" i="9"/>
  <c r="C51" i="9"/>
  <c r="G10" i="6" l="1"/>
  <c r="I10" i="6"/>
  <c r="J10" i="6"/>
  <c r="F10" i="6"/>
  <c r="B11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2" i="6" l="1"/>
  <c r="F11" i="6"/>
  <c r="G11" i="6"/>
  <c r="I11" i="6"/>
  <c r="J11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2" i="6" l="1"/>
  <c r="I12" i="6"/>
  <c r="J12" i="6"/>
  <c r="F12" i="6"/>
  <c r="B13" i="6"/>
  <c r="V13" i="1"/>
  <c r="B31" i="9"/>
  <c r="B32" i="9"/>
  <c r="C33" i="9" s="1"/>
  <c r="F13" i="6" l="1"/>
  <c r="G13" i="6"/>
  <c r="I13" i="6"/>
  <c r="J13" i="6"/>
  <c r="B14" i="6"/>
  <c r="C32" i="9"/>
  <c r="G14" i="6" l="1"/>
  <c r="I14" i="6"/>
  <c r="F14" i="6"/>
  <c r="H14" i="6"/>
  <c r="J14" i="6"/>
  <c r="B15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23" i="3" s="1"/>
  <c r="G41" i="4"/>
  <c r="G42" i="4"/>
  <c r="G43" i="4"/>
  <c r="G44" i="4"/>
  <c r="G45" i="4"/>
  <c r="G46" i="4"/>
  <c r="N18" i="3" s="1"/>
  <c r="G47" i="4"/>
  <c r="G48" i="4"/>
  <c r="G49" i="4"/>
  <c r="N12" i="3" s="1"/>
  <c r="G50" i="4"/>
  <c r="G51" i="4"/>
  <c r="G52" i="4"/>
  <c r="G53" i="4"/>
  <c r="G54" i="4"/>
  <c r="G55" i="4"/>
  <c r="G56" i="4"/>
  <c r="N13" i="3" s="1"/>
  <c r="G57" i="4"/>
  <c r="G58" i="4"/>
  <c r="G59" i="4"/>
  <c r="G60" i="4"/>
  <c r="G61" i="4"/>
  <c r="G62" i="4"/>
  <c r="G63" i="4"/>
  <c r="G64" i="4"/>
  <c r="G65" i="4"/>
  <c r="G66" i="4"/>
  <c r="N35" i="3" s="1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22" i="3" s="1"/>
  <c r="G82" i="4"/>
  <c r="G83" i="4"/>
  <c r="G84" i="4"/>
  <c r="G85" i="4"/>
  <c r="G86" i="4"/>
  <c r="G87" i="4"/>
  <c r="N14" i="3" s="1"/>
  <c r="G88" i="4"/>
  <c r="G89" i="4"/>
  <c r="G90" i="4"/>
  <c r="N15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N11" i="3" s="1"/>
  <c r="G106" i="4"/>
  <c r="G107" i="4"/>
  <c r="G108" i="4"/>
  <c r="N37" i="3" s="1"/>
  <c r="G109" i="4"/>
  <c r="G110" i="4"/>
  <c r="G111" i="4"/>
  <c r="N21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N33" i="3" s="1"/>
  <c r="G173" i="4"/>
  <c r="G174" i="4"/>
  <c r="G175" i="4"/>
  <c r="N32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25" i="3" s="1"/>
  <c r="G192" i="4"/>
  <c r="G193" i="4"/>
  <c r="G194" i="4"/>
  <c r="G195" i="4"/>
  <c r="G196" i="4"/>
  <c r="G197" i="4"/>
  <c r="N26" i="3" s="1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20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34" i="3" s="1"/>
  <c r="G227" i="4"/>
  <c r="G228" i="4"/>
  <c r="G229" i="4"/>
  <c r="G230" i="4"/>
  <c r="G231" i="4"/>
  <c r="N16" i="3" s="1"/>
  <c r="G232" i="4"/>
  <c r="G233" i="4"/>
  <c r="G234" i="4"/>
  <c r="G235" i="4"/>
  <c r="G236" i="4"/>
  <c r="G237" i="4"/>
  <c r="G238" i="4"/>
  <c r="G239" i="4"/>
  <c r="N36" i="3" s="1"/>
  <c r="G240" i="4"/>
  <c r="N28" i="3" s="1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N29" i="3" s="1"/>
  <c r="G256" i="4"/>
  <c r="G257" i="4"/>
  <c r="G258" i="4"/>
  <c r="G2" i="4"/>
  <c r="N31" i="3" l="1"/>
  <c r="N17" i="3"/>
  <c r="N27" i="3"/>
  <c r="N8" i="3"/>
  <c r="N19" i="3"/>
  <c r="N24" i="3"/>
  <c r="N9" i="3"/>
  <c r="N7" i="3"/>
  <c r="N10" i="3"/>
  <c r="H11" i="6"/>
  <c r="H5" i="6"/>
  <c r="H13" i="6"/>
  <c r="H8" i="6"/>
  <c r="H12" i="6"/>
  <c r="H6" i="6"/>
  <c r="H3" i="6"/>
  <c r="H4" i="6"/>
  <c r="H9" i="6"/>
  <c r="H10" i="6"/>
  <c r="H7" i="6"/>
  <c r="F15" i="6"/>
  <c r="I15" i="6"/>
  <c r="G15" i="6"/>
  <c r="H15" i="6"/>
  <c r="J15" i="6"/>
  <c r="B16" i="6"/>
  <c r="L13" i="1"/>
  <c r="G16" i="6" l="1"/>
  <c r="I16" i="6"/>
  <c r="J16" i="6"/>
  <c r="F16" i="6"/>
  <c r="H16" i="6"/>
  <c r="B1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7" i="6" l="1"/>
  <c r="G17" i="6"/>
  <c r="I17" i="6"/>
  <c r="J17" i="6"/>
  <c r="H17" i="6"/>
  <c r="B18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8" i="6" l="1"/>
  <c r="H18" i="6"/>
  <c r="J18" i="6"/>
  <c r="I18" i="6"/>
  <c r="F18" i="6"/>
  <c r="B1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0" i="6" l="1"/>
  <c r="F19" i="6"/>
  <c r="G19" i="6"/>
  <c r="I19" i="6"/>
  <c r="H19" i="6"/>
  <c r="J19" i="6"/>
  <c r="M30" i="5"/>
  <c r="M29" i="5"/>
  <c r="M27" i="5"/>
  <c r="G20" i="6" l="1"/>
  <c r="I20" i="6"/>
  <c r="J20" i="6"/>
  <c r="H20" i="6"/>
  <c r="F20" i="6"/>
  <c r="B21" i="6"/>
  <c r="M26" i="5"/>
  <c r="B22" i="6" l="1"/>
  <c r="F21" i="6"/>
  <c r="G21" i="6"/>
  <c r="H21" i="6"/>
  <c r="J21" i="6"/>
  <c r="I21" i="6"/>
  <c r="AH13" i="1"/>
  <c r="J7" i="1"/>
  <c r="G22" i="6" l="1"/>
  <c r="F22" i="6"/>
  <c r="H22" i="6"/>
  <c r="J22" i="6"/>
  <c r="I22" i="6"/>
  <c r="B23" i="6"/>
  <c r="X6" i="1"/>
  <c r="W6" i="1"/>
  <c r="V6" i="1"/>
  <c r="S6" i="1"/>
  <c r="R2" i="1"/>
  <c r="I2" i="1"/>
  <c r="O6" i="1"/>
  <c r="N6" i="1"/>
  <c r="M6" i="1"/>
  <c r="J6" i="1"/>
  <c r="B24" i="6" l="1"/>
  <c r="I23" i="6"/>
  <c r="G23" i="6"/>
  <c r="H23" i="6"/>
  <c r="J23" i="6"/>
  <c r="F23" i="6"/>
  <c r="P3" i="5"/>
  <c r="G24" i="6" l="1"/>
  <c r="I24" i="6"/>
  <c r="J24" i="6"/>
  <c r="F24" i="6"/>
  <c r="H24" i="6"/>
  <c r="B25" i="6"/>
  <c r="M18" i="5"/>
  <c r="B26" i="6" l="1"/>
  <c r="F25" i="6"/>
  <c r="G25" i="6"/>
  <c r="I25" i="6"/>
  <c r="J25" i="6"/>
  <c r="H25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6" i="6" l="1"/>
  <c r="I26" i="6"/>
  <c r="J26" i="6"/>
  <c r="F26" i="6"/>
  <c r="H26" i="6"/>
  <c r="B2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8" i="6" l="1"/>
  <c r="F27" i="6"/>
  <c r="G27" i="6"/>
  <c r="I27" i="6"/>
  <c r="H27" i="6"/>
  <c r="J27" i="6"/>
  <c r="G259" i="4"/>
  <c r="G260" i="4"/>
  <c r="G261" i="4"/>
  <c r="G262" i="4"/>
  <c r="G263" i="4"/>
  <c r="G264" i="4"/>
  <c r="G265" i="4"/>
  <c r="B29" i="6" l="1"/>
  <c r="G28" i="6"/>
  <c r="I28" i="6"/>
  <c r="H28" i="6"/>
  <c r="J28" i="6"/>
  <c r="F28" i="6"/>
  <c r="M14" i="5"/>
  <c r="M13" i="5"/>
  <c r="M12" i="5"/>
  <c r="M11" i="5"/>
  <c r="M10" i="5"/>
  <c r="M9" i="5"/>
  <c r="M8" i="5"/>
  <c r="M7" i="5"/>
  <c r="M6" i="5"/>
  <c r="M5" i="5"/>
  <c r="M4" i="5"/>
  <c r="M3" i="5"/>
  <c r="F29" i="6" l="1"/>
  <c r="G29" i="6"/>
  <c r="I29" i="6"/>
  <c r="J29" i="6"/>
  <c r="H29" i="6"/>
  <c r="B30" i="6"/>
  <c r="U13" i="1"/>
  <c r="S13" i="1" s="1"/>
  <c r="O3" i="3"/>
  <c r="H30" i="6" l="1"/>
  <c r="I30" i="6"/>
  <c r="F30" i="6"/>
  <c r="G30" i="6"/>
  <c r="J30" i="6"/>
  <c r="B3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2" i="6" l="1"/>
  <c r="F32" i="6" s="1"/>
  <c r="F31" i="6"/>
  <c r="G31" i="6"/>
  <c r="I31" i="6"/>
  <c r="H31" i="6"/>
  <c r="J31" i="6"/>
  <c r="J8" i="1"/>
  <c r="J4" i="1"/>
  <c r="S8" i="1"/>
  <c r="S4" i="1"/>
  <c r="J32" i="6" l="1"/>
  <c r="I32" i="6"/>
  <c r="G32" i="6"/>
  <c r="H32" i="6"/>
  <c r="B33" i="6"/>
  <c r="S9" i="1"/>
  <c r="J9" i="1"/>
  <c r="B34" i="6" l="1"/>
  <c r="H33" i="6"/>
  <c r="J33" i="6"/>
  <c r="F33" i="6"/>
  <c r="G33" i="6"/>
  <c r="I33" i="6"/>
  <c r="S11" i="1"/>
  <c r="A11" i="1"/>
  <c r="B35" i="6" l="1"/>
  <c r="F34" i="6"/>
  <c r="I34" i="6"/>
  <c r="J34" i="6"/>
  <c r="G34" i="6"/>
  <c r="H34" i="6"/>
  <c r="B1" i="6"/>
  <c r="A5" i="3"/>
  <c r="B36" i="6" l="1"/>
  <c r="G35" i="6"/>
  <c r="H35" i="6"/>
  <c r="F35" i="6"/>
  <c r="I35" i="6"/>
  <c r="J35" i="6"/>
  <c r="G36" i="6" l="1"/>
  <c r="H36" i="6"/>
  <c r="I36" i="6"/>
  <c r="J36" i="6"/>
  <c r="F36" i="6"/>
  <c r="B37" i="6"/>
  <c r="H37" i="6" l="1"/>
  <c r="F37" i="6"/>
  <c r="G37" i="6"/>
  <c r="I37" i="6"/>
  <c r="J37" i="6"/>
  <c r="B38" i="6"/>
  <c r="B39" i="6" l="1"/>
  <c r="G38" i="6"/>
  <c r="H38" i="6"/>
  <c r="I38" i="6"/>
  <c r="J38" i="6"/>
  <c r="F38" i="6"/>
  <c r="B40" i="6" l="1"/>
  <c r="I39" i="6"/>
  <c r="G39" i="6"/>
  <c r="F39" i="6"/>
  <c r="H39" i="6"/>
  <c r="J39" i="6"/>
  <c r="G40" i="6" l="1"/>
  <c r="F40" i="6"/>
  <c r="H40" i="6"/>
  <c r="I40" i="6"/>
  <c r="J40" i="6"/>
  <c r="B41" i="6"/>
  <c r="H41" i="6" l="1"/>
  <c r="J41" i="6"/>
  <c r="F41" i="6"/>
  <c r="G41" i="6"/>
  <c r="I41" i="6"/>
  <c r="B42" i="6"/>
  <c r="B43" i="6" l="1"/>
  <c r="F42" i="6"/>
  <c r="G42" i="6"/>
  <c r="I42" i="6"/>
  <c r="H42" i="6"/>
  <c r="J42" i="6"/>
  <c r="F43" i="6" l="1"/>
  <c r="G43" i="6"/>
  <c r="J43" i="6"/>
  <c r="H43" i="6"/>
  <c r="I43" i="6"/>
  <c r="B44" i="6"/>
  <c r="G44" i="6" l="1"/>
  <c r="J44" i="6"/>
  <c r="F44" i="6"/>
  <c r="H44" i="6"/>
  <c r="I44" i="6"/>
  <c r="B45" i="6"/>
  <c r="B46" i="6" l="1"/>
  <c r="F45" i="6"/>
  <c r="G45" i="6"/>
  <c r="H45" i="6"/>
  <c r="I45" i="6"/>
  <c r="J45" i="6"/>
  <c r="B47" i="6" l="1"/>
  <c r="J46" i="6"/>
  <c r="F46" i="6"/>
  <c r="I46" i="6"/>
  <c r="G46" i="6"/>
  <c r="H46" i="6"/>
  <c r="B48" i="6" l="1"/>
  <c r="G47" i="6"/>
  <c r="H47" i="6"/>
  <c r="F47" i="6"/>
  <c r="I47" i="6"/>
  <c r="J47" i="6"/>
  <c r="G48" i="6" l="1"/>
  <c r="I48" i="6"/>
  <c r="J48" i="6"/>
  <c r="F48" i="6"/>
  <c r="H48" i="6"/>
  <c r="B49" i="6"/>
  <c r="B50" i="6" l="1"/>
  <c r="J49" i="6"/>
  <c r="F49" i="6"/>
  <c r="H49" i="6"/>
  <c r="G49" i="6"/>
  <c r="I49" i="6"/>
  <c r="B51" i="6" l="1"/>
  <c r="H50" i="6"/>
  <c r="F50" i="6"/>
  <c r="I50" i="6"/>
  <c r="J50" i="6"/>
  <c r="G50" i="6"/>
  <c r="B53" i="6" l="1"/>
  <c r="B52" i="6"/>
  <c r="G51" i="6"/>
  <c r="H51" i="6"/>
  <c r="F51" i="6"/>
  <c r="I51" i="6"/>
  <c r="J51" i="6"/>
  <c r="G52" i="6" l="1"/>
  <c r="H52" i="6"/>
  <c r="I52" i="6"/>
  <c r="J52" i="6"/>
  <c r="F52" i="6"/>
  <c r="H53" i="6"/>
  <c r="J53" i="6"/>
  <c r="G53" i="6"/>
  <c r="I53" i="6"/>
  <c r="F5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<sst xmlns="http://schemas.openxmlformats.org/spreadsheetml/2006/main" count="2939" uniqueCount="1022">
  <si>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</si>
  <si>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</si>
  <si>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</si>
  <si>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</si>
  <si>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</si>
  <si>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</si>
  <si>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</si>
  <si>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</si>
  <si>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</si>
  <si>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</si>
  <si>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</si>
  <si>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</si>
  <si>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</si>
  <si>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</si>
  <si>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</si>
  <si>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</si>
  <si>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</si>
  <si>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</si>
  <si>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</si>
  <si>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</si>
  <si>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</si>
  <si>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</si>
  <si>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</si>
  <si>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</si>
  <si>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</si>
  <si>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</si>
  <si>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</si>
  <si>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</si>
  <si>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</si>
  <si>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</si>
  <si>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</si>
  <si>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</si>
  <si>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</si>
  <si>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</si>
  <si>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</si>
  <si>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</si>
  <si>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</si>
  <si>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</si>
  <si>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</si>
  <si>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</si>
  <si>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</si>
  <si>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</si>
  <si>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</si>
  <si>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</si>
  <si>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</si>
  <si>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</si>
  <si>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</si>
  <si>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</si>
  <si>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</si>
  <si>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</si>
  <si>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</si>
  <si>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</si>
  <si>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</si>
  <si>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</si>
  <si>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</si>
  <si>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</si>
  <si>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</si>
  <si>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</si>
  <si>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</si>
  <si>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</si>
  <si>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</si>
  <si>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</si>
  <si>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</si>
  <si>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</si>
  <si>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</si>
  <si>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</si>
  <si>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</si>
  <si>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</si>
  <si>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</si>
  <si>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</si>
  <si>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</si>
  <si>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</si>
  <si>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</si>
  <si>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</si>
  <si>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</si>
  <si>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</si>
  <si>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</si>
  <si>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</si>
  <si>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</si>
  <si>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</si>
  <si>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</si>
  <si>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</si>
  <si>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</si>
  <si>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</si>
  <si>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</si>
  <si>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</si>
  <si>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</si>
  <si>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</si>
  <si>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</si>
  <si>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</si>
  <si>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</si>
  <si>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</si>
  <si>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</si>
  <si>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</si>
  <si>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</si>
  <si>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</si>
  <si>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</si>
  <si>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</si>
  <si>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</si>
  <si>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</si>
  <si>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</si>
  <si>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</si>
  <si>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</si>
  <si>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</si>
  <si>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</si>
  <si>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</si>
  <si>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</si>
  <si>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</si>
  <si>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</si>
  <si>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</si>
  <si>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</si>
  <si>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</si>
  <si>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</si>
  <si>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</si>
  <si>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</si>
  <si>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</si>
  <si>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</si>
  <si>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</si>
  <si>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</si>
  <si>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</si>
  <si>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</si>
  <si>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</si>
  <si>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</si>
  <si>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</si>
  <si>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</si>
  <si>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</si>
  <si>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</si>
  <si>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</si>
  <si>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</si>
  <si>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</si>
  <si>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</si>
  <si>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</si>
  <si>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</si>
  <si>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</si>
  <si>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</si>
  <si>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</si>
  <si>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</si>
  <si>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</si>
  <si>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</si>
  <si>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</si>
  <si>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</si>
  <si>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</si>
  <si>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</si>
  <si>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</si>
  <si>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</si>
  <si>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</si>
  <si>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</si>
  <si>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</si>
  <si>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</si>
  <si>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</si>
  <si>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</si>
  <si>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</si>
  <si>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</si>
  <si>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</si>
  <si>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</si>
  <si>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</si>
  <si>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</si>
  <si>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</si>
  <si>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</si>
  <si>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</si>
  <si>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</si>
  <si>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</si>
  <si>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</si>
  <si>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</si>
  <si>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</si>
  <si>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</si>
  <si>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</si>
  <si>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</si>
  <si>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</si>
  <si>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</si>
  <si>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</si>
  <si>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</si>
  <si>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</si>
  <si>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</si>
  <si>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</si>
  <si>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</si>
  <si>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</si>
  <si>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</si>
  <si>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</si>
  <si>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</si>
  <si>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</si>
  <si>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</si>
  <si>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</si>
  <si>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</si>
  <si>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</si>
  <si>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</si>
  <si>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</si>
  <si>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</si>
  <si>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</si>
  <si>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</si>
  <si>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</si>
  <si>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</si>
  <si>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</si>
  <si>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</si>
  <si>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</si>
  <si>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</si>
  <si>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</si>
  <si>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</si>
  <si>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</si>
  <si>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</si>
  <si>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</si>
  <si>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</si>
  <si>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</si>
  <si>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</si>
  <si>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</si>
  <si>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</si>
  <si>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</si>
  <si>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</si>
  <si>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</si>
  <si>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</si>
  <si>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</si>
  <si>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</si>
  <si>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</si>
  <si>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</si>
  <si>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</si>
  <si>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</si>
  <si>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</si>
  <si>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</si>
  <si>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</si>
  <si>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</si>
  <si>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</si>
  <si>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</si>
  <si>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</si>
  <si>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</si>
  <si>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</si>
  <si>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</si>
  <si>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</si>
  <si>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</si>
  <si>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</si>
  <si>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</si>
  <si>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</si>
  <si>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</si>
  <si>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</si>
  <si>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</si>
  <si>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</si>
  <si>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</si>
  <si>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</si>
  <si>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</si>
  <si>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</si>
  <si>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</si>
  <si>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</si>
  <si>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</si>
  <si>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</si>
  <si>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</si>
  <si>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</si>
  <si>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</si>
  <si>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</si>
  <si>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</si>
  <si>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</si>
  <si>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</si>
  <si>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</si>
  <si>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</si>
  <si>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</si>
  <si>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</si>
  <si>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</si>
  <si>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</si>
  <si>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</si>
  <si>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</si>
  <si>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</si>
  <si>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</si>
  <si>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</si>
  <si>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</si>
  <si>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</si>
  <si>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</si>
  <si>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</si>
  <si>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</si>
  <si>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</si>
  <si>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</si>
  <si>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</si>
  <si>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</si>
  <si>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</si>
  <si>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</si>
  <si>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</si>
  <si>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</si>
  <si>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</si>
  <si>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</si>
  <si>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</si>
  <si>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</si>
  <si>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</si>
  <si>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</si>
  <si>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</si>
  <si>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</si>
  <si>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</si>
  <si>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</si>
  <si>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</si>
  <si>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</si>
  <si>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</si>
  <si>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</si>
  <si>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</si>
  <si>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</si>
  <si>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</si>
  <si>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</si>
  <si>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</si>
  <si>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</si>
  <si>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</si>
  <si>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</si>
  <si>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</si>
  <si>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</si>
  <si>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</si>
  <si>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</si>
  <si>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</si>
  <si>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</si>
  <si>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</si>
  <si>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</si>
  <si>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</si>
  <si>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</si>
  <si>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</si>
  <si>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</si>
  <si>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</si>
  <si>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</si>
  <si>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</si>
  <si>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</si>
  <si>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</si>
  <si>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</si>
  <si>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</si>
  <si>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</si>
  <si>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</si>
  <si>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</si>
  <si>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</si>
  <si>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</si>
  <si>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</si>
  <si>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</si>
  <si>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</si>
  <si>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</si>
  <si>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</si>
  <si>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</si>
  <si>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</si>
  <si>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</si>
  <si>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</si>
  <si>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</si>
  <si>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</si>
  <si>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</si>
  <si>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</si>
  <si>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</si>
  <si>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</si>
  <si>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</si>
  <si>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</si>
  <si>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</si>
  <si>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</si>
  <si>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</si>
  <si>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</si>
  <si>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</si>
  <si>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</si>
  <si>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</si>
  <si>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</si>
  <si>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</si>
  <si>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</si>
  <si>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</si>
  <si>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</si>
  <si>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</si>
  <si>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</si>
  <si>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</si>
  <si>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</si>
  <si>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</si>
  <si>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</si>
  <si>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</si>
  <si>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</si>
  <si>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</si>
  <si>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</si>
  <si>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</si>
  <si>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</si>
  <si>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</si>
  <si>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</si>
  <si>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</si>
  <si>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</si>
  <si>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</si>
  <si>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</si>
  <si>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</si>
  <si>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</si>
  <si>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</si>
  <si>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</si>
  <si>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</si>
  <si>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</si>
  <si>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</si>
  <si>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</si>
  <si>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</si>
  <si>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</si>
  <si>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</si>
  <si>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</si>
  <si>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</si>
  <si>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</si>
  <si>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</si>
  <si>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</si>
  <si>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</si>
  <si>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</si>
  <si>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</si>
  <si>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</si>
  <si>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</si>
  <si>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</si>
  <si>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</si>
  <si>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</si>
  <si>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</si>
  <si>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</si>
  <si>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</si>
  <si>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</si>
  <si>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</si>
  <si>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</si>
  <si>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</si>
  <si>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</si>
  <si>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</si>
  <si>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</si>
  <si>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</si>
  <si>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</si>
  <si>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</si>
  <si>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</si>
  <si>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</si>
  <si>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</si>
  <si>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</si>
  <si>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</si>
  <si>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</si>
  <si>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</si>
  <si>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</si>
  <si>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</si>
  <si>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</si>
  <si>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</si>
  <si>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</si>
  <si>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</si>
  <si>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rtdc.l.rtdc.4041:itc</t>
  </si>
  <si>
    <t>DAVIS</t>
  </si>
  <si>
    <t>DUNCAN</t>
  </si>
  <si>
    <t>SHEILA</t>
  </si>
  <si>
    <t>MAGEE</t>
  </si>
  <si>
    <t>KENYA</t>
  </si>
  <si>
    <t>204:232977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</si>
  <si>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</si>
  <si>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</si>
  <si>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</si>
  <si>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</si>
  <si>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</si>
  <si>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</si>
  <si>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</si>
  <si>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</si>
  <si>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</si>
  <si>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</si>
  <si>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</si>
  <si>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</si>
  <si>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</si>
  <si>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</si>
  <si>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</si>
  <si>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</si>
  <si>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</si>
  <si>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</si>
  <si>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</si>
  <si>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</si>
  <si>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</si>
  <si>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</si>
  <si>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</si>
  <si>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</si>
  <si>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SAFIEF</t>
  </si>
  <si>
    <t>AEIMEN</t>
  </si>
  <si>
    <t>204:233289</t>
  </si>
  <si>
    <t>204:444</t>
  </si>
  <si>
    <t>204:233307</t>
  </si>
  <si>
    <t>204:437</t>
  </si>
  <si>
    <t>rtdc.l.rtdc.4016:itc</t>
  </si>
  <si>
    <t>Partly Cloudy</t>
  </si>
  <si>
    <t>204:232986</t>
  </si>
  <si>
    <t>rtdc.l.rtdc.4046:itc</t>
  </si>
  <si>
    <t>rtdc.l.rtdc.4045:itc</t>
  </si>
  <si>
    <t>partly-cloudy-night</t>
  </si>
  <si>
    <t>rtdc.l.rtdc.4055:itc</t>
  </si>
  <si>
    <t>rtdc.l.rtdc.4056:itc</t>
  </si>
  <si>
    <t>204:233303</t>
  </si>
  <si>
    <t>204:232990</t>
  </si>
  <si>
    <t>204:232971</t>
  </si>
  <si>
    <t>204:136</t>
  </si>
  <si>
    <t>204:232996</t>
  </si>
  <si>
    <t>rtdc.l.rtdc.4015:itc</t>
  </si>
  <si>
    <t>204:232994</t>
  </si>
  <si>
    <t>204:233311</t>
  </si>
  <si>
    <t>204:233302</t>
  </si>
  <si>
    <t>204:232969</t>
  </si>
  <si>
    <t>204:161</t>
  </si>
  <si>
    <t>204:232985</t>
  </si>
  <si>
    <t>204:233340</t>
  </si>
  <si>
    <t>204:233300</t>
  </si>
  <si>
    <t>204:233291</t>
  </si>
  <si>
    <t>204:233338</t>
  </si>
  <si>
    <t>204:233295</t>
  </si>
  <si>
    <t>204:232987</t>
  </si>
  <si>
    <t>204:233299</t>
  </si>
  <si>
    <t>204:233331</t>
  </si>
  <si>
    <t>300:58950</t>
  </si>
  <si>
    <t>300:58632</t>
  </si>
  <si>
    <t>LALONDE</t>
  </si>
  <si>
    <t>GREGORY</t>
  </si>
  <si>
    <t>DAVIDSON</t>
  </si>
  <si>
    <t>DAVID</t>
  </si>
  <si>
    <t>MACDONALD</t>
  </si>
  <si>
    <t>BRANDNER</t>
  </si>
  <si>
    <t>MELINDA</t>
  </si>
  <si>
    <t>BRUDER</t>
  </si>
  <si>
    <t>RICHARD</t>
  </si>
  <si>
    <t>MAELZER</t>
  </si>
  <si>
    <t>KURT</t>
  </si>
  <si>
    <t>204:232993</t>
  </si>
  <si>
    <t>204:233019</t>
  </si>
  <si>
    <t>204:440</t>
  </si>
  <si>
    <t>204:233008</t>
  </si>
  <si>
    <t>204:233332</t>
  </si>
  <si>
    <t>204:232991</t>
  </si>
  <si>
    <t>300:58624</t>
  </si>
  <si>
    <t>300:58636</t>
  </si>
  <si>
    <t>204:469</t>
  </si>
  <si>
    <t>HAITHCOX</t>
  </si>
  <si>
    <t>204:233301</t>
  </si>
  <si>
    <t>204:233312</t>
  </si>
  <si>
    <t>204:233316</t>
  </si>
  <si>
    <t>204:233334</t>
  </si>
  <si>
    <t>204:482</t>
  </si>
  <si>
    <t>204:435</t>
  </si>
  <si>
    <t>204:167</t>
  </si>
  <si>
    <t>204:232975</t>
  </si>
  <si>
    <t>300:58638</t>
  </si>
  <si>
    <t>300:58943</t>
  </si>
  <si>
    <t>300:58628</t>
  </si>
  <si>
    <t>300:58956</t>
  </si>
  <si>
    <t>204:1020</t>
  </si>
  <si>
    <t>204:734</t>
  </si>
  <si>
    <t>204:1004</t>
  </si>
  <si>
    <t>300:58976</t>
  </si>
  <si>
    <t>204:233337</t>
  </si>
  <si>
    <t>204:442</t>
  </si>
  <si>
    <t>204:233268</t>
  </si>
  <si>
    <t>300:23308</t>
  </si>
  <si>
    <t>rtdc.l.rtdc.4006:itc</t>
  </si>
  <si>
    <t>rtdc.l.rtdc.4030:itc</t>
  </si>
  <si>
    <t>BONDS</t>
  </si>
  <si>
    <t>REYNALDO</t>
  </si>
  <si>
    <t>STARKS</t>
  </si>
  <si>
    <t>ANGELINA</t>
  </si>
  <si>
    <t>rtdc.l.rtdc.4029:itc</t>
  </si>
  <si>
    <t>rtdc.l.rtdc.4005:itc</t>
  </si>
  <si>
    <t>HELVIE</t>
  </si>
  <si>
    <t>ADAM</t>
  </si>
  <si>
    <t>SANTIZO</t>
  </si>
  <si>
    <t>D. EDY</t>
  </si>
  <si>
    <t>MCREYNOLDS</t>
  </si>
  <si>
    <t>KYLE</t>
  </si>
  <si>
    <t>STORY</t>
  </si>
  <si>
    <t>SAMANTHA</t>
  </si>
  <si>
    <t>242-12</t>
  </si>
  <si>
    <t>244-12</t>
  </si>
  <si>
    <t>309-12</t>
  </si>
  <si>
    <t>311-12</t>
  </si>
  <si>
    <t>313-12</t>
  </si>
  <si>
    <t>clear-night</t>
  </si>
  <si>
    <t>Clear</t>
  </si>
  <si>
    <t>clear-day</t>
  </si>
  <si>
    <t>Dry</t>
  </si>
  <si>
    <t>204:232959</t>
  </si>
  <si>
    <t>204:232982</t>
  </si>
  <si>
    <t>204:233021</t>
  </si>
  <si>
    <t>204:233306</t>
  </si>
  <si>
    <t>204:233308</t>
  </si>
  <si>
    <t>204:233286</t>
  </si>
  <si>
    <t>204:232963</t>
  </si>
  <si>
    <t>204:232981</t>
  </si>
  <si>
    <t>204:473</t>
  </si>
  <si>
    <t>204:233310</t>
  </si>
  <si>
    <t>204:138</t>
  </si>
  <si>
    <t>204:160</t>
  </si>
  <si>
    <t>204:233319</t>
  </si>
  <si>
    <t>204:233010</t>
  </si>
  <si>
    <t>204:169</t>
  </si>
  <si>
    <t>204:233355</t>
  </si>
  <si>
    <t>204:233284</t>
  </si>
  <si>
    <t>204:232978</t>
  </si>
  <si>
    <t>204:232965</t>
  </si>
  <si>
    <t>204:86352</t>
  </si>
  <si>
    <t>204:232961</t>
  </si>
  <si>
    <t>204:232974</t>
  </si>
  <si>
    <t>300:23297</t>
  </si>
  <si>
    <t>204:515</t>
  </si>
  <si>
    <t>204:1484</t>
  </si>
  <si>
    <t>204:1150</t>
  </si>
  <si>
    <t>300:58634</t>
  </si>
  <si>
    <t>300:58621</t>
  </si>
  <si>
    <t>300:58931</t>
  </si>
  <si>
    <t>204:1016</t>
  </si>
  <si>
    <t>300:58596</t>
  </si>
  <si>
    <t>204:1023</t>
  </si>
  <si>
    <t>300:58600</t>
  </si>
  <si>
    <t>300:58944</t>
  </si>
  <si>
    <t>300:58604</t>
  </si>
  <si>
    <t>300:58952</t>
  </si>
  <si>
    <t>start /low /b %USERPROFILE%\Documents\GitHub\eaglep3\Utilities\DownloadLogsFromS3.py --loco 4045 --day 2017-06-13</t>
  </si>
  <si>
    <t>Onboard in-route failure</t>
  </si>
  <si>
    <t>DUS 28S STOP, cleared after</t>
  </si>
  <si>
    <t>rtdc.l.rtdc.4053:itc</t>
  </si>
  <si>
    <t>110-13</t>
  </si>
  <si>
    <t>rtdc.l.rtdc.4031:itc</t>
  </si>
  <si>
    <t>112-13</t>
  </si>
  <si>
    <t>123-13</t>
  </si>
  <si>
    <t>rtdc.l.rtdc.4032:itc</t>
  </si>
  <si>
    <t>125-13</t>
  </si>
  <si>
    <t>129-13</t>
  </si>
  <si>
    <t>rtdc.l.rtdc.4024:itc</t>
  </si>
  <si>
    <t>811-13</t>
  </si>
  <si>
    <t>rtdc.l.rtdc.4062:itc</t>
  </si>
  <si>
    <t>145-13</t>
  </si>
  <si>
    <t>147-13</t>
  </si>
  <si>
    <t>155-13</t>
  </si>
  <si>
    <t>50-13</t>
  </si>
  <si>
    <t>152-13</t>
  </si>
  <si>
    <t>183-13</t>
  </si>
  <si>
    <t>182-13</t>
  </si>
  <si>
    <t>rtdc.l.rtdc.4023:itc</t>
  </si>
  <si>
    <t>826-13</t>
  </si>
  <si>
    <t>197-13</t>
  </si>
  <si>
    <t>198-13</t>
  </si>
  <si>
    <t>200-13</t>
  </si>
  <si>
    <t>rtdc.l.rtdc.4061:itc</t>
  </si>
  <si>
    <t>202-13</t>
  </si>
  <si>
    <t>204-13</t>
  </si>
  <si>
    <t>217-13</t>
  </si>
  <si>
    <t>212-13</t>
  </si>
  <si>
    <t>841-13</t>
  </si>
  <si>
    <t>222-13</t>
  </si>
  <si>
    <t>845-13</t>
  </si>
  <si>
    <t>228-13</t>
  </si>
  <si>
    <t>238-13</t>
  </si>
  <si>
    <t>300-13</t>
  </si>
  <si>
    <t>51-13</t>
  </si>
  <si>
    <t>SPECTOR</t>
  </si>
  <si>
    <t>101-13</t>
  </si>
  <si>
    <t>302-13</t>
  </si>
  <si>
    <t>52-13</t>
  </si>
  <si>
    <t>103-13</t>
  </si>
  <si>
    <t>304-13</t>
  </si>
  <si>
    <t>102-13</t>
  </si>
  <si>
    <t>306-13</t>
  </si>
  <si>
    <t>105-13</t>
  </si>
  <si>
    <t>308-13</t>
  </si>
  <si>
    <t>107-13</t>
  </si>
  <si>
    <t>109-13</t>
  </si>
  <si>
    <t>104-13</t>
  </si>
  <si>
    <t>901-13</t>
  </si>
  <si>
    <t>310-13</t>
  </si>
  <si>
    <t>LOZA</t>
  </si>
  <si>
    <t>FIDEL</t>
  </si>
  <si>
    <t>111-13</t>
  </si>
  <si>
    <t>800-13</t>
  </si>
  <si>
    <t>106-13</t>
  </si>
  <si>
    <t>108-13</t>
  </si>
  <si>
    <t>113-13</t>
  </si>
  <si>
    <t>312-13</t>
  </si>
  <si>
    <t>115-13</t>
  </si>
  <si>
    <t>117-13</t>
  </si>
  <si>
    <t>902-13</t>
  </si>
  <si>
    <t>801-13</t>
  </si>
  <si>
    <t>119-13</t>
  </si>
  <si>
    <t>803-13</t>
  </si>
  <si>
    <t>802-13</t>
  </si>
  <si>
    <t>114-13</t>
  </si>
  <si>
    <t>121-13</t>
  </si>
  <si>
    <t>116-13</t>
  </si>
  <si>
    <t>118-13</t>
  </si>
  <si>
    <t>804-13</t>
  </si>
  <si>
    <t>805-13</t>
  </si>
  <si>
    <t>120-13</t>
  </si>
  <si>
    <t>807-13</t>
  </si>
  <si>
    <t>122-13</t>
  </si>
  <si>
    <t>127-13</t>
  </si>
  <si>
    <t>806-13</t>
  </si>
  <si>
    <t>124-13</t>
  </si>
  <si>
    <t>131-13</t>
  </si>
  <si>
    <t>808-13</t>
  </si>
  <si>
    <t>126-13</t>
  </si>
  <si>
    <t>133-13</t>
  </si>
  <si>
    <t>809-13</t>
  </si>
  <si>
    <t>128-13</t>
  </si>
  <si>
    <t>135-13</t>
  </si>
  <si>
    <t>810-13</t>
  </si>
  <si>
    <t>130-13</t>
  </si>
  <si>
    <t>132-13</t>
  </si>
  <si>
    <t>137-13</t>
  </si>
  <si>
    <t>903-13</t>
  </si>
  <si>
    <t>139-13</t>
  </si>
  <si>
    <t>134-13</t>
  </si>
  <si>
    <t>812-13</t>
  </si>
  <si>
    <t>136-13</t>
  </si>
  <si>
    <t>141-13</t>
  </si>
  <si>
    <t>813-13</t>
  </si>
  <si>
    <t>143-13</t>
  </si>
  <si>
    <t>138-13</t>
  </si>
  <si>
    <t>140-13</t>
  </si>
  <si>
    <t>142-13</t>
  </si>
  <si>
    <t>814-13</t>
  </si>
  <si>
    <t>149-13</t>
  </si>
  <si>
    <t>144-13</t>
  </si>
  <si>
    <t>815-13</t>
  </si>
  <si>
    <t>151-13</t>
  </si>
  <si>
    <t>146-13</t>
  </si>
  <si>
    <t>153-13</t>
  </si>
  <si>
    <t>148-13</t>
  </si>
  <si>
    <t>150-13</t>
  </si>
  <si>
    <t>816-13</t>
  </si>
  <si>
    <t>157-13</t>
  </si>
  <si>
    <t>159-13</t>
  </si>
  <si>
    <t>817-13</t>
  </si>
  <si>
    <t>154-13</t>
  </si>
  <si>
    <t>161-13</t>
  </si>
  <si>
    <t>STEWART</t>
  </si>
  <si>
    <t>156-13</t>
  </si>
  <si>
    <t>163-13</t>
  </si>
  <si>
    <t>53-13</t>
  </si>
  <si>
    <t>818-13</t>
  </si>
  <si>
    <t>158-13</t>
  </si>
  <si>
    <t>165-13</t>
  </si>
  <si>
    <t>LEVIN</t>
  </si>
  <si>
    <t>SCOTT</t>
  </si>
  <si>
    <t>160-13</t>
  </si>
  <si>
    <t>819-13</t>
  </si>
  <si>
    <t>167-13</t>
  </si>
  <si>
    <t>164-13</t>
  </si>
  <si>
    <t>162-13</t>
  </si>
  <si>
    <t>169-13</t>
  </si>
  <si>
    <t>171-13</t>
  </si>
  <si>
    <t>820-13</t>
  </si>
  <si>
    <t>166-13</t>
  </si>
  <si>
    <t>173-13</t>
  </si>
  <si>
    <t>168-13</t>
  </si>
  <si>
    <t>175-13</t>
  </si>
  <si>
    <t>821-13</t>
  </si>
  <si>
    <t>177-13</t>
  </si>
  <si>
    <t>170-13</t>
  </si>
  <si>
    <t>179-13</t>
  </si>
  <si>
    <t>172-13</t>
  </si>
  <si>
    <t>61-13</t>
  </si>
  <si>
    <t>822-13</t>
  </si>
  <si>
    <t>174-13</t>
  </si>
  <si>
    <t>181-13</t>
  </si>
  <si>
    <t>178-13</t>
  </si>
  <si>
    <t>176-13</t>
  </si>
  <si>
    <t>185-13</t>
  </si>
  <si>
    <t>823-13</t>
  </si>
  <si>
    <t>187-13</t>
  </si>
  <si>
    <t>180-13</t>
  </si>
  <si>
    <t>824-13</t>
  </si>
  <si>
    <t>189-13</t>
  </si>
  <si>
    <t>184-13</t>
  </si>
  <si>
    <t>191-13</t>
  </si>
  <si>
    <t>186-13</t>
  </si>
  <si>
    <t>193-13</t>
  </si>
  <si>
    <t>825-13</t>
  </si>
  <si>
    <t>188-13</t>
  </si>
  <si>
    <t>195-13</t>
  </si>
  <si>
    <t>904-13</t>
  </si>
  <si>
    <t>192-13</t>
  </si>
  <si>
    <t>190-13</t>
  </si>
  <si>
    <t>827-13</t>
  </si>
  <si>
    <t>199-13</t>
  </si>
  <si>
    <t>194-13</t>
  </si>
  <si>
    <t>828-13</t>
  </si>
  <si>
    <t>201-13</t>
  </si>
  <si>
    <t>829-13</t>
  </si>
  <si>
    <t>203-13</t>
  </si>
  <si>
    <t>196-13</t>
  </si>
  <si>
    <t>205-13</t>
  </si>
  <si>
    <t>830-13</t>
  </si>
  <si>
    <t>831-13</t>
  </si>
  <si>
    <t>NELSON</t>
  </si>
  <si>
    <t>ARIANE</t>
  </si>
  <si>
    <t>207-13</t>
  </si>
  <si>
    <t>63-13</t>
  </si>
  <si>
    <t>832-13</t>
  </si>
  <si>
    <t>209-13</t>
  </si>
  <si>
    <t>833-13</t>
  </si>
  <si>
    <t>65-13</t>
  </si>
  <si>
    <t>211-13</t>
  </si>
  <si>
    <t>206-13</t>
  </si>
  <si>
    <t>834-13</t>
  </si>
  <si>
    <t>213-13</t>
  </si>
  <si>
    <t>835-13</t>
  </si>
  <si>
    <t>208-13</t>
  </si>
  <si>
    <t>215-13</t>
  </si>
  <si>
    <t>210-13</t>
  </si>
  <si>
    <t>836-13</t>
  </si>
  <si>
    <t>837-13</t>
  </si>
  <si>
    <t>219-13</t>
  </si>
  <si>
    <t>839-13</t>
  </si>
  <si>
    <t>214-13</t>
  </si>
  <si>
    <t>838-13</t>
  </si>
  <si>
    <t>301-13</t>
  </si>
  <si>
    <t>216-13</t>
  </si>
  <si>
    <t>221-13</t>
  </si>
  <si>
    <t>218-13</t>
  </si>
  <si>
    <t>906-13</t>
  </si>
  <si>
    <t>303-13</t>
  </si>
  <si>
    <t>223-13</t>
  </si>
  <si>
    <t>220-13</t>
  </si>
  <si>
    <t>840-13</t>
  </si>
  <si>
    <t>305-13</t>
  </si>
  <si>
    <t>225-13</t>
  </si>
  <si>
    <t>843-13</t>
  </si>
  <si>
    <t>224-13</t>
  </si>
  <si>
    <t>227-13</t>
  </si>
  <si>
    <t>842-13</t>
  </si>
  <si>
    <t>226-13</t>
  </si>
  <si>
    <t>229-13</t>
  </si>
  <si>
    <t>231-13</t>
  </si>
  <si>
    <t>844-13</t>
  </si>
  <si>
    <t>233-13</t>
  </si>
  <si>
    <t>230-13</t>
  </si>
  <si>
    <t>847-13</t>
  </si>
  <si>
    <t>232-13</t>
  </si>
  <si>
    <t>235-13</t>
  </si>
  <si>
    <t>908-13</t>
  </si>
  <si>
    <t>237-13</t>
  </si>
  <si>
    <t>234-13</t>
  </si>
  <si>
    <t>236-13</t>
  </si>
  <si>
    <t>239-13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</si>
  <si>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</si>
  <si>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</si>
  <si>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</si>
  <si>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</si>
  <si>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</si>
  <si>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</si>
  <si>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</si>
  <si>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</si>
  <si>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</si>
  <si>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partly-cloudy-day</t>
  </si>
  <si>
    <t>204:750</t>
  </si>
  <si>
    <t>204:19128</t>
  </si>
  <si>
    <t>204:233323</t>
  </si>
  <si>
    <t>204:180</t>
  </si>
  <si>
    <t>204:172</t>
  </si>
  <si>
    <t>204:429</t>
  </si>
  <si>
    <t>204:233314</t>
  </si>
  <si>
    <t>204:82070</t>
  </si>
  <si>
    <t>204:64113</t>
  </si>
  <si>
    <t>204:488</t>
  </si>
  <si>
    <t>204:86353</t>
  </si>
  <si>
    <t>204:64165</t>
  </si>
  <si>
    <t>204:497</t>
  </si>
  <si>
    <t>204:233280</t>
  </si>
  <si>
    <t>204:232700</t>
  </si>
  <si>
    <t>204:64178</t>
  </si>
  <si>
    <t>204:233305</t>
  </si>
  <si>
    <t>204:232980</t>
  </si>
  <si>
    <t>204:64157</t>
  </si>
  <si>
    <t>204:64149</t>
  </si>
  <si>
    <t>204:233274</t>
  </si>
  <si>
    <t>204:84299</t>
  </si>
  <si>
    <t>204:233015</t>
  </si>
  <si>
    <t>204:64147</t>
  </si>
  <si>
    <t>204:233336</t>
  </si>
  <si>
    <t>204:233005</t>
  </si>
  <si>
    <t>204:64153</t>
  </si>
  <si>
    <t>204:19111</t>
  </si>
  <si>
    <t>204:233270</t>
  </si>
  <si>
    <t>204:489</t>
  </si>
  <si>
    <t>204:232955</t>
  </si>
  <si>
    <t>204:86355</t>
  </si>
  <si>
    <t>204:86351</t>
  </si>
  <si>
    <t>204:64169</t>
  </si>
  <si>
    <t>204:64171</t>
  </si>
  <si>
    <t>204:64155</t>
  </si>
  <si>
    <t>204:233304</t>
  </si>
  <si>
    <t>204:232989</t>
  </si>
  <si>
    <t>204:426</t>
  </si>
  <si>
    <t>204:64141</t>
  </si>
  <si>
    <t>204:64161</t>
  </si>
  <si>
    <t>204:424</t>
  </si>
  <si>
    <t>204:233261</t>
  </si>
  <si>
    <t>204:232938</t>
  </si>
  <si>
    <t>204:64182</t>
  </si>
  <si>
    <t>204:64186</t>
  </si>
  <si>
    <t>204:64174</t>
  </si>
  <si>
    <t>204:64159</t>
  </si>
  <si>
    <t>204:163</t>
  </si>
  <si>
    <t>204:233342</t>
  </si>
  <si>
    <t>204:233028</t>
  </si>
  <si>
    <t>204:438</t>
  </si>
  <si>
    <t>204:233298</t>
  </si>
  <si>
    <t>204:1158</t>
  </si>
  <si>
    <t>204:233287</t>
  </si>
  <si>
    <t>204:233034</t>
  </si>
  <si>
    <t>204:233025</t>
  </si>
  <si>
    <t>204:27315</t>
  </si>
  <si>
    <t>204:233243</t>
  </si>
  <si>
    <t>204:232923</t>
  </si>
  <si>
    <t>204:129</t>
  </si>
  <si>
    <t>204:433</t>
  </si>
  <si>
    <t>204:233049</t>
  </si>
  <si>
    <t>204:233402</t>
  </si>
  <si>
    <t>204:233100</t>
  </si>
  <si>
    <t>204:232992</t>
  </si>
  <si>
    <t>204:96</t>
  </si>
  <si>
    <t>204:233013</t>
  </si>
  <si>
    <t>204:233366</t>
  </si>
  <si>
    <t>204:233004</t>
  </si>
  <si>
    <t>204:233372</t>
  </si>
  <si>
    <t>204:233065</t>
  </si>
  <si>
    <t>204:493</t>
  </si>
  <si>
    <t>204:411</t>
  </si>
  <si>
    <t>204:201</t>
  </si>
  <si>
    <t>204:233320</t>
  </si>
  <si>
    <t>204:233003</t>
  </si>
  <si>
    <t>204:477</t>
  </si>
  <si>
    <t>204:233364</t>
  </si>
  <si>
    <t>204:402</t>
  </si>
  <si>
    <t>204:233044</t>
  </si>
  <si>
    <t>204:233070</t>
  </si>
  <si>
    <t>204:151</t>
  </si>
  <si>
    <t>204:233017</t>
  </si>
  <si>
    <t>204:93</t>
  </si>
  <si>
    <t>204:232964</t>
  </si>
  <si>
    <t>300:25120</t>
  </si>
  <si>
    <t>300:23214</t>
  </si>
  <si>
    <t>204:508</t>
  </si>
  <si>
    <t>300:23005</t>
  </si>
  <si>
    <t>300:22811</t>
  </si>
  <si>
    <t>300:23459</t>
  </si>
  <si>
    <t>204:341</t>
  </si>
  <si>
    <t>300:25116</t>
  </si>
  <si>
    <t>204:459</t>
  </si>
  <si>
    <t>300:23306</t>
  </si>
  <si>
    <t>300:25440</t>
  </si>
  <si>
    <t>204:132</t>
  </si>
  <si>
    <t>204:392</t>
  </si>
  <si>
    <t>300:23328</t>
  </si>
  <si>
    <t>300:22176</t>
  </si>
  <si>
    <t>204:1900</t>
  </si>
  <si>
    <t>300:23432</t>
  </si>
  <si>
    <t>204:1149</t>
  </si>
  <si>
    <t>204:418</t>
  </si>
  <si>
    <t>204:3788</t>
  </si>
  <si>
    <t>204:3477</t>
  </si>
  <si>
    <t>204:1162</t>
  </si>
  <si>
    <t>300:24231</t>
  </si>
  <si>
    <t>204:3296</t>
  </si>
  <si>
    <t>204:1488</t>
  </si>
  <si>
    <t>204:3605</t>
  </si>
  <si>
    <t>204:3617</t>
  </si>
  <si>
    <t>204:1175</t>
  </si>
  <si>
    <t>204:747</t>
  </si>
  <si>
    <t>204:1055</t>
  </si>
  <si>
    <t>300:58939</t>
  </si>
  <si>
    <t>204:741</t>
  </si>
  <si>
    <t>300:58626</t>
  </si>
  <si>
    <t>204:736</t>
  </si>
  <si>
    <t>204:1035</t>
  </si>
  <si>
    <t>204:743</t>
  </si>
  <si>
    <t>204:1028</t>
  </si>
  <si>
    <t>300:58619</t>
  </si>
  <si>
    <t>204:1027</t>
  </si>
  <si>
    <t>204:782</t>
  </si>
  <si>
    <t>300:58963</t>
  </si>
  <si>
    <t>204:752</t>
  </si>
  <si>
    <t>204:1009</t>
  </si>
  <si>
    <t>300:58645</t>
  </si>
  <si>
    <t>204:713</t>
  </si>
  <si>
    <t>204:1007</t>
  </si>
  <si>
    <t>300:58656</t>
  </si>
  <si>
    <t>204:1018</t>
  </si>
  <si>
    <t>204:729</t>
  </si>
  <si>
    <t>204:1013</t>
  </si>
  <si>
    <t>300:58958</t>
  </si>
  <si>
    <t>300:58641</t>
  </si>
  <si>
    <t>204:719</t>
  </si>
  <si>
    <t>300:58941</t>
  </si>
  <si>
    <t>204:761</t>
  </si>
  <si>
    <t>204:1025</t>
  </si>
  <si>
    <t>300:58630</t>
  </si>
  <si>
    <t>204:738</t>
  </si>
  <si>
    <t>204:724</t>
  </si>
  <si>
    <t>204:946</t>
  </si>
  <si>
    <t>300:58912</t>
  </si>
  <si>
    <t>204:650</t>
  </si>
  <si>
    <t>300:58946</t>
  </si>
  <si>
    <t>204:720</t>
  </si>
  <si>
    <t>204:972</t>
  </si>
  <si>
    <t>204:692</t>
  </si>
  <si>
    <t>204:722</t>
  </si>
  <si>
    <t>204:981</t>
  </si>
  <si>
    <t>300:58929</t>
  </si>
  <si>
    <t>300:58623</t>
  </si>
  <si>
    <t>204:717</t>
  </si>
  <si>
    <t>204:1014</t>
  </si>
  <si>
    <t>300:58935</t>
  </si>
  <si>
    <t>204:726</t>
  </si>
  <si>
    <t>204:696</t>
  </si>
  <si>
    <t>204:985</t>
  </si>
  <si>
    <t>300:58918</t>
  </si>
  <si>
    <t>300:30322</t>
  </si>
  <si>
    <t>300:12046</t>
  </si>
  <si>
    <t>204:733</t>
  </si>
  <si>
    <t>204:1063</t>
  </si>
  <si>
    <t>300:24269</t>
  </si>
  <si>
    <t>300:23457</t>
  </si>
  <si>
    <t>204:678</t>
  </si>
  <si>
    <t>300:28793</t>
  </si>
  <si>
    <t>300:21528</t>
  </si>
  <si>
    <t>300:21835</t>
  </si>
  <si>
    <t>start /low /b %USERPROFILE%\Documents\GitHub\eaglep3\Utilities\DownloadLogsFromS3.py --loco 4054 --day 2017-06-13</t>
  </si>
  <si>
    <t>start /low /b %USERPROFILE%\Documents\GitHub\eaglep3\Utilities\DownloadLogsFromS3.py --loco 4053 --day 2017-06-13</t>
  </si>
  <si>
    <t>start /low /b %USERPROFILE%\Documents\GitHub\eaglep3\Utilities\DownloadLogsFromS3.py --loco 4031 --day 2017-06-13</t>
  </si>
  <si>
    <t>start /low /b %USERPROFILE%\Documents\GitHub\eaglep3\Utilities\DownloadLogsFromS3.py --loco 4019 --day 2017-06-13</t>
  </si>
  <si>
    <t>start /low /b %USERPROFILE%\Documents\GitHub\eaglep3\Utilities\DownloadLogsFromS3.py --loco 4001 --day 2017-06-13</t>
  </si>
  <si>
    <t>start /low /b %USERPROFILE%\Documents\GitHub\eaglep3\Utilities\DownloadLogsFromS3.py --loco 4061 --day 2017-06-13</t>
  </si>
  <si>
    <t>start /low /b %USERPROFILE%\Documents\GitHub\eaglep3\Utilities\DownloadLogsFromS3.py --loco 4005 --day 2017-06-13</t>
  </si>
  <si>
    <t>start /low /b %USERPROFILE%\Documents\GitHub\eaglep3\Utilities\DownloadLogsFromS3.py --loco 4041 --day 2017-06-14</t>
  </si>
  <si>
    <t>start /low /b %USERPROFILE%\Documents\GitHub\eaglep3\Utilities\DownloadLogsFromS3.py --loco 4020 --day 2017-06-13</t>
  </si>
  <si>
    <t>start /low /b %USERPROFILE%\Documents\GitHub\eaglep3\Utilities\DownloadLogsFromS3.py --loco 4032 --day 2017-06-13</t>
  </si>
  <si>
    <t>start /low /b %USERPROFILE%\Documents\GitHub\eaglep3\Utilities\DownloadLogsFromS3.py --loco 4002 --day 2017-06-13</t>
  </si>
  <si>
    <t>start /low /b %USERPROFILE%\Documents\GitHub\eaglep3\Utilities\DownloadLogsFromS3.py --loco 4062 --day 2017-06-13</t>
  </si>
  <si>
    <t>start /low /b %USERPROFILE%\Documents\GitHub\eaglep3\Utilities\DownloadLogsFromS3.py --loco 4006 --day 2017-06-13</t>
  </si>
  <si>
    <t>start /low /b %USERPROFILE%\Documents\GitHub\eaglep3\Utilities\DownloadLogsFromS3.py --loco 4031 --day 2017-06-14</t>
  </si>
  <si>
    <t>start /low /b %USERPROFILE%\Documents\GitHub\eaglep3\Utilities\DownloadLogsFromS3.py --loco 4042 --day 2017-06-13</t>
  </si>
  <si>
    <t>start /low /b %USERPROFILE%\Documents\GitHub\eaglep3\Utilities\DownloadLogsFromS3.py --loco 4041 --day 2017-06-13</t>
  </si>
  <si>
    <t>start /low /b %USERPROFILE%\Documents\GitHub\eaglep3\Utilities\DownloadLogsFromS3.py --loco 4006 --day 2017-06-14</t>
  </si>
  <si>
    <t>start /low /b %USERPROFILE%\Documents\GitHub\eaglep3\Utilities\DownloadLogsFromS3.py --loco 4005 --day 2017-06-14</t>
  </si>
  <si>
    <t>start /low /b %USERPROFILE%\Documents\GitHub\eaglep3\Utilities\DownloadLogsFromS3.py --loco 4045 --day 2017-06-14</t>
  </si>
  <si>
    <t>start /low /b %USERPROFILE%\Documents\GitHub\eaglep3\Utilities\DownloadLogsFromS3.py --loco 4023 --day 2017-06-13</t>
  </si>
  <si>
    <t>start /low /b %USERPROFILE%\Documents\GitHub\eaglep3\Utilities\DownloadLogsFromS3.py --loco 4024 --day 2017-06-14</t>
  </si>
  <si>
    <t>start /low /b %USERPROFILE%\Documents\GitHub\eaglep3\Utilities\DownloadLogsFromS3.py --loco 4024 --day 2017-06-13</t>
  </si>
  <si>
    <t>Cut out due to multiple early arrival enforcements (system was assuming worst-case arrival time)</t>
  </si>
  <si>
    <t>MCREYNOLDS KYLE</t>
  </si>
  <si>
    <t>Form C</t>
  </si>
  <si>
    <t>Lightning arrestor damage at ML0816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</si>
</sst>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42899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42899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COUNTIFS($N$13:$N$9320,"&gt;0",$AG$13:$AG$9320,I1)</f>
        <v>116</v>
      </c>
      <c r="K5" s="39"/>
      <c r="L5" s="39"/>
      <c r="M5" s="40">
        <f>AVERAGEIFS($N$13:$N$9320,$AG$13:$AG$9320,I1)</f>
        <v>38.076580460273647</v>
      </c>
      <c r="N5" s="38">
        <f t="array" ref="N5">MIN(IF($AG$13:$AG$9320=I1,IF(ISNUMBER($N$13:$N$9320),IF($N$13:$N$9320&gt;0,$N$13:$N$9320))))</f>
        <v>34.61666667019017</v>
      </c>
      <c r="O5" s="3">
        <f t="array" ref="O5">MAX(IF($AG$13:$AG$9320=I1,IF(ISNUMBER($N$13:$N$9320),IF($N$13:$N$9320&gt;0,$N$13:$N$9320))))</f>
        <v>46.416666673030704</v>
      </c>
      <c r="P5" s="2"/>
      <c r="R5" s="169" t="s">
        <v>17</v>
      </c>
      <c r="S5" s="193">
        <f>COUNTIFS($N$13:$N$9320,"&gt;0",$AG$13:$AG$9320,R1)</f>
        <v>47</v>
      </c>
      <c r="T5" s="194"/>
      <c r="U5" s="194"/>
      <c r="V5" s="190">
        <f>AVERAGEIFS($N$13:$N$9320,$AG$13:$AG$9320,R1)</f>
        <v>14.916312056420212</v>
      </c>
      <c r="W5" s="191">
        <f t="array" ref="W5">MIN(IF($AG$13:$AG$9320=R1,IF(ISNUMBER($N$13:$N$9320),IF($N$13:$N$9320&gt;0,$N$13:$N$9320))))</f>
        <v>12.949999999254942</v>
      </c>
      <c r="X5" s="192">
        <f t="array" ref="X5">MAX(IF($AG$13:$AG$9320=R1,IF(ISNUMBER($N$13:$N$9320),IF($N$13:$N$9320&gt;0,$N$13:$N$9320))))</f>
        <v>18.416666665580124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70" t="s">
        <v>43</v>
      </c>
      <c r="S6" s="193">
        <f>COUNT($O$13:$O$124)</f>
        <v>0</v>
      </c>
      <c r="T6" s="194"/>
      <c r="U6" s="194"/>
      <c r="V6" s="190">
        <f>IFERROR(AVERAGE($O$13:$O$124),0)</f>
        <v>0</v>
      </c>
      <c r="W6" s="191">
        <f>MIN($O$13:$O$124)</f>
        <v>0</v>
      </c>
      <c r="X6" s="192">
        <f>MAX($O$13:$O$124)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COUNTIFS($P$13:$P$9320,"&gt;0",$AG$13:$AG$9320,I1)</f>
        <v>28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COUNTIFS($P$13:$P$9320,"&gt;0",$AG$13:$AG$9320,R1)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116</v>
      </c>
      <c r="K8" s="39"/>
      <c r="L8" s="39"/>
      <c r="M8" s="40">
        <f>M5</f>
        <v>38.076580460273647</v>
      </c>
      <c r="N8" s="38">
        <f>N5</f>
        <v>34.61666667019017</v>
      </c>
      <c r="O8" s="3">
        <f>O5</f>
        <v>46.416666673030704</v>
      </c>
      <c r="P8" s="2"/>
      <c r="R8" s="169" t="s">
        <v>16</v>
      </c>
      <c r="S8" s="193">
        <f>S5</f>
        <v>47</v>
      </c>
      <c r="T8" s="194"/>
      <c r="U8" s="194"/>
      <c r="V8" s="190">
        <f>V5</f>
        <v>14.916312056420212</v>
      </c>
      <c r="W8" s="191">
        <f>W5</f>
        <v>12.949999999254942</v>
      </c>
      <c r="X8" s="192">
        <f>X5</f>
        <v>18.416666665580124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0.80555555555555558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- 2017-06-13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AVERAGE(S13:S96)</f>
        <v>0.97354497354497316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625</v>
      </c>
      <c r="B13" s="7">
        <v>4032</v>
      </c>
      <c r="C13" s="21" t="s">
        <v>204</v>
      </c>
      <c r="D13" s="21" t="s">
        <v>823</v>
      </c>
      <c r="E13" s="13">
        <v>42899.128495370373</v>
      </c>
      <c r="F13" s="13">
        <v>42899.136030092595</v>
      </c>
      <c r="G13" s="7">
        <v>1</v>
      </c>
      <c r="H13" s="21" t="s">
        <v>553</v>
      </c>
      <c r="I13" s="13">
        <v>42899.161874999998</v>
      </c>
      <c r="J13" s="7">
        <v>0</v>
      </c>
      <c r="K13" s="92" t="str">
        <f t="shared" ref="K13:K76" si="0">IF(ISEVEN(B13),(B13-1)&amp;"/"&amp;B13,B13&amp;"/"&amp;(B13+1))</f>
        <v>4031/4032</v>
      </c>
      <c r="L13" s="21" t="str">
        <f>VLOOKUP(A13,'Trips&amp;Operators'!$C$1:$G$99999,5,FALSE)</f>
        <v>STARKS ANGELINA</v>
      </c>
      <c r="M13" s="6">
        <f t="shared" ref="M13:M76" si="1">I13-F13</f>
        <v>2.5844907402643003E-2</v>
      </c>
      <c r="N13" s="7">
        <f t="shared" ref="N13:N20" si="2">24*60*SUM($M13:$M13)</f>
        <v>37.216666659805924</v>
      </c>
      <c r="O13" s="7"/>
      <c r="P13" s="7"/>
      <c r="Q13" s="22"/>
      <c r="R13" s="173"/>
      <c r="S13" s="176">
        <f t="shared" ref="S13:S21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-13T02:05:02-0600',mode:absolute,to:'2017-06-13T04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204" t="str">
        <f t="shared" ref="W13:W76" si="6">IF(AA13&lt;IF(AG13="EC",23,5.65),"Y","N")</f>
        <v>N</v>
      </c>
      <c r="X13" s="204" t="e">
        <f t="shared" ref="X13:X56" si="7">VALUE(LEFT(AD13,4))-VALUE(LEFT(AD12,4))</f>
        <v>#VALUE!</v>
      </c>
      <c r="Y13" s="204">
        <f t="shared" ref="Y13:Y44" si="8">RIGHT(D13,LEN(D13)-4)/10000</f>
        <v>7.4999999999999997E-2</v>
      </c>
      <c r="Z13" s="204">
        <f t="shared" ref="Z13:Z44" si="9">RIGHT(H13,LEN(H13)-4)/10000</f>
        <v>23.3306</v>
      </c>
      <c r="AA13" s="204">
        <f t="shared" ref="AA13:AA76" si="10">ABS(Z13-Y13)</f>
        <v>23.255600000000001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0101-13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/stypes="app*4032*20170613*"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4032 --swversion DE.1.0.9.0 --startMP 204:750 --initTime 2017-06-13T03:05:02 --startdatetime 2017-06-13T03:15:53 --delay 1 --endMP 204:233306 --enddatetime 2017-06-13T03:53:06 --enforcementcount 0 &gt;&gt;C:\Users\stu\Documents\GitHub\eaglep3-reporting\EC\2017-06-13-refined-times.txt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{"issue":{"subject":"","project_id":79,"tracker_id":40,"status_id":1,"priority_id":2,"assigned_to_id":23,"start_date":"2017-06-13","description":"","custom_fields":[{"id":1,"name":"Subdivision","value":"EC"},{"id":4,"name":"Milepost","value":"23.3306"},{"id":17,"name":"Train ID","value":"101-13"},{"id":16,"name":"Locomotive ID","value":"4032"},{"id":130,"name":"Impact","value":""},{"id":150,"name":"Time of Event (Mountain Time)","value":"03:53:06"},{"id":151,"name":"Denver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4032 --day 2017-06-13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09:53:06"},{"id":29,"name":"Sharepoint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630</v>
      </c>
      <c r="B14" s="7">
        <v>4031</v>
      </c>
      <c r="C14" s="21" t="s">
        <v>204</v>
      </c>
      <c r="D14" s="21" t="s">
        <v>495</v>
      </c>
      <c r="E14" s="13">
        <v>42899.163553240738</v>
      </c>
      <c r="F14" s="13">
        <v>42899.175370370373</v>
      </c>
      <c r="G14" s="7">
        <v>1</v>
      </c>
      <c r="H14" s="21" t="s">
        <v>560</v>
      </c>
      <c r="I14" s="13">
        <v>42899.202523148146</v>
      </c>
      <c r="J14" s="7">
        <v>0</v>
      </c>
      <c r="K14" s="92" t="str">
        <f t="shared" si="0"/>
        <v>4031/4032</v>
      </c>
      <c r="L14" s="21" t="str">
        <f>VLOOKUP(A14,'Trips&amp;Operators'!$C$1:$G$99999,5,FALSE)</f>
        <v>STARKS ANGELINA</v>
      </c>
      <c r="M14" s="6">
        <f t="shared" si="1"/>
        <v>2.7152777773153502E-2</v>
      </c>
      <c r="N14" s="7">
        <f t="shared" si="2"/>
        <v>39.099999993341044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-06-13T02:55:31-0600',mode:absolute,to:'2017-06-13T05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23.299299999999999</v>
      </c>
      <c r="Z14" s="204">
        <f t="shared" si="9"/>
        <v>1.38E-2</v>
      </c>
      <c r="AA14" s="204">
        <f t="shared" si="10"/>
        <v>23.285499999999999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0102-13</v>
      </c>
      <c r="AE14" s="80" t="str">
        <f t="shared" si="1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14" s="77" t="str">
        <f t="shared" si="13"/>
        <v>"C:\Program Files (x86)\AstroGrep\AstroGrep.exe" /e /r /s /spath="%USERPROFILE%\AppData\Local\Temp\OnboardLogs" /stypes="app*4031*20170613*"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4031 --swversion DE.1.0.9.0 --startMP 204:232993 --initTime 2017-06-13T03:55:31 --startdatetime 2017-06-13T04:12:32 --delay 1 --endMP 204:138 --enddatetime 2017-06-13T04:51:38 --enforcementcount 0 &gt;&gt;C:\Users\stu\Documents\GitHub\eaglep3-reporting\EC\2017-06-13-refined-times.txt</v>
      </c>
      <c r="AI14" s="99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{"issue":{"subject":"","project_id":79,"tracker_id":40,"status_id":1,"priority_id":2,"assigned_to_id":23,"start_date":"2017-06-13","description":"","custom_fields":[{"id":1,"name":"Subdivision","value":"EC"},{"id":4,"name":"Milepost","value":"0.0138"},{"id":17,"name":"Train ID","value":"102-13"},{"id":16,"name":"Locomotive ID","value":"4031"},{"id":130,"name":"Impact","value":""},{"id":150,"name":"Time of Event (Mountain Time)","value":"04:51:38"},{"id":151,"name":"Denver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5" si="21">"start /low /b "&amp;dls3logs&amp;" --loco "&amp;B14&amp;" --day "&amp;TEXT(F14,"YYYY-MM-DD")</f>
        <v>start /low /b %USERPROFILE%\Documents\GitHub\eaglep3\Utilities\DownloadLogsFromS3.py --loco 4031 --day 2017-06-13</v>
      </c>
      <c r="AN14" s="154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10:51:38"},{"id":29,"name":"Sharepoint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628</v>
      </c>
      <c r="B15" s="7">
        <v>4002</v>
      </c>
      <c r="C15" s="21" t="s">
        <v>204</v>
      </c>
      <c r="D15" s="21" t="s">
        <v>444</v>
      </c>
      <c r="E15" s="13">
        <v>42899.148576388892</v>
      </c>
      <c r="F15" s="13">
        <v>42899.156863425924</v>
      </c>
      <c r="G15" s="7">
        <v>1</v>
      </c>
      <c r="H15" s="21" t="s">
        <v>450</v>
      </c>
      <c r="I15" s="13">
        <v>42899.183425925927</v>
      </c>
      <c r="J15" s="7">
        <v>0</v>
      </c>
      <c r="K15" s="92" t="str">
        <f t="shared" si="0"/>
        <v>4001/4002</v>
      </c>
      <c r="L15" s="21" t="str">
        <f>VLOOKUP(A15,'Trips&amp;Operators'!$C$1:$G$99999,5,FALSE)</f>
        <v>BONDS REYNALDO</v>
      </c>
      <c r="M15" s="6">
        <f t="shared" si="1"/>
        <v>2.6562500002910383E-2</v>
      </c>
      <c r="N15" s="7">
        <f t="shared" si="2"/>
        <v>38.250000004190952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-06-13T02:33:57-0600',mode:absolute,to:'2017-06-13T05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4.6699999999999998E-2</v>
      </c>
      <c r="Z15" s="204">
        <f t="shared" si="9"/>
        <v>23.328900000000001</v>
      </c>
      <c r="AA15" s="204">
        <f t="shared" si="10"/>
        <v>23.2822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0103-13</v>
      </c>
      <c r="AE15" s="80" t="str">
        <f t="shared" si="12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15" s="77" t="str">
        <f t="shared" si="13"/>
        <v>"C:\Program Files (x86)\AstroGrep\AstroGrep.exe" /e /r /s /spath="%USERPROFILE%\AppData\Local\Temp\OnboardLogs" /stypes="app*4002*20170613*"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103-13 --locoid 4002 --swversion DE.1.0.9.0 --startMP 204:467 --initTime 2017-06-13T03:33:57 --startdatetime 2017-06-13T03:45:53 --delay 1 --endMP 204:233289 --enddatetime 2017-06-13T04:24:08 --enforcementcount 0 &gt;&gt;C:\Users\stu\Documents\GitHub\eaglep3-reporting\EC\2017-06-13-refined-times.txt</v>
      </c>
      <c r="AI15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{"issue":{"subject":"","project_id":79,"tracker_id":40,"status_id":1,"priority_id":2,"assigned_to_id":23,"start_date":"2017-06-13","description":"","custom_fields":[{"id":1,"name":"Subdivision","value":"EC"},{"id":4,"name":"Milepost","value":"23.3289"},{"id":17,"name":"Train ID","value":"103-13"},{"id":16,"name":"Locomotive ID","value":"4002"},{"id":130,"name":"Impact","value":""},{"id":150,"name":"Time of Event (Mountain Time)","value":"04:24:08"},{"id":151,"name":"Denver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4002 --day 2017-06-13</v>
      </c>
      <c r="AN15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10:24:08"},{"id":29,"name":"Sharepoint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636</v>
      </c>
      <c r="B16" s="7">
        <v>4001</v>
      </c>
      <c r="C16" s="21" t="s">
        <v>204</v>
      </c>
      <c r="D16" s="21" t="s">
        <v>423</v>
      </c>
      <c r="E16" s="13">
        <v>42899.193229166667</v>
      </c>
      <c r="F16" s="13">
        <v>42899.196006944447</v>
      </c>
      <c r="G16" s="7">
        <v>1</v>
      </c>
      <c r="H16" s="21" t="s">
        <v>195</v>
      </c>
      <c r="I16" s="13">
        <v>42899.223599537036</v>
      </c>
      <c r="J16" s="7">
        <v>0</v>
      </c>
      <c r="K16" s="92" t="str">
        <f t="shared" si="0"/>
        <v>4001/4002</v>
      </c>
      <c r="L16" s="21" t="str">
        <f>VLOOKUP(A16,'Trips&amp;Operators'!$C$1:$G$99999,5,FALSE)</f>
        <v>BONDS REYNALDO</v>
      </c>
      <c r="M16" s="6">
        <f t="shared" si="1"/>
        <v>2.7592592588916887E-2</v>
      </c>
      <c r="N16" s="7">
        <f t="shared" si="2"/>
        <v>39.733333328040317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-06-13T03:38:15-0600',mode:absolute,to:'2017-06-13T06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23.297699999999999</v>
      </c>
      <c r="Z16" s="204">
        <f t="shared" si="9"/>
        <v>1.52E-2</v>
      </c>
      <c r="AA16" s="204">
        <f t="shared" si="10"/>
        <v>23.282499999999999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0104-13</v>
      </c>
      <c r="AE16" s="80" t="str">
        <f t="shared" si="1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16" s="77" t="str">
        <f t="shared" si="13"/>
        <v>"C:\Program Files (x86)\AstroGrep\AstroGrep.exe" /e /r /s /spath="%USERPROFILE%\AppData\Local\Temp\OnboardLogs" /stypes="app*4001*20170613*"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104-13 --locoid 4001 --swversion DE.1.0.9.0 --startMP 204:232977 --initTime 2017-06-13T04:38:15 --startdatetime 2017-06-13T04:42:15 --delay 1 --endMP 204:152 --enddatetime 2017-06-13T05:21:59 --enforcementcount 0 &gt;&gt;C:\Users\stu\Documents\GitHub\eaglep3-reporting\EC\2017-06-13-refined-times.txt</v>
      </c>
      <c r="AI16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{"issue":{"subject":"","project_id":79,"tracker_id":40,"status_id":1,"priority_id":2,"assigned_to_id":23,"start_date":"2017-06-13","description":"","custom_fields":[{"id":1,"name":"Subdivision","value":"EC"},{"id":4,"name":"Milepost","value":"0.0152"},{"id":17,"name":"Train ID","value":"104-13"},{"id":16,"name":"Locomotive ID","value":"4001"},{"id":130,"name":"Impact","value":""},{"id":150,"name":"Time of Event (Mountain Time)","value":"05:21:59"},{"id":151,"name":"Denver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4001 --day 2017-06-13</v>
      </c>
      <c r="AN16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632</v>
      </c>
      <c r="B17" s="7">
        <v>4006</v>
      </c>
      <c r="C17" s="21" t="s">
        <v>204</v>
      </c>
      <c r="D17" s="21" t="s">
        <v>357</v>
      </c>
      <c r="E17" s="13">
        <v>42899.170972222222</v>
      </c>
      <c r="F17" s="13">
        <v>42899.177291666667</v>
      </c>
      <c r="G17" s="7">
        <v>0</v>
      </c>
      <c r="H17" s="21" t="s">
        <v>554</v>
      </c>
      <c r="I17" s="13">
        <v>42899.2028125</v>
      </c>
      <c r="J17" s="7">
        <v>0</v>
      </c>
      <c r="K17" s="92" t="str">
        <f t="shared" si="0"/>
        <v>4005/4006</v>
      </c>
      <c r="L17" s="21" t="str">
        <f>VLOOKUP(A17,'Trips&amp;Operators'!$C$1:$G$99999,5,FALSE)</f>
        <v>MAELZER KURT</v>
      </c>
      <c r="M17" s="6">
        <f t="shared" si="1"/>
        <v>2.5520833332848269E-2</v>
      </c>
      <c r="N17" s="7">
        <f t="shared" si="2"/>
        <v>36.749999999301508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-06-13T03:06:12-0600',mode:absolute,to:'2017-06-13T05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4.53E-2</v>
      </c>
      <c r="Z17" s="204">
        <f t="shared" si="9"/>
        <v>23.3308</v>
      </c>
      <c r="AA17" s="204">
        <f t="shared" si="10"/>
        <v>23.285499999999999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0105-13</v>
      </c>
      <c r="AE17" s="80" t="str">
        <f t="shared" si="12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17" s="77" t="str">
        <f t="shared" si="13"/>
        <v>"C:\Program Files (x86)\AstroGrep\AstroGrep.exe" /e /r /s /spath="%USERPROFILE%\AppData\Local\Temp\OnboardLogs" /stypes="app*4006*20170613*"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105-13 --locoid 4006 --swversion DE.1.0.9.0 --startMP 204:453 --initTime 2017-06-13T04:06:12 --startdatetime 2017-06-13T04:15:18 --delay 0 --endMP 204:233308 --enddatetime 2017-06-13T04:52:03 --enforcementcount 0 &gt;&gt;C:\Users\stu\Documents\GitHub\eaglep3-reporting\EC\2017-06-13-refined-times.txt</v>
      </c>
      <c r="AI17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{"issue":{"subject":"","project_id":79,"tracker_id":40,"status_id":1,"priority_id":2,"assigned_to_id":23,"start_date":"2017-06-13","description":"","custom_fields":[{"id":1,"name":"Subdivision","value":"EC"},{"id":4,"name":"Milepost","value":"23.3308"},{"id":17,"name":"Train ID","value":"105-13"},{"id":16,"name":"Locomotive ID","value":"4006"},{"id":130,"name":"Impact","value":""},{"id":150,"name":"Time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4006 --day 2017-06-13</v>
      </c>
      <c r="AN17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10:52:03"},{"id":29,"name":"Sharepoint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643</v>
      </c>
      <c r="B18" s="7">
        <v>4005</v>
      </c>
      <c r="C18" s="21" t="s">
        <v>204</v>
      </c>
      <c r="D18" s="21" t="s">
        <v>468</v>
      </c>
      <c r="E18" s="13">
        <v>42899.212592592594</v>
      </c>
      <c r="F18" s="13">
        <v>42899.217094907406</v>
      </c>
      <c r="G18" s="7">
        <v>1</v>
      </c>
      <c r="H18" s="21" t="s">
        <v>353</v>
      </c>
      <c r="I18" s="13">
        <v>42899.24355324074</v>
      </c>
      <c r="J18" s="7">
        <v>0</v>
      </c>
      <c r="K18" s="92" t="str">
        <f t="shared" si="0"/>
        <v>4005/4006</v>
      </c>
      <c r="L18" s="21" t="str">
        <f>VLOOKUP(A18,'Trips&amp;Operators'!$C$1:$G$99999,5,FALSE)</f>
        <v>MAELZER KURT</v>
      </c>
      <c r="M18" s="6">
        <f t="shared" si="1"/>
        <v>2.6458333333721384E-2</v>
      </c>
      <c r="N18" s="7">
        <f t="shared" si="2"/>
        <v>38.100000000558794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-06-13T04:06:08-0600',mode:absolute,to:'2017-06-13T06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23.299399999999999</v>
      </c>
      <c r="Z18" s="204">
        <f t="shared" si="9"/>
        <v>1.43E-2</v>
      </c>
      <c r="AA18" s="204">
        <f t="shared" si="10"/>
        <v>23.2851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0106-13</v>
      </c>
      <c r="AE18" s="80" t="str">
        <f t="shared" si="1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18" s="77" t="str">
        <f t="shared" si="13"/>
        <v>"C:\Program Files (x86)\AstroGrep\AstroGrep.exe" /e /r /s /spath="%USERPROFILE%\AppData\Local\Temp\OnboardLogs" /stypes="app*4005*20170613*"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106-13 --locoid 4005 --swversion DE.1.0.9.0 --startMP 204:232994 --initTime 2017-06-13T05:06:08 --startdatetime 2017-06-13T05:12:37 --delay 1 --endMP 204:143 --enddatetime 2017-06-13T05:50:43 --enforcementcount 0 &gt;&gt;C:\Users\stu\Documents\GitHub\eaglep3-reporting\EC\2017-06-13-refined-times.txt</v>
      </c>
      <c r="AI18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{"issue":{"subject":"","project_id":79,"tracker_id":40,"status_id":1,"priority_id":2,"assigned_to_id":23,"start_date":"2017-06-13","description":"","custom_fields":[{"id":1,"name":"Subdivision","value":"EC"},{"id":4,"name":"Milepost","value":"0.0143"},{"id":17,"name":"Train ID","value":"106-13"},{"id":16,"name":"Locomotive ID","value":"4005"},{"id":130,"name":"Impact","value":""},{"id":150,"name":"Time of Event (Mountain Time)","value":"05:50:43"},{"id":151,"name":"Denver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4005 --day 2017-06-13</v>
      </c>
      <c r="AN18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634</v>
      </c>
      <c r="B19" s="7">
        <v>4046</v>
      </c>
      <c r="C19" s="21" t="s">
        <v>204</v>
      </c>
      <c r="D19" s="21" t="s">
        <v>444</v>
      </c>
      <c r="E19" s="13">
        <v>42899.182824074072</v>
      </c>
      <c r="F19" s="13">
        <v>42899.187673611108</v>
      </c>
      <c r="G19" s="7">
        <v>1</v>
      </c>
      <c r="H19" s="21" t="s">
        <v>521</v>
      </c>
      <c r="I19" s="13">
        <v>42899.211712962962</v>
      </c>
      <c r="J19" s="7">
        <v>0</v>
      </c>
      <c r="K19" s="92" t="str">
        <f t="shared" si="0"/>
        <v>4045/4046</v>
      </c>
      <c r="L19" s="21" t="str">
        <f>VLOOKUP(A19,'Trips&amp;Operators'!$C$1:$G$99999,5,FALSE)</f>
        <v>LALONDE GREGORY</v>
      </c>
      <c r="M19" s="6">
        <f t="shared" si="1"/>
        <v>2.4039351854298729E-2</v>
      </c>
      <c r="N19" s="7">
        <f t="shared" si="2"/>
        <v>34.61666667019017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-06-13T03:23:16-0600',mode:absolute,to:'2017-06-13T06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4.6699999999999998E-2</v>
      </c>
      <c r="Z19" s="204">
        <f t="shared" si="9"/>
        <v>23.3337</v>
      </c>
      <c r="AA19" s="204">
        <f t="shared" si="10"/>
        <v>23.286999999999999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0107-13</v>
      </c>
      <c r="AE19" s="80" t="str">
        <f t="shared" si="12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19" s="77" t="str">
        <f t="shared" si="13"/>
        <v>"C:\Program Files (x86)\AstroGrep\AstroGrep.exe" /e /r /s /spath="%USERPROFILE%\AppData\Local\Temp\OnboardLogs" /stypes="app*4046*20170613*"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107-13 --locoid 4046 --swversion DE.1.0.9.0 --startMP 204:467 --initTime 2017-06-13T04:23:16 --startdatetime 2017-06-13T04:30:15 --delay 1 --endMP 204:233337 --enddatetime 2017-06-13T05:04:52 --enforcementcount 0 &gt;&gt;C:\Users\stu\Documents\GitHub\eaglep3-reporting\EC\2017-06-13-refined-times.txt</v>
      </c>
      <c r="AI19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{"issue":{"subject":"","project_id":79,"tracker_id":40,"status_id":1,"priority_id":2,"assigned_to_id":23,"start_date":"2017-06-13","description":"","custom_fields":[{"id":1,"name":"Subdivision","value":"EC"},{"id":4,"name":"Milepost","value":"23.3337"},{"id":17,"name":"Train ID","value":"107-13"},{"id":16,"name":"Locomotive ID","value":"4046"},{"id":130,"name":"Impact","value":""},{"id":150,"name":"Time of Event (Mountain Time)","value":"05:04:52"},{"id":151,"name":"Denver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4046 --day 2017-06-13</v>
      </c>
      <c r="AN19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644</v>
      </c>
      <c r="B20" s="7">
        <v>4045</v>
      </c>
      <c r="C20" s="21" t="s">
        <v>204</v>
      </c>
      <c r="D20" s="21" t="s">
        <v>552</v>
      </c>
      <c r="E20" s="13">
        <v>42899.213599537034</v>
      </c>
      <c r="F20" s="13">
        <v>42899.227233796293</v>
      </c>
      <c r="G20" s="7">
        <v>1</v>
      </c>
      <c r="H20" s="21" t="s">
        <v>352</v>
      </c>
      <c r="I20" s="13">
        <v>42899.252974537034</v>
      </c>
      <c r="J20" s="7">
        <v>0</v>
      </c>
      <c r="K20" s="92" t="str">
        <f t="shared" si="0"/>
        <v>4045/4046</v>
      </c>
      <c r="L20" s="21" t="str">
        <f>VLOOKUP(A20,'Trips&amp;Operators'!$C$1:$G$99999,5,FALSE)</f>
        <v>LALONDE GREGORY</v>
      </c>
      <c r="M20" s="6">
        <f t="shared" si="1"/>
        <v>2.5740740740729962E-2</v>
      </c>
      <c r="N20" s="7">
        <f t="shared" si="2"/>
        <v>37.066666666651145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-06-13T04:07:35-0600',mode:absolute,to:'2017-06-13T07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23.302099999999999</v>
      </c>
      <c r="Z20" s="204">
        <f t="shared" si="9"/>
        <v>1.49E-2</v>
      </c>
      <c r="AA20" s="204">
        <f t="shared" si="10"/>
        <v>23.287199999999999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0108-13</v>
      </c>
      <c r="AE20" s="80" t="str">
        <f t="shared" si="1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20" s="77" t="str">
        <f t="shared" si="13"/>
        <v>"C:\Program Files (x86)\AstroGrep\AstroGrep.exe" /e /r /s /spath="%USERPROFILE%\AppData\Local\Temp\OnboardLogs" /stypes="app*4045*20170613*"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108-13 --locoid 4045 --swversion DE.1.0.9.0 --startMP 204:233021 --initTime 2017-06-13T05:07:35 --startdatetime 2017-06-13T05:27:13 --delay 1 --endMP 204:149 --enddatetime 2017-06-13T06:04:17 --enforcementcount 0 &gt;&gt;C:\Users\stu\Documents\GitHub\eaglep3-reporting\EC\2017-06-13-refined-times.txt</v>
      </c>
      <c r="AI20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{"issue":{"subject":"","project_id":79,"tracker_id":40,"status_id":1,"priority_id":2,"assigned_to_id":23,"start_date":"2017-06-13","description":"","custom_fields":[{"id":1,"name":"Subdivision","value":"EC"},{"id":4,"name":"Milepost","value":"0.0149"},{"id":17,"name":"Train ID","value":"108-13"},{"id":16,"name":"Locomotive ID","value":"4045"},{"id":130,"name":"Impact","value":""},{"id":150,"name":"Time of Event (Mountain Time)","value":"06:04:17"},{"id":151,"name":"Denver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4045 --day 2017-06-13</v>
      </c>
      <c r="AN20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635</v>
      </c>
      <c r="B21" s="7">
        <v>4054</v>
      </c>
      <c r="C21" s="21" t="s">
        <v>204</v>
      </c>
      <c r="D21" s="21" t="s">
        <v>824</v>
      </c>
      <c r="E21" s="13">
        <v>42899.193078703705</v>
      </c>
      <c r="F21" s="13">
        <v>42899.203125</v>
      </c>
      <c r="G21" s="7">
        <v>13</v>
      </c>
      <c r="H21" s="21" t="s">
        <v>825</v>
      </c>
      <c r="I21" s="13">
        <v>42899.224444444444</v>
      </c>
      <c r="J21" s="7">
        <v>0</v>
      </c>
      <c r="K21" s="92" t="str">
        <f t="shared" si="0"/>
        <v>4053/4054</v>
      </c>
      <c r="L21" s="21" t="str">
        <f>VLOOKUP(A21,'Trips&amp;Operators'!$C$1:$G$99999,5,FALSE)</f>
        <v>MACDONALD THOMAS</v>
      </c>
      <c r="M21" s="6">
        <f t="shared" si="1"/>
        <v>2.1319444444088731E-2</v>
      </c>
      <c r="N21" s="7"/>
      <c r="O21" s="7"/>
      <c r="P21" s="7">
        <f>24*60*SUM($M21:$M21)</f>
        <v>30.699999999487773</v>
      </c>
      <c r="Q21" s="22"/>
      <c r="R21" s="173" t="s">
        <v>587</v>
      </c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-06-13T03:38:02-0600',mode:absolute,to:'2017-06-13T06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204" t="str">
        <f t="shared" si="6"/>
        <v>Y</v>
      </c>
      <c r="X21" s="204">
        <f t="shared" si="7"/>
        <v>1</v>
      </c>
      <c r="Y21" s="204">
        <f t="shared" si="8"/>
        <v>1.9128000000000001</v>
      </c>
      <c r="Z21" s="204">
        <f t="shared" si="9"/>
        <v>23.3323</v>
      </c>
      <c r="AA21" s="204">
        <f t="shared" si="10"/>
        <v>21.419499999999999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0109-13</v>
      </c>
      <c r="AE21" s="80" t="str">
        <f t="shared" si="12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21" s="77" t="str">
        <f t="shared" si="13"/>
        <v>"C:\Program Files (x86)\AstroGrep\AstroGrep.exe" /e /r /s /spath="%USERPROFILE%\AppData\Local\Temp\OnboardLogs" /stypes="app*4054*20170613*"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109-13 --locoid 4054 --swversion DE.1.0.9.0 --startMP 204:19128 --initTime 2017-06-13T04:38:02 --startdatetime 2017-06-13T04:52:30 --delay 13 --endMP 204:233323 --enddatetime 2017-06-13T05:23:12 --enforcementcount 0 &gt;&gt;C:\Users\stu\Documents\GitHub\eaglep3-reporting\EC\2017-06-13-refined-times.txt</v>
      </c>
      <c r="AI21" s="99" t="str">
        <f t="shared" si="20"/>
        <v>echo {"issue":{"subject":"Onboard in-route failure","project_id":79,"tracker_id":40,"status_id":1,"priority_id":2,"assigned_to_id":23,"start_date":"2017-06-13","description":"","custom_fields":[{"id":1,"name":"Subdivision","value":"EC"},{"id":4,"name":"Milepost","value":"23.3323"},{"id":17,"name":"Train ID","value":"109-13"},{"id":16,"name":"Locomotive ID","value":"4054"},{"id":130,"name":"Impact","value":""},{"id":150,"name":"Time of Event (Mountain Time)","value":"05:23:12"},{"id":151,"name":"Denver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4054 --day 2017-06-13</v>
      </c>
      <c r="AN21" s="154" t="str">
        <f t="shared" si="22"/>
        <v>echo {"issue":{"subject":"Onboard in-route failure","project_id":30,"tracker_id":4,"status_id":1,"priority_id":1,"assigned_to_id":10,"start_date":"2017-06-13","description":"","custom_fields":[{"id":30,"name":"Category","value":"Issue"},{"id":3,"name":"Functional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635</v>
      </c>
      <c r="B22" s="7">
        <v>4054</v>
      </c>
      <c r="C22" s="21" t="s">
        <v>204</v>
      </c>
      <c r="D22" s="21" t="s">
        <v>824</v>
      </c>
      <c r="E22" s="13">
        <v>42899.201932870368</v>
      </c>
      <c r="F22" s="13">
        <v>42899.203125</v>
      </c>
      <c r="G22" s="7">
        <v>1</v>
      </c>
      <c r="H22" s="21" t="s">
        <v>825</v>
      </c>
      <c r="I22" s="13">
        <v>42899.224444444444</v>
      </c>
      <c r="J22" s="7">
        <v>0</v>
      </c>
      <c r="K22" s="92" t="str">
        <f t="shared" si="0"/>
        <v>4053/4054</v>
      </c>
      <c r="L22" s="21" t="str">
        <f>VLOOKUP(A22,'Trips&amp;Operators'!$C$1:$G$99999,5,FALSE)</f>
        <v>MACDONALD THOMAS</v>
      </c>
      <c r="M22" s="6">
        <f t="shared" si="1"/>
        <v>2.1319444444088731E-2</v>
      </c>
      <c r="N22" s="7"/>
      <c r="O22" s="7"/>
      <c r="P22" s="7"/>
      <c r="Q22" s="22"/>
      <c r="R22" s="173"/>
      <c r="S22" s="176"/>
      <c r="T22" s="202" t="str">
        <f t="shared" si="4"/>
        <v>NorthBound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-06-13T03:50:47-0600',mode:absolute,to:'2017-06-13T06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" s="204" t="str">
        <f t="shared" si="6"/>
        <v>Y</v>
      </c>
      <c r="X22" s="204">
        <f t="shared" si="7"/>
        <v>0</v>
      </c>
      <c r="Y22" s="204">
        <f t="shared" si="8"/>
        <v>1.9128000000000001</v>
      </c>
      <c r="Z22" s="204">
        <f t="shared" si="9"/>
        <v>23.3323</v>
      </c>
      <c r="AA22" s="204">
        <f t="shared" si="10"/>
        <v>21.419499999999999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0109-13</v>
      </c>
      <c r="AE22" s="80" t="str">
        <f t="shared" si="12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22" s="77" t="str">
        <f t="shared" si="13"/>
        <v>"C:\Program Files (x86)\AstroGrep\AstroGrep.exe" /e /r /s /spath="%USERPROFILE%\AppData\Local\Temp\OnboardLogs" /stypes="app*4054*20170613*" /stext=" 11:.+((SYSTEM_STATE.+slice.+state.+changed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109-13 --locoid 4054 --swversion DE.1.0.9.0 --startMP 204:19128 --initTime 2017-06-13T04:50:47 --startdatetime 2017-06-13T04:52:30 --delay 1 --endMP 204:233323 --enddatetime 2017-06-13T05:23:12 --enforcementcount 0 &gt;&gt;C:\Users\stu\Documents\GitHub\eaglep3-reporting\EC\2017-06-13-refined-times.txt</v>
      </c>
      <c r="AI22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{"issue":{"subject":"","project_id":79,"tracker_id":40,"status_id":1,"priority_id":2,"assigned_to_id":23,"start_date":"2017-06-13","description":"","custom_fields":[{"id":1,"name":"Subdivision","value":"EC"},{"id":4,"name":"Milepost","value":"23.3323"},{"id":17,"name":"Train ID","value":"109-13"},{"id":16,"name":"Locomotive ID","value":"4054"},{"id":130,"name":"Impact","value":""},{"id":150,"name":"Time of Event (Mountain Time)","value":"05:23:12"},{"id":151,"name":"Denver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4054 --day 2017-06-13</v>
      </c>
      <c r="AN22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590</v>
      </c>
      <c r="B23" s="7">
        <v>4053</v>
      </c>
      <c r="C23" s="21" t="s">
        <v>204</v>
      </c>
      <c r="D23" s="21" t="s">
        <v>498</v>
      </c>
      <c r="E23" s="13">
        <v>42899.236192129632</v>
      </c>
      <c r="F23" s="13">
        <v>42899.238194444442</v>
      </c>
      <c r="G23" s="7">
        <v>1</v>
      </c>
      <c r="H23" s="21" t="s">
        <v>826</v>
      </c>
      <c r="I23" s="13">
        <v>42899.264675925922</v>
      </c>
      <c r="J23" s="7">
        <v>0</v>
      </c>
      <c r="K23" s="92" t="str">
        <f t="shared" si="0"/>
        <v>4053/4054</v>
      </c>
      <c r="L23" s="21" t="str">
        <f>VLOOKUP(A23,'Trips&amp;Operators'!$C$1:$G$99999,5,FALSE)</f>
        <v>MACDONALD THOMAS</v>
      </c>
      <c r="M23" s="6">
        <f t="shared" si="1"/>
        <v>2.6481481480004732E-2</v>
      </c>
      <c r="N23" s="7">
        <f t="shared" ref="N23:N34" si="23">24*60*SUM($M23:$M23)</f>
        <v>38.133333331206813</v>
      </c>
      <c r="O23" s="7"/>
      <c r="P23" s="7"/>
      <c r="Q23" s="22"/>
      <c r="R23" s="173"/>
      <c r="S23" s="176">
        <f t="shared" ref="S23:S34" si="24">SUM(U23:U23)/IF(AG23="EC",12,1)</f>
        <v>1</v>
      </c>
      <c r="T23" s="202" t="str">
        <f t="shared" si="4"/>
        <v>Southbound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-06-13T04:40:07-0600',mode:absolute,to:'2017-06-13T07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23.300799999999999</v>
      </c>
      <c r="Z23" s="204">
        <f t="shared" si="9"/>
        <v>1.7999999999999999E-2</v>
      </c>
      <c r="AA23" s="204">
        <f t="shared" si="10"/>
        <v>23.282799999999998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0110-13</v>
      </c>
      <c r="AE23" s="80" t="str">
        <f t="shared" si="1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23" s="77" t="str">
        <f t="shared" si="13"/>
        <v>"C:\Program Files (x86)\AstroGrep\AstroGrep.exe" /e /r /s /spath="%USERPROFILE%\AppData\Local\Temp\OnboardLogs" /stypes="app*4053*20170613*" /stext=" 12:.+((SYSTEM_STATE.+slice.+state.+changed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110-13 --locoid 4053 --swversion DE.1.0.9.0 --startMP 204:233008 --initTime 2017-06-13T05:40:07 --startdatetime 2017-06-13T05:43:00 --delay 1 --endMP 204:180 --enddatetime 2017-06-13T06:21:08 --enforcementcount 0 &gt;&gt;C:\Users\stu\Documents\GitHub\eaglep3-reporting\EC\2017-06-13-refined-times.txt</v>
      </c>
      <c r="AI23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{"issue":{"subject":"","project_id":79,"tracker_id":40,"status_id":1,"priority_id":2,"assigned_to_id":23,"start_date":"2017-06-13","description":"","custom_fields":[{"id":1,"name":"Subdivision","value":"EC"},{"id":4,"name":"Milepost","value":"0.018"},{"id":17,"name":"Train ID","value":"110-13"},{"id":16,"name":"Locomotive ID","value":"4053"},{"id":130,"name":"Impact","value":""},{"id":150,"name":"Time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4053 --day 2017-06-13</v>
      </c>
      <c r="AN23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641</v>
      </c>
      <c r="B24" s="7">
        <v>4032</v>
      </c>
      <c r="C24" s="21" t="s">
        <v>204</v>
      </c>
      <c r="D24" s="21" t="s">
        <v>453</v>
      </c>
      <c r="E24" s="13">
        <v>42899.204201388886</v>
      </c>
      <c r="F24" s="13">
        <v>42899.20853009259</v>
      </c>
      <c r="G24" s="7">
        <v>1</v>
      </c>
      <c r="H24" s="21" t="s">
        <v>476</v>
      </c>
      <c r="I24" s="13">
        <v>42899.2344212963</v>
      </c>
      <c r="J24" s="7">
        <v>0</v>
      </c>
      <c r="K24" s="92" t="str">
        <f t="shared" si="0"/>
        <v>4031/4032</v>
      </c>
      <c r="L24" s="21" t="str">
        <f>VLOOKUP(A24,'Trips&amp;Operators'!$C$1:$G$99999,5,FALSE)</f>
        <v>STARKS ANGELINA</v>
      </c>
      <c r="M24" s="6">
        <f t="shared" si="1"/>
        <v>2.5891203709761612E-2</v>
      </c>
      <c r="N24" s="7">
        <f t="shared" si="23"/>
        <v>37.283333342056721</v>
      </c>
      <c r="O24" s="7"/>
      <c r="P24" s="7"/>
      <c r="Q24" s="22"/>
      <c r="R24" s="173"/>
      <c r="S24" s="176">
        <f t="shared" si="24"/>
        <v>1</v>
      </c>
      <c r="T24" s="202" t="str">
        <f t="shared" si="4"/>
        <v>NorthBound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-06-13T03:54:03-0600',mode:absolute,to:'2017-06-13T06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4.3700000000000003E-2</v>
      </c>
      <c r="Z24" s="204">
        <f t="shared" si="9"/>
        <v>23.3291</v>
      </c>
      <c r="AA24" s="204">
        <f t="shared" si="10"/>
        <v>23.285399999999999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0111-13</v>
      </c>
      <c r="AE24" s="80" t="str">
        <f t="shared" si="12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24" s="77" t="str">
        <f t="shared" si="13"/>
        <v>"C:\Program Files (x86)\AstroGrep\AstroGrep.exe" /e /r /s /spath="%USERPROFILE%\AppData\Local\Temp\OnboardLogs" /stypes="app*4032*20170613*" /stext=" 11:.+((SYSTEM_STATE.+slice.+state.+changed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111-13 --locoid 4032 --swversion DE.1.0.9.0 --startMP 204:437 --initTime 2017-06-13T04:54:03 --startdatetime 2017-06-13T05:00:17 --delay 1 --endMP 204:233291 --enddatetime 2017-06-13T05:37:34 --enforcementcount 0 &gt;&gt;C:\Users\stu\Documents\GitHub\eaglep3-reporting\EC\2017-06-13-refined-times.txt</v>
      </c>
      <c r="AI24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{"issue":{"subject":"","project_id":79,"tracker_id":40,"status_id":1,"priority_id":2,"assigned_to_id":23,"start_date":"2017-06-13","description":"","custom_fields":[{"id":1,"name":"Subdivision","value":"EC"},{"id":4,"name":"Milepost","value":"23.3291"},{"id":17,"name":"Train ID","value":"111-13"},{"id":16,"name":"Locomotive ID","value":"4032"},{"id":130,"name":"Impact","value":""},{"id":150,"name":"Time of Event (Mountain Time)","value":"05:37:34"},{"id":151,"name":"Denver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4032 --day 2017-06-13</v>
      </c>
      <c r="AN24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592</v>
      </c>
      <c r="B25" s="7">
        <v>4031</v>
      </c>
      <c r="C25" s="21" t="s">
        <v>204</v>
      </c>
      <c r="D25" s="21" t="s">
        <v>512</v>
      </c>
      <c r="E25" s="13">
        <v>42899.245775462965</v>
      </c>
      <c r="F25" s="13">
        <v>42899.248148148145</v>
      </c>
      <c r="G25" s="7">
        <v>1</v>
      </c>
      <c r="H25" s="21" t="s">
        <v>827</v>
      </c>
      <c r="I25" s="13">
        <v>42899.275891203702</v>
      </c>
      <c r="J25" s="7">
        <v>0</v>
      </c>
      <c r="K25" s="92" t="str">
        <f t="shared" si="0"/>
        <v>4031/4032</v>
      </c>
      <c r="L25" s="21" t="str">
        <f>VLOOKUP(A25,'Trips&amp;Operators'!$C$1:$G$99999,5,FALSE)</f>
        <v>STARKS ANGELINA</v>
      </c>
      <c r="M25" s="6">
        <f t="shared" si="1"/>
        <v>2.7743055557948537E-2</v>
      </c>
      <c r="N25" s="7">
        <f t="shared" si="23"/>
        <v>39.950000003445894</v>
      </c>
      <c r="O25" s="7"/>
      <c r="P25" s="7"/>
      <c r="Q25" s="22"/>
      <c r="R25" s="173"/>
      <c r="S25" s="176">
        <f t="shared" si="24"/>
        <v>1</v>
      </c>
      <c r="T25" s="202" t="str">
        <f t="shared" si="4"/>
        <v>Southbound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-06-13T04:53:55-0600',mode:absolute,to:'2017-06-13T07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23.297499999999999</v>
      </c>
      <c r="Z25" s="204">
        <f t="shared" si="9"/>
        <v>1.72E-2</v>
      </c>
      <c r="AA25" s="204">
        <f t="shared" si="10"/>
        <v>23.2803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0112-13</v>
      </c>
      <c r="AE25" s="80" t="str">
        <f t="shared" si="1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25" s="77" t="str">
        <f t="shared" si="13"/>
        <v>"C:\Program Files (x86)\AstroGrep\AstroGrep.exe" /e /r /s /spath="%USERPROFILE%\AppData\Local\Temp\OnboardLogs" /stypes="app*4031*20170613*" /stext=" 12:.+((SYSTEM_STATE.+slice.+state.+changed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112-13 --locoid 4031 --swversion DE.1.0.9.0 --startMP 204:232975 --initTime 2017-06-13T05:53:55 --startdatetime 2017-06-13T05:57:20 --delay 1 --endMP 204:172 --enddatetime 2017-06-13T06:37:17 --enforcementcount 0 &gt;&gt;C:\Users\stu\Documents\GitHub\eaglep3-reporting\EC\2017-06-13-refined-times.txt</v>
      </c>
      <c r="AI25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{"issue":{"subject":"","project_id":79,"tracker_id":40,"status_id":1,"priority_id":2,"assigned_to_id":23,"start_date":"2017-06-13","description":"","custom_fields":[{"id":1,"name":"Subdivision","value":"EC"},{"id":4,"name":"Milepost","value":"0.0172"},{"id":17,"name":"Train ID","value":"112-13"},{"id":16,"name":"Locomotive ID","value":"4031"},{"id":130,"name":"Impact","value":""},{"id":150,"name":"Time of Event (Mountain Time)","value":"06:37:17"},{"id":151,"name":"Denver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4031 --day 2017-06-13</v>
      </c>
      <c r="AN25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645</v>
      </c>
      <c r="B26" s="7">
        <v>4020</v>
      </c>
      <c r="C26" s="21" t="s">
        <v>204</v>
      </c>
      <c r="D26" s="21" t="s">
        <v>355</v>
      </c>
      <c r="E26" s="13">
        <v>42899.215081018519</v>
      </c>
      <c r="F26" s="13">
        <v>42899.2190162037</v>
      </c>
      <c r="G26" s="7">
        <v>2</v>
      </c>
      <c r="H26" s="21" t="s">
        <v>475</v>
      </c>
      <c r="I26" s="13">
        <v>42899.24428240741</v>
      </c>
      <c r="J26" s="7">
        <v>0</v>
      </c>
      <c r="K26" s="92" t="str">
        <f t="shared" si="0"/>
        <v>4019/4020</v>
      </c>
      <c r="L26" s="21" t="str">
        <f>VLOOKUP(A26,'Trips&amp;Operators'!$C$1:$G$99999,5,FALSE)</f>
        <v>LOZA FIDEL</v>
      </c>
      <c r="M26" s="6">
        <f t="shared" si="1"/>
        <v>2.5266203709179536E-2</v>
      </c>
      <c r="N26" s="7">
        <f t="shared" si="23"/>
        <v>36.383333341218531</v>
      </c>
      <c r="O26" s="7"/>
      <c r="P26" s="7"/>
      <c r="Q26" s="22"/>
      <c r="R26" s="173"/>
      <c r="S26" s="176">
        <f t="shared" si="24"/>
        <v>1</v>
      </c>
      <c r="T26" s="202" t="str">
        <f t="shared" si="4"/>
        <v>NorthBound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-06-13T04:09:43-0600',mode:absolute,to:'2017-06-13T06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4.5100000000000001E-2</v>
      </c>
      <c r="Z26" s="204">
        <f t="shared" si="9"/>
        <v>23.33</v>
      </c>
      <c r="AA26" s="204">
        <f t="shared" si="10"/>
        <v>23.284899999999997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0113-13</v>
      </c>
      <c r="AE26" s="80" t="str">
        <f t="shared" si="12"/>
        <v>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 &amp; 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</v>
      </c>
      <c r="AF26" s="77" t="str">
        <f t="shared" si="13"/>
        <v>"C:\Program Files (x86)\AstroGrep\AstroGrep.exe" /e /r /s /spath="%USERPROFILE%\AppData\Local\Temp\OnboardLogs" /stypes="app*4020*20170613*" /stext=" 11:.+((SYSTEM_STATE.+slice.+state.+changed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113-13 --locoid 4020 --swversion DE.1.0.9.0 --startMP 204:451 --initTime 2017-06-13T05:09:43 --startdatetime 2017-06-13T05:15:23 --delay 2 --endMP 204:233300 --enddatetime 2017-06-13T05:51:46 --enforcementcount 0 &gt;&gt;C:\Users\stu\Documents\GitHub\eaglep3-reporting\EC\2017-06-13-refined-times.txt</v>
      </c>
      <c r="AI26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{"issue":{"subject":"","project_id":79,"tracker_id":40,"status_id":1,"priority_id":2,"assigned_to_id":23,"start_date":"2017-06-13","description":"","custom_fields":[{"id":1,"name":"Subdivision","value":"EC"},{"id":4,"name":"Milepost","value":"23.33"},{"id":17,"name":"Train ID","value":"113-13"},{"id":16,"name":"Locomotive ID","value":"4020"},{"id":130,"name":"Impact","value":""},{"id":150,"name":"Time of Event (Mountain Time)","value":"05:51:46"},{"id":151,"name":"Denver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4020 --day 2017-06-13</v>
      </c>
      <c r="AN26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654</v>
      </c>
      <c r="B27" s="7">
        <v>4019</v>
      </c>
      <c r="C27" s="21" t="s">
        <v>204</v>
      </c>
      <c r="D27" s="21" t="s">
        <v>466</v>
      </c>
      <c r="E27" s="13">
        <v>42899.256273148145</v>
      </c>
      <c r="F27" s="13">
        <v>42899.259432870371</v>
      </c>
      <c r="G27" s="7">
        <v>1</v>
      </c>
      <c r="H27" s="21" t="s">
        <v>398</v>
      </c>
      <c r="I27" s="13">
        <v>42899.286990740744</v>
      </c>
      <c r="J27" s="7">
        <v>0</v>
      </c>
      <c r="K27" s="92" t="str">
        <f t="shared" si="0"/>
        <v>4019/4020</v>
      </c>
      <c r="L27" s="21" t="str">
        <f>VLOOKUP(A27,'Trips&amp;Operators'!$C$1:$G$99999,5,FALSE)</f>
        <v>LOZA FIDEL</v>
      </c>
      <c r="M27" s="6">
        <f t="shared" si="1"/>
        <v>2.7557870373129845E-2</v>
      </c>
      <c r="N27" s="7">
        <f t="shared" si="23"/>
        <v>39.683333337306976</v>
      </c>
      <c r="O27" s="7"/>
      <c r="P27" s="7"/>
      <c r="Q27" s="22"/>
      <c r="R27" s="173"/>
      <c r="S27" s="176">
        <f t="shared" si="24"/>
        <v>1</v>
      </c>
      <c r="T27" s="202" t="str">
        <f t="shared" si="4"/>
        <v>Southbound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-06-13T05:09:02-0600',mode:absolute,to:'2017-06-13T07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23.299600000000002</v>
      </c>
      <c r="Z27" s="204">
        <f t="shared" si="9"/>
        <v>1.54E-2</v>
      </c>
      <c r="AA27" s="204">
        <f t="shared" si="10"/>
        <v>23.284200000000002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0114-13</v>
      </c>
      <c r="AE27" s="80" t="str">
        <f t="shared" si="12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27" s="77" t="str">
        <f t="shared" si="13"/>
        <v>"C:\Program Files (x86)\AstroGrep\AstroGrep.exe" /e /r /s /spath="%USERPROFILE%\AppData\Local\Temp\OnboardLogs" /stypes="app*4019*20170613*"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114-13 --locoid 4019 --swversion DE.1.0.9.0 --startMP 204:232996 --initTime 2017-06-13T06:09:02 --startdatetime 2017-06-13T06:13:35 --delay 1 --endMP 204:154 --enddatetime 2017-06-13T06:53:16 --enforcementcount 0 &gt;&gt;C:\Users\stu\Documents\GitHub\eaglep3-reporting\EC\2017-06-13-refined-times.txt</v>
      </c>
      <c r="AI27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{"issue":{"subject":"","project_id":79,"tracker_id":40,"status_id":1,"priority_id":2,"assigned_to_id":23,"start_date":"2017-06-13","description":"","custom_fields":[{"id":1,"name":"Subdivision","value":"EC"},{"id":4,"name":"Milepost","value":"0.0154"},{"id":17,"name":"Train ID","value":"114-13"},{"id":16,"name":"Locomotive ID","value":"4019"},{"id":130,"name":"Impact","value":""},{"id":150,"name":"Time of Event (Mountain Time)","value":"06:53:16"},{"id":151,"name":"Denver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4019 --day 2017-06-13</v>
      </c>
      <c r="AN27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647</v>
      </c>
      <c r="B28" s="7">
        <v>4002</v>
      </c>
      <c r="C28" s="21" t="s">
        <v>204</v>
      </c>
      <c r="D28" s="21" t="s">
        <v>345</v>
      </c>
      <c r="E28" s="13">
        <v>42899.224849537037</v>
      </c>
      <c r="F28" s="13">
        <v>42899.229421296295</v>
      </c>
      <c r="G28" s="7">
        <v>1</v>
      </c>
      <c r="H28" s="21" t="s">
        <v>395</v>
      </c>
      <c r="I28" s="13">
        <v>42899.255046296297</v>
      </c>
      <c r="J28" s="7">
        <v>0</v>
      </c>
      <c r="K28" s="92" t="str">
        <f t="shared" si="0"/>
        <v>4001/4002</v>
      </c>
      <c r="L28" s="21" t="str">
        <f>VLOOKUP(A28,'Trips&amp;Operators'!$C$1:$G$99999,5,FALSE)</f>
        <v>BONDS REYNALDO</v>
      </c>
      <c r="M28" s="6">
        <f t="shared" si="1"/>
        <v>2.5625000002037268E-2</v>
      </c>
      <c r="N28" s="7">
        <f t="shared" si="23"/>
        <v>36.900000002933666</v>
      </c>
      <c r="O28" s="7"/>
      <c r="P28" s="7"/>
      <c r="Q28" s="22"/>
      <c r="R28" s="173"/>
      <c r="S28" s="176">
        <f t="shared" si="24"/>
        <v>1</v>
      </c>
      <c r="T28" s="202" t="str">
        <f t="shared" si="4"/>
        <v>NorthBound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-06-13T04:23:47-0600',mode:absolute,to:'2017-06-13T07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4.4900000000000002E-2</v>
      </c>
      <c r="Z28" s="204">
        <f t="shared" si="9"/>
        <v>23.3293</v>
      </c>
      <c r="AA28" s="204">
        <f t="shared" si="10"/>
        <v>23.284400000000002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0115-13</v>
      </c>
      <c r="AE28" s="80" t="str">
        <f t="shared" si="12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28" s="77" t="str">
        <f t="shared" si="13"/>
        <v>"C:\Program Files (x86)\AstroGrep\AstroGrep.exe" /e /r /s /spath="%USERPROFILE%\AppData\Local\Temp\OnboardLogs" /stypes="app*4002*20170613*" /stext=" 12:.+((SYSTEM_STATE.+slice.+state.+changed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115-13 --locoid 4002 --swversion DE.1.0.9.0 --startMP 204:449 --initTime 2017-06-13T05:23:47 --startdatetime 2017-06-13T05:30:22 --delay 1 --endMP 204:233293 --enddatetime 2017-06-13T06:07:16 --enforcementcount 0 &gt;&gt;C:\Users\stu\Documents\GitHub\eaglep3-reporting\EC\2017-06-13-refined-times.txt</v>
      </c>
      <c r="AI28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{"issue":{"subject":"","project_id":79,"tracker_id":40,"status_id":1,"priority_id":2,"assigned_to_id":23,"start_date":"2017-06-13","description":"","custom_fields":[{"id":1,"name":"Subdivision","value":"EC"},{"id":4,"name":"Milepost","value":"23.3293"},{"id":17,"name":"Train ID","value":"115-13"},{"id":16,"name":"Locomotive ID","value":"4002"},{"id":130,"name":"Impact","value":""},{"id":150,"name":"Time of Event (Mountain Time)","value":"06:07:16"},{"id":151,"name":"Denver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4002 --day 2017-06-13</v>
      </c>
      <c r="AN28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656</v>
      </c>
      <c r="B29" s="7">
        <v>4001</v>
      </c>
      <c r="C29" s="21" t="s">
        <v>204</v>
      </c>
      <c r="D29" s="21" t="s">
        <v>456</v>
      </c>
      <c r="E29" s="13">
        <v>42899.264953703707</v>
      </c>
      <c r="F29" s="13">
        <v>42899.269004629627</v>
      </c>
      <c r="G29" s="7">
        <v>1</v>
      </c>
      <c r="H29" s="21" t="s">
        <v>352</v>
      </c>
      <c r="I29" s="13">
        <v>42899.297569444447</v>
      </c>
      <c r="J29" s="7">
        <v>0</v>
      </c>
      <c r="K29" s="92" t="str">
        <f t="shared" si="0"/>
        <v>4001/4002</v>
      </c>
      <c r="L29" s="21" t="str">
        <f>VLOOKUP(A29,'Trips&amp;Operators'!$C$1:$G$99999,5,FALSE)</f>
        <v>BONDS REYNALDO</v>
      </c>
      <c r="M29" s="6">
        <f t="shared" si="1"/>
        <v>2.8564814820128959E-2</v>
      </c>
      <c r="N29" s="7">
        <f t="shared" si="23"/>
        <v>41.1333333409857</v>
      </c>
      <c r="O29" s="7"/>
      <c r="P29" s="7"/>
      <c r="Q29" s="22"/>
      <c r="R29" s="173"/>
      <c r="S29" s="176">
        <f t="shared" si="24"/>
        <v>1</v>
      </c>
      <c r="T29" s="202" t="str">
        <f t="shared" si="4"/>
        <v>Southbound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-06-13T05:21:32-0600',mode:absolute,to:'2017-06-13T08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23.2986</v>
      </c>
      <c r="Z29" s="204">
        <f t="shared" si="9"/>
        <v>1.49E-2</v>
      </c>
      <c r="AA29" s="204">
        <f t="shared" si="10"/>
        <v>23.2837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0116-13</v>
      </c>
      <c r="AE29" s="80" t="str">
        <f t="shared" si="1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29" s="77" t="str">
        <f t="shared" si="13"/>
        <v>"C:\Program Files (x86)\AstroGrep\AstroGrep.exe" /e /r /s /spath="%USERPROFILE%\AppData\Local\Temp\OnboardLogs" /stypes="app*4001*20170613*" /stext=" 13:.+((SYSTEM_STATE.+slice.+state.+changed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116-13 --locoid 4001 --swversion DE.1.0.9.0 --startMP 204:232986 --initTime 2017-06-13T06:21:32 --startdatetime 2017-06-13T06:27:22 --delay 1 --endMP 204:149 --enddatetime 2017-06-13T07:08:30 --enforcementcount 0 &gt;&gt;C:\Users\stu\Documents\GitHub\eaglep3-reporting\EC\2017-06-13-refined-times.txt</v>
      </c>
      <c r="AI29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{"issue":{"subject":"","project_id":79,"tracker_id":40,"status_id":1,"priority_id":2,"assigned_to_id":23,"start_date":"2017-06-13","description":"","custom_fields":[{"id":1,"name":"Subdivision","value":"EC"},{"id":4,"name":"Milepost","value":"0.0149"},{"id":17,"name":"Train ID","value":"116-13"},{"id":16,"name":"Locomotive ID","value":"4001"},{"id":130,"name":"Impact","value":""},{"id":150,"name":"Time of Event (Mountain Time)","value":"07:08:30"},{"id":151,"name":"Denver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4001 --day 2017-06-13</v>
      </c>
      <c r="AN29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648</v>
      </c>
      <c r="B30" s="7">
        <v>4062</v>
      </c>
      <c r="C30" s="21" t="s">
        <v>204</v>
      </c>
      <c r="D30" s="21" t="s">
        <v>503</v>
      </c>
      <c r="E30" s="13">
        <v>42899.234537037039</v>
      </c>
      <c r="F30" s="13">
        <v>42899.23978009259</v>
      </c>
      <c r="G30" s="7">
        <v>1</v>
      </c>
      <c r="H30" s="21" t="s">
        <v>559</v>
      </c>
      <c r="I30" s="13">
        <v>42899.266168981485</v>
      </c>
      <c r="J30" s="7">
        <v>0</v>
      </c>
      <c r="K30" s="92" t="str">
        <f t="shared" si="0"/>
        <v>4061/4062</v>
      </c>
      <c r="L30" s="21" t="str">
        <f>VLOOKUP(A30,'Trips&amp;Operators'!$C$1:$G$99999,5,FALSE)</f>
        <v>DAVIDSON DAVID</v>
      </c>
      <c r="M30" s="6">
        <f t="shared" si="1"/>
        <v>2.6388888894871343E-2</v>
      </c>
      <c r="N30" s="7">
        <f t="shared" si="23"/>
        <v>38.000000008614734</v>
      </c>
      <c r="O30" s="7"/>
      <c r="P30" s="7"/>
      <c r="Q30" s="22"/>
      <c r="R30" s="173"/>
      <c r="S30" s="176">
        <f t="shared" si="24"/>
        <v>1</v>
      </c>
      <c r="T30" s="202" t="str">
        <f t="shared" si="4"/>
        <v>NorthBound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-06-13T04:37:44-0600',mode:absolute,to:'2017-06-13T07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4.6899999999999997E-2</v>
      </c>
      <c r="Z30" s="204">
        <f t="shared" si="9"/>
        <v>23.331</v>
      </c>
      <c r="AA30" s="204">
        <f t="shared" si="10"/>
        <v>23.284099999999999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0117-13</v>
      </c>
      <c r="AE30" s="80" t="str">
        <f t="shared" si="12"/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AF30" s="77" t="str">
        <f t="shared" si="13"/>
        <v>"C:\Program Files (x86)\AstroGrep\AstroGrep.exe" /e /r /s /spath="%USERPROFILE%\AppData\Local\Temp\OnboardLogs" /stypes="app*4062*20170613*" /stext=" 12:.+((SYSTEM_STATE.+slice.+state.+changed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117-13 --locoid 4062 --swversion DE.1.0.9.0 --startMP 204:469 --initTime 2017-06-13T05:37:44 --startdatetime 2017-06-13T05:45:17 --delay 1 --endMP 204:233310 --enddatetime 2017-06-13T06:23:17 --enforcementcount 0 &gt;&gt;C:\Users\stu\Documents\GitHub\eaglep3-reporting\EC\2017-06-13-refined-times.txt</v>
      </c>
      <c r="AI30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{"issue":{"subject":"","project_id":79,"tracker_id":40,"status_id":1,"priority_id":2,"assigned_to_id":23,"start_date":"2017-06-13","description":"","custom_fields":[{"id":1,"name":"Subdivision","value":"EC"},{"id":4,"name":"Milepost","value":"23.331"},{"id":17,"name":"Train ID","value":"117-13"},{"id":16,"name":"Locomotive ID","value":"4062"},{"id":130,"name":"Impact","value":""},{"id":150,"name":"Time of Event (Mountain Time)","value":"06:23:17"},{"id":151,"name":"Denver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4062 --day 2017-06-13</v>
      </c>
      <c r="AN30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657</v>
      </c>
      <c r="B31" s="7">
        <v>4061</v>
      </c>
      <c r="C31" s="21" t="s">
        <v>204</v>
      </c>
      <c r="D31" s="21" t="s">
        <v>473</v>
      </c>
      <c r="E31" s="13">
        <v>42899.270057870373</v>
      </c>
      <c r="F31" s="13">
        <v>42899.279363425929</v>
      </c>
      <c r="G31" s="7">
        <v>1</v>
      </c>
      <c r="H31" s="21" t="s">
        <v>196</v>
      </c>
      <c r="I31" s="13">
        <v>42899.309317129628</v>
      </c>
      <c r="J31" s="7">
        <v>0</v>
      </c>
      <c r="K31" s="92" t="str">
        <f t="shared" si="0"/>
        <v>4061/4062</v>
      </c>
      <c r="L31" s="21" t="str">
        <f>VLOOKUP(A31,'Trips&amp;Operators'!$C$1:$G$99999,5,FALSE)</f>
        <v>DAVIDSON DAVID</v>
      </c>
      <c r="M31" s="6">
        <f t="shared" si="1"/>
        <v>2.9953703698993195E-2</v>
      </c>
      <c r="N31" s="7">
        <f t="shared" si="23"/>
        <v>43.133333326550201</v>
      </c>
      <c r="O31" s="7"/>
      <c r="P31" s="7"/>
      <c r="Q31" s="22"/>
      <c r="R31" s="173"/>
      <c r="S31" s="176">
        <f t="shared" si="24"/>
        <v>1</v>
      </c>
      <c r="T31" s="202" t="str">
        <f t="shared" si="4"/>
        <v>Southbound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-06-13T05:28:53-0600',mode:absolute,to:'2017-06-13T08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23.298500000000001</v>
      </c>
      <c r="Z31" s="204">
        <f t="shared" si="9"/>
        <v>1.5800000000000002E-2</v>
      </c>
      <c r="AA31" s="204">
        <f t="shared" si="10"/>
        <v>23.282700000000002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0118-13</v>
      </c>
      <c r="AE31" s="80" t="str">
        <f t="shared" si="1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31" s="77" t="str">
        <f t="shared" si="13"/>
        <v>"C:\Program Files (x86)\AstroGrep\AstroGrep.exe" /e /r /s /spath="%USERPROFILE%\AppData\Local\Temp\OnboardLogs" /stypes="app*4061*20170613*" /stext=" 13:.+((SYSTEM_STATE.+slice.+state.+changed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118-13 --locoid 4061 --swversion DE.1.0.9.0 --startMP 204:232985 --initTime 2017-06-13T06:28:53 --startdatetime 2017-06-13T06:42:17 --delay 1 --endMP 204:158 --enddatetime 2017-06-13T07:25:25 --enforcementcount 0 &gt;&gt;C:\Users\stu\Documents\GitHub\eaglep3-reporting\EC\2017-06-13-refined-times.txt</v>
      </c>
      <c r="AI31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{"issue":{"subject":"","project_id":79,"tracker_id":40,"status_id":1,"priority_id":2,"assigned_to_id":23,"start_date":"2017-06-13","description":"","custom_fields":[{"id":1,"name":"Subdivision","value":"EC"},{"id":4,"name":"Milepost","value":"0.0158"},{"id":17,"name":"Train ID","value":"118-13"},{"id":16,"name":"Locomotive ID","value":"4061"},{"id":130,"name":"Impact","value":""},{"id":150,"name":"Time of Event (Mountain Time)","value":"07:25:25"},{"id":151,"name":"Denver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4061 --day 2017-06-13</v>
      </c>
      <c r="AN31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651</v>
      </c>
      <c r="B32" s="7">
        <v>4006</v>
      </c>
      <c r="C32" s="21" t="s">
        <v>204</v>
      </c>
      <c r="D32" s="21" t="s">
        <v>828</v>
      </c>
      <c r="E32" s="13">
        <v>42899.245312500003</v>
      </c>
      <c r="F32" s="13">
        <v>42899.250208333331</v>
      </c>
      <c r="G32" s="7">
        <v>0</v>
      </c>
      <c r="H32" s="21" t="s">
        <v>506</v>
      </c>
      <c r="I32" s="13">
        <v>42899.276261574072</v>
      </c>
      <c r="J32" s="7">
        <v>0</v>
      </c>
      <c r="K32" s="92" t="str">
        <f t="shared" si="0"/>
        <v>4005/4006</v>
      </c>
      <c r="L32" s="21" t="str">
        <f>VLOOKUP(A32,'Trips&amp;Operators'!$C$1:$G$99999,5,FALSE)</f>
        <v>MAELZER KURT</v>
      </c>
      <c r="M32" s="6">
        <f t="shared" si="1"/>
        <v>2.6053240741021E-2</v>
      </c>
      <c r="N32" s="7">
        <f t="shared" si="23"/>
        <v>37.51666666707024</v>
      </c>
      <c r="O32" s="7"/>
      <c r="P32" s="7"/>
      <c r="Q32" s="22"/>
      <c r="R32" s="173"/>
      <c r="S32" s="176">
        <f t="shared" si="24"/>
        <v>1</v>
      </c>
      <c r="T32" s="202" t="str">
        <f t="shared" si="4"/>
        <v>NorthBound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-06-13T04:53:15-0600',mode:absolute,to:'2017-06-13T07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4.2900000000000001E-2</v>
      </c>
      <c r="Z32" s="204">
        <f t="shared" si="9"/>
        <v>23.331199999999999</v>
      </c>
      <c r="AA32" s="204">
        <f t="shared" si="10"/>
        <v>23.2883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0119-13</v>
      </c>
      <c r="AE32" s="80" t="str">
        <f t="shared" si="12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32" s="77" t="str">
        <f t="shared" si="13"/>
        <v>"C:\Program Files (x86)\AstroGrep\AstroGrep.exe" /e /r /s /spath="%USERPROFILE%\AppData\Local\Temp\OnboardLogs" /stypes="app*4006*20170613*" /stext=" 12:.+((SYSTEM_STATE.+slice.+state.+changed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119-13 --locoid 4006 --swversion DE.1.0.9.0 --startMP 204:429 --initTime 2017-06-13T05:53:15 --startdatetime 2017-06-13T06:00:18 --delay 0 --endMP 204:233312 --enddatetime 2017-06-13T06:37:49 --enforcementcount 0 &gt;&gt;C:\Users\stu\Documents\GitHub\eaglep3-reporting\EC\2017-06-13-refined-times.txt</v>
      </c>
      <c r="AI32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{"issue":{"subject":"","project_id":79,"tracker_id":40,"status_id":1,"priority_id":2,"assigned_to_id":23,"start_date":"2017-06-13","description":"","custom_fields":[{"id":1,"name":"Subdivision","value":"EC"},{"id":4,"name":"Milepost","value":"23.3312"},{"id":17,"name":"Train ID","value":"119-13"},{"id":16,"name":"Locomotive ID","value":"4006"},{"id":130,"name":"Impact","value":""},{"id":150,"name":"Time of Event (Mountain Time)","value":"06:37:49"},{"id":151,"name":"Denver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4006 --day 2017-06-13</v>
      </c>
      <c r="AN32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660</v>
      </c>
      <c r="B33" s="7">
        <v>4005</v>
      </c>
      <c r="C33" s="21" t="s">
        <v>204</v>
      </c>
      <c r="D33" s="21" t="s">
        <v>423</v>
      </c>
      <c r="E33" s="13">
        <v>42899.285868055558</v>
      </c>
      <c r="F33" s="13">
        <v>42899.289803240739</v>
      </c>
      <c r="G33" s="7">
        <v>0</v>
      </c>
      <c r="H33" s="21" t="s">
        <v>359</v>
      </c>
      <c r="I33" s="13">
        <v>42899.318020833336</v>
      </c>
      <c r="J33" s="7">
        <v>0</v>
      </c>
      <c r="K33" s="92" t="str">
        <f t="shared" si="0"/>
        <v>4005/4006</v>
      </c>
      <c r="L33" s="21" t="str">
        <f>VLOOKUP(A33,'Trips&amp;Operators'!$C$1:$G$99999,5,FALSE)</f>
        <v>MAELZER KURT</v>
      </c>
      <c r="M33" s="6">
        <f t="shared" si="1"/>
        <v>2.8217592596774921E-2</v>
      </c>
      <c r="N33" s="7">
        <f t="shared" si="23"/>
        <v>40.633333339355886</v>
      </c>
      <c r="O33" s="7"/>
      <c r="P33" s="7"/>
      <c r="Q33" s="22"/>
      <c r="R33" s="173"/>
      <c r="S33" s="176">
        <f t="shared" si="24"/>
        <v>1</v>
      </c>
      <c r="T33" s="202" t="str">
        <f t="shared" si="4"/>
        <v>Southbound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-06-13T05:51:39-0600',mode:absolute,to:'2017-06-13T08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23.297699999999999</v>
      </c>
      <c r="Z33" s="204">
        <f t="shared" si="9"/>
        <v>1.3899999999999999E-2</v>
      </c>
      <c r="AA33" s="204">
        <f t="shared" si="10"/>
        <v>23.283799999999999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0120-13</v>
      </c>
      <c r="AE33" s="80" t="str">
        <f t="shared" si="1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33" s="77" t="str">
        <f t="shared" si="13"/>
        <v>"C:\Program Files (x86)\AstroGrep\AstroGrep.exe" /e /r /s /spath="%USERPROFILE%\AppData\Local\Temp\OnboardLogs" /stypes="app*4005*20170613*" /stext=" 13:.+((SYSTEM_STATE.+slice.+state.+changed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120-13 --locoid 4005 --swversion DE.1.0.9.0 --startMP 204:232977 --initTime 2017-06-13T06:51:39 --startdatetime 2017-06-13T06:57:19 --delay 0 --endMP 204:139 --enddatetime 2017-06-13T07:37:57 --enforcementcount 0 &gt;&gt;C:\Users\stu\Documents\GitHub\eaglep3-reporting\EC\2017-06-13-refined-times.txt</v>
      </c>
      <c r="AI33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{"issue":{"subject":"","project_id":79,"tracker_id":40,"status_id":1,"priority_id":2,"assigned_to_id":23,"start_date":"2017-06-13","description":"","custom_fields":[{"id":1,"name":"Subdivision","value":"EC"},{"id":4,"name":"Milepost","value":"0.0139"},{"id":17,"name":"Train ID","value":"120-13"},{"id":16,"name":"Locomotive ID","value":"4005"},{"id":130,"name":"Impact","value":""},{"id":150,"name":"Time of Event (Mountain Time)","value":"07:37:57"},{"id":151,"name":"Denver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4005 --day 2017-06-13</v>
      </c>
      <c r="AN33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655</v>
      </c>
      <c r="B34" s="7">
        <v>4046</v>
      </c>
      <c r="C34" s="21" t="s">
        <v>204</v>
      </c>
      <c r="D34" s="21" t="s">
        <v>394</v>
      </c>
      <c r="E34" s="13">
        <v>42899.258263888885</v>
      </c>
      <c r="F34" s="13">
        <v>42899.261446759258</v>
      </c>
      <c r="G34" s="7">
        <v>1</v>
      </c>
      <c r="H34" s="21" t="s">
        <v>829</v>
      </c>
      <c r="I34" s="13">
        <v>42899.288043981483</v>
      </c>
      <c r="J34" s="7">
        <v>0</v>
      </c>
      <c r="K34" s="92" t="str">
        <f t="shared" si="0"/>
        <v>4045/4046</v>
      </c>
      <c r="L34" s="21" t="str">
        <f>VLOOKUP(A34,'Trips&amp;Operators'!$C$1:$G$99999,5,FALSE)</f>
        <v>LALONDE GREGORY</v>
      </c>
      <c r="M34" s="6">
        <f t="shared" si="1"/>
        <v>2.6597222225973383E-2</v>
      </c>
      <c r="N34" s="7">
        <f t="shared" si="23"/>
        <v>38.300000005401671</v>
      </c>
      <c r="O34" s="7"/>
      <c r="P34" s="7"/>
      <c r="Q34" s="22"/>
      <c r="R34" s="173"/>
      <c r="S34" s="176">
        <f t="shared" si="24"/>
        <v>1</v>
      </c>
      <c r="T34" s="202" t="str">
        <f t="shared" si="4"/>
        <v>NorthBound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-06-13T05:11:54-0600',mode:absolute,to:'2017-06-13T07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4.6199999999999998E-2</v>
      </c>
      <c r="Z34" s="204">
        <f t="shared" si="9"/>
        <v>23.331399999999999</v>
      </c>
      <c r="AA34" s="204">
        <f t="shared" si="10"/>
        <v>23.2852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0121-13</v>
      </c>
      <c r="AE34" s="80" t="str">
        <f t="shared" si="12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34" s="77" t="str">
        <f t="shared" si="13"/>
        <v>"C:\Program Files (x86)\AstroGrep\AstroGrep.exe" /e /r /s /spath="%USERPROFILE%\AppData\Local\Temp\OnboardLogs" /stypes="app*4046*20170613*" /stext=" 12:.+((SYSTEM_STATE.+slice.+state.+changed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121-13 --locoid 4046 --swversion DE.1.0.9.0 --startMP 204:462 --initTime 2017-06-13T06:11:54 --startdatetime 2017-06-13T06:16:29 --delay 1 --endMP 204:233314 --enddatetime 2017-06-13T06:54:47 --enforcementcount 0 &gt;&gt;C:\Users\stu\Documents\GitHub\eaglep3-reporting\EC\2017-06-13-refined-times.txt</v>
      </c>
      <c r="AI34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{"issue":{"subject":"","project_id":79,"tracker_id":40,"status_id":1,"priority_id":2,"assigned_to_id":23,"start_date":"2017-06-13","description":"","custom_fields":[{"id":1,"name":"Subdivision","value":"EC"},{"id":4,"name":"Milepost","value":"23.3314"},{"id":17,"name":"Train ID","value":"121-13"},{"id":16,"name":"Locomotive ID","value":"4046"},{"id":130,"name":"Impact","value":""},{"id":150,"name":"Time of Event (Mountain Time)","value":"06:54:47"},{"id":151,"name":"Denver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4046 --day 2017-06-13</v>
      </c>
      <c r="AN34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662</v>
      </c>
      <c r="B35" s="7">
        <v>4045</v>
      </c>
      <c r="C35" s="21" t="s">
        <v>204</v>
      </c>
      <c r="D35" s="21" t="s">
        <v>500</v>
      </c>
      <c r="E35" s="13">
        <v>42899.290081018517</v>
      </c>
      <c r="F35" s="13">
        <v>42899.290902777779</v>
      </c>
      <c r="G35" s="7">
        <v>1</v>
      </c>
      <c r="H35" s="21" t="s">
        <v>830</v>
      </c>
      <c r="I35" s="13">
        <v>42899.316782407404</v>
      </c>
      <c r="J35" s="7">
        <v>0</v>
      </c>
      <c r="K35" s="92" t="str">
        <f t="shared" si="0"/>
        <v>4045/4046</v>
      </c>
      <c r="L35" s="21" t="str">
        <f>VLOOKUP(A35,'Trips&amp;Operators'!$C$1:$G$99999,5,FALSE)</f>
        <v>LALONDE GREGORY</v>
      </c>
      <c r="M35" s="6">
        <f t="shared" si="1"/>
        <v>2.5879629625706002E-2</v>
      </c>
      <c r="N35" s="7"/>
      <c r="O35" s="7"/>
      <c r="P35" s="7">
        <f>24*60*SUM($M35:$M36)</f>
        <v>53.56666665757075</v>
      </c>
      <c r="Q35" s="22"/>
      <c r="R35" s="173" t="s">
        <v>1021</v>
      </c>
      <c r="S35" s="176">
        <f>SUM(U35:U36)/IF(AG35="EC",12,1)</f>
        <v>0.91666666666666663</v>
      </c>
      <c r="T35" s="202" t="str">
        <f t="shared" si="4"/>
        <v>Southbound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-06-13T05:57:43-0600',mode:absolute,to:'2017-06-13T08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5" s="204" t="str">
        <f t="shared" si="6"/>
        <v>Y</v>
      </c>
      <c r="X35" s="204">
        <f t="shared" si="7"/>
        <v>1</v>
      </c>
      <c r="Y35" s="204">
        <f t="shared" si="8"/>
        <v>23.299099999999999</v>
      </c>
      <c r="Z35" s="204">
        <f t="shared" si="9"/>
        <v>8.2070000000000007</v>
      </c>
      <c r="AA35" s="204">
        <f t="shared" si="10"/>
        <v>15.092099999999999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0122-13</v>
      </c>
      <c r="AE35" s="80" t="str">
        <f t="shared" si="1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35" s="77" t="str">
        <f t="shared" si="13"/>
        <v>"C:\Program Files (x86)\AstroGrep\AstroGrep.exe" /e /r /s /spath="%USERPROFILE%\AppData\Local\Temp\OnboardLogs" /stypes="app*4045*20170613*"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122-13 --locoid 4045 --swversion DE.1.0.9.0 --startMP 204:232991 --initTime 2017-06-13T06:57:43 --startdatetime 2017-06-13T06:58:54 --delay 1 --endMP 204:82070 --enddatetime 2017-06-13T07:36:10 --enforcementcount 0 &gt;&gt;C:\Users\stu\Documents\GitHub\eaglep3-reporting\EC\2017-06-13-refined-times.txt</v>
      </c>
      <c r="AI35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ML0816","project_id":79,"tracker_id":40,"status_id":1,"priority_id":2,"assigned_to_id":23,"start_date":"2017-06-13","description":"","custom_fields":[{"id":1,"name":"Subdivision","value":"EC"},{"id":4,"name":"Milepost","value":"8.207"},{"id":17,"name":"Train ID","value":"122-13"},{"id":16,"name":"Locomotive ID","value":"4045"},{"id":130,"name":"Impact","value":""},{"id":150,"name":"Time of Event (Mountain Time)","value":"07:36:10"},{"id":151,"name":"Denver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4045 --day 2017-06-13</v>
      </c>
      <c r="AN35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662</v>
      </c>
      <c r="B36" s="7">
        <v>4045</v>
      </c>
      <c r="C36" s="21" t="s">
        <v>204</v>
      </c>
      <c r="D36" s="21" t="s">
        <v>831</v>
      </c>
      <c r="E36" s="13">
        <v>42899.319374999999</v>
      </c>
      <c r="F36" s="13">
        <v>42899.319918981484</v>
      </c>
      <c r="G36" s="7">
        <v>0</v>
      </c>
      <c r="H36" s="21" t="s">
        <v>352</v>
      </c>
      <c r="I36" s="13">
        <v>42899.331238425926</v>
      </c>
      <c r="J36" s="7">
        <v>0</v>
      </c>
      <c r="K36" s="92" t="str">
        <f t="shared" si="0"/>
        <v>4045/4046</v>
      </c>
      <c r="L36" s="21" t="str">
        <f>VLOOKUP(A36,'Trips&amp;Operators'!$C$1:$G$99999,5,FALSE)</f>
        <v>LALONDE GREGORY</v>
      </c>
      <c r="M36" s="6">
        <f t="shared" si="1"/>
        <v>1.1319444442051463E-2</v>
      </c>
      <c r="N36" s="7"/>
      <c r="O36" s="7"/>
      <c r="P36" s="7"/>
      <c r="Q36" s="22"/>
      <c r="R36" s="173"/>
      <c r="S36" s="176"/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9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-06-13T06:39:54-0600',mode:absolute,to:'2017-06-13T08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204" t="str">
        <f t="shared" si="6"/>
        <v>Y</v>
      </c>
      <c r="X36" s="204">
        <f t="shared" si="7"/>
        <v>0</v>
      </c>
      <c r="Y36" s="204">
        <f t="shared" si="8"/>
        <v>6.4112999999999998</v>
      </c>
      <c r="Z36" s="204">
        <f t="shared" si="9"/>
        <v>1.49E-2</v>
      </c>
      <c r="AA36" s="204">
        <f t="shared" si="10"/>
        <v>6.3963999999999999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0122-13</v>
      </c>
      <c r="AE36" s="80" t="str">
        <f t="shared" si="1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36" s="77" t="str">
        <f t="shared" si="13"/>
        <v>"C:\Program Files (x86)\AstroGrep\AstroGrep.exe" /e /r /s /spath="%USERPROFILE%\AppData\Local\Temp\OnboardLogs" /stypes="app*4045*20170613*" /stext=" 13:.+((SYSTEM_STATE.+slice.+state.+changed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122-13 --locoid 4045 --swversion DE.1.0.9.0 --startMP 204:64113 --initTime 2017-06-13T07:39:54 --startdatetime 2017-06-13T07:40:41 --delay 0 --endMP 204:149 --enddatetime 2017-06-13T07:56:59 --enforcementcount 0 &gt;&gt;C:\Users\stu\Documents\GitHub\eaglep3-reporting\EC\2017-06-13-refined-times.txt</v>
      </c>
      <c r="AI36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{"issue":{"subject":"","project_id":79,"tracker_id":40,"status_id":1,"priority_id":2,"assigned_to_id":23,"start_date":"2017-06-13","description":"","custom_fields":[{"id":1,"name":"Subdivision","value":"EC"},{"id":4,"name":"Milepost","value":"0.0149"},{"id":17,"name":"Train ID","value":"122-13"},{"id":16,"name":"Locomotive ID","value":"4045"},{"id":130,"name":"Impact","value":""},{"id":150,"name":"Time of Event (Mountain Time)","value":"07:56:59"},{"id":151,"name":"Denver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4045 --day 2017-06-13</v>
      </c>
      <c r="AN36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593</v>
      </c>
      <c r="B37" s="7">
        <v>4054</v>
      </c>
      <c r="C37" s="21" t="s">
        <v>204</v>
      </c>
      <c r="D37" s="21" t="s">
        <v>832</v>
      </c>
      <c r="E37" s="13">
        <v>42899.268229166664</v>
      </c>
      <c r="F37" s="13">
        <v>42899.27140046296</v>
      </c>
      <c r="G37" s="7">
        <v>1</v>
      </c>
      <c r="H37" s="21" t="s">
        <v>469</v>
      </c>
      <c r="I37" s="13">
        <v>42899.297256944446</v>
      </c>
      <c r="J37" s="7">
        <v>0</v>
      </c>
      <c r="K37" s="92" t="str">
        <f t="shared" si="0"/>
        <v>4053/4054</v>
      </c>
      <c r="L37" s="21" t="str">
        <f>VLOOKUP(A37,'Trips&amp;Operators'!$C$1:$G$99999,5,FALSE)</f>
        <v>MACDONALD THOMAS</v>
      </c>
      <c r="M37" s="6">
        <f t="shared" si="1"/>
        <v>2.5856481486698613E-2</v>
      </c>
      <c r="N37" s="7">
        <f>24*60*SUM($M37:$M37)</f>
        <v>37.233333340846002</v>
      </c>
      <c r="O37" s="7"/>
      <c r="P37" s="7"/>
      <c r="Q37" s="22"/>
      <c r="R37" s="173"/>
      <c r="S37" s="176">
        <f>SUM(U37:U37)/IF(AG37="EC",12,1)</f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-06-13T05:26:15-0600',mode:absolute,to:'2017-06-13T08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4.8800000000000003E-2</v>
      </c>
      <c r="Z37" s="204">
        <f t="shared" si="9"/>
        <v>23.331099999999999</v>
      </c>
      <c r="AA37" s="204">
        <f t="shared" si="10"/>
        <v>23.282299999999999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0123-13</v>
      </c>
      <c r="AE37" s="80" t="str">
        <f t="shared" si="12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37" s="77" t="str">
        <f t="shared" si="13"/>
        <v>"C:\Program Files (x86)\AstroGrep\AstroGrep.exe" /e /r /s /spath="%USERPROFILE%\AppData\Local\Temp\OnboardLogs" /stypes="app*4054*20170613*"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123-13 --locoid 4054 --swversion DE.1.0.9.0 --startMP 204:488 --initTime 2017-06-13T06:26:15 --startdatetime 2017-06-13T06:30:49 --delay 1 --endMP 204:233311 --enddatetime 2017-06-13T07:08:03 --enforcementcount 0 &gt;&gt;C:\Users\stu\Documents\GitHub\eaglep3-reporting\EC\2017-06-13-refined-times.txt</v>
      </c>
      <c r="AI37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{"issue":{"subject":"","project_id":79,"tracker_id":40,"status_id":1,"priority_id":2,"assigned_to_id":23,"start_date":"2017-06-13","description":"","custom_fields":[{"id":1,"name":"Subdivision","value":"EC"},{"id":4,"name":"Milepost","value":"23.3311"},{"id":17,"name":"Train ID","value":"123-13"},{"id":16,"name":"Locomotive ID","value":"4054"},{"id":130,"name":"Impact","value":""},{"id":150,"name":"Time of Event (Mountain Time)","value":"07:08:03"},{"id":151,"name":"Denver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4054 --day 2017-06-13</v>
      </c>
      <c r="AN37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665</v>
      </c>
      <c r="B38" s="7">
        <v>4053</v>
      </c>
      <c r="C38" s="21" t="s">
        <v>204</v>
      </c>
      <c r="D38" s="21" t="s">
        <v>468</v>
      </c>
      <c r="E38" s="13">
        <v>42899.308032407411</v>
      </c>
      <c r="F38" s="13">
        <v>42899.308993055558</v>
      </c>
      <c r="G38" s="7">
        <v>1</v>
      </c>
      <c r="H38" s="21" t="s">
        <v>833</v>
      </c>
      <c r="I38" s="13">
        <v>42899.325752314813</v>
      </c>
      <c r="J38" s="7">
        <v>0</v>
      </c>
      <c r="K38" s="92" t="str">
        <f t="shared" si="0"/>
        <v>4053/4054</v>
      </c>
      <c r="L38" s="21" t="str">
        <f>VLOOKUP(A38,'Trips&amp;Operators'!$C$1:$G$99999,5,FALSE)</f>
        <v>MACDONALD THOMAS</v>
      </c>
      <c r="M38" s="6">
        <f t="shared" si="1"/>
        <v>1.6759259255195502E-2</v>
      </c>
      <c r="N38" s="7"/>
      <c r="O38" s="7"/>
      <c r="P38" s="7">
        <f>24*60*SUM($M38:$M39)</f>
        <v>40.249999989755452</v>
      </c>
      <c r="Q38" s="22"/>
      <c r="R38" s="173" t="s">
        <v>1021</v>
      </c>
      <c r="S38" s="176">
        <f>SUM(U38:U39)/IF(AG38="EC",12,1)</f>
        <v>0.91666666666666663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-06-13T06:23:34-0600',mode:absolute,to:'2017-06-13T08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204" t="str">
        <f t="shared" si="6"/>
        <v>Y</v>
      </c>
      <c r="X38" s="204">
        <f t="shared" si="7"/>
        <v>1</v>
      </c>
      <c r="Y38" s="204">
        <f t="shared" si="8"/>
        <v>23.299399999999999</v>
      </c>
      <c r="Z38" s="204">
        <f t="shared" si="9"/>
        <v>8.6353000000000009</v>
      </c>
      <c r="AA38" s="204">
        <f t="shared" si="10"/>
        <v>14.664099999999998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0124-13</v>
      </c>
      <c r="AE38" s="80" t="str">
        <f t="shared" si="1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38" s="77" t="str">
        <f t="shared" si="13"/>
        <v>"C:\Program Files (x86)\AstroGrep\AstroGrep.exe" /e /r /s /spath="%USERPROFILE%\AppData\Local\Temp\OnboardLogs" /stypes="app*4053*20170613*" /stext=" 13:.+((SYSTEM_STATE.+slice.+state.+changed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124-13 --locoid 4053 --swversion DE.1.0.9.0 --startMP 204:232994 --initTime 2017-06-13T07:23:34 --startdatetime 2017-06-13T07:24:57 --delay 1 --endMP 204:86353 --enddatetime 2017-06-13T07:49:05 --enforcementcount 0 &gt;&gt;C:\Users\stu\Documents\GitHub\eaglep3-reporting\EC\2017-06-13-refined-times.txt</v>
      </c>
      <c r="AI38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ID","value":"124-13"},{"id":16,"name":"Locomotive ID","value":"4053"},{"id":130,"name":"Impact","value":""},{"id":150,"name":"Time of Event (Mountain Time)","value":"07:49:05"},{"id":151,"name":"Denver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4053 --day 2017-06-13</v>
      </c>
      <c r="AN38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665</v>
      </c>
      <c r="B39" s="7">
        <v>4053</v>
      </c>
      <c r="C39" s="21" t="s">
        <v>204</v>
      </c>
      <c r="D39" s="21" t="s">
        <v>834</v>
      </c>
      <c r="E39" s="13">
        <v>42899.329745370371</v>
      </c>
      <c r="F39" s="13">
        <v>42899.330613425926</v>
      </c>
      <c r="G39" s="7">
        <v>1</v>
      </c>
      <c r="H39" s="21" t="s">
        <v>561</v>
      </c>
      <c r="I39" s="13">
        <v>42899.341805555552</v>
      </c>
      <c r="J39" s="7">
        <v>0</v>
      </c>
      <c r="K39" s="92" t="str">
        <f t="shared" si="0"/>
        <v>4053/4054</v>
      </c>
      <c r="L39" s="21" t="str">
        <f>VLOOKUP(A39,'Trips&amp;Operators'!$C$1:$G$99999,5,FALSE)</f>
        <v>MACDONALD THOMAS</v>
      </c>
      <c r="M39" s="6">
        <f t="shared" si="1"/>
        <v>1.1192129626579117E-2</v>
      </c>
      <c r="N39" s="7"/>
      <c r="O39" s="7"/>
      <c r="P39" s="7"/>
      <c r="Q39" s="22"/>
      <c r="R39" s="173"/>
      <c r="S39" s="176"/>
      <c r="T39" s="202" t="str">
        <f t="shared" si="4"/>
        <v>Southbound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9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-06-13T06:54:50-0600',mode:absolute,to:'2017-06-13T09:12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204" t="str">
        <f t="shared" si="6"/>
        <v>Y</v>
      </c>
      <c r="X39" s="204">
        <f t="shared" si="7"/>
        <v>0</v>
      </c>
      <c r="Y39" s="204">
        <f t="shared" si="8"/>
        <v>6.4165000000000001</v>
      </c>
      <c r="Z39" s="204">
        <f t="shared" si="9"/>
        <v>1.6E-2</v>
      </c>
      <c r="AA39" s="204">
        <f t="shared" si="10"/>
        <v>6.4005000000000001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0124-13</v>
      </c>
      <c r="AE39" s="80" t="str">
        <f t="shared" si="1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39" s="77" t="str">
        <f t="shared" si="13"/>
        <v>"C:\Program Files (x86)\AstroGrep\AstroGrep.exe" /e /r /s /spath="%USERPROFILE%\AppData\Local\Temp\OnboardLogs" /stypes="app*4053*20170613*" /stext=" 14:.+((SYSTEM_STATE.+slice.+state.+changed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124-13 --locoid 4053 --swversion DE.1.0.9.0 --startMP 204:64165 --initTime 2017-06-13T07:54:50 --startdatetime 2017-06-13T07:56:05 --delay 1 --endMP 204:160 --enddatetime 2017-06-13T08:12:12 --enforcementcount 0 &gt;&gt;C:\Users\stu\Documents\GitHub\eaglep3-reporting\EC\2017-06-13-refined-times.txt</v>
      </c>
      <c r="AI39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{"issue":{"subject":"","project_id":79,"tracker_id":40,"status_id":1,"priority_id":2,"assigned_to_id":23,"start_date":"2017-06-13","description":"","custom_fields":[{"id":1,"name":"Subdivision","value":"EC"},{"id":4,"name":"Milepost","value":"0.016"},{"id":17,"name":"Train ID","value":"124-13"},{"id":16,"name":"Locomotive ID","value":"4053"},{"id":130,"name":"Impact","value":""},{"id":150,"name":"Time of Event (Mountain Time)","value":"08:12:12"},{"id":151,"name":"Denver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4053 --day 2017-06-13</v>
      </c>
      <c r="AN39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14:12:12"},{"id":29,"name":"Sharepoint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595</v>
      </c>
      <c r="B40" s="7">
        <v>4032</v>
      </c>
      <c r="C40" s="21" t="s">
        <v>204</v>
      </c>
      <c r="D40" s="21" t="s">
        <v>835</v>
      </c>
      <c r="E40" s="13">
        <v>42899.277708333335</v>
      </c>
      <c r="F40" s="13">
        <v>42899.281817129631</v>
      </c>
      <c r="G40" s="7">
        <v>1</v>
      </c>
      <c r="H40" s="21" t="s">
        <v>836</v>
      </c>
      <c r="I40" s="13">
        <v>42899.30878472222</v>
      </c>
      <c r="J40" s="7">
        <v>0</v>
      </c>
      <c r="K40" s="92" t="str">
        <f t="shared" si="0"/>
        <v>4031/4032</v>
      </c>
      <c r="L40" s="21" t="str">
        <f>VLOOKUP(A40,'Trips&amp;Operators'!$C$1:$G$99999,5,FALSE)</f>
        <v>STARKS ANGELINA</v>
      </c>
      <c r="M40" s="6">
        <f t="shared" si="1"/>
        <v>2.696759258833481E-2</v>
      </c>
      <c r="N40" s="7">
        <f>24*60*SUM($M40:$M40)</f>
        <v>38.833333327202126</v>
      </c>
      <c r="O40" s="7"/>
      <c r="P40" s="7"/>
      <c r="Q40" s="22"/>
      <c r="R40" s="173"/>
      <c r="S40" s="176">
        <f>SUM(U40:U40)/IF(AG40="EC",12,1)</f>
        <v>1</v>
      </c>
      <c r="T40" s="202" t="str">
        <f t="shared" si="4"/>
        <v>NorthBound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-06-13T05:39:54-0600',mode:absolute,to:'2017-06-13T08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4.9700000000000001E-2</v>
      </c>
      <c r="Z40" s="204">
        <f t="shared" si="9"/>
        <v>23.327999999999999</v>
      </c>
      <c r="AA40" s="204">
        <f t="shared" si="10"/>
        <v>23.278299999999998</v>
      </c>
      <c r="AB40" s="57" t="str">
        <f>VLOOKUP(A40,Enforcements!$C$7:$K$13,8,0)</f>
        <v>Bulletin (2)</v>
      </c>
      <c r="AC40" s="53" t="str">
        <f>VLOOKUP(A40,Enforcements!$C$7:$E$13,3,0)</f>
        <v>GRADE CROSSING</v>
      </c>
      <c r="AD40" s="54" t="str">
        <f t="shared" si="11"/>
        <v>0125-13</v>
      </c>
      <c r="AE40" s="80" t="str">
        <f t="shared" si="12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40" s="77" t="str">
        <f t="shared" si="13"/>
        <v>"C:\Program Files (x86)\AstroGrep\AstroGrep.exe" /e /r /s /spath="%USERPROFILE%\AppData\Local\Temp\OnboardLogs" /stypes="app*4032*20170613*" /stext=" 13:.+((SYSTEM_STATE.+slice.+state.+changed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125-13 --locoid 4032 --swversion DE.1.0.9.0 --startMP 204:497 --initTime 2017-06-13T06:39:54 --startdatetime 2017-06-13T06:45:49 --delay 1 --endMP 204:233280 --enddatetime 2017-06-13T07:24:39 --enforcementcount 0 &gt;&gt;C:\Users\stu\Documents\GitHub\eaglep3-reporting\EC\2017-06-13-refined-times.txt</v>
      </c>
      <c r="AI40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{"issue":{"subject":"","project_id":79,"tracker_id":40,"status_id":1,"priority_id":2,"assigned_to_id":23,"start_date":"2017-06-13","description":"","custom_fields":[{"id":1,"name":"Subdivision","value":"EC"},{"id":4,"name":"Milepost","value":"23.328"},{"id":17,"name":"Train ID","value":"125-13"},{"id":16,"name":"Locomotive ID","value":"4032"},{"id":130,"name":"Impact","value":""},{"id":150,"name":"Time of Event (Mountain Time)","value":"07:24:39"},{"id":151,"name":"Denver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4032 --day 2017-06-13</v>
      </c>
      <c r="AN40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668</v>
      </c>
      <c r="B41" s="7">
        <v>4031</v>
      </c>
      <c r="C41" s="21" t="s">
        <v>204</v>
      </c>
      <c r="D41" s="21" t="s">
        <v>837</v>
      </c>
      <c r="E41" s="13">
        <v>42899.319062499999</v>
      </c>
      <c r="F41" s="13">
        <v>42899.32104166667</v>
      </c>
      <c r="G41" s="7">
        <v>2</v>
      </c>
      <c r="H41" s="21" t="s">
        <v>833</v>
      </c>
      <c r="I41" s="13">
        <v>42899.336446759262</v>
      </c>
      <c r="J41" s="7">
        <v>0</v>
      </c>
      <c r="K41" s="92" t="str">
        <f t="shared" si="0"/>
        <v>4031/4032</v>
      </c>
      <c r="L41" s="21" t="str">
        <f>VLOOKUP(A41,'Trips&amp;Operators'!$C$1:$G$99999,5,FALSE)</f>
        <v>STARKS ANGELINA</v>
      </c>
      <c r="M41" s="6">
        <f t="shared" si="1"/>
        <v>1.5405092592118308E-2</v>
      </c>
      <c r="N41" s="7"/>
      <c r="O41" s="7"/>
      <c r="P41" s="7">
        <f>24*60*SUM($M41:$M42)</f>
        <v>39.933333332883194</v>
      </c>
      <c r="Q41" s="22"/>
      <c r="R41" s="173" t="s">
        <v>1021</v>
      </c>
      <c r="S41" s="176">
        <f>SUM(U41:U42)/IF(AG41="EC",12,1)</f>
        <v>0.91666666666666663</v>
      </c>
      <c r="T41" s="202" t="str">
        <f t="shared" si="4"/>
        <v>Southbound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-06-13T06:39:27-0600',mode:absolute,to:'2017-06-13T09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1" s="204" t="str">
        <f t="shared" si="6"/>
        <v>Y</v>
      </c>
      <c r="X41" s="204">
        <f t="shared" si="7"/>
        <v>1</v>
      </c>
      <c r="Y41" s="204">
        <f t="shared" si="8"/>
        <v>23.27</v>
      </c>
      <c r="Z41" s="204">
        <f t="shared" si="9"/>
        <v>8.6353000000000009</v>
      </c>
      <c r="AA41" s="204">
        <f t="shared" si="10"/>
        <v>14.634699999999999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0126-13</v>
      </c>
      <c r="AE41" s="80" t="str">
        <f t="shared" si="1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41" s="77" t="str">
        <f t="shared" si="13"/>
        <v>"C:\Program Files (x86)\AstroGrep\AstroGrep.exe" /e /r /s /spath="%USERPROFILE%\AppData\Local\Temp\OnboardLogs" /stypes="app*4031*20170613*" /stext=" 14:.+((SYSTEM_STATE.+slice.+state.+changed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126-13 --locoid 4031 --swversion DE.1.0.9.0 --startMP 204:232700 --initTime 2017-06-13T07:39:27 --startdatetime 2017-06-13T07:42:18 --delay 2 --endMP 204:86353 --enddatetime 2017-06-13T08:04:29 --enforcementcount 0 &gt;&gt;C:\Users\stu\Documents\GitHub\eaglep3-reporting\EC\2017-06-13-refined-times.txt</v>
      </c>
      <c r="AI41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ID","value":"126-13"},{"id":16,"name":"Locomotive ID","value":"4031"},{"id":130,"name":"Impact","value":""},{"id":150,"name":"Time of Event (Mountain Time)","value":"08:04:29"},{"id":151,"name":"Denver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4031 --day 2017-06-13</v>
      </c>
      <c r="AN41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668</v>
      </c>
      <c r="B42" s="7">
        <v>4031</v>
      </c>
      <c r="C42" s="21" t="s">
        <v>204</v>
      </c>
      <c r="D42" s="21" t="s">
        <v>838</v>
      </c>
      <c r="E42" s="13">
        <v>42899.339525462965</v>
      </c>
      <c r="F42" s="13">
        <v>42899.340243055558</v>
      </c>
      <c r="G42" s="7">
        <v>1</v>
      </c>
      <c r="H42" s="21" t="s">
        <v>362</v>
      </c>
      <c r="I42" s="13">
        <v>42899.352569444447</v>
      </c>
      <c r="J42" s="7">
        <v>0</v>
      </c>
      <c r="K42" s="92" t="str">
        <f t="shared" si="0"/>
        <v>4031/4032</v>
      </c>
      <c r="L42" s="21" t="str">
        <f>VLOOKUP(A42,'Trips&amp;Operators'!$C$1:$G$99999,5,FALSE)</f>
        <v>STARKS ANGELINA</v>
      </c>
      <c r="M42" s="6">
        <f t="shared" si="1"/>
        <v>1.2326388889050577E-2</v>
      </c>
      <c r="N42" s="7"/>
      <c r="O42" s="7"/>
      <c r="P42" s="7"/>
      <c r="Q42" s="22"/>
      <c r="R42" s="173"/>
      <c r="S42" s="176"/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9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-06-13T07:08:55-0600',mode:absolute,to:'2017-06-13T09:27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204" t="str">
        <f t="shared" si="6"/>
        <v>Y</v>
      </c>
      <c r="X42" s="204">
        <f t="shared" si="7"/>
        <v>0</v>
      </c>
      <c r="Y42" s="204">
        <f t="shared" si="8"/>
        <v>6.4177999999999997</v>
      </c>
      <c r="Z42" s="204">
        <f t="shared" si="9"/>
        <v>1.47E-2</v>
      </c>
      <c r="AA42" s="204">
        <f t="shared" si="10"/>
        <v>6.4030999999999993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0126-13</v>
      </c>
      <c r="AE42" s="80" t="str">
        <f t="shared" si="1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42" s="77" t="str">
        <f t="shared" si="13"/>
        <v>"C:\Program Files (x86)\AstroGrep\AstroGrep.exe" /e /r /s /spath="%USERPROFILE%\AppData\Local\Temp\OnboardLogs" /stypes="app*4031*20170613*"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126-13 --locoid 4031 --swversion DE.1.0.9.0 --startMP 204:64178 --initTime 2017-06-13T08:08:55 --startdatetime 2017-06-13T08:09:57 --delay 1 --endMP 204:147 --enddatetime 2017-06-13T08:27:42 --enforcementcount 0 &gt;&gt;C:\Users\stu\Documents\GitHub\eaglep3-reporting\EC\2017-06-13-refined-times.txt</v>
      </c>
      <c r="AI42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{"issue":{"subject":"","project_id":79,"tracker_id":40,"status_id":1,"priority_id":2,"assigned_to_id":23,"start_date":"2017-06-13","description":"","custom_fields":[{"id":1,"name":"Subdivision","value":"EC"},{"id":4,"name":"Milepost","value":"0.0147"},{"id":17,"name":"Train ID","value":"126-13"},{"id":16,"name":"Locomotive ID","value":"4031"},{"id":130,"name":"Impact","value":""},{"id":150,"name":"Time of Event (Mountain Time)","value":"08:27:42"},{"id":151,"name":"Denver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4031 --day 2017-06-13</v>
      </c>
      <c r="AN42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14:27:42"},{"id":29,"name":"Sharepoint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663</v>
      </c>
      <c r="B43" s="7">
        <v>4020</v>
      </c>
      <c r="C43" s="21" t="s">
        <v>204</v>
      </c>
      <c r="D43" s="21" t="s">
        <v>350</v>
      </c>
      <c r="E43" s="13">
        <v>42899.290266203701</v>
      </c>
      <c r="F43" s="13">
        <v>42899.291863425926</v>
      </c>
      <c r="G43" s="7">
        <v>1</v>
      </c>
      <c r="H43" s="21" t="s">
        <v>839</v>
      </c>
      <c r="I43" s="13">
        <v>42899.31753472222</v>
      </c>
      <c r="J43" s="7">
        <v>0</v>
      </c>
      <c r="K43" s="92" t="str">
        <f t="shared" si="0"/>
        <v>4019/4020</v>
      </c>
      <c r="L43" s="21" t="str">
        <f>VLOOKUP(A43,'Trips&amp;Operators'!$C$1:$G$99999,5,FALSE)</f>
        <v>LOZA FIDEL</v>
      </c>
      <c r="M43" s="6">
        <f t="shared" si="1"/>
        <v>2.5671296294603962E-2</v>
      </c>
      <c r="N43" s="7">
        <f>24*60*SUM($M43:$M43)</f>
        <v>36.966666664229706</v>
      </c>
      <c r="O43" s="7"/>
      <c r="P43" s="7"/>
      <c r="Q43" s="22"/>
      <c r="R43" s="173"/>
      <c r="S43" s="176">
        <f>SUM(U43:U43)/IF(AG43="EC",12,1)</f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-06-13T05:57:59-0600',mode:absolute,to:'2017-06-13T08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4.58E-2</v>
      </c>
      <c r="Z43" s="204">
        <f t="shared" si="9"/>
        <v>23.330500000000001</v>
      </c>
      <c r="AA43" s="204">
        <f t="shared" si="10"/>
        <v>23.284700000000001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0127-13</v>
      </c>
      <c r="AE43" s="80" t="str">
        <f t="shared" si="12"/>
        <v>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 &amp; 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</v>
      </c>
      <c r="AF43" s="77" t="str">
        <f t="shared" si="13"/>
        <v>"C:\Program Files (x86)\AstroGrep\AstroGrep.exe" /e /r /s /spath="%USERPROFILE%\AppData\Local\Temp\OnboardLogs" /stypes="app*4020*20170613*" /stext=" 13:.+((SYSTEM_STATE.+slice.+state.+changed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127-13 --locoid 4020 --swversion DE.1.0.9.0 --startMP 204:458 --initTime 2017-06-13T06:57:59 --startdatetime 2017-06-13T07:00:17 --delay 1 --endMP 204:233305 --enddatetime 2017-06-13T07:37:15 --enforcementcount 0 &gt;&gt;C:\Users\stu\Documents\GitHub\eaglep3-reporting\EC\2017-06-13-refined-times.txt</v>
      </c>
      <c r="AI43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{"issue":{"subject":"","project_id":79,"tracker_id":40,"status_id":1,"priority_id":2,"assigned_to_id":23,"start_date":"2017-06-13","description":"","custom_fields":[{"id":1,"name":"Subdivision","value":"EC"},{"id":4,"name":"Milepost","value":"23.3305"},{"id":17,"name":"Train ID","value":"127-13"},{"id":16,"name":"Locomotive ID","value":"4020"},{"id":130,"name":"Impact","value":""},{"id":150,"name":"Time of Event (Mountain Time)","value":"07:37:15"},{"id":151,"name":"Denver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4020 --day 2017-06-13</v>
      </c>
      <c r="AN43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671</v>
      </c>
      <c r="B44" s="7">
        <v>4019</v>
      </c>
      <c r="C44" s="21" t="s">
        <v>204</v>
      </c>
      <c r="D44" s="21" t="s">
        <v>840</v>
      </c>
      <c r="E44" s="13">
        <v>42899.329629629632</v>
      </c>
      <c r="F44" s="13">
        <v>42899.330648148149</v>
      </c>
      <c r="G44" s="7">
        <v>1</v>
      </c>
      <c r="H44" s="21" t="s">
        <v>569</v>
      </c>
      <c r="I44" s="13">
        <v>42899.347187500003</v>
      </c>
      <c r="J44" s="7">
        <v>0</v>
      </c>
      <c r="K44" s="92" t="str">
        <f t="shared" si="0"/>
        <v>4019/4020</v>
      </c>
      <c r="L44" s="21" t="str">
        <f>VLOOKUP(A44,'Trips&amp;Operators'!$C$1:$G$99999,5,FALSE)</f>
        <v>LOZA FIDEL</v>
      </c>
      <c r="M44" s="6">
        <f t="shared" si="1"/>
        <v>1.6539351854589768E-2</v>
      </c>
      <c r="N44" s="7"/>
      <c r="O44" s="7"/>
      <c r="P44" s="7">
        <f>24*60*SUM($M44:$M45)</f>
        <v>39.966666674008593</v>
      </c>
      <c r="Q44" s="22"/>
      <c r="R44" s="173" t="s">
        <v>1021</v>
      </c>
      <c r="S44" s="176">
        <f>SUM(U44:U45)/IF(AG44="EC",12,1)</f>
        <v>0.91666666666666663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-06-13T06:54:40-0600',mode:absolute,to:'2017-06-13T09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204" t="str">
        <f t="shared" si="6"/>
        <v>Y</v>
      </c>
      <c r="X44" s="204">
        <f t="shared" si="7"/>
        <v>1</v>
      </c>
      <c r="Y44" s="204">
        <f t="shared" si="8"/>
        <v>23.297999999999998</v>
      </c>
      <c r="Z44" s="204">
        <f t="shared" si="9"/>
        <v>8.6351999999999993</v>
      </c>
      <c r="AA44" s="204">
        <f t="shared" si="10"/>
        <v>14.662799999999999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0128-13</v>
      </c>
      <c r="AE44" s="80" t="str">
        <f t="shared" si="12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44" s="77" t="str">
        <f t="shared" si="13"/>
        <v>"C:\Program Files (x86)\AstroGrep\AstroGrep.exe" /e /r /s /spath="%USERPROFILE%\AppData\Local\Temp\OnboardLogs" /stypes="app*4019*20170613*" /stext=" 14:.+((SYSTEM_STATE.+slice.+state.+changed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128-13 --locoid 4019 --swversion DE.1.0.9.0 --startMP 204:232980 --initTime 2017-06-13T07:54:40 --startdatetime 2017-06-13T07:56:08 --delay 1 --endMP 204:86352 --enddatetime 2017-06-13T08:19:57 --enforcementcount 0 &gt;&gt;C:\Users\stu\Documents\GitHub\eaglep3-reporting\EC\2017-06-13-refined-times.txt</v>
      </c>
      <c r="AI44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ML0816","project_id":79,"tracker_id":40,"status_id":1,"priority_id":2,"assigned_to_id":23,"start_date":"2017-06-13","description":"","custom_fields":[{"id":1,"name":"Subdivision","value":"EC"},{"id":4,"name":"Milepost","value":"8.6352"},{"id":17,"name":"Train ID","value":"128-13"},{"id":16,"name":"Locomotive ID","value":"4019"},{"id":130,"name":"Impact","value":""},{"id":150,"name":"Time of Event (Mountain Time)","value":"08:19:57"},{"id":151,"name":"Denver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4019 --day 2017-06-13</v>
      </c>
      <c r="AN44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671</v>
      </c>
      <c r="B45" s="7">
        <v>4019</v>
      </c>
      <c r="C45" s="21" t="s">
        <v>204</v>
      </c>
      <c r="D45" s="21" t="s">
        <v>841</v>
      </c>
      <c r="E45" s="13">
        <v>42899.350324074076</v>
      </c>
      <c r="F45" s="13">
        <v>42899.351018518515</v>
      </c>
      <c r="G45" s="7">
        <v>0</v>
      </c>
      <c r="H45" s="21" t="s">
        <v>445</v>
      </c>
      <c r="I45" s="13">
        <v>42899.362233796295</v>
      </c>
      <c r="J45" s="7">
        <v>0</v>
      </c>
      <c r="K45" s="92" t="str">
        <f t="shared" si="0"/>
        <v>4019/4020</v>
      </c>
      <c r="L45" s="21" t="str">
        <f>VLOOKUP(A45,'Trips&amp;Operators'!$C$1:$G$99999,5,FALSE)</f>
        <v>LOZA FIDEL</v>
      </c>
      <c r="M45" s="6">
        <f t="shared" si="1"/>
        <v>1.1215277780138422E-2</v>
      </c>
      <c r="N45" s="7"/>
      <c r="O45" s="7"/>
      <c r="P45" s="7"/>
      <c r="Q45" s="22"/>
      <c r="R45" s="173"/>
      <c r="S45" s="176"/>
      <c r="T45" s="202" t="str">
        <f t="shared" si="4"/>
        <v>Southbound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9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-06-13T07:24:28-0600',mode:absolute,to:'2017-06-13T09:41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5" s="204" t="str">
        <f t="shared" si="6"/>
        <v>Y</v>
      </c>
      <c r="X45" s="204">
        <f t="shared" si="7"/>
        <v>0</v>
      </c>
      <c r="Y45" s="204">
        <f t="shared" ref="Y45:Y76" si="25">RIGHT(D45,LEN(D45)-4)/10000</f>
        <v>6.4157000000000002</v>
      </c>
      <c r="Z45" s="204">
        <f t="shared" ref="Z45:Z76" si="26">RIGHT(H45,LEN(H45)-4)/10000</f>
        <v>1.5599999999999999E-2</v>
      </c>
      <c r="AA45" s="204">
        <f t="shared" si="10"/>
        <v>6.4001000000000001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0128-13</v>
      </c>
      <c r="AE45" s="80" t="str">
        <f t="shared" si="12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45" s="77" t="str">
        <f t="shared" si="13"/>
        <v>"C:\Program Files (x86)\AstroGrep\AstroGrep.exe" /e /r /s /spath="%USERPROFILE%\AppData\Local\Temp\OnboardLogs" /stypes="app*4019*20170613*"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128-13 --locoid 4019 --swversion DE.1.0.9.0 --startMP 204:64157 --initTime 2017-06-13T08:24:28 --startdatetime 2017-06-13T08:25:28 --delay 0 --endMP 204:156 --enddatetime 2017-06-13T08:41:37 --enforcementcount 0 &gt;&gt;C:\Users\stu\Documents\GitHub\eaglep3-reporting\EC\2017-06-13-refined-times.txt</v>
      </c>
      <c r="AI45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{"issue":{"subject":"","project_id":79,"tracker_id":40,"status_id":1,"priority_id":2,"assigned_to_id":23,"start_date":"2017-06-13","description":"","custom_fields":[{"id":1,"name":"Subdivision","value":"EC"},{"id":4,"name":"Milepost","value":"0.0156"},{"id":17,"name":"Train ID","value":"128-13"},{"id":16,"name":"Locomotive ID","value":"4019"},{"id":130,"name":"Impact","value":""},{"id":150,"name":"Time of Event (Mountain Time)","value":"08:41:37"},{"id":151,"name":"Denver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4019 --day 2017-06-13</v>
      </c>
      <c r="AN45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14:41:37"},{"id":29,"name":"Sharepoint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596</v>
      </c>
      <c r="B46" s="7">
        <v>4002</v>
      </c>
      <c r="C46" s="21" t="s">
        <v>204</v>
      </c>
      <c r="D46" s="21" t="s">
        <v>558</v>
      </c>
      <c r="E46" s="13">
        <v>42899.299872685187</v>
      </c>
      <c r="F46" s="13">
        <v>42899.302523148152</v>
      </c>
      <c r="G46" s="7">
        <v>1</v>
      </c>
      <c r="H46" s="21" t="s">
        <v>481</v>
      </c>
      <c r="I46" s="13">
        <v>42899.329351851855</v>
      </c>
      <c r="J46" s="7">
        <v>0</v>
      </c>
      <c r="K46" s="92" t="str">
        <f t="shared" si="0"/>
        <v>4001/4002</v>
      </c>
      <c r="L46" s="21" t="str">
        <f>VLOOKUP(A46,'Trips&amp;Operators'!$C$1:$G$99999,5,FALSE)</f>
        <v>BONDS REYNALDO</v>
      </c>
      <c r="M46" s="6">
        <f t="shared" si="1"/>
        <v>2.6828703703358769E-2</v>
      </c>
      <c r="N46" s="7">
        <f>24*60*SUM($M46:$M46)</f>
        <v>38.633333332836628</v>
      </c>
      <c r="O46" s="7"/>
      <c r="P46" s="7"/>
      <c r="Q46" s="22"/>
      <c r="R46" s="173"/>
      <c r="S46" s="176">
        <f>SUM(U46:U46)/IF(AG46="EC",12,1)</f>
        <v>1</v>
      </c>
      <c r="T46" s="202" t="str">
        <f t="shared" si="4"/>
        <v>NorthBound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-06-13T06:11:49-0600',mode:absolute,to:'2017-06-13T08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6" s="204" t="str">
        <f t="shared" si="6"/>
        <v>N</v>
      </c>
      <c r="X46" s="204">
        <f t="shared" si="7"/>
        <v>1</v>
      </c>
      <c r="Y46" s="204">
        <f t="shared" si="25"/>
        <v>4.7300000000000002E-2</v>
      </c>
      <c r="Z46" s="204">
        <f t="shared" si="26"/>
        <v>23.333100000000002</v>
      </c>
      <c r="AA46" s="204">
        <f t="shared" si="10"/>
        <v>23.285800000000002</v>
      </c>
      <c r="AB46" s="57" t="str">
        <f>VLOOKUP(A46,Enforcements!$C$7:$K$13,8,0)</f>
        <v>Bulletin (2)</v>
      </c>
      <c r="AC46" s="53" t="str">
        <f>VLOOKUP(A46,Enforcements!$C$7:$E$13,3,0)</f>
        <v>GRADE CROSSING</v>
      </c>
      <c r="AD46" s="54" t="str">
        <f t="shared" si="11"/>
        <v>0129-13</v>
      </c>
      <c r="AE46" s="80" t="str">
        <f t="shared" si="12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46" s="77" t="str">
        <f t="shared" si="13"/>
        <v>"C:\Program Files (x86)\AstroGrep\AstroGrep.exe" /e /r /s /spath="%USERPROFILE%\AppData\Local\Temp\OnboardLogs" /stypes="app*4002*20170613*" /stext=" 13:.+((SYSTEM_STATE.+slice.+state.+changed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129-13 --locoid 4002 --swversion DE.1.0.9.0 --startMP 204:473 --initTime 2017-06-13T07:11:49 --startdatetime 2017-06-13T07:15:38 --delay 1 --endMP 204:233331 --enddatetime 2017-06-13T07:54:16 --enforcementcount 0 &gt;&gt;C:\Users\stu\Documents\GitHub\eaglep3-reporting\EC\2017-06-13-refined-times.txt</v>
      </c>
      <c r="AI46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{"issue":{"subject":"","project_id":79,"tracker_id":40,"status_id":1,"priority_id":2,"assigned_to_id":23,"start_date":"2017-06-13","description":"","custom_fields":[{"id":1,"name":"Subdivision","value":"EC"},{"id":4,"name":"Milepost","value":"23.3331"},{"id":17,"name":"Train ID","value":"129-13"},{"id":16,"name":"Locomotive ID","value":"4002"},{"id":130,"name":"Impact","value":""},{"id":150,"name":"Time of Event (Mountain Time)","value":"07:54:16"},{"id":151,"name":"Denver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4002 --day 2017-06-13</v>
      </c>
      <c r="AN46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674</v>
      </c>
      <c r="B47" s="7">
        <v>4001</v>
      </c>
      <c r="C47" s="21" t="s">
        <v>204</v>
      </c>
      <c r="D47" s="21" t="s">
        <v>423</v>
      </c>
      <c r="E47" s="13">
        <v>42899.340011574073</v>
      </c>
      <c r="F47" s="13">
        <v>42899.341099537036</v>
      </c>
      <c r="G47" s="7">
        <v>1</v>
      </c>
      <c r="H47" s="21" t="s">
        <v>569</v>
      </c>
      <c r="I47" s="13">
        <v>42899.357141203705</v>
      </c>
      <c r="J47" s="7">
        <v>0</v>
      </c>
      <c r="K47" s="92" t="str">
        <f t="shared" si="0"/>
        <v>4001/4002</v>
      </c>
      <c r="L47" s="21" t="str">
        <f>VLOOKUP(A47,'Trips&amp;Operators'!$C$1:$G$99999,5,FALSE)</f>
        <v>BONDS REYNALDO</v>
      </c>
      <c r="M47" s="6">
        <f t="shared" si="1"/>
        <v>1.6041666669480037E-2</v>
      </c>
      <c r="N47" s="7"/>
      <c r="O47" s="7"/>
      <c r="P47" s="7">
        <f>24*60*SUM($M47:$M48)</f>
        <v>38.683333344524726</v>
      </c>
      <c r="Q47" s="22"/>
      <c r="R47" s="173" t="s">
        <v>1021</v>
      </c>
      <c r="S47" s="176">
        <f>SUM(U47:U48)/IF(AG47="EC",12,1)</f>
        <v>0.91666666666666663</v>
      </c>
      <c r="T47" s="202" t="str">
        <f t="shared" si="4"/>
        <v>Southbound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-06-13T07:09:37-0600',mode:absolute,to:'2017-06-13T09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7" s="204" t="str">
        <f t="shared" si="6"/>
        <v>Y</v>
      </c>
      <c r="X47" s="204">
        <f t="shared" si="7"/>
        <v>1</v>
      </c>
      <c r="Y47" s="204">
        <f t="shared" si="25"/>
        <v>23.297699999999999</v>
      </c>
      <c r="Z47" s="204">
        <f t="shared" si="26"/>
        <v>8.6351999999999993</v>
      </c>
      <c r="AA47" s="204">
        <f t="shared" si="10"/>
        <v>14.6625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0130-13</v>
      </c>
      <c r="AE47" s="80" t="str">
        <f t="shared" si="1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47" s="77" t="str">
        <f t="shared" si="13"/>
        <v>"C:\Program Files (x86)\AstroGrep\AstroGrep.exe" /e /r /s /spath="%USERPROFILE%\AppData\Local\Temp\OnboardLogs" /stypes="app*4001*20170613*"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130-13 --locoid 4001 --swversion DE.1.0.9.0 --startMP 204:232977 --initTime 2017-06-13T08:09:37 --startdatetime 2017-06-13T08:11:11 --delay 1 --endMP 204:86352 --enddatetime 2017-06-13T08:34:17 --enforcementcount 0 &gt;&gt;C:\Users\stu\Documents\GitHub\eaglep3-reporting\EC\2017-06-13-refined-times.txt</v>
      </c>
      <c r="AI47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ML0816","project_id":79,"tracker_id":40,"status_id":1,"priority_id":2,"assigned_to_id":23,"start_date":"2017-06-13","description":"","custom_fields":[{"id":1,"name":"Subdivision","value":"EC"},{"id":4,"name":"Milepost","value":"8.6352"},{"id":17,"name":"Train ID","value":"130-13"},{"id":16,"name":"Locomotive ID","value":"4001"},{"id":130,"name":"Impact","value":""},{"id":150,"name":"Time of Event (Mountain Time)","value":"08:34:17"},{"id":151,"name":"Denver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4001 --day 2017-06-13</v>
      </c>
      <c r="AN47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674</v>
      </c>
      <c r="B48" s="7">
        <v>4001</v>
      </c>
      <c r="C48" s="21" t="s">
        <v>204</v>
      </c>
      <c r="D48" s="21" t="s">
        <v>842</v>
      </c>
      <c r="E48" s="13">
        <v>42899.360648148147</v>
      </c>
      <c r="F48" s="13">
        <v>42899.361388888887</v>
      </c>
      <c r="G48" s="7">
        <v>1</v>
      </c>
      <c r="H48" s="21" t="s">
        <v>195</v>
      </c>
      <c r="I48" s="13">
        <v>42899.372210648151</v>
      </c>
      <c r="J48" s="7">
        <v>0</v>
      </c>
      <c r="K48" s="92" t="str">
        <f t="shared" si="0"/>
        <v>4001/4002</v>
      </c>
      <c r="L48" s="21" t="str">
        <f>VLOOKUP(A48,'Trips&amp;Operators'!$C$1:$G$99999,5,FALSE)</f>
        <v>BONDS REYNALDO</v>
      </c>
      <c r="M48" s="6">
        <f t="shared" si="1"/>
        <v>1.082175926421769E-2</v>
      </c>
      <c r="N48" s="7"/>
      <c r="O48" s="7"/>
      <c r="P48" s="7"/>
      <c r="Q48" s="22"/>
      <c r="R48" s="173"/>
      <c r="S48" s="176"/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9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-06-13T07:39:20-0600',mode:absolute,to:'2017-06-13T09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8" s="204" t="str">
        <f t="shared" si="6"/>
        <v>Y</v>
      </c>
      <c r="X48" s="204">
        <f t="shared" si="7"/>
        <v>0</v>
      </c>
      <c r="Y48" s="204">
        <f t="shared" si="25"/>
        <v>6.4149000000000003</v>
      </c>
      <c r="Z48" s="204">
        <f t="shared" si="26"/>
        <v>1.52E-2</v>
      </c>
      <c r="AA48" s="204">
        <f t="shared" si="10"/>
        <v>6.3997000000000002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0130-13</v>
      </c>
      <c r="AE48" s="80" t="str">
        <f t="shared" si="1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48" s="77" t="str">
        <f t="shared" si="13"/>
        <v>"C:\Program Files (x86)\AstroGrep\AstroGrep.exe" /e /r /s /spath="%USERPROFILE%\AppData\Local\Temp\OnboardLogs" /stypes="app*4001*20170613*" /stext=" 14:.+((SYSTEM_STATE.+slice.+state.+changed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130-13 --locoid 4001 --swversion DE.1.0.9.0 --startMP 204:64149 --initTime 2017-06-13T08:39:20 --startdatetime 2017-06-13T08:40:24 --delay 1 --endMP 204:152 --enddatetime 2017-06-13T08:55:59 --enforcementcount 0 &gt;&gt;C:\Users\stu\Documents\GitHub\eaglep3-reporting\EC\2017-06-13-refined-times.txt</v>
      </c>
      <c r="AI48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{"issue":{"subject":"","project_id":79,"tracker_id":40,"status_id":1,"priority_id":2,"assigned_to_id":23,"start_date":"2017-06-13","description":"","custom_fields":[{"id":1,"name":"Subdivision","value":"EC"},{"id":4,"name":"Milepost","value":"0.0152"},{"id":17,"name":"Train ID","value":"130-13"},{"id":16,"name":"Locomotive ID","value":"4001"},{"id":130,"name":"Impact","value":""},{"id":150,"name":"Time of Event (Mountain Time)","value":"08:55:59"},{"id":151,"name":"Denver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4001 --day 2017-06-13</v>
      </c>
      <c r="AN48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666</v>
      </c>
      <c r="B49" s="7">
        <v>4062</v>
      </c>
      <c r="C49" s="21" t="s">
        <v>204</v>
      </c>
      <c r="D49" s="21" t="s">
        <v>394</v>
      </c>
      <c r="E49" s="13">
        <v>42899.310624999998</v>
      </c>
      <c r="F49" s="13">
        <v>42899.312685185185</v>
      </c>
      <c r="G49" s="7">
        <v>1</v>
      </c>
      <c r="H49" s="21" t="s">
        <v>843</v>
      </c>
      <c r="I49" s="13">
        <v>42899.339594907404</v>
      </c>
      <c r="J49" s="7">
        <v>0</v>
      </c>
      <c r="K49" s="92" t="str">
        <f t="shared" si="0"/>
        <v>4061/4062</v>
      </c>
      <c r="L49" s="21" t="str">
        <f>VLOOKUP(A49,'Trips&amp;Operators'!$C$1:$G$99999,5,FALSE)</f>
        <v>DAVIDSON DAVID</v>
      </c>
      <c r="M49" s="6">
        <f t="shared" si="1"/>
        <v>2.6909722218988463E-2</v>
      </c>
      <c r="N49" s="7">
        <f>24*60*SUM($M49:$M49)</f>
        <v>38.749999995343387</v>
      </c>
      <c r="O49" s="7"/>
      <c r="P49" s="7"/>
      <c r="Q49" s="22"/>
      <c r="R49" s="173"/>
      <c r="S49" s="176">
        <f>SUM(U49:U49)/IF(AG49="EC",12,1)</f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-06-13T06:27:18-0600',mode:absolute,to:'2017-06-13T09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9" s="204" t="str">
        <f t="shared" si="6"/>
        <v>N</v>
      </c>
      <c r="X49" s="204">
        <f t="shared" si="7"/>
        <v>1</v>
      </c>
      <c r="Y49" s="204">
        <f t="shared" si="25"/>
        <v>4.6199999999999998E-2</v>
      </c>
      <c r="Z49" s="204">
        <f t="shared" si="26"/>
        <v>23.327400000000001</v>
      </c>
      <c r="AA49" s="204">
        <f t="shared" si="10"/>
        <v>23.281200000000002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0131-13</v>
      </c>
      <c r="AE49" s="80" t="str">
        <f t="shared" si="12"/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AF49" s="77" t="str">
        <f t="shared" si="13"/>
        <v>"C:\Program Files (x86)\AstroGrep\AstroGrep.exe" /e /r /s /spath="%USERPROFILE%\AppData\Local\Temp\OnboardLogs" /stypes="app*4062*20170613*"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131-13 --locoid 4062 --swversion DE.1.0.9.0 --startMP 204:462 --initTime 2017-06-13T07:27:18 --startdatetime 2017-06-13T07:30:16 --delay 1 --endMP 204:233274 --enddatetime 2017-06-13T08:09:01 --enforcementcount 0 &gt;&gt;C:\Users\stu\Documents\GitHub\eaglep3-reporting\EC\2017-06-13-refined-times.txt</v>
      </c>
      <c r="AI49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{"issue":{"subject":"","project_id":79,"tracker_id":40,"status_id":1,"priority_id":2,"assigned_to_id":23,"start_date":"2017-06-13","description":"","custom_fields":[{"id":1,"name":"Subdivision","value":"EC"},{"id":4,"name":"Milepost","value":"23.3274"},{"id":17,"name":"Train ID","value":"131-13"},{"id":16,"name":"Locomotive ID","value":"4062"},{"id":130,"name":"Impact","value":""},{"id":150,"name":"Time of Event (Mountain Time)","value":"08:09:01"},{"id":151,"name":"Denver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4062 --day 2017-06-13</v>
      </c>
      <c r="AN49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675</v>
      </c>
      <c r="B50" s="7">
        <v>4061</v>
      </c>
      <c r="C50" s="21" t="s">
        <v>204</v>
      </c>
      <c r="D50" s="21" t="s">
        <v>471</v>
      </c>
      <c r="E50" s="13">
        <v>42899.342303240737</v>
      </c>
      <c r="F50" s="13">
        <v>42899.343171296299</v>
      </c>
      <c r="G50" s="7">
        <v>1</v>
      </c>
      <c r="H50" s="21" t="s">
        <v>844</v>
      </c>
      <c r="I50" s="13">
        <v>42899.370034722226</v>
      </c>
      <c r="J50" s="7">
        <v>0</v>
      </c>
      <c r="K50" s="92" t="str">
        <f t="shared" si="0"/>
        <v>4061/4062</v>
      </c>
      <c r="L50" s="21" t="str">
        <f>VLOOKUP(A50,'Trips&amp;Operators'!$C$1:$G$99999,5,FALSE)</f>
        <v>DAVIDSON DAVID</v>
      </c>
      <c r="M50" s="6">
        <f t="shared" si="1"/>
        <v>2.6863425926421769E-2</v>
      </c>
      <c r="N50" s="7"/>
      <c r="O50" s="7"/>
      <c r="P50" s="7">
        <f>24*60*SUM($M50:$M51)</f>
        <v>54.083333329763263</v>
      </c>
      <c r="Q50" s="22"/>
      <c r="R50" s="173" t="s">
        <v>1021</v>
      </c>
      <c r="S50" s="176">
        <f>SUM(U50:U51)/IF(AG50="EC",12,1)</f>
        <v>0.91666666666666663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-06-13T07:12:55-0600',mode:absolute,to:'2017-06-13T09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0" s="204" t="str">
        <f t="shared" si="6"/>
        <v>Y</v>
      </c>
      <c r="X50" s="204">
        <f t="shared" si="7"/>
        <v>1</v>
      </c>
      <c r="Y50" s="204">
        <f t="shared" si="25"/>
        <v>23.296900000000001</v>
      </c>
      <c r="Z50" s="204">
        <f t="shared" si="26"/>
        <v>8.4298999999999999</v>
      </c>
      <c r="AA50" s="204">
        <f t="shared" si="10"/>
        <v>14.867000000000001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0132-13</v>
      </c>
      <c r="AE50" s="80" t="str">
        <f t="shared" si="1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50" s="77" t="str">
        <f t="shared" si="13"/>
        <v>"C:\Program Files (x86)\AstroGrep\AstroGrep.exe" /e /r /s /spath="%USERPROFILE%\AppData\Local\Temp\OnboardLogs" /stypes="app*4061*20170613*" /stext=" 14:.+((SYSTEM_STATE.+slice.+state.+changed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132-13 --locoid 4061 --swversion DE.1.0.9.0 --startMP 204:232969 --initTime 2017-06-13T08:12:55 --startdatetime 2017-06-13T08:14:10 --delay 1 --endMP 204:84299 --enddatetime 2017-06-13T08:52:51 --enforcementcount 0 &gt;&gt;C:\Users\stu\Documents\GitHub\eaglep3-reporting\EC\2017-06-13-refined-times.txt</v>
      </c>
      <c r="AI50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ML0816","project_id":79,"tracker_id":40,"status_id":1,"priority_id":2,"assigned_to_id":23,"start_date":"2017-06-13","description":"","custom_fields":[{"id":1,"name":"Subdivision","value":"EC"},{"id":4,"name":"Milepost","value":"8.4299"},{"id":17,"name":"Train ID","value":"132-13"},{"id":16,"name":"Locomotive ID","value":"4061"},{"id":130,"name":"Impact","value":""},{"id":150,"name":"Time of Event (Mountain Time)","value":"08:52:51"},{"id":151,"name":"Denver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4061 --day 2017-06-13</v>
      </c>
      <c r="AN50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675</v>
      </c>
      <c r="B51" s="7">
        <v>4061</v>
      </c>
      <c r="C51" s="21" t="s">
        <v>204</v>
      </c>
      <c r="D51" s="21" t="s">
        <v>834</v>
      </c>
      <c r="E51" s="13">
        <v>42899.372986111113</v>
      </c>
      <c r="F51" s="13">
        <v>42899.373703703706</v>
      </c>
      <c r="G51" s="7">
        <v>1</v>
      </c>
      <c r="H51" s="21" t="s">
        <v>561</v>
      </c>
      <c r="I51" s="13">
        <v>42899.384398148148</v>
      </c>
      <c r="J51" s="7">
        <v>0</v>
      </c>
      <c r="K51" s="92" t="str">
        <f t="shared" si="0"/>
        <v>4061/4062</v>
      </c>
      <c r="L51" s="21" t="str">
        <f>VLOOKUP(A51,'Trips&amp;Operators'!$C$1:$G$99999,5,FALSE)</f>
        <v>DAVIDSON DAVID</v>
      </c>
      <c r="M51" s="6">
        <f t="shared" si="1"/>
        <v>1.0694444441469386E-2</v>
      </c>
      <c r="N51" s="7"/>
      <c r="O51" s="7"/>
      <c r="P51" s="7"/>
      <c r="Q51" s="22"/>
      <c r="R51" s="173"/>
      <c r="S51" s="176"/>
      <c r="T51" s="202" t="str">
        <f t="shared" si="4"/>
        <v>Southbound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9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-06-13T07:57:06-0600',mode:absolute,to:'2017-06-13T10:13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1" s="204" t="str">
        <f t="shared" si="6"/>
        <v>Y</v>
      </c>
      <c r="X51" s="204">
        <f t="shared" si="7"/>
        <v>0</v>
      </c>
      <c r="Y51" s="204">
        <f t="shared" si="25"/>
        <v>6.4165000000000001</v>
      </c>
      <c r="Z51" s="204">
        <f t="shared" si="26"/>
        <v>1.6E-2</v>
      </c>
      <c r="AA51" s="204">
        <f t="shared" si="10"/>
        <v>6.4005000000000001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0132-13</v>
      </c>
      <c r="AE51" s="80" t="str">
        <f t="shared" si="1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51" s="77" t="str">
        <f t="shared" si="13"/>
        <v>"C:\Program Files (x86)\AstroGrep\AstroGrep.exe" /e /r /s /spath="%USERPROFILE%\AppData\Local\Temp\OnboardLogs" /stypes="app*4061*20170613*"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132-13 --locoid 4061 --swversion DE.1.0.9.0 --startMP 204:64165 --initTime 2017-06-13T08:57:06 --startdatetime 2017-06-13T08:58:08 --delay 1 --endMP 204:160 --enddatetime 2017-06-13T09:13:32 --enforcementcount 0 &gt;&gt;C:\Users\stu\Documents\GitHub\eaglep3-reporting\EC\2017-06-13-refined-times.txt</v>
      </c>
      <c r="AI51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{"issue":{"subject":"","project_id":79,"tracker_id":40,"status_id":1,"priority_id":2,"assigned_to_id":23,"start_date":"2017-06-13","description":"","custom_fields":[{"id":1,"name":"Subdivision","value":"EC"},{"id":4,"name":"Milepost","value":"0.016"},{"id":17,"name":"Train ID","value":"132-13"},{"id":16,"name":"Locomotive ID","value":"4061"},{"id":130,"name":"Impact","value":""},{"id":150,"name":"Time of Event (Mountain Time)","value":"09:13:32"},{"id":151,"name":"Denver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4061 --day 2017-06-13</v>
      </c>
      <c r="AN51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15:13:32"},{"id":29,"name":"Sharepoint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669</v>
      </c>
      <c r="B52" s="7">
        <v>4006</v>
      </c>
      <c r="C52" s="21" t="s">
        <v>204</v>
      </c>
      <c r="D52" s="21" t="s">
        <v>200</v>
      </c>
      <c r="E52" s="13">
        <v>42899.320092592592</v>
      </c>
      <c r="F52" s="13">
        <v>42899.323321759257</v>
      </c>
      <c r="G52" s="7">
        <v>1</v>
      </c>
      <c r="H52" s="21" t="s">
        <v>559</v>
      </c>
      <c r="I52" s="13">
        <v>42899.349629629629</v>
      </c>
      <c r="J52" s="7">
        <v>0</v>
      </c>
      <c r="K52" s="92" t="str">
        <f t="shared" si="0"/>
        <v>4005/4006</v>
      </c>
      <c r="L52" s="21" t="str">
        <f>VLOOKUP(A52,'Trips&amp;Operators'!$C$1:$G$99999,5,FALSE)</f>
        <v>MAELZER KURT</v>
      </c>
      <c r="M52" s="6">
        <f t="shared" si="1"/>
        <v>2.6307870371965691E-2</v>
      </c>
      <c r="N52" s="7">
        <f>24*60*SUM($M52:$M52)</f>
        <v>37.883333335630596</v>
      </c>
      <c r="O52" s="7"/>
      <c r="P52" s="7"/>
      <c r="Q52" s="22"/>
      <c r="R52" s="173"/>
      <c r="S52" s="176">
        <f>SUM(U52:U52)/IF(AG52="EC",12,1)</f>
        <v>1</v>
      </c>
      <c r="T52" s="202" t="str">
        <f t="shared" si="4"/>
        <v>NorthBound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-06-13T06:40:56-0600',mode:absolute,to:'2017-06-13T09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2" s="204" t="str">
        <f t="shared" si="6"/>
        <v>N</v>
      </c>
      <c r="X52" s="204">
        <f t="shared" si="7"/>
        <v>1</v>
      </c>
      <c r="Y52" s="204">
        <f t="shared" si="25"/>
        <v>4.5699999999999998E-2</v>
      </c>
      <c r="Z52" s="204">
        <f t="shared" si="26"/>
        <v>23.331</v>
      </c>
      <c r="AA52" s="204">
        <f t="shared" si="10"/>
        <v>23.285299999999999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0133-13</v>
      </c>
      <c r="AE52" s="80" t="str">
        <f t="shared" si="12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52" s="77" t="str">
        <f t="shared" si="13"/>
        <v>"C:\Program Files (x86)\AstroGrep\AstroGrep.exe" /e /r /s /spath="%USERPROFILE%\AppData\Local\Temp\OnboardLogs" /stypes="app*4006*20170613*" /stext=" 14:.+((SYSTEM_STATE.+slice.+state.+changed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133-13 --locoid 4006 --swversion DE.1.0.9.0 --startMP 204:457 --initTime 2017-06-13T07:40:56 --startdatetime 2017-06-13T07:45:35 --delay 1 --endMP 204:233310 --enddatetime 2017-06-13T08:23:28 --enforcementcount 0 &gt;&gt;C:\Users\stu\Documents\GitHub\eaglep3-reporting\EC\2017-06-13-refined-times.txt</v>
      </c>
      <c r="AI52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{"issue":{"subject":"","project_id":79,"tracker_id":40,"status_id":1,"priority_id":2,"assigned_to_id":23,"start_date":"2017-06-13","description":"","custom_fields":[{"id":1,"name":"Subdivision","value":"EC"},{"id":4,"name":"Milepost","value":"23.331"},{"id":17,"name":"Train ID","value":"133-13"},{"id":16,"name":"Locomotive ID","value":"4006"},{"id":130,"name":"Impact","value":""},{"id":150,"name":"Time of Event (Mountain Time)","value":"08:23:28"},{"id":151,"name":"Denver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4006 --day 2017-06-13</v>
      </c>
      <c r="AN52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679</v>
      </c>
      <c r="B53" s="7">
        <v>4005</v>
      </c>
      <c r="C53" s="21" t="s">
        <v>204</v>
      </c>
      <c r="D53" s="21" t="s">
        <v>845</v>
      </c>
      <c r="E53" s="13">
        <v>42899.356516203705</v>
      </c>
      <c r="F53" s="13">
        <v>42899.357222222221</v>
      </c>
      <c r="G53" s="7">
        <v>1</v>
      </c>
      <c r="H53" s="21" t="s">
        <v>833</v>
      </c>
      <c r="I53" s="13">
        <v>42899.377256944441</v>
      </c>
      <c r="J53" s="7">
        <v>0</v>
      </c>
      <c r="K53" s="92" t="str">
        <f t="shared" si="0"/>
        <v>4005/4006</v>
      </c>
      <c r="L53" s="21" t="str">
        <f>VLOOKUP(A53,'Trips&amp;Operators'!$C$1:$G$99999,5,FALSE)</f>
        <v>MAELZER KURT</v>
      </c>
      <c r="M53" s="6">
        <f t="shared" si="1"/>
        <v>2.0034722219861578E-2</v>
      </c>
      <c r="N53" s="7"/>
      <c r="O53" s="7"/>
      <c r="P53" s="7">
        <f>24*60*SUM($M53:$M54)</f>
        <v>44.399999995948747</v>
      </c>
      <c r="Q53" s="22"/>
      <c r="R53" s="173" t="s">
        <v>1021</v>
      </c>
      <c r="S53" s="176">
        <f>SUM(U53:U54)/IF(AG53="EC",12,1)</f>
        <v>0.91666666666666663</v>
      </c>
      <c r="T53" s="202" t="str">
        <f t="shared" si="4"/>
        <v>Southbound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-06-13T07:33:23-0600',mode:absolute,to:'2017-06-13T10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204" t="str">
        <f t="shared" si="6"/>
        <v>Y</v>
      </c>
      <c r="X53" s="204">
        <f t="shared" si="7"/>
        <v>1</v>
      </c>
      <c r="Y53" s="204">
        <f t="shared" si="25"/>
        <v>23.301500000000001</v>
      </c>
      <c r="Z53" s="204">
        <f t="shared" si="26"/>
        <v>8.6353000000000009</v>
      </c>
      <c r="AA53" s="204">
        <f t="shared" si="10"/>
        <v>14.6662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0134-13</v>
      </c>
      <c r="AE53" s="80" t="str">
        <f t="shared" si="1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53" s="77" t="str">
        <f t="shared" si="13"/>
        <v>"C:\Program Files (x86)\AstroGrep\AstroGrep.exe" /e /r /s /spath="%USERPROFILE%\AppData\Local\Temp\OnboardLogs" /stypes="app*4005*20170613*"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134-13 --locoid 4005 --swversion DE.1.0.9.0 --startMP 204:233015 --initTime 2017-06-13T08:33:23 --startdatetime 2017-06-13T08:34:24 --delay 1 --endMP 204:86353 --enddatetime 2017-06-13T09:03:15 --enforcementcount 0 &gt;&gt;C:\Users\stu\Documents\GitHub\eaglep3-reporting\EC\2017-06-13-refined-times.txt</v>
      </c>
      <c r="AI53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ID","value":"134-13"},{"id":16,"name":"Locomotive ID","value":"4005"},{"id":130,"name":"Impact","value":""},{"id":150,"name":"Time of Event (Mountain Time)","value":"09:03:15"},{"id":151,"name":"Denver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4005 --day 2017-06-13</v>
      </c>
      <c r="AN53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679</v>
      </c>
      <c r="B54" s="7">
        <v>4005</v>
      </c>
      <c r="C54" s="21" t="s">
        <v>204</v>
      </c>
      <c r="D54" s="21" t="s">
        <v>846</v>
      </c>
      <c r="E54" s="13">
        <v>42899.38045138889</v>
      </c>
      <c r="F54" s="13">
        <v>42899.381018518521</v>
      </c>
      <c r="G54" s="7">
        <v>0</v>
      </c>
      <c r="H54" s="21" t="s">
        <v>352</v>
      </c>
      <c r="I54" s="13">
        <v>42899.391817129632</v>
      </c>
      <c r="J54" s="7">
        <v>0</v>
      </c>
      <c r="K54" s="92" t="str">
        <f t="shared" si="0"/>
        <v>4005/4006</v>
      </c>
      <c r="L54" s="21" t="str">
        <f>VLOOKUP(A54,'Trips&amp;Operators'!$C$1:$G$99999,5,FALSE)</f>
        <v>MAELZER KURT</v>
      </c>
      <c r="M54" s="6">
        <f t="shared" si="1"/>
        <v>1.0798611110658385E-2</v>
      </c>
      <c r="N54" s="7"/>
      <c r="O54" s="7"/>
      <c r="P54" s="7"/>
      <c r="Q54" s="22"/>
      <c r="R54" s="173"/>
      <c r="S54" s="176"/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9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-06-13T08:07:51-0600',mode:absolute,to:'2017-06-13T10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4" s="204" t="str">
        <f t="shared" si="6"/>
        <v>Y</v>
      </c>
      <c r="X54" s="204">
        <f t="shared" si="7"/>
        <v>0</v>
      </c>
      <c r="Y54" s="204">
        <f t="shared" si="25"/>
        <v>6.4146999999999998</v>
      </c>
      <c r="Z54" s="204">
        <f t="shared" si="26"/>
        <v>1.49E-2</v>
      </c>
      <c r="AA54" s="204">
        <f t="shared" si="10"/>
        <v>6.3997999999999999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0134-13</v>
      </c>
      <c r="AE54" s="80" t="str">
        <f t="shared" si="1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54" s="77" t="str">
        <f t="shared" si="13"/>
        <v>"C:\Program Files (x86)\AstroGrep\AstroGrep.exe" /e /r /s /spath="%USERPROFILE%\AppData\Local\Temp\OnboardLogs" /stypes="app*4005*20170613*" /stext=" 15:.+((SYSTEM_STATE.+slice.+state.+changed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134-13 --locoid 4005 --swversion DE.1.0.9.0 --startMP 204:64147 --initTime 2017-06-13T09:07:51 --startdatetime 2017-06-13T09:08:40 --delay 0 --endMP 204:149 --enddatetime 2017-06-13T09:24:13 --enforcementcount 0 &gt;&gt;C:\Users\stu\Documents\GitHub\eaglep3-reporting\EC\2017-06-13-refined-times.txt</v>
      </c>
      <c r="AI54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{"issue":{"subject":"","project_id":79,"tracker_id":40,"status_id":1,"priority_id":2,"assigned_to_id":23,"start_date":"2017-06-13","description":"","custom_fields":[{"id":1,"name":"Subdivision","value":"EC"},{"id":4,"name":"Milepost","value":"0.0149"},{"id":17,"name":"Train ID","value":"134-13"},{"id":16,"name":"Locomotive ID","value":"4005"},{"id":130,"name":"Impact","value":""},{"id":150,"name":"Time of Event (Mountain Time)","value":"09:24:13"},{"id":151,"name":"Denver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4005 --day 2017-06-13</v>
      </c>
      <c r="AN54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672</v>
      </c>
      <c r="B55" s="7">
        <v>4046</v>
      </c>
      <c r="C55" s="21" t="s">
        <v>204</v>
      </c>
      <c r="D55" s="21" t="s">
        <v>345</v>
      </c>
      <c r="E55" s="13">
        <v>42899.332268518519</v>
      </c>
      <c r="F55" s="13">
        <v>42899.333495370367</v>
      </c>
      <c r="G55" s="7">
        <v>0</v>
      </c>
      <c r="H55" s="21" t="s">
        <v>847</v>
      </c>
      <c r="I55" s="13">
        <v>42899.357870370368</v>
      </c>
      <c r="J55" s="7">
        <v>0</v>
      </c>
      <c r="K55" s="92" t="str">
        <f t="shared" si="0"/>
        <v>4045/4046</v>
      </c>
      <c r="L55" s="21" t="str">
        <f>VLOOKUP(A55,'Trips&amp;Operators'!$C$1:$G$99999,5,FALSE)</f>
        <v>LALONDE GREGORY</v>
      </c>
      <c r="M55" s="6">
        <f t="shared" si="1"/>
        <v>2.4375000000873115E-2</v>
      </c>
      <c r="N55" s="7">
        <f>24*60*SUM($M55:$M55)</f>
        <v>35.100000001257285</v>
      </c>
      <c r="O55" s="7"/>
      <c r="P55" s="7"/>
      <c r="Q55" s="22"/>
      <c r="R55" s="173"/>
      <c r="S55" s="176">
        <f>SUM(U55:U55)/IF(AG55="EC",12,1)</f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-06-13T06:58:28-0600',mode:absolute,to:'2017-06-13T09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204" t="str">
        <f t="shared" si="6"/>
        <v>N</v>
      </c>
      <c r="X55" s="204">
        <f t="shared" si="7"/>
        <v>1</v>
      </c>
      <c r="Y55" s="204">
        <f t="shared" si="25"/>
        <v>4.4900000000000002E-2</v>
      </c>
      <c r="Z55" s="204">
        <f t="shared" si="26"/>
        <v>23.333600000000001</v>
      </c>
      <c r="AA55" s="204">
        <f t="shared" si="10"/>
        <v>23.288700000000002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0135-13</v>
      </c>
      <c r="AE55" s="80" t="str">
        <f t="shared" si="12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55" s="77" t="str">
        <f t="shared" si="13"/>
        <v>"C:\Program Files (x86)\AstroGrep\AstroGrep.exe" /e /r /s /spath="%USERPROFILE%\AppData\Local\Temp\OnboardLogs" /stypes="app*4046*20170613*" /stext=" 14:.+((SYSTEM_STATE.+slice.+state.+changed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135-13 --locoid 4046 --swversion DE.1.0.9.0 --startMP 204:449 --initTime 2017-06-13T07:58:28 --startdatetime 2017-06-13T08:00:14 --delay 0 --endMP 204:233336 --enddatetime 2017-06-13T08:35:20 --enforcementcount 0 &gt;&gt;C:\Users\stu\Documents\GitHub\eaglep3-reporting\EC\2017-06-13-refined-times.txt</v>
      </c>
      <c r="AI55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{"issue":{"subject":"","project_id":79,"tracker_id":40,"status_id":1,"priority_id":2,"assigned_to_id":23,"start_date":"2017-06-13","description":"","custom_fields":[{"id":1,"name":"Subdivision","value":"EC"},{"id":4,"name":"Milepost","value":"23.3336"},{"id":17,"name":"Train ID","value":"135-13"},{"id":16,"name":"Locomotive ID","value":"4046"},{"id":130,"name":"Impact","value":""},{"id":150,"name":"Time of Event (Mountain Time)","value":"08:35:20"},{"id":151,"name":"Denver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4046 --day 2017-06-13</v>
      </c>
      <c r="AN55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681</v>
      </c>
      <c r="B56" s="7">
        <v>4045</v>
      </c>
      <c r="C56" s="21" t="s">
        <v>204</v>
      </c>
      <c r="D56" s="21" t="s">
        <v>848</v>
      </c>
      <c r="E56" s="13">
        <v>42899.359872685185</v>
      </c>
      <c r="F56" s="13">
        <v>42899.360543981478</v>
      </c>
      <c r="G56" s="7">
        <v>0</v>
      </c>
      <c r="H56" s="21" t="s">
        <v>569</v>
      </c>
      <c r="I56" s="13">
        <v>42899.387777777774</v>
      </c>
      <c r="J56" s="7">
        <v>0</v>
      </c>
      <c r="K56" s="92" t="str">
        <f t="shared" si="0"/>
        <v>4045/4046</v>
      </c>
      <c r="L56" s="21" t="str">
        <f>VLOOKUP(A56,'Trips&amp;Operators'!$C$1:$G$99999,5,FALSE)</f>
        <v>LALONDE GREGORY</v>
      </c>
      <c r="M56" s="6">
        <f t="shared" si="1"/>
        <v>2.7233796296059154E-2</v>
      </c>
      <c r="N56" s="7"/>
      <c r="O56" s="7"/>
      <c r="P56" s="7">
        <f>24*60*SUM($M56:$M57)</f>
        <v>53.516666666837409</v>
      </c>
      <c r="Q56" s="22"/>
      <c r="R56" s="173" t="s">
        <v>1021</v>
      </c>
      <c r="S56" s="176">
        <f>SUM(U56:U57)/IF(AG56="EC",12,1)</f>
        <v>0.91666666666666663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-06-13T07:38:13-0600',mode:absolute,to:'2017-06-13T10:18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204" t="str">
        <f t="shared" si="6"/>
        <v>Y</v>
      </c>
      <c r="X56" s="204">
        <f t="shared" si="7"/>
        <v>1</v>
      </c>
      <c r="Y56" s="204">
        <f t="shared" si="25"/>
        <v>23.3005</v>
      </c>
      <c r="Z56" s="204">
        <f t="shared" si="26"/>
        <v>8.6351999999999993</v>
      </c>
      <c r="AA56" s="204">
        <f t="shared" si="10"/>
        <v>14.6653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0136-13</v>
      </c>
      <c r="AE56" s="80" t="str">
        <f t="shared" si="1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56" s="77" t="str">
        <f t="shared" si="13"/>
        <v>"C:\Program Files (x86)\AstroGrep\AstroGrep.exe" /e /r /s /spath="%USERPROFILE%\AppData\Local\Temp\OnboardLogs" /stypes="app*4045*20170613*" /stext=" 15:.+((SYSTEM_STATE.+slice.+state.+changed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136-13 --locoid 4045 --swversion DE.1.0.9.0 --startMP 204:233005 --initTime 2017-06-13T08:38:13 --startdatetime 2017-06-13T08:39:11 --delay 0 --endMP 204:86352 --enddatetime 2017-06-13T09:18:24 --enforcementcount 0 &gt;&gt;C:\Users\stu\Documents\GitHub\eaglep3-reporting\EC\2017-06-13-refined-times.txt</v>
      </c>
      <c r="AI56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ML0816","project_id":79,"tracker_id":40,"status_id":1,"priority_id":2,"assigned_to_id":23,"start_date":"2017-06-13","description":"","custom_fields":[{"id":1,"name":"Subdivision","value":"EC"},{"id":4,"name":"Milepost","value":"8.6352"},{"id":17,"name":"Train ID","value":"136-13"},{"id":16,"name":"Locomotive ID","value":"4045"},{"id":130,"name":"Impact","value":""},{"id":150,"name":"Time of Event (Mountain Time)","value":"09:18:24"},{"id":151,"name":"Denver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4045 --day 2017-06-13</v>
      </c>
      <c r="AN56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15:18:24"},{"id":29,"name":"Sharepoint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681</v>
      </c>
      <c r="B57" s="7">
        <v>4045</v>
      </c>
      <c r="C57" s="21" t="s">
        <v>204</v>
      </c>
      <c r="D57" s="21" t="s">
        <v>849</v>
      </c>
      <c r="E57" s="13">
        <v>42899.391134259262</v>
      </c>
      <c r="F57" s="13">
        <v>42899.391689814816</v>
      </c>
      <c r="G57" s="7">
        <v>0</v>
      </c>
      <c r="H57" s="21" t="s">
        <v>362</v>
      </c>
      <c r="I57" s="13">
        <v>42899.401620370372</v>
      </c>
      <c r="J57" s="7">
        <v>0</v>
      </c>
      <c r="K57" s="92" t="str">
        <f t="shared" si="0"/>
        <v>4045/4046</v>
      </c>
      <c r="L57" s="21" t="str">
        <f>VLOOKUP(A57,'Trips&amp;Operators'!$C$1:$G$99999,5,FALSE)</f>
        <v>LALONDE GREGORY</v>
      </c>
      <c r="M57" s="6">
        <f t="shared" si="1"/>
        <v>9.930555555911269E-3</v>
      </c>
      <c r="N57" s="7"/>
      <c r="O57" s="7"/>
      <c r="P57" s="7"/>
      <c r="Q57" s="22"/>
      <c r="R57" s="173"/>
      <c r="S57" s="176"/>
      <c r="T57" s="202" t="str">
        <f t="shared" si="4"/>
        <v>Southbound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9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-06-13T08:23:14-0600',mode:absolute,to:'2017-06-13T10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204" t="str">
        <f t="shared" si="6"/>
        <v>Y</v>
      </c>
      <c r="X57" s="204">
        <f t="shared" ref="X57:X63" si="27">VALUE(LEFT(AD57,4))-VALUE(LEFT(AD56,4))</f>
        <v>0</v>
      </c>
      <c r="Y57" s="204">
        <f t="shared" si="25"/>
        <v>6.4153000000000002</v>
      </c>
      <c r="Z57" s="204">
        <f t="shared" si="26"/>
        <v>1.47E-2</v>
      </c>
      <c r="AA57" s="204">
        <f t="shared" si="10"/>
        <v>6.4005999999999998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0136-13</v>
      </c>
      <c r="AE57" s="80" t="str">
        <f t="shared" si="1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57" s="77" t="str">
        <f t="shared" si="13"/>
        <v>"C:\Program Files (x86)\AstroGrep\AstroGrep.exe" /e /r /s /spath="%USERPROFILE%\AppData\Local\Temp\OnboardLogs" /stypes="app*4045*20170613*"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136-13 --locoid 4045 --swversion DE.1.0.9.0 --startMP 204:64153 --initTime 2017-06-13T09:23:14 --startdatetime 2017-06-13T09:24:02 --delay 0 --endMP 204:147 --enddatetime 2017-06-13T09:38:20 --enforcementcount 0 &gt;&gt;C:\Users\stu\Documents\GitHub\eaglep3-reporting\EC\2017-06-13-refined-times.txt</v>
      </c>
      <c r="AI57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{"issue":{"subject":"","project_id":79,"tracker_id":40,"status_id":1,"priority_id":2,"assigned_to_id":23,"start_date":"2017-06-13","description":"","custom_fields":[{"id":1,"name":"Subdivision","value":"EC"},{"id":4,"name":"Milepost","value":"0.0147"},{"id":17,"name":"Train ID","value":"136-13"},{"id":16,"name":"Locomotive ID","value":"4045"},{"id":130,"name":"Impact","value":""},{"id":150,"name":"Time of Event (Mountain Time)","value":"09:38:20"},{"id":151,"name":"Denver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4045 --day 2017-06-13</v>
      </c>
      <c r="AN57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676</v>
      </c>
      <c r="B58" s="7">
        <v>4054</v>
      </c>
      <c r="C58" s="21" t="s">
        <v>204</v>
      </c>
      <c r="D58" s="21" t="s">
        <v>850</v>
      </c>
      <c r="E58" s="13">
        <v>42899.351446759261</v>
      </c>
      <c r="F58" s="13">
        <v>42899.352986111109</v>
      </c>
      <c r="G58" s="7">
        <v>1</v>
      </c>
      <c r="H58" s="21" t="s">
        <v>851</v>
      </c>
      <c r="I58" s="13">
        <v>42899.376319444447</v>
      </c>
      <c r="J58" s="7">
        <v>0</v>
      </c>
      <c r="K58" s="92" t="str">
        <f t="shared" si="0"/>
        <v>4053/4054</v>
      </c>
      <c r="L58" s="21" t="str">
        <f>VLOOKUP(A58,'Trips&amp;Operators'!$C$1:$G$99999,5,FALSE)</f>
        <v>MACDONALD THOMAS</v>
      </c>
      <c r="M58" s="6">
        <f t="shared" si="1"/>
        <v>2.3333333338086959E-2</v>
      </c>
      <c r="N58" s="7"/>
      <c r="O58" s="7"/>
      <c r="P58" s="7">
        <f>24*60*SUM($M58:$M58)</f>
        <v>33.600000006845221</v>
      </c>
      <c r="Q58" s="22"/>
      <c r="R58" s="173" t="s">
        <v>587</v>
      </c>
      <c r="S58" s="176">
        <f>SUM(U58:U58)/IF(AG58="EC",12,1)</f>
        <v>1</v>
      </c>
      <c r="T58" s="202" t="str">
        <f t="shared" si="4"/>
        <v>NorthBound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-06-13T07:26:05-0600',mode:absolute,to:'2017-06-13T10:01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204" t="str">
        <f t="shared" si="6"/>
        <v>Y</v>
      </c>
      <c r="X58" s="204">
        <f t="shared" si="27"/>
        <v>1</v>
      </c>
      <c r="Y58" s="204">
        <f t="shared" si="25"/>
        <v>1.9111</v>
      </c>
      <c r="Z58" s="204">
        <f t="shared" si="26"/>
        <v>23.327000000000002</v>
      </c>
      <c r="AA58" s="204">
        <f t="shared" si="10"/>
        <v>21.415900000000001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0137-13</v>
      </c>
      <c r="AE58" s="80" t="str">
        <f t="shared" si="12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58" s="77" t="str">
        <f t="shared" si="13"/>
        <v>"C:\Program Files (x86)\AstroGrep\AstroGrep.exe" /e /r /s /spath="%USERPROFILE%\AppData\Local\Temp\OnboardLogs" /stypes="app*4054*20170613*" /stext=" 15:.+((SYSTEM_STATE.+slice.+state.+changed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137-13 --locoid 4054 --swversion DE.1.0.9.0 --startMP 204:19111 --initTime 2017-06-13T08:26:05 --startdatetime 2017-06-13T08:28:18 --delay 1 --endMP 204:233270 --enddatetime 2017-06-13T09:01:54 --enforcementcount 0 &gt;&gt;C:\Users\stu\Documents\GitHub\eaglep3-reporting\EC\2017-06-13-refined-times.txt</v>
      </c>
      <c r="AI58" s="99" t="str">
        <f t="shared" si="20"/>
        <v>echo {"issue":{"subject":"Onboard in-route failure","project_id":79,"tracker_id":40,"status_id":1,"priority_id":2,"assigned_to_id":23,"start_date":"2017-06-13","description":"","custom_fields":[{"id":1,"name":"Subdivision","value":"EC"},{"id":4,"name":"Milepost","value":"23.327"},{"id":17,"name":"Train ID","value":"137-13"},{"id":16,"name":"Locomotive ID","value":"4054"},{"id":130,"name":"Impact","value":""},{"id":150,"name":"Time of Event (Mountain Time)","value":"09:01:54"},{"id":151,"name":"Denver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4054 --day 2017-06-13</v>
      </c>
      <c r="AN58" s="154" t="str">
        <f t="shared" si="22"/>
        <v>echo {"issue":{"subject":"Onboard in-route failure","project_id":30,"tracker_id":4,"status_id":1,"priority_id":1,"assigned_to_id":10,"start_date":"2017-06-13","description":"","custom_fields":[{"id":30,"name":"Category","value":"Issue"},{"id":3,"name":"Functional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15:01:54"},{"id":29,"name":"Sharepoint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685</v>
      </c>
      <c r="B59" s="7">
        <v>4053</v>
      </c>
      <c r="C59" s="21" t="s">
        <v>204</v>
      </c>
      <c r="D59" s="21" t="s">
        <v>853</v>
      </c>
      <c r="E59" s="13">
        <v>42899.381863425922</v>
      </c>
      <c r="F59" s="13">
        <v>42899.382534722223</v>
      </c>
      <c r="G59" s="7">
        <v>0</v>
      </c>
      <c r="H59" s="21" t="s">
        <v>854</v>
      </c>
      <c r="I59" s="13">
        <v>42899.397534722222</v>
      </c>
      <c r="J59" s="7">
        <v>0</v>
      </c>
      <c r="K59" s="92" t="str">
        <f t="shared" si="0"/>
        <v>4053/4054</v>
      </c>
      <c r="L59" s="21" t="str">
        <f>VLOOKUP(A59,'Trips&amp;Operators'!$C$1:$G$99999,5,FALSE)</f>
        <v>MACDONALD THOMAS</v>
      </c>
      <c r="M59" s="6">
        <f t="shared" si="1"/>
        <v>1.4999999999417923E-2</v>
      </c>
      <c r="N59" s="7"/>
      <c r="O59" s="7"/>
      <c r="P59" s="7">
        <f>24*60*SUM($M59:$M60)</f>
        <v>36.916666663018987</v>
      </c>
      <c r="Q59" s="22"/>
      <c r="R59" s="173" t="s">
        <v>1021</v>
      </c>
      <c r="S59" s="176">
        <f>SUM(U59:U60)/IF(AG59="EC",12,1)</f>
        <v>0.91666666666666663</v>
      </c>
      <c r="T59" s="202" t="str">
        <f t="shared" si="4"/>
        <v>Southbound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-06-13T08:09:53-0600',mode:absolute,to:'2017-06-13T10:32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204" t="str">
        <f t="shared" si="6"/>
        <v>Y</v>
      </c>
      <c r="X59" s="204">
        <f t="shared" si="27"/>
        <v>1</v>
      </c>
      <c r="Y59" s="204">
        <f t="shared" si="25"/>
        <v>23.295500000000001</v>
      </c>
      <c r="Z59" s="204">
        <f t="shared" si="26"/>
        <v>8.6355000000000004</v>
      </c>
      <c r="AA59" s="204">
        <f t="shared" si="10"/>
        <v>14.66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0138-13</v>
      </c>
      <c r="AE59" s="80" t="str">
        <f t="shared" si="1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59" s="77" t="str">
        <f t="shared" si="13"/>
        <v>"C:\Program Files (x86)\AstroGrep\AstroGrep.exe" /e /r /s /spath="%USERPROFILE%\AppData\Local\Temp\OnboardLogs" /stypes="app*4053*20170613*" /stext=" 15:.+((SYSTEM_STATE.+slice.+state.+changed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138-13 --locoid 4053 --swversion DE.1.0.9.0 --startMP 204:232955 --initTime 2017-06-13T09:09:53 --startdatetime 2017-06-13T09:10:51 --delay 0 --endMP 204:86355 --enddatetime 2017-06-13T09:32:27 --enforcementcount 0 &gt;&gt;C:\Users\stu\Documents\GitHub\eaglep3-reporting\EC\2017-06-13-refined-times.txt</v>
      </c>
      <c r="AI59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ML0816","project_id":79,"tracker_id":40,"status_id":1,"priority_id":2,"assigned_to_id":23,"start_date":"2017-06-13","description":"","custom_fields":[{"id":1,"name":"Subdivision","value":"EC"},{"id":4,"name":"Milepost","value":"8.6355"},{"id":17,"name":"Train ID","value":"138-13"},{"id":16,"name":"Locomotive ID","value":"4053"},{"id":130,"name":"Impact","value":""},{"id":150,"name":"Time of Event (Mountain Time)","value":"09:32:27"},{"id":151,"name":"Denver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4053 --day 2017-06-13</v>
      </c>
      <c r="AN59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15:32:27"},{"id":29,"name":"Sharepoint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685</v>
      </c>
      <c r="B60" s="7">
        <v>4053</v>
      </c>
      <c r="C60" s="21" t="s">
        <v>204</v>
      </c>
      <c r="D60" s="21" t="s">
        <v>841</v>
      </c>
      <c r="E60" s="13">
        <v>42899.401122685187</v>
      </c>
      <c r="F60" s="13">
        <v>42899.401782407411</v>
      </c>
      <c r="G60" s="7">
        <v>0</v>
      </c>
      <c r="H60" s="21" t="s">
        <v>398</v>
      </c>
      <c r="I60" s="13">
        <v>42899.412418981483</v>
      </c>
      <c r="J60" s="7">
        <v>0</v>
      </c>
      <c r="K60" s="92" t="str">
        <f t="shared" si="0"/>
        <v>4053/4054</v>
      </c>
      <c r="L60" s="21" t="str">
        <f>VLOOKUP(A60,'Trips&amp;Operators'!$C$1:$G$99999,5,FALSE)</f>
        <v>MACDONALD THOMAS</v>
      </c>
      <c r="M60" s="6">
        <f t="shared" si="1"/>
        <v>1.063657407212304E-2</v>
      </c>
      <c r="N60" s="7"/>
      <c r="O60" s="7"/>
      <c r="P60" s="7"/>
      <c r="Q60" s="22"/>
      <c r="R60" s="173"/>
      <c r="S60" s="176"/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9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-06-13T08:37:37-0600',mode:absolute,to:'2017-06-13T10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0" s="204" t="str">
        <f t="shared" si="6"/>
        <v>Y</v>
      </c>
      <c r="X60" s="204">
        <f t="shared" si="27"/>
        <v>0</v>
      </c>
      <c r="Y60" s="204">
        <f t="shared" si="25"/>
        <v>6.4157000000000002</v>
      </c>
      <c r="Z60" s="204">
        <f t="shared" si="26"/>
        <v>1.54E-2</v>
      </c>
      <c r="AA60" s="204">
        <f t="shared" si="10"/>
        <v>6.4003000000000005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0138-13</v>
      </c>
      <c r="AE60" s="80" t="str">
        <f t="shared" si="1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60" s="77" t="str">
        <f t="shared" si="13"/>
        <v>"C:\Program Files (x86)\AstroGrep\AstroGrep.exe" /e /r /s /spath="%USERPROFILE%\AppData\Local\Temp\OnboardLogs" /stypes="app*4053*20170613*" /stext=" 15:.+((SYSTEM_STATE.+slice.+state.+changed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138-13 --locoid 4053 --swversion DE.1.0.9.0 --startMP 204:64157 --initTime 2017-06-13T09:37:37 --startdatetime 2017-06-13T09:38:34 --delay 0 --endMP 204:154 --enddatetime 2017-06-13T09:53:53 --enforcementcount 0 &gt;&gt;C:\Users\stu\Documents\GitHub\eaglep3-reporting\EC\2017-06-13-refined-times.txt</v>
      </c>
      <c r="AI60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{"issue":{"subject":"","project_id":79,"tracker_id":40,"status_id":1,"priority_id":2,"assigned_to_id":23,"start_date":"2017-06-13","description":"","custom_fields":[{"id":1,"name":"Subdivision","value":"EC"},{"id":4,"name":"Milepost","value":"0.0154"},{"id":17,"name":"Train ID","value":"138-13"},{"id":16,"name":"Locomotive ID","value":"4053"},{"id":130,"name":"Impact","value":""},{"id":150,"name":"Time of Event (Mountain Time)","value":"09:53:53"},{"id":151,"name":"Denver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4053 --day 2017-06-13</v>
      </c>
      <c r="AN60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678</v>
      </c>
      <c r="B61" s="7">
        <v>4032</v>
      </c>
      <c r="C61" s="21" t="s">
        <v>204</v>
      </c>
      <c r="D61" s="21" t="s">
        <v>200</v>
      </c>
      <c r="E61" s="13">
        <v>42899.353541666664</v>
      </c>
      <c r="F61" s="13">
        <v>42899.354618055557</v>
      </c>
      <c r="G61" s="7">
        <v>1</v>
      </c>
      <c r="H61" s="21" t="s">
        <v>566</v>
      </c>
      <c r="I61" s="13">
        <v>42899.38144675926</v>
      </c>
      <c r="J61" s="7">
        <v>0</v>
      </c>
      <c r="K61" s="92" t="str">
        <f t="shared" si="0"/>
        <v>4031/4032</v>
      </c>
      <c r="L61" s="21" t="str">
        <f>VLOOKUP(A61,'Trips&amp;Operators'!$C$1:$G$99999,5,FALSE)</f>
        <v>STARKS ANGELINA</v>
      </c>
      <c r="M61" s="6">
        <f t="shared" si="1"/>
        <v>2.6828703703358769E-2</v>
      </c>
      <c r="N61" s="7">
        <f>24*60*SUM($M61:$M61)</f>
        <v>38.633333332836628</v>
      </c>
      <c r="O61" s="7"/>
      <c r="P61" s="7"/>
      <c r="Q61" s="22"/>
      <c r="R61" s="173"/>
      <c r="S61" s="176">
        <f>SUM(U61:U61)/IF(AG61="EC",12,1)</f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-06-13T07:29:06-0600',mode:absolute,to:'2017-06-13T10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204" t="str">
        <f t="shared" si="6"/>
        <v>N</v>
      </c>
      <c r="X61" s="204">
        <f t="shared" si="27"/>
        <v>1</v>
      </c>
      <c r="Y61" s="204">
        <f t="shared" si="25"/>
        <v>4.5699999999999998E-2</v>
      </c>
      <c r="Z61" s="204">
        <f t="shared" si="26"/>
        <v>23.328399999999998</v>
      </c>
      <c r="AA61" s="204">
        <f t="shared" si="10"/>
        <v>23.282699999999998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0139-13</v>
      </c>
      <c r="AE61" s="80" t="str">
        <f t="shared" si="12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61" s="77" t="str">
        <f t="shared" si="13"/>
        <v>"C:\Program Files (x86)\AstroGrep\AstroGrep.exe" /e /r /s /spath="%USERPROFILE%\AppData\Local\Temp\OnboardLogs" /stypes="app*4032*20170613*" /stext=" 15:.+((SYSTEM_STATE.+slice.+state.+changed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139-13 --locoid 4032 --swversion DE.1.0.9.0 --startMP 204:457 --initTime 2017-06-13T08:29:06 --startdatetime 2017-06-13T08:30:39 --delay 1 --endMP 204:233284 --enddatetime 2017-06-13T09:09:17 --enforcementcount 0 &gt;&gt;C:\Users\stu\Documents\GitHub\eaglep3-reporting\EC\2017-06-13-refined-times.txt</v>
      </c>
      <c r="AI61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{"issue":{"subject":"","project_id":79,"tracker_id":40,"status_id":1,"priority_id":2,"assigned_to_id":23,"start_date":"2017-06-13","description":"","custom_fields":[{"id":1,"name":"Subdivision","value":"EC"},{"id":4,"name":"Milepost","value":"23.3284"},{"id":17,"name":"Train ID","value":"139-13"},{"id":16,"name":"Locomotive ID","value":"4032"},{"id":130,"name":"Impact","value":""},{"id":150,"name":"Time of Event (Mountain Time)","value":"09:09:17"},{"id":151,"name":"Denver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4032 --day 2017-06-13</v>
      </c>
      <c r="AN61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686</v>
      </c>
      <c r="B62" s="7">
        <v>4031</v>
      </c>
      <c r="C62" s="21" t="s">
        <v>204</v>
      </c>
      <c r="D62" s="21" t="s">
        <v>464</v>
      </c>
      <c r="E62" s="13">
        <v>42899.392280092594</v>
      </c>
      <c r="F62" s="13">
        <v>42899.393252314818</v>
      </c>
      <c r="G62" s="7">
        <v>1</v>
      </c>
      <c r="H62" s="21" t="s">
        <v>855</v>
      </c>
      <c r="I62" s="13">
        <v>42899.408634259256</v>
      </c>
      <c r="J62" s="7">
        <v>0</v>
      </c>
      <c r="K62" s="92" t="str">
        <f t="shared" si="0"/>
        <v>4031/4032</v>
      </c>
      <c r="L62" s="21" t="str">
        <f>VLOOKUP(A62,'Trips&amp;Operators'!$C$1:$G$99999,5,FALSE)</f>
        <v>STARKS ANGELINA</v>
      </c>
      <c r="M62" s="6">
        <f t="shared" si="1"/>
        <v>1.5381944438559003E-2</v>
      </c>
      <c r="N62" s="7"/>
      <c r="O62" s="7"/>
      <c r="P62" s="7">
        <f>24*60*SUM($M62:$M63)</f>
        <v>37.416666654171422</v>
      </c>
      <c r="Q62" s="22"/>
      <c r="R62" s="173" t="s">
        <v>1021</v>
      </c>
      <c r="S62" s="176">
        <f>SUM(U62:U63)/IF(AG62="EC",12,1)</f>
        <v>0.91666666666666663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-06-13T08:24:53-0600',mode:absolute,to:'2017-06-13T10:48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204" t="str">
        <f t="shared" si="6"/>
        <v>Y</v>
      </c>
      <c r="X62" s="204">
        <f t="shared" si="27"/>
        <v>1</v>
      </c>
      <c r="Y62" s="204">
        <f t="shared" si="25"/>
        <v>23.2971</v>
      </c>
      <c r="Z62" s="204">
        <f t="shared" si="26"/>
        <v>8.6350999999999996</v>
      </c>
      <c r="AA62" s="204">
        <f t="shared" si="10"/>
        <v>14.662000000000001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0140-13</v>
      </c>
      <c r="AE62" s="80" t="str">
        <f t="shared" si="1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62" s="77" t="str">
        <f t="shared" si="13"/>
        <v>"C:\Program Files (x86)\AstroGrep\AstroGrep.exe" /e /r /s /spath="%USERPROFILE%\AppData\Local\Temp\OnboardLogs" /stypes="app*4031*20170613*" /stext=" 15:.+((SYSTEM_STATE.+slice.+state.+changed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140-13 --locoid 4031 --swversion DE.1.0.9.0 --startMP 204:232971 --initTime 2017-06-13T09:24:53 --startdatetime 2017-06-13T09:26:17 --delay 1 --endMP 204:86351 --enddatetime 2017-06-13T09:48:26 --enforcementcount 0 &gt;&gt;C:\Users\stu\Documents\GitHub\eaglep3-reporting\EC\2017-06-13-refined-times.txt</v>
      </c>
      <c r="AI62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ML0816","project_id":79,"tracker_id":40,"status_id":1,"priority_id":2,"assigned_to_id":23,"start_date":"2017-06-13","description":"","custom_fields":[{"id":1,"name":"Subdivision","value":"EC"},{"id":4,"name":"Milepost","value":"8.6351"},{"id":17,"name":"Train ID","value":"140-13"},{"id":16,"name":"Locomotive ID","value":"4031"},{"id":130,"name":"Impact","value":""},{"id":150,"name":"Time of Event (Mountain Time)","value":"09:48:26"},{"id":151,"name":"Denver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4031 --day 2017-06-13</v>
      </c>
      <c r="AN62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686</v>
      </c>
      <c r="B63" s="7">
        <v>4031</v>
      </c>
      <c r="C63" s="21" t="s">
        <v>204</v>
      </c>
      <c r="D63" s="21" t="s">
        <v>856</v>
      </c>
      <c r="E63" s="13">
        <v>42899.412523148145</v>
      </c>
      <c r="F63" s="13">
        <v>42899.413136574076</v>
      </c>
      <c r="G63" s="7">
        <v>0</v>
      </c>
      <c r="H63" s="21" t="s">
        <v>353</v>
      </c>
      <c r="I63" s="13">
        <v>42899.423738425925</v>
      </c>
      <c r="J63" s="7">
        <v>0</v>
      </c>
      <c r="K63" s="92" t="str">
        <f t="shared" si="0"/>
        <v>4031/4032</v>
      </c>
      <c r="L63" s="21" t="str">
        <f>VLOOKUP(A63,'Trips&amp;Operators'!$C$1:$G$99999,5,FALSE)</f>
        <v>STARKS ANGELINA</v>
      </c>
      <c r="M63" s="6">
        <f t="shared" si="1"/>
        <v>1.060185184906004E-2</v>
      </c>
      <c r="N63" s="7"/>
      <c r="O63" s="7"/>
      <c r="P63" s="7"/>
      <c r="Q63" s="22"/>
      <c r="R63" s="173"/>
      <c r="S63" s="176"/>
      <c r="T63" s="202" t="str">
        <f t="shared" si="4"/>
        <v>Southbound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9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-06-13T08:54:02-0600',mode:absolute,to:'2017-06-13T11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204" t="str">
        <f t="shared" si="6"/>
        <v>Y</v>
      </c>
      <c r="X63" s="204">
        <f t="shared" si="27"/>
        <v>0</v>
      </c>
      <c r="Y63" s="204">
        <f t="shared" si="25"/>
        <v>6.4169</v>
      </c>
      <c r="Z63" s="204">
        <f t="shared" si="26"/>
        <v>1.43E-2</v>
      </c>
      <c r="AA63" s="204">
        <f t="shared" si="10"/>
        <v>6.4025999999999996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0140-13</v>
      </c>
      <c r="AE63" s="80" t="str">
        <f t="shared" si="1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63" s="77" t="str">
        <f t="shared" si="13"/>
        <v>"C:\Program Files (x86)\AstroGrep\AstroGrep.exe" /e /r /s /spath="%USERPROFILE%\AppData\Local\Temp\OnboardLogs" /stypes="app*4031*20170613*"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140-13 --locoid 4031 --swversion DE.1.0.9.0 --startMP 204:64169 --initTime 2017-06-13T09:54:02 --startdatetime 2017-06-13T09:54:55 --delay 0 --endMP 204:143 --enddatetime 2017-06-13T10:10:11 --enforcementcount 0 &gt;&gt;C:\Users\stu\Documents\GitHub\eaglep3-reporting\EC\2017-06-13-refined-times.txt</v>
      </c>
      <c r="AI63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{"issue":{"subject":"","project_id":79,"tracker_id":40,"status_id":1,"priority_id":2,"assigned_to_id":23,"start_date":"2017-06-13","description":"","custom_fields":[{"id":1,"name":"Subdivision","value":"EC"},{"id":4,"name":"Milepost","value":"0.0143"},{"id":17,"name":"Train ID","value":"140-13"},{"id":16,"name":"Locomotive ID","value":"4031"},{"id":130,"name":"Impact","value":""},{"id":150,"name":"Time of Event (Mountain Time)","value":"10:10:11"},{"id":151,"name":"Denver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4031 --day 2017-06-13</v>
      </c>
      <c r="AN63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682</v>
      </c>
      <c r="B64" s="7">
        <v>4020</v>
      </c>
      <c r="C64" s="21" t="s">
        <v>204</v>
      </c>
      <c r="D64" s="21" t="s">
        <v>357</v>
      </c>
      <c r="E64" s="13">
        <v>42899.363449074073</v>
      </c>
      <c r="F64" s="13">
        <v>42899.36513888889</v>
      </c>
      <c r="G64" s="7">
        <v>1</v>
      </c>
      <c r="H64" s="21" t="s">
        <v>553</v>
      </c>
      <c r="I64" s="13">
        <v>42899.390127314815</v>
      </c>
      <c r="J64" s="7">
        <v>0</v>
      </c>
      <c r="K64" s="92" t="str">
        <f t="shared" si="0"/>
        <v>4019/4020</v>
      </c>
      <c r="L64" s="21" t="str">
        <f>VLOOKUP(A64,'Trips&amp;Operators'!$C$1:$G$99999,5,FALSE)</f>
        <v>LOZA FIDEL</v>
      </c>
      <c r="M64" s="6">
        <f t="shared" si="1"/>
        <v>2.4988425924675539E-2</v>
      </c>
      <c r="N64" s="7">
        <f>24*60*SUM($M64:$M64)</f>
        <v>35.983333331532776</v>
      </c>
      <c r="O64" s="7"/>
      <c r="P64" s="7"/>
      <c r="Q64" s="22"/>
      <c r="R64" s="173"/>
      <c r="S64" s="176">
        <f>SUM(U64:U64)/IF(AG64="EC",12,1)</f>
        <v>1</v>
      </c>
      <c r="T64" s="202" t="str">
        <f t="shared" si="4"/>
        <v>NorthBound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-06-13T07:43:22-0600',mode:absolute,to:'2017-06-13T10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4" s="204" t="str">
        <f t="shared" si="6"/>
        <v>N</v>
      </c>
      <c r="X64" s="204">
        <f t="shared" ref="X64:X95" si="28">VALUE(LEFT(AD64,4))-VALUE(LEFT(AD63,4))</f>
        <v>1</v>
      </c>
      <c r="Y64" s="204">
        <f t="shared" si="25"/>
        <v>4.53E-2</v>
      </c>
      <c r="Z64" s="204">
        <f t="shared" si="26"/>
        <v>23.3306</v>
      </c>
      <c r="AA64" s="204">
        <f t="shared" si="10"/>
        <v>23.285299999999999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0141-13</v>
      </c>
      <c r="AE64" s="80" t="str">
        <f t="shared" si="12"/>
        <v>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 &amp; 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</v>
      </c>
      <c r="AF64" s="77" t="str">
        <f t="shared" si="13"/>
        <v>"C:\Program Files (x86)\AstroGrep\AstroGrep.exe" /e /r /s /spath="%USERPROFILE%\AppData\Local\Temp\OnboardLogs" /stypes="app*4020*20170613*" /stext=" 15:.+((SYSTEM_STATE.+slice.+state.+changed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141-13 --locoid 4020 --swversion DE.1.0.9.0 --startMP 204:453 --initTime 2017-06-13T08:43:22 --startdatetime 2017-06-13T08:45:48 --delay 1 --endMP 204:233306 --enddatetime 2017-06-13T09:21:47 --enforcementcount 0 &gt;&gt;C:\Users\stu\Documents\GitHub\eaglep3-reporting\EC\2017-06-13-refined-times.txt</v>
      </c>
      <c r="AI64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{"issue":{"subject":"","project_id":79,"tracker_id":40,"status_id":1,"priority_id":2,"assigned_to_id":23,"start_date":"2017-06-13","description":"","custom_fields":[{"id":1,"name":"Subdivision","value":"EC"},{"id":4,"name":"Milepost","value":"23.3306"},{"id":17,"name":"Train ID","value":"141-13"},{"id":16,"name":"Locomotive ID","value":"4020"},{"id":130,"name":"Impact","value":""},{"id":150,"name":"Time of Event (Mountain Time)","value":"09:21:47"},{"id":151,"name":"Denver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4020 --day 2017-06-13</v>
      </c>
      <c r="AN64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687</v>
      </c>
      <c r="B65" s="7">
        <v>4019</v>
      </c>
      <c r="C65" s="21" t="s">
        <v>204</v>
      </c>
      <c r="D65" s="21" t="s">
        <v>468</v>
      </c>
      <c r="E65" s="13">
        <v>42899.395277777781</v>
      </c>
      <c r="F65" s="13">
        <v>42899.396469907406</v>
      </c>
      <c r="G65" s="7">
        <v>1</v>
      </c>
      <c r="H65" s="21" t="s">
        <v>833</v>
      </c>
      <c r="I65" s="13">
        <v>42899.420358796298</v>
      </c>
      <c r="J65" s="7">
        <v>0</v>
      </c>
      <c r="K65" s="92" t="str">
        <f t="shared" si="0"/>
        <v>4019/4020</v>
      </c>
      <c r="L65" s="21" t="str">
        <f>VLOOKUP(A65,'Trips&amp;Operators'!$C$1:$G$99999,5,FALSE)</f>
        <v>LOZA FIDEL</v>
      </c>
      <c r="M65" s="6">
        <f t="shared" si="1"/>
        <v>2.3888888892543036E-2</v>
      </c>
      <c r="N65" s="7"/>
      <c r="O65" s="7"/>
      <c r="P65" s="7">
        <f>24*60*SUM($M65:$M66)</f>
        <v>49.166666666278616</v>
      </c>
      <c r="Q65" s="22"/>
      <c r="R65" s="173" t="s">
        <v>1021</v>
      </c>
      <c r="S65" s="176">
        <f>SUM(U65:U66)/IF(AG65="EC",12,1)</f>
        <v>0.91666666666666663</v>
      </c>
      <c r="T65" s="202" t="str">
        <f t="shared" si="4"/>
        <v>Southbound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-06-13T08:29:12-0600',mode:absolute,to:'2017-06-13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5" s="204" t="str">
        <f t="shared" si="6"/>
        <v>Y</v>
      </c>
      <c r="X65" s="204">
        <f t="shared" si="28"/>
        <v>1</v>
      </c>
      <c r="Y65" s="204">
        <f t="shared" si="25"/>
        <v>23.299399999999999</v>
      </c>
      <c r="Z65" s="204">
        <f t="shared" si="26"/>
        <v>8.6353000000000009</v>
      </c>
      <c r="AA65" s="204">
        <f t="shared" si="10"/>
        <v>14.664099999999998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0142-13</v>
      </c>
      <c r="AE65" s="80" t="str">
        <f t="shared" si="12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65" s="77" t="str">
        <f t="shared" si="13"/>
        <v>"C:\Program Files (x86)\AstroGrep\AstroGrep.exe" /e /r /s /spath="%USERPROFILE%\AppData\Local\Temp\OnboardLogs" /stypes="app*4019*20170613*"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142-13 --locoid 4019 --swversion DE.1.0.9.0 --startMP 204:232994 --initTime 2017-06-13T09:29:12 --startdatetime 2017-06-13T09:30:55 --delay 1 --endMP 204:86353 --enddatetime 2017-06-13T10:05:19 --enforcementcount 0 &gt;&gt;C:\Users\stu\Documents\GitHub\eaglep3-reporting\EC\2017-06-13-refined-times.txt</v>
      </c>
      <c r="AI65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ID","value":"142-13"},{"id":16,"name":"Locomotive ID","value":"4019"},{"id":130,"name":"Impact","value":""},{"id":150,"name":"Time of Event (Mountain Time)","value":"10:05:19"},{"id":151,"name":"Denver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4019 --day 2017-06-13</v>
      </c>
      <c r="AN65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687</v>
      </c>
      <c r="B66" s="7">
        <v>4019</v>
      </c>
      <c r="C66" s="21" t="s">
        <v>204</v>
      </c>
      <c r="D66" s="21" t="s">
        <v>857</v>
      </c>
      <c r="E66" s="13">
        <v>42899.423437500001</v>
      </c>
      <c r="F66" s="13">
        <v>42899.424247685187</v>
      </c>
      <c r="G66" s="7">
        <v>1</v>
      </c>
      <c r="H66" s="21" t="s">
        <v>196</v>
      </c>
      <c r="I66" s="13">
        <v>42899.434502314813</v>
      </c>
      <c r="J66" s="7">
        <v>0</v>
      </c>
      <c r="K66" s="92" t="str">
        <f t="shared" si="0"/>
        <v>4019/4020</v>
      </c>
      <c r="L66" s="21" t="str">
        <f>VLOOKUP(A66,'Trips&amp;Operators'!$C$1:$G$99999,5,FALSE)</f>
        <v>LOZA FIDEL</v>
      </c>
      <c r="M66" s="6">
        <f t="shared" si="1"/>
        <v>1.0254629625706002E-2</v>
      </c>
      <c r="N66" s="7"/>
      <c r="O66" s="7"/>
      <c r="P66" s="7"/>
      <c r="Q66" s="22"/>
      <c r="R66" s="173"/>
      <c r="S66" s="176"/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9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-06-13T09:09:45-0600',mode:absolute,to:'2017-06-13T11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6" s="204" t="str">
        <f t="shared" si="6"/>
        <v>Y</v>
      </c>
      <c r="X66" s="204">
        <f t="shared" si="28"/>
        <v>0</v>
      </c>
      <c r="Y66" s="204">
        <f t="shared" si="25"/>
        <v>6.4170999999999996</v>
      </c>
      <c r="Z66" s="204">
        <f t="shared" si="26"/>
        <v>1.5800000000000002E-2</v>
      </c>
      <c r="AA66" s="204">
        <f t="shared" si="10"/>
        <v>6.4013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0142-13</v>
      </c>
      <c r="AE66" s="80" t="str">
        <f t="shared" si="12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66" s="77" t="str">
        <f t="shared" si="13"/>
        <v>"C:\Program Files (x86)\AstroGrep\AstroGrep.exe" /e /r /s /spath="%USERPROFILE%\AppData\Local\Temp\OnboardLogs" /stypes="app*4019*20170613*" /stext=" 16:.+((SYSTEM_STATE.+slice.+state.+changed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142-13 --locoid 4019 --swversion DE.1.0.9.0 --startMP 204:64171 --initTime 2017-06-13T10:09:45 --startdatetime 2017-06-13T10:10:55 --delay 1 --endMP 204:158 --enddatetime 2017-06-13T10:25:41 --enforcementcount 0 &gt;&gt;C:\Users\stu\Documents\GitHub\eaglep3-reporting\EC\2017-06-13-refined-times.txt</v>
      </c>
      <c r="AI66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{"issue":{"subject":"","project_id":79,"tracker_id":40,"status_id":1,"priority_id":2,"assigned_to_id":23,"start_date":"2017-06-13","description":"","custom_fields":[{"id":1,"name":"Subdivision","value":"EC"},{"id":4,"name":"Milepost","value":"0.0158"},{"id":17,"name":"Train ID","value":"142-13"},{"id":16,"name":"Locomotive ID","value":"4019"},{"id":130,"name":"Impact","value":""},{"id":150,"name":"Time of Event (Mountain Time)","value":"10:25:41"},{"id":151,"name":"Denver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4019 --day 2017-06-13</v>
      </c>
      <c r="AN66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684</v>
      </c>
      <c r="B67" s="7">
        <v>4002</v>
      </c>
      <c r="C67" s="21" t="s">
        <v>204</v>
      </c>
      <c r="D67" s="21" t="s">
        <v>510</v>
      </c>
      <c r="E67" s="13">
        <v>42899.373101851852</v>
      </c>
      <c r="F67" s="13">
        <v>42899.375289351854</v>
      </c>
      <c r="G67" s="7">
        <v>1</v>
      </c>
      <c r="H67" s="21" t="s">
        <v>507</v>
      </c>
      <c r="I67" s="13">
        <v>42899.400648148148</v>
      </c>
      <c r="J67" s="7">
        <v>0</v>
      </c>
      <c r="K67" s="92" t="str">
        <f t="shared" si="0"/>
        <v>4001/4002</v>
      </c>
      <c r="L67" s="21" t="str">
        <f>VLOOKUP(A67,'Trips&amp;Operators'!$C$1:$G$99999,5,FALSE)</f>
        <v>BONDS REYNALDO</v>
      </c>
      <c r="M67" s="6">
        <f t="shared" si="1"/>
        <v>2.5358796294312924E-2</v>
      </c>
      <c r="N67" s="7">
        <f>24*60*SUM($M67:$M67)</f>
        <v>36.516666663810611</v>
      </c>
      <c r="O67" s="7"/>
      <c r="P67" s="7"/>
      <c r="Q67" s="22"/>
      <c r="R67" s="173"/>
      <c r="S67" s="176">
        <f>SUM(U67:U67)/IF(AG67="EC",12,1)</f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-06-13T07:57:16-0600',mode:absolute,to:'2017-06-13T10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204" t="str">
        <f t="shared" si="6"/>
        <v>N</v>
      </c>
      <c r="X67" s="204">
        <f t="shared" si="28"/>
        <v>1</v>
      </c>
      <c r="Y67" s="204">
        <f t="shared" si="25"/>
        <v>4.3499999999999997E-2</v>
      </c>
      <c r="Z67" s="204">
        <f t="shared" si="26"/>
        <v>23.331600000000002</v>
      </c>
      <c r="AA67" s="204">
        <f t="shared" si="10"/>
        <v>23.2881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0143-13</v>
      </c>
      <c r="AE67" s="80" t="str">
        <f t="shared" si="12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67" s="77" t="str">
        <f t="shared" si="13"/>
        <v>"C:\Program Files (x86)\AstroGrep\AstroGrep.exe" /e /r /s /spath="%USERPROFILE%\AppData\Local\Temp\OnboardLogs" /stypes="app*4002*20170613*" /stext=" 15:.+((SYSTEM_STATE.+slice.+state.+changed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143-13 --locoid 4002 --swversion DE.1.0.9.0 --startMP 204:435 --initTime 2017-06-13T08:57:16 --startdatetime 2017-06-13T09:00:25 --delay 1 --endMP 204:233316 --enddatetime 2017-06-13T09:36:56 --enforcementcount 0 &gt;&gt;C:\Users\stu\Documents\GitHub\eaglep3-reporting\EC\2017-06-13-refined-times.txt</v>
      </c>
      <c r="AI67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{"issue":{"subject":"","project_id":79,"tracker_id":40,"status_id":1,"priority_id":2,"assigned_to_id":23,"start_date":"2017-06-13","description":"","custom_fields":[{"id":1,"name":"Subdivision","value":"EC"},{"id":4,"name":"Milepost","value":"23.3316"},{"id":17,"name":"Train ID","value":"143-13"},{"id":16,"name":"Locomotive ID","value":"4002"},{"id":130,"name":"Impact","value":""},{"id":150,"name":"Time of Event (Mountain Time)","value":"09:36:56"},{"id":151,"name":"Denver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4002 --day 2017-06-13</v>
      </c>
      <c r="AN67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690</v>
      </c>
      <c r="B68" s="7">
        <v>4001</v>
      </c>
      <c r="C68" s="21" t="s">
        <v>204</v>
      </c>
      <c r="D68" s="21" t="s">
        <v>568</v>
      </c>
      <c r="E68" s="13">
        <v>42899.410162037035</v>
      </c>
      <c r="F68" s="13">
        <v>42899.410925925928</v>
      </c>
      <c r="G68" s="7">
        <v>1</v>
      </c>
      <c r="H68" s="21" t="s">
        <v>833</v>
      </c>
      <c r="I68" s="13">
        <v>42899.429189814815</v>
      </c>
      <c r="J68" s="7">
        <v>0</v>
      </c>
      <c r="K68" s="92" t="str">
        <f t="shared" si="0"/>
        <v>4001/4002</v>
      </c>
      <c r="L68" s="21" t="str">
        <f>VLOOKUP(A68,'Trips&amp;Operators'!$C$1:$G$99999,5,FALSE)</f>
        <v>BONDS REYNALDO</v>
      </c>
      <c r="M68" s="6">
        <f t="shared" si="1"/>
        <v>1.8263888887304347E-2</v>
      </c>
      <c r="N68" s="7"/>
      <c r="O68" s="7"/>
      <c r="P68" s="7">
        <f>24*60*SUM($M68:$M69)</f>
        <v>42.316666668048128</v>
      </c>
      <c r="Q68" s="22"/>
      <c r="R68" s="173" t="s">
        <v>1021</v>
      </c>
      <c r="S68" s="176">
        <f>SUM(U68:U69)/IF(AG68="EC",12,1)</f>
        <v>0.91666666666666663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-06-13T08:50:38-0600',mode:absolute,to:'2017-06-13T11:18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204" t="str">
        <f t="shared" si="6"/>
        <v>Y</v>
      </c>
      <c r="X68" s="204">
        <f t="shared" si="28"/>
        <v>1</v>
      </c>
      <c r="Y68" s="204">
        <f t="shared" si="25"/>
        <v>23.296500000000002</v>
      </c>
      <c r="Z68" s="204">
        <f t="shared" si="26"/>
        <v>8.6353000000000009</v>
      </c>
      <c r="AA68" s="204">
        <f t="shared" si="10"/>
        <v>14.661200000000001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0144-13</v>
      </c>
      <c r="AE68" s="80" t="str">
        <f t="shared" si="1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68" s="77" t="str">
        <f t="shared" si="13"/>
        <v>"C:\Program Files (x86)\AstroGrep\AstroGrep.exe" /e /r /s /spath="%USERPROFILE%\AppData\Local\Temp\OnboardLogs" /stypes="app*4001*20170613*" /stext=" 16:.+((SYSTEM_STATE.+slice.+state.+changed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144-13 --locoid 4001 --swversion DE.1.0.9.0 --startMP 204:232965 --initTime 2017-06-13T09:50:38 --startdatetime 2017-06-13T09:51:44 --delay 1 --endMP 204:86353 --enddatetime 2017-06-13T10:18:02 --enforcementcount 0 &gt;&gt;C:\Users\stu\Documents\GitHub\eaglep3-reporting\EC\2017-06-13-refined-times.txt</v>
      </c>
      <c r="AI68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ID","value":"144-13"},{"id":16,"name":"Locomotive ID","value":"4001"},{"id":130,"name":"Impact","value":""},{"id":150,"name":"Time of Event (Mountain Time)","value":"10:18:02"},{"id":151,"name":"Denver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4001 --day 2017-06-13</v>
      </c>
      <c r="AN68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16:18:02"},{"id":29,"name":"Sharepoint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690</v>
      </c>
      <c r="B69" s="7">
        <v>4001</v>
      </c>
      <c r="C69" s="21" t="s">
        <v>204</v>
      </c>
      <c r="D69" s="21" t="s">
        <v>858</v>
      </c>
      <c r="E69" s="13">
        <v>42899.433009259257</v>
      </c>
      <c r="F69" s="13">
        <v>42899.433634259258</v>
      </c>
      <c r="G69" s="7">
        <v>0</v>
      </c>
      <c r="H69" s="21" t="s">
        <v>196</v>
      </c>
      <c r="I69" s="13">
        <v>42899.444756944446</v>
      </c>
      <c r="J69" s="7">
        <v>0</v>
      </c>
      <c r="K69" s="92" t="str">
        <f t="shared" si="0"/>
        <v>4001/4002</v>
      </c>
      <c r="L69" s="21" t="str">
        <f>VLOOKUP(A69,'Trips&amp;Operators'!$C$1:$G$99999,5,FALSE)</f>
        <v>BONDS REYNALDO</v>
      </c>
      <c r="M69" s="6">
        <f t="shared" si="1"/>
        <v>1.1122685187729076E-2</v>
      </c>
      <c r="N69" s="7"/>
      <c r="O69" s="7"/>
      <c r="P69" s="7"/>
      <c r="Q69" s="22"/>
      <c r="R69" s="173"/>
      <c r="S69" s="176"/>
      <c r="T69" s="202" t="str">
        <f t="shared" si="4"/>
        <v>Southbound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9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-06-13T09:23:32-0600',mode:absolute,to:'2017-06-13T11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9" s="204" t="str">
        <f t="shared" si="6"/>
        <v>Y</v>
      </c>
      <c r="X69" s="204">
        <f t="shared" si="28"/>
        <v>0</v>
      </c>
      <c r="Y69" s="204">
        <f t="shared" si="25"/>
        <v>6.4154999999999998</v>
      </c>
      <c r="Z69" s="204">
        <f t="shared" si="26"/>
        <v>1.5800000000000002E-2</v>
      </c>
      <c r="AA69" s="204">
        <f t="shared" si="10"/>
        <v>6.3997000000000002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0144-13</v>
      </c>
      <c r="AE69" s="80" t="str">
        <f t="shared" si="1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69" s="77" t="str">
        <f t="shared" si="13"/>
        <v>"C:\Program Files (x86)\AstroGrep\AstroGrep.exe" /e /r /s /spath="%USERPROFILE%\AppData\Local\Temp\OnboardLogs" /stypes="app*4001*20170613*" /stext=" 16:.+((SYSTEM_STATE.+slice.+state.+changed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144-13 --locoid 4001 --swversion DE.1.0.9.0 --startMP 204:64155 --initTime 2017-06-13T10:23:32 --startdatetime 2017-06-13T10:24:26 --delay 0 --endMP 204:158 --enddatetime 2017-06-13T10:40:27 --enforcementcount 0 &gt;&gt;C:\Users\stu\Documents\GitHub\eaglep3-reporting\EC\2017-06-13-refined-times.txt</v>
      </c>
      <c r="AI69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{"issue":{"subject":"","project_id":79,"tracker_id":40,"status_id":1,"priority_id":2,"assigned_to_id":23,"start_date":"2017-06-13","description":"","custom_fields":[{"id":1,"name":"Subdivision","value":"EC"},{"id":4,"name":"Milepost","value":"0.0158"},{"id":17,"name":"Train ID","value":"144-13"},{"id":16,"name":"Locomotive ID","value":"4001"},{"id":130,"name":"Impact","value":""},{"id":150,"name":"Time of Event (Mountain Time)","value":"10:40:27"},{"id":151,"name":"Denver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4001 --day 2017-06-13</v>
      </c>
      <c r="AN69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600</v>
      </c>
      <c r="B70" s="7">
        <v>4062</v>
      </c>
      <c r="C70" s="21" t="s">
        <v>204</v>
      </c>
      <c r="D70" s="21" t="s">
        <v>558</v>
      </c>
      <c r="E70" s="13">
        <v>42899.385648148149</v>
      </c>
      <c r="F70" s="13">
        <v>42899.387303240743</v>
      </c>
      <c r="G70" s="7">
        <v>1</v>
      </c>
      <c r="H70" s="21" t="s">
        <v>859</v>
      </c>
      <c r="I70" s="13">
        <v>42899.413946759261</v>
      </c>
      <c r="J70" s="7">
        <v>0</v>
      </c>
      <c r="K70" s="92" t="str">
        <f t="shared" si="0"/>
        <v>4061/4062</v>
      </c>
      <c r="L70" s="21" t="str">
        <f>VLOOKUP(A70,'Trips&amp;Operators'!$C$1:$G$99999,5,FALSE)</f>
        <v>DAVIDSON DAVID</v>
      </c>
      <c r="M70" s="6">
        <f t="shared" si="1"/>
        <v>2.6643518518540077E-2</v>
      </c>
      <c r="N70" s="7">
        <f>24*60*SUM($M70:$M70)</f>
        <v>38.366666666697711</v>
      </c>
      <c r="O70" s="7"/>
      <c r="P70" s="7"/>
      <c r="Q70" s="22"/>
      <c r="R70" s="173"/>
      <c r="S70" s="176">
        <f>SUM(U70:U70)/IF(AG70="EC",12,1)</f>
        <v>1</v>
      </c>
      <c r="T70" s="202" t="str">
        <f t="shared" si="4"/>
        <v>NorthBound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-06-13T08:15:20-0600',mode:absolute,to:'2017-06-13T10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0" s="204" t="str">
        <f t="shared" si="6"/>
        <v>N</v>
      </c>
      <c r="X70" s="204">
        <f t="shared" si="28"/>
        <v>1</v>
      </c>
      <c r="Y70" s="204">
        <f t="shared" si="25"/>
        <v>4.7300000000000002E-2</v>
      </c>
      <c r="Z70" s="204">
        <f t="shared" si="26"/>
        <v>23.330400000000001</v>
      </c>
      <c r="AA70" s="204">
        <f t="shared" si="10"/>
        <v>23.283100000000001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0145-13</v>
      </c>
      <c r="AE70" s="80" t="str">
        <f t="shared" si="12"/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AF70" s="77" t="str">
        <f t="shared" si="13"/>
        <v>"C:\Program Files (x86)\AstroGrep\AstroGrep.exe" /e /r /s /spath="%USERPROFILE%\AppData\Local\Temp\OnboardLogs" /stypes="app*4062*20170613*" /stext=" 15:.+((SYSTEM_STATE.+slice.+state.+changed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145-13 --locoid 4062 --swversion DE.1.0.9.0 --startMP 204:473 --initTime 2017-06-13T09:15:20 --startdatetime 2017-06-13T09:17:43 --delay 1 --endMP 204:233304 --enddatetime 2017-06-13T09:56:05 --enforcementcount 0 &gt;&gt;C:\Users\stu\Documents\GitHub\eaglep3-reporting\EC\2017-06-13-refined-times.txt</v>
      </c>
      <c r="AI70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{"issue":{"subject":"","project_id":79,"tracker_id":40,"status_id":1,"priority_id":2,"assigned_to_id":23,"start_date":"2017-06-13","description":"","custom_fields":[{"id":1,"name":"Subdivision","value":"EC"},{"id":4,"name":"Milepost","value":"23.3304"},{"id":17,"name":"Train ID","value":"145-13"},{"id":16,"name":"Locomotive ID","value":"4062"},{"id":130,"name":"Impact","value":""},{"id":150,"name":"Time of Event (Mountain Time)","value":"09:56:05"},{"id":151,"name":"Denver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4062 --day 2017-06-13</v>
      </c>
      <c r="AN70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693</v>
      </c>
      <c r="B71" s="7">
        <v>4061</v>
      </c>
      <c r="C71" s="21" t="s">
        <v>204</v>
      </c>
      <c r="D71" s="21" t="s">
        <v>860</v>
      </c>
      <c r="E71" s="13">
        <v>42899.415196759262</v>
      </c>
      <c r="F71" s="13">
        <v>42899.416180555556</v>
      </c>
      <c r="G71" s="7">
        <v>1</v>
      </c>
      <c r="H71" s="21" t="s">
        <v>833</v>
      </c>
      <c r="I71" s="13">
        <v>42899.438831018517</v>
      </c>
      <c r="J71" s="7">
        <v>0</v>
      </c>
      <c r="K71" s="92" t="str">
        <f t="shared" si="0"/>
        <v>4061/4062</v>
      </c>
      <c r="L71" s="21" t="str">
        <f>VLOOKUP(A71,'Trips&amp;Operators'!$C$1:$G$99999,5,FALSE)</f>
        <v>DAVIDSON DAVID</v>
      </c>
      <c r="M71" s="6">
        <f t="shared" si="1"/>
        <v>2.2650462960882578E-2</v>
      </c>
      <c r="N71" s="7"/>
      <c r="O71" s="7"/>
      <c r="P71" s="7">
        <f>24*60*SUM($M71:$M72)</f>
        <v>48.033333329949528</v>
      </c>
      <c r="Q71" s="22"/>
      <c r="R71" s="173" t="s">
        <v>1021</v>
      </c>
      <c r="S71" s="176">
        <f>SUM(U71:U72)/IF(AG71="EC",12,1)</f>
        <v>0.91666666666666663</v>
      </c>
      <c r="T71" s="202" t="str">
        <f t="shared" si="4"/>
        <v>Southbound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-06-13T08:57:53-0600',mode:absolute,to:'2017-06-13T11:31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1" s="204" t="str">
        <f t="shared" si="6"/>
        <v>Y</v>
      </c>
      <c r="X71" s="204">
        <f t="shared" si="28"/>
        <v>1</v>
      </c>
      <c r="Y71" s="204">
        <f t="shared" si="25"/>
        <v>23.2989</v>
      </c>
      <c r="Z71" s="204">
        <f t="shared" si="26"/>
        <v>8.6353000000000009</v>
      </c>
      <c r="AA71" s="204">
        <f t="shared" si="10"/>
        <v>14.663599999999999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0146-13</v>
      </c>
      <c r="AE71" s="80" t="str">
        <f t="shared" si="1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71" s="77" t="str">
        <f t="shared" si="13"/>
        <v>"C:\Program Files (x86)\AstroGrep\AstroGrep.exe" /e /r /s /spath="%USERPROFILE%\AppData\Local\Temp\OnboardLogs" /stypes="app*4061*20170613*" /stext=" 16:.+((SYSTEM_STATE.+slice.+state.+changed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146-13 --locoid 4061 --swversion DE.1.0.9.0 --startMP 204:232989 --initTime 2017-06-13T09:57:53 --startdatetime 2017-06-13T09:59:18 --delay 1 --endMP 204:86353 --enddatetime 2017-06-13T10:31:55 --enforcementcount 0 &gt;&gt;C:\Users\stu\Documents\GitHub\eaglep3-reporting\EC\2017-06-13-refined-times.txt</v>
      </c>
      <c r="AI71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ID","value":"146-13"},{"id":16,"name":"Locomotive ID","value":"4061"},{"id":130,"name":"Impact","value":""},{"id":150,"name":"Time of Event (Mountain Time)","value":"10:31:55"},{"id":151,"name":"Denver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4061 --day 2017-06-13</v>
      </c>
      <c r="AN71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16:31:55"},{"id":29,"name":"Sharepoint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693</v>
      </c>
      <c r="B72" s="7">
        <v>4061</v>
      </c>
      <c r="C72" s="21" t="s">
        <v>204</v>
      </c>
      <c r="D72" s="21" t="s">
        <v>857</v>
      </c>
      <c r="E72" s="13">
        <v>42899.442395833335</v>
      </c>
      <c r="F72" s="13">
        <v>42899.443124999998</v>
      </c>
      <c r="G72" s="7">
        <v>1</v>
      </c>
      <c r="H72" s="21" t="s">
        <v>445</v>
      </c>
      <c r="I72" s="13">
        <v>42899.453831018516</v>
      </c>
      <c r="J72" s="7">
        <v>0</v>
      </c>
      <c r="K72" s="92" t="str">
        <f t="shared" si="0"/>
        <v>4061/4062</v>
      </c>
      <c r="L72" s="21" t="str">
        <f>VLOOKUP(A72,'Trips&amp;Operators'!$C$1:$G$99999,5,FALSE)</f>
        <v>DAVIDSON DAVID</v>
      </c>
      <c r="M72" s="6">
        <f t="shared" si="1"/>
        <v>1.0706018518249039E-2</v>
      </c>
      <c r="N72" s="7"/>
      <c r="O72" s="7"/>
      <c r="P72" s="7"/>
      <c r="Q72" s="22"/>
      <c r="R72" s="173"/>
      <c r="S72" s="176"/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9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-06-13T09:37:03-0600',mode:absolute,to:'2017-06-13T11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2" s="204" t="str">
        <f t="shared" si="6"/>
        <v>Y</v>
      </c>
      <c r="X72" s="204">
        <f t="shared" si="28"/>
        <v>0</v>
      </c>
      <c r="Y72" s="204">
        <f t="shared" si="25"/>
        <v>6.4170999999999996</v>
      </c>
      <c r="Z72" s="204">
        <f t="shared" si="26"/>
        <v>1.5599999999999999E-2</v>
      </c>
      <c r="AA72" s="204">
        <f t="shared" si="10"/>
        <v>6.4014999999999995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0146-13</v>
      </c>
      <c r="AE72" s="80" t="str">
        <f t="shared" si="1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72" s="77" t="str">
        <f t="shared" si="13"/>
        <v>"C:\Program Files (x86)\AstroGrep\AstroGrep.exe" /e /r /s /spath="%USERPROFILE%\AppData\Local\Temp\OnboardLogs" /stypes="app*4061*20170613*" /stext=" 16:.+((SYSTEM_STATE.+slice.+state.+changed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146-13 --locoid 4061 --swversion DE.1.0.9.0 --startMP 204:64171 --initTime 2017-06-13T10:37:03 --startdatetime 2017-06-13T10:38:06 --delay 1 --endMP 204:156 --enddatetime 2017-06-13T10:53:31 --enforcementcount 0 &gt;&gt;C:\Users\stu\Documents\GitHub\eaglep3-reporting\EC\2017-06-13-refined-times.txt</v>
      </c>
      <c r="AI72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{"issue":{"subject":"","project_id":79,"tracker_id":40,"status_id":1,"priority_id":2,"assigned_to_id":23,"start_date":"2017-06-13","description":"","custom_fields":[{"id":1,"name":"Subdivision","value":"EC"},{"id":4,"name":"Milepost","value":"0.0156"},{"id":17,"name":"Train ID","value":"146-13"},{"id":16,"name":"Locomotive ID","value":"4061"},{"id":130,"name":"Impact","value":""},{"id":150,"name":"Time of Event (Mountain Time)","value":"10:53:31"},{"id":151,"name":"Denver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4061 --day 2017-06-13</v>
      </c>
      <c r="AN72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601</v>
      </c>
      <c r="B73" s="7">
        <v>4006</v>
      </c>
      <c r="C73" s="21" t="s">
        <v>204</v>
      </c>
      <c r="D73" s="21" t="s">
        <v>861</v>
      </c>
      <c r="E73" s="13">
        <v>42899.393148148149</v>
      </c>
      <c r="F73" s="13">
        <v>42899.396087962959</v>
      </c>
      <c r="G73" s="7">
        <v>1</v>
      </c>
      <c r="H73" s="21" t="s">
        <v>452</v>
      </c>
      <c r="I73" s="13">
        <v>42899.421724537038</v>
      </c>
      <c r="J73" s="7">
        <v>0</v>
      </c>
      <c r="K73" s="92" t="str">
        <f t="shared" si="0"/>
        <v>4005/4006</v>
      </c>
      <c r="L73" s="21" t="str">
        <f>VLOOKUP(A73,'Trips&amp;Operators'!$C$1:$G$99999,5,FALSE)</f>
        <v>MAELZER KURT</v>
      </c>
      <c r="M73" s="6">
        <f t="shared" si="1"/>
        <v>2.5636574078816921E-2</v>
      </c>
      <c r="N73" s="7">
        <f>24*60*SUM($M73:$M73)</f>
        <v>36.916666673496366</v>
      </c>
      <c r="O73" s="7"/>
      <c r="P73" s="7"/>
      <c r="Q73" s="22"/>
      <c r="R73" s="173"/>
      <c r="S73" s="176">
        <f>SUM(U73:U73)/IF(AG73="EC",12,1)</f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-06-13T08:26:08-0600',mode:absolute,to:'2017-06-13T11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3" s="204" t="str">
        <f t="shared" si="6"/>
        <v>N</v>
      </c>
      <c r="X73" s="204">
        <f t="shared" si="28"/>
        <v>1</v>
      </c>
      <c r="Y73" s="204">
        <f t="shared" si="25"/>
        <v>4.2599999999999999E-2</v>
      </c>
      <c r="Z73" s="204">
        <f t="shared" si="26"/>
        <v>23.3307</v>
      </c>
      <c r="AA73" s="204">
        <f t="shared" si="10"/>
        <v>23.2881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0147-13</v>
      </c>
      <c r="AE73" s="80" t="str">
        <f t="shared" si="12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73" s="77" t="str">
        <f t="shared" si="13"/>
        <v>"C:\Program Files (x86)\AstroGrep\AstroGrep.exe" /e /r /s /spath="%USERPROFILE%\AppData\Local\Temp\OnboardLogs" /stypes="app*4006*20170613*" /stext=" 16:.+((SYSTEM_STATE.+slice.+state.+changed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147-13 --locoid 4006 --swversion DE.1.0.9.0 --startMP 204:426 --initTime 2017-06-13T09:26:08 --startdatetime 2017-06-13T09:30:22 --delay 1 --endMP 204:233307 --enddatetime 2017-06-13T10:07:17 --enforcementcount 0 &gt;&gt;C:\Users\stu\Documents\GitHub\eaglep3-reporting\EC\2017-06-13-refined-times.txt</v>
      </c>
      <c r="AI73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{"issue":{"subject":"","project_id":79,"tracker_id":40,"status_id":1,"priority_id":2,"assigned_to_id":23,"start_date":"2017-06-13","description":"","custom_fields":[{"id":1,"name":"Subdivision","value":"EC"},{"id":4,"name":"Milepost","value":"23.3307"},{"id":17,"name":"Train ID","value":"147-13"},{"id":16,"name":"Locomotive ID","value":"4006"},{"id":130,"name":"Impact","value":""},{"id":150,"name":"Time of Event (Mountain Time)","value":"10:07:17"},{"id":151,"name":"Denver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4006 --day 2017-06-13</v>
      </c>
      <c r="AN73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695</v>
      </c>
      <c r="B74" s="7">
        <v>4005</v>
      </c>
      <c r="C74" s="21" t="s">
        <v>204</v>
      </c>
      <c r="D74" s="21" t="s">
        <v>466</v>
      </c>
      <c r="E74" s="13">
        <v>42899.428518518522</v>
      </c>
      <c r="F74" s="13">
        <v>42899.429143518515</v>
      </c>
      <c r="G74" s="7">
        <v>0</v>
      </c>
      <c r="H74" s="21" t="s">
        <v>569</v>
      </c>
      <c r="I74" s="13">
        <v>42899.450300925928</v>
      </c>
      <c r="J74" s="7">
        <v>0</v>
      </c>
      <c r="K74" s="92" t="str">
        <f t="shared" si="0"/>
        <v>4005/4006</v>
      </c>
      <c r="L74" s="21" t="str">
        <f>VLOOKUP(A74,'Trips&amp;Operators'!$C$1:$G$99999,5,FALSE)</f>
        <v>MAELZER KURT</v>
      </c>
      <c r="M74" s="6">
        <f t="shared" si="1"/>
        <v>2.1157407412829343E-2</v>
      </c>
      <c r="N74" s="7"/>
      <c r="O74" s="7"/>
      <c r="P74" s="7">
        <f>24*60*SUM($M74:$M75)</f>
        <v>45.800000008894131</v>
      </c>
      <c r="Q74" s="22"/>
      <c r="R74" s="173" t="s">
        <v>1021</v>
      </c>
      <c r="S74" s="176">
        <f>SUM(U74:U75)/IF(AG74="EC",12,1)</f>
        <v>0.91666666666666663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-06-13T09:17:04-0600',mode:absolute,to:'2017-06-13T11:48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4" s="204" t="str">
        <f t="shared" si="6"/>
        <v>Y</v>
      </c>
      <c r="X74" s="204">
        <f t="shared" si="28"/>
        <v>1</v>
      </c>
      <c r="Y74" s="204">
        <f t="shared" si="25"/>
        <v>23.299600000000002</v>
      </c>
      <c r="Z74" s="204">
        <f t="shared" si="26"/>
        <v>8.6351999999999993</v>
      </c>
      <c r="AA74" s="204">
        <f t="shared" si="10"/>
        <v>14.664400000000002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0148-13</v>
      </c>
      <c r="AE74" s="80" t="str">
        <f t="shared" si="1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74" s="77" t="str">
        <f t="shared" si="13"/>
        <v>"C:\Program Files (x86)\AstroGrep\AstroGrep.exe" /e /r /s /spath="%USERPROFILE%\AppData\Local\Temp\OnboardLogs" /stypes="app*4005*20170613*" /stext=" 16:.+((SYSTEM_STATE.+slice.+state.+changed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148-13 --locoid 4005 --swversion DE.1.0.9.0 --startMP 204:232996 --initTime 2017-06-13T10:17:04 --startdatetime 2017-06-13T10:17:58 --delay 0 --endMP 204:86352 --enddatetime 2017-06-13T10:48:26 --enforcementcount 0 &gt;&gt;C:\Users\stu\Documents\GitHub\eaglep3-reporting\EC\2017-06-13-refined-times.txt</v>
      </c>
      <c r="AI74" s="99" t="str">
        <f t="shared" si="2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ML0816","project_id":79,"tracker_id":40,"status_id":1,"priority_id":2,"assigned_to_id":23,"start_date":"2017-06-13","description":"","custom_fields":[{"id":1,"name":"Subdivision","value":"EC"},{"id":4,"name":"Milepost","value":"8.6352"},{"id":17,"name":"Train ID","value":"148-13"},{"id":16,"name":"Locomotive ID","value":"4005"},{"id":130,"name":"Impact","value":""},{"id":150,"name":"Time of Event (Mountain Time)","value":"10:48:26"},{"id":151,"name":"Denver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4005 --day 2017-06-13</v>
      </c>
      <c r="AN74" s="154" t="str">
        <f t="shared" si="2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695</v>
      </c>
      <c r="B75" s="7">
        <v>4005</v>
      </c>
      <c r="C75" s="21" t="s">
        <v>204</v>
      </c>
      <c r="D75" s="21" t="s">
        <v>862</v>
      </c>
      <c r="E75" s="13">
        <v>42899.453784722224</v>
      </c>
      <c r="F75" s="13">
        <v>42899.454386574071</v>
      </c>
      <c r="G75" s="7">
        <v>0</v>
      </c>
      <c r="H75" s="21" t="s">
        <v>353</v>
      </c>
      <c r="I75" s="13">
        <v>42899.46503472222</v>
      </c>
      <c r="J75" s="7">
        <v>0</v>
      </c>
      <c r="K75" s="92" t="str">
        <f t="shared" si="0"/>
        <v>4005/4006</v>
      </c>
      <c r="L75" s="21" t="str">
        <f>VLOOKUP(A75,'Trips&amp;Operators'!$C$1:$G$99999,5,FALSE)</f>
        <v>MAELZER KURT</v>
      </c>
      <c r="M75" s="6">
        <f t="shared" si="1"/>
        <v>1.0648148148902692E-2</v>
      </c>
      <c r="N75" s="7"/>
      <c r="O75" s="7"/>
      <c r="P75" s="7"/>
      <c r="Q75" s="22"/>
      <c r="R75" s="173"/>
      <c r="S75" s="176"/>
      <c r="T75" s="202" t="str">
        <f t="shared" si="4"/>
        <v>Southbound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9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-06-13T09:53:27-0600',mode:absolute,to:'2017-06-13T12:09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5" s="204" t="str">
        <f t="shared" si="6"/>
        <v>Y</v>
      </c>
      <c r="X75" s="204">
        <f t="shared" si="28"/>
        <v>0</v>
      </c>
      <c r="Y75" s="204">
        <f t="shared" si="25"/>
        <v>6.4141000000000004</v>
      </c>
      <c r="Z75" s="204">
        <f t="shared" si="26"/>
        <v>1.43E-2</v>
      </c>
      <c r="AA75" s="204">
        <f t="shared" si="10"/>
        <v>6.3997999999999999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0148-13</v>
      </c>
      <c r="AE75" s="80" t="str">
        <f t="shared" si="1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75" s="77" t="str">
        <f t="shared" si="13"/>
        <v>"C:\Program Files (x86)\AstroGrep\AstroGrep.exe" /e /r /s /spath="%USERPROFILE%\AppData\Local\Temp\OnboardLogs" /stypes="app*4005*20170613*" /stext=" 17:.+((SYSTEM_STATE.+slice.+state.+changed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148-13 --locoid 4005 --swversion DE.1.0.9.0 --startMP 204:64141 --initTime 2017-06-13T10:53:27 --startdatetime 2017-06-13T10:54:19 --delay 0 --endMP 204:143 --enddatetime 2017-06-13T11:09:39 --enforcementcount 0 &gt;&gt;C:\Users\stu\Documents\GitHub\eaglep3-reporting\EC\2017-06-13-refined-times.txt</v>
      </c>
      <c r="AI75" s="99" t="str">
        <f t="shared" si="20"/>
        <v>echo {"issue":{"subject":"","project_id":79,"tracker_id":40,"status_id":1,"priority_id":2,"assigned_to_id":23,"start_date":"2017-06-13","description":"","custom_fields":[{"id":1,"name":"Subdivision","value":"EC"},{"id":4,"name":"Milepost","value":"0.0143"},{"id":17,"name":"Train ID","value":"148-13"},{"id":16,"name":"Locomotive ID","value":"4005"},{"id":130,"name":"Impact","value":""},{"id":150,"name":"Time of Event (Mountain Time)","value":"11:09:39"},{"id":151,"name":"Denver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4005 --day 2017-06-13</v>
      </c>
      <c r="AN75" s="154" t="str">
        <f t="shared" si="2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689</v>
      </c>
      <c r="B76" s="7">
        <v>4046</v>
      </c>
      <c r="C76" s="21" t="s">
        <v>204</v>
      </c>
      <c r="D76" s="21" t="s">
        <v>354</v>
      </c>
      <c r="E76" s="13">
        <v>42899.403402777774</v>
      </c>
      <c r="F76" s="13">
        <v>42899.406504629631</v>
      </c>
      <c r="G76" s="7">
        <v>1</v>
      </c>
      <c r="H76" s="21" t="s">
        <v>477</v>
      </c>
      <c r="I76" s="13">
        <v>42899.43109953704</v>
      </c>
      <c r="J76" s="7">
        <v>0</v>
      </c>
      <c r="K76" s="92" t="str">
        <f t="shared" si="0"/>
        <v>4045/4046</v>
      </c>
      <c r="L76" s="21" t="str">
        <f>VLOOKUP(A76,'Trips&amp;Operators'!$C$1:$G$99999,5,FALSE)</f>
        <v>LALONDE GREGORY</v>
      </c>
      <c r="M76" s="6">
        <f t="shared" si="1"/>
        <v>2.4594907408754807E-2</v>
      </c>
      <c r="N76" s="7">
        <f>24*60*SUM($M76:$M76)</f>
        <v>35.416666668606922</v>
      </c>
      <c r="O76" s="7"/>
      <c r="P76" s="7"/>
      <c r="Q76" s="22"/>
      <c r="R76" s="173"/>
      <c r="S76" s="176">
        <f>SUM(U76:U76)/IF(AG76="EC",12,1)</f>
        <v>1</v>
      </c>
      <c r="T76" s="202" t="str">
        <f t="shared" si="4"/>
        <v>NorthBound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-06-13T08:40:54-0600',mode:absolute,to:'2017-06-13T11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204" t="str">
        <f t="shared" si="6"/>
        <v>N</v>
      </c>
      <c r="X76" s="204">
        <f t="shared" si="28"/>
        <v>1</v>
      </c>
      <c r="Y76" s="204">
        <f t="shared" si="25"/>
        <v>4.6600000000000003E-2</v>
      </c>
      <c r="Z76" s="204">
        <f t="shared" si="26"/>
        <v>23.3338</v>
      </c>
      <c r="AA76" s="204">
        <f t="shared" si="10"/>
        <v>23.287199999999999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0149-13</v>
      </c>
      <c r="AE76" s="80" t="str">
        <f t="shared" si="12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76" s="77" t="str">
        <f t="shared" si="13"/>
        <v>"C:\Program Files (x86)\AstroGrep\AstroGrep.exe" /e /r /s /spath="%USERPROFILE%\AppData\Local\Temp\OnboardLogs" /stypes="app*4046*20170613*" /stext=" 16:.+((SYSTEM_STATE.+slice.+state.+changed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ref="AH76:AH139" si="29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149-13 --locoid 4046 --swversion DE.1.0.9.0 --startMP 204:466 --initTime 2017-06-13T09:40:54 --startdatetime 2017-06-13T09:45:22 --delay 1 --endMP 204:233338 --enddatetime 2017-06-13T10:20:47 --enforcementcount 0 &gt;&gt;C:\Users\stu\Documents\GitHub\eaglep3-reporting\EC\2017-06-13-refined-times.txt</v>
      </c>
      <c r="AI76" s="99" t="str">
        <f t="shared" ref="AI76:AI139" si="30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{"issue":{"subject":"","project_id":79,"tracker_id":40,"status_id":1,"priority_id":2,"assigned_to_id":23,"start_date":"2017-06-13","description":"","custom_fields":[{"id":1,"name":"Subdivision","value":"EC"},{"id":4,"name":"Milepost","value":"23.3338"},{"id":17,"name":"Train ID","value":"149-13"},{"id":16,"name":"Locomotive ID","value":"4046"},{"id":130,"name":"Impact","value":""},{"id":150,"name":"Time of Event (Mountain Time)","value":"10:20:47"},{"id":151,"name":"Denver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ref="AM76:AM139" si="31">"start /low /b "&amp;dls3logs&amp;" --loco "&amp;B76&amp;" --day "&amp;TEXT(F76,"YYYY-MM-DD")</f>
        <v>start /low /b %USERPROFILE%\Documents\GitHub\eaglep3\Utilities\DownloadLogsFromS3.py --loco 4046 --day 2017-06-13</v>
      </c>
      <c r="AN76" s="154" t="str">
        <f t="shared" ref="AN76:AN139" si="32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696</v>
      </c>
      <c r="B77" s="7">
        <v>4045</v>
      </c>
      <c r="C77" s="21" t="s">
        <v>204</v>
      </c>
      <c r="D77" s="21" t="s">
        <v>496</v>
      </c>
      <c r="E77" s="13">
        <v>42899.433263888888</v>
      </c>
      <c r="F77" s="13">
        <v>42899.433900462966</v>
      </c>
      <c r="G77" s="7">
        <v>0</v>
      </c>
      <c r="H77" s="21" t="s">
        <v>569</v>
      </c>
      <c r="I77" s="13">
        <v>42899.459282407406</v>
      </c>
      <c r="J77" s="7">
        <v>0</v>
      </c>
      <c r="K77" s="92" t="str">
        <f t="shared" ref="K77:K140" si="33">IF(ISEVEN(B77),(B77-1)&amp;"/"&amp;B77,B77&amp;"/"&amp;(B77+1))</f>
        <v>4045/4046</v>
      </c>
      <c r="L77" s="21" t="str">
        <f>VLOOKUP(A77,'Trips&amp;Operators'!$C$1:$G$99999,5,FALSE)</f>
        <v>LALONDE GREGORY</v>
      </c>
      <c r="M77" s="6">
        <f t="shared" ref="M77:M140" si="34">I77-F77</f>
        <v>2.5381944440596271E-2</v>
      </c>
      <c r="N77" s="7"/>
      <c r="O77" s="7"/>
      <c r="P77" s="7">
        <f>24*60*SUM($M77:$M78)</f>
        <v>50.949999986914918</v>
      </c>
      <c r="Q77" s="22"/>
      <c r="R77" s="173" t="s">
        <v>1021</v>
      </c>
      <c r="S77" s="176">
        <f>SUM(U77:U78)/IF(AG77="EC",12,1)</f>
        <v>0.91666666666666663</v>
      </c>
      <c r="T77" s="202" t="str">
        <f t="shared" ref="T77:T140" si="35">IF(ISEVEN(LEFT(AD77,4)),"Southbound","NorthBound")</f>
        <v>Southbound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2</v>
      </c>
      <c r="V77" s="203" t="str">
        <f t="shared" ref="V77:V140" si="3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-13T09:23:54-0600',mode:absolute,to:'2017-06-13T12:01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204" t="str">
        <f t="shared" ref="W77:W140" si="37">IF(AA77&lt;IF(AG77="EC",23,5.65),"Y","N")</f>
        <v>Y</v>
      </c>
      <c r="X77" s="204">
        <f t="shared" si="28"/>
        <v>1</v>
      </c>
      <c r="Y77" s="204">
        <f t="shared" ref="Y77:Y108" si="38">RIGHT(D77,LEN(D77)-4)/10000</f>
        <v>23.3019</v>
      </c>
      <c r="Z77" s="204">
        <f t="shared" ref="Z77:Z108" si="39">RIGHT(H77,LEN(H77)-4)/10000</f>
        <v>8.6351999999999993</v>
      </c>
      <c r="AA77" s="204">
        <f t="shared" ref="AA77:AA140" si="40">ABS(Z77-Y77)</f>
        <v>14.666700000000001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1">IF(LEN(A77)=6,"0"&amp;A77,A77)</f>
        <v>0150-13</v>
      </c>
      <c r="AE77" s="80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77" s="77" t="str">
        <f t="shared" ref="AF77:AF140" si="4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/stypes="app*4045*20170613*" /stext=" 17:.+((SYSTEM_STATE.+slice.+state.+changed )|(ment ac)|(multiple cpu faults)|(system.+state.+changed )|(\[timeout)|(PRM\|1\|D)|(kpr)|(kdp)|(train st.+moving)|(\|lc)|(penalty))"</v>
      </c>
      <c r="AG77" s="1" t="str">
        <f t="shared" ref="AG77:AG140" si="44">IFERROR(IF(VALUE(LEFT(AD77,2))&lt;=2,"EC",IF(OR(VALUE(LEFT(AD77,2))=8,VALUE(LEFT(AD77,2))=18),"NW","Other")),"Other")</f>
        <v>EC</v>
      </c>
      <c r="AH77" s="81" t="str">
        <f t="shared" si="29"/>
        <v>"%USERPROFILE%\Documents\GitHub\eaglep3\Utilities\RefineRTDCRunTimes.py" --tripid 150-13 --locoid 4045 --swversion DE.1.0.9.0 --startMP 204:233019 --initTime 2017-06-13T10:23:54 --startdatetime 2017-06-13T10:24:49 --delay 0 --endMP 204:86352 --enddatetime 2017-06-13T11:01:22 --enforcementcount 0 &gt;&gt;C:\Users\stu\Documents\GitHub\eaglep3-reporting\EC\2017-06-13-refined-times.txt</v>
      </c>
      <c r="AI77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ML0816","project_id":79,"tracker_id":40,"status_id":1,"priority_id":2,"assigned_to_id":23,"start_date":"2017-06-13","description":"","custom_fields":[{"id":1,"name":"Subdivision","value":"EC"},{"id":4,"name":"Milepost","value":"8.6352"},{"id":17,"name":"Train ID","value":"150-13"},{"id":16,"name":"Locomotive ID","value":"4045"},{"id":130,"name":"Impact","value":""},{"id":150,"name":"Time of Event (Mountain Time)","value":"11:01:22"},{"id":151,"name":"Denver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31"/>
        <v>start /low /b %USERPROFILE%\Documents\GitHub\eaglep3\Utilities\DownloadLogsFromS3.py --loco 4045 --day 2017-06-13</v>
      </c>
      <c r="AN77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17:01:22"},{"id":29,"name":"Sharepoint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696</v>
      </c>
      <c r="B78" s="7">
        <v>4045</v>
      </c>
      <c r="C78" s="21" t="s">
        <v>204</v>
      </c>
      <c r="D78" s="21" t="s">
        <v>863</v>
      </c>
      <c r="E78" s="13">
        <v>42899.462708333333</v>
      </c>
      <c r="F78" s="13">
        <v>42899.463252314818</v>
      </c>
      <c r="G78" s="7">
        <v>0</v>
      </c>
      <c r="H78" s="21" t="s">
        <v>195</v>
      </c>
      <c r="I78" s="13">
        <v>42899.473252314812</v>
      </c>
      <c r="J78" s="7">
        <v>0</v>
      </c>
      <c r="K78" s="92" t="str">
        <f t="shared" si="33"/>
        <v>4045/4046</v>
      </c>
      <c r="L78" s="21" t="str">
        <f>VLOOKUP(A78,'Trips&amp;Operators'!$C$1:$G$99999,5,FALSE)</f>
        <v>LALONDE GREGORY</v>
      </c>
      <c r="M78" s="6">
        <f t="shared" si="34"/>
        <v>9.9999999947613105E-3</v>
      </c>
      <c r="N78" s="7"/>
      <c r="O78" s="7"/>
      <c r="P78" s="7"/>
      <c r="Q78" s="22"/>
      <c r="R78" s="173"/>
      <c r="S78" s="176"/>
      <c r="T78" s="202" t="str">
        <f t="shared" si="35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9</v>
      </c>
      <c r="V78" s="203" t="str">
        <f t="shared" si="36"/>
        <v>https://d0f6bd738d7f1b3e5a7ca70fe4ff75f0.us-east-1.aws.found.io/app/kibana#/discover/Steve-Slow-Train-Analysis-(2080s-and-2083s)?_g=(refreshInterval:(display:Off,pause:!f,section:0,value:0),time:(from:'2017-06-13T10:06:18-0600',mode:absolute,to:'2017-06-13T12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8" s="204" t="str">
        <f t="shared" si="37"/>
        <v>Y</v>
      </c>
      <c r="X78" s="204">
        <f t="shared" si="28"/>
        <v>0</v>
      </c>
      <c r="Y78" s="204">
        <f t="shared" si="38"/>
        <v>6.4161000000000001</v>
      </c>
      <c r="Z78" s="204">
        <f t="shared" si="39"/>
        <v>1.52E-2</v>
      </c>
      <c r="AA78" s="204">
        <f t="shared" si="40"/>
        <v>6.4009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1"/>
        <v>0150-13</v>
      </c>
      <c r="AE78" s="80" t="str">
        <f t="shared" si="4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78" s="77" t="str">
        <f t="shared" si="43"/>
        <v>"C:\Program Files (x86)\AstroGrep\AstroGrep.exe" /e /r /s /spath="%USERPROFILE%\AppData\Local\Temp\OnboardLogs" /stypes="app*4045*20170613*" /stext=" 17:.+((SYSTEM_STATE.+slice.+state.+changed )|(ment ac)|(multiple cpu faults)|(system.+state.+changed )|(\[timeout)|(PRM\|1\|D)|(kpr)|(kdp)|(train st.+moving)|(\|lc)|(penalty))"</v>
      </c>
      <c r="AG78" s="1" t="str">
        <f t="shared" si="44"/>
        <v>EC</v>
      </c>
      <c r="AH78" s="81" t="str">
        <f t="shared" si="29"/>
        <v>"%USERPROFILE%\Documents\GitHub\eaglep3\Utilities\RefineRTDCRunTimes.py" --tripid 150-13 --locoid 4045 --swversion DE.1.0.9.0 --startMP 204:64161 --initTime 2017-06-13T11:06:18 --startdatetime 2017-06-13T11:07:05 --delay 0 --endMP 204:152 --enddatetime 2017-06-13T11:21:29 --enforcementcount 0 &gt;&gt;C:\Users\stu\Documents\GitHub\eaglep3-reporting\EC\2017-06-13-refined-times.txt</v>
      </c>
      <c r="AI78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{"issue":{"subject":"","project_id":79,"tracker_id":40,"status_id":1,"priority_id":2,"assigned_to_id":23,"start_date":"2017-06-13","description":"","custom_fields":[{"id":1,"name":"Subdivision","value":"EC"},{"id":4,"name":"Milepost","value":"0.0152"},{"id":17,"name":"Train ID","value":"150-13"},{"id":16,"name":"Locomotive ID","value":"4045"},{"id":130,"name":"Impact","value":""},{"id":150,"name":"Time of Event (Mountain Time)","value":"11:21:29"},{"id":151,"name":"Denver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31"/>
        <v>start /low /b %USERPROFILE%\Documents\GitHub\eaglep3\Utilities\DownloadLogsFromS3.py --loco 4045 --day 2017-06-13</v>
      </c>
      <c r="AN78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692</v>
      </c>
      <c r="B79" s="7">
        <v>4054</v>
      </c>
      <c r="C79" s="21" t="s">
        <v>204</v>
      </c>
      <c r="D79" s="21" t="s">
        <v>864</v>
      </c>
      <c r="E79" s="13">
        <v>42899.414965277778</v>
      </c>
      <c r="F79" s="13">
        <v>42899.417222222219</v>
      </c>
      <c r="G79" s="7">
        <v>1</v>
      </c>
      <c r="H79" s="21" t="s">
        <v>865</v>
      </c>
      <c r="I79" s="13">
        <v>42899.441331018519</v>
      </c>
      <c r="J79" s="7">
        <v>0</v>
      </c>
      <c r="K79" s="92" t="str">
        <f t="shared" si="33"/>
        <v>4053/4054</v>
      </c>
      <c r="L79" s="21" t="str">
        <f>VLOOKUP(A79,'Trips&amp;Operators'!$C$1:$G$99999,5,FALSE)</f>
        <v>MACDONALD THOMAS</v>
      </c>
      <c r="M79" s="6">
        <f t="shared" si="34"/>
        <v>2.4108796300424729E-2</v>
      </c>
      <c r="N79" s="7">
        <f>24*60*SUM($M79:$M79)</f>
        <v>34.716666672611609</v>
      </c>
      <c r="O79" s="7"/>
      <c r="P79" s="7"/>
      <c r="Q79" s="22"/>
      <c r="R79" s="173"/>
      <c r="S79" s="176">
        <f>SUM(U79:U79)/IF(AG79="EC",12,1)</f>
        <v>1</v>
      </c>
      <c r="T79" s="202" t="str">
        <f t="shared" si="35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6"/>
        <v>https://d0f6bd738d7f1b3e5a7ca70fe4ff75f0.us-east-1.aws.found.io/app/kibana#/discover/Steve-Slow-Train-Analysis-(2080s-and-2083s)?_g=(refreshInterval:(display:Off,pause:!f,section:0,value:0),time:(from:'2017-06-13T08:57:33-0600',mode:absolute,to:'2017-06-13T11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9" s="204" t="str">
        <f t="shared" si="37"/>
        <v>N</v>
      </c>
      <c r="X79" s="204">
        <f t="shared" si="28"/>
        <v>1</v>
      </c>
      <c r="Y79" s="204">
        <f t="shared" si="38"/>
        <v>4.24E-2</v>
      </c>
      <c r="Z79" s="204">
        <f t="shared" si="39"/>
        <v>23.3261</v>
      </c>
      <c r="AA79" s="204">
        <f t="shared" si="40"/>
        <v>23.2837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1"/>
        <v>0151-13</v>
      </c>
      <c r="AE79" s="80" t="str">
        <f t="shared" si="42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79" s="77" t="str">
        <f t="shared" si="43"/>
        <v>"C:\Program Files (x86)\AstroGrep\AstroGrep.exe" /e /r /s /spath="%USERPROFILE%\AppData\Local\Temp\OnboardLogs" /stypes="app*4054*20170613*" /stext=" 16:.+((SYSTEM_STATE.+slice.+state.+changed )|(ment ac)|(multiple cpu faults)|(system.+state.+changed )|(\[timeout)|(PRM\|1\|D)|(kpr)|(kdp)|(train st.+moving)|(\|lc)|(penalty))"</v>
      </c>
      <c r="AG79" s="1" t="str">
        <f t="shared" si="44"/>
        <v>EC</v>
      </c>
      <c r="AH79" s="81" t="str">
        <f t="shared" si="29"/>
        <v>"%USERPROFILE%\Documents\GitHub\eaglep3\Utilities\RefineRTDCRunTimes.py" --tripid 151-13 --locoid 4054 --swversion DE.1.0.9.0 --startMP 204:424 --initTime 2017-06-13T09:57:33 --startdatetime 2017-06-13T10:00:48 --delay 1 --endMP 204:233261 --enddatetime 2017-06-13T10:35:31 --enforcementcount 0 &gt;&gt;C:\Users\stu\Documents\GitHub\eaglep3-reporting\EC\2017-06-13-refined-times.txt</v>
      </c>
      <c r="AI79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{"issue":{"subject":"","project_id":79,"tracker_id":40,"status_id":1,"priority_id":2,"assigned_to_id":23,"start_date":"2017-06-13","description":"","custom_fields":[{"id":1,"name":"Subdivision","value":"EC"},{"id":4,"name":"Milepost","value":"23.3261"},{"id":17,"name":"Train ID","value":"151-13"},{"id":16,"name":"Locomotive ID","value":"4054"},{"id":130,"name":"Impact","value":""},{"id":150,"name":"Time of Event (Mountain Time)","value":"10:35:31"},{"id":151,"name":"Denver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31"/>
        <v>start /low /b %USERPROFILE%\Documents\GitHub\eaglep3\Utilities\DownloadLogsFromS3.py --loco 4054 --day 2017-06-13</v>
      </c>
      <c r="AN79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604</v>
      </c>
      <c r="B80" s="7">
        <v>4053</v>
      </c>
      <c r="C80" s="21" t="s">
        <v>204</v>
      </c>
      <c r="D80" s="21" t="s">
        <v>866</v>
      </c>
      <c r="E80" s="13">
        <v>42899.454351851855</v>
      </c>
      <c r="F80" s="13">
        <v>42899.455277777779</v>
      </c>
      <c r="G80" s="7">
        <v>1</v>
      </c>
      <c r="H80" s="21" t="s">
        <v>833</v>
      </c>
      <c r="I80" s="13">
        <v>42899.470914351848</v>
      </c>
      <c r="J80" s="7">
        <v>1</v>
      </c>
      <c r="K80" s="92" t="str">
        <f t="shared" si="33"/>
        <v>4053/4054</v>
      </c>
      <c r="L80" s="21" t="str">
        <f>VLOOKUP(A80,'Trips&amp;Operators'!$C$1:$G$99999,5,FALSE)</f>
        <v>MACDONALD THOMAS</v>
      </c>
      <c r="M80" s="6">
        <f t="shared" si="34"/>
        <v>1.5636574069503695E-2</v>
      </c>
      <c r="N80" s="7"/>
      <c r="O80" s="7"/>
      <c r="P80" s="7">
        <f>24*60*SUM($M80:$M81)</f>
        <v>38.183333332417533</v>
      </c>
      <c r="Q80" s="22"/>
      <c r="R80" s="173" t="s">
        <v>1021</v>
      </c>
      <c r="S80" s="176">
        <f>SUM(U80:U81)/IF(AG80="EC",12,1)</f>
        <v>0.91666666666666663</v>
      </c>
      <c r="T80" s="202" t="str">
        <f t="shared" si="35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2</v>
      </c>
      <c r="V80" s="203" t="str">
        <f t="shared" si="36"/>
        <v>https://d0f6bd738d7f1b3e5a7ca70fe4ff75f0.us-east-1.aws.found.io/app/kibana#/discover/Steve-Slow-Train-Analysis-(2080s-and-2083s)?_g=(refreshInterval:(display:Off,pause:!f,section:0,value:0),time:(from:'2017-06-13T09:54:16-0600',mode:absolute,to:'2017-06-13T12:18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204" t="str">
        <f t="shared" si="37"/>
        <v>Y</v>
      </c>
      <c r="X80" s="204">
        <f t="shared" si="28"/>
        <v>1</v>
      </c>
      <c r="Y80" s="204">
        <f t="shared" si="38"/>
        <v>23.293800000000001</v>
      </c>
      <c r="Z80" s="204">
        <f t="shared" si="39"/>
        <v>8.6353000000000009</v>
      </c>
      <c r="AA80" s="204">
        <f t="shared" si="40"/>
        <v>14.6585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1"/>
        <v>0152-13</v>
      </c>
      <c r="AE80" s="80" t="str">
        <f t="shared" si="4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80" s="77" t="str">
        <f t="shared" si="43"/>
        <v>"C:\Program Files (x86)\AstroGrep\AstroGrep.exe" /e /r /s /spath="%USERPROFILE%\AppData\Local\Temp\OnboardLogs" /stypes="app*4053*20170613*" /stext=" 17:.+((SYSTEM_STATE.+slice.+state.+changed )|(ment ac)|(multiple cpu faults)|(system.+state.+changed )|(\[timeout)|(PRM\|1\|D)|(kpr)|(kdp)|(train st.+moving)|(\|lc)|(penalty))"</v>
      </c>
      <c r="AG80" s="1" t="str">
        <f t="shared" si="44"/>
        <v>EC</v>
      </c>
      <c r="AH80" s="81" t="str">
        <f t="shared" si="29"/>
        <v>"%USERPROFILE%\Documents\GitHub\eaglep3\Utilities\RefineRTDCRunTimes.py" --tripid 152-13 --locoid 4053 --swversion DE.1.0.9.0 --startMP 204:232938 --initTime 2017-06-13T10:54:16 --startdatetime 2017-06-13T10:55:36 --delay 1 --endMP 204:86353 --enddatetime 2017-06-13T11:18:07 --enforcementcount 1 &gt;&gt;C:\Users\stu\Documents\GitHub\eaglep3-reporting\EC\2017-06-13-refined-times.txt</v>
      </c>
      <c r="AI80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ID","value":"152-13"},{"id":16,"name":"Locomotive ID","value":"4053"},{"id":130,"name":"Impact","value":""},{"id":150,"name":"Time of Event (Mountain Time)","value":"11:18:07"},{"id":151,"name":"Denver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31"/>
        <v>start /low /b %USERPROFILE%\Documents\GitHub\eaglep3\Utilities\DownloadLogsFromS3.py --loco 4053 --day 2017-06-13</v>
      </c>
      <c r="AN80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17:18:07"},{"id":29,"name":"Sharepoint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604</v>
      </c>
      <c r="B81" s="7">
        <v>4053</v>
      </c>
      <c r="C81" s="21" t="s">
        <v>204</v>
      </c>
      <c r="D81" s="21" t="s">
        <v>867</v>
      </c>
      <c r="E81" s="13">
        <v>42899.474143518521</v>
      </c>
      <c r="F81" s="13">
        <v>42899.47483796296</v>
      </c>
      <c r="G81" s="7">
        <v>1</v>
      </c>
      <c r="H81" s="21" t="s">
        <v>472</v>
      </c>
      <c r="I81" s="13">
        <v>42899.485717592594</v>
      </c>
      <c r="J81" s="7">
        <v>0</v>
      </c>
      <c r="K81" s="92" t="str">
        <f t="shared" si="33"/>
        <v>4053/4054</v>
      </c>
      <c r="L81" s="21" t="str">
        <f>VLOOKUP(A81,'Trips&amp;Operators'!$C$1:$G$99999,5,FALSE)</f>
        <v>MACDONALD THOMAS</v>
      </c>
      <c r="M81" s="6">
        <f t="shared" si="34"/>
        <v>1.0879629633564036E-2</v>
      </c>
      <c r="N81" s="7"/>
      <c r="O81" s="7"/>
      <c r="P81" s="7"/>
      <c r="Q81" s="22"/>
      <c r="R81" s="173"/>
      <c r="S81" s="176"/>
      <c r="T81" s="202" t="str">
        <f t="shared" si="35"/>
        <v>Southbound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9</v>
      </c>
      <c r="V81" s="203" t="str">
        <f t="shared" si="36"/>
        <v>https://d0f6bd738d7f1b3e5a7ca70fe4ff75f0.us-east-1.aws.found.io/app/kibana#/discover/Steve-Slow-Train-Analysis-(2080s-and-2083s)?_g=(refreshInterval:(display:Off,pause:!f,section:0,value:0),time:(from:'2017-06-13T10:22:46-0600',mode:absolute,to:'2017-06-13T12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204" t="str">
        <f t="shared" si="37"/>
        <v>Y</v>
      </c>
      <c r="X81" s="204">
        <f t="shared" si="28"/>
        <v>0</v>
      </c>
      <c r="Y81" s="204">
        <f t="shared" si="38"/>
        <v>6.4181999999999997</v>
      </c>
      <c r="Z81" s="204">
        <f t="shared" si="39"/>
        <v>1.61E-2</v>
      </c>
      <c r="AA81" s="204">
        <f t="shared" si="40"/>
        <v>6.4020999999999999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1"/>
        <v>0152-13</v>
      </c>
      <c r="AE81" s="80" t="str">
        <f t="shared" si="4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81" s="77" t="str">
        <f t="shared" si="43"/>
        <v>"C:\Program Files (x86)\AstroGrep\AstroGrep.exe" /e /r /s /spath="%USERPROFILE%\AppData\Local\Temp\OnboardLogs" /stypes="app*4053*20170613*" /stext=" 17:.+((SYSTEM_STATE.+slice.+state.+changed )|(ment ac)|(multiple cpu faults)|(system.+state.+changed )|(\[timeout)|(PRM\|1\|D)|(kpr)|(kdp)|(train st.+moving)|(\|lc)|(penalty))"</v>
      </c>
      <c r="AG81" s="1" t="str">
        <f t="shared" si="44"/>
        <v>EC</v>
      </c>
      <c r="AH81" s="81" t="str">
        <f t="shared" si="29"/>
        <v>"%USERPROFILE%\Documents\GitHub\eaglep3\Utilities\RefineRTDCRunTimes.py" --tripid 152-13 --locoid 4053 --swversion DE.1.0.9.0 --startMP 204:64182 --initTime 2017-06-13T11:22:46 --startdatetime 2017-06-13T11:23:46 --delay 1 --endMP 204:161 --enddatetime 2017-06-13T11:39:26 --enforcementcount 0 &gt;&gt;C:\Users\stu\Documents\GitHub\eaglep3-reporting\EC\2017-06-13-refined-times.txt</v>
      </c>
      <c r="AI81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{"issue":{"subject":"","project_id":79,"tracker_id":40,"status_id":1,"priority_id":2,"assigned_to_id":23,"start_date":"2017-06-13","description":"","custom_fields":[{"id":1,"name":"Subdivision","value":"EC"},{"id":4,"name":"Milepost","value":"0.0161"},{"id":17,"name":"Train ID","value":"152-13"},{"id":16,"name":"Locomotive ID","value":"4053"},{"id":130,"name":"Impact","value":""},{"id":150,"name":"Time of Event (Mountain Time)","value":"11:39:26"},{"id":151,"name":"Denver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31"/>
        <v>start /low /b %USERPROFILE%\Documents\GitHub\eaglep3\Utilities\DownloadLogsFromS3.py --loco 4053 --day 2017-06-13</v>
      </c>
      <c r="AN81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694</v>
      </c>
      <c r="B82" s="7">
        <v>4032</v>
      </c>
      <c r="C82" s="21" t="s">
        <v>204</v>
      </c>
      <c r="D82" s="21" t="s">
        <v>355</v>
      </c>
      <c r="E82" s="13">
        <v>42899.425520833334</v>
      </c>
      <c r="F82" s="13">
        <v>42899.427349537036</v>
      </c>
      <c r="G82" s="7">
        <v>1</v>
      </c>
      <c r="H82" s="21" t="s">
        <v>441</v>
      </c>
      <c r="I82" s="13">
        <v>42899.452314814815</v>
      </c>
      <c r="J82" s="7">
        <v>0</v>
      </c>
      <c r="K82" s="92" t="str">
        <f t="shared" si="33"/>
        <v>4031/4032</v>
      </c>
      <c r="L82" s="21" t="str">
        <f>VLOOKUP(A82,'Trips&amp;Operators'!$C$1:$G$99999,5,FALSE)</f>
        <v>HELVIE ADAM</v>
      </c>
      <c r="M82" s="6">
        <f t="shared" si="34"/>
        <v>2.4965277778392192E-2</v>
      </c>
      <c r="N82" s="7">
        <f>24*60*SUM($M82:$M82)</f>
        <v>35.950000000884756</v>
      </c>
      <c r="O82" s="7"/>
      <c r="P82" s="7"/>
      <c r="Q82" s="22"/>
      <c r="R82" s="173"/>
      <c r="S82" s="176">
        <f>SUM(U82:U82)/IF(AG82="EC",12,1)</f>
        <v>1</v>
      </c>
      <c r="T82" s="202" t="str">
        <f t="shared" si="35"/>
        <v>NorthBound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6"/>
        <v>https://d0f6bd738d7f1b3e5a7ca70fe4ff75f0.us-east-1.aws.found.io/app/kibana#/discover/Steve-Slow-Train-Analysis-(2080s-and-2083s)?_g=(refreshInterval:(display:Off,pause:!f,section:0,value:0),time:(from:'2017-06-13T09:12:45-0600',mode:absolute,to:'2017-06-13T11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2" s="204" t="str">
        <f t="shared" si="37"/>
        <v>N</v>
      </c>
      <c r="X82" s="204">
        <f t="shared" si="28"/>
        <v>1</v>
      </c>
      <c r="Y82" s="204">
        <f t="shared" si="38"/>
        <v>4.5100000000000001E-2</v>
      </c>
      <c r="Z82" s="204">
        <f t="shared" si="39"/>
        <v>23.329699999999999</v>
      </c>
      <c r="AA82" s="204">
        <f t="shared" si="40"/>
        <v>23.284599999999998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1"/>
        <v>0153-13</v>
      </c>
      <c r="AE82" s="80" t="str">
        <f t="shared" si="42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82" s="77" t="str">
        <f t="shared" si="43"/>
        <v>"C:\Program Files (x86)\AstroGrep\AstroGrep.exe" /e /r /s /spath="%USERPROFILE%\AppData\Local\Temp\OnboardLogs" /stypes="app*4032*20170613*" /stext=" 16:.+((SYSTEM_STATE.+slice.+state.+changed )|(ment ac)|(multiple cpu faults)|(system.+state.+changed )|(\[timeout)|(PRM\|1\|D)|(kpr)|(kdp)|(train st.+moving)|(\|lc)|(penalty))"</v>
      </c>
      <c r="AG82" s="1" t="str">
        <f t="shared" si="44"/>
        <v>EC</v>
      </c>
      <c r="AH82" s="81" t="str">
        <f t="shared" si="29"/>
        <v>"%USERPROFILE%\Documents\GitHub\eaglep3\Utilities\RefineRTDCRunTimes.py" --tripid 153-13 --locoid 4032 --swversion DE.1.0.9.0 --startMP 204:451 --initTime 2017-06-13T10:12:45 --startdatetime 2017-06-13T10:15:23 --delay 1 --endMP 204:233297 --enddatetime 2017-06-13T10:51:20 --enforcementcount 0 &gt;&gt;C:\Users\stu\Documents\GitHub\eaglep3-reporting\EC\2017-06-13-refined-times.txt</v>
      </c>
      <c r="AI82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{"issue":{"subject":"","project_id":79,"tracker_id":40,"status_id":1,"priority_id":2,"assigned_to_id":23,"start_date":"2017-06-13","description":"","custom_fields":[{"id":1,"name":"Subdivision","value":"EC"},{"id":4,"name":"Milepost","value":"23.3297"},{"id":17,"name":"Train ID","value":"153-13"},{"id":16,"name":"Locomotive ID","value":"4032"},{"id":130,"name":"Impact","value":""},{"id":150,"name":"Time of Event (Mountain Time)","value":"10:51:20"},{"id":151,"name":"Denver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31"/>
        <v>start /low /b %USERPROFILE%\Documents\GitHub\eaglep3\Utilities\DownloadLogsFromS3.py --loco 4032 --day 2017-06-13</v>
      </c>
      <c r="AN82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701</v>
      </c>
      <c r="B83" s="7">
        <v>4031</v>
      </c>
      <c r="C83" s="21" t="s">
        <v>204</v>
      </c>
      <c r="D83" s="21" t="s">
        <v>571</v>
      </c>
      <c r="E83" s="13">
        <v>42899.463125000002</v>
      </c>
      <c r="F83" s="13">
        <v>42899.464085648149</v>
      </c>
      <c r="G83" s="7">
        <v>1</v>
      </c>
      <c r="H83" s="21" t="s">
        <v>569</v>
      </c>
      <c r="I83" s="13">
        <v>42899.481724537036</v>
      </c>
      <c r="J83" s="7">
        <v>0</v>
      </c>
      <c r="K83" s="92" t="str">
        <f t="shared" si="33"/>
        <v>4031/4032</v>
      </c>
      <c r="L83" s="21" t="str">
        <f>VLOOKUP(A83,'Trips&amp;Operators'!$C$1:$G$99999,5,FALSE)</f>
        <v>HELVIE ADAM</v>
      </c>
      <c r="M83" s="6">
        <f t="shared" si="34"/>
        <v>1.763888888672227E-2</v>
      </c>
      <c r="N83" s="7"/>
      <c r="O83" s="7"/>
      <c r="P83" s="7">
        <f>24*60*SUM($M83:$M84)</f>
        <v>40.466666665161029</v>
      </c>
      <c r="Q83" s="22"/>
      <c r="R83" s="173" t="s">
        <v>1021</v>
      </c>
      <c r="S83" s="176">
        <f>SUM(U83:U84)/IF(AG83="EC",12,1)</f>
        <v>0.91666666666666663</v>
      </c>
      <c r="T83" s="202" t="str">
        <f t="shared" si="35"/>
        <v>Southbound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2</v>
      </c>
      <c r="V83" s="203" t="str">
        <f t="shared" si="36"/>
        <v>https://d0f6bd738d7f1b3e5a7ca70fe4ff75f0.us-east-1.aws.found.io/app/kibana#/discover/Steve-Slow-Train-Analysis-(2080s-and-2083s)?_g=(refreshInterval:(display:Off,pause:!f,section:0,value:0),time:(from:'2017-06-13T10:06:54-0600',mode:absolute,to:'2017-06-13T12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3" s="204" t="str">
        <f t="shared" si="37"/>
        <v>Y</v>
      </c>
      <c r="X83" s="204">
        <f t="shared" si="28"/>
        <v>1</v>
      </c>
      <c r="Y83" s="204">
        <f t="shared" si="38"/>
        <v>23.2974</v>
      </c>
      <c r="Z83" s="204">
        <f t="shared" si="39"/>
        <v>8.6351999999999993</v>
      </c>
      <c r="AA83" s="204">
        <f t="shared" si="40"/>
        <v>14.6622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1"/>
        <v>0154-13</v>
      </c>
      <c r="AE83" s="80" t="str">
        <f t="shared" si="4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83" s="77" t="str">
        <f t="shared" si="43"/>
        <v>"C:\Program Files (x86)\AstroGrep\AstroGrep.exe" /e /r /s /spath="%USERPROFILE%\AppData\Local\Temp\OnboardLogs" /stypes="app*4031*20170613*" /stext=" 17:.+((SYSTEM_STATE.+slice.+state.+changed )|(ment ac)|(multiple cpu faults)|(system.+state.+changed )|(\[timeout)|(PRM\|1\|D)|(kpr)|(kdp)|(train st.+moving)|(\|lc)|(penalty))"</v>
      </c>
      <c r="AG83" s="1" t="str">
        <f t="shared" si="44"/>
        <v>EC</v>
      </c>
      <c r="AH83" s="81" t="str">
        <f t="shared" si="29"/>
        <v>"%USERPROFILE%\Documents\GitHub\eaglep3\Utilities\RefineRTDCRunTimes.py" --tripid 154-13 --locoid 4031 --swversion DE.1.0.9.0 --startMP 204:232974 --initTime 2017-06-13T11:06:54 --startdatetime 2017-06-13T11:08:17 --delay 1 --endMP 204:86352 --enddatetime 2017-06-13T11:33:41 --enforcementcount 0 &gt;&gt;C:\Users\stu\Documents\GitHub\eaglep3-reporting\EC\2017-06-13-refined-times.txt</v>
      </c>
      <c r="AI83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ML0816","project_id":79,"tracker_id":40,"status_id":1,"priority_id":2,"assigned_to_id":23,"start_date":"2017-06-13","description":"","custom_fields":[{"id":1,"name":"Subdivision","value":"EC"},{"id":4,"name":"Milepost","value":"8.6352"},{"id":17,"name":"Train ID","value":"154-13"},{"id":16,"name":"Locomotive ID","value":"4031"},{"id":130,"name":"Impact","value":""},{"id":150,"name":"Time of Event (Mountain Time)","value":"11:33:41"},{"id":151,"name":"Denver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31"/>
        <v>start /low /b %USERPROFILE%\Documents\GitHub\eaglep3\Utilities\DownloadLogsFromS3.py --loco 4031 --day 2017-06-13</v>
      </c>
      <c r="AN83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701</v>
      </c>
      <c r="B84" s="7">
        <v>4031</v>
      </c>
      <c r="C84" s="21" t="s">
        <v>204</v>
      </c>
      <c r="D84" s="21" t="s">
        <v>868</v>
      </c>
      <c r="E84" s="13">
        <v>42899.485173611109</v>
      </c>
      <c r="F84" s="13">
        <v>42899.485763888886</v>
      </c>
      <c r="G84" s="7">
        <v>0</v>
      </c>
      <c r="H84" s="21" t="s">
        <v>351</v>
      </c>
      <c r="I84" s="13">
        <v>42899.49622685185</v>
      </c>
      <c r="J84" s="7">
        <v>0</v>
      </c>
      <c r="K84" s="92" t="str">
        <f t="shared" si="33"/>
        <v>4031/4032</v>
      </c>
      <c r="L84" s="21" t="str">
        <f>VLOOKUP(A84,'Trips&amp;Operators'!$C$1:$G$99999,5,FALSE)</f>
        <v>HELVIE ADAM</v>
      </c>
      <c r="M84" s="6">
        <f t="shared" si="34"/>
        <v>1.0462962964083999E-2</v>
      </c>
      <c r="N84" s="7"/>
      <c r="O84" s="7"/>
      <c r="P84" s="7"/>
      <c r="Q84" s="22"/>
      <c r="R84" s="173"/>
      <c r="S84" s="176"/>
      <c r="T84" s="202" t="str">
        <f t="shared" si="35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9</v>
      </c>
      <c r="V84" s="203" t="str">
        <f t="shared" si="36"/>
        <v>https://d0f6bd738d7f1b3e5a7ca70fe4ff75f0.us-east-1.aws.found.io/app/kibana#/discover/Steve-Slow-Train-Analysis-(2080s-and-2083s)?_g=(refreshInterval:(display:Off,pause:!f,section:0,value:0),time:(from:'2017-06-13T10:38:39-0600',mode:absolute,to:'2017-06-13T12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204" t="str">
        <f t="shared" si="37"/>
        <v>Y</v>
      </c>
      <c r="X84" s="204">
        <f t="shared" si="28"/>
        <v>0</v>
      </c>
      <c r="Y84" s="204">
        <f t="shared" si="38"/>
        <v>6.4185999999999996</v>
      </c>
      <c r="Z84" s="204">
        <f t="shared" si="39"/>
        <v>1.4999999999999999E-2</v>
      </c>
      <c r="AA84" s="204">
        <f t="shared" si="40"/>
        <v>6.4036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1"/>
        <v>0154-13</v>
      </c>
      <c r="AE84" s="80" t="str">
        <f t="shared" si="4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84" s="77" t="str">
        <f t="shared" si="43"/>
        <v>"C:\Program Files (x86)\AstroGrep\AstroGrep.exe" /e /r /s /spath="%USERPROFILE%\AppData\Local\Temp\OnboardLogs" /stypes="app*4031*20170613*" /stext=" 17:.+((SYSTEM_STATE.+slice.+state.+changed )|(ment ac)|(multiple cpu faults)|(system.+state.+changed )|(\[timeout)|(PRM\|1\|D)|(kpr)|(kdp)|(train st.+moving)|(\|lc)|(penalty))"</v>
      </c>
      <c r="AG84" s="1" t="str">
        <f t="shared" si="44"/>
        <v>EC</v>
      </c>
      <c r="AH84" s="81" t="str">
        <f t="shared" si="29"/>
        <v>"%USERPROFILE%\Documents\GitHub\eaglep3\Utilities\RefineRTDCRunTimes.py" --tripid 154-13 --locoid 4031 --swversion DE.1.0.9.0 --startMP 204:64186 --initTime 2017-06-13T11:38:39 --startdatetime 2017-06-13T11:39:30 --delay 0 --endMP 204:150 --enddatetime 2017-06-13T11:54:34 --enforcementcount 0 &gt;&gt;C:\Users\stu\Documents\GitHub\eaglep3-reporting\EC\2017-06-13-refined-times.txt</v>
      </c>
      <c r="AI84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{"issue":{"subject":"","project_id":79,"tracker_id":40,"status_id":1,"priority_id":2,"assigned_to_id":23,"start_date":"2017-06-13","description":"","custom_fields":[{"id":1,"name":"Subdivision","value":"EC"},{"id":4,"name":"Milepost","value":"0.015"},{"id":17,"name":"Train ID","value":"154-13"},{"id":16,"name":"Locomotive ID","value":"4031"},{"id":130,"name":"Impact","value":""},{"id":150,"name":"Time of Event (Mountain Time)","value":"11:54:34"},{"id":151,"name":"Denver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31"/>
        <v>start /low /b %USERPROFILE%\Documents\GitHub\eaglep3\Utilities\DownloadLogsFromS3.py --loco 4031 --day 2017-06-13</v>
      </c>
      <c r="AN84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602</v>
      </c>
      <c r="B85" s="7">
        <v>4020</v>
      </c>
      <c r="C85" s="21" t="s">
        <v>204</v>
      </c>
      <c r="D85" s="21" t="s">
        <v>497</v>
      </c>
      <c r="E85" s="13">
        <v>42899.436423611114</v>
      </c>
      <c r="F85" s="13">
        <v>42899.437835648147</v>
      </c>
      <c r="G85" s="7">
        <v>1</v>
      </c>
      <c r="H85" s="21" t="s">
        <v>480</v>
      </c>
      <c r="I85" s="13">
        <v>42899.462870370371</v>
      </c>
      <c r="J85" s="7">
        <v>0</v>
      </c>
      <c r="K85" s="92" t="str">
        <f t="shared" si="33"/>
        <v>4019/4020</v>
      </c>
      <c r="L85" s="21" t="str">
        <f>VLOOKUP(A85,'Trips&amp;Operators'!$C$1:$G$99999,5,FALSE)</f>
        <v>LOZA FIDEL</v>
      </c>
      <c r="M85" s="6">
        <f t="shared" si="34"/>
        <v>2.5034722224518191E-2</v>
      </c>
      <c r="N85" s="7">
        <f>24*60*SUM($M85:$M85)</f>
        <v>36.050000003306195</v>
      </c>
      <c r="O85" s="7"/>
      <c r="P85" s="7"/>
      <c r="Q85" s="22"/>
      <c r="R85" s="173"/>
      <c r="S85" s="176">
        <f>SUM(U85:U85)/IF(AG85="EC",12,1)</f>
        <v>1</v>
      </c>
      <c r="T85" s="202" t="str">
        <f t="shared" si="35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6"/>
        <v>https://d0f6bd738d7f1b3e5a7ca70fe4ff75f0.us-east-1.aws.found.io/app/kibana#/discover/Steve-Slow-Train-Analysis-(2080s-and-2083s)?_g=(refreshInterval:(display:Off,pause:!f,section:0,value:0),time:(from:'2017-06-13T09:28:27-0600',mode:absolute,to:'2017-06-13T12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204" t="str">
        <f t="shared" si="37"/>
        <v>N</v>
      </c>
      <c r="X85" s="204">
        <f t="shared" si="28"/>
        <v>1</v>
      </c>
      <c r="Y85" s="204">
        <f t="shared" si="38"/>
        <v>4.3999999999999997E-2</v>
      </c>
      <c r="Z85" s="204">
        <f t="shared" si="39"/>
        <v>23.329899999999999</v>
      </c>
      <c r="AA85" s="204">
        <f t="shared" si="40"/>
        <v>23.285899999999998</v>
      </c>
      <c r="AB85" s="57" t="str">
        <f>VLOOKUP(A85,Enforcements!$C$7:$K$13,8,0)</f>
        <v>Bulletin (2)</v>
      </c>
      <c r="AC85" s="53" t="str">
        <f>VLOOKUP(A85,Enforcements!$C$7:$E$13,3,0)</f>
        <v>GRADE CROSSING</v>
      </c>
      <c r="AD85" s="54" t="str">
        <f t="shared" si="41"/>
        <v>0155-13</v>
      </c>
      <c r="AE85" s="80" t="str">
        <f t="shared" si="42"/>
        <v>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 &amp; 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</v>
      </c>
      <c r="AF85" s="77" t="str">
        <f t="shared" si="43"/>
        <v>"C:\Program Files (x86)\AstroGrep\AstroGrep.exe" /e /r /s /spath="%USERPROFILE%\AppData\Local\Temp\OnboardLogs" /stypes="app*4020*20170613*" /stext=" 17:.+((SYSTEM_STATE.+slice.+state.+changed )|(ment ac)|(multiple cpu faults)|(system.+state.+changed )|(\[timeout)|(PRM\|1\|D)|(kpr)|(kdp)|(train st.+moving)|(\|lc)|(penalty))"</v>
      </c>
      <c r="AG85" s="1" t="str">
        <f t="shared" si="44"/>
        <v>EC</v>
      </c>
      <c r="AH85" s="81" t="str">
        <f t="shared" si="29"/>
        <v>"%USERPROFILE%\Documents\GitHub\eaglep3\Utilities\RefineRTDCRunTimes.py" --tripid 155-13 --locoid 4020 --swversion DE.1.0.9.0 --startMP 204:440 --initTime 2017-06-13T10:28:27 --startdatetime 2017-06-13T10:30:29 --delay 1 --endMP 204:233299 --enddatetime 2017-06-13T11:06:32 --enforcementcount 0 &gt;&gt;C:\Users\stu\Documents\GitHub\eaglep3-reporting\EC\2017-06-13-refined-times.txt</v>
      </c>
      <c r="AI85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{"issue":{"subject":"","project_id":79,"tracker_id":40,"status_id":1,"priority_id":2,"assigned_to_id":23,"start_date":"2017-06-13","description":"","custom_fields":[{"id":1,"name":"Subdivision","value":"EC"},{"id":4,"name":"Milepost","value":"23.3299"},{"id":17,"name":"Train ID","value":"155-13"},{"id":16,"name":"Locomotive ID","value":"4020"},{"id":130,"name":"Impact","value":""},{"id":150,"name":"Time of Event (Mountain Time)","value":"11:06:32"},{"id":151,"name":"Denver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31"/>
        <v>start /low /b %USERPROFILE%\Documents\GitHub\eaglep3\Utilities\DownloadLogsFromS3.py --loco 4020 --day 2017-06-13</v>
      </c>
      <c r="AN85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704</v>
      </c>
      <c r="B86" s="7">
        <v>4019</v>
      </c>
      <c r="C86" s="21" t="s">
        <v>204</v>
      </c>
      <c r="D86" s="21" t="s">
        <v>463</v>
      </c>
      <c r="E86" s="13">
        <v>42899.470196759263</v>
      </c>
      <c r="F86" s="13">
        <v>42899.47142361111</v>
      </c>
      <c r="G86" s="7">
        <v>1</v>
      </c>
      <c r="H86" s="21" t="s">
        <v>833</v>
      </c>
      <c r="I86" s="13">
        <v>42899.492175925923</v>
      </c>
      <c r="J86" s="7">
        <v>0</v>
      </c>
      <c r="K86" s="92" t="str">
        <f t="shared" si="33"/>
        <v>4019/4020</v>
      </c>
      <c r="L86" s="21" t="str">
        <f>VLOOKUP(A86,'Trips&amp;Operators'!$C$1:$G$99999,5,FALSE)</f>
        <v>LOZA FIDEL</v>
      </c>
      <c r="M86" s="6">
        <f t="shared" si="34"/>
        <v>2.0752314812853001E-2</v>
      </c>
      <c r="N86" s="7"/>
      <c r="O86" s="7"/>
      <c r="P86" s="7">
        <f>24*60*SUM($M86:$M87)</f>
        <v>45.816666658502072</v>
      </c>
      <c r="Q86" s="22"/>
      <c r="R86" s="173" t="s">
        <v>1021</v>
      </c>
      <c r="S86" s="176">
        <f>SUM(U86:U87)/IF(AG86="EC",12,1)</f>
        <v>0.91666666666666663</v>
      </c>
      <c r="T86" s="202" t="str">
        <f t="shared" si="35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2</v>
      </c>
      <c r="V86" s="203" t="str">
        <f t="shared" si="36"/>
        <v>https://d0f6bd738d7f1b3e5a7ca70fe4ff75f0.us-east-1.aws.found.io/app/kibana#/discover/Steve-Slow-Train-Analysis-(2080s-and-2083s)?_g=(refreshInterval:(display:Off,pause:!f,section:0,value:0),time:(from:'2017-06-13T10:17:05-0600',mode:absolute,to:'2017-06-13T12:48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204" t="str">
        <f t="shared" si="37"/>
        <v>Y</v>
      </c>
      <c r="X86" s="204">
        <f t="shared" si="28"/>
        <v>1</v>
      </c>
      <c r="Y86" s="204">
        <f t="shared" si="38"/>
        <v>23.298999999999999</v>
      </c>
      <c r="Z86" s="204">
        <f t="shared" si="39"/>
        <v>8.6353000000000009</v>
      </c>
      <c r="AA86" s="204">
        <f t="shared" si="40"/>
        <v>14.663699999999999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1"/>
        <v>0156-13</v>
      </c>
      <c r="AE86" s="80" t="str">
        <f t="shared" si="42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86" s="77" t="str">
        <f t="shared" si="43"/>
        <v>"C:\Program Files (x86)\AstroGrep\AstroGrep.exe" /e /r /s /spath="%USERPROFILE%\AppData\Local\Temp\OnboardLogs" /stypes="app*4019*20170613*" /stext=" 17:.+((SYSTEM_STATE.+slice.+state.+changed )|(ment ac)|(multiple cpu faults)|(system.+state.+changed )|(\[timeout)|(PRM\|1\|D)|(kpr)|(kdp)|(train st.+moving)|(\|lc)|(penalty))"</v>
      </c>
      <c r="AG86" s="1" t="str">
        <f t="shared" si="44"/>
        <v>EC</v>
      </c>
      <c r="AH86" s="81" t="str">
        <f t="shared" si="29"/>
        <v>"%USERPROFILE%\Documents\GitHub\eaglep3\Utilities\RefineRTDCRunTimes.py" --tripid 156-13 --locoid 4019 --swversion DE.1.0.9.0 --startMP 204:232990 --initTime 2017-06-13T11:17:05 --startdatetime 2017-06-13T11:18:51 --delay 1 --endMP 204:86353 --enddatetime 2017-06-13T11:48:44 --enforcementcount 0 &gt;&gt;C:\Users\stu\Documents\GitHub\eaglep3-reporting\EC\2017-06-13-refined-times.txt</v>
      </c>
      <c r="AI86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ID","value":"156-13"},{"id":16,"name":"Locomotive ID","value":"4019"},{"id":130,"name":"Impact","value":""},{"id":150,"name":"Time of Event (Mountain Time)","value":"11:48:44"},{"id":151,"name":"Denver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31"/>
        <v>start /low /b %USERPROFILE%\Documents\GitHub\eaglep3\Utilities\DownloadLogsFromS3.py --loco 4019 --day 2017-06-13</v>
      </c>
      <c r="AN86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704</v>
      </c>
      <c r="B87" s="7">
        <v>4019</v>
      </c>
      <c r="C87" s="21" t="s">
        <v>204</v>
      </c>
      <c r="D87" s="21" t="s">
        <v>869</v>
      </c>
      <c r="E87" s="13">
        <v>42899.496087962965</v>
      </c>
      <c r="F87" s="13">
        <v>42899.496828703705</v>
      </c>
      <c r="G87" s="7">
        <v>1</v>
      </c>
      <c r="H87" s="21" t="s">
        <v>445</v>
      </c>
      <c r="I87" s="13">
        <v>42899.507893518516</v>
      </c>
      <c r="J87" s="7">
        <v>0</v>
      </c>
      <c r="K87" s="92" t="str">
        <f t="shared" si="33"/>
        <v>4019/4020</v>
      </c>
      <c r="L87" s="21" t="str">
        <f>VLOOKUP(A87,'Trips&amp;Operators'!$C$1:$G$99999,5,FALSE)</f>
        <v>LOZA FIDEL</v>
      </c>
      <c r="M87" s="6">
        <f t="shared" si="34"/>
        <v>1.1064814811106771E-2</v>
      </c>
      <c r="N87" s="7"/>
      <c r="O87" s="7"/>
      <c r="P87" s="7"/>
      <c r="Q87" s="22"/>
      <c r="R87" s="173"/>
      <c r="S87" s="176"/>
      <c r="T87" s="202" t="str">
        <f t="shared" si="35"/>
        <v>Southbound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9</v>
      </c>
      <c r="V87" s="203" t="str">
        <f t="shared" si="36"/>
        <v>https://d0f6bd738d7f1b3e5a7ca70fe4ff75f0.us-east-1.aws.found.io/app/kibana#/discover/Steve-Slow-Train-Analysis-(2080s-and-2083s)?_g=(refreshInterval:(display:Off,pause:!f,section:0,value:0),time:(from:'2017-06-13T10:54:22-0600',mode:absolute,to:'2017-06-13T13:11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204" t="str">
        <f t="shared" si="37"/>
        <v>Y</v>
      </c>
      <c r="X87" s="204">
        <f t="shared" si="28"/>
        <v>0</v>
      </c>
      <c r="Y87" s="204">
        <f t="shared" si="38"/>
        <v>6.4173999999999998</v>
      </c>
      <c r="Z87" s="204">
        <f t="shared" si="39"/>
        <v>1.5599999999999999E-2</v>
      </c>
      <c r="AA87" s="204">
        <f t="shared" si="40"/>
        <v>6.4017999999999997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1"/>
        <v>0156-13</v>
      </c>
      <c r="AE87" s="80" t="str">
        <f t="shared" si="42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87" s="77" t="str">
        <f t="shared" si="43"/>
        <v>"C:\Program Files (x86)\AstroGrep\AstroGrep.exe" /e /r /s /spath="%USERPROFILE%\AppData\Local\Temp\OnboardLogs" /stypes="app*4019*20170613*" /stext=" 18:.+((SYSTEM_STATE.+slice.+state.+changed )|(ment ac)|(multiple cpu faults)|(system.+state.+changed )|(\[timeout)|(PRM\|1\|D)|(kpr)|(kdp)|(train st.+moving)|(\|lc)|(penalty))"</v>
      </c>
      <c r="AG87" s="1" t="str">
        <f t="shared" si="44"/>
        <v>EC</v>
      </c>
      <c r="AH87" s="81" t="str">
        <f t="shared" si="29"/>
        <v>"%USERPROFILE%\Documents\GitHub\eaglep3\Utilities\RefineRTDCRunTimes.py" --tripid 156-13 --locoid 4019 --swversion DE.1.0.9.0 --startMP 204:64174 --initTime 2017-06-13T11:54:22 --startdatetime 2017-06-13T11:55:26 --delay 1 --endMP 204:156 --enddatetime 2017-06-13T12:11:22 --enforcementcount 0 &gt;&gt;C:\Users\stu\Documents\GitHub\eaglep3-reporting\EC\2017-06-13-refined-times.txt</v>
      </c>
      <c r="AI87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{"issue":{"subject":"","project_id":79,"tracker_id":40,"status_id":1,"priority_id":2,"assigned_to_id":23,"start_date":"2017-06-13","description":"","custom_fields":[{"id":1,"name":"Subdivision","value":"EC"},{"id":4,"name":"Milepost","value":"0.0156"},{"id":17,"name":"Train ID","value":"156-13"},{"id":16,"name":"Locomotive ID","value":"4019"},{"id":130,"name":"Impact","value":""},{"id":150,"name":"Time of Event (Mountain Time)","value":"12:11:22"},{"id":151,"name":"Denver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31"/>
        <v>start /low /b %USERPROFILE%\Documents\GitHub\eaglep3\Utilities\DownloadLogsFromS3.py --loco 4019 --day 2017-06-13</v>
      </c>
      <c r="AN87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18:11:22"},{"id":29,"name":"Sharepoint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698</v>
      </c>
      <c r="B88" s="7">
        <v>4002</v>
      </c>
      <c r="C88" s="21" t="s">
        <v>204</v>
      </c>
      <c r="D88" s="21" t="s">
        <v>200</v>
      </c>
      <c r="E88" s="13">
        <v>42899.447048611109</v>
      </c>
      <c r="F88" s="13">
        <v>42899.449155092596</v>
      </c>
      <c r="G88" s="7">
        <v>1</v>
      </c>
      <c r="H88" s="21" t="s">
        <v>523</v>
      </c>
      <c r="I88" s="13">
        <v>42899.475810185184</v>
      </c>
      <c r="J88" s="7">
        <v>0</v>
      </c>
      <c r="K88" s="92" t="str">
        <f t="shared" si="33"/>
        <v>4001/4002</v>
      </c>
      <c r="L88" s="21" t="str">
        <f>VLOOKUP(A88,'Trips&amp;Operators'!$C$1:$G$99999,5,FALSE)</f>
        <v>DAVIS MICHAEL</v>
      </c>
      <c r="M88" s="6">
        <f t="shared" si="34"/>
        <v>2.6655092588043772E-2</v>
      </c>
      <c r="N88" s="7">
        <f>24*60*SUM($M88:$M88)</f>
        <v>38.383333326783031</v>
      </c>
      <c r="O88" s="7"/>
      <c r="P88" s="7"/>
      <c r="Q88" s="22"/>
      <c r="R88" s="173"/>
      <c r="S88" s="176">
        <f>SUM(U88:U88)/IF(AG88="EC",12,1)</f>
        <v>1</v>
      </c>
      <c r="T88" s="202" t="str">
        <f t="shared" si="35"/>
        <v>NorthBound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6"/>
        <v>https://d0f6bd738d7f1b3e5a7ca70fe4ff75f0.us-east-1.aws.found.io/app/kibana#/discover/Steve-Slow-Train-Analysis-(2080s-and-2083s)?_g=(refreshInterval:(display:Off,pause:!f,section:0,value:0),time:(from:'2017-06-13T09:43:45-0600',mode:absolute,to:'2017-06-13T12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8" s="204" t="str">
        <f t="shared" si="37"/>
        <v>N</v>
      </c>
      <c r="X88" s="204">
        <f t="shared" si="28"/>
        <v>1</v>
      </c>
      <c r="Y88" s="204">
        <f t="shared" si="38"/>
        <v>4.5699999999999998E-2</v>
      </c>
      <c r="Z88" s="204">
        <f t="shared" si="39"/>
        <v>23.326799999999999</v>
      </c>
      <c r="AA88" s="204">
        <f t="shared" si="40"/>
        <v>23.281099999999999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1"/>
        <v>0157-13</v>
      </c>
      <c r="AE88" s="80" t="str">
        <f t="shared" si="42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88" s="77" t="str">
        <f t="shared" si="43"/>
        <v>"C:\Program Files (x86)\AstroGrep\AstroGrep.exe" /e /r /s /spath="%USERPROFILE%\AppData\Local\Temp\OnboardLogs" /stypes="app*4002*20170613*" /stext=" 17:.+((SYSTEM_STATE.+slice.+state.+changed )|(ment ac)|(multiple cpu faults)|(system.+state.+changed )|(\[timeout)|(PRM\|1\|D)|(kpr)|(kdp)|(train st.+moving)|(\|lc)|(penalty))"</v>
      </c>
      <c r="AG88" s="1" t="str">
        <f t="shared" si="44"/>
        <v>EC</v>
      </c>
      <c r="AH88" s="81" t="str">
        <f t="shared" si="29"/>
        <v>"%USERPROFILE%\Documents\GitHub\eaglep3\Utilities\RefineRTDCRunTimes.py" --tripid 157-13 --locoid 4002 --swversion DE.1.0.9.0 --startMP 204:457 --initTime 2017-06-13T10:43:45 --startdatetime 2017-06-13T10:46:47 --delay 1 --endMP 204:233268 --enddatetime 2017-06-13T11:25:10 --enforcementcount 0 &gt;&gt;C:\Users\stu\Documents\GitHub\eaglep3-reporting\EC\2017-06-13-refined-times.txt</v>
      </c>
      <c r="AI88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{"issue":{"subject":"","project_id":79,"tracker_id":40,"status_id":1,"priority_id":2,"assigned_to_id":23,"start_date":"2017-06-13","description":"","custom_fields":[{"id":1,"name":"Subdivision","value":"EC"},{"id":4,"name":"Milepost","value":"23.3268"},{"id":17,"name":"Train ID","value":"157-13"},{"id":16,"name":"Locomotive ID","value":"4002"},{"id":130,"name":"Impact","value":""},{"id":150,"name":"Time of Event (Mountain Time)","value":"11:25:10"},{"id":151,"name":"Denver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31"/>
        <v>start /low /b %USERPROFILE%\Documents\GitHub\eaglep3\Utilities\DownloadLogsFromS3.py --loco 4002 --day 2017-06-13</v>
      </c>
      <c r="AN88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708</v>
      </c>
      <c r="B89" s="7">
        <v>4001</v>
      </c>
      <c r="C89" s="21" t="s">
        <v>204</v>
      </c>
      <c r="D89" s="21" t="s">
        <v>479</v>
      </c>
      <c r="E89" s="13">
        <v>42899.485601851855</v>
      </c>
      <c r="F89" s="13">
        <v>42899.486828703702</v>
      </c>
      <c r="G89" s="7">
        <v>1</v>
      </c>
      <c r="H89" s="21" t="s">
        <v>833</v>
      </c>
      <c r="I89" s="13">
        <v>42899.504918981482</v>
      </c>
      <c r="J89" s="7">
        <v>0</v>
      </c>
      <c r="K89" s="92" t="str">
        <f t="shared" si="33"/>
        <v>4001/4002</v>
      </c>
      <c r="L89" s="21" t="str">
        <f>VLOOKUP(A89,'Trips&amp;Operators'!$C$1:$G$99999,5,FALSE)</f>
        <v>DAVIS MICHAEL</v>
      </c>
      <c r="M89" s="6">
        <f t="shared" si="34"/>
        <v>1.8090277779265307E-2</v>
      </c>
      <c r="N89" s="7"/>
      <c r="O89" s="7"/>
      <c r="P89" s="7">
        <f>24*60*SUM($M89:$M90)</f>
        <v>42.866666660411283</v>
      </c>
      <c r="Q89" s="22"/>
      <c r="R89" s="173" t="s">
        <v>1021</v>
      </c>
      <c r="S89" s="176">
        <f>SUM(U89:U90)/IF(AG89="EC",12,1)</f>
        <v>0.91666666666666663</v>
      </c>
      <c r="T89" s="202" t="str">
        <f t="shared" si="35"/>
        <v>Southbound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2</v>
      </c>
      <c r="V89" s="203" t="str">
        <f t="shared" si="36"/>
        <v>https://d0f6bd738d7f1b3e5a7ca70fe4ff75f0.us-east-1.aws.found.io/app/kibana#/discover/Steve-Slow-Train-Analysis-(2080s-and-2083s)?_g=(refreshInterval:(display:Off,pause:!f,section:0,value:0),time:(from:'2017-06-13T10:39:16-0600',mode:absolute,to:'2017-06-13T13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9" s="204" t="str">
        <f t="shared" si="37"/>
        <v>Y</v>
      </c>
      <c r="X89" s="204">
        <f t="shared" si="28"/>
        <v>1</v>
      </c>
      <c r="Y89" s="204">
        <f t="shared" si="38"/>
        <v>23.2987</v>
      </c>
      <c r="Z89" s="204">
        <f t="shared" si="39"/>
        <v>8.6353000000000009</v>
      </c>
      <c r="AA89" s="204">
        <f t="shared" si="40"/>
        <v>14.663399999999999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1"/>
        <v>0158-13</v>
      </c>
      <c r="AE89" s="80" t="str">
        <f t="shared" si="4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89" s="77" t="str">
        <f t="shared" si="43"/>
        <v>"C:\Program Files (x86)\AstroGrep\AstroGrep.exe" /e /r /s /spath="%USERPROFILE%\AppData\Local\Temp\OnboardLogs" /stypes="app*4001*20170613*" /stext=" 18:.+((SYSTEM_STATE.+slice.+state.+changed )|(ment ac)|(multiple cpu faults)|(system.+state.+changed )|(\[timeout)|(PRM\|1\|D)|(kpr)|(kdp)|(train st.+moving)|(\|lc)|(penalty))"</v>
      </c>
      <c r="AG89" s="1" t="str">
        <f t="shared" si="44"/>
        <v>EC</v>
      </c>
      <c r="AH89" s="81" t="str">
        <f t="shared" si="29"/>
        <v>"%USERPROFILE%\Documents\GitHub\eaglep3\Utilities\RefineRTDCRunTimes.py" --tripid 158-13 --locoid 4001 --swversion DE.1.0.9.0 --startMP 204:232987 --initTime 2017-06-13T11:39:16 --startdatetime 2017-06-13T11:41:02 --delay 1 --endMP 204:86353 --enddatetime 2017-06-13T12:07:05 --enforcementcount 0 &gt;&gt;C:\Users\stu\Documents\GitHub\eaglep3-reporting\EC\2017-06-13-refined-times.txt</v>
      </c>
      <c r="AI89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ID","value":"158-13"},{"id":16,"name":"Locomotive ID","value":"4001"},{"id":130,"name":"Impact","value":""},{"id":150,"name":"Time of Event (Mountain Time)","value":"12:07:05"},{"id":151,"name":"Denver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31"/>
        <v>start /low /b %USERPROFILE%\Documents\GitHub\eaglep3\Utilities\DownloadLogsFromS3.py --loco 4001 --day 2017-06-13</v>
      </c>
      <c r="AN89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708</v>
      </c>
      <c r="B90" s="7">
        <v>4001</v>
      </c>
      <c r="C90" s="21" t="s">
        <v>204</v>
      </c>
      <c r="D90" s="21" t="s">
        <v>856</v>
      </c>
      <c r="E90" s="13">
        <v>42899.508333333331</v>
      </c>
      <c r="F90" s="13">
        <v>42899.509039351855</v>
      </c>
      <c r="G90" s="7">
        <v>1</v>
      </c>
      <c r="H90" s="21" t="s">
        <v>361</v>
      </c>
      <c r="I90" s="13">
        <v>42899.52071759259</v>
      </c>
      <c r="J90" s="7">
        <v>0</v>
      </c>
      <c r="K90" s="92" t="str">
        <f t="shared" si="33"/>
        <v>4001/4002</v>
      </c>
      <c r="L90" s="21" t="str">
        <f>VLOOKUP(A90,'Trips&amp;Operators'!$C$1:$G$99999,5,FALSE)</f>
        <v>DAVIS MICHAEL</v>
      </c>
      <c r="M90" s="6">
        <f t="shared" si="34"/>
        <v>1.1678240734909195E-2</v>
      </c>
      <c r="N90" s="7"/>
      <c r="O90" s="7"/>
      <c r="P90" s="7"/>
      <c r="Q90" s="22"/>
      <c r="R90" s="173"/>
      <c r="S90" s="176"/>
      <c r="T90" s="202" t="str">
        <f t="shared" si="35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9</v>
      </c>
      <c r="V90" s="203" t="str">
        <f t="shared" si="36"/>
        <v>https://d0f6bd738d7f1b3e5a7ca70fe4ff75f0.us-east-1.aws.found.io/app/kibana#/discover/Steve-Slow-Train-Analysis-(2080s-and-2083s)?_g=(refreshInterval:(display:Off,pause:!f,section:0,value:0),time:(from:'2017-06-13T11:12:00-0600',mode:absolute,to:'2017-06-13T13:29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0" s="204" t="str">
        <f t="shared" si="37"/>
        <v>Y</v>
      </c>
      <c r="X90" s="204">
        <f t="shared" si="28"/>
        <v>0</v>
      </c>
      <c r="Y90" s="204">
        <f t="shared" si="38"/>
        <v>6.4169</v>
      </c>
      <c r="Z90" s="204">
        <f t="shared" si="39"/>
        <v>1.41E-2</v>
      </c>
      <c r="AA90" s="204">
        <f t="shared" si="40"/>
        <v>6.4028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1"/>
        <v>0158-13</v>
      </c>
      <c r="AE90" s="80" t="str">
        <f t="shared" si="4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90" s="77" t="str">
        <f t="shared" si="43"/>
        <v>"C:\Program Files (x86)\AstroGrep\AstroGrep.exe" /e /r /s /spath="%USERPROFILE%\AppData\Local\Temp\OnboardLogs" /stypes="app*4001*20170613*" /stext=" 18:.+((SYSTEM_STATE.+slice.+state.+changed )|(ment ac)|(multiple cpu faults)|(system.+state.+changed )|(\[timeout)|(PRM\|1\|D)|(kpr)|(kdp)|(train st.+moving)|(\|lc)|(penalty))"</v>
      </c>
      <c r="AG90" s="1" t="str">
        <f t="shared" si="44"/>
        <v>EC</v>
      </c>
      <c r="AH90" s="81" t="str">
        <f t="shared" si="29"/>
        <v>"%USERPROFILE%\Documents\GitHub\eaglep3\Utilities\RefineRTDCRunTimes.py" --tripid 158-13 --locoid 4001 --swversion DE.1.0.9.0 --startMP 204:64169 --initTime 2017-06-13T12:12:00 --startdatetime 2017-06-13T12:13:01 --delay 1 --endMP 204:141 --enddatetime 2017-06-13T12:29:50 --enforcementcount 0 &gt;&gt;C:\Users\stu\Documents\GitHub\eaglep3-reporting\EC\2017-06-13-refined-times.txt</v>
      </c>
      <c r="AI90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{"issue":{"subject":"","project_id":79,"tracker_id":40,"status_id":1,"priority_id":2,"assigned_to_id":23,"start_date":"2017-06-13","description":"","custom_fields":[{"id":1,"name":"Subdivision","value":"EC"},{"id":4,"name":"Milepost","value":"0.0141"},{"id":17,"name":"Train ID","value":"158-13"},{"id":16,"name":"Locomotive ID","value":"4001"},{"id":130,"name":"Impact","value":""},{"id":150,"name":"Time of Event (Mountain Time)","value":"12:29:50"},{"id":151,"name":"Denver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31"/>
        <v>start /low /b %USERPROFILE%\Documents\GitHub\eaglep3\Utilities\DownloadLogsFromS3.py --loco 4001 --day 2017-06-13</v>
      </c>
      <c r="AN90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18:29:50"},{"id":29,"name":"Sharepoint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699</v>
      </c>
      <c r="B91" s="7">
        <v>4062</v>
      </c>
      <c r="C91" s="21" t="s">
        <v>204</v>
      </c>
      <c r="D91" s="21" t="s">
        <v>201</v>
      </c>
      <c r="E91" s="13">
        <v>42899.455092592594</v>
      </c>
      <c r="F91" s="13">
        <v>42899.45857638889</v>
      </c>
      <c r="G91" s="7">
        <v>1</v>
      </c>
      <c r="H91" s="21" t="s">
        <v>566</v>
      </c>
      <c r="I91" s="13">
        <v>42899.484444444446</v>
      </c>
      <c r="J91" s="7">
        <v>0</v>
      </c>
      <c r="K91" s="92" t="str">
        <f t="shared" si="33"/>
        <v>4061/4062</v>
      </c>
      <c r="L91" s="21" t="str">
        <f>VLOOKUP(A91,'Trips&amp;Operators'!$C$1:$G$99999,5,FALSE)</f>
        <v>DAVIDSON DAVID</v>
      </c>
      <c r="M91" s="6">
        <f t="shared" si="34"/>
        <v>2.5868055556202307E-2</v>
      </c>
      <c r="N91" s="7">
        <f>24*60*SUM($M91:$M91)</f>
        <v>37.250000000931323</v>
      </c>
      <c r="O91" s="7"/>
      <c r="P91" s="7"/>
      <c r="Q91" s="22"/>
      <c r="R91" s="173"/>
      <c r="S91" s="176">
        <f>SUM(U91:U91)/IF(AG91="EC",12,1)</f>
        <v>1</v>
      </c>
      <c r="T91" s="202" t="str">
        <f t="shared" si="35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6"/>
        <v>https://d0f6bd738d7f1b3e5a7ca70fe4ff75f0.us-east-1.aws.found.io/app/kibana#/discover/Steve-Slow-Train-Analysis-(2080s-and-2083s)?_g=(refreshInterval:(display:Off,pause:!f,section:0,value:0),time:(from:'2017-06-13T09:55:20-0600',mode:absolute,to:'2017-06-13T12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1" s="204" t="str">
        <f t="shared" si="37"/>
        <v>N</v>
      </c>
      <c r="X91" s="204">
        <f t="shared" si="28"/>
        <v>1</v>
      </c>
      <c r="Y91" s="204">
        <f t="shared" si="38"/>
        <v>4.5999999999999999E-2</v>
      </c>
      <c r="Z91" s="204">
        <f t="shared" si="39"/>
        <v>23.328399999999998</v>
      </c>
      <c r="AA91" s="204">
        <f t="shared" si="40"/>
        <v>23.282399999999999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1"/>
        <v>0159-13</v>
      </c>
      <c r="AE91" s="80" t="str">
        <f t="shared" si="42"/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AF91" s="77" t="str">
        <f t="shared" si="43"/>
        <v>"C:\Program Files (x86)\AstroGrep\AstroGrep.exe" /e /r /s /spath="%USERPROFILE%\AppData\Local\Temp\OnboardLogs" /stypes="app*4062*20170613*" /stext=" 17:.+((SYSTEM_STATE.+slice.+state.+changed )|(ment ac)|(multiple cpu faults)|(system.+state.+changed )|(\[timeout)|(PRM\|1\|D)|(kpr)|(kdp)|(train st.+moving)|(\|lc)|(penalty))"</v>
      </c>
      <c r="AG91" s="1" t="str">
        <f t="shared" si="44"/>
        <v>EC</v>
      </c>
      <c r="AH91" s="81" t="str">
        <f t="shared" si="29"/>
        <v>"%USERPROFILE%\Documents\GitHub\eaglep3\Utilities\RefineRTDCRunTimes.py" --tripid 159-13 --locoid 4062 --swversion DE.1.0.9.0 --startMP 204:460 --initTime 2017-06-13T10:55:20 --startdatetime 2017-06-13T11:00:21 --delay 1 --endMP 204:233284 --enddatetime 2017-06-13T11:37:36 --enforcementcount 0 &gt;&gt;C:\Users\stu\Documents\GitHub\eaglep3-reporting\EC\2017-06-13-refined-times.txt</v>
      </c>
      <c r="AI91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{"issue":{"subject":"","project_id":79,"tracker_id":40,"status_id":1,"priority_id":2,"assigned_to_id":23,"start_date":"2017-06-13","description":"","custom_fields":[{"id":1,"name":"Subdivision","value":"EC"},{"id":4,"name":"Milepost","value":"23.3284"},{"id":17,"name":"Train ID","value":"159-13"},{"id":16,"name":"Locomotive ID","value":"4062"},{"id":130,"name":"Impact","value":""},{"id":150,"name":"Time of Event (Mountain Time)","value":"11:37:36"},{"id":151,"name":"Denver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31"/>
        <v>start /low /b %USERPROFILE%\Documents\GitHub\eaglep3\Utilities\DownloadLogsFromS3.py --loco 4062 --day 2017-06-13</v>
      </c>
      <c r="AN91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712</v>
      </c>
      <c r="B92" s="7">
        <v>4061</v>
      </c>
      <c r="C92" s="21" t="s">
        <v>204</v>
      </c>
      <c r="D92" s="21" t="s">
        <v>512</v>
      </c>
      <c r="E92" s="13">
        <v>42899.488668981481</v>
      </c>
      <c r="F92" s="13">
        <v>42899.489571759259</v>
      </c>
      <c r="G92" s="7">
        <v>1</v>
      </c>
      <c r="H92" s="21" t="s">
        <v>854</v>
      </c>
      <c r="I92" s="13">
        <v>42899.512129629627</v>
      </c>
      <c r="J92" s="7">
        <v>0</v>
      </c>
      <c r="K92" s="92" t="str">
        <f t="shared" si="33"/>
        <v>4061/4062</v>
      </c>
      <c r="L92" s="21" t="str">
        <f>VLOOKUP(A92,'Trips&amp;Operators'!$C$1:$G$99999,5,FALSE)</f>
        <v>DAVIDSON DAVID</v>
      </c>
      <c r="M92" s="6">
        <f t="shared" si="34"/>
        <v>2.2557870368473232E-2</v>
      </c>
      <c r="N92" s="7"/>
      <c r="O92" s="7"/>
      <c r="P92" s="7">
        <f>24*60*SUM($M92:$M93)</f>
        <v>50.349999993341044</v>
      </c>
      <c r="Q92" s="22"/>
      <c r="R92" s="173" t="s">
        <v>1021</v>
      </c>
      <c r="S92" s="176">
        <f>SUM(U92:U93)/IF(AG92="EC",12,1)</f>
        <v>0.91666666666666663</v>
      </c>
      <c r="T92" s="202" t="str">
        <f t="shared" si="35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2</v>
      </c>
      <c r="V92" s="203" t="str">
        <f t="shared" si="36"/>
        <v>https://d0f6bd738d7f1b3e5a7ca70fe4ff75f0.us-east-1.aws.found.io/app/kibana#/discover/Steve-Slow-Train-Analysis-(2080s-and-2083s)?_g=(refreshInterval:(display:Off,pause:!f,section:0,value:0),time:(from:'2017-06-13T10:43:41-0600',mode:absolute,to:'2017-06-13T13:17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2" s="204" t="str">
        <f t="shared" si="37"/>
        <v>Y</v>
      </c>
      <c r="X92" s="204">
        <f t="shared" si="28"/>
        <v>1</v>
      </c>
      <c r="Y92" s="204">
        <f t="shared" si="38"/>
        <v>23.297499999999999</v>
      </c>
      <c r="Z92" s="204">
        <f t="shared" si="39"/>
        <v>8.6355000000000004</v>
      </c>
      <c r="AA92" s="204">
        <f t="shared" si="40"/>
        <v>14.661999999999999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1"/>
        <v>0160-13</v>
      </c>
      <c r="AE92" s="80" t="str">
        <f t="shared" si="4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92" s="77" t="str">
        <f t="shared" si="43"/>
        <v>"C:\Program Files (x86)\AstroGrep\AstroGrep.exe" /e /r /s /spath="%USERPROFILE%\AppData\Local\Temp\OnboardLogs" /stypes="app*4061*20170613*" /stext=" 18:.+((SYSTEM_STATE.+slice.+state.+changed )|(ment ac)|(multiple cpu faults)|(system.+state.+changed )|(\[timeout)|(PRM\|1\|D)|(kpr)|(kdp)|(train st.+moving)|(\|lc)|(penalty))"</v>
      </c>
      <c r="AG92" s="1" t="str">
        <f t="shared" si="44"/>
        <v>EC</v>
      </c>
      <c r="AH92" s="81" t="str">
        <f t="shared" si="29"/>
        <v>"%USERPROFILE%\Documents\GitHub\eaglep3\Utilities\RefineRTDCRunTimes.py" --tripid 160-13 --locoid 4061 --swversion DE.1.0.9.0 --startMP 204:232975 --initTime 2017-06-13T11:43:41 --startdatetime 2017-06-13T11:44:59 --delay 1 --endMP 204:86355 --enddatetime 2017-06-13T12:17:28 --enforcementcount 0 &gt;&gt;C:\Users\stu\Documents\GitHub\eaglep3-reporting\EC\2017-06-13-refined-times.txt</v>
      </c>
      <c r="AI92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ML0816","project_id":79,"tracker_id":40,"status_id":1,"priority_id":2,"assigned_to_id":23,"start_date":"2017-06-13","description":"","custom_fields":[{"id":1,"name":"Subdivision","value":"EC"},{"id":4,"name":"Milepost","value":"8.6355"},{"id":17,"name":"Train ID","value":"160-13"},{"id":16,"name":"Locomotive ID","value":"4061"},{"id":130,"name":"Impact","value":""},{"id":150,"name":"Time of Event (Mountain Time)","value":"12:17:28"},{"id":151,"name":"Denver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31"/>
        <v>start /low /b %USERPROFILE%\Documents\GitHub\eaglep3\Utilities\DownloadLogsFromS3.py --loco 4061 --day 2017-06-13</v>
      </c>
      <c r="AN92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18:17:28"},{"id":29,"name":"Sharepoint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712</v>
      </c>
      <c r="B93" s="7">
        <v>4061</v>
      </c>
      <c r="C93" s="21" t="s">
        <v>204</v>
      </c>
      <c r="D93" s="21" t="s">
        <v>870</v>
      </c>
      <c r="E93" s="13">
        <v>42899.515682870369</v>
      </c>
      <c r="F93" s="13">
        <v>42899.51630787037</v>
      </c>
      <c r="G93" s="7">
        <v>0</v>
      </c>
      <c r="H93" s="21" t="s">
        <v>362</v>
      </c>
      <c r="I93" s="13">
        <v>42899.528715277775</v>
      </c>
      <c r="J93" s="7">
        <v>0</v>
      </c>
      <c r="K93" s="92" t="str">
        <f t="shared" si="33"/>
        <v>4061/4062</v>
      </c>
      <c r="L93" s="21" t="str">
        <f>VLOOKUP(A93,'Trips&amp;Operators'!$C$1:$G$99999,5,FALSE)</f>
        <v>DAVIDSON DAVID</v>
      </c>
      <c r="M93" s="6">
        <f t="shared" si="34"/>
        <v>1.2407407404680271E-2</v>
      </c>
      <c r="N93" s="7"/>
      <c r="O93" s="7"/>
      <c r="P93" s="7"/>
      <c r="Q93" s="22"/>
      <c r="R93" s="173"/>
      <c r="S93" s="176"/>
      <c r="T93" s="202" t="str">
        <f t="shared" si="35"/>
        <v>Southbound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9</v>
      </c>
      <c r="V93" s="203" t="str">
        <f t="shared" si="36"/>
        <v>https://d0f6bd738d7f1b3e5a7ca70fe4ff75f0.us-east-1.aws.found.io/app/kibana#/discover/Steve-Slow-Train-Analysis-(2080s-and-2083s)?_g=(refreshInterval:(display:Off,pause:!f,section:0,value:0),time:(from:'2017-06-13T11:22:35-0600',mode:absolute,to:'2017-06-13T13:41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3" s="204" t="str">
        <f t="shared" si="37"/>
        <v>Y</v>
      </c>
      <c r="X93" s="204">
        <f t="shared" si="28"/>
        <v>0</v>
      </c>
      <c r="Y93" s="204">
        <f t="shared" si="38"/>
        <v>6.4158999999999997</v>
      </c>
      <c r="Z93" s="204">
        <f t="shared" si="39"/>
        <v>1.47E-2</v>
      </c>
      <c r="AA93" s="204">
        <f t="shared" si="40"/>
        <v>6.4011999999999993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1"/>
        <v>0160-13</v>
      </c>
      <c r="AE93" s="80" t="str">
        <f t="shared" si="4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93" s="77" t="str">
        <f t="shared" si="43"/>
        <v>"C:\Program Files (x86)\AstroGrep\AstroGrep.exe" /e /r /s /spath="%USERPROFILE%\AppData\Local\Temp\OnboardLogs" /stypes="app*4061*20170613*" /stext=" 18:.+((SYSTEM_STATE.+slice.+state.+changed )|(ment ac)|(multiple cpu faults)|(system.+state.+changed )|(\[timeout)|(PRM\|1\|D)|(kpr)|(kdp)|(train st.+moving)|(\|lc)|(penalty))"</v>
      </c>
      <c r="AG93" s="1" t="str">
        <f t="shared" si="44"/>
        <v>EC</v>
      </c>
      <c r="AH93" s="81" t="str">
        <f t="shared" si="29"/>
        <v>"%USERPROFILE%\Documents\GitHub\eaglep3\Utilities\RefineRTDCRunTimes.py" --tripid 160-13 --locoid 4061 --swversion DE.1.0.9.0 --startMP 204:64159 --initTime 2017-06-13T12:22:35 --startdatetime 2017-06-13T12:23:29 --delay 0 --endMP 204:147 --enddatetime 2017-06-13T12:41:21 --enforcementcount 0 &gt;&gt;C:\Users\stu\Documents\GitHub\eaglep3-reporting\EC\2017-06-13-refined-times.txt</v>
      </c>
      <c r="AI93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{"issue":{"subject":"","project_id":79,"tracker_id":40,"status_id":1,"priority_id":2,"assigned_to_id":23,"start_date":"2017-06-13","description":"","custom_fields":[{"id":1,"name":"Subdivision","value":"EC"},{"id":4,"name":"Milepost","value":"0.0147"},{"id":17,"name":"Train ID","value":"160-13"},{"id":16,"name":"Locomotive ID","value":"4061"},{"id":130,"name":"Impact","value":""},{"id":150,"name":"Time of Event (Mountain Time)","value":"12:41:21"},{"id":151,"name":"Denver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31"/>
        <v>start /low /b %USERPROFILE%\Documents\GitHub\eaglep3\Utilities\DownloadLogsFromS3.py --loco 4061 --day 2017-06-13</v>
      </c>
      <c r="AN93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18:41:21"},{"id":29,"name":"Sharepoint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702</v>
      </c>
      <c r="B94" s="7">
        <v>4006</v>
      </c>
      <c r="C94" s="21" t="s">
        <v>204</v>
      </c>
      <c r="D94" s="21" t="s">
        <v>350</v>
      </c>
      <c r="E94" s="13">
        <v>42899.469837962963</v>
      </c>
      <c r="F94" s="13">
        <v>42899.471539351849</v>
      </c>
      <c r="G94" s="7">
        <v>1</v>
      </c>
      <c r="H94" s="21" t="s">
        <v>478</v>
      </c>
      <c r="I94" s="13">
        <v>42899.497071759259</v>
      </c>
      <c r="J94" s="7">
        <v>0</v>
      </c>
      <c r="K94" s="92" t="str">
        <f t="shared" si="33"/>
        <v>4005/4006</v>
      </c>
      <c r="L94" s="21" t="str">
        <f>VLOOKUP(A94,'Trips&amp;Operators'!$C$1:$G$99999,5,FALSE)</f>
        <v>STEWART MICHAEL</v>
      </c>
      <c r="M94" s="6">
        <f t="shared" si="34"/>
        <v>2.5532407409627922E-2</v>
      </c>
      <c r="N94" s="7">
        <f>24*60*SUM($M94:$M94)</f>
        <v>36.766666669864208</v>
      </c>
      <c r="O94" s="7"/>
      <c r="P94" s="7"/>
      <c r="Q94" s="22"/>
      <c r="R94" s="173"/>
      <c r="S94" s="176">
        <f>SUM(U94:U94)/IF(AG94="EC",12,1)</f>
        <v>1</v>
      </c>
      <c r="T94" s="202" t="str">
        <f t="shared" si="35"/>
        <v>NorthBound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6"/>
        <v>https://d0f6bd738d7f1b3e5a7ca70fe4ff75f0.us-east-1.aws.found.io/app/kibana#/discover/Steve-Slow-Train-Analysis-(2080s-and-2083s)?_g=(refreshInterval:(display:Off,pause:!f,section:0,value:0),time:(from:'2017-06-13T10:16:34-0600',mode:absolute,to:'2017-06-13T12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4" s="204" t="str">
        <f t="shared" si="37"/>
        <v>N</v>
      </c>
      <c r="X94" s="204">
        <f t="shared" si="28"/>
        <v>1</v>
      </c>
      <c r="Y94" s="204">
        <f t="shared" si="38"/>
        <v>4.58E-2</v>
      </c>
      <c r="Z94" s="204">
        <f t="shared" si="39"/>
        <v>23.329499999999999</v>
      </c>
      <c r="AA94" s="204">
        <f t="shared" si="40"/>
        <v>23.2837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1"/>
        <v>0161-13</v>
      </c>
      <c r="AE94" s="80" t="str">
        <f t="shared" si="42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94" s="77" t="str">
        <f t="shared" si="43"/>
        <v>"C:\Program Files (x86)\AstroGrep\AstroGrep.exe" /e /r /s /spath="%USERPROFILE%\AppData\Local\Temp\OnboardLogs" /stypes="app*4006*20170613*" /stext=" 17:.+((SYSTEM_STATE.+slice.+state.+changed )|(ment ac)|(multiple cpu faults)|(system.+state.+changed )|(\[timeout)|(PRM\|1\|D)|(kpr)|(kdp)|(train st.+moving)|(\|lc)|(penalty))"</v>
      </c>
      <c r="AG94" s="1" t="str">
        <f t="shared" si="44"/>
        <v>EC</v>
      </c>
      <c r="AH94" s="81" t="str">
        <f t="shared" si="29"/>
        <v>"%USERPROFILE%\Documents\GitHub\eaglep3\Utilities\RefineRTDCRunTimes.py" --tripid 161-13 --locoid 4006 --swversion DE.1.0.9.0 --startMP 204:458 --initTime 2017-06-13T11:16:34 --startdatetime 2017-06-13T11:19:01 --delay 1 --endMP 204:233295 --enddatetime 2017-06-13T11:55:47 --enforcementcount 0 &gt;&gt;C:\Users\stu\Documents\GitHub\eaglep3-reporting\EC\2017-06-13-refined-times.txt</v>
      </c>
      <c r="AI94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{"issue":{"subject":"","project_id":79,"tracker_id":40,"status_id":1,"priority_id":2,"assigned_to_id":23,"start_date":"2017-06-13","description":"","custom_fields":[{"id":1,"name":"Subdivision","value":"EC"},{"id":4,"name":"Milepost","value":"23.3295"},{"id":17,"name":"Train ID","value":"161-13"},{"id":16,"name":"Locomotive ID","value":"4006"},{"id":130,"name":"Impact","value":""},{"id":150,"name":"Time of Event (Mountain Time)","value":"11:55:47"},{"id":151,"name":"Denver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31"/>
        <v>start /low /b %USERPROFILE%\Documents\GitHub\eaglep3\Utilities\DownloadLogsFromS3.py --loco 4006 --day 2017-06-13</v>
      </c>
      <c r="AN94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716</v>
      </c>
      <c r="B95" s="7">
        <v>4005</v>
      </c>
      <c r="C95" s="21" t="s">
        <v>204</v>
      </c>
      <c r="D95" s="21" t="s">
        <v>479</v>
      </c>
      <c r="E95" s="13">
        <v>42899.506712962961</v>
      </c>
      <c r="F95" s="13">
        <v>42899.508738425924</v>
      </c>
      <c r="G95" s="7">
        <v>2</v>
      </c>
      <c r="H95" s="21" t="s">
        <v>871</v>
      </c>
      <c r="I95" s="13">
        <v>42899.535775462966</v>
      </c>
      <c r="J95" s="7">
        <v>0</v>
      </c>
      <c r="K95" s="92" t="str">
        <f t="shared" si="33"/>
        <v>4005/4006</v>
      </c>
      <c r="L95" s="21" t="str">
        <f>VLOOKUP(A95,'Trips&amp;Operators'!$C$1:$G$99999,5,FALSE)</f>
        <v>STEWART MICHAEL</v>
      </c>
      <c r="M95" s="6">
        <f t="shared" si="34"/>
        <v>2.7037037041736767E-2</v>
      </c>
      <c r="N95" s="7">
        <f>24*60*SUM($M95:$M95)</f>
        <v>38.933333340100944</v>
      </c>
      <c r="O95" s="7"/>
      <c r="P95" s="7"/>
      <c r="Q95" s="22"/>
      <c r="R95" s="173"/>
      <c r="S95" s="176">
        <f>SUM(U95:U95)/IF(AG95="EC",12,1)</f>
        <v>1</v>
      </c>
      <c r="T95" s="202" t="str">
        <f t="shared" si="35"/>
        <v>Southbound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6"/>
        <v>https://d0f6bd738d7f1b3e5a7ca70fe4ff75f0.us-east-1.aws.found.io/app/kibana#/discover/Steve-Slow-Train-Analysis-(2080s-and-2083s)?_g=(refreshInterval:(display:Off,pause:!f,section:0,value:0),time:(from:'2017-06-13T11:09:40-0600',mode:absolute,to:'2017-06-13T13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5" s="204" t="str">
        <f t="shared" si="37"/>
        <v>N</v>
      </c>
      <c r="X95" s="204">
        <f t="shared" si="28"/>
        <v>1</v>
      </c>
      <c r="Y95" s="204">
        <f t="shared" si="38"/>
        <v>23.2987</v>
      </c>
      <c r="Z95" s="204">
        <f t="shared" si="39"/>
        <v>1.6299999999999999E-2</v>
      </c>
      <c r="AA95" s="204">
        <f t="shared" si="40"/>
        <v>23.282399999999999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1"/>
        <v>0162-13</v>
      </c>
      <c r="AE95" s="80" t="str">
        <f t="shared" si="4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95" s="77" t="str">
        <f t="shared" si="43"/>
        <v>"C:\Program Files (x86)\AstroGrep\AstroGrep.exe" /e /r /s /spath="%USERPROFILE%\AppData\Local\Temp\OnboardLogs" /stypes="app*4005*20170613*" /stext=" 18:.+((SYSTEM_STATE.+slice.+state.+changed )|(ment ac)|(multiple cpu faults)|(system.+state.+changed )|(\[timeout)|(PRM\|1\|D)|(kpr)|(kdp)|(train st.+moving)|(\|lc)|(penalty))"</v>
      </c>
      <c r="AG95" s="1" t="str">
        <f t="shared" si="44"/>
        <v>EC</v>
      </c>
      <c r="AH95" s="81" t="str">
        <f t="shared" si="29"/>
        <v>"%USERPROFILE%\Documents\GitHub\eaglep3\Utilities\RefineRTDCRunTimes.py" --tripid 162-13 --locoid 4005 --swversion DE.1.0.9.0 --startMP 204:232987 --initTime 2017-06-13T12:09:40 --startdatetime 2017-06-13T12:12:35 --delay 2 --endMP 204:163 --enddatetime 2017-06-13T12:51:31 --enforcementcount 0 &gt;&gt;C:\Users\stu\Documents\GitHub\eaglep3-reporting\EC\2017-06-13-refined-times.txt</v>
      </c>
      <c r="AI95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{"issue":{"subject":"","project_id":79,"tracker_id":40,"status_id":1,"priority_id":2,"assigned_to_id":23,"start_date":"2017-06-13","description":"","custom_fields":[{"id":1,"name":"Subdivision","value":"EC"},{"id":4,"name":"Milepost","value":"0.0163"},{"id":17,"name":"Train ID","value":"162-13"},{"id":16,"name":"Locomotive ID","value":"4005"},{"id":130,"name":"Impact","value":""},{"id":150,"name":"Time of Event (Mountain Time)","value":"12:51:31"},{"id":151,"name":"Denver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31"/>
        <v>start /low /b %USERPROFILE%\Documents\GitHub\eaglep3\Utilities\DownloadLogsFromS3.py --loco 4005 --day 2017-06-13</v>
      </c>
      <c r="AN95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705</v>
      </c>
      <c r="B96" s="7">
        <v>4046</v>
      </c>
      <c r="C96" s="21" t="s">
        <v>204</v>
      </c>
      <c r="D96" s="21" t="s">
        <v>394</v>
      </c>
      <c r="E96" s="13">
        <v>42899.475474537037</v>
      </c>
      <c r="F96" s="13">
        <v>42899.479328703703</v>
      </c>
      <c r="G96" s="7">
        <v>1</v>
      </c>
      <c r="H96" s="21" t="s">
        <v>441</v>
      </c>
      <c r="I96" s="13">
        <v>42899.503946759258</v>
      </c>
      <c r="J96" s="7">
        <v>0</v>
      </c>
      <c r="K96" s="92" t="str">
        <f t="shared" si="33"/>
        <v>4045/4046</v>
      </c>
      <c r="L96" s="21" t="str">
        <f>VLOOKUP(A96,'Trips&amp;Operators'!$C$1:$G$99999,5,FALSE)</f>
        <v>NEWELL JAMES</v>
      </c>
      <c r="M96" s="6">
        <f t="shared" si="34"/>
        <v>2.4618055555038154E-2</v>
      </c>
      <c r="N96" s="7">
        <f>24*60*SUM($M96:$M96)</f>
        <v>35.449999999254942</v>
      </c>
      <c r="O96" s="7"/>
      <c r="P96" s="7"/>
      <c r="Q96" s="22"/>
      <c r="R96" s="173"/>
      <c r="S96" s="176">
        <f>SUM(U96:U96)/IF(AG96="EC",12,1)</f>
        <v>1</v>
      </c>
      <c r="T96" s="202" t="str">
        <f t="shared" si="35"/>
        <v>NorthBound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6"/>
        <v>https://d0f6bd738d7f1b3e5a7ca70fe4ff75f0.us-east-1.aws.found.io/app/kibana#/discover/Steve-Slow-Train-Analysis-(2080s-and-2083s)?_g=(refreshInterval:(display:Off,pause:!f,section:0,value:0),time:(from:'2017-06-13T10:24:41-0600',mode:absolute,to:'2017-06-13T13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6" s="204" t="str">
        <f t="shared" si="37"/>
        <v>N</v>
      </c>
      <c r="X96" s="204">
        <f t="shared" ref="X96:X127" si="45">VALUE(LEFT(AD96,4))-VALUE(LEFT(AD95,4))</f>
        <v>1</v>
      </c>
      <c r="Y96" s="204">
        <f t="shared" si="38"/>
        <v>4.6199999999999998E-2</v>
      </c>
      <c r="Z96" s="204">
        <f t="shared" si="39"/>
        <v>23.329699999999999</v>
      </c>
      <c r="AA96" s="204">
        <f t="shared" si="40"/>
        <v>23.2835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1"/>
        <v>0163-13</v>
      </c>
      <c r="AE96" s="80" t="str">
        <f t="shared" si="42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96" s="77" t="str">
        <f t="shared" si="43"/>
        <v>"C:\Program Files (x86)\AstroGrep\AstroGrep.exe" /e /r /s /spath="%USERPROFILE%\AppData\Local\Temp\OnboardLogs" /stypes="app*4046*20170613*" /stext=" 18:.+((SYSTEM_STATE.+slice.+state.+changed )|(ment ac)|(multiple cpu faults)|(system.+state.+changed )|(\[timeout)|(PRM\|1\|D)|(kpr)|(kdp)|(train st.+moving)|(\|lc)|(penalty))"</v>
      </c>
      <c r="AG96" s="1" t="str">
        <f t="shared" si="44"/>
        <v>EC</v>
      </c>
      <c r="AH96" s="81" t="str">
        <f t="shared" si="29"/>
        <v>"%USERPROFILE%\Documents\GitHub\eaglep3\Utilities\RefineRTDCRunTimes.py" --tripid 163-13 --locoid 4046 --swversion DE.1.0.9.0 --startMP 204:462 --initTime 2017-06-13T11:24:41 --startdatetime 2017-06-13T11:30:14 --delay 1 --endMP 204:233297 --enddatetime 2017-06-13T12:05:41 --enforcementcount 0 &gt;&gt;C:\Users\stu\Documents\GitHub\eaglep3-reporting\EC\2017-06-13-refined-times.txt</v>
      </c>
      <c r="AI96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{"issue":{"subject":"","project_id":79,"tracker_id":40,"status_id":1,"priority_id":2,"assigned_to_id":23,"start_date":"2017-06-13","description":"","custom_fields":[{"id":1,"name":"Subdivision","value":"EC"},{"id":4,"name":"Milepost","value":"23.3297"},{"id":17,"name":"Train ID","value":"163-13"},{"id":16,"name":"Locomotive ID","value":"4046"},{"id":130,"name":"Impact","value":""},{"id":150,"name":"Time of Event (Mountain Time)","value":"12:05:41"},{"id":151,"name":"Denver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31"/>
        <v>start /low /b %USERPROFILE%\Documents\GitHub\eaglep3\Utilities\DownloadLogsFromS3.py --loco 4046 --day 2017-06-13</v>
      </c>
      <c r="AN96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715</v>
      </c>
      <c r="B97" s="7">
        <v>4045</v>
      </c>
      <c r="C97" s="21" t="s">
        <v>204</v>
      </c>
      <c r="D97" s="21" t="s">
        <v>471</v>
      </c>
      <c r="E97" s="13">
        <v>42899.50545138889</v>
      </c>
      <c r="F97" s="13">
        <v>42899.50640046296</v>
      </c>
      <c r="G97" s="7">
        <v>1</v>
      </c>
      <c r="H97" s="21" t="s">
        <v>833</v>
      </c>
      <c r="I97" s="13">
        <v>42899.532511574071</v>
      </c>
      <c r="J97" s="7">
        <v>0</v>
      </c>
      <c r="K97" s="92" t="str">
        <f t="shared" si="33"/>
        <v>4045/4046</v>
      </c>
      <c r="L97" s="21" t="str">
        <f>VLOOKUP(A97,'Trips&amp;Operators'!$C$1:$G$99999,5,FALSE)</f>
        <v>NEWELL JAMES</v>
      </c>
      <c r="M97" s="6">
        <f t="shared" si="34"/>
        <v>2.6111111110367347E-2</v>
      </c>
      <c r="N97" s="7"/>
      <c r="O97" s="7"/>
      <c r="P97" s="7">
        <f>24*60*SUM($M97:$M98)</f>
        <v>52.666666667209938</v>
      </c>
      <c r="Q97" s="22"/>
      <c r="R97" s="173" t="s">
        <v>1021</v>
      </c>
      <c r="S97" s="176">
        <f>SUM(U97:U98)/IF(AG97="EC",12,1)</f>
        <v>0.91666666666666663</v>
      </c>
      <c r="T97" s="202" t="str">
        <f t="shared" si="35"/>
        <v>Southbound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2</v>
      </c>
      <c r="V97" s="203" t="str">
        <f t="shared" si="36"/>
        <v>https://d0f6bd738d7f1b3e5a7ca70fe4ff75f0.us-east-1.aws.found.io/app/kibana#/discover/Steve-Slow-Train-Analysis-(2080s-and-2083s)?_g=(refreshInterval:(display:Off,pause:!f,section:0,value:0),time:(from:'2017-06-13T11:07:51-0600',mode:absolute,to:'2017-06-13T13:46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7" s="204" t="str">
        <f t="shared" si="37"/>
        <v>Y</v>
      </c>
      <c r="X97" s="204">
        <f t="shared" si="45"/>
        <v>1</v>
      </c>
      <c r="Y97" s="204">
        <f t="shared" si="38"/>
        <v>23.296900000000001</v>
      </c>
      <c r="Z97" s="204">
        <f t="shared" si="39"/>
        <v>8.6353000000000009</v>
      </c>
      <c r="AA97" s="204">
        <f t="shared" si="40"/>
        <v>14.6616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1"/>
        <v>0164-13</v>
      </c>
      <c r="AE97" s="80" t="str">
        <f t="shared" si="4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97" s="77" t="str">
        <f t="shared" si="43"/>
        <v>"C:\Program Files (x86)\AstroGrep\AstroGrep.exe" /e /r /s /spath="%USERPROFILE%\AppData\Local\Temp\OnboardLogs" /stypes="app*4045*20170613*" /stext=" 18:.+((SYSTEM_STATE.+slice.+state.+changed )|(ment ac)|(multiple cpu faults)|(system.+state.+changed )|(\[timeout)|(PRM\|1\|D)|(kpr)|(kdp)|(train st.+moving)|(\|lc)|(penalty))"</v>
      </c>
      <c r="AG97" s="1" t="str">
        <f t="shared" si="44"/>
        <v>EC</v>
      </c>
      <c r="AH97" s="81" t="str">
        <f t="shared" si="29"/>
        <v>"%USERPROFILE%\Documents\GitHub\eaglep3\Utilities\RefineRTDCRunTimes.py" --tripid 164-13 --locoid 4045 --swversion DE.1.0.9.0 --startMP 204:232969 --initTime 2017-06-13T12:07:51 --startdatetime 2017-06-13T12:09:13 --delay 1 --endMP 204:86353 --enddatetime 2017-06-13T12:46:49 --enforcementcount 0 &gt;&gt;C:\Users\stu\Documents\GitHub\eaglep3-reporting\EC\2017-06-13-refined-times.txt</v>
      </c>
      <c r="AI97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ID","value":"164-13"},{"id":16,"name":"Locomotive ID","value":"4045"},{"id":130,"name":"Impact","value":""},{"id":150,"name":"Time of Event (Mountain Time)","value":"12:46:49"},{"id":151,"name":"Denver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31"/>
        <v>start /low /b %USERPROFILE%\Documents\GitHub\eaglep3\Utilities\DownloadLogsFromS3.py --loco 4045 --day 2017-06-13</v>
      </c>
      <c r="AN97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18:46:49"},{"id":29,"name":"Sharepoint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715</v>
      </c>
      <c r="B98" s="7">
        <v>4045</v>
      </c>
      <c r="C98" s="21" t="s">
        <v>204</v>
      </c>
      <c r="D98" s="21" t="s">
        <v>834</v>
      </c>
      <c r="E98" s="13">
        <v>42899.537106481483</v>
      </c>
      <c r="F98" s="13">
        <v>42899.537627314814</v>
      </c>
      <c r="G98" s="7">
        <v>0</v>
      </c>
      <c r="H98" s="21" t="s">
        <v>398</v>
      </c>
      <c r="I98" s="13">
        <v>42899.548090277778</v>
      </c>
      <c r="J98" s="7">
        <v>0</v>
      </c>
      <c r="K98" s="92" t="str">
        <f t="shared" si="33"/>
        <v>4045/4046</v>
      </c>
      <c r="L98" s="21" t="str">
        <f>VLOOKUP(A98,'Trips&amp;Operators'!$C$1:$G$99999,5,FALSE)</f>
        <v>NEWELL JAMES</v>
      </c>
      <c r="M98" s="6">
        <f t="shared" si="34"/>
        <v>1.0462962964083999E-2</v>
      </c>
      <c r="N98" s="7"/>
      <c r="O98" s="7"/>
      <c r="P98" s="7"/>
      <c r="Q98" s="22"/>
      <c r="R98" s="173"/>
      <c r="S98" s="176"/>
      <c r="T98" s="202" t="str">
        <f t="shared" si="35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9</v>
      </c>
      <c r="V98" s="203" t="str">
        <f t="shared" si="36"/>
        <v>https://d0f6bd738d7f1b3e5a7ca70fe4ff75f0.us-east-1.aws.found.io/app/kibana#/discover/Steve-Slow-Train-Analysis-(2080s-and-2083s)?_g=(refreshInterval:(display:Off,pause:!f,section:0,value:0),time:(from:'2017-06-13T11:53:26-0600',mode:absolute,to:'2017-06-13T14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8" s="204" t="str">
        <f t="shared" si="37"/>
        <v>Y</v>
      </c>
      <c r="X98" s="204">
        <f t="shared" si="45"/>
        <v>0</v>
      </c>
      <c r="Y98" s="204">
        <f t="shared" si="38"/>
        <v>6.4165000000000001</v>
      </c>
      <c r="Z98" s="204">
        <f t="shared" si="39"/>
        <v>1.54E-2</v>
      </c>
      <c r="AA98" s="204">
        <f t="shared" si="40"/>
        <v>6.4011000000000005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1"/>
        <v>0164-13</v>
      </c>
      <c r="AE98" s="80" t="str">
        <f t="shared" si="4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98" s="77" t="str">
        <f t="shared" si="43"/>
        <v>"C:\Program Files (x86)\AstroGrep\AstroGrep.exe" /e /r /s /spath="%USERPROFILE%\AppData\Local\Temp\OnboardLogs" /stypes="app*4045*20170613*" /stext=" 19:.+((SYSTEM_STATE.+slice.+state.+changed )|(ment ac)|(multiple cpu faults)|(system.+state.+changed )|(\[timeout)|(PRM\|1\|D)|(kpr)|(kdp)|(train st.+moving)|(\|lc)|(penalty))"</v>
      </c>
      <c r="AG98" s="1" t="str">
        <f t="shared" si="44"/>
        <v>EC</v>
      </c>
      <c r="AH98" s="81" t="str">
        <f t="shared" si="29"/>
        <v>"%USERPROFILE%\Documents\GitHub\eaglep3\Utilities\RefineRTDCRunTimes.py" --tripid 164-13 --locoid 4045 --swversion DE.1.0.9.0 --startMP 204:64165 --initTime 2017-06-13T12:53:26 --startdatetime 2017-06-13T12:54:11 --delay 0 --endMP 204:154 --enddatetime 2017-06-13T13:09:15 --enforcementcount 0 &gt;&gt;C:\Users\stu\Documents\GitHub\eaglep3-reporting\EC\2017-06-13-refined-times.txt</v>
      </c>
      <c r="AI98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{"issue":{"subject":"","project_id":79,"tracker_id":40,"status_id":1,"priority_id":2,"assigned_to_id":23,"start_date":"2017-06-13","description":"","custom_fields":[{"id":1,"name":"Subdivision","value":"EC"},{"id":4,"name":"Milepost","value":"0.0154"},{"id":17,"name":"Train ID","value":"164-13"},{"id":16,"name":"Locomotive ID","value":"4045"},{"id":130,"name":"Impact","value":""},{"id":150,"name":"Time of Event (Mountain Time)","value":"13:09:15"},{"id":151,"name":"Denver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31"/>
        <v>start /low /b %USERPROFILE%\Documents\GitHub\eaglep3\Utilities\DownloadLogsFromS3.py --loco 4045 --day 2017-06-13</v>
      </c>
      <c r="AN98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709</v>
      </c>
      <c r="B99" s="7">
        <v>4054</v>
      </c>
      <c r="C99" s="21" t="s">
        <v>204</v>
      </c>
      <c r="D99" s="21" t="s">
        <v>354</v>
      </c>
      <c r="E99" s="13">
        <v>42899.487928240742</v>
      </c>
      <c r="F99" s="13">
        <v>42899.489814814813</v>
      </c>
      <c r="G99" s="7">
        <v>2</v>
      </c>
      <c r="H99" s="21" t="s">
        <v>872</v>
      </c>
      <c r="I99" s="13">
        <v>42899.514976851853</v>
      </c>
      <c r="J99" s="7">
        <v>0</v>
      </c>
      <c r="K99" s="92" t="str">
        <f t="shared" si="33"/>
        <v>4053/4054</v>
      </c>
      <c r="L99" s="21" t="str">
        <f>VLOOKUP(A99,'Trips&amp;Operators'!$C$1:$G$99999,5,FALSE)</f>
        <v>LEVIN SCOTT</v>
      </c>
      <c r="M99" s="6">
        <f t="shared" si="34"/>
        <v>2.5162037039990537E-2</v>
      </c>
      <c r="N99" s="7">
        <f>24*60*SUM($M99:$M99)</f>
        <v>36.233333337586373</v>
      </c>
      <c r="O99" s="7"/>
      <c r="P99" s="7"/>
      <c r="Q99" s="22"/>
      <c r="R99" s="173"/>
      <c r="S99" s="176">
        <f>SUM(U99:U99)/IF(AG99="EC",12,1)</f>
        <v>1</v>
      </c>
      <c r="T99" s="202" t="str">
        <f t="shared" si="35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6"/>
        <v>https://d0f6bd738d7f1b3e5a7ca70fe4ff75f0.us-east-1.aws.found.io/app/kibana#/discover/Steve-Slow-Train-Analysis-(2080s-and-2083s)?_g=(refreshInterval:(display:Off,pause:!f,section:0,value:0),time:(from:'2017-06-13T10:42:37-0600',mode:absolute,to:'2017-06-13T13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9" s="204" t="str">
        <f t="shared" si="37"/>
        <v>N</v>
      </c>
      <c r="X99" s="204">
        <f t="shared" si="45"/>
        <v>1</v>
      </c>
      <c r="Y99" s="204">
        <f t="shared" si="38"/>
        <v>4.6600000000000003E-2</v>
      </c>
      <c r="Z99" s="204">
        <f t="shared" si="39"/>
        <v>23.334199999999999</v>
      </c>
      <c r="AA99" s="204">
        <f t="shared" si="40"/>
        <v>23.287599999999998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1"/>
        <v>0165-13</v>
      </c>
      <c r="AE99" s="80" t="str">
        <f t="shared" si="42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99" s="77" t="str">
        <f t="shared" si="43"/>
        <v>"C:\Program Files (x86)\AstroGrep\AstroGrep.exe" /e /r /s /spath="%USERPROFILE%\AppData\Local\Temp\OnboardLogs" /stypes="app*4054*20170613*" /stext=" 18:.+((SYSTEM_STATE.+slice.+state.+changed )|(ment ac)|(multiple cpu faults)|(system.+state.+changed )|(\[timeout)|(PRM\|1\|D)|(kpr)|(kdp)|(train st.+moving)|(\|lc)|(penalty))"</v>
      </c>
      <c r="AG99" s="1" t="str">
        <f t="shared" si="44"/>
        <v>EC</v>
      </c>
      <c r="AH99" s="81" t="str">
        <f t="shared" si="29"/>
        <v>"%USERPROFILE%\Documents\GitHub\eaglep3\Utilities\RefineRTDCRunTimes.py" --tripid 165-13 --locoid 4054 --swversion DE.1.0.9.0 --startMP 204:466 --initTime 2017-06-13T11:42:37 --startdatetime 2017-06-13T11:45:20 --delay 2 --endMP 204:233342 --enddatetime 2017-06-13T12:21:34 --enforcementcount 0 &gt;&gt;C:\Users\stu\Documents\GitHub\eaglep3-reporting\EC\2017-06-13-refined-times.txt</v>
      </c>
      <c r="AI99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{"issue":{"subject":"","project_id":79,"tracker_id":40,"status_id":1,"priority_id":2,"assigned_to_id":23,"start_date":"2017-06-13","description":"","custom_fields":[{"id":1,"name":"Subdivision","value":"EC"},{"id":4,"name":"Milepost","value":"23.3342"},{"id":17,"name":"Train ID","value":"165-13"},{"id":16,"name":"Locomotive ID","value":"4054"},{"id":130,"name":"Impact","value":""},{"id":150,"name":"Time of Event (Mountain Time)","value":"12:21:34"},{"id":151,"name":"Denver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31"/>
        <v>start /low /b %USERPROFILE%\Documents\GitHub\eaglep3\Utilities\DownloadLogsFromS3.py --loco 4054 --day 2017-06-13</v>
      </c>
      <c r="AN99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720</v>
      </c>
      <c r="B100" s="7">
        <v>4053</v>
      </c>
      <c r="C100" s="21" t="s">
        <v>204</v>
      </c>
      <c r="D100" s="21" t="s">
        <v>873</v>
      </c>
      <c r="E100" s="13">
        <v>42899.527905092589</v>
      </c>
      <c r="F100" s="13">
        <v>42899.528784722221</v>
      </c>
      <c r="G100" s="7">
        <v>1</v>
      </c>
      <c r="H100" s="21" t="s">
        <v>833</v>
      </c>
      <c r="I100" s="13">
        <v>42899.543078703704</v>
      </c>
      <c r="J100" s="7">
        <v>0</v>
      </c>
      <c r="K100" s="92" t="str">
        <f t="shared" si="33"/>
        <v>4053/4054</v>
      </c>
      <c r="L100" s="21" t="str">
        <f>VLOOKUP(A100,'Trips&amp;Operators'!$C$1:$G$99999,5,FALSE)</f>
        <v>LEVIN SCOTT</v>
      </c>
      <c r="M100" s="6">
        <f t="shared" si="34"/>
        <v>1.4293981483206153E-2</v>
      </c>
      <c r="N100" s="7"/>
      <c r="O100" s="7"/>
      <c r="P100" s="7">
        <f>24*60*SUM($M100:$M101)</f>
        <v>34.816666664555669</v>
      </c>
      <c r="Q100" s="22"/>
      <c r="R100" s="173" t="s">
        <v>1021</v>
      </c>
      <c r="S100" s="176">
        <f>SUM(U100:U101)/IF(AG100="EC",12,1)</f>
        <v>0.91666666666666663</v>
      </c>
      <c r="T100" s="202" t="str">
        <f t="shared" si="35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2</v>
      </c>
      <c r="V100" s="203" t="str">
        <f t="shared" si="36"/>
        <v>https://d0f6bd738d7f1b3e5a7ca70fe4ff75f0.us-east-1.aws.found.io/app/kibana#/discover/Steve-Slow-Train-Analysis-(2080s-and-2083s)?_g=(refreshInterval:(display:Off,pause:!f,section:0,value:0),time:(from:'2017-06-13T11:40:11-0600',mode:absolute,to:'2017-06-13T14:02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204" t="str">
        <f t="shared" si="37"/>
        <v>Y</v>
      </c>
      <c r="X100" s="204">
        <f t="shared" si="45"/>
        <v>1</v>
      </c>
      <c r="Y100" s="204">
        <f t="shared" si="38"/>
        <v>23.302800000000001</v>
      </c>
      <c r="Z100" s="204">
        <f t="shared" si="39"/>
        <v>8.6353000000000009</v>
      </c>
      <c r="AA100" s="204">
        <f t="shared" si="40"/>
        <v>14.6675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1"/>
        <v>0166-13</v>
      </c>
      <c r="AE100" s="80" t="str">
        <f t="shared" si="4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100" s="77" t="str">
        <f t="shared" si="43"/>
        <v>"C:\Program Files (x86)\AstroGrep\AstroGrep.exe" /e /r /s /spath="%USERPROFILE%\AppData\Local\Temp\OnboardLogs" /stypes="app*4053*20170613*" /stext=" 19:.+((SYSTEM_STATE.+slice.+state.+changed )|(ment ac)|(multiple cpu faults)|(system.+state.+changed )|(\[timeout)|(PRM\|1\|D)|(kpr)|(kdp)|(train st.+moving)|(\|lc)|(penalty))"</v>
      </c>
      <c r="AG100" s="1" t="str">
        <f t="shared" si="44"/>
        <v>EC</v>
      </c>
      <c r="AH100" s="81" t="str">
        <f t="shared" si="29"/>
        <v>"%USERPROFILE%\Documents\GitHub\eaglep3\Utilities\RefineRTDCRunTimes.py" --tripid 166-13 --locoid 4053 --swversion DE.1.0.9.0 --startMP 204:233028 --initTime 2017-06-13T12:40:11 --startdatetime 2017-06-13T12:41:27 --delay 1 --endMP 204:86353 --enddatetime 2017-06-13T13:02:02 --enforcementcount 0 &gt;&gt;C:\Users\stu\Documents\GitHub\eaglep3-reporting\EC\2017-06-13-refined-times.txt</v>
      </c>
      <c r="AI100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ID","value":"166-13"},{"id":16,"name":"Locomotive ID","value":"4053"},{"id":130,"name":"Impact","value":""},{"id":150,"name":"Time of Event (Mountain Time)","value":"13:02:02"},{"id":151,"name":"Denver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31"/>
        <v>start /low /b %USERPROFILE%\Documents\GitHub\eaglep3\Utilities\DownloadLogsFromS3.py --loco 4053 --day 2017-06-13</v>
      </c>
      <c r="AN100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19:02:02"},{"id":29,"name":"Sharepoint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720</v>
      </c>
      <c r="B101" s="7">
        <v>4053</v>
      </c>
      <c r="C101" s="21" t="s">
        <v>204</v>
      </c>
      <c r="D101" s="21" t="s">
        <v>858</v>
      </c>
      <c r="E101" s="13">
        <v>42899.547349537039</v>
      </c>
      <c r="F101" s="13">
        <v>42899.54791666667</v>
      </c>
      <c r="G101" s="7">
        <v>0</v>
      </c>
      <c r="H101" s="21" t="s">
        <v>359</v>
      </c>
      <c r="I101" s="13">
        <v>42899.557800925926</v>
      </c>
      <c r="J101" s="7">
        <v>0</v>
      </c>
      <c r="K101" s="92" t="str">
        <f t="shared" si="33"/>
        <v>4053/4054</v>
      </c>
      <c r="L101" s="21" t="str">
        <f>VLOOKUP(A101,'Trips&amp;Operators'!$C$1:$G$99999,5,FALSE)</f>
        <v>LEVIN SCOTT</v>
      </c>
      <c r="M101" s="6">
        <f t="shared" si="34"/>
        <v>9.8842592560686171E-3</v>
      </c>
      <c r="N101" s="7"/>
      <c r="O101" s="7"/>
      <c r="P101" s="7"/>
      <c r="Q101" s="22"/>
      <c r="R101" s="173"/>
      <c r="S101" s="176"/>
      <c r="T101" s="202" t="str">
        <f t="shared" si="35"/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9</v>
      </c>
      <c r="V101" s="203" t="str">
        <f t="shared" si="36"/>
        <v>https://d0f6bd738d7f1b3e5a7ca70fe4ff75f0.us-east-1.aws.found.io/app/kibana#/discover/Steve-Slow-Train-Analysis-(2080s-and-2083s)?_g=(refreshInterval:(display:Off,pause:!f,section:0,value:0),time:(from:'2017-06-13T12:08:11-0600',mode:absolute,to:'2017-06-13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204" t="str">
        <f t="shared" si="37"/>
        <v>Y</v>
      </c>
      <c r="X101" s="204">
        <f t="shared" si="45"/>
        <v>0</v>
      </c>
      <c r="Y101" s="204">
        <f t="shared" si="38"/>
        <v>6.4154999999999998</v>
      </c>
      <c r="Z101" s="204">
        <f t="shared" si="39"/>
        <v>1.3899999999999999E-2</v>
      </c>
      <c r="AA101" s="204">
        <f t="shared" si="40"/>
        <v>6.4016000000000002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1"/>
        <v>0166-13</v>
      </c>
      <c r="AE101" s="80" t="str">
        <f t="shared" si="4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101" s="77" t="str">
        <f t="shared" si="43"/>
        <v>"C:\Program Files (x86)\AstroGrep\AstroGrep.exe" /e /r /s /spath="%USERPROFILE%\AppData\Local\Temp\OnboardLogs" /stypes="app*4053*20170613*" /stext=" 19:.+((SYSTEM_STATE.+slice.+state.+changed )|(ment ac)|(multiple cpu faults)|(system.+state.+changed )|(\[timeout)|(PRM\|1\|D)|(kpr)|(kdp)|(train st.+moving)|(\|lc)|(penalty))"</v>
      </c>
      <c r="AG101" s="1" t="str">
        <f t="shared" si="44"/>
        <v>EC</v>
      </c>
      <c r="AH101" s="81" t="str">
        <f t="shared" si="29"/>
        <v>"%USERPROFILE%\Documents\GitHub\eaglep3\Utilities\RefineRTDCRunTimes.py" --tripid 166-13 --locoid 4053 --swversion DE.1.0.9.0 --startMP 204:64155 --initTime 2017-06-13T13:08:11 --startdatetime 2017-06-13T13:09:00 --delay 0 --endMP 204:139 --enddatetime 2017-06-13T13:23:14 --enforcementcount 0 &gt;&gt;C:\Users\stu\Documents\GitHub\eaglep3-reporting\EC\2017-06-13-refined-times.txt</v>
      </c>
      <c r="AI101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{"issue":{"subject":"","project_id":79,"tracker_id":40,"status_id":1,"priority_id":2,"assigned_to_id":23,"start_date":"2017-06-13","description":"","custom_fields":[{"id":1,"name":"Subdivision","value":"EC"},{"id":4,"name":"Milepost","value":"0.0139"},{"id":17,"name":"Train ID","value":"166-13"},{"id":16,"name":"Locomotive ID","value":"4053"},{"id":130,"name":"Impact","value":""},{"id":150,"name":"Time of Event (Mountain Time)","value":"13:23:14"},{"id":151,"name":"Denver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31"/>
        <v>start /low /b %USERPROFILE%\Documents\GitHub\eaglep3\Utilities\DownloadLogsFromS3.py --loco 4053 --day 2017-06-13</v>
      </c>
      <c r="AN101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714</v>
      </c>
      <c r="B102" s="7">
        <v>4032</v>
      </c>
      <c r="C102" s="21" t="s">
        <v>204</v>
      </c>
      <c r="D102" s="21" t="s">
        <v>394</v>
      </c>
      <c r="E102" s="13">
        <v>42899.498530092591</v>
      </c>
      <c r="F102" s="13">
        <v>42899.500162037039</v>
      </c>
      <c r="G102" s="7">
        <v>1</v>
      </c>
      <c r="H102" s="21" t="s">
        <v>478</v>
      </c>
      <c r="I102" s="13">
        <v>42899.525601851848</v>
      </c>
      <c r="J102" s="7">
        <v>0</v>
      </c>
      <c r="K102" s="92" t="str">
        <f t="shared" si="33"/>
        <v>4031/4032</v>
      </c>
      <c r="L102" s="21" t="str">
        <f>VLOOKUP(A102,'Trips&amp;Operators'!$C$1:$G$99999,5,FALSE)</f>
        <v>ROBINSON KADDIBA</v>
      </c>
      <c r="M102" s="6">
        <f t="shared" si="34"/>
        <v>2.5439814809942618E-2</v>
      </c>
      <c r="N102" s="7">
        <f t="shared" ref="N102:N108" si="46">24*60*SUM($M102:$M102)</f>
        <v>36.63333332631737</v>
      </c>
      <c r="O102" s="7"/>
      <c r="P102" s="7"/>
      <c r="Q102" s="22"/>
      <c r="R102" s="173"/>
      <c r="S102" s="176">
        <f t="shared" ref="S102:S108" si="47">SUM(U102:U102)/IF(AG102="EC",12,1)</f>
        <v>1</v>
      </c>
      <c r="T102" s="202" t="str">
        <f t="shared" si="35"/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6"/>
        <v>https://d0f6bd738d7f1b3e5a7ca70fe4ff75f0.us-east-1.aws.found.io/app/kibana#/discover/Steve-Slow-Train-Analysis-(2080s-and-2083s)?_g=(refreshInterval:(display:Off,pause:!f,section:0,value:0),time:(from:'2017-06-13T10:57:53-0600',mode:absolute,to:'2017-06-13T13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2" s="204" t="str">
        <f t="shared" si="37"/>
        <v>N</v>
      </c>
      <c r="X102" s="204">
        <f t="shared" si="45"/>
        <v>1</v>
      </c>
      <c r="Y102" s="204">
        <f t="shared" si="38"/>
        <v>4.6199999999999998E-2</v>
      </c>
      <c r="Z102" s="204">
        <f t="shared" si="39"/>
        <v>23.329499999999999</v>
      </c>
      <c r="AA102" s="204">
        <f t="shared" si="40"/>
        <v>23.283300000000001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1"/>
        <v>0167-13</v>
      </c>
      <c r="AE102" s="80" t="str">
        <f t="shared" si="42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102" s="77" t="str">
        <f t="shared" si="43"/>
        <v>"C:\Program Files (x86)\AstroGrep\AstroGrep.exe" /e /r /s /spath="%USERPROFILE%\AppData\Local\Temp\OnboardLogs" /stypes="app*4032*20170613*" /stext=" 18:.+((SYSTEM_STATE.+slice.+state.+changed )|(ment ac)|(multiple cpu faults)|(system.+state.+changed )|(\[timeout)|(PRM\|1\|D)|(kpr)|(kdp)|(train st.+moving)|(\|lc)|(penalty))"</v>
      </c>
      <c r="AG102" s="1" t="str">
        <f t="shared" si="44"/>
        <v>EC</v>
      </c>
      <c r="AH102" s="81" t="str">
        <f t="shared" si="29"/>
        <v>"%USERPROFILE%\Documents\GitHub\eaglep3\Utilities\RefineRTDCRunTimes.py" --tripid 167-13 --locoid 4032 --swversion DE.1.0.9.0 --startMP 204:462 --initTime 2017-06-13T11:57:53 --startdatetime 2017-06-13T12:00:14 --delay 1 --endMP 204:233295 --enddatetime 2017-06-13T12:36:52 --enforcementcount 0 &gt;&gt;C:\Users\stu\Documents\GitHub\eaglep3-reporting\EC\2017-06-13-refined-times.txt</v>
      </c>
      <c r="AI102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{"issue":{"subject":"","project_id":79,"tracker_id":40,"status_id":1,"priority_id":2,"assigned_to_id":23,"start_date":"2017-06-13","description":"","custom_fields":[{"id":1,"name":"Subdivision","value":"EC"},{"id":4,"name":"Milepost","value":"23.3295"},{"id":17,"name":"Train ID","value":"167-13"},{"id":16,"name":"Locomotive ID","value":"4032"},{"id":130,"name":"Impact","value":""},{"id":150,"name":"Time of Event (Mountain Time)","value":"12:36:52"},{"id":151,"name":"Denver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31"/>
        <v>start /low /b %USERPROFILE%\Documents\GitHub\eaglep3\Utilities\DownloadLogsFromS3.py --loco 4032 --day 2017-06-13</v>
      </c>
      <c r="AN102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722</v>
      </c>
      <c r="B103" s="7">
        <v>4031</v>
      </c>
      <c r="C103" s="21" t="s">
        <v>204</v>
      </c>
      <c r="D103" s="21" t="s">
        <v>567</v>
      </c>
      <c r="E103" s="13">
        <v>42899.537164351852</v>
      </c>
      <c r="F103" s="13">
        <v>42899.539768518516</v>
      </c>
      <c r="G103" s="7">
        <v>2</v>
      </c>
      <c r="H103" s="21" t="s">
        <v>362</v>
      </c>
      <c r="I103" s="13">
        <v>42899.566724537035</v>
      </c>
      <c r="J103" s="7">
        <v>0</v>
      </c>
      <c r="K103" s="92" t="str">
        <f t="shared" si="33"/>
        <v>4031/4032</v>
      </c>
      <c r="L103" s="21" t="str">
        <f>VLOOKUP(A103,'Trips&amp;Operators'!$C$1:$G$99999,5,FALSE)</f>
        <v>ROBINSON KADDIBA</v>
      </c>
      <c r="M103" s="6">
        <f t="shared" si="34"/>
        <v>2.6956018518831115E-2</v>
      </c>
      <c r="N103" s="7">
        <f t="shared" si="46"/>
        <v>38.816666667116806</v>
      </c>
      <c r="O103" s="7"/>
      <c r="P103" s="7"/>
      <c r="Q103" s="22"/>
      <c r="R103" s="173"/>
      <c r="S103" s="176">
        <f t="shared" si="47"/>
        <v>1</v>
      </c>
      <c r="T103" s="202" t="str">
        <f t="shared" si="35"/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6"/>
        <v>https://d0f6bd738d7f1b3e5a7ca70fe4ff75f0.us-east-1.aws.found.io/app/kibana#/discover/Steve-Slow-Train-Analysis-(2080s-and-2083s)?_g=(refreshInterval:(display:Off,pause:!f,section:0,value:0),time:(from:'2017-06-13T11:53:31-0600',mode:absolute,to:'2017-06-13T14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3" s="204" t="str">
        <f t="shared" si="37"/>
        <v>N</v>
      </c>
      <c r="X103" s="204">
        <f t="shared" si="45"/>
        <v>1</v>
      </c>
      <c r="Y103" s="204">
        <f t="shared" si="38"/>
        <v>23.297799999999999</v>
      </c>
      <c r="Z103" s="204">
        <f t="shared" si="39"/>
        <v>1.47E-2</v>
      </c>
      <c r="AA103" s="204">
        <f t="shared" si="40"/>
        <v>23.283099999999997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1"/>
        <v>0168-13</v>
      </c>
      <c r="AE103" s="80" t="str">
        <f t="shared" si="4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103" s="77" t="str">
        <f t="shared" si="43"/>
        <v>"C:\Program Files (x86)\AstroGrep\AstroGrep.exe" /e /r /s /spath="%USERPROFILE%\AppData\Local\Temp\OnboardLogs" /stypes="app*4031*20170613*" /stext=" 19:.+((SYSTEM_STATE.+slice.+state.+changed )|(ment ac)|(multiple cpu faults)|(system.+state.+changed )|(\[timeout)|(PRM\|1\|D)|(kpr)|(kdp)|(train st.+moving)|(\|lc)|(penalty))"</v>
      </c>
      <c r="AG103" s="1" t="str">
        <f t="shared" si="44"/>
        <v>EC</v>
      </c>
      <c r="AH103" s="81" t="str">
        <f t="shared" si="29"/>
        <v>"%USERPROFILE%\Documents\GitHub\eaglep3\Utilities\RefineRTDCRunTimes.py" --tripid 168-13 --locoid 4031 --swversion DE.1.0.9.0 --startMP 204:232978 --initTime 2017-06-13T12:53:31 --startdatetime 2017-06-13T12:57:16 --delay 2 --endMP 204:147 --enddatetime 2017-06-13T13:36:05 --enforcementcount 0 &gt;&gt;C:\Users\stu\Documents\GitHub\eaglep3-reporting\EC\2017-06-13-refined-times.txt</v>
      </c>
      <c r="AI103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{"issue":{"subject":"","project_id":79,"tracker_id":40,"status_id":1,"priority_id":2,"assigned_to_id":23,"start_date":"2017-06-13","description":"","custom_fields":[{"id":1,"name":"Subdivision","value":"EC"},{"id":4,"name":"Milepost","value":"0.0147"},{"id":17,"name":"Train ID","value":"168-13"},{"id":16,"name":"Locomotive ID","value":"4031"},{"id":130,"name":"Impact","value":""},{"id":150,"name":"Time of Event (Mountain Time)","value":"13:36:05"},{"id":151,"name":"Denver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31"/>
        <v>start /low /b %USERPROFILE%\Documents\GitHub\eaglep3\Utilities\DownloadLogsFromS3.py --loco 4031 --day 2017-06-13</v>
      </c>
      <c r="AN103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2" t="s">
        <v>717</v>
      </c>
      <c r="B104" s="7">
        <v>4020</v>
      </c>
      <c r="C104" s="21" t="s">
        <v>204</v>
      </c>
      <c r="D104" s="21" t="s">
        <v>874</v>
      </c>
      <c r="E104" s="13">
        <v>42899.510289351849</v>
      </c>
      <c r="F104" s="13">
        <v>42899.512164351851</v>
      </c>
      <c r="G104" s="7">
        <v>2</v>
      </c>
      <c r="H104" s="21" t="s">
        <v>875</v>
      </c>
      <c r="I104" s="13">
        <v>42899.544398148151</v>
      </c>
      <c r="J104" s="7">
        <v>0</v>
      </c>
      <c r="K104" s="92" t="str">
        <f t="shared" si="33"/>
        <v>4019/4020</v>
      </c>
      <c r="L104" s="21" t="str">
        <f>VLOOKUP(A104,'Trips&amp;Operators'!$C$1:$G$99999,5,FALSE)</f>
        <v>BRANDNER MELINDA</v>
      </c>
      <c r="M104" s="6">
        <f t="shared" si="34"/>
        <v>3.2233796300715767E-2</v>
      </c>
      <c r="N104" s="7">
        <f t="shared" si="46"/>
        <v>46.416666673030704</v>
      </c>
      <c r="O104" s="7"/>
      <c r="P104" s="7"/>
      <c r="Q104" s="22"/>
      <c r="R104" s="173"/>
      <c r="S104" s="176">
        <f t="shared" si="47"/>
        <v>1</v>
      </c>
      <c r="T104" s="202" t="str">
        <f t="shared" si="35"/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6"/>
        <v>https://d0f6bd738d7f1b3e5a7ca70fe4ff75f0.us-east-1.aws.found.io/app/kibana#/discover/Steve-Slow-Train-Analysis-(2080s-and-2083s)?_g=(refreshInterval:(display:Off,pause:!f,section:0,value:0),time:(from:'2017-06-13T11:14:49-0600',mode:absolute,to:'2017-06-13T14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204" t="str">
        <f t="shared" si="37"/>
        <v>N</v>
      </c>
      <c r="X104" s="204">
        <f t="shared" si="45"/>
        <v>1</v>
      </c>
      <c r="Y104" s="204">
        <f t="shared" si="38"/>
        <v>4.3799999999999999E-2</v>
      </c>
      <c r="Z104" s="204">
        <f t="shared" si="39"/>
        <v>23.329799999999999</v>
      </c>
      <c r="AA104" s="204">
        <f t="shared" si="40"/>
        <v>23.285999999999998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1"/>
        <v>0169-13</v>
      </c>
      <c r="AE104" s="80" t="str">
        <f t="shared" si="42"/>
        <v>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 &amp; 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</v>
      </c>
      <c r="AF104" s="77" t="str">
        <f t="shared" si="43"/>
        <v>"C:\Program Files (x86)\AstroGrep\AstroGrep.exe" /e /r /s /spath="%USERPROFILE%\AppData\Local\Temp\OnboardLogs" /stypes="app*4020*20170613*" /stext=" 19:.+((SYSTEM_STATE.+slice.+state.+changed )|(ment ac)|(multiple cpu faults)|(system.+state.+changed )|(\[timeout)|(PRM\|1\|D)|(kpr)|(kdp)|(train st.+moving)|(\|lc)|(penalty))"</v>
      </c>
      <c r="AG104" s="1" t="str">
        <f t="shared" si="44"/>
        <v>EC</v>
      </c>
      <c r="AH104" s="81" t="str">
        <f t="shared" si="29"/>
        <v>"%USERPROFILE%\Documents\GitHub\eaglep3\Utilities\RefineRTDCRunTimes.py" --tripid 169-13 --locoid 4020 --swversion DE.1.0.9.0 --startMP 204:438 --initTime 2017-06-13T12:14:49 --startdatetime 2017-06-13T12:17:31 --delay 2 --endMP 204:233298 --enddatetime 2017-06-13T13:03:56 --enforcementcount 0 &gt;&gt;C:\Users\stu\Documents\GitHub\eaglep3-reporting\EC\2017-06-13-refined-times.txt</v>
      </c>
      <c r="AI104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{"issue":{"subject":"","project_id":79,"tracker_id":40,"status_id":1,"priority_id":2,"assigned_to_id":23,"start_date":"2017-06-13","description":"","custom_fields":[{"id":1,"name":"Subdivision","value":"EC"},{"id":4,"name":"Milepost","value":"23.3298"},{"id":17,"name":"Train ID","value":"169-13"},{"id":16,"name":"Locomotive ID","value":"4020"},{"id":130,"name":"Impact","value":""},{"id":150,"name":"Time of Event (Mountain Time)","value":"13:03:56"},{"id":151,"name":"Denver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20"/>
      <c r="AK104" s="47"/>
      <c r="AL104" s="47"/>
      <c r="AM104" s="145" t="str">
        <f t="shared" si="31"/>
        <v>start /low /b %USERPROFILE%\Documents\GitHub\eaglep3\Utilities\DownloadLogsFromS3.py --loco 4020 --day 2017-06-13</v>
      </c>
      <c r="AN104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5" spans="1:91" s="20" customFormat="1" x14ac:dyDescent="0.25">
      <c r="A105" s="32" t="s">
        <v>726</v>
      </c>
      <c r="B105" s="7">
        <v>4019</v>
      </c>
      <c r="C105" s="21" t="s">
        <v>204</v>
      </c>
      <c r="D105" s="21" t="s">
        <v>479</v>
      </c>
      <c r="E105" s="13">
        <v>42899.546793981484</v>
      </c>
      <c r="F105" s="13">
        <v>42899.550405092596</v>
      </c>
      <c r="G105" s="7">
        <v>4</v>
      </c>
      <c r="H105" s="21" t="s">
        <v>876</v>
      </c>
      <c r="I105" s="13">
        <v>42899.57739583333</v>
      </c>
      <c r="J105" s="7">
        <v>0</v>
      </c>
      <c r="K105" s="92" t="str">
        <f t="shared" si="33"/>
        <v>4019/4020</v>
      </c>
      <c r="L105" s="21" t="str">
        <f>VLOOKUP(A105,'Trips&amp;Operators'!$C$1:$G$99999,5,FALSE)</f>
        <v>BRANDNER MELINDA</v>
      </c>
      <c r="M105" s="6">
        <f t="shared" si="34"/>
        <v>2.6990740734618157E-2</v>
      </c>
      <c r="N105" s="7">
        <f t="shared" si="46"/>
        <v>38.866666657850146</v>
      </c>
      <c r="O105" s="7"/>
      <c r="P105" s="7"/>
      <c r="Q105" s="22"/>
      <c r="R105" s="173"/>
      <c r="S105" s="176">
        <f t="shared" si="47"/>
        <v>1</v>
      </c>
      <c r="T105" s="202" t="str">
        <f t="shared" si="35"/>
        <v>Southbound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6"/>
        <v>https://d0f6bd738d7f1b3e5a7ca70fe4ff75f0.us-east-1.aws.found.io/app/kibana#/discover/Steve-Slow-Train-Analysis-(2080s-and-2083s)?_g=(refreshInterval:(display:Off,pause:!f,section:0,value:0),time:(from:'2017-06-13T12:07:23-0600',mode:absolute,to:'2017-06-13T14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204" t="str">
        <f t="shared" si="37"/>
        <v>N</v>
      </c>
      <c r="X105" s="204">
        <f t="shared" si="45"/>
        <v>1</v>
      </c>
      <c r="Y105" s="204">
        <f t="shared" si="38"/>
        <v>23.2987</v>
      </c>
      <c r="Z105" s="204">
        <f t="shared" si="39"/>
        <v>0.1158</v>
      </c>
      <c r="AA105" s="204">
        <f t="shared" si="40"/>
        <v>23.1829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1"/>
        <v>0170-13</v>
      </c>
      <c r="AE105" s="80" t="str">
        <f t="shared" si="42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105" s="77" t="str">
        <f t="shared" si="43"/>
        <v>"C:\Program Files (x86)\AstroGrep\AstroGrep.exe" /e /r /s /spath="%USERPROFILE%\AppData\Local\Temp\OnboardLogs" /stypes="app*4019*20170613*" /stext=" 19:.+((SYSTEM_STATE.+slice.+state.+changed )|(ment ac)|(multiple cpu faults)|(system.+state.+changed )|(\[timeout)|(PRM\|1\|D)|(kpr)|(kdp)|(train st.+moving)|(\|lc)|(penalty))"</v>
      </c>
      <c r="AG105" s="1" t="str">
        <f t="shared" si="44"/>
        <v>EC</v>
      </c>
      <c r="AH105" s="81" t="str">
        <f t="shared" si="29"/>
        <v>"%USERPROFILE%\Documents\GitHub\eaglep3\Utilities\RefineRTDCRunTimes.py" --tripid 170-13 --locoid 4019 --swversion DE.1.0.9.0 --startMP 204:232987 --initTime 2017-06-13T13:07:23 --startdatetime 2017-06-13T13:12:35 --delay 4 --endMP 204:1158 --enddatetime 2017-06-13T13:51:27 --enforcementcount 0 &gt;&gt;C:\Users\stu\Documents\GitHub\eaglep3-reporting\EC\2017-06-13-refined-times.txt</v>
      </c>
      <c r="AI105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{"issue":{"subject":"","project_id":79,"tracker_id":40,"status_id":1,"priority_id":2,"assigned_to_id":23,"start_date":"2017-06-13","description":"","custom_fields":[{"id":1,"name":"Subdivision","value":"EC"},{"id":4,"name":"Milepost","value":"0.1158"},{"id":17,"name":"Train ID","value":"170-13"},{"id":16,"name":"Locomotive ID","value":"4019"},{"id":130,"name":"Impact","value":""},{"id":150,"name":"Time of Event (Mountain Time)","value":"13:51:27"},{"id":151,"name":"Denver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31"/>
        <v>start /low /b %USERPROFILE%\Documents\GitHub\eaglep3\Utilities\DownloadLogsFromS3.py --loco 4019 --day 2017-06-13</v>
      </c>
      <c r="AN105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718</v>
      </c>
      <c r="B106" s="7">
        <v>4002</v>
      </c>
      <c r="C106" s="21" t="s">
        <v>204</v>
      </c>
      <c r="D106" s="21" t="s">
        <v>350</v>
      </c>
      <c r="E106" s="13">
        <v>42899.522557870368</v>
      </c>
      <c r="F106" s="13">
        <v>42899.524097222224</v>
      </c>
      <c r="G106" s="7">
        <v>1</v>
      </c>
      <c r="H106" s="21" t="s">
        <v>480</v>
      </c>
      <c r="I106" s="13">
        <v>42899.554120370369</v>
      </c>
      <c r="J106" s="7">
        <v>0</v>
      </c>
      <c r="K106" s="92" t="str">
        <f t="shared" si="33"/>
        <v>4001/4002</v>
      </c>
      <c r="L106" s="21" t="str">
        <f>VLOOKUP(A106,'Trips&amp;Operators'!$C$1:$G$99999,5,FALSE)</f>
        <v>DAVIS MICHAEL</v>
      </c>
      <c r="M106" s="6">
        <f t="shared" si="34"/>
        <v>3.0023148145119194E-2</v>
      </c>
      <c r="N106" s="7">
        <f t="shared" si="46"/>
        <v>43.233333328971639</v>
      </c>
      <c r="O106" s="7"/>
      <c r="P106" s="7"/>
      <c r="Q106" s="22"/>
      <c r="R106" s="173"/>
      <c r="S106" s="176">
        <f t="shared" si="47"/>
        <v>1</v>
      </c>
      <c r="T106" s="202" t="str">
        <f t="shared" si="35"/>
        <v>NorthBound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6"/>
        <v>https://d0f6bd738d7f1b3e5a7ca70fe4ff75f0.us-east-1.aws.found.io/app/kibana#/discover/Steve-Slow-Train-Analysis-(2080s-and-2083s)?_g=(refreshInterval:(display:Off,pause:!f,section:0,value:0),time:(from:'2017-06-13T11:32:29-0600',mode:absolute,to:'2017-06-13T14:17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6" s="204" t="str">
        <f t="shared" si="37"/>
        <v>N</v>
      </c>
      <c r="X106" s="204">
        <f t="shared" si="45"/>
        <v>1</v>
      </c>
      <c r="Y106" s="204">
        <f t="shared" si="38"/>
        <v>4.58E-2</v>
      </c>
      <c r="Z106" s="204">
        <f t="shared" si="39"/>
        <v>23.329899999999999</v>
      </c>
      <c r="AA106" s="204">
        <f t="shared" si="40"/>
        <v>23.284099999999999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1"/>
        <v>0171-13</v>
      </c>
      <c r="AE106" s="80" t="str">
        <f t="shared" si="42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106" s="77" t="str">
        <f t="shared" si="43"/>
        <v>"C:\Program Files (x86)\AstroGrep\AstroGrep.exe" /e /r /s /spath="%USERPROFILE%\AppData\Local\Temp\OnboardLogs" /stypes="app*4002*20170613*" /stext=" 19:.+((SYSTEM_STATE.+slice.+state.+changed )|(ment ac)|(multiple cpu faults)|(system.+state.+changed )|(\[timeout)|(PRM\|1\|D)|(kpr)|(kdp)|(train st.+moving)|(\|lc)|(penalty))"</v>
      </c>
      <c r="AG106" s="1" t="str">
        <f t="shared" si="44"/>
        <v>EC</v>
      </c>
      <c r="AH106" s="81" t="str">
        <f t="shared" si="29"/>
        <v>"%USERPROFILE%\Documents\GitHub\eaglep3\Utilities\RefineRTDCRunTimes.py" --tripid 171-13 --locoid 4002 --swversion DE.1.0.9.0 --startMP 204:458 --initTime 2017-06-13T12:32:29 --startdatetime 2017-06-13T12:34:42 --delay 1 --endMP 204:233299 --enddatetime 2017-06-13T13:17:56 --enforcementcount 0 &gt;&gt;C:\Users\stu\Documents\GitHub\eaglep3-reporting\EC\2017-06-13-refined-times.txt</v>
      </c>
      <c r="AI106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{"issue":{"subject":"","project_id":79,"tracker_id":40,"status_id":1,"priority_id":2,"assigned_to_id":23,"start_date":"2017-06-13","description":"","custom_fields":[{"id":1,"name":"Subdivision","value":"EC"},{"id":4,"name":"Milepost","value":"23.3299"},{"id":17,"name":"Train ID","value":"171-13"},{"id":16,"name":"Locomotive ID","value":"4002"},{"id":130,"name":"Impact","value":""},{"id":150,"name":"Time of Event (Mountain Time)","value":"13:17:56"},{"id":151,"name":"Denver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31"/>
        <v>start /low /b %USERPROFILE%\Documents\GitHub\eaglep3\Utilities\DownloadLogsFromS3.py --loco 4002 --day 2017-06-13</v>
      </c>
      <c r="AN106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19:17:56"},{"id":29,"name":"Sharepoint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728</v>
      </c>
      <c r="B107" s="7">
        <v>4001</v>
      </c>
      <c r="C107" s="21" t="s">
        <v>204</v>
      </c>
      <c r="D107" s="21" t="s">
        <v>468</v>
      </c>
      <c r="E107" s="13">
        <v>42899.559166666666</v>
      </c>
      <c r="F107" s="13">
        <v>42899.561111111114</v>
      </c>
      <c r="G107" s="7">
        <v>1</v>
      </c>
      <c r="H107" s="21" t="s">
        <v>424</v>
      </c>
      <c r="I107" s="13">
        <v>42899.589259259257</v>
      </c>
      <c r="J107" s="7">
        <v>0</v>
      </c>
      <c r="K107" s="92" t="str">
        <f t="shared" si="33"/>
        <v>4001/4002</v>
      </c>
      <c r="L107" s="21" t="str">
        <f>VLOOKUP(A107,'Trips&amp;Operators'!$C$1:$G$99999,5,FALSE)</f>
        <v>DAVIS MICHAEL</v>
      </c>
      <c r="M107" s="6">
        <f t="shared" si="34"/>
        <v>2.8148148143372964E-2</v>
      </c>
      <c r="N107" s="7">
        <f t="shared" si="46"/>
        <v>40.533333326457068</v>
      </c>
      <c r="O107" s="7"/>
      <c r="P107" s="7"/>
      <c r="Q107" s="22"/>
      <c r="R107" s="173"/>
      <c r="S107" s="176">
        <f t="shared" si="47"/>
        <v>1</v>
      </c>
      <c r="T107" s="202" t="str">
        <f t="shared" si="35"/>
        <v>Southbound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6"/>
        <v>https://d0f6bd738d7f1b3e5a7ca70fe4ff75f0.us-east-1.aws.found.io/app/kibana#/discover/Steve-Slow-Train-Analysis-(2080s-and-2083s)?_g=(refreshInterval:(display:Off,pause:!f,section:0,value:0),time:(from:'2017-06-13T12:25:12-0600',mode:absolute,to:'2017-06-13T15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204" t="str">
        <f t="shared" si="37"/>
        <v>N</v>
      </c>
      <c r="X107" s="204">
        <f t="shared" si="45"/>
        <v>1</v>
      </c>
      <c r="Y107" s="204">
        <f t="shared" si="38"/>
        <v>23.299399999999999</v>
      </c>
      <c r="Z107" s="204">
        <f t="shared" si="39"/>
        <v>1.4500000000000001E-2</v>
      </c>
      <c r="AA107" s="204">
        <f t="shared" si="40"/>
        <v>23.284899999999997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1"/>
        <v>0172-13</v>
      </c>
      <c r="AE107" s="80" t="str">
        <f t="shared" si="4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107" s="77" t="str">
        <f t="shared" si="43"/>
        <v>"C:\Program Files (x86)\AstroGrep\AstroGrep.exe" /e /r /s /spath="%USERPROFILE%\AppData\Local\Temp\OnboardLogs" /stypes="app*4001*20170613*" /stext=" 20:.+((SYSTEM_STATE.+slice.+state.+changed )|(ment ac)|(multiple cpu faults)|(system.+state.+changed )|(\[timeout)|(PRM\|1\|D)|(kpr)|(kdp)|(train st.+moving)|(\|lc)|(penalty))"</v>
      </c>
      <c r="AG107" s="1" t="str">
        <f t="shared" si="44"/>
        <v>EC</v>
      </c>
      <c r="AH107" s="81" t="str">
        <f t="shared" si="29"/>
        <v>"%USERPROFILE%\Documents\GitHub\eaglep3\Utilities\RefineRTDCRunTimes.py" --tripid 172-13 --locoid 4001 --swversion DE.1.0.9.0 --startMP 204:232994 --initTime 2017-06-13T13:25:12 --startdatetime 2017-06-13T13:28:00 --delay 1 --endMP 204:145 --enddatetime 2017-06-13T14:08:32 --enforcementcount 0 &gt;&gt;C:\Users\stu\Documents\GitHub\eaglep3-reporting\EC\2017-06-13-refined-times.txt</v>
      </c>
      <c r="AI107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{"issue":{"subject":"","project_id":79,"tracker_id":40,"status_id":1,"priority_id":2,"assigned_to_id":23,"start_date":"2017-06-13","description":"","custom_fields":[{"id":1,"name":"Subdivision","value":"EC"},{"id":4,"name":"Milepost","value":"0.0145"},{"id":17,"name":"Train ID","value":"172-13"},{"id":16,"name":"Locomotive ID","value":"4001"},{"id":130,"name":"Impact","value":""},{"id":150,"name":"Time of Event (Mountain Time)","value":"14:08:32"},{"id":151,"name":"Denver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31"/>
        <v>start /low /b %USERPROFILE%\Documents\GitHub\eaglep3\Utilities\DownloadLogsFromS3.py --loco 4001 --day 2017-06-13</v>
      </c>
      <c r="AN107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721</v>
      </c>
      <c r="B108" s="7">
        <v>4062</v>
      </c>
      <c r="C108" s="21" t="s">
        <v>204</v>
      </c>
      <c r="D108" s="21" t="s">
        <v>355</v>
      </c>
      <c r="E108" s="13">
        <v>42899.530601851853</v>
      </c>
      <c r="F108" s="13">
        <v>42899.532604166663</v>
      </c>
      <c r="G108" s="7">
        <v>2</v>
      </c>
      <c r="H108" s="21" t="s">
        <v>877</v>
      </c>
      <c r="I108" s="13">
        <v>42899.564675925925</v>
      </c>
      <c r="J108" s="7">
        <v>0</v>
      </c>
      <c r="K108" s="92" t="str">
        <f t="shared" si="33"/>
        <v>4061/4062</v>
      </c>
      <c r="L108" s="21" t="str">
        <f>VLOOKUP(A108,'Trips&amp;Operators'!$C$1:$G$99999,5,FALSE)</f>
        <v>MCREYNOLDS KYLE</v>
      </c>
      <c r="M108" s="6">
        <f t="shared" si="34"/>
        <v>3.2071759262180422E-2</v>
      </c>
      <c r="N108" s="7">
        <f t="shared" si="46"/>
        <v>46.183333337539807</v>
      </c>
      <c r="O108" s="7"/>
      <c r="P108" s="7"/>
      <c r="Q108" s="22"/>
      <c r="R108" s="173"/>
      <c r="S108" s="176">
        <f t="shared" si="47"/>
        <v>1</v>
      </c>
      <c r="T108" s="202" t="str">
        <f t="shared" si="35"/>
        <v>NorthBound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6"/>
        <v>https://d0f6bd738d7f1b3e5a7ca70fe4ff75f0.us-east-1.aws.found.io/app/kibana#/discover/Steve-Slow-Train-Analysis-(2080s-and-2083s)?_g=(refreshInterval:(display:Off,pause:!f,section:0,value:0),time:(from:'2017-06-13T11:44:04-0600',mode:absolute,to:'2017-06-13T14:33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8" s="204" t="str">
        <f t="shared" si="37"/>
        <v>N</v>
      </c>
      <c r="X108" s="204">
        <f t="shared" si="45"/>
        <v>1</v>
      </c>
      <c r="Y108" s="204">
        <f t="shared" si="38"/>
        <v>4.5100000000000001E-2</v>
      </c>
      <c r="Z108" s="204">
        <f t="shared" si="39"/>
        <v>23.328700000000001</v>
      </c>
      <c r="AA108" s="204">
        <f t="shared" si="40"/>
        <v>23.2836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1"/>
        <v>0173-13</v>
      </c>
      <c r="AE108" s="80" t="str">
        <f t="shared" si="42"/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AF108" s="77" t="str">
        <f t="shared" si="43"/>
        <v>"C:\Program Files (x86)\AstroGrep\AstroGrep.exe" /e /r /s /spath="%USERPROFILE%\AppData\Local\Temp\OnboardLogs" /stypes="app*4062*20170613*" /stext=" 19:.+((SYSTEM_STATE.+slice.+state.+changed )|(ment ac)|(multiple cpu faults)|(system.+state.+changed )|(\[timeout)|(PRM\|1\|D)|(kpr)|(kdp)|(train st.+moving)|(\|lc)|(penalty))"</v>
      </c>
      <c r="AG108" s="1" t="str">
        <f t="shared" si="44"/>
        <v>EC</v>
      </c>
      <c r="AH108" s="81" t="str">
        <f t="shared" si="29"/>
        <v>"%USERPROFILE%\Documents\GitHub\eaglep3\Utilities\RefineRTDCRunTimes.py" --tripid 173-13 --locoid 4062 --swversion DE.1.0.9.0 --startMP 204:451 --initTime 2017-06-13T12:44:04 --startdatetime 2017-06-13T12:46:57 --delay 2 --endMP 204:233287 --enddatetime 2017-06-13T13:33:08 --enforcementcount 0 &gt;&gt;C:\Users\stu\Documents\GitHub\eaglep3-reporting\EC\2017-06-13-refined-times.txt</v>
      </c>
      <c r="AI108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{"issue":{"subject":"","project_id":79,"tracker_id":40,"status_id":1,"priority_id":2,"assigned_to_id":23,"start_date":"2017-06-13","description":"","custom_fields":[{"id":1,"name":"Subdivision","value":"EC"},{"id":4,"name":"Milepost","value":"23.3287"},{"id":17,"name":"Train ID","value":"173-13"},{"id":16,"name":"Locomotive ID","value":"4062"},{"id":130,"name":"Impact","value":""},{"id":150,"name":"Time of Event (Mountain Time)","value":"13:33:08"},{"id":151,"name":"Denver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31"/>
        <v>start /low /b %USERPROFILE%\Documents\GitHub\eaglep3\Utilities\DownloadLogsFromS3.py --loco 4062 --day 2017-06-13</v>
      </c>
      <c r="AN108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19:33:08"},{"id":29,"name":"Sharepoint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731</v>
      </c>
      <c r="B109" s="7">
        <v>4061</v>
      </c>
      <c r="C109" s="21" t="s">
        <v>204</v>
      </c>
      <c r="D109" s="21" t="s">
        <v>479</v>
      </c>
      <c r="E109" s="13">
        <v>42899.568564814814</v>
      </c>
      <c r="F109" s="13">
        <v>42899.570231481484</v>
      </c>
      <c r="G109" s="7">
        <v>2</v>
      </c>
      <c r="H109" s="21" t="s">
        <v>833</v>
      </c>
      <c r="I109" s="13">
        <v>42899.585324074076</v>
      </c>
      <c r="J109" s="7">
        <v>0</v>
      </c>
      <c r="K109" s="92" t="str">
        <f t="shared" si="33"/>
        <v>4061/4062</v>
      </c>
      <c r="L109" s="21" t="str">
        <f>VLOOKUP(A109,'Trips&amp;Operators'!$C$1:$G$99999,5,FALSE)</f>
        <v>MCREYNOLDS KYLE</v>
      </c>
      <c r="M109" s="6">
        <f t="shared" si="34"/>
        <v>1.509259259182727E-2</v>
      </c>
      <c r="N109" s="7"/>
      <c r="O109" s="7"/>
      <c r="P109" s="7">
        <f>24*60*SUM($M109:$M110)</f>
        <v>37.183333339635283</v>
      </c>
      <c r="Q109" s="22"/>
      <c r="R109" s="173" t="s">
        <v>1021</v>
      </c>
      <c r="S109" s="176">
        <f>SUM(U109:U110)/IF(AG109="EC",12,1)</f>
        <v>0.91666666666666663</v>
      </c>
      <c r="T109" s="202" t="str">
        <f t="shared" si="35"/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2</v>
      </c>
      <c r="V109" s="203" t="str">
        <f t="shared" si="36"/>
        <v>https://d0f6bd738d7f1b3e5a7ca70fe4ff75f0.us-east-1.aws.found.io/app/kibana#/discover/Steve-Slow-Train-Analysis-(2080s-and-2083s)?_g=(refreshInterval:(display:Off,pause:!f,section:0,value:0),time:(from:'2017-06-13T12:38:44-0600',mode:absolute,to:'2017-06-13T15:02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9" s="204" t="str">
        <f t="shared" si="37"/>
        <v>Y</v>
      </c>
      <c r="X109" s="204">
        <f t="shared" si="45"/>
        <v>1</v>
      </c>
      <c r="Y109" s="204">
        <f t="shared" ref="Y109:Y139" si="48">RIGHT(D109,LEN(D109)-4)/10000</f>
        <v>23.2987</v>
      </c>
      <c r="Z109" s="204">
        <f t="shared" ref="Z109:Z139" si="49">RIGHT(H109,LEN(H109)-4)/10000</f>
        <v>8.6353000000000009</v>
      </c>
      <c r="AA109" s="204">
        <f t="shared" si="40"/>
        <v>14.663399999999999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1"/>
        <v>0174-13</v>
      </c>
      <c r="AE109" s="80" t="str">
        <f t="shared" si="4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109" s="77" t="str">
        <f t="shared" si="43"/>
        <v>"C:\Program Files (x86)\AstroGrep\AstroGrep.exe" /e /r /s /spath="%USERPROFILE%\AppData\Local\Temp\OnboardLogs" /stypes="app*4061*20170613*" /stext=" 20:.+((SYSTEM_STATE.+slice.+state.+changed )|(ment ac)|(multiple cpu faults)|(system.+state.+changed )|(\[timeout)|(PRM\|1\|D)|(kpr)|(kdp)|(train st.+moving)|(\|lc)|(penalty))"</v>
      </c>
      <c r="AG109" s="1" t="str">
        <f t="shared" si="44"/>
        <v>EC</v>
      </c>
      <c r="AH109" s="81" t="str">
        <f t="shared" si="29"/>
        <v>"%USERPROFILE%\Documents\GitHub\eaglep3\Utilities\RefineRTDCRunTimes.py" --tripid 174-13 --locoid 4061 --swversion DE.1.0.9.0 --startMP 204:232987 --initTime 2017-06-13T13:38:44 --startdatetime 2017-06-13T13:41:08 --delay 2 --endMP 204:86353 --enddatetime 2017-06-13T14:02:52 --enforcementcount 0 &gt;&gt;C:\Users\stu\Documents\GitHub\eaglep3-reporting\EC\2017-06-13-refined-times.txt</v>
      </c>
      <c r="AI109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ID","value":"174-13"},{"id":16,"name":"Locomotive ID","value":"4061"},{"id":130,"name":"Impact","value":""},{"id":150,"name":"Time of Event (Mountain Time)","value":"14:02:52"},{"id":151,"name":"Denver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31"/>
        <v>start /low /b %USERPROFILE%\Documents\GitHub\eaglep3\Utilities\DownloadLogsFromS3.py --loco 4061 --day 2017-06-13</v>
      </c>
      <c r="AN109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20:02:52"},{"id":29,"name":"Sharepoint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731</v>
      </c>
      <c r="B110" s="7">
        <v>4061</v>
      </c>
      <c r="C110" s="21" t="s">
        <v>204</v>
      </c>
      <c r="D110" s="21" t="s">
        <v>863</v>
      </c>
      <c r="E110" s="13">
        <v>42899.587581018517</v>
      </c>
      <c r="F110" s="13">
        <v>42899.588356481479</v>
      </c>
      <c r="G110" s="7">
        <v>1</v>
      </c>
      <c r="H110" s="21" t="s">
        <v>511</v>
      </c>
      <c r="I110" s="13">
        <v>42899.599085648151</v>
      </c>
      <c r="J110" s="7">
        <v>0</v>
      </c>
      <c r="K110" s="92" t="str">
        <f t="shared" si="33"/>
        <v>4061/4062</v>
      </c>
      <c r="L110" s="21" t="str">
        <f>VLOOKUP(A110,'Trips&amp;Operators'!$C$1:$G$99999,5,FALSE)</f>
        <v>MCREYNOLDS KYLE</v>
      </c>
      <c r="M110" s="6">
        <f t="shared" si="34"/>
        <v>1.0729166671808343E-2</v>
      </c>
      <c r="N110" s="7"/>
      <c r="O110" s="7"/>
      <c r="P110" s="7"/>
      <c r="Q110" s="22"/>
      <c r="R110" s="173"/>
      <c r="S110" s="176"/>
      <c r="T110" s="202" t="str">
        <f t="shared" si="35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9</v>
      </c>
      <c r="V110" s="203" t="str">
        <f t="shared" si="36"/>
        <v>https://d0f6bd738d7f1b3e5a7ca70fe4ff75f0.us-east-1.aws.found.io/app/kibana#/discover/Steve-Slow-Train-Analysis-(2080s-and-2083s)?_g=(refreshInterval:(display:Off,pause:!f,section:0,value:0),time:(from:'2017-06-13T13:06:07-0600',mode:absolute,to:'2017-06-13T15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0" s="204" t="str">
        <f t="shared" si="37"/>
        <v>Y</v>
      </c>
      <c r="X110" s="204">
        <f t="shared" si="45"/>
        <v>0</v>
      </c>
      <c r="Y110" s="204">
        <f t="shared" si="48"/>
        <v>6.4161000000000001</v>
      </c>
      <c r="Z110" s="204">
        <f t="shared" si="49"/>
        <v>1.67E-2</v>
      </c>
      <c r="AA110" s="204">
        <f t="shared" si="40"/>
        <v>6.3994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1"/>
        <v>0174-13</v>
      </c>
      <c r="AE110" s="80" t="str">
        <f t="shared" si="4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110" s="77" t="str">
        <f t="shared" si="43"/>
        <v>"C:\Program Files (x86)\AstroGrep\AstroGrep.exe" /e /r /s /spath="%USERPROFILE%\AppData\Local\Temp\OnboardLogs" /stypes="app*4061*20170613*" /stext=" 20:.+((SYSTEM_STATE.+slice.+state.+changed )|(ment ac)|(multiple cpu faults)|(system.+state.+changed )|(\[timeout)|(PRM\|1\|D)|(kpr)|(kdp)|(train st.+moving)|(\|lc)|(penalty))"</v>
      </c>
      <c r="AG110" s="1" t="str">
        <f t="shared" si="44"/>
        <v>EC</v>
      </c>
      <c r="AH110" s="81" t="str">
        <f t="shared" si="29"/>
        <v>"%USERPROFILE%\Documents\GitHub\eaglep3\Utilities\RefineRTDCRunTimes.py" --tripid 174-13 --locoid 4061 --swversion DE.1.0.9.0 --startMP 204:64161 --initTime 2017-06-13T14:06:07 --startdatetime 2017-06-13T14:07:14 --delay 1 --endMP 204:167 --enddatetime 2017-06-13T14:22:41 --enforcementcount 0 &gt;&gt;C:\Users\stu\Documents\GitHub\eaglep3-reporting\EC\2017-06-13-refined-times.txt</v>
      </c>
      <c r="AI110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{"issue":{"subject":"","project_id":79,"tracker_id":40,"status_id":1,"priority_id":2,"assigned_to_id":23,"start_date":"2017-06-13","description":"","custom_fields":[{"id":1,"name":"Subdivision","value":"EC"},{"id":4,"name":"Milepost","value":"0.0167"},{"id":17,"name":"Train ID","value":"174-13"},{"id":16,"name":"Locomotive ID","value":"4061"},{"id":130,"name":"Impact","value":""},{"id":150,"name":"Time of Event (Mountain Time)","value":"14:22:41"},{"id":151,"name":"Denver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31"/>
        <v>start /low /b %USERPROFILE%\Documents\GitHub\eaglep3\Utilities\DownloadLogsFromS3.py --loco 4061 --day 2017-06-13</v>
      </c>
      <c r="AN110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723</v>
      </c>
      <c r="B111" s="7">
        <v>4006</v>
      </c>
      <c r="C111" s="21" t="s">
        <v>204</v>
      </c>
      <c r="D111" s="21" t="s">
        <v>349</v>
      </c>
      <c r="E111" s="13">
        <v>42899.538252314815</v>
      </c>
      <c r="F111" s="13">
        <v>42899.541990740741</v>
      </c>
      <c r="G111" s="7">
        <v>1</v>
      </c>
      <c r="H111" s="21" t="s">
        <v>523</v>
      </c>
      <c r="I111" s="13">
        <v>42899.568460648145</v>
      </c>
      <c r="J111" s="7">
        <v>0</v>
      </c>
      <c r="K111" s="92" t="str">
        <f t="shared" si="33"/>
        <v>4005/4006</v>
      </c>
      <c r="L111" s="21" t="str">
        <f>VLOOKUP(A111,'Trips&amp;Operators'!$C$1:$G$99999,5,FALSE)</f>
        <v>STEWART MICHAEL</v>
      </c>
      <c r="M111" s="6">
        <f t="shared" si="34"/>
        <v>2.6469907403225079E-2</v>
      </c>
      <c r="N111" s="7">
        <f t="shared" ref="N111:N117" si="50">24*60*SUM($M111:$M111)</f>
        <v>38.116666660644114</v>
      </c>
      <c r="O111" s="7"/>
      <c r="P111" s="7"/>
      <c r="Q111" s="22"/>
      <c r="R111" s="173"/>
      <c r="S111" s="176">
        <f t="shared" ref="S111:S121" si="51">SUM(U111:U111)/IF(AG111="EC",12,1)</f>
        <v>1</v>
      </c>
      <c r="T111" s="202" t="str">
        <f t="shared" si="35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6"/>
        <v>https://d0f6bd738d7f1b3e5a7ca70fe4ff75f0.us-east-1.aws.found.io/app/kibana#/discover/Steve-Slow-Train-Analysis-(2080s-and-2083s)?_g=(refreshInterval:(display:Off,pause:!f,section:0,value:0),time:(from:'2017-06-13T11:55:05-0600',mode:absolute,to:'2017-06-13T14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1" s="204" t="str">
        <f t="shared" si="37"/>
        <v>N</v>
      </c>
      <c r="X111" s="204">
        <f t="shared" si="45"/>
        <v>1</v>
      </c>
      <c r="Y111" s="204">
        <f t="shared" si="48"/>
        <v>4.4600000000000001E-2</v>
      </c>
      <c r="Z111" s="204">
        <f t="shared" si="49"/>
        <v>23.326799999999999</v>
      </c>
      <c r="AA111" s="204">
        <f t="shared" si="40"/>
        <v>23.2822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1"/>
        <v>0175-13</v>
      </c>
      <c r="AE111" s="80" t="str">
        <f t="shared" si="42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111" s="77" t="str">
        <f t="shared" si="43"/>
        <v>"C:\Program Files (x86)\AstroGrep\AstroGrep.exe" /e /r /s /spath="%USERPROFILE%\AppData\Local\Temp\OnboardLogs" /stypes="app*4006*20170613*" /stext=" 19:.+((SYSTEM_STATE.+slice.+state.+changed )|(ment ac)|(multiple cpu faults)|(system.+state.+changed )|(\[timeout)|(PRM\|1\|D)|(kpr)|(kdp)|(train st.+moving)|(\|lc)|(penalty))"</v>
      </c>
      <c r="AG111" s="1" t="str">
        <f t="shared" si="44"/>
        <v>EC</v>
      </c>
      <c r="AH111" s="81" t="str">
        <f t="shared" si="29"/>
        <v>"%USERPROFILE%\Documents\GitHub\eaglep3\Utilities\RefineRTDCRunTimes.py" --tripid 175-13 --locoid 4006 --swversion DE.1.0.9.0 --startMP 204:446 --initTime 2017-06-13T12:55:05 --startdatetime 2017-06-13T13:00:28 --delay 1 --endMP 204:233268 --enddatetime 2017-06-13T13:38:35 --enforcementcount 0 &gt;&gt;C:\Users\stu\Documents\GitHub\eaglep3-reporting\EC\2017-06-13-refined-times.txt</v>
      </c>
      <c r="AI111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{"issue":{"subject":"","project_id":79,"tracker_id":40,"status_id":1,"priority_id":2,"assigned_to_id":23,"start_date":"2017-06-13","description":"","custom_fields":[{"id":1,"name":"Subdivision","value":"EC"},{"id":4,"name":"Milepost","value":"23.3268"},{"id":17,"name":"Train ID","value":"175-13"},{"id":16,"name":"Locomotive ID","value":"4006"},{"id":130,"name":"Impact","value":""},{"id":150,"name":"Time of Event (Mountain Time)","value":"13:38:35"},{"id":151,"name":"Denver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31"/>
        <v>start /low /b %USERPROFILE%\Documents\GitHub\eaglep3\Utilities\DownloadLogsFromS3.py --loco 4006 --day 2017-06-13</v>
      </c>
      <c r="AN111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734</v>
      </c>
      <c r="B112" s="7">
        <v>4005</v>
      </c>
      <c r="C112" s="21" t="s">
        <v>204</v>
      </c>
      <c r="D112" s="21" t="s">
        <v>556</v>
      </c>
      <c r="E112" s="13">
        <v>42899.579155092593</v>
      </c>
      <c r="F112" s="13">
        <v>42899.581979166665</v>
      </c>
      <c r="G112" s="7">
        <v>1</v>
      </c>
      <c r="H112" s="21" t="s">
        <v>561</v>
      </c>
      <c r="I112" s="13">
        <v>42899.609143518515</v>
      </c>
      <c r="J112" s="7">
        <v>0</v>
      </c>
      <c r="K112" s="92" t="str">
        <f t="shared" si="33"/>
        <v>4005/4006</v>
      </c>
      <c r="L112" s="21" t="str">
        <f>VLOOKUP(A112,'Trips&amp;Operators'!$C$1:$G$99999,5,FALSE)</f>
        <v>STEWART MICHAEL</v>
      </c>
      <c r="M112" s="6">
        <f t="shared" si="34"/>
        <v>2.7164351849933155E-2</v>
      </c>
      <c r="N112" s="7">
        <f t="shared" si="50"/>
        <v>39.116666663903743</v>
      </c>
      <c r="O112" s="7"/>
      <c r="P112" s="7"/>
      <c r="Q112" s="22"/>
      <c r="R112" s="173"/>
      <c r="S112" s="176">
        <f t="shared" si="51"/>
        <v>1</v>
      </c>
      <c r="T112" s="202" t="str">
        <f t="shared" si="35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6"/>
        <v>https://d0f6bd738d7f1b3e5a7ca70fe4ff75f0.us-east-1.aws.found.io/app/kibana#/discover/Steve-Slow-Train-Analysis-(2080s-and-2083s)?_g=(refreshInterval:(display:Off,pause:!f,section:0,value:0),time:(from:'2017-06-13T12:53:59-0600',mode:absolute,to:'2017-06-13T15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2" s="204" t="str">
        <f t="shared" si="37"/>
        <v>N</v>
      </c>
      <c r="X112" s="204">
        <f t="shared" si="45"/>
        <v>1</v>
      </c>
      <c r="Y112" s="204">
        <f t="shared" si="48"/>
        <v>23.296299999999999</v>
      </c>
      <c r="Z112" s="204">
        <f t="shared" si="49"/>
        <v>1.6E-2</v>
      </c>
      <c r="AA112" s="204">
        <f t="shared" si="40"/>
        <v>23.2803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1"/>
        <v>0176-13</v>
      </c>
      <c r="AE112" s="80" t="str">
        <f t="shared" si="4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112" s="77" t="str">
        <f t="shared" si="43"/>
        <v>"C:\Program Files (x86)\AstroGrep\AstroGrep.exe" /e /r /s /spath="%USERPROFILE%\AppData\Local\Temp\OnboardLogs" /stypes="app*4005*20170613*" /stext=" 20:.+((SYSTEM_STATE.+slice.+state.+changed )|(ment ac)|(multiple cpu faults)|(system.+state.+changed )|(\[timeout)|(PRM\|1\|D)|(kpr)|(kdp)|(train st.+moving)|(\|lc)|(penalty))"</v>
      </c>
      <c r="AG112" s="1" t="str">
        <f t="shared" si="44"/>
        <v>EC</v>
      </c>
      <c r="AH112" s="81" t="str">
        <f t="shared" si="29"/>
        <v>"%USERPROFILE%\Documents\GitHub\eaglep3\Utilities\RefineRTDCRunTimes.py" --tripid 176-13 --locoid 4005 --swversion DE.1.0.9.0 --startMP 204:232963 --initTime 2017-06-13T13:53:59 --startdatetime 2017-06-13T13:58:03 --delay 1 --endMP 204:160 --enddatetime 2017-06-13T14:37:10 --enforcementcount 0 &gt;&gt;C:\Users\stu\Documents\GitHub\eaglep3-reporting\EC\2017-06-13-refined-times.txt</v>
      </c>
      <c r="AI112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{"issue":{"subject":"","project_id":79,"tracker_id":40,"status_id":1,"priority_id":2,"assigned_to_id":23,"start_date":"2017-06-13","description":"","custom_fields":[{"id":1,"name":"Subdivision","value":"EC"},{"id":4,"name":"Milepost","value":"0.016"},{"id":17,"name":"Train ID","value":"176-13"},{"id":16,"name":"Locomotive ID","value":"4005"},{"id":130,"name":"Impact","value":""},{"id":150,"name":"Time of Event (Mountain Time)","value":"14:37:10"},{"id":151,"name":"Denver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31"/>
        <v>start /low /b %USERPROFILE%\Documents\GitHub\eaglep3\Utilities\DownloadLogsFromS3.py --loco 4005 --day 2017-06-13</v>
      </c>
      <c r="AN112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725</v>
      </c>
      <c r="B113" s="7">
        <v>4046</v>
      </c>
      <c r="C113" s="21" t="s">
        <v>204</v>
      </c>
      <c r="D113" s="21" t="s">
        <v>345</v>
      </c>
      <c r="E113" s="13">
        <v>42899.548981481479</v>
      </c>
      <c r="F113" s="13">
        <v>42899.552245370367</v>
      </c>
      <c r="G113" s="7">
        <v>1</v>
      </c>
      <c r="H113" s="21" t="s">
        <v>478</v>
      </c>
      <c r="I113" s="13">
        <v>42899.57744212963</v>
      </c>
      <c r="J113" s="7">
        <v>0</v>
      </c>
      <c r="K113" s="92" t="str">
        <f t="shared" si="33"/>
        <v>4045/4046</v>
      </c>
      <c r="L113" s="21" t="str">
        <f>VLOOKUP(A113,'Trips&amp;Operators'!$C$1:$G$99999,5,FALSE)</f>
        <v>NEWELL JAMES</v>
      </c>
      <c r="M113" s="6">
        <f t="shared" si="34"/>
        <v>2.5196759263053536E-2</v>
      </c>
      <c r="N113" s="7">
        <f t="shared" si="50"/>
        <v>36.283333338797092</v>
      </c>
      <c r="O113" s="7"/>
      <c r="P113" s="7"/>
      <c r="Q113" s="22"/>
      <c r="R113" s="173"/>
      <c r="S113" s="176">
        <f t="shared" si="51"/>
        <v>1</v>
      </c>
      <c r="T113" s="202" t="str">
        <f t="shared" si="35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6"/>
        <v>https://d0f6bd738d7f1b3e5a7ca70fe4ff75f0.us-east-1.aws.found.io/app/kibana#/discover/Steve-Slow-Train-Analysis-(2080s-and-2083s)?_g=(refreshInterval:(display:Off,pause:!f,section:0,value:0),time:(from:'2017-06-13T12:10:32-0600',mode:absolute,to:'2017-06-13T14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3" s="204" t="str">
        <f t="shared" si="37"/>
        <v>N</v>
      </c>
      <c r="X113" s="204">
        <f t="shared" si="45"/>
        <v>1</v>
      </c>
      <c r="Y113" s="204">
        <f t="shared" si="48"/>
        <v>4.4900000000000002E-2</v>
      </c>
      <c r="Z113" s="204">
        <f t="shared" si="49"/>
        <v>23.329499999999999</v>
      </c>
      <c r="AA113" s="204">
        <f t="shared" si="40"/>
        <v>23.284600000000001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1"/>
        <v>0177-13</v>
      </c>
      <c r="AE113" s="80" t="str">
        <f t="shared" si="42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113" s="77" t="str">
        <f t="shared" si="43"/>
        <v>"C:\Program Files (x86)\AstroGrep\AstroGrep.exe" /e /r /s /spath="%USERPROFILE%\AppData\Local\Temp\OnboardLogs" /stypes="app*4046*20170613*" /stext=" 19:.+((SYSTEM_STATE.+slice.+state.+changed )|(ment ac)|(multiple cpu faults)|(system.+state.+changed )|(\[timeout)|(PRM\|1\|D)|(kpr)|(kdp)|(train st.+moving)|(\|lc)|(penalty))"</v>
      </c>
      <c r="AG113" s="1" t="str">
        <f t="shared" si="44"/>
        <v>EC</v>
      </c>
      <c r="AH113" s="81" t="str">
        <f t="shared" si="29"/>
        <v>"%USERPROFILE%\Documents\GitHub\eaglep3\Utilities\RefineRTDCRunTimes.py" --tripid 177-13 --locoid 4046 --swversion DE.1.0.9.0 --startMP 204:449 --initTime 2017-06-13T13:10:32 --startdatetime 2017-06-13T13:15:14 --delay 1 --endMP 204:233295 --enddatetime 2017-06-13T13:51:31 --enforcementcount 0 &gt;&gt;C:\Users\stu\Documents\GitHub\eaglep3-reporting\EC\2017-06-13-refined-times.txt</v>
      </c>
      <c r="AI113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{"issue":{"subject":"","project_id":79,"tracker_id":40,"status_id":1,"priority_id":2,"assigned_to_id":23,"start_date":"2017-06-13","description":"","custom_fields":[{"id":1,"name":"Subdivision","value":"EC"},{"id":4,"name":"Milepost","value":"23.3295"},{"id":17,"name":"Train ID","value":"177-13"},{"id":16,"name":"Locomotive ID","value":"4046"},{"id":130,"name":"Impact","value":""},{"id":150,"name":"Time of Event (Mountain Time)","value":"13:51:31"},{"id":151,"name":"Denver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31"/>
        <v>start /low /b %USERPROFILE%\Documents\GitHub\eaglep3\Utilities\DownloadLogsFromS3.py --loco 4046 --day 2017-06-13</v>
      </c>
      <c r="AN113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733</v>
      </c>
      <c r="B114" s="7">
        <v>4045</v>
      </c>
      <c r="C114" s="21" t="s">
        <v>204</v>
      </c>
      <c r="D114" s="21" t="s">
        <v>500</v>
      </c>
      <c r="E114" s="13">
        <v>42899.579039351855</v>
      </c>
      <c r="F114" s="13">
        <v>42899.591851851852</v>
      </c>
      <c r="G114" s="7">
        <v>1</v>
      </c>
      <c r="H114" s="21" t="s">
        <v>472</v>
      </c>
      <c r="I114" s="13">
        <v>42899.617696759262</v>
      </c>
      <c r="J114" s="7">
        <v>0</v>
      </c>
      <c r="K114" s="92" t="str">
        <f t="shared" si="33"/>
        <v>4045/4046</v>
      </c>
      <c r="L114" s="21" t="str">
        <f>VLOOKUP(A114,'Trips&amp;Operators'!$C$1:$G$99999,5,FALSE)</f>
        <v>NEWELL JAMES</v>
      </c>
      <c r="M114" s="6">
        <f t="shared" si="34"/>
        <v>2.584490740991896E-2</v>
      </c>
      <c r="N114" s="7">
        <f t="shared" si="50"/>
        <v>37.216666670283303</v>
      </c>
      <c r="O114" s="7"/>
      <c r="P114" s="7"/>
      <c r="Q114" s="22"/>
      <c r="R114" s="173"/>
      <c r="S114" s="176">
        <f t="shared" si="51"/>
        <v>1</v>
      </c>
      <c r="T114" s="202" t="str">
        <f t="shared" si="35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6"/>
        <v>https://d0f6bd738d7f1b3e5a7ca70fe4ff75f0.us-east-1.aws.found.io/app/kibana#/discover/Steve-Slow-Train-Analysis-(2080s-and-2083s)?_g=(refreshInterval:(display:Off,pause:!f,section:0,value:0),time:(from:'2017-06-13T12:53:49-0600',mode:absolute,to:'2017-06-13T15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4" s="204" t="str">
        <f t="shared" si="37"/>
        <v>N</v>
      </c>
      <c r="X114" s="204">
        <f t="shared" si="45"/>
        <v>1</v>
      </c>
      <c r="Y114" s="204">
        <f t="shared" si="48"/>
        <v>23.299099999999999</v>
      </c>
      <c r="Z114" s="204">
        <f t="shared" si="49"/>
        <v>1.61E-2</v>
      </c>
      <c r="AA114" s="204">
        <f t="shared" si="40"/>
        <v>23.282999999999998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1"/>
        <v>0178-13</v>
      </c>
      <c r="AE114" s="80" t="str">
        <f t="shared" si="4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114" s="77" t="str">
        <f t="shared" si="43"/>
        <v>"C:\Program Files (x86)\AstroGrep\AstroGrep.exe" /e /r /s /spath="%USERPROFILE%\AppData\Local\Temp\OnboardLogs" /stypes="app*4045*20170613*" /stext=" 20:.+((SYSTEM_STATE.+slice.+state.+changed )|(ment ac)|(multiple cpu faults)|(system.+state.+changed )|(\[timeout)|(PRM\|1\|D)|(kpr)|(kdp)|(train st.+moving)|(\|lc)|(penalty))"</v>
      </c>
      <c r="AG114" s="1" t="str">
        <f t="shared" si="44"/>
        <v>EC</v>
      </c>
      <c r="AH114" s="81" t="str">
        <f t="shared" si="29"/>
        <v>"%USERPROFILE%\Documents\GitHub\eaglep3\Utilities\RefineRTDCRunTimes.py" --tripid 178-13 --locoid 4045 --swversion DE.1.0.9.0 --startMP 204:232991 --initTime 2017-06-13T13:53:49 --startdatetime 2017-06-13T14:12:16 --delay 1 --endMP 204:161 --enddatetime 2017-06-13T14:49:29 --enforcementcount 0 &gt;&gt;C:\Users\stu\Documents\GitHub\eaglep3-reporting\EC\2017-06-13-refined-times.txt</v>
      </c>
      <c r="AI114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{"issue":{"subject":"","project_id":79,"tracker_id":40,"status_id":1,"priority_id":2,"assigned_to_id":23,"start_date":"2017-06-13","description":"","custom_fields":[{"id":1,"name":"Subdivision","value":"EC"},{"id":4,"name":"Milepost","value":"0.0161"},{"id":17,"name":"Train ID","value":"178-13"},{"id":16,"name":"Locomotive ID","value":"4045"},{"id":130,"name":"Impact","value":""},{"id":150,"name":"Time of Event (Mountain Time)","value":"14:49:29"},{"id":151,"name":"Denver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31"/>
        <v>start /low /b %USERPROFILE%\Documents\GitHub\eaglep3\Utilities\DownloadLogsFromS3.py --loco 4045 --day 2017-06-13</v>
      </c>
      <c r="AN114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727</v>
      </c>
      <c r="B115" s="7">
        <v>4054</v>
      </c>
      <c r="C115" s="21" t="s">
        <v>204</v>
      </c>
      <c r="D115" s="21" t="s">
        <v>355</v>
      </c>
      <c r="E115" s="13">
        <v>42899.559074074074</v>
      </c>
      <c r="F115" s="13">
        <v>42899.56287037037</v>
      </c>
      <c r="G115" s="7">
        <v>1</v>
      </c>
      <c r="H115" s="21" t="s">
        <v>508</v>
      </c>
      <c r="I115" s="13">
        <v>42899.587430555555</v>
      </c>
      <c r="J115" s="7">
        <v>0</v>
      </c>
      <c r="K115" s="92" t="str">
        <f t="shared" si="33"/>
        <v>4053/4054</v>
      </c>
      <c r="L115" s="21" t="str">
        <f>VLOOKUP(A115,'Trips&amp;Operators'!$C$1:$G$99999,5,FALSE)</f>
        <v>LEVIN SCOTT</v>
      </c>
      <c r="M115" s="6">
        <f t="shared" si="34"/>
        <v>2.4560185185691807E-2</v>
      </c>
      <c r="N115" s="7">
        <f t="shared" si="50"/>
        <v>35.366666667396203</v>
      </c>
      <c r="O115" s="7"/>
      <c r="P115" s="7"/>
      <c r="Q115" s="22"/>
      <c r="R115" s="173"/>
      <c r="S115" s="176">
        <f t="shared" si="51"/>
        <v>1</v>
      </c>
      <c r="T115" s="202" t="str">
        <f t="shared" si="35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6"/>
        <v>https://d0f6bd738d7f1b3e5a7ca70fe4ff75f0.us-east-1.aws.found.io/app/kibana#/discover/Steve-Slow-Train-Analysis-(2080s-and-2083s)?_g=(refreshInterval:(display:Off,pause:!f,section:0,value:0),time:(from:'2017-06-13T12:25:04-0600',mode:absolute,to:'2017-06-13T15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204" t="str">
        <f t="shared" si="37"/>
        <v>N</v>
      </c>
      <c r="X115" s="204">
        <f t="shared" si="45"/>
        <v>1</v>
      </c>
      <c r="Y115" s="204">
        <f t="shared" si="48"/>
        <v>4.5100000000000001E-2</v>
      </c>
      <c r="Z115" s="204">
        <f t="shared" si="49"/>
        <v>23.333400000000001</v>
      </c>
      <c r="AA115" s="204">
        <f t="shared" si="40"/>
        <v>23.2883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1"/>
        <v>0179-13</v>
      </c>
      <c r="AE115" s="80" t="str">
        <f t="shared" si="42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115" s="77" t="str">
        <f t="shared" si="43"/>
        <v>"C:\Program Files (x86)\AstroGrep\AstroGrep.exe" /e /r /s /spath="%USERPROFILE%\AppData\Local\Temp\OnboardLogs" /stypes="app*4054*20170613*" /stext=" 20:.+((SYSTEM_STATE.+slice.+state.+changed )|(ment ac)|(multiple cpu faults)|(system.+state.+changed )|(\[timeout)|(PRM\|1\|D)|(kpr)|(kdp)|(train st.+moving)|(\|lc)|(penalty))"</v>
      </c>
      <c r="AG115" s="1" t="str">
        <f t="shared" si="44"/>
        <v>EC</v>
      </c>
      <c r="AH115" s="81" t="str">
        <f t="shared" si="29"/>
        <v>"%USERPROFILE%\Documents\GitHub\eaglep3\Utilities\RefineRTDCRunTimes.py" --tripid 179-13 --locoid 4054 --swversion DE.1.0.9.0 --startMP 204:451 --initTime 2017-06-13T13:25:04 --startdatetime 2017-06-13T13:30:32 --delay 1 --endMP 204:233334 --enddatetime 2017-06-13T14:05:54 --enforcementcount 0 &gt;&gt;C:\Users\stu\Documents\GitHub\eaglep3-reporting\EC\2017-06-13-refined-times.txt</v>
      </c>
      <c r="AI115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{"issue":{"subject":"","project_id":79,"tracker_id":40,"status_id":1,"priority_id":2,"assigned_to_id":23,"start_date":"2017-06-13","description":"","custom_fields":[{"id":1,"name":"Subdivision","value":"EC"},{"id":4,"name":"Milepost","value":"23.3334"},{"id":17,"name":"Train ID","value":"179-13"},{"id":16,"name":"Locomotive ID","value":"4054"},{"id":130,"name":"Impact","value":""},{"id":150,"name":"Time of Event (Mountain Time)","value":"14:05:54"},{"id":151,"name":"Denver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31"/>
        <v>start /low /b %USERPROFILE%\Documents\GitHub\eaglep3\Utilities\DownloadLogsFromS3.py --loco 4054 --day 2017-06-13</v>
      </c>
      <c r="AN115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738</v>
      </c>
      <c r="B116" s="7">
        <v>4053</v>
      </c>
      <c r="C116" s="21" t="s">
        <v>204</v>
      </c>
      <c r="D116" s="21" t="s">
        <v>878</v>
      </c>
      <c r="E116" s="13">
        <v>42899.600601851853</v>
      </c>
      <c r="F116" s="13">
        <v>42899.602256944447</v>
      </c>
      <c r="G116" s="7">
        <v>1</v>
      </c>
      <c r="H116" s="21" t="s">
        <v>560</v>
      </c>
      <c r="I116" s="13">
        <v>42899.628530092596</v>
      </c>
      <c r="J116" s="7">
        <v>0</v>
      </c>
      <c r="K116" s="92" t="str">
        <f t="shared" si="33"/>
        <v>4053/4054</v>
      </c>
      <c r="L116" s="21" t="str">
        <f>VLOOKUP(A116,'Trips&amp;Operators'!$C$1:$G$99999,5,FALSE)</f>
        <v>LEVIN SCOTT</v>
      </c>
      <c r="M116" s="6">
        <f t="shared" si="34"/>
        <v>2.6273148148902692E-2</v>
      </c>
      <c r="N116" s="7">
        <f t="shared" si="50"/>
        <v>37.833333334419876</v>
      </c>
      <c r="O116" s="7"/>
      <c r="P116" s="7"/>
      <c r="Q116" s="22"/>
      <c r="R116" s="173"/>
      <c r="S116" s="176">
        <f t="shared" si="51"/>
        <v>1</v>
      </c>
      <c r="T116" s="202" t="str">
        <f t="shared" si="35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6"/>
        <v>https://d0f6bd738d7f1b3e5a7ca70fe4ff75f0.us-east-1.aws.found.io/app/kibana#/discover/Steve-Slow-Train-Analysis-(2080s-and-2083s)?_g=(refreshInterval:(display:Off,pause:!f,section:0,value:0),time:(from:'2017-06-13T13:24:52-0600',mode:absolute,to:'2017-06-13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204" t="str">
        <f t="shared" si="37"/>
        <v>N</v>
      </c>
      <c r="X116" s="204">
        <f t="shared" si="45"/>
        <v>1</v>
      </c>
      <c r="Y116" s="204">
        <f t="shared" si="48"/>
        <v>23.3034</v>
      </c>
      <c r="Z116" s="204">
        <f t="shared" si="49"/>
        <v>1.38E-2</v>
      </c>
      <c r="AA116" s="204">
        <f t="shared" si="40"/>
        <v>23.2896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1"/>
        <v>0180-13</v>
      </c>
      <c r="AE116" s="80" t="str">
        <f t="shared" si="4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116" s="77" t="str">
        <f t="shared" si="43"/>
        <v>"C:\Program Files (x86)\AstroGrep\AstroGrep.exe" /e /r /s /spath="%USERPROFILE%\AppData\Local\Temp\OnboardLogs" /stypes="app*4053*20170613*" /stext=" 21:.+((SYSTEM_STATE.+slice.+state.+changed )|(ment ac)|(multiple cpu faults)|(system.+state.+changed )|(\[timeout)|(PRM\|1\|D)|(kpr)|(kdp)|(train st.+moving)|(\|lc)|(penalty))"</v>
      </c>
      <c r="AG116" s="1" t="str">
        <f t="shared" si="44"/>
        <v>EC</v>
      </c>
      <c r="AH116" s="81" t="str">
        <f t="shared" si="29"/>
        <v>"%USERPROFILE%\Documents\GitHub\eaglep3\Utilities\RefineRTDCRunTimes.py" --tripid 180-13 --locoid 4053 --swversion DE.1.0.9.0 --startMP 204:233034 --initTime 2017-06-13T14:24:52 --startdatetime 2017-06-13T14:27:15 --delay 1 --endMP 204:138 --enddatetime 2017-06-13T15:05:05 --enforcementcount 0 &gt;&gt;C:\Users\stu\Documents\GitHub\eaglep3-reporting\EC\2017-06-13-refined-times.txt</v>
      </c>
      <c r="AI116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{"issue":{"subject":"","project_id":79,"tracker_id":40,"status_id":1,"priority_id":2,"assigned_to_id":23,"start_date":"2017-06-13","description":"","custom_fields":[{"id":1,"name":"Subdivision","value":"EC"},{"id":4,"name":"Milepost","value":"0.0138"},{"id":17,"name":"Train ID","value":"180-13"},{"id":16,"name":"Locomotive ID","value":"4053"},{"id":130,"name":"Impact","value":""},{"id":150,"name":"Time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31"/>
        <v>start /low /b %USERPROFILE%\Documents\GitHub\eaglep3\Utilities\DownloadLogsFromS3.py --loco 4053 --day 2017-06-13</v>
      </c>
      <c r="AN116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732</v>
      </c>
      <c r="B117" s="7">
        <v>4032</v>
      </c>
      <c r="C117" s="21" t="s">
        <v>204</v>
      </c>
      <c r="D117" s="21" t="s">
        <v>394</v>
      </c>
      <c r="E117" s="13">
        <v>42899.570636574077</v>
      </c>
      <c r="F117" s="13">
        <v>42899.573078703703</v>
      </c>
      <c r="G117" s="7">
        <v>1</v>
      </c>
      <c r="H117" s="21" t="s">
        <v>481</v>
      </c>
      <c r="I117" s="13">
        <v>42899.598032407404</v>
      </c>
      <c r="J117" s="7">
        <v>0</v>
      </c>
      <c r="K117" s="92" t="str">
        <f t="shared" si="33"/>
        <v>4031/4032</v>
      </c>
      <c r="L117" s="21" t="str">
        <f>VLOOKUP(A117,'Trips&amp;Operators'!$C$1:$G$99999,5,FALSE)</f>
        <v>ROBINSON KADDIBA</v>
      </c>
      <c r="M117" s="6">
        <f t="shared" si="34"/>
        <v>2.495370370161254E-2</v>
      </c>
      <c r="N117" s="7">
        <f t="shared" si="50"/>
        <v>35.933333330322057</v>
      </c>
      <c r="O117" s="7"/>
      <c r="P117" s="7"/>
      <c r="Q117" s="22"/>
      <c r="R117" s="173"/>
      <c r="S117" s="176">
        <f t="shared" si="51"/>
        <v>1</v>
      </c>
      <c r="T117" s="202" t="str">
        <f t="shared" si="35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6"/>
        <v>https://d0f6bd738d7f1b3e5a7ca70fe4ff75f0.us-east-1.aws.found.io/app/kibana#/discover/Steve-Slow-Train-Analysis-(2080s-and-2083s)?_g=(refreshInterval:(display:Off,pause:!f,section:0,value:0),time:(from:'2017-06-13T12:41:43-0600',mode:absolute,to:'2017-06-13T15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204" t="str">
        <f t="shared" si="37"/>
        <v>N</v>
      </c>
      <c r="X117" s="204">
        <f t="shared" si="45"/>
        <v>1</v>
      </c>
      <c r="Y117" s="204">
        <f t="shared" si="48"/>
        <v>4.6199999999999998E-2</v>
      </c>
      <c r="Z117" s="204">
        <f t="shared" si="49"/>
        <v>23.333100000000002</v>
      </c>
      <c r="AA117" s="204">
        <f t="shared" si="40"/>
        <v>23.286900000000003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1"/>
        <v>0181-13</v>
      </c>
      <c r="AE117" s="80" t="str">
        <f t="shared" si="42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117" s="77" t="str">
        <f t="shared" si="43"/>
        <v>"C:\Program Files (x86)\AstroGrep\AstroGrep.exe" /e /r /s /spath="%USERPROFILE%\AppData\Local\Temp\OnboardLogs" /stypes="app*4032*20170613*" /stext=" 20:.+((SYSTEM_STATE.+slice.+state.+changed )|(ment ac)|(multiple cpu faults)|(system.+state.+changed )|(\[timeout)|(PRM\|1\|D)|(kpr)|(kdp)|(train st.+moving)|(\|lc)|(penalty))"</v>
      </c>
      <c r="AG117" s="1" t="str">
        <f t="shared" si="44"/>
        <v>EC</v>
      </c>
      <c r="AH117" s="81" t="str">
        <f t="shared" si="29"/>
        <v>"%USERPROFILE%\Documents\GitHub\eaglep3\Utilities\RefineRTDCRunTimes.py" --tripid 181-13 --locoid 4032 --swversion DE.1.0.9.0 --startMP 204:462 --initTime 2017-06-13T13:41:43 --startdatetime 2017-06-13T13:45:14 --delay 1 --endMP 204:233331 --enddatetime 2017-06-13T14:21:10 --enforcementcount 0 &gt;&gt;C:\Users\stu\Documents\GitHub\eaglep3-reporting\EC\2017-06-13-refined-times.txt</v>
      </c>
      <c r="AI117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{"issue":{"subject":"","project_id":79,"tracker_id":40,"status_id":1,"priority_id":2,"assigned_to_id":23,"start_date":"2017-06-13","description":"","custom_fields":[{"id":1,"name":"Subdivision","value":"EC"},{"id":4,"name":"Milepost","value":"23.3331"},{"id":17,"name":"Train ID","value":"181-13"},{"id":16,"name":"Locomotive ID","value":"4032"},{"id":130,"name":"Impact","value":""},{"id":150,"name":"Time of Event (Mountain Time)","value":"14:21:10"},{"id":151,"name":"Denver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31"/>
        <v>start /low /b %USERPROFILE%\Documents\GitHub\eaglep3\Utilities\DownloadLogsFromS3.py --loco 4032 --day 2017-06-13</v>
      </c>
      <c r="AN117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606</v>
      </c>
      <c r="B118" s="7">
        <v>4031</v>
      </c>
      <c r="C118" s="21" t="s">
        <v>204</v>
      </c>
      <c r="D118" s="21" t="s">
        <v>879</v>
      </c>
      <c r="E118" s="13">
        <v>42899.610324074078</v>
      </c>
      <c r="F118" s="13">
        <v>42899.685578703706</v>
      </c>
      <c r="G118" s="7">
        <v>1</v>
      </c>
      <c r="H118" s="21" t="s">
        <v>880</v>
      </c>
      <c r="I118" s="13">
        <v>42899.714097222219</v>
      </c>
      <c r="J118" s="7">
        <v>0</v>
      </c>
      <c r="K118" s="92" t="str">
        <f t="shared" si="33"/>
        <v>4031/4032</v>
      </c>
      <c r="L118" s="21" t="str">
        <f>VLOOKUP(A118,'Trips&amp;Operators'!$C$1:$G$99999,5,FALSE)</f>
        <v>ROBINSON KADDIBA</v>
      </c>
      <c r="M118" s="6">
        <f t="shared" si="34"/>
        <v>2.8518518513010349E-2</v>
      </c>
      <c r="N118" s="7"/>
      <c r="O118" s="7"/>
      <c r="P118" s="7">
        <f>24*60*SUM($M118:$M118)</f>
        <v>41.066666658734903</v>
      </c>
      <c r="Q118" s="22"/>
      <c r="R118" s="173" t="s">
        <v>1018</v>
      </c>
      <c r="S118" s="176">
        <f t="shared" si="51"/>
        <v>0.91666666666666663</v>
      </c>
      <c r="T118" s="202" t="str">
        <f t="shared" si="35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11</v>
      </c>
      <c r="V118" s="203" t="str">
        <f t="shared" si="36"/>
        <v>https://d0f6bd738d7f1b3e5a7ca70fe4ff75f0.us-east-1.aws.found.io/app/kibana#/discover/Steve-Slow-Train-Analysis-(2080s-and-2083s)?_g=(refreshInterval:(display:Off,pause:!f,section:0,value:0),time:(from:'2017-06-13T13:38:52-0600',mode:absolute,to:'2017-06-13T18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204" t="str">
        <f t="shared" si="37"/>
        <v>Y</v>
      </c>
      <c r="X118" s="204">
        <f t="shared" si="45"/>
        <v>1</v>
      </c>
      <c r="Y118" s="204">
        <f t="shared" si="48"/>
        <v>23.302499999999998</v>
      </c>
      <c r="Z118" s="204">
        <f t="shared" si="49"/>
        <v>2.7315</v>
      </c>
      <c r="AA118" s="204">
        <f t="shared" si="40"/>
        <v>20.570999999999998</v>
      </c>
      <c r="AB118" s="57" t="str">
        <f>VLOOKUP(A118,Enforcements!$C$7:$K$13,8,0)</f>
        <v>Bulletin (2)</v>
      </c>
      <c r="AC118" s="53" t="str">
        <f>VLOOKUP(A118,Enforcements!$C$7:$E$13,3,0)</f>
        <v>GRADE CROSSING</v>
      </c>
      <c r="AD118" s="54" t="str">
        <f t="shared" si="41"/>
        <v>0182-13</v>
      </c>
      <c r="AE118" s="80" t="str">
        <f t="shared" si="4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118" s="77" t="str">
        <f t="shared" si="43"/>
        <v>"C:\Program Files (x86)\AstroGrep\AstroGrep.exe" /e /r /s /spath="%USERPROFILE%\AppData\Local\Temp\OnboardLogs" /stypes="app*4031*20170613*" /stext=" 23:.+((SYSTEM_STATE.+slice.+state.+changed )|(ment ac)|(multiple cpu faults)|(system.+state.+changed )|(\[timeout)|(PRM\|1\|D)|(kpr)|(kdp)|(train st.+moving)|(\|lc)|(penalty))"</v>
      </c>
      <c r="AG118" s="1" t="str">
        <f t="shared" si="44"/>
        <v>EC</v>
      </c>
      <c r="AH118" s="81" t="str">
        <f t="shared" si="29"/>
        <v>"%USERPROFILE%\Documents\GitHub\eaglep3\Utilities\RefineRTDCRunTimes.py" --tripid 182-13 --locoid 4031 --swversion DE.1.0.9.0 --startMP 204:233025 --initTime 2017-06-13T14:38:52 --startdatetime 2017-06-13T16:27:14 --delay 1 --endMP 204:27315 --enddatetime 2017-06-13T17:08:18 --enforcementcount 0 &gt;&gt;C:\Users\stu\Documents\GitHub\eaglep3-reporting\EC\2017-06-13-refined-times.txt</v>
      </c>
      <c r="AI118" s="99" t="str">
        <f t="shared" si="30"/>
        <v>echo {"issue":{"subject":"Cut out due to multiple early arrival enforcements (system was assuming worst-case arrival time)","project_id":79,"tracker_id":40,"status_id":1,"priority_id":2,"assigned_to_id":23,"start_date":"2017-06-13","description":"","custom_fields":[{"id":1,"name":"Subdivision","value":"EC"},{"id":4,"name":"Milepost","value":"2.7315"},{"id":17,"name":"Train ID","value":"182-13"},{"id":16,"name":"Locomotive ID","value":"4031"},{"id":130,"name":"Impact","value":""},{"id":150,"name":"Time of Event (Mountain Time)","value":"17:08:18"},{"id":151,"name":"Denver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31"/>
        <v>start /low /b %USERPROFILE%\Documents\GitHub\eaglep3\Utilities\DownloadLogsFromS3.py --loco 4031 --day 2017-06-13</v>
      </c>
      <c r="AN118" s="154" t="str">
        <f t="shared" si="32"/>
        <v>echo {"issue":{"subject":"Cut out due to multiple early arrival enforcements (system was assuming worst-case arrival time)","project_id":30,"tracker_id":4,"status_id":1,"priority_id":1,"assigned_to_id":10,"start_date":"2017-06-13","description":"","custom_fields":[{"id":30,"name":"Category","value":"Issue"},{"id":3,"name":"Functional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605</v>
      </c>
      <c r="B119" s="7">
        <v>4042</v>
      </c>
      <c r="C119" s="21" t="s">
        <v>204</v>
      </c>
      <c r="D119" s="21" t="s">
        <v>503</v>
      </c>
      <c r="E119" s="13">
        <v>42899.577106481483</v>
      </c>
      <c r="F119" s="13">
        <v>42899.583657407406</v>
      </c>
      <c r="G119" s="7">
        <v>1</v>
      </c>
      <c r="H119" s="21" t="s">
        <v>881</v>
      </c>
      <c r="I119" s="13">
        <v>42899.610034722224</v>
      </c>
      <c r="J119" s="7">
        <v>0</v>
      </c>
      <c r="K119" s="92" t="str">
        <f t="shared" si="33"/>
        <v>4041/4042</v>
      </c>
      <c r="L119" s="21" t="str">
        <f>VLOOKUP(A119,'Trips&amp;Operators'!$C$1:$G$99999,5,FALSE)</f>
        <v>BRANDNER MELINDA</v>
      </c>
      <c r="M119" s="6">
        <f t="shared" si="34"/>
        <v>2.6377314818091691E-2</v>
      </c>
      <c r="N119" s="7">
        <f>24*60*SUM($M119:$M119)</f>
        <v>37.983333338052034</v>
      </c>
      <c r="O119" s="7"/>
      <c r="P119" s="7"/>
      <c r="Q119" s="22"/>
      <c r="R119" s="173"/>
      <c r="S119" s="176">
        <f t="shared" si="51"/>
        <v>1</v>
      </c>
      <c r="T119" s="202" t="str">
        <f t="shared" si="35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6"/>
        <v>https://d0f6bd738d7f1b3e5a7ca70fe4ff75f0.us-east-1.aws.found.io/app/kibana#/discover/Steve-Slow-Train-Analysis-(2080s-and-2083s)?_g=(refreshInterval:(display:Off,pause:!f,section:0,value:0),time:(from:'2017-06-13T12:51:02-0600',mode:absolute,to:'2017-06-13T15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204" t="str">
        <f t="shared" si="37"/>
        <v>N</v>
      </c>
      <c r="X119" s="204">
        <f t="shared" si="45"/>
        <v>1</v>
      </c>
      <c r="Y119" s="204">
        <f t="shared" si="48"/>
        <v>4.6899999999999997E-2</v>
      </c>
      <c r="Z119" s="204">
        <f t="shared" si="49"/>
        <v>23.324300000000001</v>
      </c>
      <c r="AA119" s="204">
        <f t="shared" si="40"/>
        <v>23.2774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1"/>
        <v>0183-13</v>
      </c>
      <c r="AE119" s="80" t="str">
        <f t="shared" si="42"/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AF119" s="77" t="str">
        <f t="shared" si="43"/>
        <v>"C:\Program Files (x86)\AstroGrep\AstroGrep.exe" /e /r /s /spath="%USERPROFILE%\AppData\Local\Temp\OnboardLogs" /stypes="app*4042*20170613*" /stext=" 20:.+((SYSTEM_STATE.+slice.+state.+changed )|(ment ac)|(multiple cpu faults)|(system.+state.+changed )|(\[timeout)|(PRM\|1\|D)|(kpr)|(kdp)|(train st.+moving)|(\|lc)|(penalty))"</v>
      </c>
      <c r="AG119" s="1" t="str">
        <f t="shared" si="44"/>
        <v>EC</v>
      </c>
      <c r="AH119" s="81" t="str">
        <f t="shared" si="29"/>
        <v>"%USERPROFILE%\Documents\GitHub\eaglep3\Utilities\RefineRTDCRunTimes.py" --tripid 183-13 --locoid 4042 --swversion DE.1.0.9.0 --startMP 204:469 --initTime 2017-06-13T13:51:02 --startdatetime 2017-06-13T14:00:28 --delay 1 --endMP 204:233243 --enddatetime 2017-06-13T14:38:27 --enforcementcount 0 &gt;&gt;C:\Users\stu\Documents\GitHub\eaglep3-reporting\EC\2017-06-13-refined-times.txt</v>
      </c>
      <c r="AI119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{"issue":{"subject":"","project_id":79,"tracker_id":40,"status_id":1,"priority_id":2,"assigned_to_id":23,"start_date":"2017-06-13","description":"","custom_fields":[{"id":1,"name":"Subdivision","value":"EC"},{"id":4,"name":"Milepost","value":"23.3243"},{"id":17,"name":"Train ID","value":"183-13"},{"id":16,"name":"Locomotive ID","value":"4042"},{"id":130,"name":"Impact","value":""},{"id":150,"name":"Time of Event (Mountain Time)","value":"14:38:27"},{"id":151,"name":"Denver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31"/>
        <v>start /low /b %USERPROFILE%\Documents\GitHub\eaglep3\Utilities\DownloadLogsFromS3.py --loco 4042 --day 2017-06-13</v>
      </c>
      <c r="AN119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741</v>
      </c>
      <c r="B120" s="7">
        <v>4041</v>
      </c>
      <c r="C120" s="21" t="s">
        <v>204</v>
      </c>
      <c r="D120" s="21" t="s">
        <v>882</v>
      </c>
      <c r="E120" s="13">
        <v>42899.619444444441</v>
      </c>
      <c r="F120" s="13">
        <v>42899.623182870368</v>
      </c>
      <c r="G120" s="7">
        <v>2</v>
      </c>
      <c r="H120" s="21" t="s">
        <v>883</v>
      </c>
      <c r="I120" s="13">
        <v>42899.650081018517</v>
      </c>
      <c r="J120" s="7">
        <v>0</v>
      </c>
      <c r="K120" s="92" t="str">
        <f t="shared" si="33"/>
        <v>4041/4042</v>
      </c>
      <c r="L120" s="21" t="str">
        <f>VLOOKUP(A120,'Trips&amp;Operators'!$C$1:$G$99999,5,FALSE)</f>
        <v>BRANDNER MELINDA</v>
      </c>
      <c r="M120" s="6">
        <f t="shared" si="34"/>
        <v>2.6898148149484769E-2</v>
      </c>
      <c r="N120" s="7">
        <f>24*60*SUM($M120:$M120)</f>
        <v>38.733333335258067</v>
      </c>
      <c r="O120" s="7"/>
      <c r="P120" s="7"/>
      <c r="Q120" s="22"/>
      <c r="R120" s="173"/>
      <c r="S120" s="176">
        <f t="shared" si="51"/>
        <v>1</v>
      </c>
      <c r="T120" s="202" t="str">
        <f t="shared" si="35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6"/>
        <v>https://d0f6bd738d7f1b3e5a7ca70fe4ff75f0.us-east-1.aws.found.io/app/kibana#/discover/Steve-Slow-Train-Analysis-(2080s-and-2083s)?_g=(refreshInterval:(display:Off,pause:!f,section:0,value:0),time:(from:'2017-06-13T13:52:00-0600',mode:absolute,to:'2017-06-13T16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204" t="str">
        <f t="shared" si="37"/>
        <v>N</v>
      </c>
      <c r="X120" s="204">
        <f t="shared" si="45"/>
        <v>1</v>
      </c>
      <c r="Y120" s="204">
        <f t="shared" si="48"/>
        <v>23.292300000000001</v>
      </c>
      <c r="Z120" s="204">
        <f t="shared" si="49"/>
        <v>1.29E-2</v>
      </c>
      <c r="AA120" s="204">
        <f t="shared" si="40"/>
        <v>23.279400000000003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1"/>
        <v>0184-13</v>
      </c>
      <c r="AE120" s="80" t="str">
        <f t="shared" si="42"/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AF120" s="77" t="str">
        <f t="shared" si="43"/>
        <v>"C:\Program Files (x86)\AstroGrep\AstroGrep.exe" /e /r /s /spath="%USERPROFILE%\AppData\Local\Temp\OnboardLogs" /stypes="app*4041*20170613*" /stext=" 21:.+((SYSTEM_STATE.+slice.+state.+changed )|(ment ac)|(multiple cpu faults)|(system.+state.+changed )|(\[timeout)|(PRM\|1\|D)|(kpr)|(kdp)|(train st.+moving)|(\|lc)|(penalty))"</v>
      </c>
      <c r="AG120" s="1" t="str">
        <f t="shared" si="44"/>
        <v>EC</v>
      </c>
      <c r="AH120" s="81" t="str">
        <f t="shared" si="29"/>
        <v>"%USERPROFILE%\Documents\GitHub\eaglep3\Utilities\RefineRTDCRunTimes.py" --tripid 184-13 --locoid 4041 --swversion DE.1.0.9.0 --startMP 204:232923 --initTime 2017-06-13T14:52:00 --startdatetime 2017-06-13T14:57:23 --delay 2 --endMP 204:129 --enddatetime 2017-06-13T15:36:07 --enforcementcount 0 &gt;&gt;C:\Users\stu\Documents\GitHub\eaglep3-reporting\EC\2017-06-13-refined-times.txt</v>
      </c>
      <c r="AI120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{"issue":{"subject":"","project_id":79,"tracker_id":40,"status_id":1,"priority_id":2,"assigned_to_id":23,"start_date":"2017-06-13","description":"","custom_fields":[{"id":1,"name":"Subdivision","value":"EC"},{"id":4,"name":"Milepost","value":"0.0129"},{"id":17,"name":"Train ID","value":"184-13"},{"id":16,"name":"Locomotive ID","value":"4041"},{"id":130,"name":"Impact","value":""},{"id":150,"name":"Time of Event (Mountain Time)","value":"15:36:07"},{"id":151,"name":"Denver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31"/>
        <v>start /low /b %USERPROFILE%\Documents\GitHub\eaglep3\Utilities\DownloadLogsFromS3.py --loco 4041 --day 2017-06-13</v>
      </c>
      <c r="AN120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735</v>
      </c>
      <c r="B121" s="7">
        <v>4002</v>
      </c>
      <c r="C121" s="21" t="s">
        <v>204</v>
      </c>
      <c r="D121" s="21" t="s">
        <v>884</v>
      </c>
      <c r="E121" s="13">
        <v>42899.59207175926</v>
      </c>
      <c r="F121" s="13">
        <v>42899.594027777777</v>
      </c>
      <c r="G121" s="7">
        <v>1</v>
      </c>
      <c r="H121" s="21" t="s">
        <v>395</v>
      </c>
      <c r="I121" s="13">
        <v>42899.619340277779</v>
      </c>
      <c r="J121" s="7">
        <v>0</v>
      </c>
      <c r="K121" s="92" t="str">
        <f t="shared" si="33"/>
        <v>4001/4002</v>
      </c>
      <c r="L121" s="21" t="str">
        <f>VLOOKUP(A121,'Trips&amp;Operators'!$C$1:$G$99999,5,FALSE)</f>
        <v>DAVIS MICHAEL</v>
      </c>
      <c r="M121" s="6">
        <f t="shared" si="34"/>
        <v>2.531250000174623E-2</v>
      </c>
      <c r="N121" s="7">
        <f>24*60*SUM($M121:$M121)</f>
        <v>36.450000002514571</v>
      </c>
      <c r="O121" s="7"/>
      <c r="P121" s="7"/>
      <c r="Q121" s="22"/>
      <c r="R121" s="173"/>
      <c r="S121" s="176">
        <f t="shared" si="51"/>
        <v>1</v>
      </c>
      <c r="T121" s="202" t="str">
        <f t="shared" si="35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6"/>
        <v>https://d0f6bd738d7f1b3e5a7ca70fe4ff75f0.us-east-1.aws.found.io/app/kibana#/discover/Steve-Slow-Train-Analysis-(2080s-and-2083s)?_g=(refreshInterval:(display:Off,pause:!f,section:0,value:0),time:(from:'2017-06-13T13:12:35-0600',mode:absolute,to:'2017-06-13T15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204" t="str">
        <f t="shared" si="37"/>
        <v>N</v>
      </c>
      <c r="X121" s="204">
        <f t="shared" si="45"/>
        <v>1</v>
      </c>
      <c r="Y121" s="204">
        <f t="shared" si="48"/>
        <v>4.3299999999999998E-2</v>
      </c>
      <c r="Z121" s="204">
        <f t="shared" si="49"/>
        <v>23.3293</v>
      </c>
      <c r="AA121" s="204">
        <f t="shared" si="40"/>
        <v>23.286000000000001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1"/>
        <v>0185-13</v>
      </c>
      <c r="AE121" s="80" t="str">
        <f t="shared" si="42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121" s="77" t="str">
        <f t="shared" si="43"/>
        <v>"C:\Program Files (x86)\AstroGrep\AstroGrep.exe" /e /r /s /spath="%USERPROFILE%\AppData\Local\Temp\OnboardLogs" /stypes="app*4002*20170613*" /stext=" 20:.+((SYSTEM_STATE.+slice.+state.+changed )|(ment ac)|(multiple cpu faults)|(system.+state.+changed )|(\[timeout)|(PRM\|1\|D)|(kpr)|(kdp)|(train st.+moving)|(\|lc)|(penalty))"</v>
      </c>
      <c r="AG121" s="1" t="str">
        <f t="shared" si="44"/>
        <v>EC</v>
      </c>
      <c r="AH121" s="81" t="str">
        <f t="shared" si="29"/>
        <v>"%USERPROFILE%\Documents\GitHub\eaglep3\Utilities\RefineRTDCRunTimes.py" --tripid 185-13 --locoid 4002 --swversion DE.1.0.9.0 --startMP 204:433 --initTime 2017-06-13T14:12:35 --startdatetime 2017-06-13T14:15:24 --delay 1 --endMP 204:233293 --enddatetime 2017-06-13T14:51:51 --enforcementcount 0 &gt;&gt;C:\Users\stu\Documents\GitHub\eaglep3-reporting\EC\2017-06-13-refined-times.txt</v>
      </c>
      <c r="AI121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{"issue":{"subject":"","project_id":79,"tracker_id":40,"status_id":1,"priority_id":2,"assigned_to_id":23,"start_date":"2017-06-13","description":"","custom_fields":[{"id":1,"name":"Subdivision","value":"EC"},{"id":4,"name":"Milepost","value":"23.3293"},{"id":17,"name":"Train ID","value":"185-13"},{"id":16,"name":"Locomotive ID","value":"4002"},{"id":130,"name":"Impact","value":""},{"id":150,"name":"Time of Event (Mountain Time)","value":"14:51:51"},{"id":151,"name":"Denver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31"/>
        <v>start /low /b %USERPROFILE%\Documents\GitHub\eaglep3\Utilities\DownloadLogsFromS3.py --loco 4002 --day 2017-06-13</v>
      </c>
      <c r="AN121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743</v>
      </c>
      <c r="B122" s="7">
        <v>4001</v>
      </c>
      <c r="C122" s="21" t="s">
        <v>204</v>
      </c>
      <c r="D122" s="21" t="s">
        <v>500</v>
      </c>
      <c r="E122" s="13">
        <v>42899.630243055559</v>
      </c>
      <c r="F122" s="13">
        <v>42899.631215277775</v>
      </c>
      <c r="G122" s="7">
        <v>1</v>
      </c>
      <c r="H122" s="21" t="s">
        <v>833</v>
      </c>
      <c r="I122" s="13">
        <v>42899.648460648146</v>
      </c>
      <c r="J122" s="7">
        <v>0</v>
      </c>
      <c r="K122" s="92" t="str">
        <f t="shared" si="33"/>
        <v>4001/4002</v>
      </c>
      <c r="L122" s="21" t="str">
        <f>VLOOKUP(A122,'Trips&amp;Operators'!$C$1:$G$99999,5,FALSE)</f>
        <v>DAVIS MICHAEL</v>
      </c>
      <c r="M122" s="6">
        <f t="shared" si="34"/>
        <v>1.7245370370801538E-2</v>
      </c>
      <c r="N122" s="7"/>
      <c r="O122" s="7"/>
      <c r="P122" s="7">
        <f>24*60*SUM($M122:$M123)</f>
        <v>41.583333330927417</v>
      </c>
      <c r="Q122" s="22"/>
      <c r="R122" s="173" t="s">
        <v>1021</v>
      </c>
      <c r="S122" s="176">
        <f>SUM(U122:U123)/IF(AG122="EC",12,1)</f>
        <v>0.91666666666666663</v>
      </c>
      <c r="T122" s="202" t="str">
        <f t="shared" si="35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2</v>
      </c>
      <c r="V122" s="203" t="str">
        <f t="shared" si="36"/>
        <v>https://d0f6bd738d7f1b3e5a7ca70fe4ff75f0.us-east-1.aws.found.io/app/kibana#/discover/Steve-Slow-Train-Analysis-(2080s-and-2083s)?_g=(refreshInterval:(display:Off,pause:!f,section:0,value:0),time:(from:'2017-06-13T14:07:33-0600',mode:absolute,to:'2017-06-13T16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204" t="str">
        <f t="shared" si="37"/>
        <v>Y</v>
      </c>
      <c r="X122" s="204">
        <f t="shared" si="45"/>
        <v>1</v>
      </c>
      <c r="Y122" s="204">
        <f t="shared" si="48"/>
        <v>23.299099999999999</v>
      </c>
      <c r="Z122" s="204">
        <f t="shared" si="49"/>
        <v>8.6353000000000009</v>
      </c>
      <c r="AA122" s="204">
        <f t="shared" si="40"/>
        <v>14.663799999999998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41"/>
        <v>0186-13</v>
      </c>
      <c r="AE122" s="80" t="str">
        <f t="shared" si="4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122" s="77" t="str">
        <f t="shared" si="43"/>
        <v>"C:\Program Files (x86)\AstroGrep\AstroGrep.exe" /e /r /s /spath="%USERPROFILE%\AppData\Local\Temp\OnboardLogs" /stypes="app*4001*20170613*" /stext=" 21:.+((SYSTEM_STATE.+slice.+state.+changed )|(ment ac)|(multiple cpu faults)|(system.+state.+changed )|(\[timeout)|(PRM\|1\|D)|(kpr)|(kdp)|(train st.+moving)|(\|lc)|(penalty))"</v>
      </c>
      <c r="AG122" s="1" t="str">
        <f t="shared" si="44"/>
        <v>EC</v>
      </c>
      <c r="AH122" s="81" t="str">
        <f t="shared" si="29"/>
        <v>"%USERPROFILE%\Documents\GitHub\eaglep3\Utilities\RefineRTDCRunTimes.py" --tripid 186-13 --locoid 4001 --swversion DE.1.0.9.0 --startMP 204:232991 --initTime 2017-06-13T15:07:33 --startdatetime 2017-06-13T15:08:57 --delay 1 --endMP 204:86353 --enddatetime 2017-06-13T15:33:47 --enforcementcount 0 &gt;&gt;C:\Users\stu\Documents\GitHub\eaglep3-reporting\EC\2017-06-13-refined-times.txt</v>
      </c>
      <c r="AI122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ID","value":"186-13"},{"id":16,"name":"Locomotive ID","value":"4001"},{"id":130,"name":"Impact","value":""},{"id":150,"name":"Time of Event (Mountain Time)","value":"15:33:47"},{"id":151,"name":"Denver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31"/>
        <v>start /low /b %USERPROFILE%\Documents\GitHub\eaglep3\Utilities\DownloadLogsFromS3.py --loco 4001 --day 2017-06-13</v>
      </c>
      <c r="AN122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743</v>
      </c>
      <c r="B123" s="7">
        <v>4001</v>
      </c>
      <c r="C123" s="21" t="s">
        <v>204</v>
      </c>
      <c r="D123" s="21" t="s">
        <v>868</v>
      </c>
      <c r="E123" s="13">
        <v>42899.65320601852</v>
      </c>
      <c r="F123" s="13">
        <v>42899.653865740744</v>
      </c>
      <c r="G123" s="7">
        <v>0</v>
      </c>
      <c r="H123" s="21" t="s">
        <v>560</v>
      </c>
      <c r="I123" s="13">
        <v>42899.665497685186</v>
      </c>
      <c r="J123" s="7">
        <v>0</v>
      </c>
      <c r="K123" s="92" t="str">
        <f t="shared" si="33"/>
        <v>4001/4002</v>
      </c>
      <c r="L123" s="21" t="str">
        <f>VLOOKUP(A123,'Trips&amp;Operators'!$C$1:$G$99999,5,FALSE)</f>
        <v>DAVIS MICHAEL</v>
      </c>
      <c r="M123" s="6">
        <f t="shared" si="34"/>
        <v>1.1631944442342501E-2</v>
      </c>
      <c r="N123" s="7"/>
      <c r="O123" s="7"/>
      <c r="P123" s="7"/>
      <c r="Q123" s="22"/>
      <c r="R123" s="173"/>
      <c r="S123" s="176"/>
      <c r="T123" s="202" t="str">
        <f t="shared" si="35"/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9</v>
      </c>
      <c r="V123" s="203" t="str">
        <f t="shared" si="36"/>
        <v>https://d0f6bd738d7f1b3e5a7ca70fe4ff75f0.us-east-1.aws.found.io/app/kibana#/discover/Steve-Slow-Train-Analysis-(2080s-and-2083s)?_g=(refreshInterval:(display:Off,pause:!f,section:0,value:0),time:(from:'2017-06-13T14:40:37-0600',mode:absolute,to:'2017-06-13T16:58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204" t="str">
        <f t="shared" si="37"/>
        <v>Y</v>
      </c>
      <c r="X123" s="204">
        <f t="shared" si="45"/>
        <v>0</v>
      </c>
      <c r="Y123" s="204">
        <f t="shared" si="48"/>
        <v>6.4185999999999996</v>
      </c>
      <c r="Z123" s="204">
        <f t="shared" si="49"/>
        <v>1.38E-2</v>
      </c>
      <c r="AA123" s="204">
        <f t="shared" si="40"/>
        <v>6.4047999999999998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1"/>
        <v>0186-13</v>
      </c>
      <c r="AE123" s="80" t="str">
        <f t="shared" si="4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123" s="77" t="str">
        <f t="shared" si="43"/>
        <v>"C:\Program Files (x86)\AstroGrep\AstroGrep.exe" /e /r /s /spath="%USERPROFILE%\AppData\Local\Temp\OnboardLogs" /stypes="app*4001*20170613*" /stext=" 21:.+((SYSTEM_STATE.+slice.+state.+changed )|(ment ac)|(multiple cpu faults)|(system.+state.+changed )|(\[timeout)|(PRM\|1\|D)|(kpr)|(kdp)|(train st.+moving)|(\|lc)|(penalty))"</v>
      </c>
      <c r="AG123" s="1" t="str">
        <f t="shared" si="44"/>
        <v>EC</v>
      </c>
      <c r="AH123" s="81" t="str">
        <f t="shared" si="29"/>
        <v>"%USERPROFILE%\Documents\GitHub\eaglep3\Utilities\RefineRTDCRunTimes.py" --tripid 186-13 --locoid 4001 --swversion DE.1.0.9.0 --startMP 204:64186 --initTime 2017-06-13T15:40:37 --startdatetime 2017-06-13T15:41:34 --delay 0 --endMP 204:138 --enddatetime 2017-06-13T15:58:19 --enforcementcount 0 &gt;&gt;C:\Users\stu\Documents\GitHub\eaglep3-reporting\EC\2017-06-13-refined-times.txt</v>
      </c>
      <c r="AI123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{"issue":{"subject":"","project_id":79,"tracker_id":40,"status_id":1,"priority_id":2,"assigned_to_id":23,"start_date":"2017-06-13","description":"","custom_fields":[{"id":1,"name":"Subdivision","value":"EC"},{"id":4,"name":"Milepost","value":"0.0138"},{"id":17,"name":"Train ID","value":"186-13"},{"id":16,"name":"Locomotive ID","value":"4001"},{"id":130,"name":"Impact","value":""},{"id":150,"name":"Time of Event (Mountain Time)","value":"15:58:19"},{"id":151,"name":"Denver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31"/>
        <v>start /low /b %USERPROFILE%\Documents\GitHub\eaglep3\Utilities\DownloadLogsFromS3.py --loco 4001 --day 2017-06-13</v>
      </c>
      <c r="AN123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21:58:19"},{"id":29,"name":"Sharepoint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737</v>
      </c>
      <c r="B124" s="7">
        <v>4062</v>
      </c>
      <c r="C124" s="21" t="s">
        <v>204</v>
      </c>
      <c r="D124" s="21" t="s">
        <v>350</v>
      </c>
      <c r="E124" s="13">
        <v>42899.600277777776</v>
      </c>
      <c r="F124" s="13">
        <v>42899.60434027778</v>
      </c>
      <c r="G124" s="7">
        <v>1</v>
      </c>
      <c r="H124" s="21" t="s">
        <v>565</v>
      </c>
      <c r="I124" s="13">
        <v>42899.629918981482</v>
      </c>
      <c r="J124" s="7">
        <v>0</v>
      </c>
      <c r="K124" s="92" t="str">
        <f t="shared" si="33"/>
        <v>4061/4062</v>
      </c>
      <c r="L124" s="21" t="str">
        <f>VLOOKUP(A124,'Trips&amp;Operators'!$C$1:$G$99999,5,FALSE)</f>
        <v>MCREYNOLDS KYLE</v>
      </c>
      <c r="M124" s="6">
        <f t="shared" si="34"/>
        <v>2.5578703702194616E-2</v>
      </c>
      <c r="N124" s="7">
        <f>24*60*SUM($M124:$M124)</f>
        <v>36.833333331160247</v>
      </c>
      <c r="O124" s="7"/>
      <c r="P124" s="7"/>
      <c r="Q124" s="22"/>
      <c r="R124" s="173"/>
      <c r="S124" s="176">
        <f>SUM(U124:U124)/IF(AG124="EC",12,1)</f>
        <v>1</v>
      </c>
      <c r="T124" s="202" t="str">
        <f t="shared" si="35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6"/>
        <v>https://d0f6bd738d7f1b3e5a7ca70fe4ff75f0.us-east-1.aws.found.io/app/kibana#/discover/Steve-Slow-Train-Analysis-(2080s-and-2083s)?_g=(refreshInterval:(display:Off,pause:!f,section:0,value:0),time:(from:'2017-06-13T13:24:24-0600',mode:absolute,to:'2017-06-13T16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4" s="204" t="str">
        <f t="shared" si="37"/>
        <v>N</v>
      </c>
      <c r="X124" s="204">
        <f t="shared" si="45"/>
        <v>1</v>
      </c>
      <c r="Y124" s="204">
        <f t="shared" si="48"/>
        <v>4.58E-2</v>
      </c>
      <c r="Z124" s="204">
        <f t="shared" si="49"/>
        <v>23.3355</v>
      </c>
      <c r="AA124" s="204">
        <f t="shared" si="40"/>
        <v>23.2897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41"/>
        <v>0187-13</v>
      </c>
      <c r="AE124" s="80" t="str">
        <f t="shared" si="42"/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AF124" s="77" t="str">
        <f t="shared" si="43"/>
        <v>"C:\Program Files (x86)\AstroGrep\AstroGrep.exe" /e /r /s /spath="%USERPROFILE%\AppData\Local\Temp\OnboardLogs" /stypes="app*4062*20170613*" /stext=" 21:.+((SYSTEM_STATE.+slice.+state.+changed )|(ment ac)|(multiple cpu faults)|(system.+state.+changed )|(\[timeout)|(PRM\|1\|D)|(kpr)|(kdp)|(train st.+moving)|(\|lc)|(penalty))"</v>
      </c>
      <c r="AG124" s="1" t="str">
        <f t="shared" si="44"/>
        <v>EC</v>
      </c>
      <c r="AH124" s="81" t="str">
        <f t="shared" si="29"/>
        <v>"%USERPROFILE%\Documents\GitHub\eaglep3\Utilities\RefineRTDCRunTimes.py" --tripid 187-13 --locoid 4062 --swversion DE.1.0.9.0 --startMP 204:458 --initTime 2017-06-13T14:24:24 --startdatetime 2017-06-13T14:30:15 --delay 1 --endMP 204:233355 --enddatetime 2017-06-13T15:07:05 --enforcementcount 0 &gt;&gt;C:\Users\stu\Documents\GitHub\eaglep3-reporting\EC\2017-06-13-refined-times.txt</v>
      </c>
      <c r="AI124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{"issue":{"subject":"","project_id":79,"tracker_id":40,"status_id":1,"priority_id":2,"assigned_to_id":23,"start_date":"2017-06-13","description":"","custom_fields":[{"id":1,"name":"Subdivision","value":"EC"},{"id":4,"name":"Milepost","value":"23.3355"},{"id":17,"name":"Train ID","value":"187-13"},{"id":16,"name":"Locomotive ID","value":"4062"},{"id":130,"name":"Impact","value":""},{"id":150,"name":"Time of Event (Mountain Time)","value":"15:07:05"},{"id":151,"name":"Denver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31"/>
        <v>start /low /b %USERPROFILE%\Documents\GitHub\eaglep3\Utilities\DownloadLogsFromS3.py --loco 4062 --day 2017-06-13</v>
      </c>
      <c r="AN124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746</v>
      </c>
      <c r="B125" s="7">
        <v>4061</v>
      </c>
      <c r="C125" s="21" t="s">
        <v>204</v>
      </c>
      <c r="D125" s="21" t="s">
        <v>885</v>
      </c>
      <c r="E125" s="13">
        <v>42899.635347222225</v>
      </c>
      <c r="F125" s="13">
        <v>42899.637013888889</v>
      </c>
      <c r="G125" s="7">
        <v>2</v>
      </c>
      <c r="H125" s="21" t="s">
        <v>833</v>
      </c>
      <c r="I125" s="13">
        <v>42899.657418981478</v>
      </c>
      <c r="J125" s="7">
        <v>0</v>
      </c>
      <c r="K125" s="92" t="str">
        <f t="shared" si="33"/>
        <v>4061/4062</v>
      </c>
      <c r="L125" s="21" t="str">
        <f>VLOOKUP(A125,'Trips&amp;Operators'!$C$1:$G$99999,5,FALSE)</f>
        <v>MCREYNOLDS KYLE</v>
      </c>
      <c r="M125" s="6">
        <f t="shared" si="34"/>
        <v>2.0405092589498963E-2</v>
      </c>
      <c r="N125" s="7"/>
      <c r="O125" s="7"/>
      <c r="P125" s="7">
        <f>24*60*SUM($M125:$M126)</f>
        <v>45.01666666008532</v>
      </c>
      <c r="Q125" s="22"/>
      <c r="R125" s="173" t="s">
        <v>1021</v>
      </c>
      <c r="S125" s="176">
        <f>SUM(U125:U126)/IF(AG125="EC",12,1)</f>
        <v>0.91666666666666663</v>
      </c>
      <c r="T125" s="202" t="str">
        <f t="shared" si="35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2</v>
      </c>
      <c r="V125" s="203" t="str">
        <f t="shared" si="36"/>
        <v>https://d0f6bd738d7f1b3e5a7ca70fe4ff75f0.us-east-1.aws.found.io/app/kibana#/discover/Steve-Slow-Train-Analysis-(2080s-and-2083s)?_g=(refreshInterval:(display:Off,pause:!f,section:0,value:0),time:(from:'2017-06-13T14:14:54-0600',mode:absolute,to:'2017-06-13T16:46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5" s="204" t="str">
        <f t="shared" si="37"/>
        <v>Y</v>
      </c>
      <c r="X125" s="204">
        <f t="shared" si="45"/>
        <v>1</v>
      </c>
      <c r="Y125" s="204">
        <f t="shared" si="48"/>
        <v>23.3049</v>
      </c>
      <c r="Z125" s="204">
        <f t="shared" si="49"/>
        <v>8.6353000000000009</v>
      </c>
      <c r="AA125" s="204">
        <f t="shared" si="40"/>
        <v>14.669599999999999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1"/>
        <v>0188-13</v>
      </c>
      <c r="AE125" s="80" t="str">
        <f t="shared" si="4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125" s="77" t="str">
        <f t="shared" si="43"/>
        <v>"C:\Program Files (x86)\AstroGrep\AstroGrep.exe" /e /r /s /spath="%USERPROFILE%\AppData\Local\Temp\OnboardLogs" /stypes="app*4061*20170613*" /stext=" 21:.+((SYSTEM_STATE.+slice.+state.+changed )|(ment ac)|(multiple cpu faults)|(system.+state.+changed )|(\[timeout)|(PRM\|1\|D)|(kpr)|(kdp)|(train st.+moving)|(\|lc)|(penalty))"</v>
      </c>
      <c r="AG125" s="1" t="str">
        <f t="shared" si="44"/>
        <v>EC</v>
      </c>
      <c r="AH125" s="81" t="str">
        <f t="shared" si="29"/>
        <v>"%USERPROFILE%\Documents\GitHub\eaglep3\Utilities\RefineRTDCRunTimes.py" --tripid 188-13 --locoid 4061 --swversion DE.1.0.9.0 --startMP 204:233049 --initTime 2017-06-13T15:14:54 --startdatetime 2017-06-13T15:17:18 --delay 2 --endMP 204:86353 --enddatetime 2017-06-13T15:46:41 --enforcementcount 0 &gt;&gt;C:\Users\stu\Documents\GitHub\eaglep3-reporting\EC\2017-06-13-refined-times.txt</v>
      </c>
      <c r="AI125" s="99" t="str">
        <f t="shared" si="30"/>
        <v>echo {"issue":{"subject":"Lightning arrestor damage at ML0816","project_id":79,"tracker_id":40,"status_id":1,"priority_id":2,"assigned_to_id":23,"start_date":"2017-06-13","description":"","custom_fields":[{"id":1,"name":"Subdivision","value":"EC"},{"id":4,"name":"Milepost","value":"8.6353"},{"id":17,"name":"Train ID","value":"188-13"},{"id":16,"name":"Locomotive ID","value":"4061"},{"id":130,"name":"Impact","value":""},{"id":150,"name":"Time of Event (Mountain Time)","value":"15:46:41"},{"id":151,"name":"Denver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31"/>
        <v>start /low /b %USERPROFILE%\Documents\GitHub\eaglep3\Utilities\DownloadLogsFromS3.py --loco 4061 --day 2017-06-13</v>
      </c>
      <c r="AN125" s="154" t="str">
        <f t="shared" si="32"/>
        <v>echo {"issue":{"subject":"Lightning arrestor damage at ML0816","project_id":30,"tracker_id":4,"status_id":1,"priority_id":1,"assigned_to_id":10,"start_date":"2017-06-13","description":"","custom_fields":[{"id":30,"name":"Category","value":"Issue"},{"id":3,"name":"Functional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21:46:41"},{"id":29,"name":"Sharepoint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746</v>
      </c>
      <c r="B126" s="7">
        <v>4061</v>
      </c>
      <c r="C126" s="21" t="s">
        <v>204</v>
      </c>
      <c r="D126" s="21" t="s">
        <v>834</v>
      </c>
      <c r="E126" s="13">
        <v>42899.662430555552</v>
      </c>
      <c r="F126" s="13">
        <v>42899.663078703707</v>
      </c>
      <c r="G126" s="7">
        <v>0</v>
      </c>
      <c r="H126" s="21" t="s">
        <v>353</v>
      </c>
      <c r="I126" s="13">
        <v>42899.673935185187</v>
      </c>
      <c r="J126" s="7">
        <v>0</v>
      </c>
      <c r="K126" s="92" t="str">
        <f t="shared" si="33"/>
        <v>4061/4062</v>
      </c>
      <c r="L126" s="21" t="str">
        <f>VLOOKUP(A126,'Trips&amp;Operators'!$C$1:$G$99999,5,FALSE)</f>
        <v>MCREYNOLDS KYLE</v>
      </c>
      <c r="M126" s="6">
        <f t="shared" si="34"/>
        <v>1.0856481480004732E-2</v>
      </c>
      <c r="N126" s="7"/>
      <c r="O126" s="7"/>
      <c r="P126" s="7"/>
      <c r="Q126" s="22"/>
      <c r="R126" s="173"/>
      <c r="S126" s="176"/>
      <c r="T126" s="202" t="str">
        <f t="shared" si="35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9</v>
      </c>
      <c r="V126" s="203" t="str">
        <f t="shared" si="36"/>
        <v>https://d0f6bd738d7f1b3e5a7ca70fe4ff75f0.us-east-1.aws.found.io/app/kibana#/discover/Steve-Slow-Train-Analysis-(2080s-and-2083s)?_g=(refreshInterval:(display:Off,pause:!f,section:0,value:0),time:(from:'2017-06-13T14:53:54-0600',mode:absolute,to:'2017-06-13T17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6" s="204" t="str">
        <f t="shared" si="37"/>
        <v>Y</v>
      </c>
      <c r="X126" s="204">
        <f t="shared" si="45"/>
        <v>0</v>
      </c>
      <c r="Y126" s="204">
        <f t="shared" si="48"/>
        <v>6.4165000000000001</v>
      </c>
      <c r="Z126" s="204">
        <f t="shared" si="49"/>
        <v>1.43E-2</v>
      </c>
      <c r="AA126" s="204">
        <f t="shared" si="40"/>
        <v>6.4021999999999997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1"/>
        <v>0188-13</v>
      </c>
      <c r="AE126" s="80" t="str">
        <f t="shared" si="4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126" s="77" t="str">
        <f t="shared" si="43"/>
        <v>"C:\Program Files (x86)\AstroGrep\AstroGrep.exe" /e /r /s /spath="%USERPROFILE%\AppData\Local\Temp\OnboardLogs" /stypes="app*4061*20170613*" /stext=" 22:.+((SYSTEM_STATE.+slice.+state.+changed )|(ment ac)|(multiple cpu faults)|(system.+state.+changed )|(\[timeout)|(PRM\|1\|D)|(kpr)|(kdp)|(train st.+moving)|(\|lc)|(penalty))"</v>
      </c>
      <c r="AG126" s="1" t="str">
        <f t="shared" si="44"/>
        <v>EC</v>
      </c>
      <c r="AH126" s="81" t="str">
        <f t="shared" si="29"/>
        <v>"%USERPROFILE%\Documents\GitHub\eaglep3\Utilities\RefineRTDCRunTimes.py" --tripid 188-13 --locoid 4061 --swversion DE.1.0.9.0 --startMP 204:64165 --initTime 2017-06-13T15:53:54 --startdatetime 2017-06-13T15:54:50 --delay 0 --endMP 204:143 --enddatetime 2017-06-13T16:10:28 --enforcementcount 0 &gt;&gt;C:\Users\stu\Documents\GitHub\eaglep3-reporting\EC\2017-06-13-refined-times.txt</v>
      </c>
      <c r="AI126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{"issue":{"subject":"","project_id":79,"tracker_id":40,"status_id":1,"priority_id":2,"assigned_to_id":23,"start_date":"2017-06-13","description":"","custom_fields":[{"id":1,"name":"Subdivision","value":"EC"},{"id":4,"name":"Milepost","value":"0.0143"},{"id":17,"name":"Train ID","value":"188-13"},{"id":16,"name":"Locomotive ID","value":"4061"},{"id":130,"name":"Impact","value":""},{"id":150,"name":"Time of Event (Mountain Time)","value":"16:10:28"},{"id":151,"name":"Denver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31"/>
        <v>start /low /b %USERPROFILE%\Documents\GitHub\eaglep3\Utilities\DownloadLogsFromS3.py --loco 4061 --day 2017-06-13</v>
      </c>
      <c r="AN126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740</v>
      </c>
      <c r="B127" s="7">
        <v>4006</v>
      </c>
      <c r="C127" s="21" t="s">
        <v>204</v>
      </c>
      <c r="D127" s="21" t="s">
        <v>451</v>
      </c>
      <c r="E127" s="13">
        <v>42899.61078703704</v>
      </c>
      <c r="F127" s="13">
        <v>42899.614745370367</v>
      </c>
      <c r="G127" s="7">
        <v>1</v>
      </c>
      <c r="H127" s="21" t="s">
        <v>441</v>
      </c>
      <c r="I127" s="13">
        <v>42899.640266203707</v>
      </c>
      <c r="J127" s="7">
        <v>0</v>
      </c>
      <c r="K127" s="92" t="str">
        <f t="shared" si="33"/>
        <v>4005/4006</v>
      </c>
      <c r="L127" s="21" t="str">
        <f>VLOOKUP(A127,'Trips&amp;Operators'!$C$1:$G$99999,5,FALSE)</f>
        <v>STEWART MICHAEL</v>
      </c>
      <c r="M127" s="6">
        <f t="shared" si="34"/>
        <v>2.5520833340124227E-2</v>
      </c>
      <c r="N127" s="7">
        <f t="shared" ref="N127:N158" si="52">24*60*SUM($M127:$M127)</f>
        <v>36.750000009778887</v>
      </c>
      <c r="O127" s="7"/>
      <c r="P127" s="7"/>
      <c r="Q127" s="22"/>
      <c r="R127" s="173"/>
      <c r="S127" s="176">
        <f t="shared" ref="S127:S158" si="53">SUM(U127:U127)/IF(AG127="EC",12,1)</f>
        <v>1</v>
      </c>
      <c r="T127" s="202" t="str">
        <f t="shared" si="35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6"/>
        <v>https://d0f6bd738d7f1b3e5a7ca70fe4ff75f0.us-east-1.aws.found.io/app/kibana#/discover/Steve-Slow-Train-Analysis-(2080s-and-2083s)?_g=(refreshInterval:(display:Off,pause:!f,section:0,value:0),time:(from:'2017-06-13T13:39:32-0600',mode:absolute,to:'2017-06-13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204" t="str">
        <f t="shared" si="37"/>
        <v>N</v>
      </c>
      <c r="X127" s="204">
        <f t="shared" si="45"/>
        <v>1</v>
      </c>
      <c r="Y127" s="204">
        <f t="shared" si="48"/>
        <v>4.4400000000000002E-2</v>
      </c>
      <c r="Z127" s="204">
        <f t="shared" si="49"/>
        <v>23.329699999999999</v>
      </c>
      <c r="AA127" s="204">
        <f t="shared" si="40"/>
        <v>23.285299999999999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1"/>
        <v>0189-13</v>
      </c>
      <c r="AE127" s="80" t="str">
        <f t="shared" si="42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127" s="77" t="str">
        <f t="shared" si="43"/>
        <v>"C:\Program Files (x86)\AstroGrep\AstroGrep.exe" /e /r /s /spath="%USERPROFILE%\AppData\Local\Temp\OnboardLogs" /stypes="app*4006*20170613*" /stext=" 21:.+((SYSTEM_STATE.+slice.+state.+changed )|(ment ac)|(multiple cpu faults)|(system.+state.+changed )|(\[timeout)|(PRM\|1\|D)|(kpr)|(kdp)|(train st.+moving)|(\|lc)|(penalty))"</v>
      </c>
      <c r="AG127" s="1" t="str">
        <f t="shared" si="44"/>
        <v>EC</v>
      </c>
      <c r="AH127" s="81" t="str">
        <f t="shared" si="29"/>
        <v>"%USERPROFILE%\Documents\GitHub\eaglep3\Utilities\RefineRTDCRunTimes.py" --tripid 189-13 --locoid 4006 --swversion DE.1.0.9.0 --startMP 204:444 --initTime 2017-06-13T14:39:32 --startdatetime 2017-06-13T14:45:14 --delay 1 --endMP 204:233297 --enddatetime 2017-06-13T15:21:59 --enforcementcount 0 &gt;&gt;C:\Users\stu\Documents\GitHub\eaglep3-reporting\EC\2017-06-13-refined-times.txt</v>
      </c>
      <c r="AI127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{"issue":{"subject":"","project_id":79,"tracker_id":40,"status_id":1,"priority_id":2,"assigned_to_id":23,"start_date":"2017-06-13","description":"","custom_fields":[{"id":1,"name":"Subdivision","value":"EC"},{"id":4,"name":"Milepost","value":"23.3297"},{"id":17,"name":"Train ID","value":"189-13"},{"id":16,"name":"Locomotive ID","value":"4006"},{"id":130,"name":"Impact","value":""},{"id":150,"name":"Time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31"/>
        <v>start /low /b %USERPROFILE%\Documents\GitHub\eaglep3\Utilities\DownloadLogsFromS3.py --loco 4006 --day 2017-06-13</v>
      </c>
      <c r="AN127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750</v>
      </c>
      <c r="B128" s="7">
        <v>4005</v>
      </c>
      <c r="C128" s="21" t="s">
        <v>204</v>
      </c>
      <c r="D128" s="21" t="s">
        <v>557</v>
      </c>
      <c r="E128" s="13">
        <v>42899.65116898148</v>
      </c>
      <c r="F128" s="13">
        <v>42899.654351851852</v>
      </c>
      <c r="G128" s="7">
        <v>1</v>
      </c>
      <c r="H128" s="21" t="s">
        <v>871</v>
      </c>
      <c r="I128" s="13">
        <v>42899.681562500002</v>
      </c>
      <c r="J128" s="7">
        <v>0</v>
      </c>
      <c r="K128" s="92" t="str">
        <f t="shared" si="33"/>
        <v>4005/4006</v>
      </c>
      <c r="L128" s="21" t="str">
        <f>VLOOKUP(A128,'Trips&amp;Operators'!$C$1:$G$99999,5,FALSE)</f>
        <v>STEWART MICHAEL</v>
      </c>
      <c r="M128" s="6">
        <f t="shared" si="34"/>
        <v>2.7210648149775807E-2</v>
      </c>
      <c r="N128" s="7">
        <f t="shared" si="52"/>
        <v>39.183333335677162</v>
      </c>
      <c r="O128" s="7"/>
      <c r="P128" s="7"/>
      <c r="Q128" s="22"/>
      <c r="R128" s="173"/>
      <c r="S128" s="176">
        <f t="shared" si="53"/>
        <v>1</v>
      </c>
      <c r="T128" s="202" t="str">
        <f t="shared" si="35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6"/>
        <v>https://d0f6bd738d7f1b3e5a7ca70fe4ff75f0.us-east-1.aws.found.io/app/kibana#/discover/Steve-Slow-Train-Analysis-(2080s-and-2083s)?_g=(refreshInterval:(display:Off,pause:!f,section:0,value:0),time:(from:'2017-06-13T14:37:41-0600',mode:absolute,to:'2017-06-13T17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204" t="str">
        <f t="shared" si="37"/>
        <v>N</v>
      </c>
      <c r="X128" s="204">
        <f t="shared" ref="X128:X139" si="54">VALUE(LEFT(AD128,4))-VALUE(LEFT(AD127,4))</f>
        <v>1</v>
      </c>
      <c r="Y128" s="204">
        <f t="shared" si="48"/>
        <v>23.298100000000002</v>
      </c>
      <c r="Z128" s="204">
        <f t="shared" si="49"/>
        <v>1.6299999999999999E-2</v>
      </c>
      <c r="AA128" s="204">
        <f t="shared" si="40"/>
        <v>23.2818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1"/>
        <v>0190-13</v>
      </c>
      <c r="AE128" s="80" t="str">
        <f t="shared" si="42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128" s="77" t="str">
        <f t="shared" si="43"/>
        <v>"C:\Program Files (x86)\AstroGrep\AstroGrep.exe" /e /r /s /spath="%USERPROFILE%\AppData\Local\Temp\OnboardLogs" /stypes="app*4005*20170613*" /stext=" 22:.+((SYSTEM_STATE.+slice.+state.+changed )|(ment ac)|(multiple cpu faults)|(system.+state.+changed )|(\[timeout)|(PRM\|1\|D)|(kpr)|(kdp)|(train st.+moving)|(\|lc)|(penalty))"</v>
      </c>
      <c r="AG128" s="1" t="str">
        <f t="shared" si="44"/>
        <v>EC</v>
      </c>
      <c r="AH128" s="81" t="str">
        <f t="shared" si="29"/>
        <v>"%USERPROFILE%\Documents\GitHub\eaglep3\Utilities\RefineRTDCRunTimes.py" --tripid 190-13 --locoid 4005 --swversion DE.1.0.9.0 --startMP 204:232981 --initTime 2017-06-13T15:37:41 --startdatetime 2017-06-13T15:42:16 --delay 1 --endMP 204:163 --enddatetime 2017-06-13T16:21:27 --enforcementcount 0 &gt;&gt;C:\Users\stu\Documents\GitHub\eaglep3-reporting\EC\2017-06-13-refined-times.txt</v>
      </c>
      <c r="AI128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{"issue":{"subject":"","project_id":79,"tracker_id":40,"status_id":1,"priority_id":2,"assigned_to_id":23,"start_date":"2017-06-13","description":"","custom_fields":[{"id":1,"name":"Subdivision","value":"EC"},{"id":4,"name":"Milepost","value":"0.0163"},{"id":17,"name":"Train ID","value":"190-13"},{"id":16,"name":"Locomotive ID","value":"4005"},{"id":130,"name":"Impact","value":""},{"id":150,"name":"Time of Event (Mountain Time)","value":"16:21:27"},{"id":151,"name":"Denver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31"/>
        <v>start /low /b %USERPROFILE%\Documents\GitHub\eaglep3\Utilities\DownloadLogsFromS3.py --loco 4005 --day 2017-06-13</v>
      </c>
      <c r="AN128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742</v>
      </c>
      <c r="B129" s="7">
        <v>4046</v>
      </c>
      <c r="C129" s="21" t="s">
        <v>204</v>
      </c>
      <c r="D129" s="21" t="s">
        <v>832</v>
      </c>
      <c r="E129" s="13">
        <v>42899.620150462964</v>
      </c>
      <c r="F129" s="13">
        <v>42899.625231481485</v>
      </c>
      <c r="G129" s="7">
        <v>1</v>
      </c>
      <c r="H129" s="21" t="s">
        <v>462</v>
      </c>
      <c r="I129" s="13">
        <v>42899.650023148148</v>
      </c>
      <c r="J129" s="7">
        <v>0</v>
      </c>
      <c r="K129" s="92" t="str">
        <f t="shared" si="33"/>
        <v>4045/4046</v>
      </c>
      <c r="L129" s="21" t="str">
        <f>VLOOKUP(A129,'Trips&amp;Operators'!$C$1:$G$99999,5,FALSE)</f>
        <v>NEWELL JAMES</v>
      </c>
      <c r="M129" s="6">
        <f t="shared" si="34"/>
        <v>2.4791666663077194E-2</v>
      </c>
      <c r="N129" s="7">
        <f t="shared" si="52"/>
        <v>35.69999999483116</v>
      </c>
      <c r="O129" s="7"/>
      <c r="P129" s="7"/>
      <c r="Q129" s="22"/>
      <c r="R129" s="173"/>
      <c r="S129" s="176">
        <f t="shared" si="53"/>
        <v>1</v>
      </c>
      <c r="T129" s="202" t="str">
        <f t="shared" si="35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6"/>
        <v>https://d0f6bd738d7f1b3e5a7ca70fe4ff75f0.us-east-1.aws.found.io/app/kibana#/discover/Steve-Slow-Train-Analysis-(2080s-and-2083s)?_g=(refreshInterval:(display:Off,pause:!f,section:0,value:0),time:(from:'2017-06-13T13:53:01-0600',mode:absolute,to:'2017-06-13T16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204" t="str">
        <f t="shared" si="37"/>
        <v>N</v>
      </c>
      <c r="X129" s="204">
        <f t="shared" si="54"/>
        <v>1</v>
      </c>
      <c r="Y129" s="204">
        <f t="shared" si="48"/>
        <v>4.8800000000000003E-2</v>
      </c>
      <c r="Z129" s="204">
        <f t="shared" si="49"/>
        <v>23.330300000000001</v>
      </c>
      <c r="AA129" s="204">
        <f t="shared" si="40"/>
        <v>23.281500000000001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1"/>
        <v>0191-13</v>
      </c>
      <c r="AE129" s="80" t="str">
        <f t="shared" si="42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129" s="77" t="str">
        <f t="shared" si="43"/>
        <v>"C:\Program Files (x86)\AstroGrep\AstroGrep.exe" /e /r /s /spath="%USERPROFILE%\AppData\Local\Temp\OnboardLogs" /stypes="app*4046*20170613*" /stext=" 21:.+((SYSTEM_STATE.+slice.+state.+changed )|(ment ac)|(multiple cpu faults)|(system.+state.+changed )|(\[timeout)|(PRM\|1\|D)|(kpr)|(kdp)|(train st.+moving)|(\|lc)|(penalty))"</v>
      </c>
      <c r="AG129" s="1" t="str">
        <f t="shared" si="44"/>
        <v>EC</v>
      </c>
      <c r="AH129" s="81" t="str">
        <f t="shared" si="29"/>
        <v>"%USERPROFILE%\Documents\GitHub\eaglep3\Utilities\RefineRTDCRunTimes.py" --tripid 191-13 --locoid 4046 --swversion DE.1.0.9.0 --startMP 204:488 --initTime 2017-06-13T14:53:01 --startdatetime 2017-06-13T15:00:20 --delay 1 --endMP 204:233303 --enddatetime 2017-06-13T15:36:02 --enforcementcount 0 &gt;&gt;C:\Users\stu\Documents\GitHub\eaglep3-reporting\EC\2017-06-13-refined-times.txt</v>
      </c>
      <c r="AI129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{"issue":{"subject":"","project_id":79,"tracker_id":40,"status_id":1,"priority_id":2,"assigned_to_id":23,"start_date":"2017-06-13","description":"","custom_fields":[{"id":1,"name":"Subdivision","value":"EC"},{"id":4,"name":"Milepost","value":"23.3303"},{"id":17,"name":"Train ID","value":"191-13"},{"id":16,"name":"Locomotive ID","value":"4046"},{"id":130,"name":"Impact","value":""},{"id":150,"name":"Time of Event (Mountain Time)","value":"15:36:02"},{"id":151,"name":"Denver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31"/>
        <v>start /low /b %USERPROFILE%\Documents\GitHub\eaglep3\Utilities\DownloadLogsFromS3.py --loco 4046 --day 2017-06-13</v>
      </c>
      <c r="AN129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749</v>
      </c>
      <c r="B130" s="7">
        <v>4045</v>
      </c>
      <c r="C130" s="21" t="s">
        <v>204</v>
      </c>
      <c r="D130" s="21" t="s">
        <v>570</v>
      </c>
      <c r="E130" s="13">
        <v>42899.651388888888</v>
      </c>
      <c r="F130" s="13">
        <v>42899.664733796293</v>
      </c>
      <c r="G130" s="7">
        <v>1</v>
      </c>
      <c r="H130" s="21" t="s">
        <v>465</v>
      </c>
      <c r="I130" s="13">
        <v>42899.690462962964</v>
      </c>
      <c r="J130" s="7">
        <v>0</v>
      </c>
      <c r="K130" s="92" t="str">
        <f t="shared" si="33"/>
        <v>4045/4046</v>
      </c>
      <c r="L130" s="21" t="str">
        <f>VLOOKUP(A130,'Trips&amp;Operators'!$C$1:$G$99999,5,FALSE)</f>
        <v>NEWELL JAMES</v>
      </c>
      <c r="M130" s="6">
        <f t="shared" si="34"/>
        <v>2.5729166671226267E-2</v>
      </c>
      <c r="N130" s="7">
        <f t="shared" si="52"/>
        <v>37.050000006565824</v>
      </c>
      <c r="O130" s="7"/>
      <c r="P130" s="7"/>
      <c r="Q130" s="22"/>
      <c r="R130" s="173"/>
      <c r="S130" s="176">
        <f t="shared" si="53"/>
        <v>1</v>
      </c>
      <c r="T130" s="202" t="str">
        <f t="shared" si="35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6"/>
        <v>https://d0f6bd738d7f1b3e5a7ca70fe4ff75f0.us-east-1.aws.found.io/app/kibana#/discover/Steve-Slow-Train-Analysis-(2080s-and-2083s)?_g=(refreshInterval:(display:Off,pause:!f,section:0,value:0),time:(from:'2017-06-13T14:38:00-0600',mode:absolute,to:'2017-06-13T17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0" s="204" t="str">
        <f t="shared" si="37"/>
        <v>N</v>
      </c>
      <c r="X130" s="204">
        <f t="shared" si="54"/>
        <v>1</v>
      </c>
      <c r="Y130" s="204">
        <f t="shared" si="48"/>
        <v>23.296099999999999</v>
      </c>
      <c r="Z130" s="204">
        <f t="shared" si="49"/>
        <v>1.3599999999999999E-2</v>
      </c>
      <c r="AA130" s="204">
        <f t="shared" si="40"/>
        <v>23.282499999999999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1"/>
        <v>0192-13</v>
      </c>
      <c r="AE130" s="80" t="str">
        <f t="shared" si="42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130" s="77" t="str">
        <f t="shared" si="43"/>
        <v>"C:\Program Files (x86)\AstroGrep\AstroGrep.exe" /e /r /s /spath="%USERPROFILE%\AppData\Local\Temp\OnboardLogs" /stypes="app*4045*20170613*" /stext=" 22:.+((SYSTEM_STATE.+slice.+state.+changed )|(ment ac)|(multiple cpu faults)|(system.+state.+changed )|(\[timeout)|(PRM\|1\|D)|(kpr)|(kdp)|(train st.+moving)|(\|lc)|(penalty))"</v>
      </c>
      <c r="AG130" s="1" t="str">
        <f t="shared" si="44"/>
        <v>EC</v>
      </c>
      <c r="AH130" s="81" t="str">
        <f t="shared" si="29"/>
        <v>"%USERPROFILE%\Documents\GitHub\eaglep3\Utilities\RefineRTDCRunTimes.py" --tripid 192-13 --locoid 4045 --swversion DE.1.0.9.0 --startMP 204:232961 --initTime 2017-06-13T15:38:00 --startdatetime 2017-06-13T15:57:13 --delay 1 --endMP 204:136 --enddatetime 2017-06-13T16:34:16 --enforcementcount 0 &gt;&gt;C:\Users\stu\Documents\GitHub\eaglep3-reporting\EC\2017-06-13-refined-times.txt</v>
      </c>
      <c r="AI130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{"issue":{"subject":"","project_id":79,"tracker_id":40,"status_id":1,"priority_id":2,"assigned_to_id":23,"start_date":"2017-06-13","description":"","custom_fields":[{"id":1,"name":"Subdivision","value":"EC"},{"id":4,"name":"Milepost","value":"0.0136"},{"id":17,"name":"Train ID","value":"192-13"},{"id":16,"name":"Locomotive ID","value":"4045"},{"id":130,"name":"Impact","value":""},{"id":150,"name":"Time of Event (Mountain Time)","value":"16:34:16"},{"id":151,"name":"Denver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31"/>
        <v>start /low /b %USERPROFILE%\Documents\GitHub\eaglep3\Utilities\DownloadLogsFromS3.py --loco 4045 --day 2017-06-13</v>
      </c>
      <c r="AN130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744</v>
      </c>
      <c r="B131" s="7">
        <v>4054</v>
      </c>
      <c r="C131" s="21" t="s">
        <v>204</v>
      </c>
      <c r="D131" s="21" t="s">
        <v>510</v>
      </c>
      <c r="E131" s="13">
        <v>42899.633298611108</v>
      </c>
      <c r="F131" s="13">
        <v>42899.636111111111</v>
      </c>
      <c r="G131" s="7">
        <v>1</v>
      </c>
      <c r="H131" s="21" t="s">
        <v>886</v>
      </c>
      <c r="I131" s="13">
        <v>42899.660740740743</v>
      </c>
      <c r="J131" s="7">
        <v>0</v>
      </c>
      <c r="K131" s="92" t="str">
        <f t="shared" si="33"/>
        <v>4053/4054</v>
      </c>
      <c r="L131" s="21" t="str">
        <f>VLOOKUP(A131,'Trips&amp;Operators'!$C$1:$G$99999,5,FALSE)</f>
        <v>LEVIN SCOTT</v>
      </c>
      <c r="M131" s="6">
        <f t="shared" si="34"/>
        <v>2.4629629631817807E-2</v>
      </c>
      <c r="N131" s="7">
        <f t="shared" si="52"/>
        <v>35.466666669817641</v>
      </c>
      <c r="O131" s="7"/>
      <c r="P131" s="7"/>
      <c r="Q131" s="22"/>
      <c r="R131" s="173"/>
      <c r="S131" s="176">
        <f t="shared" si="53"/>
        <v>1</v>
      </c>
      <c r="T131" s="202" t="str">
        <f t="shared" si="35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6"/>
        <v>https://d0f6bd738d7f1b3e5a7ca70fe4ff75f0.us-east-1.aws.found.io/app/kibana#/discover/Steve-Slow-Train-Analysis-(2080s-and-2083s)?_g=(refreshInterval:(display:Off,pause:!f,section:0,value:0),time:(from:'2017-06-13T14:11:57-0600',mode:absolute,to:'2017-06-13T16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1" s="204" t="str">
        <f t="shared" si="37"/>
        <v>N</v>
      </c>
      <c r="X131" s="204">
        <f t="shared" si="54"/>
        <v>1</v>
      </c>
      <c r="Y131" s="204">
        <f t="shared" si="48"/>
        <v>4.3499999999999997E-2</v>
      </c>
      <c r="Z131" s="204">
        <f t="shared" si="49"/>
        <v>23.340199999999999</v>
      </c>
      <c r="AA131" s="204">
        <f t="shared" si="40"/>
        <v>23.296699999999998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1"/>
        <v>0193-13</v>
      </c>
      <c r="AE131" s="80" t="str">
        <f t="shared" si="42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131" s="77" t="str">
        <f t="shared" si="43"/>
        <v>"C:\Program Files (x86)\AstroGrep\AstroGrep.exe" /e /r /s /spath="%USERPROFILE%\AppData\Local\Temp\OnboardLogs" /stypes="app*4054*20170613*" /stext=" 21:.+((SYSTEM_STATE.+slice.+state.+changed )|(ment ac)|(multiple cpu faults)|(system.+state.+changed )|(\[timeout)|(PRM\|1\|D)|(kpr)|(kdp)|(train st.+moving)|(\|lc)|(penalty))"</v>
      </c>
      <c r="AG131" s="1" t="str">
        <f t="shared" si="44"/>
        <v>EC</v>
      </c>
      <c r="AH131" s="81" t="str">
        <f t="shared" si="29"/>
        <v>"%USERPROFILE%\Documents\GitHub\eaglep3\Utilities\RefineRTDCRunTimes.py" --tripid 193-13 --locoid 4054 --swversion DE.1.0.9.0 --startMP 204:435 --initTime 2017-06-13T15:11:57 --startdatetime 2017-06-13T15:16:00 --delay 1 --endMP 204:233402 --enddatetime 2017-06-13T15:51:28 --enforcementcount 0 &gt;&gt;C:\Users\stu\Documents\GitHub\eaglep3-reporting\EC\2017-06-13-refined-times.txt</v>
      </c>
      <c r="AI131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{"issue":{"subject":"","project_id":79,"tracker_id":40,"status_id":1,"priority_id":2,"assigned_to_id":23,"start_date":"2017-06-13","description":"","custom_fields":[{"id":1,"name":"Subdivision","value":"EC"},{"id":4,"name":"Milepost","value":"23.3402"},{"id":17,"name":"Train ID","value":"193-13"},{"id":16,"name":"Locomotive ID","value":"4054"},{"id":130,"name":"Impact","value":""},{"id":150,"name":"Time of Event (Mountain Time)","value":"15:51:28"},{"id":151,"name":"Denver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31"/>
        <v>start /low /b %USERPROFILE%\Documents\GitHub\eaglep3\Utilities\DownloadLogsFromS3.py --loco 4054 --day 2017-06-13</v>
      </c>
      <c r="AN131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753</v>
      </c>
      <c r="B132" s="7">
        <v>4053</v>
      </c>
      <c r="C132" s="21" t="s">
        <v>204</v>
      </c>
      <c r="D132" s="21" t="s">
        <v>887</v>
      </c>
      <c r="E132" s="13">
        <v>42899.671979166669</v>
      </c>
      <c r="F132" s="13">
        <v>42899.675219907411</v>
      </c>
      <c r="G132" s="7">
        <v>1</v>
      </c>
      <c r="H132" s="21" t="s">
        <v>353</v>
      </c>
      <c r="I132" s="13">
        <v>42899.701921296299</v>
      </c>
      <c r="J132" s="7">
        <v>0</v>
      </c>
      <c r="K132" s="92" t="str">
        <f t="shared" si="33"/>
        <v>4053/4054</v>
      </c>
      <c r="L132" s="21" t="str">
        <f>VLOOKUP(A132,'Trips&amp;Operators'!$C$1:$G$99999,5,FALSE)</f>
        <v>LEVIN SCOTT</v>
      </c>
      <c r="M132" s="6">
        <f t="shared" si="34"/>
        <v>2.6701388887886424E-2</v>
      </c>
      <c r="N132" s="7">
        <f t="shared" si="52"/>
        <v>38.44999999855645</v>
      </c>
      <c r="O132" s="7"/>
      <c r="P132" s="7"/>
      <c r="Q132" s="22"/>
      <c r="R132" s="173"/>
      <c r="S132" s="176">
        <f t="shared" si="53"/>
        <v>1</v>
      </c>
      <c r="T132" s="202" t="str">
        <f t="shared" si="35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6"/>
        <v>https://d0f6bd738d7f1b3e5a7ca70fe4ff75f0.us-east-1.aws.found.io/app/kibana#/discover/Steve-Slow-Train-Analysis-(2080s-and-2083s)?_g=(refreshInterval:(display:Off,pause:!f,section:0,value:0),time:(from:'2017-06-13T15:07:39-0600',mode:absolute,to:'2017-06-13T17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2" s="204" t="str">
        <f t="shared" si="37"/>
        <v>N</v>
      </c>
      <c r="X132" s="204">
        <f t="shared" si="54"/>
        <v>1</v>
      </c>
      <c r="Y132" s="204">
        <f t="shared" si="48"/>
        <v>23.31</v>
      </c>
      <c r="Z132" s="204">
        <f t="shared" si="49"/>
        <v>1.43E-2</v>
      </c>
      <c r="AA132" s="204">
        <f t="shared" si="40"/>
        <v>23.2957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1"/>
        <v>0194-13</v>
      </c>
      <c r="AE132" s="80" t="str">
        <f t="shared" si="42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132" s="77" t="str">
        <f t="shared" si="43"/>
        <v>"C:\Program Files (x86)\AstroGrep\AstroGrep.exe" /e /r /s /spath="%USERPROFILE%\AppData\Local\Temp\OnboardLogs" /stypes="app*4053*20170613*" /stext=" 22:.+((SYSTEM_STATE.+slice.+state.+changed )|(ment ac)|(multiple cpu faults)|(system.+state.+changed )|(\[timeout)|(PRM\|1\|D)|(kpr)|(kdp)|(train st.+moving)|(\|lc)|(penalty))"</v>
      </c>
      <c r="AG132" s="1" t="str">
        <f t="shared" si="44"/>
        <v>EC</v>
      </c>
      <c r="AH132" s="81" t="str">
        <f t="shared" si="29"/>
        <v>"%USERPROFILE%\Documents\GitHub\eaglep3\Utilities\RefineRTDCRunTimes.py" --tripid 194-13 --locoid 4053 --swversion DE.1.0.9.0 --startMP 204:233100 --initTime 2017-06-13T16:07:39 --startdatetime 2017-06-13T16:12:19 --delay 1 --endMP 204:143 --enddatetime 2017-06-13T16:50:46 --enforcementcount 0 &gt;&gt;C:\Users\stu\Documents\GitHub\eaglep3-reporting\EC\2017-06-13-refined-times.txt</v>
      </c>
      <c r="AI132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{"issue":{"subject":"","project_id":79,"tracker_id":40,"status_id":1,"priority_id":2,"assigned_to_id":23,"start_date":"2017-06-13","description":"","custom_fields":[{"id":1,"name":"Subdivision","value":"EC"},{"id":4,"name":"Milepost","value":"0.0143"},{"id":17,"name":"Train ID","value":"194-13"},{"id":16,"name":"Locomotive ID","value":"4053"},{"id":130,"name":"Impact","value":""},{"id":150,"name":"Time of Event (Mountain Time)","value":"16:50:46"},{"id":151,"name":"Denver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31"/>
        <v>start /low /b %USERPROFILE%\Documents\GitHub\eaglep3\Utilities\DownloadLogsFromS3.py --loco 4053 --day 2017-06-13</v>
      </c>
      <c r="AN132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747</v>
      </c>
      <c r="B133" s="7">
        <v>4032</v>
      </c>
      <c r="C133" s="21" t="s">
        <v>204</v>
      </c>
      <c r="D133" s="21" t="s">
        <v>522</v>
      </c>
      <c r="E133" s="13">
        <v>42899.642384259256</v>
      </c>
      <c r="F133" s="13">
        <v>42899.646006944444</v>
      </c>
      <c r="G133" s="7">
        <v>0</v>
      </c>
      <c r="H133" s="21" t="s">
        <v>462</v>
      </c>
      <c r="I133" s="13">
        <v>42899.671666666669</v>
      </c>
      <c r="J133" s="7">
        <v>0</v>
      </c>
      <c r="K133" s="92" t="str">
        <f t="shared" si="33"/>
        <v>4031/4032</v>
      </c>
      <c r="L133" s="21" t="str">
        <f>VLOOKUP(A133,'Trips&amp;Operators'!$C$1:$G$99999,5,FALSE)</f>
        <v>ROBINSON KADDIBA</v>
      </c>
      <c r="M133" s="6">
        <f t="shared" si="34"/>
        <v>2.5659722225100268E-2</v>
      </c>
      <c r="N133" s="7">
        <f t="shared" si="52"/>
        <v>36.950000004144385</v>
      </c>
      <c r="O133" s="7"/>
      <c r="P133" s="7"/>
      <c r="Q133" s="22"/>
      <c r="R133" s="173"/>
      <c r="S133" s="176">
        <f t="shared" si="53"/>
        <v>1</v>
      </c>
      <c r="T133" s="202" t="str">
        <f t="shared" si="35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6"/>
        <v>https://d0f6bd738d7f1b3e5a7ca70fe4ff75f0.us-east-1.aws.found.io/app/kibana#/discover/Steve-Slow-Train-Analysis-(2080s-and-2083s)?_g=(refreshInterval:(display:Off,pause:!f,section:0,value:0),time:(from:'2017-06-13T14:25:02-0600',mode:absolute,to:'2017-06-13T17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204" t="str">
        <f t="shared" si="37"/>
        <v>N</v>
      </c>
      <c r="X133" s="204">
        <f t="shared" si="54"/>
        <v>1</v>
      </c>
      <c r="Y133" s="204">
        <f t="shared" si="48"/>
        <v>4.4200000000000003E-2</v>
      </c>
      <c r="Z133" s="204">
        <f t="shared" si="49"/>
        <v>23.330300000000001</v>
      </c>
      <c r="AA133" s="204">
        <f t="shared" si="40"/>
        <v>23.286100000000001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1"/>
        <v>0195-13</v>
      </c>
      <c r="AE133" s="80" t="str">
        <f t="shared" si="42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133" s="77" t="str">
        <f t="shared" si="43"/>
        <v>"C:\Program Files (x86)\AstroGrep\AstroGrep.exe" /e /r /s /spath="%USERPROFILE%\AppData\Local\Temp\OnboardLogs" /stypes="app*4032*20170613*" /stext=" 22:.+((SYSTEM_STATE.+slice.+state.+changed )|(ment ac)|(multiple cpu faults)|(system.+state.+changed )|(\[timeout)|(PRM\|1\|D)|(kpr)|(kdp)|(train st.+moving)|(\|lc)|(penalty))"</v>
      </c>
      <c r="AG133" s="1" t="str">
        <f t="shared" si="44"/>
        <v>EC</v>
      </c>
      <c r="AH133" s="81" t="str">
        <f t="shared" si="29"/>
        <v>"%USERPROFILE%\Documents\GitHub\eaglep3\Utilities\RefineRTDCRunTimes.py" --tripid 195-13 --locoid 4032 --swversion DE.1.0.9.0 --startMP 204:442 --initTime 2017-06-13T15:25:02 --startdatetime 2017-06-13T15:30:15 --delay 0 --endMP 204:233303 --enddatetime 2017-06-13T16:07:12 --enforcementcount 0 &gt;&gt;C:\Users\stu\Documents\GitHub\eaglep3-reporting\EC\2017-06-13-refined-times.txt</v>
      </c>
      <c r="AI133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{"issue":{"subject":"","project_id":79,"tracker_id":40,"status_id":1,"priority_id":2,"assigned_to_id":23,"start_date":"2017-06-13","description":"","custom_fields":[{"id":1,"name":"Subdivision","value":"EC"},{"id":4,"name":"Milepost","value":"23.3303"},{"id":17,"name":"Train ID","value":"195-13"},{"id":16,"name":"Locomotive ID","value":"4032"},{"id":130,"name":"Impact","value":""},{"id":150,"name":"Time of Event (Mountain Time)","value":"16:07:12"},{"id":151,"name":"Denver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31"/>
        <v>start /low /b %USERPROFILE%\Documents\GitHub\eaglep3\Utilities\DownloadLogsFromS3.py --loco 4032 --day 2017-06-13</v>
      </c>
      <c r="AN133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758</v>
      </c>
      <c r="B134" s="7">
        <v>4031</v>
      </c>
      <c r="C134" s="21" t="s">
        <v>204</v>
      </c>
      <c r="D134" s="21" t="s">
        <v>888</v>
      </c>
      <c r="E134" s="13">
        <v>42899.683865740742</v>
      </c>
      <c r="F134" s="13">
        <v>42899.685578703706</v>
      </c>
      <c r="G134" s="7">
        <v>1</v>
      </c>
      <c r="H134" s="21" t="s">
        <v>196</v>
      </c>
      <c r="I134" s="13">
        <v>42899.714097222219</v>
      </c>
      <c r="J134" s="7">
        <v>0</v>
      </c>
      <c r="K134" s="92" t="str">
        <f t="shared" si="33"/>
        <v>4031/4032</v>
      </c>
      <c r="L134" s="21" t="str">
        <f>VLOOKUP(A134,'Trips&amp;Operators'!$C$1:$G$99999,5,FALSE)</f>
        <v>ROBINSON KADDIBA</v>
      </c>
      <c r="M134" s="6">
        <f t="shared" si="34"/>
        <v>2.8518518513010349E-2</v>
      </c>
      <c r="N134" s="7">
        <f t="shared" si="52"/>
        <v>41.066666658734903</v>
      </c>
      <c r="O134" s="7"/>
      <c r="P134" s="7"/>
      <c r="Q134" s="22"/>
      <c r="R134" s="173"/>
      <c r="S134" s="176">
        <f t="shared" si="53"/>
        <v>1</v>
      </c>
      <c r="T134" s="202" t="str">
        <f t="shared" si="35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6"/>
        <v>https://d0f6bd738d7f1b3e5a7ca70fe4ff75f0.us-east-1.aws.found.io/app/kibana#/discover/Steve-Slow-Train-Analysis-(2080s-and-2083s)?_g=(refreshInterval:(display:Off,pause:!f,section:0,value:0),time:(from:'2017-06-13T15:24:46-0600',mode:absolute,to:'2017-06-13T18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204" t="str">
        <f t="shared" si="37"/>
        <v>N</v>
      </c>
      <c r="X134" s="204">
        <f t="shared" si="54"/>
        <v>1</v>
      </c>
      <c r="Y134" s="204">
        <f t="shared" si="48"/>
        <v>23.299199999999999</v>
      </c>
      <c r="Z134" s="204">
        <f t="shared" si="49"/>
        <v>1.5800000000000002E-2</v>
      </c>
      <c r="AA134" s="204">
        <f t="shared" si="40"/>
        <v>23.2834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1"/>
        <v>0196-13</v>
      </c>
      <c r="AE134" s="80" t="str">
        <f t="shared" si="42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134" s="77" t="str">
        <f t="shared" si="43"/>
        <v>"C:\Program Files (x86)\AstroGrep\AstroGrep.exe" /e /r /s /spath="%USERPROFILE%\AppData\Local\Temp\OnboardLogs" /stypes="app*4031*20170613*" /stext=" 23:.+((SYSTEM_STATE.+slice.+state.+changed )|(ment ac)|(multiple cpu faults)|(system.+state.+changed )|(\[timeout)|(PRM\|1\|D)|(kpr)|(kdp)|(train st.+moving)|(\|lc)|(penalty))"</v>
      </c>
      <c r="AG134" s="1" t="str">
        <f t="shared" si="44"/>
        <v>EC</v>
      </c>
      <c r="AH134" s="81" t="str">
        <f t="shared" si="29"/>
        <v>"%USERPROFILE%\Documents\GitHub\eaglep3\Utilities\RefineRTDCRunTimes.py" --tripid 196-13 --locoid 4031 --swversion DE.1.0.9.0 --startMP 204:232992 --initTime 2017-06-13T16:24:46 --startdatetime 2017-06-13T16:27:14 --delay 1 --endMP 204:158 --enddatetime 2017-06-13T17:08:18 --enforcementcount 0 &gt;&gt;C:\Users\stu\Documents\GitHub\eaglep3-reporting\EC\2017-06-13-refined-times.txt</v>
      </c>
      <c r="AI134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{"issue":{"subject":"","project_id":79,"tracker_id":40,"status_id":1,"priority_id":2,"assigned_to_id":23,"start_date":"2017-06-13","description":"","custom_fields":[{"id":1,"name":"Subdivision","value":"EC"},{"id":4,"name":"Milepost","value":"0.0158"},{"id":17,"name":"Train ID","value":"196-13"},{"id":16,"name":"Locomotive ID","value":"4031"},{"id":130,"name":"Impact","value":""},{"id":150,"name":"Time of Event (Mountain Time)","value":"17:08:18"},{"id":151,"name":"Denver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31"/>
        <v>start /low /b %USERPROFILE%\Documents\GitHub\eaglep3\Utilities\DownloadLogsFromS3.py --loco 4031 --day 2017-06-13</v>
      </c>
      <c r="AN134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609</v>
      </c>
      <c r="B135" s="7">
        <v>4042</v>
      </c>
      <c r="C135" s="21" t="s">
        <v>204</v>
      </c>
      <c r="D135" s="21" t="s">
        <v>874</v>
      </c>
      <c r="E135" s="13">
        <v>42899.651886574073</v>
      </c>
      <c r="F135" s="13">
        <v>42899.656574074077</v>
      </c>
      <c r="G135" s="7">
        <v>2</v>
      </c>
      <c r="H135" s="21" t="s">
        <v>474</v>
      </c>
      <c r="I135" s="13">
        <v>42899.682719907411</v>
      </c>
      <c r="J135" s="7">
        <v>0</v>
      </c>
      <c r="K135" s="92" t="str">
        <f t="shared" si="33"/>
        <v>4041/4042</v>
      </c>
      <c r="L135" s="21" t="str">
        <f>VLOOKUP(A135,'Trips&amp;Operators'!$C$1:$G$99999,5,FALSE)</f>
        <v>BRANDNER MELINDA</v>
      </c>
      <c r="M135" s="6">
        <f t="shared" si="34"/>
        <v>2.6145833333430346E-2</v>
      </c>
      <c r="N135" s="7">
        <f t="shared" si="52"/>
        <v>37.650000000139698</v>
      </c>
      <c r="O135" s="7"/>
      <c r="P135" s="7"/>
      <c r="Q135" s="22"/>
      <c r="R135" s="173"/>
      <c r="S135" s="176">
        <f t="shared" si="53"/>
        <v>1</v>
      </c>
      <c r="T135" s="202" t="str">
        <f t="shared" si="35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6"/>
        <v>https://d0f6bd738d7f1b3e5a7ca70fe4ff75f0.us-east-1.aws.found.io/app/kibana#/discover/Steve-Slow-Train-Analysis-(2080s-and-2083s)?_g=(refreshInterval:(display:Off,pause:!f,section:0,value:0),time:(from:'2017-06-13T14:38:43-0600',mode:absolute,to:'2017-06-13T17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204" t="str">
        <f t="shared" si="37"/>
        <v>N</v>
      </c>
      <c r="X135" s="204">
        <f t="shared" si="54"/>
        <v>1</v>
      </c>
      <c r="Y135" s="204">
        <f t="shared" si="48"/>
        <v>4.3799999999999999E-2</v>
      </c>
      <c r="Z135" s="204">
        <f t="shared" si="49"/>
        <v>23.334</v>
      </c>
      <c r="AA135" s="204">
        <f t="shared" si="40"/>
        <v>23.290199999999999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1"/>
        <v>0197-13</v>
      </c>
      <c r="AE135" s="80" t="str">
        <f t="shared" si="42"/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AF135" s="77" t="str">
        <f t="shared" si="43"/>
        <v>"C:\Program Files (x86)\AstroGrep\AstroGrep.exe" /e /r /s /spath="%USERPROFILE%\AppData\Local\Temp\OnboardLogs" /stypes="app*4042*20170613*" /stext=" 22:.+((SYSTEM_STATE.+slice.+state.+changed )|(ment ac)|(multiple cpu faults)|(system.+state.+changed )|(\[timeout)|(PRM\|1\|D)|(kpr)|(kdp)|(train st.+moving)|(\|lc)|(penalty))"</v>
      </c>
      <c r="AG135" s="1" t="str">
        <f t="shared" si="44"/>
        <v>EC</v>
      </c>
      <c r="AH135" s="81" t="str">
        <f t="shared" si="29"/>
        <v>"%USERPROFILE%\Documents\GitHub\eaglep3\Utilities\RefineRTDCRunTimes.py" --tripid 197-13 --locoid 4042 --swversion DE.1.0.9.0 --startMP 204:438 --initTime 2017-06-13T15:38:43 --startdatetime 2017-06-13T15:45:28 --delay 2 --endMP 204:233340 --enddatetime 2017-06-13T16:23:07 --enforcementcount 0 &gt;&gt;C:\Users\stu\Documents\GitHub\eaglep3-reporting\EC\2017-06-13-refined-times.txt</v>
      </c>
      <c r="AI135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{"issue":{"subject":"","project_id":79,"tracker_id":40,"status_id":1,"priority_id":2,"assigned_to_id":23,"start_date":"2017-06-13","description":"","custom_fields":[{"id":1,"name":"Subdivision","value":"EC"},{"id":4,"name":"Milepost","value":"23.334"},{"id":17,"name":"Train ID","value":"197-13"},{"id":16,"name":"Locomotive ID","value":"4042"},{"id":130,"name":"Impact","value":""},{"id":150,"name":"Time of Event (Mountain Time)","value":"16:23:07"},{"id":151,"name":"Denver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31"/>
        <v>start /low /b %USERPROFILE%\Documents\GitHub\eaglep3\Utilities\DownloadLogsFromS3.py --loco 4042 --day 2017-06-13</v>
      </c>
      <c r="AN135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610</v>
      </c>
      <c r="B136" s="7">
        <v>4041</v>
      </c>
      <c r="C136" s="21" t="s">
        <v>204</v>
      </c>
      <c r="D136" s="21" t="s">
        <v>873</v>
      </c>
      <c r="E136" s="13">
        <v>42899.691400462965</v>
      </c>
      <c r="F136" s="13">
        <v>42899.696435185186</v>
      </c>
      <c r="G136" s="7">
        <v>1</v>
      </c>
      <c r="H136" s="21" t="s">
        <v>889</v>
      </c>
      <c r="I136" s="13">
        <v>42899.725486111114</v>
      </c>
      <c r="J136" s="7">
        <v>0</v>
      </c>
      <c r="K136" s="92" t="str">
        <f t="shared" si="33"/>
        <v>4041/4042</v>
      </c>
      <c r="L136" s="21" t="str">
        <f>VLOOKUP(A136,'Trips&amp;Operators'!$C$1:$G$99999,5,FALSE)</f>
        <v>BRANDNER MELINDA</v>
      </c>
      <c r="M136" s="6">
        <f t="shared" si="34"/>
        <v>2.9050925928459037E-2</v>
      </c>
      <c r="N136" s="7">
        <f t="shared" si="52"/>
        <v>41.833333336981013</v>
      </c>
      <c r="O136" s="7"/>
      <c r="P136" s="7"/>
      <c r="Q136" s="22"/>
      <c r="R136" s="173"/>
      <c r="S136" s="176">
        <f t="shared" si="53"/>
        <v>1</v>
      </c>
      <c r="T136" s="202" t="str">
        <f t="shared" si="35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6"/>
        <v>https://d0f6bd738d7f1b3e5a7ca70fe4ff75f0.us-east-1.aws.found.io/app/kibana#/discover/Steve-Slow-Train-Analysis-(2080s-and-2083s)?_g=(refreshInterval:(display:Off,pause:!f,section:0,value:0),time:(from:'2017-06-13T15:35:37-0600',mode:absolute,to:'2017-06-13T18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204" t="str">
        <f t="shared" si="37"/>
        <v>N</v>
      </c>
      <c r="X136" s="204">
        <f t="shared" si="54"/>
        <v>1</v>
      </c>
      <c r="Y136" s="204">
        <f t="shared" si="48"/>
        <v>23.302800000000001</v>
      </c>
      <c r="Z136" s="204">
        <f t="shared" si="49"/>
        <v>9.5999999999999992E-3</v>
      </c>
      <c r="AA136" s="204">
        <f t="shared" si="40"/>
        <v>23.293200000000002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1"/>
        <v>0198-13</v>
      </c>
      <c r="AE136" s="80" t="str">
        <f t="shared" si="42"/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AF136" s="77" t="str">
        <f t="shared" si="43"/>
        <v>"C:\Program Files (x86)\AstroGrep\AstroGrep.exe" /e /r /s /spath="%USERPROFILE%\AppData\Local\Temp\OnboardLogs" /stypes="app*4041*20170613*" /stext=" 23:.+((SYSTEM_STATE.+slice.+state.+changed )|(ment ac)|(multiple cpu faults)|(system.+state.+changed )|(\[timeout)|(PRM\|1\|D)|(kpr)|(kdp)|(train st.+moving)|(\|lc)|(penalty))"</v>
      </c>
      <c r="AG136" s="1" t="str">
        <f t="shared" si="44"/>
        <v>EC</v>
      </c>
      <c r="AH136" s="81" t="str">
        <f t="shared" si="29"/>
        <v>"%USERPROFILE%\Documents\GitHub\eaglep3\Utilities\RefineRTDCRunTimes.py" --tripid 198-13 --locoid 4041 --swversion DE.1.0.9.0 --startMP 204:233028 --initTime 2017-06-13T16:35:37 --startdatetime 2017-06-13T16:42:52 --delay 1 --endMP 204:96 --enddatetime 2017-06-13T17:24:42 --enforcementcount 0 &gt;&gt;C:\Users\stu\Documents\GitHub\eaglep3-reporting\EC\2017-06-13-refined-times.txt</v>
      </c>
      <c r="AI136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{"issue":{"subject":"","project_id":79,"tracker_id":40,"status_id":1,"priority_id":2,"assigned_to_id":23,"start_date":"2017-06-13","description":"","custom_fields":[{"id":1,"name":"Subdivision","value":"EC"},{"id":4,"name":"Milepost","value":"0.0096"},{"id":17,"name":"Train ID","value":"198-13"},{"id":16,"name":"Locomotive ID","value":"4041"},{"id":130,"name":"Impact","value":""},{"id":150,"name":"Time of Event (Mountain Time)","value":"17:24:42"},{"id":151,"name":"Denver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31"/>
        <v>start /low /b %USERPROFILE%\Documents\GitHub\eaglep3\Utilities\DownloadLogsFromS3.py --loco 4041 --day 2017-06-13</v>
      </c>
      <c r="AN136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752</v>
      </c>
      <c r="B137" s="7">
        <v>4002</v>
      </c>
      <c r="C137" s="21" t="s">
        <v>204</v>
      </c>
      <c r="D137" s="21" t="s">
        <v>884</v>
      </c>
      <c r="E137" s="13">
        <v>42899.666712962964</v>
      </c>
      <c r="F137" s="13">
        <v>42899.668356481481</v>
      </c>
      <c r="G137" s="7">
        <v>1</v>
      </c>
      <c r="H137" s="21" t="s">
        <v>499</v>
      </c>
      <c r="I137" s="13">
        <v>42899.696122685185</v>
      </c>
      <c r="J137" s="7">
        <v>0</v>
      </c>
      <c r="K137" s="92" t="str">
        <f t="shared" si="33"/>
        <v>4001/4002</v>
      </c>
      <c r="L137" s="21" t="str">
        <f>VLOOKUP(A137,'Trips&amp;Operators'!$C$1:$G$99999,5,FALSE)</f>
        <v>DAVIS MICHAEL</v>
      </c>
      <c r="M137" s="6">
        <f t="shared" si="34"/>
        <v>2.7766203704231884E-2</v>
      </c>
      <c r="N137" s="7">
        <f t="shared" si="52"/>
        <v>39.983333334093913</v>
      </c>
      <c r="O137" s="7"/>
      <c r="P137" s="7"/>
      <c r="Q137" s="22"/>
      <c r="R137" s="173"/>
      <c r="S137" s="176">
        <f t="shared" si="53"/>
        <v>1</v>
      </c>
      <c r="T137" s="202" t="str">
        <f t="shared" si="35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6"/>
        <v>https://d0f6bd738d7f1b3e5a7ca70fe4ff75f0.us-east-1.aws.found.io/app/kibana#/discover/Steve-Slow-Train-Analysis-(2080s-and-2083s)?_g=(refreshInterval:(display:Off,pause:!f,section:0,value:0),time:(from:'2017-06-13T15:00:04-0600',mode:absolute,to:'2017-06-13T17:42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204" t="str">
        <f t="shared" si="37"/>
        <v>N</v>
      </c>
      <c r="X137" s="204">
        <f t="shared" si="54"/>
        <v>1</v>
      </c>
      <c r="Y137" s="204">
        <f t="shared" si="48"/>
        <v>4.3299999999999998E-2</v>
      </c>
      <c r="Z137" s="204">
        <f t="shared" si="49"/>
        <v>23.333200000000001</v>
      </c>
      <c r="AA137" s="204">
        <f t="shared" si="40"/>
        <v>23.289900000000003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1"/>
        <v>0199-13</v>
      </c>
      <c r="AE137" s="80" t="str">
        <f t="shared" si="42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137" s="77" t="str">
        <f t="shared" si="43"/>
        <v>"C:\Program Files (x86)\AstroGrep\AstroGrep.exe" /e /r /s /spath="%USERPROFILE%\AppData\Local\Temp\OnboardLogs" /stypes="app*4002*20170613*" /stext=" 22:.+((SYSTEM_STATE.+slice.+state.+changed )|(ment ac)|(multiple cpu faults)|(system.+state.+changed )|(\[timeout)|(PRM\|1\|D)|(kpr)|(kdp)|(train st.+moving)|(\|lc)|(penalty))"</v>
      </c>
      <c r="AG137" s="1" t="str">
        <f t="shared" si="44"/>
        <v>EC</v>
      </c>
      <c r="AH137" s="81" t="str">
        <f t="shared" si="29"/>
        <v>"%USERPROFILE%\Documents\GitHub\eaglep3\Utilities\RefineRTDCRunTimes.py" --tripid 199-13 --locoid 4002 --swversion DE.1.0.9.0 --startMP 204:433 --initTime 2017-06-13T16:00:04 --startdatetime 2017-06-13T16:02:26 --delay 1 --endMP 204:233332 --enddatetime 2017-06-13T16:42:25 --enforcementcount 0 &gt;&gt;C:\Users\stu\Documents\GitHub\eaglep3-reporting\EC\2017-06-13-refined-times.txt</v>
      </c>
      <c r="AI137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{"issue":{"subject":"","project_id":79,"tracker_id":40,"status_id":1,"priority_id":2,"assigned_to_id":23,"start_date":"2017-06-13","description":"","custom_fields":[{"id":1,"name":"Subdivision","value":"EC"},{"id":4,"name":"Milepost","value":"23.3332"},{"id":17,"name":"Train ID","value":"199-13"},{"id":16,"name":"Locomotive ID","value":"4002"},{"id":130,"name":"Impact","value":""},{"id":150,"name":"Time of Event (Mountain Time)","value":"16:42:25"},{"id":151,"name":"Denver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31"/>
        <v>start /low /b %USERPROFILE%\Documents\GitHub\eaglep3\Utilities\DownloadLogsFromS3.py --loco 4002 --day 2017-06-13</v>
      </c>
      <c r="AN137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22:42:25"},{"id":29,"name":"Sharepoint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611</v>
      </c>
      <c r="B138" s="7">
        <v>4001</v>
      </c>
      <c r="C138" s="21" t="s">
        <v>204</v>
      </c>
      <c r="D138" s="21" t="s">
        <v>890</v>
      </c>
      <c r="E138" s="13">
        <v>42899.704930555556</v>
      </c>
      <c r="F138" s="13">
        <v>42899.706770833334</v>
      </c>
      <c r="G138" s="7">
        <v>1</v>
      </c>
      <c r="H138" s="21" t="s">
        <v>445</v>
      </c>
      <c r="I138" s="13">
        <v>42899.734942129631</v>
      </c>
      <c r="J138" s="7">
        <v>0</v>
      </c>
      <c r="K138" s="92" t="str">
        <f t="shared" si="33"/>
        <v>4001/4002</v>
      </c>
      <c r="L138" s="21" t="str">
        <f>VLOOKUP(A138,'Trips&amp;Operators'!$C$1:$G$99999,5,FALSE)</f>
        <v>DAVIS MICHAEL</v>
      </c>
      <c r="M138" s="6">
        <f t="shared" si="34"/>
        <v>2.8171296296932269E-2</v>
      </c>
      <c r="N138" s="7">
        <f t="shared" si="52"/>
        <v>40.566666667582467</v>
      </c>
      <c r="O138" s="7"/>
      <c r="P138" s="7"/>
      <c r="Q138" s="22"/>
      <c r="R138" s="173"/>
      <c r="S138" s="176">
        <f t="shared" si="53"/>
        <v>1</v>
      </c>
      <c r="T138" s="202" t="str">
        <f t="shared" si="35"/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6"/>
        <v>https://d0f6bd738d7f1b3e5a7ca70fe4ff75f0.us-east-1.aws.found.io/app/kibana#/discover/Steve-Slow-Train-Analysis-(2080s-and-2083s)?_g=(refreshInterval:(display:Off,pause:!f,section:0,value:0),time:(from:'2017-06-13T15:55:06-0600',mode:absolute,to:'2017-06-13T18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204" t="str">
        <f t="shared" si="37"/>
        <v>N</v>
      </c>
      <c r="X138" s="204">
        <f t="shared" si="54"/>
        <v>1</v>
      </c>
      <c r="Y138" s="204">
        <f t="shared" si="48"/>
        <v>23.301300000000001</v>
      </c>
      <c r="Z138" s="204">
        <f t="shared" si="49"/>
        <v>1.5599999999999999E-2</v>
      </c>
      <c r="AA138" s="204">
        <f t="shared" si="40"/>
        <v>23.285700000000002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1"/>
        <v>0200-13</v>
      </c>
      <c r="AE138" s="80" t="str">
        <f t="shared" si="42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138" s="77" t="str">
        <f t="shared" si="43"/>
        <v>"C:\Program Files (x86)\AstroGrep\AstroGrep.exe" /e /r /s /spath="%USERPROFILE%\AppData\Local\Temp\OnboardLogs" /stypes="app*4001*20170613*" /stext=" 23:.+((SYSTEM_STATE.+slice.+state.+changed )|(ment ac)|(multiple cpu faults)|(system.+state.+changed )|(\[timeout)|(PRM\|1\|D)|(kpr)|(kdp)|(train st.+moving)|(\|lc)|(penalty))"</v>
      </c>
      <c r="AG138" s="1" t="str">
        <f t="shared" si="44"/>
        <v>EC</v>
      </c>
      <c r="AH138" s="81" t="str">
        <f t="shared" si="29"/>
        <v>"%USERPROFILE%\Documents\GitHub\eaglep3\Utilities\RefineRTDCRunTimes.py" --tripid 200-13 --locoid 4001 --swversion DE.1.0.9.0 --startMP 204:233013 --initTime 2017-06-13T16:55:06 --startdatetime 2017-06-13T16:57:45 --delay 1 --endMP 204:156 --enddatetime 2017-06-13T17:38:19 --enforcementcount 0 &gt;&gt;C:\Users\stu\Documents\GitHub\eaglep3-reporting\EC\2017-06-13-refined-times.txt</v>
      </c>
      <c r="AI138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{"issue":{"subject":"","project_id":79,"tracker_id":40,"status_id":1,"priority_id":2,"assigned_to_id":23,"start_date":"2017-06-13","description":"","custom_fields":[{"id":1,"name":"Subdivision","value":"EC"},{"id":4,"name":"Milepost","value":"0.0156"},{"id":17,"name":"Train ID","value":"200-13"},{"id":16,"name":"Locomotive ID","value":"4001"},{"id":130,"name":"Impact","value":""},{"id":150,"name":"Time of Event (Mountain Time)","value":"17:38:19"},{"id":151,"name":"Denver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31"/>
        <v>start /low /b %USERPROFILE%\Documents\GitHub\eaglep3\Utilities\DownloadLogsFromS3.py --loco 4001 --day 2017-06-13</v>
      </c>
      <c r="AN138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755</v>
      </c>
      <c r="B139" s="7">
        <v>4062</v>
      </c>
      <c r="C139" s="21" t="s">
        <v>204</v>
      </c>
      <c r="D139" s="21" t="s">
        <v>874</v>
      </c>
      <c r="E139" s="13">
        <v>42899.675092592595</v>
      </c>
      <c r="F139" s="13">
        <v>42899.677442129629</v>
      </c>
      <c r="G139" s="7">
        <v>1</v>
      </c>
      <c r="H139" s="21" t="s">
        <v>891</v>
      </c>
      <c r="I139" s="13">
        <v>42899.702326388891</v>
      </c>
      <c r="J139" s="7">
        <v>0</v>
      </c>
      <c r="K139" s="92" t="str">
        <f t="shared" si="33"/>
        <v>4061/4062</v>
      </c>
      <c r="L139" s="21" t="str">
        <f>VLOOKUP(A139,'Trips&amp;Operators'!$C$1:$G$99999,5,FALSE)</f>
        <v>MCREYNOLDS KYLE</v>
      </c>
      <c r="M139" s="6">
        <f t="shared" si="34"/>
        <v>2.4884259262762498E-2</v>
      </c>
      <c r="N139" s="7">
        <f t="shared" si="52"/>
        <v>35.833333338377997</v>
      </c>
      <c r="O139" s="7"/>
      <c r="P139" s="7"/>
      <c r="Q139" s="22"/>
      <c r="R139" s="173"/>
      <c r="S139" s="176">
        <f t="shared" si="53"/>
        <v>1</v>
      </c>
      <c r="T139" s="202" t="str">
        <f t="shared" si="35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6"/>
        <v>https://d0f6bd738d7f1b3e5a7ca70fe4ff75f0.us-east-1.aws.found.io/app/kibana#/discover/Steve-Slow-Train-Analysis-(2080s-and-2083s)?_g=(refreshInterval:(display:Off,pause:!f,section:0,value:0),time:(from:'2017-06-13T15:12:08-0600',mode:absolute,to:'2017-06-13T17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9" s="204" t="str">
        <f t="shared" si="37"/>
        <v>N</v>
      </c>
      <c r="X139" s="204">
        <f t="shared" si="54"/>
        <v>1</v>
      </c>
      <c r="Y139" s="204">
        <f t="shared" si="48"/>
        <v>4.3799999999999999E-2</v>
      </c>
      <c r="Z139" s="204">
        <f t="shared" si="49"/>
        <v>23.336600000000001</v>
      </c>
      <c r="AA139" s="204">
        <f t="shared" si="40"/>
        <v>23.2928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1"/>
        <v>0201-13</v>
      </c>
      <c r="AE139" s="80" t="str">
        <f t="shared" si="42"/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AF139" s="77" t="str">
        <f t="shared" si="43"/>
        <v>"C:\Program Files (x86)\AstroGrep\AstroGrep.exe" /e /r /s /spath="%USERPROFILE%\AppData\Local\Temp\OnboardLogs" /stypes="app*4062*20170613*" /stext=" 22:.+((SYSTEM_STATE.+slice.+state.+changed )|(ment ac)|(multiple cpu faults)|(system.+state.+changed )|(\[timeout)|(PRM\|1\|D)|(kpr)|(kdp)|(train st.+moving)|(\|lc)|(penalty))"</v>
      </c>
      <c r="AG139" s="1" t="str">
        <f t="shared" si="44"/>
        <v>EC</v>
      </c>
      <c r="AH139" s="81" t="str">
        <f t="shared" si="29"/>
        <v>"%USERPROFILE%\Documents\GitHub\eaglep3\Utilities\RefineRTDCRunTimes.py" --tripid 201-13 --locoid 4062 --swversion DE.1.0.9.0 --startMP 204:438 --initTime 2017-06-13T16:12:08 --startdatetime 2017-06-13T16:15:31 --delay 1 --endMP 204:233366 --enddatetime 2017-06-13T16:51:21 --enforcementcount 0 &gt;&gt;C:\Users\stu\Documents\GitHub\eaglep3-reporting\EC\2017-06-13-refined-times.txt</v>
      </c>
      <c r="AI139" s="99" t="str">
        <f t="shared" si="30"/>
        <v>echo {"issue":{"subject":"","project_id":79,"tracker_id":40,"status_id":1,"priority_id":2,"assigned_to_id":23,"start_date":"2017-06-13","description":"","custom_fields":[{"id":1,"name":"Subdivision","value":"EC"},{"id":4,"name":"Milepost","value":"23.3366"},{"id":17,"name":"Train ID","value":"201-13"},{"id":16,"name":"Locomotive ID","value":"4062"},{"id":130,"name":"Impact","value":""},{"id":150,"name":"Time of Event (Mountain Time)","value":"16:51:21"},{"id":151,"name":"Denver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31"/>
        <v>start /low /b %USERPROFILE%\Documents\GitHub\eaglep3\Utilities\DownloadLogsFromS3.py --loco 4062 --day 2017-06-13</v>
      </c>
      <c r="AN139" s="154" t="str">
        <f t="shared" si="32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613</v>
      </c>
      <c r="B140" s="7">
        <v>4061</v>
      </c>
      <c r="C140" s="21" t="s">
        <v>204</v>
      </c>
      <c r="D140" s="21" t="s">
        <v>874</v>
      </c>
      <c r="E140" s="13">
        <v>42899.675092592595</v>
      </c>
      <c r="F140" s="13">
        <v>42899.716932870368</v>
      </c>
      <c r="G140" s="7">
        <v>1</v>
      </c>
      <c r="H140" s="21" t="s">
        <v>891</v>
      </c>
      <c r="I140" s="13">
        <v>42899.744097222225</v>
      </c>
      <c r="J140" s="7">
        <v>0</v>
      </c>
      <c r="K140" s="92" t="str">
        <f t="shared" si="33"/>
        <v>4061/4062</v>
      </c>
      <c r="L140" s="21" t="s">
        <v>1019</v>
      </c>
      <c r="M140" s="6">
        <f t="shared" si="34"/>
        <v>2.7164351857209112E-2</v>
      </c>
      <c r="N140" s="7">
        <f t="shared" si="52"/>
        <v>39.116666674381122</v>
      </c>
      <c r="O140" s="7"/>
      <c r="P140" s="7"/>
      <c r="Q140" s="22"/>
      <c r="R140" s="173"/>
      <c r="S140" s="176">
        <f t="shared" si="53"/>
        <v>1</v>
      </c>
      <c r="T140" s="202" t="str">
        <f t="shared" si="35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6"/>
        <v>https://d0f6bd738d7f1b3e5a7ca70fe4ff75f0.us-east-1.aws.found.io/app/kibana#/discover/Steve-Slow-Train-Analysis-(2080s-and-2083s)?_g=(refreshInterval:(display:Off,pause:!f,section:0,value:0),time:(from:'2017-06-13T15:12:08-0600',mode:absolute,to:'2017-06-13T18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0" s="204" t="str">
        <f t="shared" si="37"/>
        <v>N</v>
      </c>
      <c r="X140" s="204">
        <f t="shared" ref="X140:X143" si="55">VALUE(LEFT(AD140,4))-VALUE(LEFT(AD139,4))</f>
        <v>1</v>
      </c>
      <c r="Y140" s="204">
        <v>23.301300000000001</v>
      </c>
      <c r="Z140" s="204">
        <v>1.5599999999999999E-2</v>
      </c>
      <c r="AA140" s="204">
        <f t="shared" si="40"/>
        <v>23.285700000000002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1"/>
        <v>0202-13</v>
      </c>
      <c r="AE140" s="80" t="str">
        <f t="shared" si="42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140" s="77" t="str">
        <f t="shared" si="43"/>
        <v>"C:\Program Files (x86)\AstroGrep\AstroGrep.exe" /e /r /s /spath="%USERPROFILE%\AppData\Local\Temp\OnboardLogs" /stypes="app*4061*20170613*" /stext=" 23:.+((SYSTEM_STATE.+slice.+state.+changed )|(ment ac)|(multiple cpu faults)|(system.+state.+changed )|(\[timeout)|(PRM\|1\|D)|(kpr)|(kdp)|(train st.+moving)|(\|lc)|(penalty))"</v>
      </c>
      <c r="AG140" s="1" t="str">
        <f t="shared" si="44"/>
        <v>EC</v>
      </c>
      <c r="AH140" s="81" t="str">
        <f t="shared" ref="AH140" si="56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202-13 --locoid 4061 --swversion DE.1.0.9.0 --startMP 204:438 --initTime 2017-06-13T16:12:08 --startdatetime 2017-06-13T17:12:23 --delay 1 --endMP 204:233366 --enddatetime 2017-06-13T17:51:30 --enforcementcount 0 &gt;&gt;C:\Users\stu\Documents\GitHub\eaglep3-reporting\EC\2017-06-13-refined-times.txt</v>
      </c>
      <c r="AI140" s="99" t="str">
        <f t="shared" ref="AI140" si="57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{"issue":{"subject":"","project_id":79,"tracker_id":40,"status_id":1,"priority_id":2,"assigned_to_id":23,"start_date":"2017-06-13","description":"","custom_fields":[{"id":1,"name":"Subdivision","value":"EC"},{"id":4,"name":"Milepost","value":"0.0156"},{"id":17,"name":"Train ID","value":"202-13"},{"id":16,"name":"Locomotive ID","value":"4061"},{"id":130,"name":"Impact","value":""},{"id":150,"name":"Time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ref="AM140" si="58">"start /low /b "&amp;dls3logs&amp;" --loco "&amp;B140&amp;" --day "&amp;TEXT(F140,"YYYY-MM-DD")</f>
        <v>start /low /b %USERPROFILE%\Documents\GitHub\eaglep3\Utilities\DownloadLogsFromS3.py --loco 4061 --day 2017-06-13</v>
      </c>
      <c r="AN140" s="154" t="str">
        <f t="shared" ref="AN140" si="59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1" spans="1:91" s="20" customFormat="1" x14ac:dyDescent="0.25">
      <c r="A141" s="32" t="s">
        <v>757</v>
      </c>
      <c r="B141" s="7">
        <v>4006</v>
      </c>
      <c r="C141" s="21" t="s">
        <v>204</v>
      </c>
      <c r="D141" s="21" t="s">
        <v>852</v>
      </c>
      <c r="E141" s="13">
        <v>42899.683761574073</v>
      </c>
      <c r="F141" s="13">
        <v>42899.687939814816</v>
      </c>
      <c r="G141" s="7">
        <v>1</v>
      </c>
      <c r="H141" s="21" t="s">
        <v>566</v>
      </c>
      <c r="I141" s="13">
        <v>42899.714120370372</v>
      </c>
      <c r="J141" s="7">
        <v>0</v>
      </c>
      <c r="K141" s="92" t="str">
        <f t="shared" ref="K141:K204" si="60">IF(ISEVEN(B141),(B141-1)&amp;"/"&amp;B141,B141&amp;"/"&amp;(B141+1))</f>
        <v>4005/4006</v>
      </c>
      <c r="L141" s="21" t="str">
        <f>VLOOKUP(A141,'Trips&amp;Operators'!$C$1:$G$99999,5,FALSE)</f>
        <v>STEWART MICHAEL</v>
      </c>
      <c r="M141" s="6">
        <f t="shared" ref="M141:M204" si="61">I141-F141</f>
        <v>2.6180555556493346E-2</v>
      </c>
      <c r="N141" s="7">
        <f t="shared" si="52"/>
        <v>37.700000001350418</v>
      </c>
      <c r="O141" s="7"/>
      <c r="P141" s="7"/>
      <c r="Q141" s="22"/>
      <c r="R141" s="173"/>
      <c r="S141" s="176">
        <f t="shared" si="53"/>
        <v>1</v>
      </c>
      <c r="T141" s="202" t="str">
        <f t="shared" ref="T141:T204" si="62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-13T15:24:37-0600',mode:absolute,to:'2017-06-13T18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204" t="str">
        <f t="shared" ref="W141:W204" si="64">IF(AA141&lt;IF(AG141="EC",23,5.65),"Y","N")</f>
        <v>N</v>
      </c>
      <c r="X141" s="204">
        <f t="shared" si="55"/>
        <v>1</v>
      </c>
      <c r="Y141" s="204">
        <f t="shared" ref="Y141:Y172" si="65">RIGHT(D141,LEN(D141)-4)/10000</f>
        <v>4.8899999999999999E-2</v>
      </c>
      <c r="Z141" s="204">
        <f t="shared" ref="Z141:Z172" si="66">RIGHT(H141,LEN(H141)-4)/10000</f>
        <v>23.328399999999998</v>
      </c>
      <c r="AA141" s="204">
        <f t="shared" ref="AA141:AA204" si="67">ABS(Z141-Y141)</f>
        <v>23.279499999999999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8">IF(LEN(A141)=6,"0"&amp;A141,A141)</f>
        <v>0203-13</v>
      </c>
      <c r="AE141" s="80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141" s="77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/stypes="app*4006*20170613*" /stext=" 23:.+((SYSTEM_STATE.+slice.+state.+changed )|(ment ac)|(multiple cpu faults)|(system.+state.+changed )|(\[timeout)|(PRM\|1\|D)|(kpr)|(kdp)|(train st.+moving)|(\|lc)|(penalty))"</v>
      </c>
      <c r="AG141" s="1" t="str">
        <f t="shared" ref="AG141:AG204" si="71">IFERROR(IF(VALUE(LEFT(AD141,2))&lt;=2,"EC",IF(OR(VALUE(LEFT(AD141,2))=8,VALUE(LEFT(AD141,2))=18),"NW","Other")),"Other")</f>
        <v>EC</v>
      </c>
      <c r="AH141" s="81" t="str">
        <f t="shared" ref="AH141:AH204" si="7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203-13 --locoid 4006 --swversion DE.1.0.9.0 --startMP 204:489 --initTime 2017-06-13T16:24:37 --startdatetime 2017-06-13T16:30:38 --delay 1 --endMP 204:233284 --enddatetime 2017-06-13T17:08:20 --enforcementcount 0 &gt;&gt;C:\Users\stu\Documents\GitHub\eaglep3-reporting\EC\2017-06-13-refined-times.txt</v>
      </c>
      <c r="AI141" s="99" t="str">
        <f t="shared" ref="AI141:AI204" si="7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{"issue":{"subject":"","project_id":79,"tracker_id":40,"status_id":1,"priority_id":2,"assigned_to_id":23,"start_date":"2017-06-13","description":"","custom_fields":[{"id":1,"name":"Subdivision","value":"EC"},{"id":4,"name":"Milepost","value":"23.3284"},{"id":17,"name":"Train ID","value":"203-13"},{"id":16,"name":"Locomotive ID","value":"4006"},{"id":130,"name":"Impact","value":""},{"id":150,"name":"Time of Event (Mountain Time)","value":"17:08:20"},{"id":151,"name":"Denver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4" si="74">"start /low /b "&amp;dls3logs&amp;" --loco "&amp;B141&amp;" --day "&amp;TEXT(F141,"YYYY-MM-DD")</f>
        <v>start /low /b %USERPROFILE%\Documents\GitHub\eaglep3\Utilities\DownloadLogsFromS3.py --loco 4006 --day 2017-06-13</v>
      </c>
      <c r="AN141" s="154" t="str">
        <f t="shared" ref="AN141:AN204" si="75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614</v>
      </c>
      <c r="B142" s="7">
        <v>4005</v>
      </c>
      <c r="C142" s="21" t="s">
        <v>204</v>
      </c>
      <c r="D142" s="21" t="s">
        <v>840</v>
      </c>
      <c r="E142" s="13">
        <v>42899.724641203706</v>
      </c>
      <c r="F142" s="13">
        <v>42899.727314814816</v>
      </c>
      <c r="G142" s="7">
        <v>1</v>
      </c>
      <c r="H142" s="21" t="s">
        <v>511</v>
      </c>
      <c r="I142" s="13">
        <v>42899.754583333335</v>
      </c>
      <c r="J142" s="7">
        <v>0</v>
      </c>
      <c r="K142" s="92" t="str">
        <f t="shared" si="60"/>
        <v>4005/4006</v>
      </c>
      <c r="L142" s="21" t="str">
        <f>VLOOKUP(A142,'Trips&amp;Operators'!$C$1:$G$99999,5,FALSE)</f>
        <v>STEWART MICHAEL</v>
      </c>
      <c r="M142" s="6">
        <f t="shared" si="61"/>
        <v>2.7268518519122154E-2</v>
      </c>
      <c r="N142" s="7">
        <f t="shared" si="52"/>
        <v>39.266666667535901</v>
      </c>
      <c r="O142" s="7"/>
      <c r="P142" s="7"/>
      <c r="Q142" s="22"/>
      <c r="R142" s="173"/>
      <c r="S142" s="176">
        <f t="shared" si="53"/>
        <v>1</v>
      </c>
      <c r="T142" s="202" t="str">
        <f t="shared" si="62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63"/>
        <v>https://d0f6bd738d7f1b3e5a7ca70fe4ff75f0.us-east-1.aws.found.io/app/kibana#/discover/Steve-Slow-Train-Analysis-(2080s-and-2083s)?_g=(refreshInterval:(display:Off,pause:!f,section:0,value:0),time:(from:'2017-06-13T16:23:29-0600',mode:absolute,to:'2017-06-13T19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204" t="str">
        <f t="shared" si="64"/>
        <v>N</v>
      </c>
      <c r="X142" s="204">
        <f t="shared" si="55"/>
        <v>1</v>
      </c>
      <c r="Y142" s="204">
        <f t="shared" si="65"/>
        <v>23.297999999999998</v>
      </c>
      <c r="Z142" s="204">
        <f t="shared" si="66"/>
        <v>1.67E-2</v>
      </c>
      <c r="AA142" s="204">
        <f t="shared" si="67"/>
        <v>23.281299999999998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8"/>
        <v>0204-13</v>
      </c>
      <c r="AE142" s="80" t="str">
        <f t="shared" si="69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142" s="77" t="str">
        <f t="shared" si="70"/>
        <v>"C:\Program Files (x86)\AstroGrep\AstroGrep.exe" /e /r /s /spath="%USERPROFILE%\AppData\Local\Temp\OnboardLogs" /stypes="app*4005*20170614*" /stext=" 00:.+((SYSTEM_STATE.+slice.+state.+changed )|(ment ac)|(multiple cpu faults)|(system.+state.+changed )|(\[timeout)|(PRM\|1\|D)|(kpr)|(kdp)|(train st.+moving)|(\|lc)|(penalty))"</v>
      </c>
      <c r="AG142" s="1" t="str">
        <f t="shared" si="71"/>
        <v>EC</v>
      </c>
      <c r="AH142" s="81" t="str">
        <f t="shared" si="72"/>
        <v>"%USERPROFILE%\Documents\GitHub\eaglep3\Utilities\RefineRTDCRunTimes.py" --tripid 204-13 --locoid 4005 --swversion DE.1.0.9.0 --startMP 204:232980 --initTime 2017-06-13T17:23:29 --startdatetime 2017-06-13T17:27:20 --delay 1 --endMP 204:167 --enddatetime 2017-06-13T18:06:36 --enforcementcount 0 &gt;&gt;C:\Users\stu\Documents\GitHub\eaglep3-reporting\EC\2017-06-13-refined-times.txt</v>
      </c>
      <c r="AI142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{"issue":{"subject":"","project_id":79,"tracker_id":40,"status_id":1,"priority_id":2,"assigned_to_id":23,"start_date":"2017-06-13","description":"","custom_fields":[{"id":1,"name":"Subdivision","value":"EC"},{"id":4,"name":"Milepost","value":"0.0167"},{"id":17,"name":"Train ID","value":"204-13"},{"id":16,"name":"Locomotive ID","value":"4005"},{"id":130,"name":"Impact","value":""},{"id":150,"name":"Time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74"/>
        <v>start /low /b %USERPROFILE%\Documents\GitHub\eaglep3\Utilities\DownloadLogsFromS3.py --loco 4005 --day 2017-06-13</v>
      </c>
      <c r="AN142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759</v>
      </c>
      <c r="B143" s="7">
        <v>4046</v>
      </c>
      <c r="C143" s="21" t="s">
        <v>204</v>
      </c>
      <c r="D143" s="21" t="s">
        <v>828</v>
      </c>
      <c r="E143" s="13">
        <v>42899.691782407404</v>
      </c>
      <c r="F143" s="13">
        <v>42899.69809027778</v>
      </c>
      <c r="G143" s="7">
        <v>1</v>
      </c>
      <c r="H143" s="21" t="s">
        <v>470</v>
      </c>
      <c r="I143" s="13">
        <v>42899.722581018519</v>
      </c>
      <c r="J143" s="7">
        <v>0</v>
      </c>
      <c r="K143" s="92" t="str">
        <f t="shared" si="60"/>
        <v>4045/4046</v>
      </c>
      <c r="L143" s="21" t="str">
        <f>VLOOKUP(A143,'Trips&amp;Operators'!$C$1:$G$99999,5,FALSE)</f>
        <v>NEWELL JAMES</v>
      </c>
      <c r="M143" s="6">
        <f t="shared" si="61"/>
        <v>2.4490740739565808E-2</v>
      </c>
      <c r="N143" s="7">
        <f t="shared" si="52"/>
        <v>35.266666664974764</v>
      </c>
      <c r="O143" s="7"/>
      <c r="P143" s="7"/>
      <c r="Q143" s="22"/>
      <c r="R143" s="173"/>
      <c r="S143" s="176">
        <f t="shared" si="53"/>
        <v>1</v>
      </c>
      <c r="T143" s="202" t="str">
        <f t="shared" si="62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63"/>
        <v>https://d0f6bd738d7f1b3e5a7ca70fe4ff75f0.us-east-1.aws.found.io/app/kibana#/discover/Steve-Slow-Train-Analysis-(2080s-and-2083s)?_g=(refreshInterval:(display:Off,pause:!f,section:0,value:0),time:(from:'2017-06-13T15:36:10-0600',mode:absolute,to:'2017-06-13T18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3" s="204" t="str">
        <f t="shared" si="64"/>
        <v>N</v>
      </c>
      <c r="X143" s="204">
        <f t="shared" si="55"/>
        <v>1</v>
      </c>
      <c r="Y143" s="204">
        <f t="shared" si="65"/>
        <v>4.2900000000000001E-2</v>
      </c>
      <c r="Z143" s="204">
        <f t="shared" si="66"/>
        <v>23.330200000000001</v>
      </c>
      <c r="AA143" s="204">
        <f t="shared" si="67"/>
        <v>23.287300000000002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8"/>
        <v>0205-13</v>
      </c>
      <c r="AE143" s="80" t="str">
        <f t="shared" si="69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143" s="77" t="str">
        <f t="shared" si="70"/>
        <v>"C:\Program Files (x86)\AstroGrep\AstroGrep.exe" /e /r /s /spath="%USERPROFILE%\AppData\Local\Temp\OnboardLogs" /stypes="app*4046*20170613*" /stext=" 23:.+((SYSTEM_STATE.+slice.+state.+changed )|(ment ac)|(multiple cpu faults)|(system.+state.+changed )|(\[timeout)|(PRM\|1\|D)|(kpr)|(kdp)|(train st.+moving)|(\|lc)|(penalty))"</v>
      </c>
      <c r="AG143" s="1" t="str">
        <f t="shared" si="71"/>
        <v>EC</v>
      </c>
      <c r="AH143" s="81" t="str">
        <f t="shared" si="72"/>
        <v>"%USERPROFILE%\Documents\GitHub\eaglep3\Utilities\RefineRTDCRunTimes.py" --tripid 205-13 --locoid 4046 --swversion DE.1.0.9.0 --startMP 204:429 --initTime 2017-06-13T16:36:10 --startdatetime 2017-06-13T16:45:15 --delay 1 --endMP 204:233302 --enddatetime 2017-06-13T17:20:31 --enforcementcount 0 &gt;&gt;C:\Users\stu\Documents\GitHub\eaglep3-reporting\EC\2017-06-13-refined-times.txt</v>
      </c>
      <c r="AI143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{"issue":{"subject":"","project_id":79,"tracker_id":40,"status_id":1,"priority_id":2,"assigned_to_id":23,"start_date":"2017-06-13","description":"","custom_fields":[{"id":1,"name":"Subdivision","value":"EC"},{"id":4,"name":"Milepost","value":"23.3302"},{"id":17,"name":"Train ID","value":"205-13"},{"id":16,"name":"Locomotive ID","value":"4046"},{"id":130,"name":"Impact","value":""},{"id":150,"name":"Time of Event (Mountain Time)","value":"17:20:31"},{"id":151,"name":"Denver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74"/>
        <v>start /low /b %USERPROFILE%\Documents\GitHub\eaglep3\Utilities\DownloadLogsFromS3.py --loco 4046 --day 2017-06-13</v>
      </c>
      <c r="AN143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771</v>
      </c>
      <c r="B144" s="7">
        <v>4045</v>
      </c>
      <c r="C144" s="21" t="s">
        <v>204</v>
      </c>
      <c r="D144" s="21" t="s">
        <v>892</v>
      </c>
      <c r="E144" s="13">
        <v>42899.733495370368</v>
      </c>
      <c r="F144" s="13">
        <v>42899.737650462965</v>
      </c>
      <c r="G144" s="7">
        <v>2</v>
      </c>
      <c r="H144" s="21" t="s">
        <v>362</v>
      </c>
      <c r="I144" s="13">
        <v>42899.763541666667</v>
      </c>
      <c r="J144" s="7">
        <v>0</v>
      </c>
      <c r="K144" s="92" t="str">
        <f t="shared" si="60"/>
        <v>4045/4046</v>
      </c>
      <c r="L144" s="21" t="str">
        <f>VLOOKUP(A144,'Trips&amp;Operators'!$C$1:$G$99999,5,FALSE)</f>
        <v>NEWELL JAMES</v>
      </c>
      <c r="M144" s="6">
        <f t="shared" si="61"/>
        <v>2.5891203702485655E-2</v>
      </c>
      <c r="N144" s="7">
        <f t="shared" si="52"/>
        <v>37.283333331579342</v>
      </c>
      <c r="O144" s="7"/>
      <c r="P144" s="7"/>
      <c r="Q144" s="22"/>
      <c r="R144" s="173"/>
      <c r="S144" s="176">
        <f t="shared" si="53"/>
        <v>1</v>
      </c>
      <c r="T144" s="202" t="str">
        <f t="shared" si="62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63"/>
        <v>https://d0f6bd738d7f1b3e5a7ca70fe4ff75f0.us-east-1.aws.found.io/app/kibana#/discover/Steve-Slow-Train-Analysis-(2080s-and-2083s)?_g=(refreshInterval:(display:Off,pause:!f,section:0,value:0),time:(from:'2017-06-13T16:36:14-0600',mode:absolute,to:'2017-06-13T19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204" t="str">
        <f t="shared" si="64"/>
        <v>N</v>
      </c>
      <c r="X144" s="204">
        <f t="shared" ref="X144:X175" si="76">VALUE(LEFT(AD144,4))-VALUE(LEFT(AD143,4))</f>
        <v>1</v>
      </c>
      <c r="Y144" s="204">
        <f t="shared" si="65"/>
        <v>23.3004</v>
      </c>
      <c r="Z144" s="204">
        <f t="shared" si="66"/>
        <v>1.47E-2</v>
      </c>
      <c r="AA144" s="204">
        <f t="shared" si="67"/>
        <v>23.285699999999999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8"/>
        <v>0206-13</v>
      </c>
      <c r="AE144" s="80" t="str">
        <f t="shared" si="69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144" s="77" t="str">
        <f t="shared" si="70"/>
        <v>"C:\Program Files (x86)\AstroGrep\AstroGrep.exe" /e /r /s /spath="%USERPROFILE%\AppData\Local\Temp\OnboardLogs" /stypes="app*4045*20170614*" /stext=" 00:.+((SYSTEM_STATE.+slice.+state.+changed )|(ment ac)|(multiple cpu faults)|(system.+state.+changed )|(\[timeout)|(PRM\|1\|D)|(kpr)|(kdp)|(train st.+moving)|(\|lc)|(penalty))"</v>
      </c>
      <c r="AG144" s="1" t="str">
        <f t="shared" si="71"/>
        <v>EC</v>
      </c>
      <c r="AH144" s="81" t="str">
        <f t="shared" si="72"/>
        <v>"%USERPROFILE%\Documents\GitHub\eaglep3\Utilities\RefineRTDCRunTimes.py" --tripid 206-13 --locoid 4045 --swversion DE.1.0.9.0 --startMP 204:233004 --initTime 2017-06-13T17:36:14 --startdatetime 2017-06-13T17:42:13 --delay 2 --endMP 204:147 --enddatetime 2017-06-13T18:19:30 --enforcementcount 0 &gt;&gt;C:\Users\stu\Documents\GitHub\eaglep3-reporting\EC\2017-06-13-refined-times.txt</v>
      </c>
      <c r="AI144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{"issue":{"subject":"","project_id":79,"tracker_id":40,"status_id":1,"priority_id":2,"assigned_to_id":23,"start_date":"2017-06-13","description":"","custom_fields":[{"id":1,"name":"Subdivision","value":"EC"},{"id":4,"name":"Milepost","value":"0.0147"},{"id":17,"name":"Train ID","value":"206-13"},{"id":16,"name":"Locomotive ID","value":"4045"},{"id":130,"name":"Impact","value":""},{"id":150,"name":"Time of Event (Mountain Time)","value":"18:19:30"},{"id":151,"name":"Denver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4"/>
        <v>start /low /b %USERPROFILE%\Documents\GitHub\eaglep3\Utilities\DownloadLogsFromS3.py --loco 4045 --day 2017-06-13</v>
      </c>
      <c r="AN144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764</v>
      </c>
      <c r="B145" s="7">
        <v>4054</v>
      </c>
      <c r="C145" s="21" t="s">
        <v>204</v>
      </c>
      <c r="D145" s="21" t="s">
        <v>349</v>
      </c>
      <c r="E145" s="13">
        <v>42899.703668981485</v>
      </c>
      <c r="F145" s="13">
        <v>42899.708692129629</v>
      </c>
      <c r="G145" s="7">
        <v>1</v>
      </c>
      <c r="H145" s="21" t="s">
        <v>893</v>
      </c>
      <c r="I145" s="13">
        <v>42899.734074074076</v>
      </c>
      <c r="J145" s="7">
        <v>0</v>
      </c>
      <c r="K145" s="92" t="str">
        <f t="shared" si="60"/>
        <v>4053/4054</v>
      </c>
      <c r="L145" s="21" t="str">
        <f>VLOOKUP(A145,'Trips&amp;Operators'!$C$1:$G$99999,5,FALSE)</f>
        <v>LEVIN SCOTT</v>
      </c>
      <c r="M145" s="6">
        <f t="shared" si="61"/>
        <v>2.5381944447872229E-2</v>
      </c>
      <c r="N145" s="7">
        <f t="shared" si="52"/>
        <v>36.55000000493601</v>
      </c>
      <c r="O145" s="7"/>
      <c r="P145" s="7"/>
      <c r="Q145" s="22"/>
      <c r="R145" s="173"/>
      <c r="S145" s="176">
        <f t="shared" si="53"/>
        <v>1</v>
      </c>
      <c r="T145" s="202" t="str">
        <f t="shared" si="62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63"/>
        <v>https://d0f6bd738d7f1b3e5a7ca70fe4ff75f0.us-east-1.aws.found.io/app/kibana#/discover/Steve-Slow-Train-Analysis-(2080s-and-2083s)?_g=(refreshInterval:(display:Off,pause:!f,section:0,value:0),time:(from:'2017-06-13T15:53:17-0600',mode:absolute,to:'2017-06-13T18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204" t="str">
        <f t="shared" si="64"/>
        <v>N</v>
      </c>
      <c r="X145" s="204">
        <f t="shared" si="76"/>
        <v>1</v>
      </c>
      <c r="Y145" s="204">
        <f t="shared" si="65"/>
        <v>4.4600000000000001E-2</v>
      </c>
      <c r="Z145" s="204">
        <f t="shared" si="66"/>
        <v>23.337199999999999</v>
      </c>
      <c r="AA145" s="204">
        <f t="shared" si="67"/>
        <v>23.2926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8"/>
        <v>0207-13</v>
      </c>
      <c r="AE145" s="80" t="str">
        <f t="shared" si="69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145" s="77" t="str">
        <f t="shared" si="70"/>
        <v>"C:\Program Files (x86)\AstroGrep\AstroGrep.exe" /e /r /s /spath="%USERPROFILE%\AppData\Local\Temp\OnboardLogs" /stypes="app*4054*20170613*" /stext=" 23:.+((SYSTEM_STATE.+slice.+state.+changed )|(ment ac)|(multiple cpu faults)|(system.+state.+changed )|(\[timeout)|(PRM\|1\|D)|(kpr)|(kdp)|(train st.+moving)|(\|lc)|(penalty))"</v>
      </c>
      <c r="AG145" s="1" t="str">
        <f t="shared" si="71"/>
        <v>EC</v>
      </c>
      <c r="AH145" s="81" t="str">
        <f t="shared" si="72"/>
        <v>"%USERPROFILE%\Documents\GitHub\eaglep3\Utilities\RefineRTDCRunTimes.py" --tripid 207-13 --locoid 4054 --swversion DE.1.0.9.0 --startMP 204:446 --initTime 2017-06-13T16:53:17 --startdatetime 2017-06-13T17:00:31 --delay 1 --endMP 204:233372 --enddatetime 2017-06-13T17:37:04 --enforcementcount 0 &gt;&gt;C:\Users\stu\Documents\GitHub\eaglep3-reporting\EC\2017-06-13-refined-times.txt</v>
      </c>
      <c r="AI145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{"issue":{"subject":"","project_id":79,"tracker_id":40,"status_id":1,"priority_id":2,"assigned_to_id":23,"start_date":"2017-06-13","description":"","custom_fields":[{"id":1,"name":"Subdivision","value":"EC"},{"id":4,"name":"Milepost","value":"23.3372"},{"id":17,"name":"Train ID","value":"207-13"},{"id":16,"name":"Locomotive ID","value":"4054"},{"id":130,"name":"Impact","value":""},{"id":150,"name":"Time of Event (Mountain Time)","value":"17:37:04"},{"id":151,"name":"Denver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4"/>
        <v>start /low /b %USERPROFILE%\Documents\GitHub\eaglep3\Utilities\DownloadLogsFromS3.py --loco 4054 --day 2017-06-13</v>
      </c>
      <c r="AN145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775</v>
      </c>
      <c r="B146" s="7">
        <v>4053</v>
      </c>
      <c r="C146" s="21" t="s">
        <v>204</v>
      </c>
      <c r="D146" s="21" t="s">
        <v>894</v>
      </c>
      <c r="E146" s="13">
        <v>42899.744687500002</v>
      </c>
      <c r="F146" s="13">
        <v>42899.748310185183</v>
      </c>
      <c r="G146" s="7">
        <v>1</v>
      </c>
      <c r="H146" s="21" t="s">
        <v>560</v>
      </c>
      <c r="I146" s="13">
        <v>42899.775405092594</v>
      </c>
      <c r="J146" s="7">
        <v>0</v>
      </c>
      <c r="K146" s="92" t="str">
        <f t="shared" si="60"/>
        <v>4053/4054</v>
      </c>
      <c r="L146" s="21" t="str">
        <f>VLOOKUP(A146,'Trips&amp;Operators'!$C$1:$G$99999,5,FALSE)</f>
        <v>LEVIN SCOTT</v>
      </c>
      <c r="M146" s="6">
        <f t="shared" si="61"/>
        <v>2.7094907411083113E-2</v>
      </c>
      <c r="N146" s="7">
        <f t="shared" si="52"/>
        <v>39.016666671959683</v>
      </c>
      <c r="O146" s="7"/>
      <c r="P146" s="7"/>
      <c r="Q146" s="22"/>
      <c r="R146" s="173"/>
      <c r="S146" s="176">
        <f t="shared" si="53"/>
        <v>1</v>
      </c>
      <c r="T146" s="202" t="str">
        <f t="shared" si="62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63"/>
        <v>https://d0f6bd738d7f1b3e5a7ca70fe4ff75f0.us-east-1.aws.found.io/app/kibana#/discover/Steve-Slow-Train-Analysis-(2080s-and-2083s)?_g=(refreshInterval:(display:Off,pause:!f,section:0,value:0),time:(from:'2017-06-13T16:52:21-0600',mode:absolute,to:'2017-06-13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204" t="str">
        <f t="shared" si="64"/>
        <v>N</v>
      </c>
      <c r="X146" s="204">
        <f t="shared" si="76"/>
        <v>1</v>
      </c>
      <c r="Y146" s="204">
        <f t="shared" si="65"/>
        <v>23.3065</v>
      </c>
      <c r="Z146" s="204">
        <f t="shared" si="66"/>
        <v>1.38E-2</v>
      </c>
      <c r="AA146" s="204">
        <f t="shared" si="67"/>
        <v>23.2927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8"/>
        <v>0208-13</v>
      </c>
      <c r="AE146" s="80" t="str">
        <f t="shared" si="69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146" s="77" t="str">
        <f t="shared" si="70"/>
        <v>"C:\Program Files (x86)\AstroGrep\AstroGrep.exe" /e /r /s /spath="%USERPROFILE%\AppData\Local\Temp\OnboardLogs" /stypes="app*4053*20170614*" /stext=" 00:.+((SYSTEM_STATE.+slice.+state.+changed )|(ment ac)|(multiple cpu faults)|(system.+state.+changed )|(\[timeout)|(PRM\|1\|D)|(kpr)|(kdp)|(train st.+moving)|(\|lc)|(penalty))"</v>
      </c>
      <c r="AG146" s="1" t="str">
        <f t="shared" si="71"/>
        <v>EC</v>
      </c>
      <c r="AH146" s="81" t="str">
        <f t="shared" si="72"/>
        <v>"%USERPROFILE%\Documents\GitHub\eaglep3\Utilities\RefineRTDCRunTimes.py" --tripid 208-13 --locoid 4053 --swversion DE.1.0.9.0 --startMP 204:233065 --initTime 2017-06-13T17:52:21 --startdatetime 2017-06-13T17:57:34 --delay 1 --endMP 204:138 --enddatetime 2017-06-13T18:36:35 --enforcementcount 0 &gt;&gt;C:\Users\stu\Documents\GitHub\eaglep3-reporting\EC\2017-06-13-refined-times.txt</v>
      </c>
      <c r="AI146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{"issue":{"subject":"","project_id":79,"tracker_id":40,"status_id":1,"priority_id":2,"assigned_to_id":23,"start_date":"2017-06-13","description":"","custom_fields":[{"id":1,"name":"Subdivision","value":"EC"},{"id":4,"name":"Milepost","value":"0.0138"},{"id":17,"name":"Train ID","value":"208-13"},{"id":16,"name":"Locomotive ID","value":"4053"},{"id":130,"name":"Impact","value":""},{"id":150,"name":"Time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4"/>
        <v>start /low /b %USERPROFILE%\Documents\GitHub\eaglep3\Utilities\DownloadLogsFromS3.py --loco 4053 --day 2017-06-13</v>
      </c>
      <c r="AN146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767</v>
      </c>
      <c r="B147" s="7">
        <v>4032</v>
      </c>
      <c r="C147" s="21" t="s">
        <v>204</v>
      </c>
      <c r="D147" s="21" t="s">
        <v>895</v>
      </c>
      <c r="E147" s="13">
        <v>42899.715983796297</v>
      </c>
      <c r="F147" s="13">
        <v>42899.718900462962</v>
      </c>
      <c r="G147" s="7">
        <v>1</v>
      </c>
      <c r="H147" s="21" t="s">
        <v>499</v>
      </c>
      <c r="I147" s="13">
        <v>42899.744409722225</v>
      </c>
      <c r="J147" s="7">
        <v>0</v>
      </c>
      <c r="K147" s="92" t="str">
        <f t="shared" si="60"/>
        <v>4031/4032</v>
      </c>
      <c r="L147" s="21" t="str">
        <f>VLOOKUP(A147,'Trips&amp;Operators'!$C$1:$G$99999,5,FALSE)</f>
        <v>ROBINSON KADDIBA</v>
      </c>
      <c r="M147" s="6">
        <f t="shared" si="61"/>
        <v>2.5509259263344575E-2</v>
      </c>
      <c r="N147" s="7">
        <f t="shared" si="52"/>
        <v>36.733333339216188</v>
      </c>
      <c r="O147" s="7"/>
      <c r="P147" s="7"/>
      <c r="Q147" s="22"/>
      <c r="R147" s="173"/>
      <c r="S147" s="176">
        <f t="shared" si="53"/>
        <v>1</v>
      </c>
      <c r="T147" s="202" t="str">
        <f t="shared" si="62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63"/>
        <v>https://d0f6bd738d7f1b3e5a7ca70fe4ff75f0.us-east-1.aws.found.io/app/kibana#/discover/Steve-Slow-Train-Analysis-(2080s-and-2083s)?_g=(refreshInterval:(display:Off,pause:!f,section:0,value:0),time:(from:'2017-06-13T16:11:01-0600',mode:absolute,to:'2017-06-13T18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204" t="str">
        <f t="shared" si="64"/>
        <v>N</v>
      </c>
      <c r="X147" s="204">
        <f t="shared" si="76"/>
        <v>1</v>
      </c>
      <c r="Y147" s="204">
        <f t="shared" si="65"/>
        <v>4.9299999999999997E-2</v>
      </c>
      <c r="Z147" s="204">
        <f t="shared" si="66"/>
        <v>23.333200000000001</v>
      </c>
      <c r="AA147" s="204">
        <f t="shared" si="67"/>
        <v>23.283900000000003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8"/>
        <v>0209-13</v>
      </c>
      <c r="AE147" s="80" t="str">
        <f t="shared" si="69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147" s="77" t="str">
        <f t="shared" si="70"/>
        <v>"C:\Program Files (x86)\AstroGrep\AstroGrep.exe" /e /r /s /spath="%USERPROFILE%\AppData\Local\Temp\OnboardLogs" /stypes="app*4032*20170613*" /stext=" 23:.+((SYSTEM_STATE.+slice.+state.+changed )|(ment ac)|(multiple cpu faults)|(system.+state.+changed )|(\[timeout)|(PRM\|1\|D)|(kpr)|(kdp)|(train st.+moving)|(\|lc)|(penalty))"</v>
      </c>
      <c r="AG147" s="1" t="str">
        <f t="shared" si="71"/>
        <v>EC</v>
      </c>
      <c r="AH147" s="81" t="str">
        <f t="shared" si="72"/>
        <v>"%USERPROFILE%\Documents\GitHub\eaglep3\Utilities\RefineRTDCRunTimes.py" --tripid 209-13 --locoid 4032 --swversion DE.1.0.9.0 --startMP 204:493 --initTime 2017-06-13T17:11:01 --startdatetime 2017-06-13T17:15:13 --delay 1 --endMP 204:233332 --enddatetime 2017-06-13T17:51:57 --enforcementcount 0 &gt;&gt;C:\Users\stu\Documents\GitHub\eaglep3-reporting\EC\2017-06-13-refined-times.txt</v>
      </c>
      <c r="AI147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{"issue":{"subject":"","project_id":79,"tracker_id":40,"status_id":1,"priority_id":2,"assigned_to_id":23,"start_date":"2017-06-13","description":"","custom_fields":[{"id":1,"name":"Subdivision","value":"EC"},{"id":4,"name":"Milepost","value":"23.3332"},{"id":17,"name":"Train ID","value":"209-13"},{"id":16,"name":"Locomotive ID","value":"4032"},{"id":130,"name":"Impact","value":""},{"id":150,"name":"Time of Event (Mountain Time)","value":"17:51:57"},{"id":151,"name":"Denver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4"/>
        <v>start /low /b %USERPROFILE%\Documents\GitHub\eaglep3\Utilities\DownloadLogsFromS3.py --loco 4032 --day 2017-06-13</v>
      </c>
      <c r="AN147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777</v>
      </c>
      <c r="B148" s="7">
        <v>4031</v>
      </c>
      <c r="C148" s="21" t="s">
        <v>204</v>
      </c>
      <c r="D148" s="21" t="s">
        <v>873</v>
      </c>
      <c r="E148" s="13">
        <v>42899.756886574076</v>
      </c>
      <c r="F148" s="13">
        <v>42899.758518518516</v>
      </c>
      <c r="G148" s="7">
        <v>1</v>
      </c>
      <c r="H148" s="21" t="s">
        <v>351</v>
      </c>
      <c r="I148" s="13">
        <v>42899.785370370373</v>
      </c>
      <c r="J148" s="7">
        <v>0</v>
      </c>
      <c r="K148" s="92" t="str">
        <f t="shared" si="60"/>
        <v>4031/4032</v>
      </c>
      <c r="L148" s="21" t="str">
        <f>VLOOKUP(A148,'Trips&amp;Operators'!$C$1:$G$99999,5,FALSE)</f>
        <v>ROBINSON KADDIBA</v>
      </c>
      <c r="M148" s="6">
        <f t="shared" si="61"/>
        <v>2.6851851856918074E-2</v>
      </c>
      <c r="N148" s="7">
        <f t="shared" si="52"/>
        <v>38.666666673962027</v>
      </c>
      <c r="O148" s="7"/>
      <c r="P148" s="7"/>
      <c r="Q148" s="22"/>
      <c r="R148" s="173"/>
      <c r="S148" s="176">
        <f t="shared" si="53"/>
        <v>1</v>
      </c>
      <c r="T148" s="202" t="str">
        <f t="shared" si="62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63"/>
        <v>https://d0f6bd738d7f1b3e5a7ca70fe4ff75f0.us-east-1.aws.found.io/app/kibana#/discover/Steve-Slow-Train-Analysis-(2080s-and-2083s)?_g=(refreshInterval:(display:Off,pause:!f,section:0,value:0),time:(from:'2017-06-13T17:09:55-0600',mode:absolute,to:'2017-06-13T19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204" t="str">
        <f t="shared" si="64"/>
        <v>N</v>
      </c>
      <c r="X148" s="204">
        <f t="shared" si="76"/>
        <v>1</v>
      </c>
      <c r="Y148" s="204">
        <f t="shared" si="65"/>
        <v>23.302800000000001</v>
      </c>
      <c r="Z148" s="204">
        <f t="shared" si="66"/>
        <v>1.4999999999999999E-2</v>
      </c>
      <c r="AA148" s="204">
        <f t="shared" si="67"/>
        <v>23.287800000000001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8"/>
        <v>0210-13</v>
      </c>
      <c r="AE148" s="80" t="str">
        <f t="shared" si="69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148" s="77" t="str">
        <f t="shared" si="70"/>
        <v>"C:\Program Files (x86)\AstroGrep\AstroGrep.exe" /e /r /s /spath="%USERPROFILE%\AppData\Local\Temp\OnboardLogs" /stypes="app*4031*20170614*" /stext=" 00:.+((SYSTEM_STATE.+slice.+state.+changed )|(ment ac)|(multiple cpu faults)|(system.+state.+changed )|(\[timeout)|(PRM\|1\|D)|(kpr)|(kdp)|(train st.+moving)|(\|lc)|(penalty))"</v>
      </c>
      <c r="AG148" s="1" t="str">
        <f t="shared" si="71"/>
        <v>EC</v>
      </c>
      <c r="AH148" s="81" t="str">
        <f t="shared" si="72"/>
        <v>"%USERPROFILE%\Documents\GitHub\eaglep3\Utilities\RefineRTDCRunTimes.py" --tripid 210-13 --locoid 4031 --swversion DE.1.0.9.0 --startMP 204:233028 --initTime 2017-06-13T18:09:55 --startdatetime 2017-06-13T18:12:16 --delay 1 --endMP 204:150 --enddatetime 2017-06-13T18:50:56 --enforcementcount 0 &gt;&gt;C:\Users\stu\Documents\GitHub\eaglep3-reporting\EC\2017-06-13-refined-times.txt</v>
      </c>
      <c r="AI148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{"issue":{"subject":"","project_id":79,"tracker_id":40,"status_id":1,"priority_id":2,"assigned_to_id":23,"start_date":"2017-06-13","description":"","custom_fields":[{"id":1,"name":"Subdivision","value":"EC"},{"id":4,"name":"Milepost","value":"0.015"},{"id":17,"name":"Train ID","value":"210-13"},{"id":16,"name":"Locomotive ID","value":"4031"},{"id":130,"name":"Impact","value":""},{"id":150,"name":"Time of Event (Mountain Time)","value":"18:50:56"},{"id":151,"name":"Denver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74"/>
        <v>start /low /b %USERPROFILE%\Documents\GitHub\eaglep3\Utilities\DownloadLogsFromS3.py --loco 4031 --day 2017-06-13</v>
      </c>
      <c r="AN148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770</v>
      </c>
      <c r="B149" s="7">
        <v>4042</v>
      </c>
      <c r="C149" s="21" t="s">
        <v>204</v>
      </c>
      <c r="D149" s="21" t="s">
        <v>896</v>
      </c>
      <c r="E149" s="13">
        <v>42899.728831018518</v>
      </c>
      <c r="F149" s="13">
        <v>42899.730706018519</v>
      </c>
      <c r="G149" s="7">
        <v>2</v>
      </c>
      <c r="H149" s="21" t="s">
        <v>521</v>
      </c>
      <c r="I149" s="13">
        <v>42899.757187499999</v>
      </c>
      <c r="J149" s="7">
        <v>0</v>
      </c>
      <c r="K149" s="92" t="str">
        <f t="shared" si="60"/>
        <v>4041/4042</v>
      </c>
      <c r="L149" s="21" t="str">
        <f>VLOOKUP(A149,'Trips&amp;Operators'!$C$1:$G$99999,5,FALSE)</f>
        <v>BRANDNER MELINDA</v>
      </c>
      <c r="M149" s="6">
        <f t="shared" si="61"/>
        <v>2.6481481480004732E-2</v>
      </c>
      <c r="N149" s="7">
        <f t="shared" si="52"/>
        <v>38.133333331206813</v>
      </c>
      <c r="O149" s="7"/>
      <c r="P149" s="7"/>
      <c r="Q149" s="22"/>
      <c r="R149" s="173"/>
      <c r="S149" s="176">
        <f t="shared" si="53"/>
        <v>1</v>
      </c>
      <c r="T149" s="202" t="str">
        <f t="shared" si="62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63"/>
        <v>https://d0f6bd738d7f1b3e5a7ca70fe4ff75f0.us-east-1.aws.found.io/app/kibana#/discover/Steve-Slow-Train-Analysis-(2080s-and-2083s)?_g=(refreshInterval:(display:Off,pause:!f,section:0,value:0),time:(from:'2017-06-13T16:29:31-0600',mode:absolute,to:'2017-06-13T19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204" t="str">
        <f t="shared" si="64"/>
        <v>N</v>
      </c>
      <c r="X149" s="204">
        <f t="shared" si="76"/>
        <v>1</v>
      </c>
      <c r="Y149" s="204">
        <f t="shared" si="65"/>
        <v>4.1099999999999998E-2</v>
      </c>
      <c r="Z149" s="204">
        <f t="shared" si="66"/>
        <v>23.3337</v>
      </c>
      <c r="AA149" s="204">
        <f t="shared" si="67"/>
        <v>23.2926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8"/>
        <v>0211-13</v>
      </c>
      <c r="AE149" s="80" t="str">
        <f t="shared" si="69"/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AF149" s="77" t="str">
        <f t="shared" si="70"/>
        <v>"C:\Program Files (x86)\AstroGrep\AstroGrep.exe" /e /r /s /spath="%USERPROFILE%\AppData\Local\Temp\OnboardLogs" /stypes="app*4042*20170614*" /stext=" 00:.+((SYSTEM_STATE.+slice.+state.+changed )|(ment ac)|(multiple cpu faults)|(system.+state.+changed )|(\[timeout)|(PRM\|1\|D)|(kpr)|(kdp)|(train st.+moving)|(\|lc)|(penalty))"</v>
      </c>
      <c r="AG149" s="1" t="str">
        <f t="shared" si="71"/>
        <v>EC</v>
      </c>
      <c r="AH149" s="81" t="str">
        <f t="shared" si="72"/>
        <v>"%USERPROFILE%\Documents\GitHub\eaglep3\Utilities\RefineRTDCRunTimes.py" --tripid 211-13 --locoid 4042 --swversion DE.1.0.9.0 --startMP 204:411 --initTime 2017-06-13T17:29:31 --startdatetime 2017-06-13T17:32:13 --delay 2 --endMP 204:233337 --enddatetime 2017-06-13T18:10:21 --enforcementcount 0 &gt;&gt;C:\Users\stu\Documents\GitHub\eaglep3-reporting\EC\2017-06-13-refined-times.txt</v>
      </c>
      <c r="AI149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{"issue":{"subject":"","project_id":79,"tracker_id":40,"status_id":1,"priority_id":2,"assigned_to_id":23,"start_date":"2017-06-13","description":"","custom_fields":[{"id":1,"name":"Subdivision","value":"EC"},{"id":4,"name":"Milepost","value":"23.3337"},{"id":17,"name":"Train ID","value":"211-13"},{"id":16,"name":"Locomotive ID","value":"4042"},{"id":130,"name":"Impact","value":""},{"id":150,"name":"Time of Event (Mountain Time)","value":"18:10:21"},{"id":151,"name":"Denver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4"/>
        <v>start /low /b %USERPROFILE%\Documents\GitHub\eaglep3\Utilities\DownloadLogsFromS3.py --loco 4042 --day 2017-06-13</v>
      </c>
      <c r="AN149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616</v>
      </c>
      <c r="B150" s="7">
        <v>4041</v>
      </c>
      <c r="C150" s="21" t="s">
        <v>204</v>
      </c>
      <c r="D150" s="21" t="s">
        <v>879</v>
      </c>
      <c r="E150" s="13">
        <v>42899.765185185184</v>
      </c>
      <c r="F150" s="13">
        <v>42899.769050925926</v>
      </c>
      <c r="G150" s="7">
        <v>1</v>
      </c>
      <c r="H150" s="21" t="s">
        <v>897</v>
      </c>
      <c r="I150" s="13">
        <v>42899.797106481485</v>
      </c>
      <c r="J150" s="7">
        <v>0</v>
      </c>
      <c r="K150" s="92" t="str">
        <f t="shared" si="60"/>
        <v>4041/4042</v>
      </c>
      <c r="L150" s="21" t="str">
        <f>VLOOKUP(A150,'Trips&amp;Operators'!$C$1:$G$99999,5,FALSE)</f>
        <v>BRANDNER MELINDA</v>
      </c>
      <c r="M150" s="6">
        <f t="shared" si="61"/>
        <v>2.8055555558239575E-2</v>
      </c>
      <c r="N150" s="7">
        <f t="shared" si="52"/>
        <v>40.400000003864989</v>
      </c>
      <c r="O150" s="7"/>
      <c r="P150" s="7"/>
      <c r="Q150" s="22"/>
      <c r="R150" s="173"/>
      <c r="S150" s="176">
        <f t="shared" si="53"/>
        <v>1</v>
      </c>
      <c r="T150" s="202" t="str">
        <f t="shared" si="62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63"/>
        <v>https://d0f6bd738d7f1b3e5a7ca70fe4ff75f0.us-east-1.aws.found.io/app/kibana#/discover/Steve-Slow-Train-Analysis-(2080s-and-2083s)?_g=(refreshInterval:(display:Off,pause:!f,section:0,value:0),time:(from:'2017-06-13T17:21:52-0600',mode:absolute,to:'2017-06-13T20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204" t="str">
        <f t="shared" si="64"/>
        <v>N</v>
      </c>
      <c r="X150" s="204">
        <f t="shared" si="76"/>
        <v>1</v>
      </c>
      <c r="Y150" s="204">
        <f t="shared" si="65"/>
        <v>23.302499999999998</v>
      </c>
      <c r="Z150" s="204">
        <f t="shared" si="66"/>
        <v>2.01E-2</v>
      </c>
      <c r="AA150" s="204">
        <f t="shared" si="67"/>
        <v>23.282399999999999</v>
      </c>
      <c r="AB150" s="57" t="str">
        <f>VLOOKUP(A150,Enforcements!$C$7:$K$13,8,0)</f>
        <v>Bulletin (2)</v>
      </c>
      <c r="AC150" s="53" t="str">
        <f>VLOOKUP(A150,Enforcements!$C$7:$E$13,3,0)</f>
        <v>GRADE CROSSING</v>
      </c>
      <c r="AD150" s="54" t="str">
        <f t="shared" si="68"/>
        <v>0212-13</v>
      </c>
      <c r="AE150" s="80" t="str">
        <f t="shared" si="69"/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AF150" s="77" t="str">
        <f t="shared" si="70"/>
        <v>"C:\Program Files (x86)\AstroGrep\AstroGrep.exe" /e /r /s /spath="%USERPROFILE%\AppData\Local\Temp\OnboardLogs" /stypes="app*4041*20170614*" /stext=" 01:.+((SYSTEM_STATE.+slice.+state.+changed )|(ment ac)|(multiple cpu faults)|(system.+state.+changed )|(\[timeout)|(PRM\|1\|D)|(kpr)|(kdp)|(train st.+moving)|(\|lc)|(penalty))"</v>
      </c>
      <c r="AG150" s="1" t="str">
        <f t="shared" si="71"/>
        <v>EC</v>
      </c>
      <c r="AH150" s="81" t="str">
        <f t="shared" si="72"/>
        <v>"%USERPROFILE%\Documents\GitHub\eaglep3\Utilities\RefineRTDCRunTimes.py" --tripid 212-13 --locoid 4041 --swversion DE.1.0.9.0 --startMP 204:233025 --initTime 2017-06-13T18:21:52 --startdatetime 2017-06-13T18:27:26 --delay 1 --endMP 204:201 --enddatetime 2017-06-13T19:07:50 --enforcementcount 0 &gt;&gt;C:\Users\stu\Documents\GitHub\eaglep3-reporting\EC\2017-06-13-refined-times.txt</v>
      </c>
      <c r="AI150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{"issue":{"subject":"","project_id":79,"tracker_id":40,"status_id":1,"priority_id":2,"assigned_to_id":23,"start_date":"2017-06-13","description":"","custom_fields":[{"id":1,"name":"Subdivision","value":"EC"},{"id":4,"name":"Milepost","value":"0.0201"},{"id":17,"name":"Train ID","value":"212-13"},{"id":16,"name":"Locomotive ID","value":"4041"},{"id":130,"name":"Impact","value":""},{"id":150,"name":"Time of Event (Mountain Time)","value":"19:07:50"},{"id":151,"name":"Denver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74"/>
        <v>start /low /b %USERPROFILE%\Documents\GitHub\eaglep3\Utilities\DownloadLogsFromS3.py --loco 4041 --day 2017-06-13</v>
      </c>
      <c r="AN150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773</v>
      </c>
      <c r="B151" s="7">
        <v>4002</v>
      </c>
      <c r="C151" s="21" t="s">
        <v>204</v>
      </c>
      <c r="D151" s="21" t="s">
        <v>874</v>
      </c>
      <c r="E151" s="13">
        <v>42899.738368055558</v>
      </c>
      <c r="F151" s="13">
        <v>42899.739988425928</v>
      </c>
      <c r="G151" s="7">
        <v>1</v>
      </c>
      <c r="H151" s="21" t="s">
        <v>836</v>
      </c>
      <c r="I151" s="13">
        <v>42899.764849537038</v>
      </c>
      <c r="J151" s="7">
        <v>0</v>
      </c>
      <c r="K151" s="92" t="str">
        <f t="shared" si="60"/>
        <v>4001/4002</v>
      </c>
      <c r="L151" s="21" t="str">
        <f>VLOOKUP(A151,'Trips&amp;Operators'!$C$1:$G$99999,5,FALSE)</f>
        <v>SMITH MICHAEL</v>
      </c>
      <c r="M151" s="6">
        <f t="shared" si="61"/>
        <v>2.4861111109203193E-2</v>
      </c>
      <c r="N151" s="7">
        <f t="shared" si="52"/>
        <v>35.799999997252598</v>
      </c>
      <c r="O151" s="7"/>
      <c r="P151" s="7"/>
      <c r="Q151" s="22"/>
      <c r="R151" s="173"/>
      <c r="S151" s="176">
        <f t="shared" si="53"/>
        <v>1</v>
      </c>
      <c r="T151" s="202" t="str">
        <f t="shared" si="62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63"/>
        <v>https://d0f6bd738d7f1b3e5a7ca70fe4ff75f0.us-east-1.aws.found.io/app/kibana#/discover/Steve-Slow-Train-Analysis-(2080s-and-2083s)?_g=(refreshInterval:(display:Off,pause:!f,section:0,value:0),time:(from:'2017-06-13T16:43:15-0600',mode:absolute,to:'2017-06-13T19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204" t="str">
        <f t="shared" si="64"/>
        <v>N</v>
      </c>
      <c r="X151" s="204">
        <f t="shared" si="76"/>
        <v>1</v>
      </c>
      <c r="Y151" s="204">
        <f t="shared" si="65"/>
        <v>4.3799999999999999E-2</v>
      </c>
      <c r="Z151" s="204">
        <f t="shared" si="66"/>
        <v>23.327999999999999</v>
      </c>
      <c r="AA151" s="204">
        <f t="shared" si="67"/>
        <v>23.284199999999998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8"/>
        <v>0213-13</v>
      </c>
      <c r="AE151" s="80" t="str">
        <f t="shared" si="69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151" s="77" t="str">
        <f t="shared" si="70"/>
        <v>"C:\Program Files (x86)\AstroGrep\AstroGrep.exe" /e /r /s /spath="%USERPROFILE%\AppData\Local\Temp\OnboardLogs" /stypes="app*4002*20170614*" /stext=" 00:.+((SYSTEM_STATE.+slice.+state.+changed )|(ment ac)|(multiple cpu faults)|(system.+state.+changed )|(\[timeout)|(PRM\|1\|D)|(kpr)|(kdp)|(train st.+moving)|(\|lc)|(penalty))"</v>
      </c>
      <c r="AG151" s="1" t="str">
        <f t="shared" si="71"/>
        <v>EC</v>
      </c>
      <c r="AH151" s="81" t="str">
        <f t="shared" si="72"/>
        <v>"%USERPROFILE%\Documents\GitHub\eaglep3\Utilities\RefineRTDCRunTimes.py" --tripid 213-13 --locoid 4002 --swversion DE.1.0.9.0 --startMP 204:438 --initTime 2017-06-13T17:43:15 --startdatetime 2017-06-13T17:45:35 --delay 1 --endMP 204:233280 --enddatetime 2017-06-13T18:21:23 --enforcementcount 0 &gt;&gt;C:\Users\stu\Documents\GitHub\eaglep3-reporting\EC\2017-06-13-refined-times.txt</v>
      </c>
      <c r="AI151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{"issue":{"subject":"","project_id":79,"tracker_id":40,"status_id":1,"priority_id":2,"assigned_to_id":23,"start_date":"2017-06-13","description":"","custom_fields":[{"id":1,"name":"Subdivision","value":"EC"},{"id":4,"name":"Milepost","value":"23.328"},{"id":17,"name":"Train ID","value":"213-13"},{"id":16,"name":"Locomotive ID","value":"4002"},{"id":130,"name":"Impact","value":""},{"id":150,"name":"Time of Event (Mountain Time)","value":"18:21:23"},{"id":151,"name":"Denver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74"/>
        <v>start /low /b %USERPROFILE%\Documents\GitHub\eaglep3\Utilities\DownloadLogsFromS3.py --loco 4002 --day 2017-06-13</v>
      </c>
      <c r="AN151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782</v>
      </c>
      <c r="B152" s="7">
        <v>4001</v>
      </c>
      <c r="C152" s="21" t="s">
        <v>204</v>
      </c>
      <c r="D152" s="21" t="s">
        <v>423</v>
      </c>
      <c r="E152" s="13">
        <v>42899.775347222225</v>
      </c>
      <c r="F152" s="13">
        <v>42899.779398148145</v>
      </c>
      <c r="G152" s="7">
        <v>1</v>
      </c>
      <c r="H152" s="21" t="s">
        <v>560</v>
      </c>
      <c r="I152" s="13">
        <v>42899.806932870371</v>
      </c>
      <c r="J152" s="7">
        <v>0</v>
      </c>
      <c r="K152" s="92" t="str">
        <f t="shared" si="60"/>
        <v>4001/4002</v>
      </c>
      <c r="L152" s="21" t="str">
        <f>VLOOKUP(A152,'Trips&amp;Operators'!$C$1:$G$99999,5,FALSE)</f>
        <v>SMITH MICHAEL</v>
      </c>
      <c r="M152" s="6">
        <f t="shared" si="61"/>
        <v>2.7534722226846498E-2</v>
      </c>
      <c r="N152" s="7">
        <f t="shared" si="52"/>
        <v>39.650000006658956</v>
      </c>
      <c r="O152" s="7"/>
      <c r="P152" s="7"/>
      <c r="Q152" s="22"/>
      <c r="R152" s="173"/>
      <c r="S152" s="176">
        <f t="shared" si="53"/>
        <v>1</v>
      </c>
      <c r="T152" s="202" t="str">
        <f t="shared" si="62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63"/>
        <v>https://d0f6bd738d7f1b3e5a7ca70fe4ff75f0.us-east-1.aws.found.io/app/kibana#/discover/Steve-Slow-Train-Analysis-(2080s-and-2083s)?_g=(refreshInterval:(display:Off,pause:!f,section:0,value:0),time:(from:'2017-06-13T17:36:30-0600',mode:absolute,to:'2017-06-13T20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204" t="str">
        <f t="shared" si="64"/>
        <v>N</v>
      </c>
      <c r="X152" s="204">
        <f t="shared" si="76"/>
        <v>1</v>
      </c>
      <c r="Y152" s="204">
        <f t="shared" si="65"/>
        <v>23.297699999999999</v>
      </c>
      <c r="Z152" s="204">
        <f t="shared" si="66"/>
        <v>1.38E-2</v>
      </c>
      <c r="AA152" s="204">
        <f t="shared" si="67"/>
        <v>23.283899999999999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8"/>
        <v>0214-13</v>
      </c>
      <c r="AE152" s="80" t="str">
        <f t="shared" si="69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152" s="77" t="str">
        <f t="shared" si="70"/>
        <v>"C:\Program Files (x86)\AstroGrep\AstroGrep.exe" /e /r /s /spath="%USERPROFILE%\AppData\Local\Temp\OnboardLogs" /stypes="app*4001*20170614*" /stext=" 01:.+((SYSTEM_STATE.+slice.+state.+changed )|(ment ac)|(multiple cpu faults)|(system.+state.+changed )|(\[timeout)|(PRM\|1\|D)|(kpr)|(kdp)|(train st.+moving)|(\|lc)|(penalty))"</v>
      </c>
      <c r="AG152" s="1" t="str">
        <f t="shared" si="71"/>
        <v>EC</v>
      </c>
      <c r="AH152" s="81" t="str">
        <f t="shared" si="72"/>
        <v>"%USERPROFILE%\Documents\GitHub\eaglep3\Utilities\RefineRTDCRunTimes.py" --tripid 214-13 --locoid 4001 --swversion DE.1.0.9.0 --startMP 204:232977 --initTime 2017-06-13T18:36:30 --startdatetime 2017-06-13T18:42:20 --delay 1 --endMP 204:138 --enddatetime 2017-06-13T19:21:59 --enforcementcount 0 &gt;&gt;C:\Users\stu\Documents\GitHub\eaglep3-reporting\EC\2017-06-13-refined-times.txt</v>
      </c>
      <c r="AI152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{"issue":{"subject":"","project_id":79,"tracker_id":40,"status_id":1,"priority_id":2,"assigned_to_id":23,"start_date":"2017-06-13","description":"","custom_fields":[{"id":1,"name":"Subdivision","value":"EC"},{"id":4,"name":"Milepost","value":"0.0138"},{"id":17,"name":"Train ID","value":"214-13"},{"id":16,"name":"Locomotive ID","value":"4001"},{"id":130,"name":"Impact","value":""},{"id":150,"name":"Time of Event (Mountain Time)","value":"19:21:59"},{"id":151,"name":"Denver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4"/>
        <v>start /low /b %USERPROFILE%\Documents\GitHub\eaglep3\Utilities\DownloadLogsFromS3.py --loco 4001 --day 2017-06-13</v>
      </c>
      <c r="AN152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776</v>
      </c>
      <c r="B153" s="7">
        <v>4050</v>
      </c>
      <c r="C153" s="21" t="s">
        <v>204</v>
      </c>
      <c r="D153" s="21" t="s">
        <v>357</v>
      </c>
      <c r="E153" s="13">
        <v>42899.749131944445</v>
      </c>
      <c r="F153" s="13">
        <v>42899.750659722224</v>
      </c>
      <c r="G153" s="7">
        <v>1</v>
      </c>
      <c r="H153" s="21" t="s">
        <v>898</v>
      </c>
      <c r="I153" s="13">
        <v>42899.77579861111</v>
      </c>
      <c r="J153" s="7">
        <v>0</v>
      </c>
      <c r="K153" s="92" t="str">
        <f t="shared" si="60"/>
        <v>4049/4050</v>
      </c>
      <c r="L153" s="21" t="str">
        <f>VLOOKUP(A153,'Trips&amp;Operators'!$C$1:$G$99999,5,FALSE)</f>
        <v>MCREYNOLDS KYLE</v>
      </c>
      <c r="M153" s="6">
        <f t="shared" si="61"/>
        <v>2.5138888886431232E-2</v>
      </c>
      <c r="N153" s="7">
        <f t="shared" si="52"/>
        <v>36.199999996460974</v>
      </c>
      <c r="O153" s="7"/>
      <c r="P153" s="7"/>
      <c r="Q153" s="22"/>
      <c r="R153" s="173"/>
      <c r="S153" s="176">
        <f t="shared" si="53"/>
        <v>1</v>
      </c>
      <c r="T153" s="202" t="str">
        <f t="shared" si="62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63"/>
        <v>https://d0f6bd738d7f1b3e5a7ca70fe4ff75f0.us-east-1.aws.found.io/app/kibana#/discover/Steve-Slow-Train-Analysis-(2080s-and-2083s)?_g=(refreshInterval:(display:Off,pause:!f,section:0,value:0),time:(from:'2017-06-13T16:58:45-0600',mode:absolute,to:'2017-06-13T19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3" s="204" t="str">
        <f t="shared" si="64"/>
        <v>N</v>
      </c>
      <c r="X153" s="204">
        <f t="shared" si="76"/>
        <v>1</v>
      </c>
      <c r="Y153" s="204">
        <f t="shared" si="65"/>
        <v>4.53E-2</v>
      </c>
      <c r="Z153" s="204">
        <f t="shared" si="66"/>
        <v>23.332000000000001</v>
      </c>
      <c r="AA153" s="204">
        <f t="shared" si="67"/>
        <v>23.2867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8"/>
        <v>0215-13</v>
      </c>
      <c r="AE153" s="80" t="str">
        <f t="shared" si="69"/>
        <v>aws s3 cp s3://rtdc.mdm.uploadarchive.raw/RTDC4050/ "%USERPROFILE%\AppData\Local\Temp\OnboardLogs"\RTDC4050\2017-06-13 --exclude "*" --recursive --include "*20170613*" &amp; "%USERPROFILE%\Documents\GitHub\mrs-test-scripts\Headless Mode &amp; Sideloading\WalkAndUnGZ.bat" "%USERPROFILE%\AppData\Local\Temp\OnboardLogs"\RTDC4050\2017-06-13 &amp; aws s3 cp s3://rtdc.mdm.uploadarchive.raw/RTDC4050/ "%USERPROFILE%\AppData\Local\Temp\OnboardLogs"\RTDC4050\2017-06-14 --exclude "*" --recursive --include "*20170614*" &amp; "%USERPROFILE%\Documents\GitHub\mrs-test-scripts\Headless Mode &amp; Sideloading\WalkAndUnGZ.bat" "%USERPROFILE%\AppData\Local\Temp\OnboardLogs"\RTDC4050\2017-06-14</v>
      </c>
      <c r="AF153" s="77" t="str">
        <f t="shared" si="70"/>
        <v>"C:\Program Files (x86)\AstroGrep\AstroGrep.exe" /e /r /s /spath="%USERPROFILE%\AppData\Local\Temp\OnboardLogs" /stypes="app*4050*20170614*" /stext=" 00:.+((SYSTEM_STATE.+slice.+state.+changed )|(ment ac)|(multiple cpu faults)|(system.+state.+changed )|(\[timeout)|(PRM\|1\|D)|(kpr)|(kdp)|(train st.+moving)|(\|lc)|(penalty))"</v>
      </c>
      <c r="AG153" s="1" t="str">
        <f t="shared" si="71"/>
        <v>EC</v>
      </c>
      <c r="AH153" s="81" t="str">
        <f t="shared" si="72"/>
        <v>"%USERPROFILE%\Documents\GitHub\eaglep3\Utilities\RefineRTDCRunTimes.py" --tripid 215-13 --locoid 4050 --swversion DE.1.0.9.0 --startMP 204:453 --initTime 2017-06-13T17:58:45 --startdatetime 2017-06-13T18:00:57 --delay 1 --endMP 204:233320 --enddatetime 2017-06-13T18:37:09 --enforcementcount 0 &gt;&gt;C:\Users\stu\Documents\GitHub\eaglep3-reporting\EC\2017-06-13-refined-times.txt</v>
      </c>
      <c r="AI153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{"issue":{"subject":"","project_id":79,"tracker_id":40,"status_id":1,"priority_id":2,"assigned_to_id":23,"start_date":"2017-06-13","description":"","custom_fields":[{"id":1,"name":"Subdivision","value":"EC"},{"id":4,"name":"Milepost","value":"23.332"},{"id":17,"name":"Train ID","value":"215-13"},{"id":16,"name":"Locomotive ID","value":"4050"},{"id":130,"name":"Impact","value":""},{"id":150,"name":"Time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74"/>
        <v>start /low /b %USERPROFILE%\Documents\GitHub\eaglep3\Utilities\DownloadLogsFromS3.py --loco 4050 --day 2017-06-13</v>
      </c>
      <c r="AN153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785</v>
      </c>
      <c r="B154" s="7">
        <v>4049</v>
      </c>
      <c r="C154" s="21" t="s">
        <v>204</v>
      </c>
      <c r="D154" s="21" t="s">
        <v>899</v>
      </c>
      <c r="E154" s="13">
        <v>42899.783449074072</v>
      </c>
      <c r="F154" s="13">
        <v>42899.789756944447</v>
      </c>
      <c r="G154" s="7">
        <v>1</v>
      </c>
      <c r="H154" s="21" t="s">
        <v>352</v>
      </c>
      <c r="I154" s="13">
        <v>42899.816631944443</v>
      </c>
      <c r="J154" s="7">
        <v>0</v>
      </c>
      <c r="K154" s="92" t="str">
        <f t="shared" si="60"/>
        <v>4049/4050</v>
      </c>
      <c r="L154" s="21" t="str">
        <f>VLOOKUP(A154,'Trips&amp;Operators'!$C$1:$G$99999,5,FALSE)</f>
        <v>MCREYNOLDS KYLE</v>
      </c>
      <c r="M154" s="6">
        <f t="shared" si="61"/>
        <v>2.6874999995925464E-2</v>
      </c>
      <c r="N154" s="7">
        <f t="shared" si="52"/>
        <v>38.699999994132668</v>
      </c>
      <c r="O154" s="7"/>
      <c r="P154" s="7"/>
      <c r="Q154" s="22"/>
      <c r="R154" s="173"/>
      <c r="S154" s="176">
        <f t="shared" si="53"/>
        <v>1</v>
      </c>
      <c r="T154" s="202" t="str">
        <f t="shared" si="62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63"/>
        <v>https://d0f6bd738d7f1b3e5a7ca70fe4ff75f0.us-east-1.aws.found.io/app/kibana#/discover/Steve-Slow-Train-Analysis-(2080s-and-2083s)?_g=(refreshInterval:(display:Off,pause:!f,section:0,value:0),time:(from:'2017-06-13T17:48:10-0600',mode:absolute,to:'2017-06-13T20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4" s="204" t="str">
        <f t="shared" si="64"/>
        <v>N</v>
      </c>
      <c r="X154" s="204">
        <f t="shared" si="76"/>
        <v>1</v>
      </c>
      <c r="Y154" s="204">
        <f t="shared" si="65"/>
        <v>23.3003</v>
      </c>
      <c r="Z154" s="204">
        <f t="shared" si="66"/>
        <v>1.49E-2</v>
      </c>
      <c r="AA154" s="204">
        <f t="shared" si="67"/>
        <v>23.285399999999999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8"/>
        <v>0216-13</v>
      </c>
      <c r="AE154" s="80" t="str">
        <f t="shared" si="69"/>
        <v>aws s3 cp s3://rtdc.mdm.uploadarchive.raw/RTDC4049/ "%USERPROFILE%\AppData\Local\Temp\OnboardLogs"\RTDC4049\2017-06-13 --exclude "*" --recursive --include "*20170613*" &amp; "%USERPROFILE%\Documents\GitHub\mrs-test-scripts\Headless Mode &amp; Sideloading\WalkAndUnGZ.bat" "%USERPROFILE%\AppData\Local\Temp\OnboardLogs"\RTDC4049\2017-06-13 &amp; aws s3 cp s3://rtdc.mdm.uploadarchive.raw/RTDC4049/ "%USERPROFILE%\AppData\Local\Temp\OnboardLogs"\RTDC4049\2017-06-14 --exclude "*" --recursive --include "*20170614*" &amp; "%USERPROFILE%\Documents\GitHub\mrs-test-scripts\Headless Mode &amp; Sideloading\WalkAndUnGZ.bat" "%USERPROFILE%\AppData\Local\Temp\OnboardLogs"\RTDC4049\2017-06-14</v>
      </c>
      <c r="AF154" s="77" t="str">
        <f t="shared" si="70"/>
        <v>"C:\Program Files (x86)\AstroGrep\AstroGrep.exe" /e /r /s /spath="%USERPROFILE%\AppData\Local\Temp\OnboardLogs" /stypes="app*4049*20170614*" /stext=" 01:.+((SYSTEM_STATE.+slice.+state.+changed )|(ment ac)|(multiple cpu faults)|(system.+state.+changed )|(\[timeout)|(PRM\|1\|D)|(kpr)|(kdp)|(train st.+moving)|(\|lc)|(penalty))"</v>
      </c>
      <c r="AG154" s="1" t="str">
        <f t="shared" si="71"/>
        <v>EC</v>
      </c>
      <c r="AH154" s="81" t="str">
        <f t="shared" si="72"/>
        <v>"%USERPROFILE%\Documents\GitHub\eaglep3\Utilities\RefineRTDCRunTimes.py" --tripid 216-13 --locoid 4049 --swversion DE.1.0.9.0 --startMP 204:233003 --initTime 2017-06-13T18:48:10 --startdatetime 2017-06-13T18:57:15 --delay 1 --endMP 204:149 --enddatetime 2017-06-13T19:35:57 --enforcementcount 0 &gt;&gt;C:\Users\stu\Documents\GitHub\eaglep3-reporting\EC\2017-06-13-refined-times.txt</v>
      </c>
      <c r="AI154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{"issue":{"subject":"","project_id":79,"tracker_id":40,"status_id":1,"priority_id":2,"assigned_to_id":23,"start_date":"2017-06-13","description":"","custom_fields":[{"id":1,"name":"Subdivision","value":"EC"},{"id":4,"name":"Milepost","value":"0.0149"},{"id":17,"name":"Train ID","value":"216-13"},{"id":16,"name":"Locomotive ID","value":"4049"},{"id":130,"name":"Impact","value":""},{"id":150,"name":"Time of Event (Mountain Time)","value":"19:35:57"},{"id":151,"name":"Denver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4"/>
        <v>start /low /b %USERPROFILE%\Documents\GitHub\eaglep3\Utilities\DownloadLogsFromS3.py --loco 4049 --day 2017-06-13</v>
      </c>
      <c r="AN154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615</v>
      </c>
      <c r="B155" s="7">
        <v>4006</v>
      </c>
      <c r="C155" s="21" t="s">
        <v>204</v>
      </c>
      <c r="D155" s="21" t="s">
        <v>900</v>
      </c>
      <c r="E155" s="13">
        <v>42899.756921296299</v>
      </c>
      <c r="F155" s="13">
        <v>42899.760752314818</v>
      </c>
      <c r="G155" s="7">
        <v>1</v>
      </c>
      <c r="H155" s="21" t="s">
        <v>901</v>
      </c>
      <c r="I155" s="13">
        <v>42899.786747685182</v>
      </c>
      <c r="J155" s="7">
        <v>0</v>
      </c>
      <c r="K155" s="92" t="str">
        <f t="shared" si="60"/>
        <v>4005/4006</v>
      </c>
      <c r="L155" s="21" t="str">
        <f>VLOOKUP(A155,'Trips&amp;Operators'!$C$1:$G$99999,5,FALSE)</f>
        <v>FORTUNATO FRANK</v>
      </c>
      <c r="M155" s="6">
        <f t="shared" si="61"/>
        <v>2.5995370364398696E-2</v>
      </c>
      <c r="N155" s="7">
        <f t="shared" si="52"/>
        <v>37.433333324734122</v>
      </c>
      <c r="O155" s="7"/>
      <c r="P155" s="7"/>
      <c r="Q155" s="22"/>
      <c r="R155" s="173"/>
      <c r="S155" s="176">
        <f t="shared" si="53"/>
        <v>1</v>
      </c>
      <c r="T155" s="202" t="str">
        <f t="shared" si="62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63"/>
        <v>https://d0f6bd738d7f1b3e5a7ca70fe4ff75f0.us-east-1.aws.found.io/app/kibana#/discover/Steve-Slow-Train-Analysis-(2080s-and-2083s)?_g=(refreshInterval:(display:Off,pause:!f,section:0,value:0),time:(from:'2017-06-13T17:09:58-0600',mode:absolute,to:'2017-06-13T19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5" s="204" t="str">
        <f t="shared" si="64"/>
        <v>N</v>
      </c>
      <c r="X155" s="204">
        <f t="shared" si="76"/>
        <v>1</v>
      </c>
      <c r="Y155" s="204">
        <f t="shared" si="65"/>
        <v>4.7699999999999999E-2</v>
      </c>
      <c r="Z155" s="204">
        <f t="shared" si="66"/>
        <v>23.336400000000001</v>
      </c>
      <c r="AA155" s="204">
        <f t="shared" si="67"/>
        <v>23.288700000000002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8"/>
        <v>0217-13</v>
      </c>
      <c r="AE155" s="80" t="str">
        <f t="shared" si="69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155" s="77" t="str">
        <f t="shared" si="70"/>
        <v>"C:\Program Files (x86)\AstroGrep\AstroGrep.exe" /e /r /s /spath="%USERPROFILE%\AppData\Local\Temp\OnboardLogs" /stypes="app*4006*20170614*" /stext=" 00:.+((SYSTEM_STATE.+slice.+state.+changed )|(ment ac)|(multiple cpu faults)|(system.+state.+changed )|(\[timeout)|(PRM\|1\|D)|(kpr)|(kdp)|(train st.+moving)|(\|lc)|(penalty))"</v>
      </c>
      <c r="AG155" s="1" t="str">
        <f t="shared" si="71"/>
        <v>EC</v>
      </c>
      <c r="AH155" s="81" t="str">
        <f t="shared" si="72"/>
        <v>"%USERPROFILE%\Documents\GitHub\eaglep3\Utilities\RefineRTDCRunTimes.py" --tripid 217-13 --locoid 4006 --swversion DE.1.0.9.0 --startMP 204:477 --initTime 2017-06-13T18:09:58 --startdatetime 2017-06-13T18:15:29 --delay 1 --endMP 204:233364 --enddatetime 2017-06-13T18:52:55 --enforcementcount 0 &gt;&gt;C:\Users\stu\Documents\GitHub\eaglep3-reporting\EC\2017-06-13-refined-times.txt</v>
      </c>
      <c r="AI155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{"issue":{"subject":"","project_id":79,"tracker_id":40,"status_id":1,"priority_id":2,"assigned_to_id":23,"start_date":"2017-06-13","description":"","custom_fields":[{"id":1,"name":"Subdivision","value":"EC"},{"id":4,"name":"Milepost","value":"23.3364"},{"id":17,"name":"Train ID","value":"217-13"},{"id":16,"name":"Locomotive ID","value":"4006"},{"id":130,"name":"Impact","value":""},{"id":150,"name":"Time of Event (Mountain Time)","value":"18:52:55"},{"id":151,"name":"Denver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74"/>
        <v>start /low /b %USERPROFILE%\Documents\GitHub\eaglep3\Utilities\DownloadLogsFromS3.py --loco 4006 --day 2017-06-13</v>
      </c>
      <c r="AN155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787</v>
      </c>
      <c r="B156" s="7">
        <v>4005</v>
      </c>
      <c r="C156" s="21" t="s">
        <v>204</v>
      </c>
      <c r="D156" s="21" t="s">
        <v>563</v>
      </c>
      <c r="E156" s="13">
        <v>42899.793715277781</v>
      </c>
      <c r="F156" s="13">
        <v>42899.800254629627</v>
      </c>
      <c r="G156" s="7">
        <v>1</v>
      </c>
      <c r="H156" s="21" t="s">
        <v>362</v>
      </c>
      <c r="I156" s="13">
        <v>42899.826817129629</v>
      </c>
      <c r="J156" s="7">
        <v>0</v>
      </c>
      <c r="K156" s="92" t="str">
        <f t="shared" si="60"/>
        <v>4005/4006</v>
      </c>
      <c r="L156" s="21" t="str">
        <f>VLOOKUP(A156,'Trips&amp;Operators'!$C$1:$G$99999,5,FALSE)</f>
        <v>FORTUNATO FRANK</v>
      </c>
      <c r="M156" s="6">
        <f t="shared" si="61"/>
        <v>2.6562500002910383E-2</v>
      </c>
      <c r="N156" s="7">
        <f t="shared" si="52"/>
        <v>38.250000004190952</v>
      </c>
      <c r="O156" s="7"/>
      <c r="P156" s="7"/>
      <c r="Q156" s="22"/>
      <c r="R156" s="173"/>
      <c r="S156" s="176">
        <f t="shared" si="53"/>
        <v>1</v>
      </c>
      <c r="T156" s="202" t="str">
        <f t="shared" si="62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63"/>
        <v>https://d0f6bd738d7f1b3e5a7ca70fe4ff75f0.us-east-1.aws.found.io/app/kibana#/discover/Steve-Slow-Train-Analysis-(2080s-and-2083s)?_g=(refreshInterval:(display:Off,pause:!f,section:0,value:0),time:(from:'2017-06-13T18:02:57-0600',mode:absolute,to:'2017-06-13T20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204" t="str">
        <f t="shared" si="64"/>
        <v>N</v>
      </c>
      <c r="X156" s="204">
        <f t="shared" si="76"/>
        <v>1</v>
      </c>
      <c r="Y156" s="204">
        <f t="shared" si="65"/>
        <v>23.300999999999998</v>
      </c>
      <c r="Z156" s="204">
        <f t="shared" si="66"/>
        <v>1.47E-2</v>
      </c>
      <c r="AA156" s="204">
        <f t="shared" si="67"/>
        <v>23.286299999999997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8"/>
        <v>0218-13</v>
      </c>
      <c r="AE156" s="80" t="str">
        <f t="shared" si="69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156" s="77" t="str">
        <f t="shared" si="70"/>
        <v>"C:\Program Files (x86)\AstroGrep\AstroGrep.exe" /e /r /s /spath="%USERPROFILE%\AppData\Local\Temp\OnboardLogs" /stypes="app*4005*20170614*" /stext=" 01:.+((SYSTEM_STATE.+slice.+state.+changed )|(ment ac)|(multiple cpu faults)|(system.+state.+changed )|(\[timeout)|(PRM\|1\|D)|(kpr)|(kdp)|(train st.+moving)|(\|lc)|(penalty))"</v>
      </c>
      <c r="AG156" s="1" t="str">
        <f t="shared" si="71"/>
        <v>EC</v>
      </c>
      <c r="AH156" s="81" t="str">
        <f t="shared" si="72"/>
        <v>"%USERPROFILE%\Documents\GitHub\eaglep3\Utilities\RefineRTDCRunTimes.py" --tripid 218-13 --locoid 4005 --swversion DE.1.0.9.0 --startMP 204:233010 --initTime 2017-06-13T19:02:57 --startdatetime 2017-06-13T19:12:22 --delay 1 --endMP 204:147 --enddatetime 2017-06-13T19:50:37 --enforcementcount 0 &gt;&gt;C:\Users\stu\Documents\GitHub\eaglep3-reporting\EC\2017-06-13-refined-times.txt</v>
      </c>
      <c r="AI156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{"issue":{"subject":"","project_id":79,"tracker_id":40,"status_id":1,"priority_id":2,"assigned_to_id":23,"start_date":"2017-06-13","description":"","custom_fields":[{"id":1,"name":"Subdivision","value":"EC"},{"id":4,"name":"Milepost","value":"0.0147"},{"id":17,"name":"Train ID","value":"218-13"},{"id":16,"name":"Locomotive ID","value":"4005"},{"id":130,"name":"Impact","value":""},{"id":150,"name":"Time of Event (Mountain Time)","value":"19:50:37"},{"id":151,"name":"Denver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74"/>
        <v>start /low /b %USERPROFILE%\Documents\GitHub\eaglep3\Utilities\DownloadLogsFromS3.py --loco 4005 --day 2017-06-13</v>
      </c>
      <c r="AN156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780</v>
      </c>
      <c r="B157" s="7">
        <v>4046</v>
      </c>
      <c r="C157" s="21" t="s">
        <v>204</v>
      </c>
      <c r="D157" s="21" t="s">
        <v>354</v>
      </c>
      <c r="E157" s="13">
        <v>42899.767002314817</v>
      </c>
      <c r="F157" s="13">
        <v>42899.771238425928</v>
      </c>
      <c r="G157" s="7">
        <v>2</v>
      </c>
      <c r="H157" s="21" t="s">
        <v>847</v>
      </c>
      <c r="I157" s="13">
        <v>42899.79824074074</v>
      </c>
      <c r="J157" s="7">
        <v>0</v>
      </c>
      <c r="K157" s="92" t="str">
        <f t="shared" si="60"/>
        <v>4045/4046</v>
      </c>
      <c r="L157" s="21" t="str">
        <f>VLOOKUP(A157,'Trips&amp;Operators'!$C$1:$G$99999,5,FALSE)</f>
        <v>LAMAR NEKESHA</v>
      </c>
      <c r="M157" s="6">
        <f t="shared" si="61"/>
        <v>2.700231481139781E-2</v>
      </c>
      <c r="N157" s="7">
        <f t="shared" si="52"/>
        <v>38.883333328412846</v>
      </c>
      <c r="O157" s="7"/>
      <c r="P157" s="7"/>
      <c r="Q157" s="22"/>
      <c r="R157" s="173"/>
      <c r="S157" s="176">
        <f t="shared" si="53"/>
        <v>1</v>
      </c>
      <c r="T157" s="202" t="str">
        <f t="shared" si="62"/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63"/>
        <v>https://d0f6bd738d7f1b3e5a7ca70fe4ff75f0.us-east-1.aws.found.io/app/kibana#/discover/Steve-Slow-Train-Analysis-(2080s-and-2083s)?_g=(refreshInterval:(display:Off,pause:!f,section:0,value:0),time:(from:'2017-06-13T17:24:29-0600',mode:absolute,to:'2017-06-13T20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7" s="204" t="str">
        <f t="shared" si="64"/>
        <v>N</v>
      </c>
      <c r="X157" s="204">
        <f t="shared" si="76"/>
        <v>1</v>
      </c>
      <c r="Y157" s="204">
        <f t="shared" si="65"/>
        <v>4.6600000000000003E-2</v>
      </c>
      <c r="Z157" s="204">
        <f t="shared" si="66"/>
        <v>23.333600000000001</v>
      </c>
      <c r="AA157" s="204">
        <f t="shared" si="67"/>
        <v>23.286999999999999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8"/>
        <v>0219-13</v>
      </c>
      <c r="AE157" s="80" t="str">
        <f t="shared" si="69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157" s="77" t="str">
        <f t="shared" si="70"/>
        <v>"C:\Program Files (x86)\AstroGrep\AstroGrep.exe" /e /r /s /spath="%USERPROFILE%\AppData\Local\Temp\OnboardLogs" /stypes="app*4046*20170614*" /stext=" 01:.+((SYSTEM_STATE.+slice.+state.+changed )|(ment ac)|(multiple cpu faults)|(system.+state.+changed )|(\[timeout)|(PRM\|1\|D)|(kpr)|(kdp)|(train st.+moving)|(\|lc)|(penalty))"</v>
      </c>
      <c r="AG157" s="1" t="str">
        <f t="shared" si="71"/>
        <v>EC</v>
      </c>
      <c r="AH157" s="81" t="str">
        <f t="shared" si="72"/>
        <v>"%USERPROFILE%\Documents\GitHub\eaglep3\Utilities\RefineRTDCRunTimes.py" --tripid 219-13 --locoid 4046 --swversion DE.1.0.9.0 --startMP 204:466 --initTime 2017-06-13T18:24:29 --startdatetime 2017-06-13T18:30:35 --delay 2 --endMP 204:233336 --enddatetime 2017-06-13T19:09:28 --enforcementcount 0 &gt;&gt;C:\Users\stu\Documents\GitHub\eaglep3-reporting\EC\2017-06-13-refined-times.txt</v>
      </c>
      <c r="AI157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{"issue":{"subject":"","project_id":79,"tracker_id":40,"status_id":1,"priority_id":2,"assigned_to_id":23,"start_date":"2017-06-13","description":"","custom_fields":[{"id":1,"name":"Subdivision","value":"EC"},{"id":4,"name":"Milepost","value":"23.3336"},{"id":17,"name":"Train ID","value":"219-13"},{"id":16,"name":"Locomotive ID","value":"4046"},{"id":130,"name":"Impact","value":""},{"id":150,"name":"Time of Event (Mountain Time)","value":"19:09:28"},{"id":151,"name":"Denver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74"/>
        <v>start /low /b %USERPROFILE%\Documents\GitHub\eaglep3\Utilities\DownloadLogsFromS3.py --loco 4046 --day 2017-06-13</v>
      </c>
      <c r="AN157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791</v>
      </c>
      <c r="B158" s="7">
        <v>4045</v>
      </c>
      <c r="C158" s="21" t="s">
        <v>204</v>
      </c>
      <c r="D158" s="21" t="s">
        <v>463</v>
      </c>
      <c r="E158" s="13">
        <v>42899.808518518519</v>
      </c>
      <c r="F158" s="13">
        <v>42899.811041666668</v>
      </c>
      <c r="G158" s="7">
        <v>1</v>
      </c>
      <c r="H158" s="21" t="s">
        <v>352</v>
      </c>
      <c r="I158" s="13">
        <v>42899.837314814817</v>
      </c>
      <c r="J158" s="7">
        <v>0</v>
      </c>
      <c r="K158" s="92" t="str">
        <f t="shared" si="60"/>
        <v>4045/4046</v>
      </c>
      <c r="L158" s="21" t="str">
        <f>VLOOKUP(A158,'Trips&amp;Operators'!$C$1:$G$99999,5,FALSE)</f>
        <v>LAMAR NEKESHA</v>
      </c>
      <c r="M158" s="6">
        <f t="shared" si="61"/>
        <v>2.6273148148902692E-2</v>
      </c>
      <c r="N158" s="7">
        <f t="shared" si="52"/>
        <v>37.833333334419876</v>
      </c>
      <c r="O158" s="7"/>
      <c r="P158" s="7"/>
      <c r="Q158" s="22"/>
      <c r="R158" s="173"/>
      <c r="S158" s="176">
        <f t="shared" si="53"/>
        <v>1</v>
      </c>
      <c r="T158" s="202" t="str">
        <f t="shared" si="62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63"/>
        <v>https://d0f6bd738d7f1b3e5a7ca70fe4ff75f0.us-east-1.aws.found.io/app/kibana#/discover/Steve-Slow-Train-Analysis-(2080s-and-2083s)?_g=(refreshInterval:(display:Off,pause:!f,section:0,value:0),time:(from:'2017-06-13T18:24:16-0600',mode:absolute,to:'2017-06-13T21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8" s="204" t="str">
        <f t="shared" si="64"/>
        <v>N</v>
      </c>
      <c r="X158" s="204">
        <f t="shared" si="76"/>
        <v>1</v>
      </c>
      <c r="Y158" s="204">
        <f t="shared" si="65"/>
        <v>23.298999999999999</v>
      </c>
      <c r="Z158" s="204">
        <f t="shared" si="66"/>
        <v>1.49E-2</v>
      </c>
      <c r="AA158" s="204">
        <f t="shared" si="67"/>
        <v>23.284099999999999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8"/>
        <v>0220-13</v>
      </c>
      <c r="AE158" s="80" t="str">
        <f t="shared" si="69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158" s="77" t="str">
        <f t="shared" si="70"/>
        <v>"C:\Program Files (x86)\AstroGrep\AstroGrep.exe" /e /r /s /spath="%USERPROFILE%\AppData\Local\Temp\OnboardLogs" /stypes="app*4045*20170614*" /stext=" 02:.+((SYSTEM_STATE.+slice.+state.+changed )|(ment ac)|(multiple cpu faults)|(system.+state.+changed )|(\[timeout)|(PRM\|1\|D)|(kpr)|(kdp)|(train st.+moving)|(\|lc)|(penalty))"</v>
      </c>
      <c r="AG158" s="1" t="str">
        <f t="shared" si="71"/>
        <v>EC</v>
      </c>
      <c r="AH158" s="81" t="str">
        <f t="shared" si="72"/>
        <v>"%USERPROFILE%\Documents\GitHub\eaglep3\Utilities\RefineRTDCRunTimes.py" --tripid 220-13 --locoid 4045 --swversion DE.1.0.9.0 --startMP 204:232990 --initTime 2017-06-13T19:24:16 --startdatetime 2017-06-13T19:27:54 --delay 1 --endMP 204:149 --enddatetime 2017-06-13T20:05:44 --enforcementcount 0 &gt;&gt;C:\Users\stu\Documents\GitHub\eaglep3-reporting\EC\2017-06-13-refined-times.txt</v>
      </c>
      <c r="AI158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{"issue":{"subject":"","project_id":79,"tracker_id":40,"status_id":1,"priority_id":2,"assigned_to_id":23,"start_date":"2017-06-13","description":"","custom_fields":[{"id":1,"name":"Subdivision","value":"EC"},{"id":4,"name":"Milepost","value":"0.0149"},{"id":17,"name":"Train ID","value":"220-13"},{"id":16,"name":"Locomotive ID","value":"4045"},{"id":130,"name":"Impact","value":""},{"id":150,"name":"Time of Event (Mountain Time)","value":"20:05:44"},{"id":151,"name":"Denver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74"/>
        <v>start /low /b %USERPROFILE%\Documents\GitHub\eaglep3\Utilities\DownloadLogsFromS3.py --loco 4045 --day 2017-06-13</v>
      </c>
      <c r="AN158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786</v>
      </c>
      <c r="B159" s="7">
        <v>4032</v>
      </c>
      <c r="C159" s="21" t="s">
        <v>204</v>
      </c>
      <c r="D159" s="21" t="s">
        <v>357</v>
      </c>
      <c r="E159" s="13">
        <v>42899.786863425928</v>
      </c>
      <c r="F159" s="13">
        <v>42899.791851851849</v>
      </c>
      <c r="G159" s="7">
        <v>1</v>
      </c>
      <c r="H159" s="21" t="s">
        <v>555</v>
      </c>
      <c r="I159" s="13">
        <v>42899.817662037036</v>
      </c>
      <c r="J159" s="7">
        <v>0</v>
      </c>
      <c r="K159" s="92" t="str">
        <f t="shared" si="60"/>
        <v>4031/4032</v>
      </c>
      <c r="L159" s="21" t="str">
        <f>VLOOKUP(A159,'Trips&amp;Operators'!$C$1:$G$99999,5,FALSE)</f>
        <v>HAITHCOX MICHAEL</v>
      </c>
      <c r="M159" s="6">
        <f t="shared" si="61"/>
        <v>2.5810185186855961E-2</v>
      </c>
      <c r="N159" s="7">
        <f t="shared" ref="N159:N190" si="77">24*60*SUM($M159:$M159)</f>
        <v>37.166666669072583</v>
      </c>
      <c r="O159" s="7"/>
      <c r="P159" s="7"/>
      <c r="Q159" s="22"/>
      <c r="R159" s="173"/>
      <c r="S159" s="176">
        <f t="shared" ref="S159:S190" si="78">SUM(U159:U159)/IF(AG159="EC",12,1)</f>
        <v>1</v>
      </c>
      <c r="T159" s="202" t="str">
        <f t="shared" si="62"/>
        <v>NorthBound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03" t="str">
        <f t="shared" si="63"/>
        <v>https://d0f6bd738d7f1b3e5a7ca70fe4ff75f0.us-east-1.aws.found.io/app/kibana#/discover/Steve-Slow-Train-Analysis-(2080s-and-2083s)?_g=(refreshInterval:(display:Off,pause:!f,section:0,value:0),time:(from:'2017-06-13T17:53:05-0600',mode:absolute,to:'2017-06-13T20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204" t="str">
        <f t="shared" si="64"/>
        <v>N</v>
      </c>
      <c r="X159" s="204">
        <f t="shared" si="76"/>
        <v>1</v>
      </c>
      <c r="Y159" s="204">
        <f t="shared" si="65"/>
        <v>4.53E-2</v>
      </c>
      <c r="Z159" s="204">
        <f t="shared" si="66"/>
        <v>23.328600000000002</v>
      </c>
      <c r="AA159" s="204">
        <f t="shared" si="67"/>
        <v>23.283300000000001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8"/>
        <v>0221-13</v>
      </c>
      <c r="AE159" s="80" t="str">
        <f t="shared" si="69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159" s="77" t="str">
        <f t="shared" si="70"/>
        <v>"C:\Program Files (x86)\AstroGrep\AstroGrep.exe" /e /r /s /spath="%USERPROFILE%\AppData\Local\Temp\OnboardLogs" /stypes="app*4032*20170614*" /stext=" 01:.+((SYSTEM_STATE.+slice.+state.+changed )|(ment ac)|(multiple cpu faults)|(system.+state.+changed )|(\[timeout)|(PRM\|1\|D)|(kpr)|(kdp)|(train st.+moving)|(\|lc)|(penalty))"</v>
      </c>
      <c r="AG159" s="1" t="str">
        <f t="shared" si="71"/>
        <v>EC</v>
      </c>
      <c r="AH159" s="81" t="str">
        <f t="shared" si="72"/>
        <v>"%USERPROFILE%\Documents\GitHub\eaglep3\Utilities\RefineRTDCRunTimes.py" --tripid 221-13 --locoid 4032 --swversion DE.1.0.9.0 --startMP 204:453 --initTime 2017-06-13T18:53:05 --startdatetime 2017-06-13T19:00:16 --delay 1 --endMP 204:233286 --enddatetime 2017-06-13T19:37:26 --enforcementcount 0 &gt;&gt;C:\Users\stu\Documents\GitHub\eaglep3-reporting\EC\2017-06-13-refined-times.txt</v>
      </c>
      <c r="AI159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{"issue":{"subject":"","project_id":79,"tracker_id":40,"status_id":1,"priority_id":2,"assigned_to_id":23,"start_date":"2017-06-13","description":"","custom_fields":[{"id":1,"name":"Subdivision","value":"EC"},{"id":4,"name":"Milepost","value":"23.3286"},{"id":17,"name":"Train ID","value":"221-13"},{"id":16,"name":"Locomotive ID","value":"4032"},{"id":130,"name":"Impact","value":""},{"id":150,"name":"Time of Event (Mountain Time)","value":"19:37:26"},{"id":151,"name":"Denver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74"/>
        <v>start /low /b %USERPROFILE%\Documents\GitHub\eaglep3\Utilities\DownloadLogsFromS3.py --loco 4032 --day 2017-06-13</v>
      </c>
      <c r="AN159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618</v>
      </c>
      <c r="B160" s="7">
        <v>4031</v>
      </c>
      <c r="C160" s="21" t="s">
        <v>204</v>
      </c>
      <c r="D160" s="21" t="s">
        <v>551</v>
      </c>
      <c r="E160" s="13">
        <v>42899.826956018522</v>
      </c>
      <c r="F160" s="13">
        <v>42899.83153935185</v>
      </c>
      <c r="G160" s="7">
        <v>1</v>
      </c>
      <c r="H160" s="21" t="s">
        <v>511</v>
      </c>
      <c r="I160" s="13">
        <v>42899.860115740739</v>
      </c>
      <c r="J160" s="7">
        <v>0</v>
      </c>
      <c r="K160" s="92" t="str">
        <f t="shared" si="60"/>
        <v>4031/4032</v>
      </c>
      <c r="L160" s="21" t="str">
        <f>VLOOKUP(A160,'Trips&amp;Operators'!$C$1:$G$99999,5,FALSE)</f>
        <v>HAITHCOX MICHAEL</v>
      </c>
      <c r="M160" s="6">
        <f t="shared" si="61"/>
        <v>2.8576388889632653E-2</v>
      </c>
      <c r="N160" s="7">
        <f t="shared" si="77"/>
        <v>41.150000001071021</v>
      </c>
      <c r="O160" s="7"/>
      <c r="P160" s="7"/>
      <c r="Q160" s="22"/>
      <c r="R160" s="173"/>
      <c r="S160" s="176">
        <f t="shared" si="78"/>
        <v>1</v>
      </c>
      <c r="T160" s="202" t="str">
        <f t="shared" si="62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03" t="str">
        <f t="shared" si="63"/>
        <v>https://d0f6bd738d7f1b3e5a7ca70fe4ff75f0.us-east-1.aws.found.io/app/kibana#/discover/Steve-Slow-Train-Analysis-(2080s-and-2083s)?_g=(refreshInterval:(display:Off,pause:!f,section:0,value:0),time:(from:'2017-06-13T18:50:49-0600',mode:absolute,to:'2017-06-13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04" t="str">
        <f t="shared" si="64"/>
        <v>N</v>
      </c>
      <c r="X160" s="204">
        <f t="shared" si="76"/>
        <v>1</v>
      </c>
      <c r="Y160" s="204">
        <f t="shared" si="65"/>
        <v>23.298200000000001</v>
      </c>
      <c r="Z160" s="204">
        <f t="shared" si="66"/>
        <v>1.67E-2</v>
      </c>
      <c r="AA160" s="204">
        <f t="shared" si="67"/>
        <v>23.281500000000001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8"/>
        <v>0222-13</v>
      </c>
      <c r="AE160" s="80" t="str">
        <f t="shared" si="69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160" s="77" t="str">
        <f t="shared" si="70"/>
        <v>"C:\Program Files (x86)\AstroGrep\AstroGrep.exe" /e /r /s /spath="%USERPROFILE%\AppData\Local\Temp\OnboardLogs" /stypes="app*4031*20170614*" /stext=" 02:.+((SYSTEM_STATE.+slice.+state.+changed )|(ment ac)|(multiple cpu faults)|(system.+state.+changed )|(\[timeout)|(PRM\|1\|D)|(kpr)|(kdp)|(train st.+moving)|(\|lc)|(penalty))"</v>
      </c>
      <c r="AG160" s="1" t="str">
        <f t="shared" si="71"/>
        <v>EC</v>
      </c>
      <c r="AH160" s="81" t="str">
        <f t="shared" si="72"/>
        <v>"%USERPROFILE%\Documents\GitHub\eaglep3\Utilities\RefineRTDCRunTimes.py" --tripid 222-13 --locoid 4031 --swversion DE.1.0.9.0 --startMP 204:232982 --initTime 2017-06-13T19:50:49 --startdatetime 2017-06-13T19:57:25 --delay 1 --endMP 204:167 --enddatetime 2017-06-13T20:38:34 --enforcementcount 0 &gt;&gt;C:\Users\stu\Documents\GitHub\eaglep3-reporting\EC\2017-06-13-refined-times.txt</v>
      </c>
      <c r="AI160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{"issue":{"subject":"","project_id":79,"tracker_id":40,"status_id":1,"priority_id":2,"assigned_to_id":23,"start_date":"2017-06-13","description":"","custom_fields":[{"id":1,"name":"Subdivision","value":"EC"},{"id":4,"name":"Milepost","value":"0.0167"},{"id":17,"name":"Train ID","value":"222-13"},{"id":16,"name":"Locomotive ID","value":"4031"},{"id":130,"name":"Impact","value":""},{"id":150,"name":"Time of Event (Mountain Time)","value":"20:38:34"},{"id":151,"name":"Denver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74"/>
        <v>start /low /b %USERPROFILE%\Documents\GitHub\eaglep3\Utilities\DownloadLogsFromS3.py --loco 4031 --day 2017-06-13</v>
      </c>
      <c r="AN160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790</v>
      </c>
      <c r="B161" s="7">
        <v>4002</v>
      </c>
      <c r="C161" s="21" t="s">
        <v>204</v>
      </c>
      <c r="D161" s="21" t="s">
        <v>902</v>
      </c>
      <c r="E161" s="13">
        <v>42899.808148148149</v>
      </c>
      <c r="F161" s="13">
        <v>42899.812789351854</v>
      </c>
      <c r="G161" s="7">
        <v>1</v>
      </c>
      <c r="H161" s="21" t="s">
        <v>839</v>
      </c>
      <c r="I161" s="13">
        <v>42899.838171296295</v>
      </c>
      <c r="J161" s="7">
        <v>0</v>
      </c>
      <c r="K161" s="92" t="str">
        <f t="shared" si="60"/>
        <v>4001/4002</v>
      </c>
      <c r="L161" s="21" t="str">
        <f>VLOOKUP(A161,'Trips&amp;Operators'!$C$1:$G$99999,5,FALSE)</f>
        <v>SMITH MICHAEL</v>
      </c>
      <c r="M161" s="6">
        <f t="shared" si="61"/>
        <v>2.5381944440596271E-2</v>
      </c>
      <c r="N161" s="7">
        <f t="shared" si="77"/>
        <v>36.549999994458631</v>
      </c>
      <c r="O161" s="7"/>
      <c r="P161" s="7"/>
      <c r="Q161" s="22"/>
      <c r="R161" s="173"/>
      <c r="S161" s="176">
        <f t="shared" si="78"/>
        <v>1</v>
      </c>
      <c r="T161" s="202" t="str">
        <f t="shared" si="62"/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03" t="str">
        <f t="shared" si="63"/>
        <v>https://d0f6bd738d7f1b3e5a7ca70fe4ff75f0.us-east-1.aws.found.io/app/kibana#/discover/Steve-Slow-Train-Analysis-(2080s-and-2083s)?_g=(refreshInterval:(display:Off,pause:!f,section:0,value:0),time:(from:'2017-06-13T18:23:44-0600',mode:absolute,to:'2017-06-13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204" t="str">
        <f t="shared" si="64"/>
        <v>N</v>
      </c>
      <c r="X161" s="204">
        <f t="shared" si="76"/>
        <v>1</v>
      </c>
      <c r="Y161" s="204">
        <f t="shared" si="65"/>
        <v>4.02E-2</v>
      </c>
      <c r="Z161" s="204">
        <f t="shared" si="66"/>
        <v>23.330500000000001</v>
      </c>
      <c r="AA161" s="204">
        <f t="shared" si="67"/>
        <v>23.290300000000002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8"/>
        <v>0223-13</v>
      </c>
      <c r="AE161" s="80" t="str">
        <f t="shared" si="69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161" s="77" t="str">
        <f t="shared" si="70"/>
        <v>"C:\Program Files (x86)\AstroGrep\AstroGrep.exe" /e /r /s /spath="%USERPROFILE%\AppData\Local\Temp\OnboardLogs" /stypes="app*4002*20170614*" /stext=" 02:.+((SYSTEM_STATE.+slice.+state.+changed )|(ment ac)|(multiple cpu faults)|(system.+state.+changed )|(\[timeout)|(PRM\|1\|D)|(kpr)|(kdp)|(train st.+moving)|(\|lc)|(penalty))"</v>
      </c>
      <c r="AG161" s="1" t="str">
        <f t="shared" si="71"/>
        <v>EC</v>
      </c>
      <c r="AH161" s="81" t="str">
        <f t="shared" si="72"/>
        <v>"%USERPROFILE%\Documents\GitHub\eaglep3\Utilities\RefineRTDCRunTimes.py" --tripid 223-13 --locoid 4002 --swversion DE.1.0.9.0 --startMP 204:402 --initTime 2017-06-13T19:23:44 --startdatetime 2017-06-13T19:30:25 --delay 1 --endMP 204:233305 --enddatetime 2017-06-13T20:06:58 --enforcementcount 0 &gt;&gt;C:\Users\stu\Documents\GitHub\eaglep3-reporting\EC\2017-06-13-refined-times.txt</v>
      </c>
      <c r="AI161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{"issue":{"subject":"","project_id":79,"tracker_id":40,"status_id":1,"priority_id":2,"assigned_to_id":23,"start_date":"2017-06-13","description":"","custom_fields":[{"id":1,"name":"Subdivision","value":"EC"},{"id":4,"name":"Milepost","value":"23.3305"},{"id":17,"name":"Train ID","value":"223-13"},{"id":16,"name":"Locomotive ID","value":"4002"},{"id":130,"name":"Impact","value":""},{"id":150,"name":"Time of Event (Mountain Time)","value":"20:06:58"},{"id":151,"name":"Denver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74"/>
        <v>start /low /b %USERPROFILE%\Documents\GitHub\eaglep3\Utilities\DownloadLogsFromS3.py --loco 4002 --day 2017-06-13</v>
      </c>
      <c r="AN161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796</v>
      </c>
      <c r="B162" s="7">
        <v>4001</v>
      </c>
      <c r="C162" s="21" t="s">
        <v>204</v>
      </c>
      <c r="D162" s="21" t="s">
        <v>471</v>
      </c>
      <c r="E162" s="13">
        <v>42899.845983796295</v>
      </c>
      <c r="F162" s="13">
        <v>42899.852314814816</v>
      </c>
      <c r="G162" s="7">
        <v>1</v>
      </c>
      <c r="H162" s="21" t="s">
        <v>351</v>
      </c>
      <c r="I162" s="13">
        <v>42899.879074074073</v>
      </c>
      <c r="J162" s="7">
        <v>0</v>
      </c>
      <c r="K162" s="92" t="str">
        <f t="shared" si="60"/>
        <v>4001/4002</v>
      </c>
      <c r="L162" s="21" t="str">
        <f>VLOOKUP(A162,'Trips&amp;Operators'!$C$1:$G$99999,5,FALSE)</f>
        <v>SMITH MICHAEL</v>
      </c>
      <c r="M162" s="6">
        <f t="shared" si="61"/>
        <v>2.675925925723277E-2</v>
      </c>
      <c r="N162" s="7">
        <f t="shared" si="77"/>
        <v>38.533333330415189</v>
      </c>
      <c r="O162" s="7"/>
      <c r="P162" s="7"/>
      <c r="Q162" s="22"/>
      <c r="R162" s="173"/>
      <c r="S162" s="176">
        <f t="shared" si="78"/>
        <v>1</v>
      </c>
      <c r="T162" s="202" t="str">
        <f t="shared" si="62"/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03" t="str">
        <f t="shared" si="63"/>
        <v>https://d0f6bd738d7f1b3e5a7ca70fe4ff75f0.us-east-1.aws.found.io/app/kibana#/discover/Steve-Slow-Train-Analysis-(2080s-and-2083s)?_g=(refreshInterval:(display:Off,pause:!f,section:0,value:0),time:(from:'2017-06-13T19:18:13-0600',mode:absolute,to:'2017-06-13T22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204" t="str">
        <f t="shared" si="64"/>
        <v>N</v>
      </c>
      <c r="X162" s="204">
        <f t="shared" si="76"/>
        <v>1</v>
      </c>
      <c r="Y162" s="204">
        <f t="shared" si="65"/>
        <v>23.296900000000001</v>
      </c>
      <c r="Z162" s="204">
        <f t="shared" si="66"/>
        <v>1.4999999999999999E-2</v>
      </c>
      <c r="AA162" s="204">
        <f t="shared" si="67"/>
        <v>23.2819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8"/>
        <v>0224-13</v>
      </c>
      <c r="AE162" s="80" t="str">
        <f t="shared" si="69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162" s="77" t="str">
        <f t="shared" si="70"/>
        <v>"C:\Program Files (x86)\AstroGrep\AstroGrep.exe" /e /r /s /spath="%USERPROFILE%\AppData\Local\Temp\OnboardLogs" /stypes="app*4001*20170614*" /stext=" 03:.+((SYSTEM_STATE.+slice.+state.+changed )|(ment ac)|(multiple cpu faults)|(system.+state.+changed )|(\[timeout)|(PRM\|1\|D)|(kpr)|(kdp)|(train st.+moving)|(\|lc)|(penalty))"</v>
      </c>
      <c r="AG162" s="1" t="str">
        <f t="shared" si="71"/>
        <v>EC</v>
      </c>
      <c r="AH162" s="81" t="str">
        <f t="shared" si="72"/>
        <v>"%USERPROFILE%\Documents\GitHub\eaglep3\Utilities\RefineRTDCRunTimes.py" --tripid 224-13 --locoid 4001 --swversion DE.1.0.9.0 --startMP 204:232969 --initTime 2017-06-13T20:18:13 --startdatetime 2017-06-13T20:27:20 --delay 1 --endMP 204:150 --enddatetime 2017-06-13T21:05:52 --enforcementcount 0 &gt;&gt;C:\Users\stu\Documents\GitHub\eaglep3-reporting\EC\2017-06-13-refined-times.txt</v>
      </c>
      <c r="AI162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{"issue":{"subject":"","project_id":79,"tracker_id":40,"status_id":1,"priority_id":2,"assigned_to_id":23,"start_date":"2017-06-13","description":"","custom_fields":[{"id":1,"name":"Subdivision","value":"EC"},{"id":4,"name":"Milepost","value":"0.015"},{"id":17,"name":"Train ID","value":"224-13"},{"id":16,"name":"Locomotive ID","value":"4001"},{"id":130,"name":"Impact","value":""},{"id":150,"name":"Time of Event (Mountain Time)","value":"21:05:52"},{"id":151,"name":"Denver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74"/>
        <v>start /low /b %USERPROFILE%\Documents\GitHub\eaglep3\Utilities\DownloadLogsFromS3.py --loco 4001 --day 2017-06-13</v>
      </c>
      <c r="AN162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794</v>
      </c>
      <c r="B163" s="7">
        <v>4006</v>
      </c>
      <c r="C163" s="21" t="s">
        <v>204</v>
      </c>
      <c r="D163" s="21" t="s">
        <v>345</v>
      </c>
      <c r="E163" s="13">
        <v>42899.831979166665</v>
      </c>
      <c r="F163" s="13">
        <v>42899.833506944444</v>
      </c>
      <c r="G163" s="7">
        <v>1</v>
      </c>
      <c r="H163" s="21" t="s">
        <v>565</v>
      </c>
      <c r="I163" s="13">
        <v>42899.859803240739</v>
      </c>
      <c r="J163" s="7">
        <v>0</v>
      </c>
      <c r="K163" s="92" t="str">
        <f t="shared" si="60"/>
        <v>4005/4006</v>
      </c>
      <c r="L163" s="21" t="str">
        <f>VLOOKUP(A163,'Trips&amp;Operators'!$C$1:$G$99999,5,FALSE)</f>
        <v>FORTUNATO FRANK</v>
      </c>
      <c r="M163" s="6">
        <f t="shared" si="61"/>
        <v>2.6296296295186039E-2</v>
      </c>
      <c r="N163" s="7">
        <f t="shared" si="77"/>
        <v>37.866666665067896</v>
      </c>
      <c r="O163" s="7"/>
      <c r="P163" s="7"/>
      <c r="Q163" s="22"/>
      <c r="R163" s="173"/>
      <c r="S163" s="176">
        <f t="shared" si="78"/>
        <v>1</v>
      </c>
      <c r="T163" s="202" t="str">
        <f t="shared" si="62"/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03" t="str">
        <f t="shared" si="63"/>
        <v>https://d0f6bd738d7f1b3e5a7ca70fe4ff75f0.us-east-1.aws.found.io/app/kibana#/discover/Steve-Slow-Train-Analysis-(2080s-and-2083s)?_g=(refreshInterval:(display:Off,pause:!f,section:0,value:0),time:(from:'2017-06-13T18:58:03-0600',mode:absolute,to:'2017-06-13T21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3" s="204" t="str">
        <f t="shared" si="64"/>
        <v>N</v>
      </c>
      <c r="X163" s="204">
        <f t="shared" si="76"/>
        <v>1</v>
      </c>
      <c r="Y163" s="204">
        <f t="shared" si="65"/>
        <v>4.4900000000000002E-2</v>
      </c>
      <c r="Z163" s="204">
        <f t="shared" si="66"/>
        <v>23.3355</v>
      </c>
      <c r="AA163" s="204">
        <f t="shared" si="67"/>
        <v>23.290600000000001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8"/>
        <v>0225-13</v>
      </c>
      <c r="AE163" s="80" t="str">
        <f t="shared" si="69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163" s="77" t="str">
        <f t="shared" si="70"/>
        <v>"C:\Program Files (x86)\AstroGrep\AstroGrep.exe" /e /r /s /spath="%USERPROFILE%\AppData\Local\Temp\OnboardLogs" /stypes="app*4006*20170614*" /stext=" 02:.+((SYSTEM_STATE.+slice.+state.+changed )|(ment ac)|(multiple cpu faults)|(system.+state.+changed )|(\[timeout)|(PRM\|1\|D)|(kpr)|(kdp)|(train st.+moving)|(\|lc)|(penalty))"</v>
      </c>
      <c r="AG163" s="1" t="str">
        <f t="shared" si="71"/>
        <v>EC</v>
      </c>
      <c r="AH163" s="81" t="str">
        <f t="shared" si="72"/>
        <v>"%USERPROFILE%\Documents\GitHub\eaglep3\Utilities\RefineRTDCRunTimes.py" --tripid 225-13 --locoid 4006 --swversion DE.1.0.9.0 --startMP 204:449 --initTime 2017-06-13T19:58:03 --startdatetime 2017-06-13T20:00:15 --delay 1 --endMP 204:233355 --enddatetime 2017-06-13T20:38:07 --enforcementcount 0 &gt;&gt;C:\Users\stu\Documents\GitHub\eaglep3-reporting\EC\2017-06-13-refined-times.txt</v>
      </c>
      <c r="AI163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{"issue":{"subject":"","project_id":79,"tracker_id":40,"status_id":1,"priority_id":2,"assigned_to_id":23,"start_date":"2017-06-13","description":"","custom_fields":[{"id":1,"name":"Subdivision","value":"EC"},{"id":4,"name":"Milepost","value":"23.3355"},{"id":17,"name":"Train ID","value":"225-13"},{"id":16,"name":"Locomotive ID","value":"4006"},{"id":130,"name":"Impact","value":""},{"id":150,"name":"Time of Event (Mountain Time)","value":"20:38:07"},{"id":151,"name":"Denver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4"/>
        <v>start /low /b %USERPROFILE%\Documents\GitHub\eaglep3\Utilities\DownloadLogsFromS3.py --loco 4006 --day 2017-06-13</v>
      </c>
      <c r="AN163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02:38:07"},{"id":29,"name":"Sharepoint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799</v>
      </c>
      <c r="B164" s="7">
        <v>4005</v>
      </c>
      <c r="C164" s="21" t="s">
        <v>204</v>
      </c>
      <c r="D164" s="21" t="s">
        <v>903</v>
      </c>
      <c r="E164" s="13">
        <v>42899.86109953704</v>
      </c>
      <c r="F164" s="13">
        <v>42899.873356481483</v>
      </c>
      <c r="G164" s="7">
        <v>1</v>
      </c>
      <c r="H164" s="21" t="s">
        <v>196</v>
      </c>
      <c r="I164" s="13">
        <v>42899.899826388886</v>
      </c>
      <c r="J164" s="7">
        <v>0</v>
      </c>
      <c r="K164" s="92" t="str">
        <f t="shared" si="60"/>
        <v>4005/4006</v>
      </c>
      <c r="L164" s="21" t="str">
        <f>VLOOKUP(A164,'Trips&amp;Operators'!$C$1:$G$99999,5,FALSE)</f>
        <v>FORTUNATO FRANK</v>
      </c>
      <c r="M164" s="6">
        <f t="shared" si="61"/>
        <v>2.6469907403225079E-2</v>
      </c>
      <c r="N164" s="7">
        <f t="shared" si="77"/>
        <v>38.116666660644114</v>
      </c>
      <c r="O164" s="7"/>
      <c r="P164" s="7"/>
      <c r="Q164" s="22"/>
      <c r="R164" s="173"/>
      <c r="S164" s="176">
        <f t="shared" si="78"/>
        <v>1</v>
      </c>
      <c r="T164" s="202" t="str">
        <f t="shared" si="62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203" t="str">
        <f t="shared" si="63"/>
        <v>https://d0f6bd738d7f1b3e5a7ca70fe4ff75f0.us-east-1.aws.found.io/app/kibana#/discover/Steve-Slow-Train-Analysis-(2080s-and-2083s)?_g=(refreshInterval:(display:Off,pause:!f,section:0,value:0),time:(from:'2017-06-13T19:39:59-0600',mode:absolute,to:'2017-06-13T22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4" s="204" t="str">
        <f t="shared" si="64"/>
        <v>N</v>
      </c>
      <c r="X164" s="204">
        <f t="shared" si="76"/>
        <v>1</v>
      </c>
      <c r="Y164" s="204">
        <f t="shared" si="65"/>
        <v>23.304400000000001</v>
      </c>
      <c r="Z164" s="204">
        <f t="shared" si="66"/>
        <v>1.5800000000000002E-2</v>
      </c>
      <c r="AA164" s="204">
        <f t="shared" si="67"/>
        <v>23.288600000000002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8"/>
        <v>0226-13</v>
      </c>
      <c r="AE164" s="80" t="str">
        <f t="shared" si="69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164" s="77" t="str">
        <f t="shared" si="70"/>
        <v>"C:\Program Files (x86)\AstroGrep\AstroGrep.exe" /e /r /s /spath="%USERPROFILE%\AppData\Local\Temp\OnboardLogs" /stypes="app*4005*20170614*" /stext=" 03:.+((SYSTEM_STATE.+slice.+state.+changed )|(ment ac)|(multiple cpu faults)|(system.+state.+changed )|(\[timeout)|(PRM\|1\|D)|(kpr)|(kdp)|(train st.+moving)|(\|lc)|(penalty))"</v>
      </c>
      <c r="AG164" s="1" t="str">
        <f t="shared" si="71"/>
        <v>EC</v>
      </c>
      <c r="AH164" s="81" t="str">
        <f t="shared" si="72"/>
        <v>"%USERPROFILE%\Documents\GitHub\eaglep3\Utilities\RefineRTDCRunTimes.py" --tripid 226-13 --locoid 4005 --swversion DE.1.0.9.0 --startMP 204:233044 --initTime 2017-06-13T20:39:59 --startdatetime 2017-06-13T20:57:38 --delay 1 --endMP 204:158 --enddatetime 2017-06-13T21:35:45 --enforcementcount 0 &gt;&gt;C:\Users\stu\Documents\GitHub\eaglep3-reporting\EC\2017-06-13-refined-times.txt</v>
      </c>
      <c r="AI164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{"issue":{"subject":"","project_id":79,"tracker_id":40,"status_id":1,"priority_id":2,"assigned_to_id":23,"start_date":"2017-06-13","description":"","custom_fields":[{"id":1,"name":"Subdivision","value":"EC"},{"id":4,"name":"Milepost","value":"0.0158"},{"id":17,"name":"Train ID","value":"226-13"},{"id":16,"name":"Locomotive ID","value":"4005"},{"id":130,"name":"Impact","value":""},{"id":150,"name":"Time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4"/>
        <v>start /low /b %USERPROFILE%\Documents\GitHub\eaglep3\Utilities\DownloadLogsFromS3.py --loco 4005 --day 2017-06-13</v>
      </c>
      <c r="AN164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797</v>
      </c>
      <c r="B165" s="7">
        <v>4046</v>
      </c>
      <c r="C165" s="21" t="s">
        <v>204</v>
      </c>
      <c r="D165" s="21" t="s">
        <v>558</v>
      </c>
      <c r="E165" s="13">
        <v>42899.849942129629</v>
      </c>
      <c r="F165" s="13">
        <v>42899.85434027778</v>
      </c>
      <c r="G165" s="7">
        <v>3</v>
      </c>
      <c r="H165" s="21" t="s">
        <v>505</v>
      </c>
      <c r="I165" s="13">
        <v>42899.880381944444</v>
      </c>
      <c r="J165" s="7">
        <v>0</v>
      </c>
      <c r="K165" s="92" t="str">
        <f t="shared" si="60"/>
        <v>4045/4046</v>
      </c>
      <c r="L165" s="21" t="str">
        <f>VLOOKUP(A165,'Trips&amp;Operators'!$C$1:$G$99999,5,FALSE)</f>
        <v>LAMAR NEKESHA</v>
      </c>
      <c r="M165" s="6">
        <f t="shared" si="61"/>
        <v>2.6041666664241347E-2</v>
      </c>
      <c r="N165" s="7">
        <f t="shared" si="77"/>
        <v>37.49999999650754</v>
      </c>
      <c r="O165" s="7"/>
      <c r="P165" s="7"/>
      <c r="Q165" s="22"/>
      <c r="R165" s="173"/>
      <c r="S165" s="176">
        <f t="shared" si="78"/>
        <v>1</v>
      </c>
      <c r="T165" s="202" t="str">
        <f t="shared" si="62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203" t="str">
        <f t="shared" si="63"/>
        <v>https://d0f6bd738d7f1b3e5a7ca70fe4ff75f0.us-east-1.aws.found.io/app/kibana#/discover/Steve-Slow-Train-Analysis-(2080s-and-2083s)?_g=(refreshInterval:(display:Off,pause:!f,section:0,value:0),time:(from:'2017-06-13T19:23:55-0600',mode:absolute,to:'2017-06-13T22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5" s="204" t="str">
        <f t="shared" si="64"/>
        <v>N</v>
      </c>
      <c r="X165" s="204">
        <f t="shared" si="76"/>
        <v>1</v>
      </c>
      <c r="Y165" s="204">
        <f t="shared" si="65"/>
        <v>4.7300000000000002E-2</v>
      </c>
      <c r="Z165" s="204">
        <f t="shared" si="66"/>
        <v>23.330100000000002</v>
      </c>
      <c r="AA165" s="204">
        <f t="shared" si="67"/>
        <v>23.282800000000002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8"/>
        <v>0227-13</v>
      </c>
      <c r="AE165" s="80" t="str">
        <f t="shared" si="69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165" s="77" t="str">
        <f t="shared" si="70"/>
        <v>"C:\Program Files (x86)\AstroGrep\AstroGrep.exe" /e /r /s /spath="%USERPROFILE%\AppData\Local\Temp\OnboardLogs" /stypes="app*4046*20170614*" /stext=" 03:.+((SYSTEM_STATE.+slice.+state.+changed )|(ment ac)|(multiple cpu faults)|(system.+state.+changed )|(\[timeout)|(PRM\|1\|D)|(kpr)|(kdp)|(train st.+moving)|(\|lc)|(penalty))"</v>
      </c>
      <c r="AG165" s="1" t="str">
        <f t="shared" si="71"/>
        <v>EC</v>
      </c>
      <c r="AH165" s="81" t="str">
        <f t="shared" si="72"/>
        <v>"%USERPROFILE%\Documents\GitHub\eaglep3\Utilities\RefineRTDCRunTimes.py" --tripid 227-13 --locoid 4046 --swversion DE.1.0.9.0 --startMP 204:473 --initTime 2017-06-13T20:23:55 --startdatetime 2017-06-13T20:30:15 --delay 3 --endMP 204:233301 --enddatetime 2017-06-13T21:07:45 --enforcementcount 0 &gt;&gt;C:\Users\stu\Documents\GitHub\eaglep3-reporting\EC\2017-06-13-refined-times.txt</v>
      </c>
      <c r="AI165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{"issue":{"subject":"","project_id":79,"tracker_id":40,"status_id":1,"priority_id":2,"assigned_to_id":23,"start_date":"2017-06-13","description":"","custom_fields":[{"id":1,"name":"Subdivision","value":"EC"},{"id":4,"name":"Milepost","value":"23.3301"},{"id":17,"name":"Train ID","value":"227-13"},{"id":16,"name":"Locomotive ID","value":"4046"},{"id":130,"name":"Impact","value":""},{"id":150,"name":"Time of Event (Mountain Time)","value":"21:07:45"},{"id":151,"name":"Denver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4"/>
        <v>start /low /b %USERPROFILE%\Documents\GitHub\eaglep3\Utilities\DownloadLogsFromS3.py --loco 4046 --day 2017-06-13</v>
      </c>
      <c r="AN165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03:07:45"},{"id":29,"name":"Sharepoint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620</v>
      </c>
      <c r="B166" s="7">
        <v>4045</v>
      </c>
      <c r="C166" s="21" t="s">
        <v>204</v>
      </c>
      <c r="D166" s="21" t="s">
        <v>853</v>
      </c>
      <c r="E166" s="13">
        <v>42899.885787037034</v>
      </c>
      <c r="F166" s="13">
        <v>42899.894108796296</v>
      </c>
      <c r="G166" s="7">
        <v>0</v>
      </c>
      <c r="H166" s="21" t="s">
        <v>424</v>
      </c>
      <c r="I166" s="13">
        <v>42899.921273148146</v>
      </c>
      <c r="J166" s="7">
        <v>0</v>
      </c>
      <c r="K166" s="92" t="str">
        <f t="shared" si="60"/>
        <v>4045/4046</v>
      </c>
      <c r="L166" s="21" t="str">
        <f>VLOOKUP(A166,'Trips&amp;Operators'!$C$1:$G$99999,5,FALSE)</f>
        <v>LAMAR NEKESHA</v>
      </c>
      <c r="M166" s="6">
        <f t="shared" si="61"/>
        <v>2.7164351849933155E-2</v>
      </c>
      <c r="N166" s="7">
        <f t="shared" si="77"/>
        <v>39.116666663903743</v>
      </c>
      <c r="O166" s="7"/>
      <c r="P166" s="7"/>
      <c r="Q166" s="22"/>
      <c r="R166" s="173"/>
      <c r="S166" s="176">
        <f t="shared" si="78"/>
        <v>1</v>
      </c>
      <c r="T166" s="202" t="str">
        <f t="shared" si="62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12</v>
      </c>
      <c r="V166" s="203" t="str">
        <f t="shared" si="63"/>
        <v>https://d0f6bd738d7f1b3e5a7ca70fe4ff75f0.us-east-1.aws.found.io/app/kibana#/discover/Steve-Slow-Train-Analysis-(2080s-and-2083s)?_g=(refreshInterval:(display:Off,pause:!f,section:0,value:0),time:(from:'2017-06-13T20:15:32-0600',mode:absolute,to:'2017-06-13T23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6" s="204" t="str">
        <f t="shared" si="64"/>
        <v>N</v>
      </c>
      <c r="X166" s="204">
        <f t="shared" si="76"/>
        <v>1</v>
      </c>
      <c r="Y166" s="204">
        <f t="shared" si="65"/>
        <v>23.295500000000001</v>
      </c>
      <c r="Z166" s="204">
        <f t="shared" si="66"/>
        <v>1.4500000000000001E-2</v>
      </c>
      <c r="AA166" s="204">
        <f t="shared" si="67"/>
        <v>23.280999999999999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8"/>
        <v>0228-13</v>
      </c>
      <c r="AE166" s="80" t="str">
        <f t="shared" si="69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166" s="77" t="str">
        <f t="shared" si="70"/>
        <v>"C:\Program Files (x86)\AstroGrep\AstroGrep.exe" /e /r /s /spath="%USERPROFILE%\AppData\Local\Temp\OnboardLogs" /stypes="app*4045*20170614*" /stext=" 04:.+((SYSTEM_STATE.+slice.+state.+changed )|(ment ac)|(multiple cpu faults)|(system.+state.+changed )|(\[timeout)|(PRM\|1\|D)|(kpr)|(kdp)|(train st.+moving)|(\|lc)|(penalty))"</v>
      </c>
      <c r="AG166" s="1" t="str">
        <f t="shared" si="71"/>
        <v>EC</v>
      </c>
      <c r="AH166" s="81" t="str">
        <f t="shared" si="72"/>
        <v>"%USERPROFILE%\Documents\GitHub\eaglep3\Utilities\RefineRTDCRunTimes.py" --tripid 228-13 --locoid 4045 --swversion DE.1.0.9.0 --startMP 204:232955 --initTime 2017-06-13T21:15:32 --startdatetime 2017-06-13T21:27:31 --delay 0 --endMP 204:145 --enddatetime 2017-06-13T22:06:38 --enforcementcount 0 &gt;&gt;C:\Users\stu\Documents\GitHub\eaglep3-reporting\EC\2017-06-13-refined-times.txt</v>
      </c>
      <c r="AI166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{"issue":{"subject":"","project_id":79,"tracker_id":40,"status_id":1,"priority_id":2,"assigned_to_id":23,"start_date":"2017-06-13","description":"","custom_fields":[{"id":1,"name":"Subdivision","value":"EC"},{"id":4,"name":"Milepost","value":"0.0145"},{"id":17,"name":"Train ID","value":"228-13"},{"id":16,"name":"Locomotive ID","value":"4045"},{"id":130,"name":"Impact","value":""},{"id":150,"name":"Time of Event (Mountain Time)","value":"22:06:38"},{"id":151,"name":"Denver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74"/>
        <v>start /low /b %USERPROFILE%\Documents\GitHub\eaglep3\Utilities\DownloadLogsFromS3.py --loco 4045 --day 2017-06-13</v>
      </c>
      <c r="AN166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04:06:38"},{"id":29,"name":"Sharepoint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800</v>
      </c>
      <c r="B167" s="7">
        <v>4032</v>
      </c>
      <c r="C167" s="21" t="s">
        <v>204</v>
      </c>
      <c r="D167" s="21" t="s">
        <v>394</v>
      </c>
      <c r="E167" s="13">
        <v>42899.863715277781</v>
      </c>
      <c r="F167" s="13">
        <v>42899.875185185185</v>
      </c>
      <c r="G167" s="7">
        <v>1</v>
      </c>
      <c r="H167" s="21" t="s">
        <v>480</v>
      </c>
      <c r="I167" s="13">
        <v>42899.901145833333</v>
      </c>
      <c r="J167" s="7">
        <v>0</v>
      </c>
      <c r="K167" s="92" t="str">
        <f t="shared" si="60"/>
        <v>4031/4032</v>
      </c>
      <c r="L167" s="21" t="str">
        <f>VLOOKUP(A167,'Trips&amp;Operators'!$C$1:$G$99999,5,FALSE)</f>
        <v>HAITHCOX MICHAEL</v>
      </c>
      <c r="M167" s="6">
        <f t="shared" si="61"/>
        <v>2.5960648148611654E-2</v>
      </c>
      <c r="N167" s="7">
        <f t="shared" si="77"/>
        <v>37.383333334000781</v>
      </c>
      <c r="O167" s="7"/>
      <c r="P167" s="7"/>
      <c r="Q167" s="22"/>
      <c r="R167" s="173"/>
      <c r="S167" s="176">
        <f t="shared" si="78"/>
        <v>1</v>
      </c>
      <c r="T167" s="202" t="str">
        <f t="shared" si="62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12</v>
      </c>
      <c r="V167" s="203" t="str">
        <f t="shared" si="63"/>
        <v>https://d0f6bd738d7f1b3e5a7ca70fe4ff75f0.us-east-1.aws.found.io/app/kibana#/discover/Steve-Slow-Train-Analysis-(2080s-and-2083s)?_g=(refreshInterval:(display:Off,pause:!f,section:0,value:0),time:(from:'2017-06-13T19:43:45-0600',mode:absolute,to:'2017-06-13T22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204" t="str">
        <f t="shared" si="64"/>
        <v>N</v>
      </c>
      <c r="X167" s="204">
        <f t="shared" si="76"/>
        <v>1</v>
      </c>
      <c r="Y167" s="204">
        <f t="shared" si="65"/>
        <v>4.6199999999999998E-2</v>
      </c>
      <c r="Z167" s="204">
        <f t="shared" si="66"/>
        <v>23.329899999999999</v>
      </c>
      <c r="AA167" s="204">
        <f t="shared" si="67"/>
        <v>23.2837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8"/>
        <v>0229-13</v>
      </c>
      <c r="AE167" s="80" t="str">
        <f t="shared" si="69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167" s="77" t="str">
        <f t="shared" si="70"/>
        <v>"C:\Program Files (x86)\AstroGrep\AstroGrep.exe" /e /r /s /spath="%USERPROFILE%\AppData\Local\Temp\OnboardLogs" /stypes="app*4032*20170614*" /stext=" 03:.+((SYSTEM_STATE.+slice.+state.+changed )|(ment ac)|(multiple cpu faults)|(system.+state.+changed )|(\[timeout)|(PRM\|1\|D)|(kpr)|(kdp)|(train st.+moving)|(\|lc)|(penalty))"</v>
      </c>
      <c r="AG167" s="1" t="str">
        <f t="shared" si="71"/>
        <v>EC</v>
      </c>
      <c r="AH167" s="81" t="str">
        <f t="shared" si="72"/>
        <v>"%USERPROFILE%\Documents\GitHub\eaglep3\Utilities\RefineRTDCRunTimes.py" --tripid 229-13 --locoid 4032 --swversion DE.1.0.9.0 --startMP 204:462 --initTime 2017-06-13T20:43:45 --startdatetime 2017-06-13T21:00:16 --delay 1 --endMP 204:233299 --enddatetime 2017-06-13T21:37:39 --enforcementcount 0 &gt;&gt;C:\Users\stu\Documents\GitHub\eaglep3-reporting\EC\2017-06-13-refined-times.txt</v>
      </c>
      <c r="AI167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{"issue":{"subject":"","project_id":79,"tracker_id":40,"status_id":1,"priority_id":2,"assigned_to_id":23,"start_date":"2017-06-13","description":"","custom_fields":[{"id":1,"name":"Subdivision","value":"EC"},{"id":4,"name":"Milepost","value":"23.3299"},{"id":17,"name":"Train ID","value":"229-13"},{"id":16,"name":"Locomotive ID","value":"4032"},{"id":130,"name":"Impact","value":""},{"id":150,"name":"Time of Event (Mountain Time)","value":"21:37:39"},{"id":151,"name":"Denver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74"/>
        <v>start /low /b %USERPROFILE%\Documents\GitHub\eaglep3\Utilities\DownloadLogsFromS3.py --loco 4032 --day 2017-06-13</v>
      </c>
      <c r="AN167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03:37:39"},{"id":29,"name":"Sharepoint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804</v>
      </c>
      <c r="B168" s="7">
        <v>4031</v>
      </c>
      <c r="C168" s="21" t="s">
        <v>204</v>
      </c>
      <c r="D168" s="21" t="s">
        <v>840</v>
      </c>
      <c r="E168" s="13">
        <v>42899.906331018516</v>
      </c>
      <c r="F168" s="13">
        <v>42899.915023148147</v>
      </c>
      <c r="G168" s="7">
        <v>1</v>
      </c>
      <c r="H168" s="21" t="s">
        <v>561</v>
      </c>
      <c r="I168" s="13">
        <v>42899.94253472222</v>
      </c>
      <c r="J168" s="7">
        <v>0</v>
      </c>
      <c r="K168" s="92" t="str">
        <f t="shared" si="60"/>
        <v>4031/4032</v>
      </c>
      <c r="L168" s="21" t="str">
        <f>VLOOKUP(A168,'Trips&amp;Operators'!$C$1:$G$99999,5,FALSE)</f>
        <v>HAITHCOX MICHAEL</v>
      </c>
      <c r="M168" s="6">
        <f t="shared" si="61"/>
        <v>2.7511574073287193E-2</v>
      </c>
      <c r="N168" s="7">
        <f t="shared" si="77"/>
        <v>39.616666665533558</v>
      </c>
      <c r="O168" s="7"/>
      <c r="P168" s="7"/>
      <c r="Q168" s="22"/>
      <c r="R168" s="173"/>
      <c r="S168" s="176">
        <f t="shared" si="78"/>
        <v>1</v>
      </c>
      <c r="T168" s="202" t="str">
        <f t="shared" si="62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12</v>
      </c>
      <c r="V168" s="203" t="str">
        <f t="shared" si="63"/>
        <v>https://d0f6bd738d7f1b3e5a7ca70fe4ff75f0.us-east-1.aws.found.io/app/kibana#/discover/Steve-Slow-Train-Analysis-(2080s-and-2083s)?_g=(refreshInterval:(display:Off,pause:!f,section:0,value:0),time:(from:'2017-06-13T20:45:07-0600',mode:absolute,to:'2017-06-13T23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204" t="str">
        <f t="shared" si="64"/>
        <v>N</v>
      </c>
      <c r="X168" s="204">
        <f t="shared" si="76"/>
        <v>1</v>
      </c>
      <c r="Y168" s="204">
        <f t="shared" si="65"/>
        <v>23.297999999999998</v>
      </c>
      <c r="Z168" s="204">
        <f t="shared" si="66"/>
        <v>1.6E-2</v>
      </c>
      <c r="AA168" s="204">
        <f t="shared" si="67"/>
        <v>23.282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8"/>
        <v>0230-13</v>
      </c>
      <c r="AE168" s="80" t="str">
        <f t="shared" si="69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168" s="77" t="str">
        <f t="shared" si="70"/>
        <v>"C:\Program Files (x86)\AstroGrep\AstroGrep.exe" /e /r /s /spath="%USERPROFILE%\AppData\Local\Temp\OnboardLogs" /stypes="app*4031*20170614*" /stext=" 04:.+((SYSTEM_STATE.+slice.+state.+changed )|(ment ac)|(multiple cpu faults)|(system.+state.+changed )|(\[timeout)|(PRM\|1\|D)|(kpr)|(kdp)|(train st.+moving)|(\|lc)|(penalty))"</v>
      </c>
      <c r="AG168" s="1" t="str">
        <f t="shared" si="71"/>
        <v>EC</v>
      </c>
      <c r="AH168" s="81" t="str">
        <f t="shared" si="72"/>
        <v>"%USERPROFILE%\Documents\GitHub\eaglep3\Utilities\RefineRTDCRunTimes.py" --tripid 230-13 --locoid 4031 --swversion DE.1.0.9.0 --startMP 204:232980 --initTime 2017-06-13T21:45:07 --startdatetime 2017-06-13T21:57:38 --delay 1 --endMP 204:160 --enddatetime 2017-06-13T22:37:15 --enforcementcount 0 &gt;&gt;C:\Users\stu\Documents\GitHub\eaglep3-reporting\EC\2017-06-13-refined-times.txt</v>
      </c>
      <c r="AI168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{"issue":{"subject":"","project_id":79,"tracker_id":40,"status_id":1,"priority_id":2,"assigned_to_id":23,"start_date":"2017-06-13","description":"","custom_fields":[{"id":1,"name":"Subdivision","value":"EC"},{"id":4,"name":"Milepost","value":"0.016"},{"id":17,"name":"Train ID","value":"230-13"},{"id":16,"name":"Locomotive ID","value":"4031"},{"id":130,"name":"Impact","value":""},{"id":150,"name":"Time of Event (Mountain Time)","value":"22:37:15"},{"id":151,"name":"Denver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74"/>
        <v>start /low /b %USERPROFILE%\Documents\GitHub\eaglep3\Utilities\DownloadLogsFromS3.py --loco 4031 --day 2017-06-13</v>
      </c>
      <c r="AN168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04:37:15"},{"id":29,"name":"Sharepoint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801</v>
      </c>
      <c r="B169" s="7">
        <v>4002</v>
      </c>
      <c r="C169" s="21" t="s">
        <v>204</v>
      </c>
      <c r="D169" s="21" t="s">
        <v>900</v>
      </c>
      <c r="E169" s="13">
        <v>42899.887800925928</v>
      </c>
      <c r="F169" s="13">
        <v>42899.896018518521</v>
      </c>
      <c r="G169" s="7">
        <v>1</v>
      </c>
      <c r="H169" s="21" t="s">
        <v>478</v>
      </c>
      <c r="I169" s="13">
        <v>42899.921782407408</v>
      </c>
      <c r="J169" s="7">
        <v>0</v>
      </c>
      <c r="K169" s="92" t="str">
        <f t="shared" si="60"/>
        <v>4001/4002</v>
      </c>
      <c r="L169" s="21" t="str">
        <f>VLOOKUP(A169,'Trips&amp;Operators'!$C$1:$G$99999,5,FALSE)</f>
        <v>SMITH MICHAEL</v>
      </c>
      <c r="M169" s="6">
        <f t="shared" si="61"/>
        <v>2.5763888887013309E-2</v>
      </c>
      <c r="N169" s="7">
        <f t="shared" si="77"/>
        <v>37.099999997299165</v>
      </c>
      <c r="O169" s="7"/>
      <c r="P169" s="7"/>
      <c r="Q169" s="22"/>
      <c r="R169" s="173"/>
      <c r="S169" s="176">
        <f t="shared" si="78"/>
        <v>1</v>
      </c>
      <c r="T169" s="202" t="str">
        <f t="shared" si="62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12</v>
      </c>
      <c r="V169" s="203" t="str">
        <f t="shared" si="63"/>
        <v>https://d0f6bd738d7f1b3e5a7ca70fe4ff75f0.us-east-1.aws.found.io/app/kibana#/discover/Steve-Slow-Train-Analysis-(2080s-and-2083s)?_g=(refreshInterval:(display:Off,pause:!f,section:0,value:0),time:(from:'2017-06-13T20:18:26-0600',mode:absolute,to:'2017-06-13T23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204" t="str">
        <f t="shared" si="64"/>
        <v>N</v>
      </c>
      <c r="X169" s="204">
        <f t="shared" si="76"/>
        <v>1</v>
      </c>
      <c r="Y169" s="204">
        <f t="shared" si="65"/>
        <v>4.7699999999999999E-2</v>
      </c>
      <c r="Z169" s="204">
        <f t="shared" si="66"/>
        <v>23.329499999999999</v>
      </c>
      <c r="AA169" s="204">
        <f t="shared" si="67"/>
        <v>23.2818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8"/>
        <v>0231-13</v>
      </c>
      <c r="AE169" s="80" t="str">
        <f t="shared" si="69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169" s="77" t="str">
        <f t="shared" si="70"/>
        <v>"C:\Program Files (x86)\AstroGrep\AstroGrep.exe" /e /r /s /spath="%USERPROFILE%\AppData\Local\Temp\OnboardLogs" /stypes="app*4002*20170614*" /stext=" 04:.+((SYSTEM_STATE.+slice.+state.+changed )|(ment ac)|(multiple cpu faults)|(system.+state.+changed )|(\[timeout)|(PRM\|1\|D)|(kpr)|(kdp)|(train st.+moving)|(\|lc)|(penalty))"</v>
      </c>
      <c r="AG169" s="1" t="str">
        <f t="shared" si="71"/>
        <v>EC</v>
      </c>
      <c r="AH169" s="81" t="str">
        <f t="shared" si="72"/>
        <v>"%USERPROFILE%\Documents\GitHub\eaglep3\Utilities\RefineRTDCRunTimes.py" --tripid 231-13 --locoid 4002 --swversion DE.1.0.9.0 --startMP 204:477 --initTime 2017-06-13T21:18:26 --startdatetime 2017-06-13T21:30:16 --delay 1 --endMP 204:233295 --enddatetime 2017-06-13T22:07:22 --enforcementcount 0 &gt;&gt;C:\Users\stu\Documents\GitHub\eaglep3-reporting\EC\2017-06-13-refined-times.txt</v>
      </c>
      <c r="AI169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{"issue":{"subject":"","project_id":79,"tracker_id":40,"status_id":1,"priority_id":2,"assigned_to_id":23,"start_date":"2017-06-13","description":"","custom_fields":[{"id":1,"name":"Subdivision","value":"EC"},{"id":4,"name":"Milepost","value":"23.3295"},{"id":17,"name":"Train ID","value":"231-13"},{"id":16,"name":"Locomotive ID","value":"4002"},{"id":130,"name":"Impact","value":""},{"id":150,"name":"Time of Event (Mountain Time)","value":"22:07:22"},{"id":151,"name":"Denver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74"/>
        <v>start /low /b %USERPROFILE%\Documents\GitHub\eaglep3\Utilities\DownloadLogsFromS3.py --loco 4002 --day 2017-06-13</v>
      </c>
      <c r="AN169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04:07:22"},{"id":29,"name":"Sharepoint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806</v>
      </c>
      <c r="B170" s="7">
        <v>4001</v>
      </c>
      <c r="C170" s="21" t="s">
        <v>204</v>
      </c>
      <c r="D170" s="21" t="s">
        <v>512</v>
      </c>
      <c r="E170" s="13">
        <v>42899.927395833336</v>
      </c>
      <c r="F170" s="13">
        <v>42899.935844907406</v>
      </c>
      <c r="G170" s="7">
        <v>1</v>
      </c>
      <c r="H170" s="21" t="s">
        <v>424</v>
      </c>
      <c r="I170" s="13">
        <v>42899.962627314817</v>
      </c>
      <c r="J170" s="7">
        <v>0</v>
      </c>
      <c r="K170" s="92" t="str">
        <f t="shared" si="60"/>
        <v>4001/4002</v>
      </c>
      <c r="L170" s="21" t="str">
        <f>VLOOKUP(A170,'Trips&amp;Operators'!$C$1:$G$99999,5,FALSE)</f>
        <v>SMITH MICHAEL</v>
      </c>
      <c r="M170" s="6">
        <f t="shared" si="61"/>
        <v>2.6782407410792075E-2</v>
      </c>
      <c r="N170" s="7">
        <f t="shared" si="77"/>
        <v>38.566666671540588</v>
      </c>
      <c r="O170" s="7"/>
      <c r="P170" s="7"/>
      <c r="Q170" s="22"/>
      <c r="R170" s="173"/>
      <c r="S170" s="176">
        <f t="shared" si="78"/>
        <v>1</v>
      </c>
      <c r="T170" s="202" t="str">
        <f t="shared" si="62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12</v>
      </c>
      <c r="V170" s="203" t="str">
        <f t="shared" si="63"/>
        <v>https://d0f6bd738d7f1b3e5a7ca70fe4ff75f0.us-east-1.aws.found.io/app/kibana#/discover/Steve-Slow-Train-Analysis-(2080s-and-2083s)?_g=(refreshInterval:(display:Off,pause:!f,section:0,value:0),time:(from:'2017-06-13T21:15:27-0600',mode:absolute,to:'2017-06-14T00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204" t="str">
        <f t="shared" si="64"/>
        <v>N</v>
      </c>
      <c r="X170" s="204">
        <f t="shared" si="76"/>
        <v>1</v>
      </c>
      <c r="Y170" s="204">
        <f t="shared" si="65"/>
        <v>23.297499999999999</v>
      </c>
      <c r="Z170" s="204">
        <f t="shared" si="66"/>
        <v>1.4500000000000001E-2</v>
      </c>
      <c r="AA170" s="204">
        <f t="shared" si="67"/>
        <v>23.282999999999998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8"/>
        <v>0232-13</v>
      </c>
      <c r="AE170" s="80" t="str">
        <f t="shared" si="69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170" s="77" t="str">
        <f t="shared" si="70"/>
        <v>"C:\Program Files (x86)\AstroGrep\AstroGrep.exe" /e /r /s /spath="%USERPROFILE%\AppData\Local\Temp\OnboardLogs" /stypes="app*4001*20170614*" /stext=" 05:.+((SYSTEM_STATE.+slice.+state.+changed )|(ment ac)|(multiple cpu faults)|(system.+state.+changed )|(\[timeout)|(PRM\|1\|D)|(kpr)|(kdp)|(train st.+moving)|(\|lc)|(penalty))"</v>
      </c>
      <c r="AG170" s="1" t="str">
        <f t="shared" si="71"/>
        <v>EC</v>
      </c>
      <c r="AH170" s="81" t="str">
        <f t="shared" si="72"/>
        <v>"%USERPROFILE%\Documents\GitHub\eaglep3\Utilities\RefineRTDCRunTimes.py" --tripid 232-13 --locoid 4001 --swversion DE.1.0.9.0 --startMP 204:232975 --initTime 2017-06-13T22:15:27 --startdatetime 2017-06-13T22:27:37 --delay 1 --endMP 204:145 --enddatetime 2017-06-13T23:06:11 --enforcementcount 0 &gt;&gt;C:\Users\stu\Documents\GitHub\eaglep3-reporting\EC\2017-06-13-refined-times.txt</v>
      </c>
      <c r="AI170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{"issue":{"subject":"","project_id":79,"tracker_id":40,"status_id":1,"priority_id":2,"assigned_to_id":23,"start_date":"2017-06-13","description":"","custom_fields":[{"id":1,"name":"Subdivision","value":"EC"},{"id":4,"name":"Milepost","value":"0.0145"},{"id":17,"name":"Train ID","value":"232-13"},{"id":16,"name":"Locomotive ID","value":"4001"},{"id":130,"name":"Impact","value":""},{"id":150,"name":"Time of Event (Mountain Time)","value":"23:06:11"},{"id":151,"name":"Denver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4"/>
        <v>start /low /b %USERPROFILE%\Documents\GitHub\eaglep3\Utilities\DownloadLogsFromS3.py --loco 4001 --day 2017-06-13</v>
      </c>
      <c r="AN170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05:06:11"},{"id":29,"name":"Sharepoint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803</v>
      </c>
      <c r="B171" s="7">
        <v>4006</v>
      </c>
      <c r="C171" s="21" t="s">
        <v>204</v>
      </c>
      <c r="D171" s="21" t="s">
        <v>522</v>
      </c>
      <c r="E171" s="13">
        <v>42899.901516203703</v>
      </c>
      <c r="F171" s="13">
        <v>42899.91684027778</v>
      </c>
      <c r="G171" s="7">
        <v>1</v>
      </c>
      <c r="H171" s="21" t="s">
        <v>891</v>
      </c>
      <c r="I171" s="13">
        <v>42899.942557870374</v>
      </c>
      <c r="J171" s="7">
        <v>0</v>
      </c>
      <c r="K171" s="92" t="str">
        <f t="shared" si="60"/>
        <v>4005/4006</v>
      </c>
      <c r="L171" s="21" t="str">
        <f>VLOOKUP(A171,'Trips&amp;Operators'!$C$1:$G$99999,5,FALSE)</f>
        <v>FORTUNATO FRANK</v>
      </c>
      <c r="M171" s="6">
        <f t="shared" si="61"/>
        <v>2.5717592594446614E-2</v>
      </c>
      <c r="N171" s="7">
        <f t="shared" si="77"/>
        <v>37.033333336003125</v>
      </c>
      <c r="O171" s="7"/>
      <c r="P171" s="7"/>
      <c r="Q171" s="22"/>
      <c r="R171" s="173"/>
      <c r="S171" s="176">
        <f t="shared" si="78"/>
        <v>1</v>
      </c>
      <c r="T171" s="202" t="str">
        <f t="shared" si="62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12</v>
      </c>
      <c r="V171" s="203" t="str">
        <f t="shared" si="63"/>
        <v>https://d0f6bd738d7f1b3e5a7ca70fe4ff75f0.us-east-1.aws.found.io/app/kibana#/discover/Steve-Slow-Train-Analysis-(2080s-and-2083s)?_g=(refreshInterval:(display:Off,pause:!f,section:0,value:0),time:(from:'2017-06-13T20:38:11-0600',mode:absolute,to:'2017-06-13T23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204" t="str">
        <f t="shared" si="64"/>
        <v>N</v>
      </c>
      <c r="X171" s="204">
        <f t="shared" si="76"/>
        <v>1</v>
      </c>
      <c r="Y171" s="204">
        <f t="shared" si="65"/>
        <v>4.4200000000000003E-2</v>
      </c>
      <c r="Z171" s="204">
        <f t="shared" si="66"/>
        <v>23.336600000000001</v>
      </c>
      <c r="AA171" s="204">
        <f t="shared" si="67"/>
        <v>23.292400000000001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8"/>
        <v>0233-13</v>
      </c>
      <c r="AE171" s="80" t="str">
        <f t="shared" si="69"/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AF171" s="77" t="str">
        <f t="shared" si="70"/>
        <v>"C:\Program Files (x86)\AstroGrep\AstroGrep.exe" /e /r /s /spath="%USERPROFILE%\AppData\Local\Temp\OnboardLogs" /stypes="app*4006*20170614*" /stext=" 04:.+((SYSTEM_STATE.+slice.+state.+changed )|(ment ac)|(multiple cpu faults)|(system.+state.+changed )|(\[timeout)|(PRM\|1\|D)|(kpr)|(kdp)|(train st.+moving)|(\|lc)|(penalty))"</v>
      </c>
      <c r="AG171" s="1" t="str">
        <f t="shared" si="71"/>
        <v>EC</v>
      </c>
      <c r="AH171" s="81" t="str">
        <f t="shared" si="72"/>
        <v>"%USERPROFILE%\Documents\GitHub\eaglep3\Utilities\RefineRTDCRunTimes.py" --tripid 233-13 --locoid 4006 --swversion DE.1.0.9.0 --startMP 204:442 --initTime 2017-06-13T21:38:11 --startdatetime 2017-06-13T22:00:15 --delay 1 --endMP 204:233366 --enddatetime 2017-06-13T22:37:17 --enforcementcount 0 &gt;&gt;C:\Users\stu\Documents\GitHub\eaglep3-reporting\EC\2017-06-13-refined-times.txt</v>
      </c>
      <c r="AI171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{"issue":{"subject":"","project_id":79,"tracker_id":40,"status_id":1,"priority_id":2,"assigned_to_id":23,"start_date":"2017-06-13","description":"","custom_fields":[{"id":1,"name":"Subdivision","value":"EC"},{"id":4,"name":"Milepost","value":"23.3366"},{"id":17,"name":"Train ID","value":"233-13"},{"id":16,"name":"Locomotive ID","value":"4006"},{"id":130,"name":"Impact","value":""},{"id":150,"name":"Time of Event (Mountain Time)","value":"22:37:17"},{"id":151,"name":"Denver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4"/>
        <v>start /low /b %USERPROFILE%\Documents\GitHub\eaglep3\Utilities\DownloadLogsFromS3.py --loco 4006 --day 2017-06-13</v>
      </c>
      <c r="AN171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04:37:17"},{"id":29,"name":"Sharepoint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810</v>
      </c>
      <c r="B172" s="7">
        <v>4005</v>
      </c>
      <c r="C172" s="21" t="s">
        <v>204</v>
      </c>
      <c r="D172" s="21" t="s">
        <v>904</v>
      </c>
      <c r="E172" s="13">
        <v>42899.944386574076</v>
      </c>
      <c r="F172" s="13">
        <v>42899.956400462965</v>
      </c>
      <c r="G172" s="7">
        <v>0</v>
      </c>
      <c r="H172" s="21" t="s">
        <v>560</v>
      </c>
      <c r="I172" s="13">
        <v>42899.984236111108</v>
      </c>
      <c r="J172" s="7">
        <v>0</v>
      </c>
      <c r="K172" s="92" t="str">
        <f t="shared" si="60"/>
        <v>4005/4006</v>
      </c>
      <c r="L172" s="21" t="str">
        <f>VLOOKUP(A172,'Trips&amp;Operators'!$C$1:$G$99999,5,FALSE)</f>
        <v>FORTUNATO FRANK</v>
      </c>
      <c r="M172" s="6">
        <f t="shared" si="61"/>
        <v>2.7835648143081926E-2</v>
      </c>
      <c r="N172" s="7">
        <f t="shared" si="77"/>
        <v>40.083333326037973</v>
      </c>
      <c r="O172" s="7"/>
      <c r="P172" s="7"/>
      <c r="Q172" s="22"/>
      <c r="R172" s="173"/>
      <c r="S172" s="176">
        <f t="shared" si="78"/>
        <v>1</v>
      </c>
      <c r="T172" s="202" t="str">
        <f t="shared" si="62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12</v>
      </c>
      <c r="V172" s="203" t="str">
        <f t="shared" si="63"/>
        <v>https://d0f6bd738d7f1b3e5a7ca70fe4ff75f0.us-east-1.aws.found.io/app/kibana#/discover/Steve-Slow-Train-Analysis-(2080s-and-2083s)?_g=(refreshInterval:(display:Off,pause:!f,section:0,value:0),time:(from:'2017-06-13T21:39:55-0600',mode:absolute,to:'2017-06-14T00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204" t="str">
        <f t="shared" si="64"/>
        <v>N</v>
      </c>
      <c r="X172" s="204">
        <f t="shared" si="76"/>
        <v>1</v>
      </c>
      <c r="Y172" s="204">
        <f t="shared" si="65"/>
        <v>23.306999999999999</v>
      </c>
      <c r="Z172" s="204">
        <f t="shared" si="66"/>
        <v>1.38E-2</v>
      </c>
      <c r="AA172" s="204">
        <f t="shared" si="67"/>
        <v>23.293199999999999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8"/>
        <v>0234-13</v>
      </c>
      <c r="AE172" s="80" t="str">
        <f t="shared" si="69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172" s="77" t="str">
        <f t="shared" si="70"/>
        <v>"C:\Program Files (x86)\AstroGrep\AstroGrep.exe" /e /r /s /spath="%USERPROFILE%\AppData\Local\Temp\OnboardLogs" /stypes="app*4005*20170614*" /stext=" 05:.+((SYSTEM_STATE.+slice.+state.+changed )|(ment ac)|(multiple cpu faults)|(system.+state.+changed )|(\[timeout)|(PRM\|1\|D)|(kpr)|(kdp)|(train st.+moving)|(\|lc)|(penalty))"</v>
      </c>
      <c r="AG172" s="1" t="str">
        <f t="shared" si="71"/>
        <v>EC</v>
      </c>
      <c r="AH172" s="81" t="str">
        <f t="shared" si="72"/>
        <v>"%USERPROFILE%\Documents\GitHub\eaglep3\Utilities\RefineRTDCRunTimes.py" --tripid 234-13 --locoid 4005 --swversion DE.1.0.9.0 --startMP 204:233070 --initTime 2017-06-13T22:39:55 --startdatetime 2017-06-13T22:57:13 --delay 0 --endMP 204:138 --enddatetime 2017-06-13T23:37:18 --enforcementcount 0 &gt;&gt;C:\Users\stu\Documents\GitHub\eaglep3-reporting\EC\2017-06-13-refined-times.txt</v>
      </c>
      <c r="AI172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{"issue":{"subject":"","project_id":79,"tracker_id":40,"status_id":1,"priority_id":2,"assigned_to_id":23,"start_date":"2017-06-13","description":"","custom_fields":[{"id":1,"name":"Subdivision","value":"EC"},{"id":4,"name":"Milepost","value":"0.0138"},{"id":17,"name":"Train ID","value":"234-13"},{"id":16,"name":"Locomotive ID","value":"4005"},{"id":130,"name":"Impact","value":""},{"id":150,"name":"Time of Event (Mountain Time)","value":"23:37:18"},{"id":151,"name":"Denver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74"/>
        <v>start /low /b %USERPROFILE%\Documents\GitHub\eaglep3\Utilities\DownloadLogsFromS3.py --loco 4005 --day 2017-06-13</v>
      </c>
      <c r="AN172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05:37:18"},{"id":29,"name":"Sharepoint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807</v>
      </c>
      <c r="B173" s="7">
        <v>4046</v>
      </c>
      <c r="C173" s="21" t="s">
        <v>204</v>
      </c>
      <c r="D173" s="21" t="s">
        <v>509</v>
      </c>
      <c r="E173" s="13">
        <v>42899.931400462963</v>
      </c>
      <c r="F173" s="13">
        <v>42899.937881944446</v>
      </c>
      <c r="G173" s="7">
        <v>1</v>
      </c>
      <c r="H173" s="21" t="s">
        <v>877</v>
      </c>
      <c r="I173" s="13">
        <v>42899.963599537034</v>
      </c>
      <c r="J173" s="7">
        <v>0</v>
      </c>
      <c r="K173" s="92" t="str">
        <f t="shared" si="60"/>
        <v>4045/4046</v>
      </c>
      <c r="L173" s="21" t="str">
        <f>VLOOKUP(A173,'Trips&amp;Operators'!$C$1:$G$99999,5,FALSE)</f>
        <v>LAMAR NEKESHA</v>
      </c>
      <c r="M173" s="6">
        <f t="shared" si="61"/>
        <v>2.5717592587170657E-2</v>
      </c>
      <c r="N173" s="7">
        <f t="shared" si="77"/>
        <v>37.033333325525746</v>
      </c>
      <c r="O173" s="7"/>
      <c r="P173" s="7"/>
      <c r="Q173" s="22"/>
      <c r="R173" s="173"/>
      <c r="S173" s="176">
        <f t="shared" si="78"/>
        <v>1</v>
      </c>
      <c r="T173" s="202" t="str">
        <f t="shared" si="62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12</v>
      </c>
      <c r="V173" s="203" t="str">
        <f t="shared" si="63"/>
        <v>https://d0f6bd738d7f1b3e5a7ca70fe4ff75f0.us-east-1.aws.found.io/app/kibana#/discover/Steve-Slow-Train-Analysis-(2080s-and-2083s)?_g=(refreshInterval:(display:Off,pause:!f,section:0,value:0),time:(from:'2017-06-13T21:21:13-0600',mode:absolute,to:'2017-06-14T00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3" s="204" t="str">
        <f t="shared" si="64"/>
        <v>N</v>
      </c>
      <c r="X173" s="204">
        <f t="shared" si="76"/>
        <v>1</v>
      </c>
      <c r="Y173" s="204">
        <f t="shared" ref="Y173:Y204" si="79">RIGHT(D173,LEN(D173)-4)/10000</f>
        <v>4.82E-2</v>
      </c>
      <c r="Z173" s="204">
        <f t="shared" ref="Z173:Z204" si="80">RIGHT(H173,LEN(H173)-4)/10000</f>
        <v>23.328700000000001</v>
      </c>
      <c r="AA173" s="204">
        <f t="shared" si="67"/>
        <v>23.2805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8"/>
        <v>0235-13</v>
      </c>
      <c r="AE173" s="80" t="str">
        <f t="shared" si="69"/>
        <v>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 &amp; 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</v>
      </c>
      <c r="AF173" s="77" t="str">
        <f t="shared" si="70"/>
        <v>"C:\Program Files (x86)\AstroGrep\AstroGrep.exe" /e /r /s /spath="%USERPROFILE%\AppData\Local\Temp\OnboardLogs" /stypes="app*4046*20170614*" /stext=" 05:.+((SYSTEM_STATE.+slice.+state.+changed )|(ment ac)|(multiple cpu faults)|(system.+state.+changed )|(\[timeout)|(PRM\|1\|D)|(kpr)|(kdp)|(train st.+moving)|(\|lc)|(penalty))"</v>
      </c>
      <c r="AG173" s="1" t="str">
        <f t="shared" si="71"/>
        <v>EC</v>
      </c>
      <c r="AH173" s="81" t="str">
        <f t="shared" si="72"/>
        <v>"%USERPROFILE%\Documents\GitHub\eaglep3\Utilities\RefineRTDCRunTimes.py" --tripid 235-13 --locoid 4046 --swversion DE.1.0.9.0 --startMP 204:482 --initTime 2017-06-13T22:21:13 --startdatetime 2017-06-13T22:30:33 --delay 1 --endMP 204:233287 --enddatetime 2017-06-13T23:07:35 --enforcementcount 0 &gt;&gt;C:\Users\stu\Documents\GitHub\eaglep3-reporting\EC\2017-06-13-refined-times.txt</v>
      </c>
      <c r="AI173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{"issue":{"subject":"","project_id":79,"tracker_id":40,"status_id":1,"priority_id":2,"assigned_to_id":23,"start_date":"2017-06-13","description":"","custom_fields":[{"id":1,"name":"Subdivision","value":"EC"},{"id":4,"name":"Milepost","value":"23.3287"},{"id":17,"name":"Train ID","value":"235-13"},{"id":16,"name":"Locomotive ID","value":"4046"},{"id":130,"name":"Impact","value":""},{"id":150,"name":"Time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74"/>
        <v>start /low /b %USERPROFILE%\Documents\GitHub\eaglep3\Utilities\DownloadLogsFromS3.py --loco 4046 --day 2017-06-13</v>
      </c>
      <c r="AN173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05:07:35"},{"id":29,"name":"Sharepoint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811</v>
      </c>
      <c r="B174" s="7">
        <v>4045</v>
      </c>
      <c r="C174" s="21" t="s">
        <v>204</v>
      </c>
      <c r="D174" s="21" t="s">
        <v>550</v>
      </c>
      <c r="E174" s="13">
        <v>42899.967106481483</v>
      </c>
      <c r="F174" s="13">
        <v>42899.977442129632</v>
      </c>
      <c r="G174" s="7">
        <v>6</v>
      </c>
      <c r="H174" s="21" t="s">
        <v>353</v>
      </c>
      <c r="I174" s="13">
        <v>42900.004224537035</v>
      </c>
      <c r="J174" s="7">
        <v>0</v>
      </c>
      <c r="K174" s="92" t="str">
        <f t="shared" si="60"/>
        <v>4045/4046</v>
      </c>
      <c r="L174" s="21" t="str">
        <f>VLOOKUP(A174,'Trips&amp;Operators'!$C$1:$G$99999,5,FALSE)</f>
        <v>LAMAR NEKESHA</v>
      </c>
      <c r="M174" s="6">
        <f t="shared" si="61"/>
        <v>2.6782407403516117E-2</v>
      </c>
      <c r="N174" s="7">
        <f t="shared" si="77"/>
        <v>38.566666661063209</v>
      </c>
      <c r="O174" s="7"/>
      <c r="P174" s="7"/>
      <c r="Q174" s="22"/>
      <c r="R174" s="173"/>
      <c r="S174" s="176">
        <f t="shared" si="78"/>
        <v>1</v>
      </c>
      <c r="T174" s="202" t="str">
        <f t="shared" si="62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12</v>
      </c>
      <c r="V174" s="203" t="str">
        <f t="shared" si="63"/>
        <v>https://d0f6bd738d7f1b3e5a7ca70fe4ff75f0.us-east-1.aws.found.io/app/kibana#/discover/Steve-Slow-Train-Analysis-(2080s-and-2083s)?_g=(refreshInterval:(display:Off,pause:!f,section:0,value:0),time:(from:'2017-06-13T22:12:38-0600',mode:absolute,to:'2017-06-14T01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4" s="204" t="str">
        <f t="shared" si="64"/>
        <v>N</v>
      </c>
      <c r="X174" s="204">
        <f t="shared" si="76"/>
        <v>1</v>
      </c>
      <c r="Y174" s="204">
        <f t="shared" si="79"/>
        <v>23.2959</v>
      </c>
      <c r="Z174" s="204">
        <f t="shared" si="80"/>
        <v>1.43E-2</v>
      </c>
      <c r="AA174" s="204">
        <f t="shared" si="67"/>
        <v>23.281600000000001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8"/>
        <v>0236-13</v>
      </c>
      <c r="AE174" s="80" t="str">
        <f t="shared" si="69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174" s="77" t="str">
        <f t="shared" si="70"/>
        <v>"C:\Program Files (x86)\AstroGrep\AstroGrep.exe" /e /r /s /spath="%USERPROFILE%\AppData\Local\Temp\OnboardLogs" /stypes="app*4045*20170614*" /stext=" 06:.+((SYSTEM_STATE.+slice.+state.+changed )|(ment ac)|(multiple cpu faults)|(system.+state.+changed )|(\[timeout)|(PRM\|1\|D)|(kpr)|(kdp)|(train st.+moving)|(\|lc)|(penalty))"</v>
      </c>
      <c r="AG174" s="1" t="str">
        <f t="shared" si="71"/>
        <v>EC</v>
      </c>
      <c r="AH174" s="81" t="str">
        <f t="shared" si="72"/>
        <v>"%USERPROFILE%\Documents\GitHub\eaglep3\Utilities\RefineRTDCRunTimes.py" --tripid 236-13 --locoid 4045 --swversion DE.1.0.9.0 --startMP 204:232959 --initTime 2017-06-13T23:12:38 --startdatetime 2017-06-13T23:27:31 --delay 6 --endMP 204:143 --enddatetime 2017-06-14T00:06:05 --enforcementcount 0 &gt;&gt;C:\Users\stu\Documents\GitHub\eaglep3-reporting\EC\2017-06-13-refined-times.txt</v>
      </c>
      <c r="AI174" s="99" t="str">
        <f t="shared" si="73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ID","value":"236-13"},{"id":16,"name":"Locomotive ID","value":"4045"},{"id":130,"name":"Impact","value":""},{"id":150,"name":"Time of Event (Mountain Time)","value":"00:06:05"},{"id":151,"name":"Denver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74"/>
        <v>start /low /b %USERPROFILE%\Documents\GitHub\eaglep3\Utilities\DownloadLogsFromS3.py --loco 4045 --day 2017-06-13</v>
      </c>
      <c r="AN174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06:06:05"},{"id":29,"name":"Sharepoint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809</v>
      </c>
      <c r="B175" s="7">
        <v>4032</v>
      </c>
      <c r="C175" s="21" t="s">
        <v>204</v>
      </c>
      <c r="D175" s="21" t="s">
        <v>832</v>
      </c>
      <c r="E175" s="13">
        <v>42899.944212962961</v>
      </c>
      <c r="F175" s="13">
        <v>42899.958587962959</v>
      </c>
      <c r="G175" s="7">
        <v>1</v>
      </c>
      <c r="H175" s="21" t="s">
        <v>506</v>
      </c>
      <c r="I175" s="13">
        <v>42899.984143518515</v>
      </c>
      <c r="J175" s="7">
        <v>0</v>
      </c>
      <c r="K175" s="92" t="str">
        <f t="shared" si="60"/>
        <v>4031/4032</v>
      </c>
      <c r="L175" s="21" t="str">
        <f>VLOOKUP(A175,'Trips&amp;Operators'!$C$1:$G$99999,5,FALSE)</f>
        <v>HAITHCOX MICHAEL</v>
      </c>
      <c r="M175" s="6">
        <f t="shared" si="61"/>
        <v>2.5555555555911269E-2</v>
      </c>
      <c r="N175" s="7">
        <f t="shared" si="77"/>
        <v>36.800000000512227</v>
      </c>
      <c r="O175" s="7"/>
      <c r="P175" s="7"/>
      <c r="Q175" s="22"/>
      <c r="R175" s="173"/>
      <c r="S175" s="176">
        <f t="shared" si="78"/>
        <v>1</v>
      </c>
      <c r="T175" s="202" t="str">
        <f t="shared" si="62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12</v>
      </c>
      <c r="V175" s="203" t="str">
        <f t="shared" si="63"/>
        <v>https://d0f6bd738d7f1b3e5a7ca70fe4ff75f0.us-east-1.aws.found.io/app/kibana#/discover/Steve-Slow-Train-Analysis-(2080s-and-2083s)?_g=(refreshInterval:(display:Off,pause:!f,section:0,value:0),time:(from:'2017-06-13T21:39:40-0600',mode:absolute,to:'2017-06-14T00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204" t="str">
        <f t="shared" si="64"/>
        <v>N</v>
      </c>
      <c r="X175" s="204">
        <f t="shared" si="76"/>
        <v>1</v>
      </c>
      <c r="Y175" s="204">
        <f t="shared" si="79"/>
        <v>4.8800000000000003E-2</v>
      </c>
      <c r="Z175" s="204">
        <f t="shared" si="80"/>
        <v>23.331199999999999</v>
      </c>
      <c r="AA175" s="204">
        <f t="shared" si="67"/>
        <v>23.282399999999999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8"/>
        <v>0237-13</v>
      </c>
      <c r="AE175" s="80" t="str">
        <f t="shared" si="69"/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AF175" s="77" t="str">
        <f t="shared" si="70"/>
        <v>"C:\Program Files (x86)\AstroGrep\AstroGrep.exe" /e /r /s /spath="%USERPROFILE%\AppData\Local\Temp\OnboardLogs" /stypes="app*4032*20170614*" /stext=" 05:.+((SYSTEM_STATE.+slice.+state.+changed )|(ment ac)|(multiple cpu faults)|(system.+state.+changed )|(\[timeout)|(PRM\|1\|D)|(kpr)|(kdp)|(train st.+moving)|(\|lc)|(penalty))"</v>
      </c>
      <c r="AG175" s="1" t="str">
        <f t="shared" si="71"/>
        <v>EC</v>
      </c>
      <c r="AH175" s="81" t="str">
        <f t="shared" si="72"/>
        <v>"%USERPROFILE%\Documents\GitHub\eaglep3\Utilities\RefineRTDCRunTimes.py" --tripid 237-13 --locoid 4032 --swversion DE.1.0.9.0 --startMP 204:488 --initTime 2017-06-13T22:39:40 --startdatetime 2017-06-13T23:00:22 --delay 1 --endMP 204:233312 --enddatetime 2017-06-13T23:37:10 --enforcementcount 0 &gt;&gt;C:\Users\stu\Documents\GitHub\eaglep3-reporting\EC\2017-06-13-refined-times.txt</v>
      </c>
      <c r="AI175" s="99" t="str">
        <f t="shared" si="73"/>
        <v>echo {"issue":{"subject":"","project_id":79,"tracker_id":40,"status_id":1,"priority_id":2,"assigned_to_id":23,"start_date":"2017-06-13","description":"","custom_fields":[{"id":1,"name":"Subdivision","value":"EC"},{"id":4,"name":"Milepost","value":"23.3312"},{"id":17,"name":"Train ID","value":"237-13"},{"id":16,"name":"Locomotive ID","value":"4032"},{"id":130,"name":"Impact","value":""},{"id":150,"name":"Time of Event (Mountain Time)","value":"23:37:10"},{"id":151,"name":"Denver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74"/>
        <v>start /low /b %USERPROFILE%\Documents\GitHub\eaglep3\Utilities\DownloadLogsFromS3.py --loco 4032 --day 2017-06-13</v>
      </c>
      <c r="AN175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05:37:10"},{"id":29,"name":"Sharepoint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621</v>
      </c>
      <c r="B176" s="7">
        <v>4031</v>
      </c>
      <c r="C176" s="21" t="s">
        <v>204</v>
      </c>
      <c r="D176" s="21" t="s">
        <v>892</v>
      </c>
      <c r="E176" s="13">
        <v>42899.98945601852</v>
      </c>
      <c r="F176" s="13">
        <v>42899.998194444444</v>
      </c>
      <c r="G176" s="7">
        <v>0</v>
      </c>
      <c r="H176" s="21">
        <v>8.530555555555555</v>
      </c>
      <c r="I176" s="13">
        <v>42900.026041666664</v>
      </c>
      <c r="J176" s="7">
        <v>0</v>
      </c>
      <c r="K176" s="92" t="str">
        <f t="shared" si="60"/>
        <v>4031/4032</v>
      </c>
      <c r="L176" s="21" t="str">
        <f>VLOOKUP(A176,'Trips&amp;Operators'!$C$1:$G$99999,5,FALSE)</f>
        <v>HAITHCOX MICHAEL</v>
      </c>
      <c r="M176" s="6">
        <f t="shared" si="61"/>
        <v>2.7847222219861578E-2</v>
      </c>
      <c r="N176" s="7">
        <f t="shared" si="77"/>
        <v>40.099999996600673</v>
      </c>
      <c r="O176" s="7"/>
      <c r="P176" s="7"/>
      <c r="Q176" s="22"/>
      <c r="R176" s="173"/>
      <c r="S176" s="176">
        <f t="shared" si="78"/>
        <v>0</v>
      </c>
      <c r="T176" s="202" t="str">
        <f t="shared" si="62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203" t="str">
        <f t="shared" si="63"/>
        <v>https://d0f6bd738d7f1b3e5a7ca70fe4ff75f0.us-east-1.aws.found.io/app/kibana#/discover/Steve-Slow-Train-Analysis-(2080s-and-2083s)?_g=(refreshInterval:(display:Off,pause:!f,section:0,value:0),time:(from:'2017-06-13T22:44:49-0600',mode:absolute,to:'2017-06-14T01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204" t="str">
        <f t="shared" si="64"/>
        <v>N</v>
      </c>
      <c r="X176" s="204">
        <f t="shared" ref="X176:X207" si="81">VALUE(LEFT(AD176,4))-VALUE(LEFT(AD175,4))</f>
        <v>1</v>
      </c>
      <c r="Y176" s="204">
        <f t="shared" si="79"/>
        <v>23.3004</v>
      </c>
      <c r="Z176" s="204">
        <f t="shared" si="80"/>
        <v>5555555.5555999996</v>
      </c>
      <c r="AA176" s="204">
        <f t="shared" si="67"/>
        <v>5555532.2551999995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8"/>
        <v>0238-13</v>
      </c>
      <c r="AE176" s="80" t="str">
        <f t="shared" si="69"/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AF176" s="77" t="str">
        <f t="shared" si="70"/>
        <v>"C:\Program Files (x86)\AstroGrep\AstroGrep.exe" /e /r /s /spath="%USERPROFILE%\AppData\Local\Temp\OnboardLogs" /stypes="app*4031*20170614*" /stext=" 06:.+((SYSTEM_STATE.+slice.+state.+changed )|(ment ac)|(multiple cpu faults)|(system.+state.+changed )|(\[timeout)|(PRM\|1\|D)|(kpr)|(kdp)|(train st.+moving)|(\|lc)|(penalty))"</v>
      </c>
      <c r="AG176" s="1" t="str">
        <f t="shared" si="71"/>
        <v>EC</v>
      </c>
      <c r="AH176" s="81" t="str">
        <f t="shared" si="72"/>
        <v>"%USERPROFILE%\Documents\GitHub\eaglep3\Utilities\RefineRTDCRunTimes.py" --tripid 238-13 --locoid 4031 --swversion DE.1.0.9.0 --startMP 204:233004 --initTime 2017-06-13T23:44:49 --startdatetime 2017-06-13T23:57:24 --delay 0 --endMP 8.53055555555556 --enddatetime 2017-06-14T00:37:30 --enforcementcount 0 &gt;&gt;C:\Users\stu\Documents\GitHub\eaglep3-reporting\EC\2017-06-13-refined-times.txt</v>
      </c>
      <c r="AI176" s="99" t="str">
        <f t="shared" si="73"/>
        <v>echo {"issue":{"subject":"","project_id":79,"tracker_id":40,"status_id":1,"priority_id":2,"assigned_to_id":23,"start_date":"2017-06-14","description":"","custom_fields":[{"id":1,"name":"Subdivision","value":"EC"},{"id":4,"name":"Milepost","value":"5555555.5556"},{"id":17,"name":"Train ID","value":"238-13"},{"id":16,"name":"Locomotive ID","value":"4031"},{"id":130,"name":"Impact","value":""},{"id":150,"name":"Time of Event (Mountain Time)","value":"00:37:30"},{"id":151,"name":"Denver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74"/>
        <v>start /low /b %USERPROFILE%\Documents\GitHub\eaglep3\Utilities\DownloadLogsFromS3.py --loco 4031 --day 2017-06-13</v>
      </c>
      <c r="AN176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812</v>
      </c>
      <c r="B177" s="7">
        <v>4002</v>
      </c>
      <c r="C177" s="21" t="s">
        <v>204</v>
      </c>
      <c r="D177" s="21" t="s">
        <v>357</v>
      </c>
      <c r="E177" s="13">
        <v>42899.970648148148</v>
      </c>
      <c r="F177" s="13">
        <v>42899.979421296295</v>
      </c>
      <c r="G177" s="7">
        <v>1</v>
      </c>
      <c r="H177" s="21" t="s">
        <v>499</v>
      </c>
      <c r="I177" s="13">
        <v>42900.005011574074</v>
      </c>
      <c r="J177" s="7">
        <v>0</v>
      </c>
      <c r="K177" s="92" t="str">
        <f t="shared" si="60"/>
        <v>4001/4002</v>
      </c>
      <c r="L177" s="21" t="str">
        <f>VLOOKUP(A177,'Trips&amp;Operators'!$C$1:$G$99999,5,FALSE)</f>
        <v>SMITH MICHAEL</v>
      </c>
      <c r="M177" s="6">
        <f t="shared" si="61"/>
        <v>2.5590277778974269E-2</v>
      </c>
      <c r="N177" s="7">
        <f t="shared" si="77"/>
        <v>36.850000001722947</v>
      </c>
      <c r="O177" s="7"/>
      <c r="P177" s="7"/>
      <c r="Q177" s="22"/>
      <c r="R177" s="173"/>
      <c r="S177" s="176">
        <f t="shared" si="78"/>
        <v>1</v>
      </c>
      <c r="T177" s="202" t="str">
        <f t="shared" si="62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12</v>
      </c>
      <c r="V177" s="203" t="str">
        <f t="shared" si="63"/>
        <v>https://d0f6bd738d7f1b3e5a7ca70fe4ff75f0.us-east-1.aws.found.io/app/kibana#/discover/Steve-Slow-Train-Analysis-(2080s-and-2083s)?_g=(refreshInterval:(display:Off,pause:!f,section:0,value:0),time:(from:'2017-06-13T22:17:44-0600',mode:absolute,to:'2017-06-14T01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204" t="str">
        <f t="shared" si="64"/>
        <v>N</v>
      </c>
      <c r="X177" s="204">
        <f t="shared" si="81"/>
        <v>1</v>
      </c>
      <c r="Y177" s="204">
        <f t="shared" si="79"/>
        <v>4.53E-2</v>
      </c>
      <c r="Z177" s="204">
        <f t="shared" si="80"/>
        <v>23.333200000000001</v>
      </c>
      <c r="AA177" s="204">
        <f t="shared" si="67"/>
        <v>23.2879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8"/>
        <v>0239-13</v>
      </c>
      <c r="AE177" s="80" t="str">
        <f t="shared" si="69"/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AF177" s="77" t="str">
        <f t="shared" si="70"/>
        <v>"C:\Program Files (x86)\AstroGrep\AstroGrep.exe" /e /r /s /spath="%USERPROFILE%\AppData\Local\Temp\OnboardLogs" /stypes="app*4002*20170614*" /stext=" 06:.+((SYSTEM_STATE.+slice.+state.+changed )|(ment ac)|(multiple cpu faults)|(system.+state.+changed )|(\[timeout)|(PRM\|1\|D)|(kpr)|(kdp)|(train st.+moving)|(\|lc)|(penalty))"</v>
      </c>
      <c r="AG177" s="1" t="str">
        <f t="shared" si="71"/>
        <v>EC</v>
      </c>
      <c r="AH177" s="81" t="str">
        <f t="shared" si="72"/>
        <v>"%USERPROFILE%\Documents\GitHub\eaglep3\Utilities\RefineRTDCRunTimes.py" --tripid 239-13 --locoid 4002 --swversion DE.1.0.9.0 --startMP 204:453 --initTime 2017-06-13T23:17:44 --startdatetime 2017-06-13T23:30:22 --delay 1 --endMP 204:233332 --enddatetime 2017-06-14T00:07:13 --enforcementcount 0 &gt;&gt;C:\Users\stu\Documents\GitHub\eaglep3-reporting\EC\2017-06-13-refined-times.txt</v>
      </c>
      <c r="AI177" s="99" t="str">
        <f t="shared" si="73"/>
        <v>echo {"issue":{"subject":"","project_id":79,"tracker_id":40,"status_id":1,"priority_id":2,"assigned_to_id":23,"start_date":"2017-06-14","description":"","custom_fields":[{"id":1,"name":"Subdivision","value":"EC"},{"id":4,"name":"Milepost","value":"23.3332"},{"id":17,"name":"Train ID","value":"239-13"},{"id":16,"name":"Locomotive ID","value":"4002"},{"id":130,"name":"Impact","value":""},{"id":150,"name":"Time of Event (Mountain Time)","value":"00:07:13"},{"id":151,"name":"Denver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74"/>
        <v>start /low /b %USERPROFILE%\Documents\GitHub\eaglep3\Utilities\DownloadLogsFromS3.py --loco 4002 --day 2017-06-13</v>
      </c>
      <c r="AN177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2" t="s">
        <v>814</v>
      </c>
      <c r="B178" s="7">
        <v>4001</v>
      </c>
      <c r="C178" s="21" t="s">
        <v>204</v>
      </c>
      <c r="D178" s="21" t="s">
        <v>423</v>
      </c>
      <c r="E178" s="13">
        <v>42900.009467592594</v>
      </c>
      <c r="F178" s="13">
        <v>42900.019166666665</v>
      </c>
      <c r="G178" s="7">
        <v>1</v>
      </c>
      <c r="H178" s="21" t="s">
        <v>905</v>
      </c>
      <c r="I178" s="13">
        <v>42900.046875</v>
      </c>
      <c r="J178" s="7">
        <v>0</v>
      </c>
      <c r="K178" s="92" t="str">
        <f t="shared" si="60"/>
        <v>4001/4002</v>
      </c>
      <c r="L178" s="21" t="str">
        <f>VLOOKUP(A178,'Trips&amp;Operators'!$C$1:$G$99999,5,FALSE)</f>
        <v>SMITH MICHAEL</v>
      </c>
      <c r="M178" s="6">
        <f t="shared" si="61"/>
        <v>2.7708333334885538E-2</v>
      </c>
      <c r="N178" s="7">
        <f t="shared" si="77"/>
        <v>39.900000002235174</v>
      </c>
      <c r="O178" s="7"/>
      <c r="P178" s="7"/>
      <c r="Q178" s="22"/>
      <c r="R178" s="173"/>
      <c r="S178" s="176">
        <f t="shared" si="78"/>
        <v>1</v>
      </c>
      <c r="T178" s="202" t="str">
        <f t="shared" si="62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12</v>
      </c>
      <c r="V178" s="203" t="str">
        <f t="shared" si="63"/>
        <v>https://d0f6bd738d7f1b3e5a7ca70fe4ff75f0.us-east-1.aws.found.io/app/kibana#/discover/Steve-Slow-Train-Analysis-(2080s-and-2083s)?_g=(refreshInterval:(display:Off,pause:!f,section:0,value:0),time:(from:'2017-06-13T23:13:38-0600',mode:absolute,to:'2017-06-14T02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204" t="str">
        <f t="shared" si="64"/>
        <v>N</v>
      </c>
      <c r="X178" s="204">
        <f t="shared" si="81"/>
        <v>1</v>
      </c>
      <c r="Y178" s="204">
        <f t="shared" si="79"/>
        <v>23.297699999999999</v>
      </c>
      <c r="Z178" s="204">
        <f t="shared" si="80"/>
        <v>1.5100000000000001E-2</v>
      </c>
      <c r="AA178" s="204">
        <f t="shared" si="67"/>
        <v>23.282599999999999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8"/>
        <v>0240-13</v>
      </c>
      <c r="AE178" s="80" t="str">
        <f t="shared" si="69"/>
        <v>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 &amp; 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</v>
      </c>
      <c r="AF178" s="77" t="str">
        <f t="shared" si="70"/>
        <v>"C:\Program Files (x86)\AstroGrep\AstroGrep.exe" /e /r /s /spath="%USERPROFILE%\AppData\Local\Temp\OnboardLogs" /stypes="app*4001*20170614*" /stext=" 07:.+((SYSTEM_STATE.+slice.+state.+changed )|(ment ac)|(multiple cpu faults)|(system.+state.+changed )|(\[timeout)|(PRM\|1\|D)|(kpr)|(kdp)|(train st.+moving)|(\|lc)|(penalty))"</v>
      </c>
      <c r="AG178" s="1" t="str">
        <f t="shared" si="71"/>
        <v>EC</v>
      </c>
      <c r="AH178" s="81" t="str">
        <f t="shared" si="72"/>
        <v>"%USERPROFILE%\Documents\GitHub\eaglep3\Utilities\RefineRTDCRunTimes.py" --tripid 240-13 --locoid 4001 --swversion DE.1.0.9.0 --startMP 204:232977 --initTime 2017-06-14T00:13:38 --startdatetime 2017-06-14T00:27:36 --delay 1 --endMP 204:151 --enddatetime 2017-06-14T01:07:30 --enforcementcount 0 &gt;&gt;C:\Users\stu\Documents\GitHub\eaglep3-reporting\EC\2017-06-13-refined-times.txt</v>
      </c>
      <c r="AI178" s="99" t="str">
        <f t="shared" si="73"/>
        <v>echo {"issue":{"subject":"","project_id":79,"tracker_id":40,"status_id":1,"priority_id":2,"assigned_to_id":23,"start_date":"2017-06-14","description":"","custom_fields":[{"id":1,"name":"Subdivision","value":"EC"},{"id":4,"name":"Milepost","value":"0.0151"},{"id":17,"name":"Train ID","value":"240-13"},{"id":16,"name":"Locomotive ID","value":"4001"},{"id":130,"name":"Impact","value":""},{"id":150,"name":"Time of Event (Mountain Time)","value":"01:07:30"},{"id":151,"name":"Denver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74"/>
        <v>start /low /b %USERPROFILE%\Documents\GitHub\eaglep3\Utilities\DownloadLogsFromS3.py --loco 4001 --day 2017-06-14</v>
      </c>
      <c r="AN178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07:07:30"},{"id":29,"name":"Sharepoint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813</v>
      </c>
      <c r="B179" s="7">
        <v>4006</v>
      </c>
      <c r="C179" s="21" t="s">
        <v>204</v>
      </c>
      <c r="D179" s="21" t="s">
        <v>522</v>
      </c>
      <c r="E179" s="13">
        <v>42899.98541666667</v>
      </c>
      <c r="F179" s="13">
        <v>42900.000173611108</v>
      </c>
      <c r="G179" s="7">
        <v>1</v>
      </c>
      <c r="H179" s="21" t="s">
        <v>562</v>
      </c>
      <c r="I179" s="13">
        <v>42900.025833333333</v>
      </c>
      <c r="J179" s="7">
        <v>0</v>
      </c>
      <c r="K179" s="92" t="str">
        <f t="shared" si="60"/>
        <v>4005/4006</v>
      </c>
      <c r="L179" s="21" t="str">
        <f>VLOOKUP(A179,'Trips&amp;Operators'!$C$1:$G$99999,5,FALSE)</f>
        <v>FORTUNATO FRANK</v>
      </c>
      <c r="M179" s="6">
        <f t="shared" si="61"/>
        <v>2.5659722225100268E-2</v>
      </c>
      <c r="N179" s="7">
        <f t="shared" si="77"/>
        <v>36.950000004144385</v>
      </c>
      <c r="O179" s="7"/>
      <c r="P179" s="7"/>
      <c r="Q179" s="22"/>
      <c r="R179" s="173"/>
      <c r="S179" s="176">
        <f t="shared" si="78"/>
        <v>1</v>
      </c>
      <c r="T179" s="202" t="str">
        <f t="shared" si="62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12</v>
      </c>
      <c r="V179" s="203" t="str">
        <f t="shared" si="63"/>
        <v>https://d0f6bd738d7f1b3e5a7ca70fe4ff75f0.us-east-1.aws.found.io/app/kibana#/discover/Steve-Slow-Train-Analysis-(2080s-and-2083s)?_g=(refreshInterval:(display:Off,pause:!f,section:0,value:0),time:(from:'2017-06-13T22:39:00-0600',mode:absolute,to:'2017-06-14T01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204" t="str">
        <f t="shared" si="64"/>
        <v>N</v>
      </c>
      <c r="X179" s="204">
        <f t="shared" si="81"/>
        <v>1</v>
      </c>
      <c r="Y179" s="204">
        <f t="shared" si="79"/>
        <v>4.4200000000000003E-2</v>
      </c>
      <c r="Z179" s="204">
        <f t="shared" si="80"/>
        <v>23.331900000000001</v>
      </c>
      <c r="AA179" s="204">
        <f t="shared" si="67"/>
        <v>23.287700000000001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8"/>
        <v>0241-13</v>
      </c>
      <c r="AE179" s="80" t="str">
        <f t="shared" si="69"/>
        <v>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 &amp; 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</v>
      </c>
      <c r="AF179" s="77" t="str">
        <f t="shared" si="70"/>
        <v>"C:\Program Files (x86)\AstroGrep\AstroGrep.exe" /e /r /s /spath="%USERPROFILE%\AppData\Local\Temp\OnboardLogs" /stypes="app*4006*20170614*" /stext=" 06:.+((SYSTEM_STATE.+slice.+state.+changed )|(ment ac)|(multiple cpu faults)|(system.+state.+changed )|(\[timeout)|(PRM\|1\|D)|(kpr)|(kdp)|(train st.+moving)|(\|lc)|(penalty))"</v>
      </c>
      <c r="AG179" s="1" t="str">
        <f t="shared" si="71"/>
        <v>EC</v>
      </c>
      <c r="AH179" s="81" t="str">
        <f t="shared" si="72"/>
        <v>"%USERPROFILE%\Documents\GitHub\eaglep3\Utilities\RefineRTDCRunTimes.py" --tripid 241-13 --locoid 4006 --swversion DE.1.0.9.0 --startMP 204:442 --initTime 2017-06-13T23:39:00 --startdatetime 2017-06-14T00:00:15 --delay 1 --endMP 204:233319 --enddatetime 2017-06-14T00:37:12 --enforcementcount 0 &gt;&gt;C:\Users\stu\Documents\GitHub\eaglep3-reporting\EC\2017-06-13-refined-times.txt</v>
      </c>
      <c r="AI179" s="99" t="str">
        <f t="shared" si="73"/>
        <v>echo {"issue":{"subject":"","project_id":79,"tracker_id":40,"status_id":1,"priority_id":2,"assigned_to_id":23,"start_date":"2017-06-14","description":"","custom_fields":[{"id":1,"name":"Subdivision","value":"EC"},{"id":4,"name":"Milepost","value":"23.3319"},{"id":17,"name":"Train ID","value":"241-13"},{"id":16,"name":"Locomotive ID","value":"4006"},{"id":130,"name":"Impact","value":""},{"id":150,"name":"Time of Event (Mountain Time)","value":"00:37:12"},{"id":151,"name":"Denver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74"/>
        <v>start /low /b %USERPROFILE%\Documents\GitHub\eaglep3\Utilities\DownloadLogsFromS3.py --loco 4006 --day 2017-06-14</v>
      </c>
      <c r="AN179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06:37:12"},{"id":29,"name":"Sharepoint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817</v>
      </c>
      <c r="B180" s="7">
        <v>4005</v>
      </c>
      <c r="C180" s="21" t="s">
        <v>204</v>
      </c>
      <c r="D180" s="21" t="s">
        <v>906</v>
      </c>
      <c r="E180" s="13">
        <v>42900.02747685185</v>
      </c>
      <c r="F180" s="13">
        <v>42900.039826388886</v>
      </c>
      <c r="G180" s="7">
        <v>1</v>
      </c>
      <c r="H180" s="21" t="s">
        <v>907</v>
      </c>
      <c r="I180" s="13">
        <v>42900.066620370373</v>
      </c>
      <c r="J180" s="7">
        <v>0</v>
      </c>
      <c r="K180" s="92" t="str">
        <f t="shared" si="60"/>
        <v>4005/4006</v>
      </c>
      <c r="L180" s="21" t="str">
        <f>VLOOKUP(A180,'Trips&amp;Operators'!$C$1:$G$99999,5,FALSE)</f>
        <v>FORTUNATO FRANK</v>
      </c>
      <c r="M180" s="6">
        <f t="shared" si="61"/>
        <v>2.6793981487571727E-2</v>
      </c>
      <c r="N180" s="7">
        <f t="shared" si="77"/>
        <v>38.583333342103288</v>
      </c>
      <c r="O180" s="7"/>
      <c r="P180" s="7"/>
      <c r="Q180" s="22"/>
      <c r="R180" s="173"/>
      <c r="S180" s="176">
        <f t="shared" si="78"/>
        <v>1</v>
      </c>
      <c r="T180" s="202" t="str">
        <f t="shared" si="62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12</v>
      </c>
      <c r="V180" s="203" t="str">
        <f t="shared" si="63"/>
        <v>https://d0f6bd738d7f1b3e5a7ca70fe4ff75f0.us-east-1.aws.found.io/app/kibana#/discover/Steve-Slow-Train-Analysis-(2080s-and-2083s)?_g=(refreshInterval:(display:Off,pause:!f,section:0,value:0),time:(from:'2017-06-13T23:39:34-0600',mode:absolute,to:'2017-06-14T02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204" t="str">
        <f t="shared" si="64"/>
        <v>N</v>
      </c>
      <c r="X180" s="204">
        <f t="shared" si="81"/>
        <v>1</v>
      </c>
      <c r="Y180" s="204">
        <f t="shared" si="79"/>
        <v>23.3017</v>
      </c>
      <c r="Z180" s="204">
        <f t="shared" si="80"/>
        <v>9.2999999999999992E-3</v>
      </c>
      <c r="AA180" s="204">
        <f t="shared" si="67"/>
        <v>23.292400000000001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8"/>
        <v>0242-13</v>
      </c>
      <c r="AE180" s="80" t="str">
        <f t="shared" si="69"/>
        <v>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 &amp; 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</v>
      </c>
      <c r="AF180" s="77" t="str">
        <f t="shared" si="70"/>
        <v>"C:\Program Files (x86)\AstroGrep\AstroGrep.exe" /e /r /s /spath="%USERPROFILE%\AppData\Local\Temp\OnboardLogs" /stypes="app*4005*20170614*" /stext=" 07:.+((SYSTEM_STATE.+slice.+state.+changed )|(ment ac)|(multiple cpu faults)|(system.+state.+changed )|(\[timeout)|(PRM\|1\|D)|(kpr)|(kdp)|(train st.+moving)|(\|lc)|(penalty))"</v>
      </c>
      <c r="AG180" s="1" t="str">
        <f t="shared" si="71"/>
        <v>EC</v>
      </c>
      <c r="AH180" s="81" t="str">
        <f t="shared" si="72"/>
        <v>"%USERPROFILE%\Documents\GitHub\eaglep3\Utilities\RefineRTDCRunTimes.py" --tripid 242-13 --locoid 4005 --swversion DE.1.0.9.0 --startMP 204:233017 --initTime 2017-06-14T00:39:34 --startdatetime 2017-06-14T00:57:21 --delay 1 --endMP 204:93 --enddatetime 2017-06-14T01:35:56 --enforcementcount 0 &gt;&gt;C:\Users\stu\Documents\GitHub\eaglep3-reporting\EC\2017-06-13-refined-times.txt</v>
      </c>
      <c r="AI180" s="99" t="str">
        <f t="shared" si="73"/>
        <v>echo {"issue":{"subject":"","project_id":79,"tracker_id":40,"status_id":1,"priority_id":2,"assigned_to_id":23,"start_date":"2017-06-14","description":"","custom_fields":[{"id":1,"name":"Subdivision","value":"EC"},{"id":4,"name":"Milepost","value":"0.0093"},{"id":17,"name":"Train ID","value":"242-13"},{"id":16,"name":"Locomotive ID","value":"4005"},{"id":130,"name":"Impact","value":""},{"id":150,"name":"Time of Event (Mountain Time)","value":"01:35:56"},{"id":151,"name":"Denver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74"/>
        <v>start /low /b %USERPROFILE%\Documents\GitHub\eaglep3\Utilities\DownloadLogsFromS3.py --loco 4005 --day 2017-06-14</v>
      </c>
      <c r="AN180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07:35:56"},{"id":29,"name":"Sharepoint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815</v>
      </c>
      <c r="B181" s="7">
        <v>4046</v>
      </c>
      <c r="C181" s="21" t="s">
        <v>204</v>
      </c>
      <c r="D181" s="21" t="s">
        <v>354</v>
      </c>
      <c r="E181" s="13">
        <v>42900.016134259262</v>
      </c>
      <c r="F181" s="13">
        <v>42900.020983796298</v>
      </c>
      <c r="G181" s="7">
        <v>1</v>
      </c>
      <c r="H181" s="21" t="s">
        <v>475</v>
      </c>
      <c r="I181" s="13">
        <v>42900.046006944445</v>
      </c>
      <c r="J181" s="7">
        <v>0</v>
      </c>
      <c r="K181" s="92" t="str">
        <f t="shared" si="60"/>
        <v>4045/4046</v>
      </c>
      <c r="L181" s="21" t="str">
        <f>VLOOKUP(A181,'Trips&amp;Operators'!$C$1:$G$99999,5,FALSE)</f>
        <v>LAMAR NEKESHA</v>
      </c>
      <c r="M181" s="6">
        <f t="shared" si="61"/>
        <v>2.5023148147738539E-2</v>
      </c>
      <c r="N181" s="7">
        <f t="shared" si="77"/>
        <v>36.033333332743496</v>
      </c>
      <c r="O181" s="7"/>
      <c r="P181" s="7"/>
      <c r="Q181" s="22"/>
      <c r="R181" s="173"/>
      <c r="S181" s="176">
        <f t="shared" si="78"/>
        <v>1</v>
      </c>
      <c r="T181" s="202" t="str">
        <f t="shared" si="62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12</v>
      </c>
      <c r="V181" s="203" t="str">
        <f t="shared" si="63"/>
        <v>https://d0f6bd738d7f1b3e5a7ca70fe4ff75f0.us-east-1.aws.found.io/app/kibana#/discover/Steve-Slow-Train-Analysis-(2080s-and-2083s)?_g=(refreshInterval:(display:Off,pause:!f,section:0,value:0),time:(from:'2017-06-13T23:23:14-0600',mode:absolute,to:'2017-06-14T02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1" s="204" t="str">
        <f t="shared" si="64"/>
        <v>N</v>
      </c>
      <c r="X181" s="204">
        <f t="shared" si="81"/>
        <v>1</v>
      </c>
      <c r="Y181" s="204">
        <f t="shared" si="79"/>
        <v>4.6600000000000003E-2</v>
      </c>
      <c r="Z181" s="204">
        <f t="shared" si="80"/>
        <v>23.33</v>
      </c>
      <c r="AA181" s="204">
        <f t="shared" si="67"/>
        <v>23.283399999999997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8"/>
        <v>0243-13</v>
      </c>
      <c r="AE181" s="80" t="str">
        <f t="shared" si="69"/>
        <v>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 &amp; 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</v>
      </c>
      <c r="AF181" s="77" t="str">
        <f t="shared" si="70"/>
        <v>"C:\Program Files (x86)\AstroGrep\AstroGrep.exe" /e /r /s /spath="%USERPROFILE%\AppData\Local\Temp\OnboardLogs" /stypes="app*4046*20170614*" /stext=" 07:.+((SYSTEM_STATE.+slice.+state.+changed )|(ment ac)|(multiple cpu faults)|(system.+state.+changed )|(\[timeout)|(PRM\|1\|D)|(kpr)|(kdp)|(train st.+moving)|(\|lc)|(penalty))"</v>
      </c>
      <c r="AG181" s="1" t="str">
        <f t="shared" si="71"/>
        <v>EC</v>
      </c>
      <c r="AH181" s="81" t="str">
        <f t="shared" si="72"/>
        <v>"%USERPROFILE%\Documents\GitHub\eaglep3\Utilities\RefineRTDCRunTimes.py" --tripid 243-13 --locoid 4046 --swversion DE.1.0.9.0 --startMP 204:466 --initTime 2017-06-14T00:23:14 --startdatetime 2017-06-14T00:30:13 --delay 1 --endMP 204:233300 --enddatetime 2017-06-14T01:06:15 --enforcementcount 0 &gt;&gt;C:\Users\stu\Documents\GitHub\eaglep3-reporting\EC\2017-06-13-refined-times.txt</v>
      </c>
      <c r="AI181" s="99" t="str">
        <f t="shared" si="73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ID","value":"243-13"},{"id":16,"name":"Locomotive ID","value":"4046"},{"id":130,"name":"Impact","value":""},{"id":150,"name":"Time of Event (Mountain Time)","value":"01:06:15"},{"id":151,"name":"Denver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4"/>
        <v>start /low /b %USERPROFILE%\Documents\GitHub\eaglep3\Utilities\DownloadLogsFromS3.py --loco 4046 --day 2017-06-14</v>
      </c>
      <c r="AN181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07:06:15"},{"id":29,"name":"Sharepoint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818</v>
      </c>
      <c r="B182" s="7">
        <v>4045</v>
      </c>
      <c r="C182" s="21" t="s">
        <v>204</v>
      </c>
      <c r="D182" s="21" t="s">
        <v>908</v>
      </c>
      <c r="E182" s="13">
        <v>42900.048391203702</v>
      </c>
      <c r="F182" s="13">
        <v>42900.060601851852</v>
      </c>
      <c r="G182" s="7">
        <v>7</v>
      </c>
      <c r="H182" s="21" t="s">
        <v>352</v>
      </c>
      <c r="I182" s="13">
        <v>42900.088043981479</v>
      </c>
      <c r="J182" s="7">
        <v>0</v>
      </c>
      <c r="K182" s="92" t="str">
        <f t="shared" si="60"/>
        <v>4045/4046</v>
      </c>
      <c r="L182" s="21" t="str">
        <f>VLOOKUP(A182,'Trips&amp;Operators'!$C$1:$G$99999,5,FALSE)</f>
        <v>LAMAR NEKESHA</v>
      </c>
      <c r="M182" s="6">
        <f t="shared" si="61"/>
        <v>2.7442129627161194E-2</v>
      </c>
      <c r="N182" s="7">
        <f t="shared" si="77"/>
        <v>39.516666663112119</v>
      </c>
      <c r="O182" s="7"/>
      <c r="P182" s="7"/>
      <c r="Q182" s="22"/>
      <c r="R182" s="173"/>
      <c r="S182" s="176">
        <f t="shared" si="78"/>
        <v>1</v>
      </c>
      <c r="T182" s="202" t="str">
        <f t="shared" si="62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12</v>
      </c>
      <c r="V182" s="203" t="str">
        <f t="shared" si="63"/>
        <v>https://d0f6bd738d7f1b3e5a7ca70fe4ff75f0.us-east-1.aws.found.io/app/kibana#/discover/Steve-Slow-Train-Analysis-(2080s-and-2083s)?_g=(refreshInterval:(display:Off,pause:!f,section:0,value:0),time:(from:'2017-06-14T00:09:41-0600',mode:absolute,to:'2017-06-14T03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2" s="204" t="str">
        <f t="shared" si="64"/>
        <v>N</v>
      </c>
      <c r="X182" s="204">
        <f t="shared" si="81"/>
        <v>1</v>
      </c>
      <c r="Y182" s="204">
        <f t="shared" si="79"/>
        <v>23.296399999999998</v>
      </c>
      <c r="Z182" s="204">
        <f t="shared" si="80"/>
        <v>1.49E-2</v>
      </c>
      <c r="AA182" s="204">
        <f t="shared" si="67"/>
        <v>23.281499999999998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8"/>
        <v>0244-13</v>
      </c>
      <c r="AE182" s="80" t="str">
        <f t="shared" si="69"/>
        <v>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 &amp; 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</v>
      </c>
      <c r="AF182" s="77" t="str">
        <f t="shared" si="70"/>
        <v>"C:\Program Files (x86)\AstroGrep\AstroGrep.exe" /e /r /s /spath="%USERPROFILE%\AppData\Local\Temp\OnboardLogs" /stypes="app*4045*20170614*" /stext=" 08:.+((SYSTEM_STATE.+slice.+state.+changed )|(ment ac)|(multiple cpu faults)|(system.+state.+changed )|(\[timeout)|(PRM\|1\|D)|(kpr)|(kdp)|(train st.+moving)|(\|lc)|(penalty))"</v>
      </c>
      <c r="AG182" s="1" t="str">
        <f t="shared" si="71"/>
        <v>EC</v>
      </c>
      <c r="AH182" s="81" t="str">
        <f t="shared" si="72"/>
        <v>"%USERPROFILE%\Documents\GitHub\eaglep3\Utilities\RefineRTDCRunTimes.py" --tripid 244-13 --locoid 4045 --swversion DE.1.0.9.0 --startMP 204:232964 --initTime 2017-06-14T01:09:41 --startdatetime 2017-06-14T01:27:16 --delay 7 --endMP 204:149 --enddatetime 2017-06-14T02:06:47 --enforcementcount 0 &gt;&gt;C:\Users\stu\Documents\GitHub\eaglep3-reporting\EC\2017-06-13-refined-times.txt</v>
      </c>
      <c r="AI182" s="99" t="str">
        <f t="shared" si="73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ID","value":"244-13"},{"id":16,"name":"Locomotive ID","value":"4045"},{"id":130,"name":"Impact","value":""},{"id":150,"name":"Time of Event (Mountain Time)","value":"02:06:47"},{"id":151,"name":"Denver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4"/>
        <v>start /low /b %USERPROFILE%\Documents\GitHub\eaglep3\Utilities\DownloadLogsFromS3.py --loco 4045 --day 2017-06-14</v>
      </c>
      <c r="AN182" s="154" t="str">
        <f t="shared" si="75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08:06:47"},{"id":29,"name":"Sharepoint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642</v>
      </c>
      <c r="B183" s="7">
        <v>4055</v>
      </c>
      <c r="C183" s="21" t="s">
        <v>204</v>
      </c>
      <c r="D183" s="21" t="s">
        <v>577</v>
      </c>
      <c r="E183" s="13">
        <v>42899.206909722219</v>
      </c>
      <c r="F183" s="13">
        <v>42899.214953703704</v>
      </c>
      <c r="G183" s="7">
        <v>3</v>
      </c>
      <c r="H183" s="21" t="s">
        <v>937</v>
      </c>
      <c r="I183" s="13">
        <v>42899.225590277776</v>
      </c>
      <c r="J183" s="7">
        <v>0</v>
      </c>
      <c r="K183" s="92" t="str">
        <f t="shared" si="60"/>
        <v>4055/4056</v>
      </c>
      <c r="L183" s="21" t="str">
        <f>VLOOKUP(A183,'Trips&amp;Operators'!$C$1:$G$99999,5,FALSE)</f>
        <v>HELVIE ADAM</v>
      </c>
      <c r="M183" s="6">
        <f t="shared" si="61"/>
        <v>1.063657407212304E-2</v>
      </c>
      <c r="N183" s="7">
        <f t="shared" si="77"/>
        <v>15.316666663857177</v>
      </c>
      <c r="O183" s="7"/>
      <c r="P183" s="7"/>
      <c r="Q183" s="22"/>
      <c r="R183" s="173"/>
      <c r="S183" s="176">
        <f t="shared" si="78"/>
        <v>1</v>
      </c>
      <c r="T183" s="202" t="str">
        <f t="shared" si="62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63"/>
        <v>https://d0f6bd738d7f1b3e5a7ca70fe4ff75f0.us-east-1.aws.found.io/app/kibana#/discover/Steve-Slow-Train-Analysis-(2080s-and-2083s)?_g=(refreshInterval:(display:Off,pause:!f,section:0,value:0),time:(from:'2017-06-13T03:57:57-0600',mode:absolute,to:'2017-06-13T06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3" s="204" t="str">
        <f t="shared" si="64"/>
        <v>N</v>
      </c>
      <c r="X183" s="204">
        <f t="shared" si="81"/>
        <v>556</v>
      </c>
      <c r="Y183" s="204">
        <f t="shared" si="79"/>
        <v>5.8620999999999999</v>
      </c>
      <c r="Z183" s="204">
        <f t="shared" si="80"/>
        <v>7.4700000000000003E-2</v>
      </c>
      <c r="AA183" s="204">
        <f t="shared" si="67"/>
        <v>5.7873999999999999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8"/>
        <v>0800-13</v>
      </c>
      <c r="AE183" s="80" t="str">
        <f t="shared" si="69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183" s="77" t="str">
        <f t="shared" si="70"/>
        <v>"C:\Program Files (x86)\AstroGrep\AstroGrep.exe" /e /r /s /spath="%USERPROFILE%\AppData\Local\Temp\OnboardLogs" /stypes="app*4055*20170613*" /stext=" 11:.+((SYSTEM_STATE.+slice.+state.+changed )|(ment ac)|(multiple cpu faults)|(system.+state.+changed )|(\[timeout)|(PRM\|1\|D)|(kpr)|(kdp)|(train st.+moving)|(\|lc)|(penalty))"</v>
      </c>
      <c r="AG183" s="1" t="str">
        <f t="shared" si="71"/>
        <v>NW</v>
      </c>
      <c r="AH183" s="81" t="str">
        <f t="shared" si="72"/>
        <v>"%USERPROFILE%\Documents\GitHub\eaglep3\Utilities\RefineRTDCRunTimes.py" --tripid 800-13 --locoid 4055 --swversion DE.1.0.9.0 --startMP 300:58621 --initTime 2017-06-13T04:57:57 --startdatetime 2017-06-13T05:09:32 --delay 3 --endMP 204:747 --enddatetime 2017-06-13T05:24:51 --enforcementcount 0 &gt;&gt;C:\Users\stu\Documents\GitHub\eaglep3-reporting\EC\2017-06-13-refined-times.txt</v>
      </c>
      <c r="AI183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{"issue":{"subject":"","project_id":79,"tracker_id":40,"status_id":1,"priority_id":2,"assigned_to_id":23,"start_date":"2017-06-13","description":"","custom_fields":[{"id":1,"name":"Subdivision","value":"NW"},{"id":4,"name":"Milepost","value":"0.0747"},{"id":17,"name":"Train ID","value":"800-13"},{"id":16,"name":"Locomotive ID","value":"4055"},{"id":130,"name":"Impact","value":""},{"id":150,"name":"Time of Event (Mountain Time)","value":"05:24:51"},{"id":151,"name":"Denver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4"/>
        <v>start /low /b %USERPROFILE%\Documents\GitHub\eaglep3\Utilities\DownloadLogsFromS3.py --loco 4055 --day 2017-06-13</v>
      </c>
      <c r="AN183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650</v>
      </c>
      <c r="B184" s="7">
        <v>4056</v>
      </c>
      <c r="C184" s="21" t="s">
        <v>204</v>
      </c>
      <c r="D184" s="21" t="s">
        <v>938</v>
      </c>
      <c r="E184" s="13">
        <v>42899.241562499999</v>
      </c>
      <c r="F184" s="13">
        <v>42899.243993055556</v>
      </c>
      <c r="G184" s="7">
        <v>1</v>
      </c>
      <c r="H184" s="21" t="s">
        <v>939</v>
      </c>
      <c r="I184" s="13">
        <v>42899.253206018519</v>
      </c>
      <c r="J184" s="7">
        <v>0</v>
      </c>
      <c r="K184" s="92" t="str">
        <f t="shared" si="60"/>
        <v>4055/4056</v>
      </c>
      <c r="L184" s="21" t="str">
        <f>VLOOKUP(A184,'Trips&amp;Operators'!$C$1:$G$99999,5,FALSE)</f>
        <v>HELVIE ADAM</v>
      </c>
      <c r="M184" s="6">
        <f t="shared" si="61"/>
        <v>9.2129629629198462E-3</v>
      </c>
      <c r="N184" s="7">
        <f t="shared" si="77"/>
        <v>13.266666666604578</v>
      </c>
      <c r="O184" s="7"/>
      <c r="P184" s="7"/>
      <c r="Q184" s="22"/>
      <c r="R184" s="173"/>
      <c r="S184" s="176">
        <f t="shared" si="78"/>
        <v>1</v>
      </c>
      <c r="T184" s="202" t="str">
        <f t="shared" si="62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63"/>
        <v>https://d0f6bd738d7f1b3e5a7ca70fe4ff75f0.us-east-1.aws.found.io/app/kibana#/discover/Steve-Slow-Train-Analysis-(2080s-and-2083s)?_g=(refreshInterval:(display:Off,pause:!f,section:0,value:0),time:(from:'2017-06-13T04:47:51-0600',mode:absolute,to:'2017-06-13T07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204" t="str">
        <f t="shared" si="64"/>
        <v>N</v>
      </c>
      <c r="X184" s="204">
        <f t="shared" si="81"/>
        <v>1</v>
      </c>
      <c r="Y184" s="204">
        <f t="shared" si="79"/>
        <v>0.1055</v>
      </c>
      <c r="Z184" s="204">
        <f t="shared" si="80"/>
        <v>5.8939000000000004</v>
      </c>
      <c r="AA184" s="204">
        <f t="shared" si="67"/>
        <v>5.7884000000000002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8"/>
        <v>0801-13</v>
      </c>
      <c r="AE184" s="80" t="str">
        <f t="shared" si="69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184" s="77" t="str">
        <f t="shared" si="70"/>
        <v>"C:\Program Files (x86)\AstroGrep\AstroGrep.exe" /e /r /s /spath="%USERPROFILE%\AppData\Local\Temp\OnboardLogs" /stypes="app*4056*20170613*" /stext=" 12:.+((SYSTEM_STATE.+slice.+state.+changed )|(ment ac)|(multiple cpu faults)|(system.+state.+changed )|(\[timeout)|(PRM\|1\|D)|(kpr)|(kdp)|(train st.+moving)|(\|lc)|(penalty))"</v>
      </c>
      <c r="AG184" s="1" t="str">
        <f t="shared" si="71"/>
        <v>NW</v>
      </c>
      <c r="AH184" s="81" t="str">
        <f t="shared" si="72"/>
        <v>"%USERPROFILE%\Documents\GitHub\eaglep3\Utilities\RefineRTDCRunTimes.py" --tripid 801-13 --locoid 4056 --swversion DE.1.0.9.0 --startMP 204:1055 --initTime 2017-06-13T05:47:51 --startdatetime 2017-06-13T05:51:21 --delay 1 --endMP 300:58939 --enddatetime 2017-06-13T06:04:37 --enforcementcount 0 &gt;&gt;C:\Users\stu\Documents\GitHub\eaglep3-reporting\EC\2017-06-13-refined-times.txt</v>
      </c>
      <c r="AI184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{"issue":{"subject":"","project_id":79,"tracker_id":40,"status_id":1,"priority_id":2,"assigned_to_id":23,"start_date":"2017-06-13","description":"","custom_fields":[{"id":1,"name":"Subdivision","value":"NW"},{"id":4,"name":"Milepost","value":"5.8939"},{"id":17,"name":"Train ID","value":"801-13"},{"id":16,"name":"Locomotive ID","value":"4056"},{"id":130,"name":"Impact","value":""},{"id":150,"name":"Time of Event (Mountain Time)","value":"06:04:37"},{"id":151,"name":"Denver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4"/>
        <v>start /low /b %USERPROFILE%\Documents\GitHub\eaglep3\Utilities\DownloadLogsFromS3.py --loco 4056 --day 2017-06-13</v>
      </c>
      <c r="AN184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653</v>
      </c>
      <c r="B185" s="7">
        <v>4055</v>
      </c>
      <c r="C185" s="21" t="s">
        <v>204</v>
      </c>
      <c r="D185" s="21" t="s">
        <v>501</v>
      </c>
      <c r="E185" s="13">
        <v>42899.254537037035</v>
      </c>
      <c r="F185" s="13">
        <v>42899.257407407407</v>
      </c>
      <c r="G185" s="7">
        <v>1</v>
      </c>
      <c r="H185" s="21" t="s">
        <v>940</v>
      </c>
      <c r="I185" s="13">
        <v>42899.267337962963</v>
      </c>
      <c r="J185" s="7">
        <v>0</v>
      </c>
      <c r="K185" s="92" t="str">
        <f t="shared" si="60"/>
        <v>4055/4056</v>
      </c>
      <c r="L185" s="21" t="str">
        <f>VLOOKUP(A185,'Trips&amp;Operators'!$C$1:$G$99999,5,FALSE)</f>
        <v>HELVIE ADAM</v>
      </c>
      <c r="M185" s="6">
        <f t="shared" si="61"/>
        <v>9.930555555911269E-3</v>
      </c>
      <c r="N185" s="7">
        <f t="shared" si="77"/>
        <v>14.300000000512227</v>
      </c>
      <c r="O185" s="7"/>
      <c r="P185" s="7"/>
      <c r="Q185" s="22"/>
      <c r="R185" s="173"/>
      <c r="S185" s="176">
        <f t="shared" si="78"/>
        <v>1</v>
      </c>
      <c r="T185" s="202" t="str">
        <f t="shared" si="62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63"/>
        <v>https://d0f6bd738d7f1b3e5a7ca70fe4ff75f0.us-east-1.aws.found.io/app/kibana#/discover/Steve-Slow-Train-Analysis-(2080s-and-2083s)?_g=(refreshInterval:(display:Off,pause:!f,section:0,value:0),time:(from:'2017-06-13T05:06:32-0600',mode:absolute,to:'2017-06-13T07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204" t="str">
        <f t="shared" si="64"/>
        <v>N</v>
      </c>
      <c r="X185" s="204">
        <f t="shared" si="81"/>
        <v>1</v>
      </c>
      <c r="Y185" s="204">
        <f t="shared" si="79"/>
        <v>5.8624000000000001</v>
      </c>
      <c r="Z185" s="204">
        <f t="shared" si="80"/>
        <v>7.4099999999999999E-2</v>
      </c>
      <c r="AA185" s="204">
        <f t="shared" si="67"/>
        <v>5.7883000000000004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8"/>
        <v>0802-13</v>
      </c>
      <c r="AE185" s="80" t="str">
        <f t="shared" si="69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185" s="77" t="str">
        <f t="shared" si="70"/>
        <v>"C:\Program Files (x86)\AstroGrep\AstroGrep.exe" /e /r /s /spath="%USERPROFILE%\AppData\Local\Temp\OnboardLogs" /stypes="app*4055*20170613*" /stext=" 12:.+((SYSTEM_STATE.+slice.+state.+changed )|(ment ac)|(multiple cpu faults)|(system.+state.+changed )|(\[timeout)|(PRM\|1\|D)|(kpr)|(kdp)|(train st.+moving)|(\|lc)|(penalty))"</v>
      </c>
      <c r="AG185" s="1" t="str">
        <f t="shared" si="71"/>
        <v>NW</v>
      </c>
      <c r="AH185" s="81" t="str">
        <f t="shared" si="72"/>
        <v>"%USERPROFILE%\Documents\GitHub\eaglep3\Utilities\RefineRTDCRunTimes.py" --tripid 802-13 --locoid 4055 --swversion DE.1.0.9.0 --startMP 300:58624 --initTime 2017-06-13T06:06:32 --startdatetime 2017-06-13T06:10:40 --delay 1 --endMP 204:741 --enddatetime 2017-06-13T06:24:58 --enforcementcount 0 &gt;&gt;C:\Users\stu\Documents\GitHub\eaglep3-reporting\EC\2017-06-13-refined-times.txt</v>
      </c>
      <c r="AI185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{"issue":{"subject":"","project_id":79,"tracker_id":40,"status_id":1,"priority_id":2,"assigned_to_id":23,"start_date":"2017-06-13","description":"","custom_fields":[{"id":1,"name":"Subdivision","value":"NW"},{"id":4,"name":"Milepost","value":"0.0741"},{"id":17,"name":"Train ID","value":"802-13"},{"id":16,"name":"Locomotive ID","value":"4055"},{"id":130,"name":"Impact","value":""},{"id":150,"name":"Time of Event (Mountain Time)","value":"06:24:58"},{"id":151,"name":"Denver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4"/>
        <v>start /low /b %USERPROFILE%\Documents\GitHub\eaglep3\Utilities\DownloadLogsFromS3.py --loco 4055 --day 2017-06-13</v>
      </c>
      <c r="AN185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652</v>
      </c>
      <c r="B186" s="7">
        <v>4024</v>
      </c>
      <c r="C186" s="21" t="s">
        <v>204</v>
      </c>
      <c r="D186" s="21" t="s">
        <v>517</v>
      </c>
      <c r="E186" s="13">
        <v>42899.247627314813</v>
      </c>
      <c r="F186" s="13">
        <v>42899.264745370368</v>
      </c>
      <c r="G186" s="7">
        <v>1</v>
      </c>
      <c r="H186" s="21" t="s">
        <v>514</v>
      </c>
      <c r="I186" s="13">
        <v>42899.274050925924</v>
      </c>
      <c r="J186" s="7">
        <v>0</v>
      </c>
      <c r="K186" s="92" t="str">
        <f t="shared" si="60"/>
        <v>4023/4024</v>
      </c>
      <c r="L186" s="21" t="str">
        <f>VLOOKUP(A186,'Trips&amp;Operators'!$C$1:$G$99999,5,FALSE)</f>
        <v>SANTIZO D. EDY</v>
      </c>
      <c r="M186" s="6">
        <f t="shared" si="61"/>
        <v>9.3055555553291924E-3</v>
      </c>
      <c r="N186" s="7">
        <f t="shared" si="77"/>
        <v>13.399999999674037</v>
      </c>
      <c r="O186" s="7"/>
      <c r="P186" s="7"/>
      <c r="Q186" s="22"/>
      <c r="R186" s="173"/>
      <c r="S186" s="176">
        <f t="shared" si="78"/>
        <v>1</v>
      </c>
      <c r="T186" s="202" t="str">
        <f t="shared" si="62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63"/>
        <v>https://d0f6bd738d7f1b3e5a7ca70fe4ff75f0.us-east-1.aws.found.io/app/kibana#/discover/Steve-Slow-Train-Analysis-(2080s-and-2083s)?_g=(refreshInterval:(display:Off,pause:!f,section:0,value:0),time:(from:'2017-06-13T04:56:35-0600',mode:absolute,to:'2017-06-13T07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6" s="204" t="str">
        <f t="shared" si="64"/>
        <v>N</v>
      </c>
      <c r="X186" s="204">
        <f t="shared" si="81"/>
        <v>1</v>
      </c>
      <c r="Y186" s="204">
        <f t="shared" si="79"/>
        <v>0.10199999999999999</v>
      </c>
      <c r="Z186" s="204">
        <f t="shared" si="80"/>
        <v>5.8943000000000003</v>
      </c>
      <c r="AA186" s="204">
        <f t="shared" si="67"/>
        <v>5.7923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8"/>
        <v>0803-13</v>
      </c>
      <c r="AE186" s="80" t="str">
        <f t="shared" si="69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186" s="77" t="str">
        <f t="shared" si="70"/>
        <v>"C:\Program Files (x86)\AstroGrep\AstroGrep.exe" /e /r /s /spath="%USERPROFILE%\AppData\Local\Temp\OnboardLogs" /stypes="app*4024*20170613*" /stext=" 12:.+((SYSTEM_STATE.+slice.+state.+changed )|(ment ac)|(multiple cpu faults)|(system.+state.+changed )|(\[timeout)|(PRM\|1\|D)|(kpr)|(kdp)|(train st.+moving)|(\|lc)|(penalty))"</v>
      </c>
      <c r="AG186" s="1" t="str">
        <f t="shared" si="71"/>
        <v>NW</v>
      </c>
      <c r="AH186" s="81" t="str">
        <f t="shared" si="72"/>
        <v>"%USERPROFILE%\Documents\GitHub\eaglep3\Utilities\RefineRTDCRunTimes.py" --tripid 803-13 --locoid 4024 --swversion DE.1.0.9.0 --startMP 204:1020 --initTime 2017-06-13T05:56:35 --startdatetime 2017-06-13T06:21:14 --delay 1 --endMP 300:58943 --enddatetime 2017-06-13T06:34:38 --enforcementcount 0 &gt;&gt;C:\Users\stu\Documents\GitHub\eaglep3-reporting\EC\2017-06-13-refined-times.txt</v>
      </c>
      <c r="AI186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{"issue":{"subject":"","project_id":79,"tracker_id":40,"status_id":1,"priority_id":2,"assigned_to_id":23,"start_date":"2017-06-13","description":"","custom_fields":[{"id":1,"name":"Subdivision","value":"NW"},{"id":4,"name":"Milepost","value":"5.8943"},{"id":17,"name":"Train ID","value":"803-13"},{"id":16,"name":"Locomotive ID","value":"4024"},{"id":130,"name":"Impact","value":""},{"id":150,"name":"Time of Event (Mountain Time)","value":"06:34:38"},{"id":151,"name":"Denver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4"/>
        <v>start /low /b %USERPROFILE%\Documents\GitHub\eaglep3\Utilities\DownloadLogsFromS3.py --loco 4024 --day 2017-06-13</v>
      </c>
      <c r="AN186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658</v>
      </c>
      <c r="B187" s="7">
        <v>4023</v>
      </c>
      <c r="C187" s="21" t="s">
        <v>204</v>
      </c>
      <c r="D187" s="21" t="s">
        <v>941</v>
      </c>
      <c r="E187" s="13">
        <v>42899.274861111109</v>
      </c>
      <c r="F187" s="13">
        <v>42899.276250000003</v>
      </c>
      <c r="G187" s="7">
        <v>1</v>
      </c>
      <c r="H187" s="21" t="s">
        <v>942</v>
      </c>
      <c r="I187" s="13">
        <v>42899.288472222222</v>
      </c>
      <c r="J187" s="7">
        <v>0</v>
      </c>
      <c r="K187" s="92" t="str">
        <f t="shared" si="60"/>
        <v>4023/4024</v>
      </c>
      <c r="L187" s="21" t="str">
        <f>VLOOKUP(A187,'Trips&amp;Operators'!$C$1:$G$99999,5,FALSE)</f>
        <v>SANTIZO D. EDY</v>
      </c>
      <c r="M187" s="6">
        <f t="shared" si="61"/>
        <v>1.2222222219861578E-2</v>
      </c>
      <c r="N187" s="7">
        <f t="shared" si="77"/>
        <v>17.599999996600673</v>
      </c>
      <c r="O187" s="7"/>
      <c r="P187" s="7"/>
      <c r="Q187" s="22"/>
      <c r="R187" s="173"/>
      <c r="S187" s="176">
        <f t="shared" si="78"/>
        <v>1</v>
      </c>
      <c r="T187" s="202" t="str">
        <f t="shared" si="62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63"/>
        <v>https://d0f6bd738d7f1b3e5a7ca70fe4ff75f0.us-east-1.aws.found.io/app/kibana#/discover/Steve-Slow-Train-Analysis-(2080s-and-2083s)?_g=(refreshInterval:(display:Off,pause:!f,section:0,value:0),time:(from:'2017-06-13T05:35:48-0600',mode:absolute,to:'2017-06-13T07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7" s="204" t="str">
        <f t="shared" si="64"/>
        <v>N</v>
      </c>
      <c r="X187" s="204">
        <f t="shared" si="81"/>
        <v>1</v>
      </c>
      <c r="Y187" s="204">
        <f t="shared" si="79"/>
        <v>5.8625999999999996</v>
      </c>
      <c r="Z187" s="204">
        <f t="shared" si="80"/>
        <v>7.3599999999999999E-2</v>
      </c>
      <c r="AA187" s="204">
        <f t="shared" si="67"/>
        <v>5.7889999999999997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8"/>
        <v>0804-13</v>
      </c>
      <c r="AE187" s="80" t="str">
        <f t="shared" si="69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187" s="77" t="str">
        <f t="shared" si="70"/>
        <v>"C:\Program Files (x86)\AstroGrep\AstroGrep.exe" /e /r /s /spath="%USERPROFILE%\AppData\Local\Temp\OnboardLogs" /stypes="app*4023*20170613*" /stext=" 12:.+((SYSTEM_STATE.+slice.+state.+changed )|(ment ac)|(multiple cpu faults)|(system.+state.+changed )|(\[timeout)|(PRM\|1\|D)|(kpr)|(kdp)|(train st.+moving)|(\|lc)|(penalty))"</v>
      </c>
      <c r="AG187" s="1" t="str">
        <f t="shared" si="71"/>
        <v>NW</v>
      </c>
      <c r="AH187" s="81" t="str">
        <f t="shared" si="72"/>
        <v>"%USERPROFILE%\Documents\GitHub\eaglep3\Utilities\RefineRTDCRunTimes.py" --tripid 804-13 --locoid 4023 --swversion DE.1.0.9.0 --startMP 300:58626 --initTime 2017-06-13T06:35:48 --startdatetime 2017-06-13T06:37:48 --delay 1 --endMP 204:736 --enddatetime 2017-06-13T06:55:24 --enforcementcount 0 &gt;&gt;C:\Users\stu\Documents\GitHub\eaglep3-reporting\EC\2017-06-13-refined-times.txt</v>
      </c>
      <c r="AI187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{"issue":{"subject":"","project_id":79,"tracker_id":40,"status_id":1,"priority_id":2,"assigned_to_id":23,"start_date":"2017-06-13","description":"","custom_fields":[{"id":1,"name":"Subdivision","value":"NW"},{"id":4,"name":"Milepost","value":"0.0736"},{"id":17,"name":"Train ID","value":"804-13"},{"id":16,"name":"Locomotive ID","value":"4023"},{"id":130,"name":"Impact","value":""},{"id":150,"name":"Time of Event (Mountain Time)","value":"06:55:24"},{"id":151,"name":"Denver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4"/>
        <v>start /low /b %USERPROFILE%\Documents\GitHub\eaglep3\Utilities\DownloadLogsFromS3.py --loco 4023 --day 2017-06-13</v>
      </c>
      <c r="AN187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659</v>
      </c>
      <c r="B188" s="7">
        <v>4056</v>
      </c>
      <c r="C188" s="21" t="s">
        <v>204</v>
      </c>
      <c r="D188" s="21" t="s">
        <v>943</v>
      </c>
      <c r="E188" s="13">
        <v>42899.281307870369</v>
      </c>
      <c r="F188" s="13">
        <v>42899.285590277781</v>
      </c>
      <c r="G188" s="7">
        <v>1</v>
      </c>
      <c r="H188" s="21" t="s">
        <v>939</v>
      </c>
      <c r="I188" s="13">
        <v>42899.294687499998</v>
      </c>
      <c r="J188" s="7">
        <v>0</v>
      </c>
      <c r="K188" s="92" t="str">
        <f t="shared" si="60"/>
        <v>4055/4056</v>
      </c>
      <c r="L188" s="21" t="str">
        <f>VLOOKUP(A188,'Trips&amp;Operators'!$C$1:$G$99999,5,FALSE)</f>
        <v>HELVIE ADAM</v>
      </c>
      <c r="M188" s="6">
        <f t="shared" si="61"/>
        <v>9.0972222169511952E-3</v>
      </c>
      <c r="N188" s="7">
        <f t="shared" si="77"/>
        <v>13.099999992409721</v>
      </c>
      <c r="O188" s="7"/>
      <c r="P188" s="7"/>
      <c r="Q188" s="22"/>
      <c r="R188" s="173"/>
      <c r="S188" s="176">
        <f t="shared" si="78"/>
        <v>1</v>
      </c>
      <c r="T188" s="202" t="str">
        <f t="shared" si="62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63"/>
        <v>https://d0f6bd738d7f1b3e5a7ca70fe4ff75f0.us-east-1.aws.found.io/app/kibana#/discover/Steve-Slow-Train-Analysis-(2080s-and-2083s)?_g=(refreshInterval:(display:Off,pause:!f,section:0,value:0),time:(from:'2017-06-13T05:45:05-0600',mode:absolute,to:'2017-06-13T08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8" s="204" t="str">
        <f t="shared" si="64"/>
        <v>N</v>
      </c>
      <c r="X188" s="204">
        <f t="shared" si="81"/>
        <v>1</v>
      </c>
      <c r="Y188" s="204">
        <f t="shared" si="79"/>
        <v>0.10349999999999999</v>
      </c>
      <c r="Z188" s="204">
        <f t="shared" si="80"/>
        <v>5.8939000000000004</v>
      </c>
      <c r="AA188" s="204">
        <f t="shared" si="67"/>
        <v>5.7904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8"/>
        <v>0805-13</v>
      </c>
      <c r="AE188" s="80" t="str">
        <f t="shared" si="69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188" s="77" t="str">
        <f t="shared" si="70"/>
        <v>"C:\Program Files (x86)\AstroGrep\AstroGrep.exe" /e /r /s /spath="%USERPROFILE%\AppData\Local\Temp\OnboardLogs" /stypes="app*4056*20170613*" /stext=" 13:.+((SYSTEM_STATE.+slice.+state.+changed )|(ment ac)|(multiple cpu faults)|(system.+state.+changed )|(\[timeout)|(PRM\|1\|D)|(kpr)|(kdp)|(train st.+moving)|(\|lc)|(penalty))"</v>
      </c>
      <c r="AG188" s="1" t="str">
        <f t="shared" si="71"/>
        <v>NW</v>
      </c>
      <c r="AH188" s="81" t="str">
        <f t="shared" si="72"/>
        <v>"%USERPROFILE%\Documents\GitHub\eaglep3\Utilities\RefineRTDCRunTimes.py" --tripid 805-13 --locoid 4056 --swversion DE.1.0.9.0 --startMP 204:1035 --initTime 2017-06-13T06:45:05 --startdatetime 2017-06-13T06:51:15 --delay 1 --endMP 300:58939 --enddatetime 2017-06-13T07:04:21 --enforcementcount 0 &gt;&gt;C:\Users\stu\Documents\GitHub\eaglep3-reporting\EC\2017-06-13-refined-times.txt</v>
      </c>
      <c r="AI188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{"issue":{"subject":"","project_id":79,"tracker_id":40,"status_id":1,"priority_id":2,"assigned_to_id":23,"start_date":"2017-06-13","description":"","custom_fields":[{"id":1,"name":"Subdivision","value":"NW"},{"id":4,"name":"Milepost","value":"5.8939"},{"id":17,"name":"Train ID","value":"805-13"},{"id":16,"name":"Locomotive ID","value":"4056"},{"id":130,"name":"Impact","value":""},{"id":150,"name":"Time of Event (Mountain Time)","value":"07:04:21"},{"id":151,"name":"Denver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4"/>
        <v>start /low /b %USERPROFILE%\Documents\GitHub\eaglep3\Utilities\DownloadLogsFromS3.py --loco 4056 --day 2017-06-13</v>
      </c>
      <c r="AN188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s="20" customFormat="1" x14ac:dyDescent="0.25">
      <c r="A189" s="32" t="s">
        <v>664</v>
      </c>
      <c r="B189" s="7">
        <v>4055</v>
      </c>
      <c r="C189" s="21" t="s">
        <v>204</v>
      </c>
      <c r="D189" s="21" t="s">
        <v>941</v>
      </c>
      <c r="E189" s="13">
        <v>42899.296041666668</v>
      </c>
      <c r="F189" s="13">
        <v>42899.298854166664</v>
      </c>
      <c r="G189" s="7">
        <v>1</v>
      </c>
      <c r="H189" s="21" t="s">
        <v>944</v>
      </c>
      <c r="I189" s="13">
        <v>42899.308912037035</v>
      </c>
      <c r="J189" s="7">
        <v>0</v>
      </c>
      <c r="K189" s="92" t="str">
        <f t="shared" si="60"/>
        <v>4055/4056</v>
      </c>
      <c r="L189" s="21" t="str">
        <f>VLOOKUP(A189,'Trips&amp;Operators'!$C$1:$G$99999,5,FALSE)</f>
        <v>HELVIE ADAM</v>
      </c>
      <c r="M189" s="6">
        <f t="shared" si="61"/>
        <v>1.0057870371383615E-2</v>
      </c>
      <c r="N189" s="7">
        <f t="shared" si="77"/>
        <v>14.483333334792405</v>
      </c>
      <c r="O189" s="7"/>
      <c r="P189" s="7"/>
      <c r="Q189" s="22"/>
      <c r="R189" s="173"/>
      <c r="S189" s="176">
        <f t="shared" si="78"/>
        <v>1</v>
      </c>
      <c r="T189" s="202" t="str">
        <f t="shared" si="62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63"/>
        <v>https://d0f6bd738d7f1b3e5a7ca70fe4ff75f0.us-east-1.aws.found.io/app/kibana#/discover/Steve-Slow-Train-Analysis-(2080s-and-2083s)?_g=(refreshInterval:(display:Off,pause:!f,section:0,value:0),time:(from:'2017-06-13T06:06:18-0600',mode:absolute,to:'2017-06-13T08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9" s="204" t="str">
        <f t="shared" si="64"/>
        <v>N</v>
      </c>
      <c r="X189" s="204">
        <f t="shared" si="81"/>
        <v>1</v>
      </c>
      <c r="Y189" s="204">
        <f t="shared" si="79"/>
        <v>5.8625999999999996</v>
      </c>
      <c r="Z189" s="204">
        <f t="shared" si="80"/>
        <v>7.4300000000000005E-2</v>
      </c>
      <c r="AA189" s="204">
        <f t="shared" si="67"/>
        <v>5.7882999999999996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8"/>
        <v>0806-13</v>
      </c>
      <c r="AE189" s="80" t="str">
        <f t="shared" si="69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189" s="77" t="str">
        <f t="shared" si="70"/>
        <v>"C:\Program Files (x86)\AstroGrep\AstroGrep.exe" /e /r /s /spath="%USERPROFILE%\AppData\Local\Temp\OnboardLogs" /stypes="app*4055*20170613*" /stext=" 13:.+((SYSTEM_STATE.+slice.+state.+changed )|(ment ac)|(multiple cpu faults)|(system.+state.+changed )|(\[timeout)|(PRM\|1\|D)|(kpr)|(kdp)|(train st.+moving)|(\|lc)|(penalty))"</v>
      </c>
      <c r="AG189" s="1" t="str">
        <f t="shared" si="71"/>
        <v>NW</v>
      </c>
      <c r="AH189" s="81" t="str">
        <f t="shared" si="72"/>
        <v>"%USERPROFILE%\Documents\GitHub\eaglep3\Utilities\RefineRTDCRunTimes.py" --tripid 806-13 --locoid 4055 --swversion DE.1.0.9.0 --startMP 300:58626 --initTime 2017-06-13T07:06:18 --startdatetime 2017-06-13T07:10:21 --delay 1 --endMP 204:743 --enddatetime 2017-06-13T07:24:50 --enforcementcount 0 &gt;&gt;C:\Users\stu\Documents\GitHub\eaglep3-reporting\EC\2017-06-13-refined-times.txt</v>
      </c>
      <c r="AI189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{"issue":{"subject":"","project_id":79,"tracker_id":40,"status_id":1,"priority_id":2,"assigned_to_id":23,"start_date":"2017-06-13","description":"","custom_fields":[{"id":1,"name":"Subdivision","value":"NW"},{"id":4,"name":"Milepost","value":"0.0743"},{"id":17,"name":"Train ID","value":"806-13"},{"id":16,"name":"Locomotive ID","value":"4055"},{"id":130,"name":"Impact","value":""},{"id":150,"name":"Time of Event (Mountain Time)","value":"07:24:50"},{"id":151,"name":"Denver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5" t="str">
        <f t="shared" si="74"/>
        <v>start /low /b %USERPROFILE%\Documents\GitHub\eaglep3\Utilities\DownloadLogsFromS3.py --loco 4055 --day 2017-06-13</v>
      </c>
      <c r="AN189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661</v>
      </c>
      <c r="B190" s="7">
        <v>4024</v>
      </c>
      <c r="C190" s="21" t="s">
        <v>204</v>
      </c>
      <c r="D190" s="21" t="s">
        <v>945</v>
      </c>
      <c r="E190" s="13">
        <v>42899.289317129631</v>
      </c>
      <c r="F190" s="13">
        <v>42899.306400462963</v>
      </c>
      <c r="G190" s="7">
        <v>1</v>
      </c>
      <c r="H190" s="21" t="s">
        <v>578</v>
      </c>
      <c r="I190" s="13">
        <v>42899.31559027778</v>
      </c>
      <c r="J190" s="7">
        <v>0</v>
      </c>
      <c r="K190" s="92" t="str">
        <f t="shared" si="60"/>
        <v>4023/4024</v>
      </c>
      <c r="L190" s="21" t="str">
        <f>VLOOKUP(A190,'Trips&amp;Operators'!$C$1:$G$99999,5,FALSE)</f>
        <v>SANTIZO D. EDY</v>
      </c>
      <c r="M190" s="6">
        <f t="shared" si="61"/>
        <v>9.189814816636499E-3</v>
      </c>
      <c r="N190" s="7">
        <f t="shared" si="77"/>
        <v>13.233333335956559</v>
      </c>
      <c r="O190" s="7"/>
      <c r="P190" s="7"/>
      <c r="Q190" s="22"/>
      <c r="R190" s="173"/>
      <c r="S190" s="176">
        <f t="shared" si="78"/>
        <v>1</v>
      </c>
      <c r="T190" s="202" t="str">
        <f t="shared" si="62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63"/>
        <v>https://d0f6bd738d7f1b3e5a7ca70fe4ff75f0.us-east-1.aws.found.io/app/kibana#/discover/Steve-Slow-Train-Analysis-(2080s-and-2083s)?_g=(refreshInterval:(display:Off,pause:!f,section:0,value:0),time:(from:'2017-06-13T05:56:37-0600',mode:absolute,to:'2017-06-13T08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0" s="204" t="str">
        <f t="shared" si="64"/>
        <v>N</v>
      </c>
      <c r="X190" s="204">
        <f t="shared" si="81"/>
        <v>1</v>
      </c>
      <c r="Y190" s="204">
        <f t="shared" si="79"/>
        <v>0.1028</v>
      </c>
      <c r="Z190" s="204">
        <f t="shared" si="80"/>
        <v>5.8930999999999996</v>
      </c>
      <c r="AA190" s="204">
        <f t="shared" si="67"/>
        <v>5.7902999999999993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8"/>
        <v>0807-13</v>
      </c>
      <c r="AE190" s="80" t="str">
        <f t="shared" si="69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190" s="77" t="str">
        <f t="shared" si="70"/>
        <v>"C:\Program Files (x86)\AstroGrep\AstroGrep.exe" /e /r /s /spath="%USERPROFILE%\AppData\Local\Temp\OnboardLogs" /stypes="app*4024*20170613*" /stext=" 13:.+((SYSTEM_STATE.+slice.+state.+changed )|(ment ac)|(multiple cpu faults)|(system.+state.+changed )|(\[timeout)|(PRM\|1\|D)|(kpr)|(kdp)|(train st.+moving)|(\|lc)|(penalty))"</v>
      </c>
      <c r="AG190" s="1" t="str">
        <f t="shared" si="71"/>
        <v>NW</v>
      </c>
      <c r="AH190" s="81" t="str">
        <f t="shared" si="72"/>
        <v>"%USERPROFILE%\Documents\GitHub\eaglep3\Utilities\RefineRTDCRunTimes.py" --tripid 807-13 --locoid 4024 --swversion DE.1.0.9.0 --startMP 204:1028 --initTime 2017-06-13T06:56:37 --startdatetime 2017-06-13T07:21:13 --delay 1 --endMP 300:58931 --enddatetime 2017-06-13T07:34:27 --enforcementcount 0 &gt;&gt;C:\Users\stu\Documents\GitHub\eaglep3-reporting\EC\2017-06-13-refined-times.txt</v>
      </c>
      <c r="AI190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{"issue":{"subject":"","project_id":79,"tracker_id":40,"status_id":1,"priority_id":2,"assigned_to_id":23,"start_date":"2017-06-13","description":"","custom_fields":[{"id":1,"name":"Subdivision","value":"NW"},{"id":4,"name":"Milepost","value":"5.8931"},{"id":17,"name":"Train ID","value":"807-13"},{"id":16,"name":"Locomotive ID","value":"4024"},{"id":130,"name":"Impact","value":""},{"id":150,"name":"Time of Event (Mountain Time)","value":"07:34:27"},{"id":151,"name":"Denver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4"/>
        <v>start /low /b %USERPROFILE%\Documents\GitHub\eaglep3\Utilities\DownloadLogsFromS3.py --loco 4024 --day 2017-06-13</v>
      </c>
      <c r="AN190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667</v>
      </c>
      <c r="B191" s="7">
        <v>4023</v>
      </c>
      <c r="C191" s="21" t="s">
        <v>204</v>
      </c>
      <c r="D191" s="21" t="s">
        <v>946</v>
      </c>
      <c r="E191" s="13">
        <v>42899.316412037035</v>
      </c>
      <c r="F191" s="13">
        <v>42899.317766203705</v>
      </c>
      <c r="G191" s="7">
        <v>1</v>
      </c>
      <c r="H191" s="21" t="s">
        <v>518</v>
      </c>
      <c r="I191" s="13">
        <v>42899.329768518517</v>
      </c>
      <c r="J191" s="7">
        <v>0</v>
      </c>
      <c r="K191" s="92" t="str">
        <f t="shared" si="60"/>
        <v>4023/4024</v>
      </c>
      <c r="L191" s="21" t="str">
        <f>VLOOKUP(A191,'Trips&amp;Operators'!$C$1:$G$99999,5,FALSE)</f>
        <v>SANTIZO D. EDY</v>
      </c>
      <c r="M191" s="6">
        <f t="shared" si="61"/>
        <v>1.2002314811979886E-2</v>
      </c>
      <c r="N191" s="7">
        <f t="shared" ref="N191:N222" si="82">24*60*SUM($M191:$M191)</f>
        <v>17.283333329251036</v>
      </c>
      <c r="O191" s="7"/>
      <c r="P191" s="7"/>
      <c r="Q191" s="22"/>
      <c r="R191" s="173"/>
      <c r="S191" s="176">
        <f t="shared" ref="S191:S222" si="83">SUM(U191:U191)/IF(AG191="EC",12,1)</f>
        <v>1</v>
      </c>
      <c r="T191" s="202" t="str">
        <f t="shared" si="62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63"/>
        <v>https://d0f6bd738d7f1b3e5a7ca70fe4ff75f0.us-east-1.aws.found.io/app/kibana#/discover/Steve-Slow-Train-Analysis-(2080s-and-2083s)?_g=(refreshInterval:(display:Off,pause:!f,section:0,value:0),time:(from:'2017-06-13T06:35:38-0600',mode:absolute,to:'2017-06-13T08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1" s="204" t="str">
        <f t="shared" si="64"/>
        <v>N</v>
      </c>
      <c r="X191" s="204">
        <f t="shared" si="81"/>
        <v>1</v>
      </c>
      <c r="Y191" s="204">
        <f t="shared" si="79"/>
        <v>5.8619000000000003</v>
      </c>
      <c r="Z191" s="204">
        <f t="shared" si="80"/>
        <v>7.3400000000000007E-2</v>
      </c>
      <c r="AA191" s="204">
        <f t="shared" si="67"/>
        <v>5.7885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8"/>
        <v>0808-13</v>
      </c>
      <c r="AE191" s="80" t="str">
        <f t="shared" si="69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191" s="77" t="str">
        <f t="shared" si="70"/>
        <v>"C:\Program Files (x86)\AstroGrep\AstroGrep.exe" /e /r /s /spath="%USERPROFILE%\AppData\Local\Temp\OnboardLogs" /stypes="app*4023*20170613*" /stext=" 13:.+((SYSTEM_STATE.+slice.+state.+changed )|(ment ac)|(multiple cpu faults)|(system.+state.+changed )|(\[timeout)|(PRM\|1\|D)|(kpr)|(kdp)|(train st.+moving)|(\|lc)|(penalty))"</v>
      </c>
      <c r="AG191" s="1" t="str">
        <f t="shared" si="71"/>
        <v>NW</v>
      </c>
      <c r="AH191" s="81" t="str">
        <f t="shared" si="72"/>
        <v>"%USERPROFILE%\Documents\GitHub\eaglep3\Utilities\RefineRTDCRunTimes.py" --tripid 808-13 --locoid 4023 --swversion DE.1.0.9.0 --startMP 300:58619 --initTime 2017-06-13T07:35:38 --startdatetime 2017-06-13T07:37:35 --delay 1 --endMP 204:734 --enddatetime 2017-06-13T07:54:52 --enforcementcount 0 &gt;&gt;C:\Users\stu\Documents\GitHub\eaglep3-reporting\EC\2017-06-13-refined-times.txt</v>
      </c>
      <c r="AI191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{"issue":{"subject":"","project_id":79,"tracker_id":40,"status_id":1,"priority_id":2,"assigned_to_id":23,"start_date":"2017-06-13","description":"","custom_fields":[{"id":1,"name":"Subdivision","value":"NW"},{"id":4,"name":"Milepost","value":"0.0734"},{"id":17,"name":"Train ID","value":"808-13"},{"id":16,"name":"Locomotive ID","value":"4023"},{"id":130,"name":"Impact","value":""},{"id":150,"name":"Time of Event (Mountain Time)","value":"07:54:52"},{"id":151,"name":"Denver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4"/>
        <v>start /low /b %USERPROFILE%\Documents\GitHub\eaglep3\Utilities\DownloadLogsFromS3.py --loco 4023 --day 2017-06-13</v>
      </c>
      <c r="AN191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670</v>
      </c>
      <c r="B192" s="7">
        <v>4056</v>
      </c>
      <c r="C192" s="21" t="s">
        <v>204</v>
      </c>
      <c r="D192" s="21" t="s">
        <v>947</v>
      </c>
      <c r="E192" s="13">
        <v>42899.325127314813</v>
      </c>
      <c r="F192" s="13">
        <v>42899.327256944445</v>
      </c>
      <c r="G192" s="7">
        <v>1</v>
      </c>
      <c r="H192" s="21" t="s">
        <v>514</v>
      </c>
      <c r="I192" s="13">
        <v>42899.33625</v>
      </c>
      <c r="J192" s="7">
        <v>0</v>
      </c>
      <c r="K192" s="92" t="str">
        <f t="shared" si="60"/>
        <v>4055/4056</v>
      </c>
      <c r="L192" s="21" t="str">
        <f>VLOOKUP(A192,'Trips&amp;Operators'!$C$1:$G$99999,5,FALSE)</f>
        <v>HELVIE ADAM</v>
      </c>
      <c r="M192" s="6">
        <f t="shared" si="61"/>
        <v>8.9930555550381541E-3</v>
      </c>
      <c r="N192" s="7">
        <f t="shared" si="82"/>
        <v>12.949999999254942</v>
      </c>
      <c r="O192" s="7"/>
      <c r="P192" s="7"/>
      <c r="Q192" s="22"/>
      <c r="R192" s="173"/>
      <c r="S192" s="176">
        <f t="shared" si="83"/>
        <v>1</v>
      </c>
      <c r="T192" s="202" t="str">
        <f t="shared" si="62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63"/>
        <v>https://d0f6bd738d7f1b3e5a7ca70fe4ff75f0.us-east-1.aws.found.io/app/kibana#/discover/Steve-Slow-Train-Analysis-(2080s-and-2083s)?_g=(refreshInterval:(display:Off,pause:!f,section:0,value:0),time:(from:'2017-06-13T06:48:11-0600',mode:absolute,to:'2017-06-13T09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2" s="204" t="str">
        <f t="shared" si="64"/>
        <v>N</v>
      </c>
      <c r="X192" s="204">
        <f t="shared" si="81"/>
        <v>1</v>
      </c>
      <c r="Y192" s="204">
        <f t="shared" si="79"/>
        <v>0.1027</v>
      </c>
      <c r="Z192" s="204">
        <f t="shared" si="80"/>
        <v>5.8943000000000003</v>
      </c>
      <c r="AA192" s="204">
        <f t="shared" si="67"/>
        <v>5.7916000000000007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8"/>
        <v>0809-13</v>
      </c>
      <c r="AE192" s="80" t="str">
        <f t="shared" si="69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192" s="77" t="str">
        <f t="shared" si="70"/>
        <v>"C:\Program Files (x86)\AstroGrep\AstroGrep.exe" /e /r /s /spath="%USERPROFILE%\AppData\Local\Temp\OnboardLogs" /stypes="app*4056*20170613*" /stext=" 14:.+((SYSTEM_STATE.+slice.+state.+changed )|(ment ac)|(multiple cpu faults)|(system.+state.+changed )|(\[timeout)|(PRM\|1\|D)|(kpr)|(kdp)|(train st.+moving)|(\|lc)|(penalty))"</v>
      </c>
      <c r="AG192" s="1" t="str">
        <f t="shared" si="71"/>
        <v>NW</v>
      </c>
      <c r="AH192" s="81" t="str">
        <f t="shared" si="72"/>
        <v>"%USERPROFILE%\Documents\GitHub\eaglep3\Utilities\RefineRTDCRunTimes.py" --tripid 809-13 --locoid 4056 --swversion DE.1.0.9.0 --startMP 204:1027 --initTime 2017-06-13T07:48:11 --startdatetime 2017-06-13T07:51:15 --delay 1 --endMP 300:58943 --enddatetime 2017-06-13T08:04:12 --enforcementcount 0 &gt;&gt;C:\Users\stu\Documents\GitHub\eaglep3-reporting\EC\2017-06-13-refined-times.txt</v>
      </c>
      <c r="AI192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{"issue":{"subject":"","project_id":79,"tracker_id":40,"status_id":1,"priority_id":2,"assigned_to_id":23,"start_date":"2017-06-13","description":"","custom_fields":[{"id":1,"name":"Subdivision","value":"NW"},{"id":4,"name":"Milepost","value":"5.8943"},{"id":17,"name":"Train ID","value":"809-13"},{"id":16,"name":"Locomotive ID","value":"4056"},{"id":130,"name":"Impact","value":""},{"id":150,"name":"Time of Event (Mountain Time)","value":"08:04:12"},{"id":151,"name":"Denver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4"/>
        <v>start /low /b %USERPROFILE%\Documents\GitHub\eaglep3\Utilities\DownloadLogsFromS3.py --loco 4056 --day 2017-06-13</v>
      </c>
      <c r="AN192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673</v>
      </c>
      <c r="B193" s="7">
        <v>4055</v>
      </c>
      <c r="C193" s="21" t="s">
        <v>204</v>
      </c>
      <c r="D193" s="21" t="s">
        <v>515</v>
      </c>
      <c r="E193" s="13">
        <v>42899.337141203701</v>
      </c>
      <c r="F193" s="13">
        <v>42899.340462962966</v>
      </c>
      <c r="G193" s="7">
        <v>1</v>
      </c>
      <c r="H193" s="21" t="s">
        <v>948</v>
      </c>
      <c r="I193" s="13">
        <v>42899.350856481484</v>
      </c>
      <c r="J193" s="7">
        <v>0</v>
      </c>
      <c r="K193" s="92" t="str">
        <f t="shared" si="60"/>
        <v>4055/4056</v>
      </c>
      <c r="L193" s="21" t="str">
        <f>VLOOKUP(A193,'Trips&amp;Operators'!$C$1:$G$99999,5,FALSE)</f>
        <v>HELVIE ADAM</v>
      </c>
      <c r="M193" s="6">
        <f t="shared" si="61"/>
        <v>1.0393518517958E-2</v>
      </c>
      <c r="N193" s="7">
        <f t="shared" si="82"/>
        <v>14.96666666585952</v>
      </c>
      <c r="O193" s="7"/>
      <c r="P193" s="7"/>
      <c r="Q193" s="22"/>
      <c r="R193" s="173"/>
      <c r="S193" s="176">
        <f t="shared" si="83"/>
        <v>1</v>
      </c>
      <c r="T193" s="202" t="str">
        <f t="shared" si="62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63"/>
        <v>https://d0f6bd738d7f1b3e5a7ca70fe4ff75f0.us-east-1.aws.found.io/app/kibana#/discover/Steve-Slow-Train-Analysis-(2080s-and-2083s)?_g=(refreshInterval:(display:Off,pause:!f,section:0,value:0),time:(from:'2017-06-13T07:05:29-0600',mode:absolute,to:'2017-06-13T09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3" s="204" t="str">
        <f t="shared" si="64"/>
        <v>N</v>
      </c>
      <c r="X193" s="204">
        <f t="shared" si="81"/>
        <v>1</v>
      </c>
      <c r="Y193" s="204">
        <f t="shared" si="79"/>
        <v>5.8628</v>
      </c>
      <c r="Z193" s="204">
        <f t="shared" si="80"/>
        <v>7.8200000000000006E-2</v>
      </c>
      <c r="AA193" s="204">
        <f t="shared" si="67"/>
        <v>5.7846000000000002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8"/>
        <v>0810-13</v>
      </c>
      <c r="AE193" s="80" t="str">
        <f t="shared" si="69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193" s="77" t="str">
        <f t="shared" si="70"/>
        <v>"C:\Program Files (x86)\AstroGrep\AstroGrep.exe" /e /r /s /spath="%USERPROFILE%\AppData\Local\Temp\OnboardLogs" /stypes="app*4055*20170613*" /stext=" 14:.+((SYSTEM_STATE.+slice.+state.+changed )|(ment ac)|(multiple cpu faults)|(system.+state.+changed )|(\[timeout)|(PRM\|1\|D)|(kpr)|(kdp)|(train st.+moving)|(\|lc)|(penalty))"</v>
      </c>
      <c r="AG193" s="1" t="str">
        <f t="shared" si="71"/>
        <v>NW</v>
      </c>
      <c r="AH193" s="81" t="str">
        <f t="shared" si="72"/>
        <v>"%USERPROFILE%\Documents\GitHub\eaglep3\Utilities\RefineRTDCRunTimes.py" --tripid 810-13 --locoid 4055 --swversion DE.1.0.9.0 --startMP 300:58628 --initTime 2017-06-13T08:05:29 --startdatetime 2017-06-13T08:10:16 --delay 1 --endMP 204:782 --enddatetime 2017-06-13T08:25:14 --enforcementcount 0 &gt;&gt;C:\Users\stu\Documents\GitHub\eaglep3-reporting\EC\2017-06-13-refined-times.txt</v>
      </c>
      <c r="AI193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{"issue":{"subject":"","project_id":79,"tracker_id":40,"status_id":1,"priority_id":2,"assigned_to_id":23,"start_date":"2017-06-13","description":"","custom_fields":[{"id":1,"name":"Subdivision","value":"NW"},{"id":4,"name":"Milepost","value":"0.0782"},{"id":17,"name":"Train ID","value":"810-13"},{"id":16,"name":"Locomotive ID","value":"4055"},{"id":130,"name":"Impact","value":""},{"id":150,"name":"Time of Event (Mountain Time)","value":"08:25:14"},{"id":151,"name":"Denver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74"/>
        <v>start /low /b %USERPROFILE%\Documents\GitHub\eaglep3\Utilities\DownloadLogsFromS3.py --loco 4055 --day 2017-06-13</v>
      </c>
      <c r="AN193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598</v>
      </c>
      <c r="B194" s="7">
        <v>4024</v>
      </c>
      <c r="C194" s="21" t="s">
        <v>204</v>
      </c>
      <c r="D194" s="21" t="s">
        <v>581</v>
      </c>
      <c r="E194" s="13">
        <v>42899.33085648148</v>
      </c>
      <c r="F194" s="13">
        <v>42899.348067129627</v>
      </c>
      <c r="G194" s="7">
        <v>1</v>
      </c>
      <c r="H194" s="21" t="s">
        <v>949</v>
      </c>
      <c r="I194" s="13">
        <v>42899.357604166667</v>
      </c>
      <c r="J194" s="7">
        <v>0</v>
      </c>
      <c r="K194" s="92" t="str">
        <f t="shared" si="60"/>
        <v>4023/4024</v>
      </c>
      <c r="L194" s="21" t="str">
        <f>VLOOKUP(A194,'Trips&amp;Operators'!$C$1:$G$99999,5,FALSE)</f>
        <v>SANTIZO D. EDY</v>
      </c>
      <c r="M194" s="6">
        <f t="shared" si="61"/>
        <v>9.5370370399905369E-3</v>
      </c>
      <c r="N194" s="7">
        <f t="shared" si="82"/>
        <v>13.733333337586373</v>
      </c>
      <c r="O194" s="7"/>
      <c r="P194" s="7"/>
      <c r="Q194" s="22"/>
      <c r="R194" s="173"/>
      <c r="S194" s="176">
        <f t="shared" si="83"/>
        <v>1</v>
      </c>
      <c r="T194" s="202" t="str">
        <f t="shared" si="62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63"/>
        <v>https://d0f6bd738d7f1b3e5a7ca70fe4ff75f0.us-east-1.aws.found.io/app/kibana#/discover/Steve-Slow-Train-Analysis-(2080s-and-2083s)?_g=(refreshInterval:(display:Off,pause:!f,section:0,value:0),time:(from:'2017-06-13T06:56:26-0600',mode:absolute,to:'2017-06-13T09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4" s="204" t="str">
        <f t="shared" si="64"/>
        <v>N</v>
      </c>
      <c r="X194" s="204">
        <f t="shared" si="81"/>
        <v>1</v>
      </c>
      <c r="Y194" s="204">
        <f t="shared" si="79"/>
        <v>0.1023</v>
      </c>
      <c r="Z194" s="204">
        <f t="shared" si="80"/>
        <v>5.8963000000000001</v>
      </c>
      <c r="AA194" s="204">
        <f t="shared" si="67"/>
        <v>5.7940000000000005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8"/>
        <v>0811-13</v>
      </c>
      <c r="AE194" s="80" t="str">
        <f t="shared" si="69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194" s="77" t="str">
        <f t="shared" si="70"/>
        <v>"C:\Program Files (x86)\AstroGrep\AstroGrep.exe" /e /r /s /spath="%USERPROFILE%\AppData\Local\Temp\OnboardLogs" /stypes="app*4024*20170613*" /stext=" 14:.+((SYSTEM_STATE.+slice.+state.+changed )|(ment ac)|(multiple cpu faults)|(system.+state.+changed )|(\[timeout)|(PRM\|1\|D)|(kpr)|(kdp)|(train st.+moving)|(\|lc)|(penalty))"</v>
      </c>
      <c r="AG194" s="1" t="str">
        <f t="shared" si="71"/>
        <v>NW</v>
      </c>
      <c r="AH194" s="81" t="str">
        <f t="shared" si="72"/>
        <v>"%USERPROFILE%\Documents\GitHub\eaglep3\Utilities\RefineRTDCRunTimes.py" --tripid 811-13 --locoid 4024 --swversion DE.1.0.9.0 --startMP 204:1023 --initTime 2017-06-13T07:56:26 --startdatetime 2017-06-13T08:21:13 --delay 1 --endMP 300:58963 --enddatetime 2017-06-13T08:34:57 --enforcementcount 0 &gt;&gt;C:\Users\stu\Documents\GitHub\eaglep3-reporting\EC\2017-06-13-refined-times.txt</v>
      </c>
      <c r="AI194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{"issue":{"subject":"","project_id":79,"tracker_id":40,"status_id":1,"priority_id":2,"assigned_to_id":23,"start_date":"2017-06-13","description":"","custom_fields":[{"id":1,"name":"Subdivision","value":"NW"},{"id":4,"name":"Milepost","value":"5.8963"},{"id":17,"name":"Train ID","value":"811-13"},{"id":16,"name":"Locomotive ID","value":"4024"},{"id":130,"name":"Impact","value":""},{"id":150,"name":"Time of Event (Mountain Time)","value":"08:34:57"},{"id":151,"name":"Denver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74"/>
        <v>start /low /b %USERPROFILE%\Documents\GitHub\eaglep3\Utilities\DownloadLogsFromS3.py --loco 4024 --day 2017-06-13</v>
      </c>
      <c r="AN194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680</v>
      </c>
      <c r="B195" s="7">
        <v>4023</v>
      </c>
      <c r="C195" s="21" t="s">
        <v>204</v>
      </c>
      <c r="D195" s="21" t="s">
        <v>502</v>
      </c>
      <c r="E195" s="13">
        <v>42899.358275462961</v>
      </c>
      <c r="F195" s="13">
        <v>42899.359363425923</v>
      </c>
      <c r="G195" s="7">
        <v>0</v>
      </c>
      <c r="H195" s="21" t="s">
        <v>950</v>
      </c>
      <c r="I195" s="13">
        <v>42899.371574074074</v>
      </c>
      <c r="J195" s="7">
        <v>0</v>
      </c>
      <c r="K195" s="92" t="str">
        <f t="shared" si="60"/>
        <v>4023/4024</v>
      </c>
      <c r="L195" s="21" t="str">
        <f>VLOOKUP(A195,'Trips&amp;Operators'!$C$1:$G$99999,5,FALSE)</f>
        <v>SANTIZO D. EDY</v>
      </c>
      <c r="M195" s="6">
        <f t="shared" si="61"/>
        <v>1.2210648150357883E-2</v>
      </c>
      <c r="N195" s="7">
        <f t="shared" si="82"/>
        <v>17.583333336515352</v>
      </c>
      <c r="O195" s="7"/>
      <c r="P195" s="7"/>
      <c r="Q195" s="22"/>
      <c r="R195" s="173"/>
      <c r="S195" s="176">
        <f t="shared" si="83"/>
        <v>1</v>
      </c>
      <c r="T195" s="202" t="str">
        <f t="shared" si="62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63"/>
        <v>https://d0f6bd738d7f1b3e5a7ca70fe4ff75f0.us-east-1.aws.found.io/app/kibana#/discover/Steve-Slow-Train-Analysis-(2080s-and-2083s)?_g=(refreshInterval:(display:Off,pause:!f,section:0,value:0),time:(from:'2017-06-13T07:35:55-0600',mode:absolute,to:'2017-06-13T09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5" s="204" t="str">
        <f t="shared" si="64"/>
        <v>N</v>
      </c>
      <c r="X195" s="204">
        <f t="shared" si="81"/>
        <v>1</v>
      </c>
      <c r="Y195" s="204">
        <f t="shared" si="79"/>
        <v>5.8635999999999999</v>
      </c>
      <c r="Z195" s="204">
        <f t="shared" si="80"/>
        <v>7.5200000000000003E-2</v>
      </c>
      <c r="AA195" s="204">
        <f t="shared" si="67"/>
        <v>5.7884000000000002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8"/>
        <v>0812-13</v>
      </c>
      <c r="AE195" s="80" t="str">
        <f t="shared" si="69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195" s="77" t="str">
        <f t="shared" si="70"/>
        <v>"C:\Program Files (x86)\AstroGrep\AstroGrep.exe" /e /r /s /spath="%USERPROFILE%\AppData\Local\Temp\OnboardLogs" /stypes="app*4023*20170613*" /stext=" 14:.+((SYSTEM_STATE.+slice.+state.+changed )|(ment ac)|(multiple cpu faults)|(system.+state.+changed )|(\[timeout)|(PRM\|1\|D)|(kpr)|(kdp)|(train st.+moving)|(\|lc)|(penalty))"</v>
      </c>
      <c r="AG195" s="1" t="str">
        <f t="shared" si="71"/>
        <v>NW</v>
      </c>
      <c r="AH195" s="81" t="str">
        <f t="shared" si="72"/>
        <v>"%USERPROFILE%\Documents\GitHub\eaglep3\Utilities\RefineRTDCRunTimes.py" --tripid 812-13 --locoid 4023 --swversion DE.1.0.9.0 --startMP 300:58636 --initTime 2017-06-13T08:35:55 --startdatetime 2017-06-13T08:37:29 --delay 0 --endMP 204:752 --enddatetime 2017-06-13T08:55:04 --enforcementcount 0 &gt;&gt;C:\Users\stu\Documents\GitHub\eaglep3-reporting\EC\2017-06-13-refined-times.txt</v>
      </c>
      <c r="AI195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{"issue":{"subject":"","project_id":79,"tracker_id":40,"status_id":1,"priority_id":2,"assigned_to_id":23,"start_date":"2017-06-13","description":"","custom_fields":[{"id":1,"name":"Subdivision","value":"NW"},{"id":4,"name":"Milepost","value":"0.0752"},{"id":17,"name":"Train ID","value":"812-13"},{"id":16,"name":"Locomotive ID","value":"4023"},{"id":130,"name":"Impact","value":""},{"id":150,"name":"Time of Event (Mountain Time)","value":"08:55:04"},{"id":151,"name":"Denver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4"/>
        <v>start /low /b %USERPROFILE%\Documents\GitHub\eaglep3\Utilities\DownloadLogsFromS3.py --loco 4023 --day 2017-06-13</v>
      </c>
      <c r="AN195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683</v>
      </c>
      <c r="B196" s="7">
        <v>4024</v>
      </c>
      <c r="C196" s="21" t="s">
        <v>204</v>
      </c>
      <c r="D196" s="21" t="s">
        <v>951</v>
      </c>
      <c r="E196" s="13">
        <v>42899.372372685182</v>
      </c>
      <c r="F196" s="13">
        <v>42899.389733796299</v>
      </c>
      <c r="G196" s="7">
        <v>1</v>
      </c>
      <c r="H196" s="21" t="s">
        <v>516</v>
      </c>
      <c r="I196" s="13">
        <v>42899.399351851855</v>
      </c>
      <c r="J196" s="7">
        <v>0</v>
      </c>
      <c r="K196" s="92" t="str">
        <f t="shared" si="60"/>
        <v>4023/4024</v>
      </c>
      <c r="L196" s="21" t="str">
        <f>VLOOKUP(A196,'Trips&amp;Operators'!$C$1:$G$99999,5,FALSE)</f>
        <v>SANTIZO D. EDY</v>
      </c>
      <c r="M196" s="6">
        <f t="shared" si="61"/>
        <v>9.6180555556202307E-3</v>
      </c>
      <c r="N196" s="7">
        <f t="shared" si="82"/>
        <v>13.850000000093132</v>
      </c>
      <c r="O196" s="7"/>
      <c r="P196" s="7"/>
      <c r="Q196" s="22"/>
      <c r="R196" s="173"/>
      <c r="S196" s="176">
        <f t="shared" si="83"/>
        <v>1</v>
      </c>
      <c r="T196" s="202" t="str">
        <f t="shared" si="62"/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63"/>
        <v>https://d0f6bd738d7f1b3e5a7ca70fe4ff75f0.us-east-1.aws.found.io/app/kibana#/discover/Steve-Slow-Train-Analysis-(2080s-and-2083s)?_g=(refreshInterval:(display:Off,pause:!f,section:0,value:0),time:(from:'2017-06-13T07:56:13-0600',mode:absolute,to:'2017-06-13T10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6" s="204" t="str">
        <f t="shared" si="64"/>
        <v>N</v>
      </c>
      <c r="X196" s="204">
        <f t="shared" si="81"/>
        <v>1</v>
      </c>
      <c r="Y196" s="204">
        <f t="shared" si="79"/>
        <v>0.1009</v>
      </c>
      <c r="Z196" s="204">
        <f t="shared" si="80"/>
        <v>5.8956</v>
      </c>
      <c r="AA196" s="204">
        <f t="shared" si="67"/>
        <v>5.7946999999999997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8"/>
        <v>0813-13</v>
      </c>
      <c r="AE196" s="80" t="str">
        <f t="shared" si="69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196" s="77" t="str">
        <f t="shared" si="70"/>
        <v>"C:\Program Files (x86)\AstroGrep\AstroGrep.exe" /e /r /s /spath="%USERPROFILE%\AppData\Local\Temp\OnboardLogs" /stypes="app*4024*20170613*" /stext=" 15:.+((SYSTEM_STATE.+slice.+state.+changed )|(ment ac)|(multiple cpu faults)|(system.+state.+changed )|(\[timeout)|(PRM\|1\|D)|(kpr)|(kdp)|(train st.+moving)|(\|lc)|(penalty))"</v>
      </c>
      <c r="AG196" s="1" t="str">
        <f t="shared" si="71"/>
        <v>NW</v>
      </c>
      <c r="AH196" s="81" t="str">
        <f t="shared" si="72"/>
        <v>"%USERPROFILE%\Documents\GitHub\eaglep3\Utilities\RefineRTDCRunTimes.py" --tripid 813-13 --locoid 4024 --swversion DE.1.0.9.0 --startMP 204:1009 --initTime 2017-06-13T08:56:13 --startdatetime 2017-06-13T09:21:13 --delay 1 --endMP 300:58956 --enddatetime 2017-06-13T09:35:04 --enforcementcount 0 &gt;&gt;C:\Users\stu\Documents\GitHub\eaglep3-reporting\EC\2017-06-13-refined-times.txt</v>
      </c>
      <c r="AI196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{"issue":{"subject":"","project_id":79,"tracker_id":40,"status_id":1,"priority_id":2,"assigned_to_id":23,"start_date":"2017-06-13","description":"","custom_fields":[{"id":1,"name":"Subdivision","value":"NW"},{"id":4,"name":"Milepost","value":"5.8956"},{"id":17,"name":"Train ID","value":"813-13"},{"id":16,"name":"Locomotive ID","value":"4024"},{"id":130,"name":"Impact","value":""},{"id":150,"name":"Time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4"/>
        <v>start /low /b %USERPROFILE%\Documents\GitHub\eaglep3\Utilities\DownloadLogsFromS3.py --loco 4024 --day 2017-06-13</v>
      </c>
      <c r="AN196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688</v>
      </c>
      <c r="B197" s="7">
        <v>4023</v>
      </c>
      <c r="C197" s="21" t="s">
        <v>204</v>
      </c>
      <c r="D197" s="21" t="s">
        <v>952</v>
      </c>
      <c r="E197" s="13">
        <v>42899.400254629632</v>
      </c>
      <c r="F197" s="13">
        <v>42899.401504629626</v>
      </c>
      <c r="G197" s="7">
        <v>1</v>
      </c>
      <c r="H197" s="21" t="s">
        <v>953</v>
      </c>
      <c r="I197" s="13">
        <v>42899.412997685184</v>
      </c>
      <c r="J197" s="7">
        <v>0</v>
      </c>
      <c r="K197" s="92" t="str">
        <f t="shared" si="60"/>
        <v>4023/4024</v>
      </c>
      <c r="L197" s="21" t="str">
        <f>VLOOKUP(A197,'Trips&amp;Operators'!$C$1:$G$99999,5,FALSE)</f>
        <v>SANTIZO D. EDY</v>
      </c>
      <c r="M197" s="6">
        <f t="shared" si="61"/>
        <v>1.1493055557366461E-2</v>
      </c>
      <c r="N197" s="7">
        <f t="shared" si="82"/>
        <v>16.550000002607703</v>
      </c>
      <c r="O197" s="7"/>
      <c r="P197" s="7"/>
      <c r="Q197" s="22"/>
      <c r="R197" s="173"/>
      <c r="S197" s="176">
        <f t="shared" si="83"/>
        <v>1</v>
      </c>
      <c r="T197" s="202" t="str">
        <f t="shared" si="62"/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63"/>
        <v>https://d0f6bd738d7f1b3e5a7ca70fe4ff75f0.us-east-1.aws.found.io/app/kibana#/discover/Steve-Slow-Train-Analysis-(2080s-and-2083s)?_g=(refreshInterval:(display:Off,pause:!f,section:0,value:0),time:(from:'2017-06-13T08:36:22-0600',mode:absolute,to:'2017-06-13T10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7" s="204" t="str">
        <f t="shared" si="64"/>
        <v>N</v>
      </c>
      <c r="X197" s="204">
        <f t="shared" si="81"/>
        <v>1</v>
      </c>
      <c r="Y197" s="204">
        <f t="shared" si="79"/>
        <v>5.8644999999999996</v>
      </c>
      <c r="Z197" s="204">
        <f t="shared" si="80"/>
        <v>7.1300000000000002E-2</v>
      </c>
      <c r="AA197" s="204">
        <f t="shared" si="67"/>
        <v>5.7931999999999997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8"/>
        <v>0814-13</v>
      </c>
      <c r="AE197" s="80" t="str">
        <f t="shared" si="69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197" s="77" t="str">
        <f t="shared" si="70"/>
        <v>"C:\Program Files (x86)\AstroGrep\AstroGrep.exe" /e /r /s /spath="%USERPROFILE%\AppData\Local\Temp\OnboardLogs" /stypes="app*4023*20170613*" /stext=" 15:.+((SYSTEM_STATE.+slice.+state.+changed )|(ment ac)|(multiple cpu faults)|(system.+state.+changed )|(\[timeout)|(PRM\|1\|D)|(kpr)|(kdp)|(train st.+moving)|(\|lc)|(penalty))"</v>
      </c>
      <c r="AG197" s="1" t="str">
        <f t="shared" si="71"/>
        <v>NW</v>
      </c>
      <c r="AH197" s="81" t="str">
        <f t="shared" si="72"/>
        <v>"%USERPROFILE%\Documents\GitHub\eaglep3\Utilities\RefineRTDCRunTimes.py" --tripid 814-13 --locoid 4023 --swversion DE.1.0.9.0 --startMP 300:58645 --initTime 2017-06-13T09:36:22 --startdatetime 2017-06-13T09:38:10 --delay 1 --endMP 204:713 --enddatetime 2017-06-13T09:54:43 --enforcementcount 0 &gt;&gt;C:\Users\stu\Documents\GitHub\eaglep3-reporting\EC\2017-06-13-refined-times.txt</v>
      </c>
      <c r="AI197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{"issue":{"subject":"","project_id":79,"tracker_id":40,"status_id":1,"priority_id":2,"assigned_to_id":23,"start_date":"2017-06-13","description":"","custom_fields":[{"id":1,"name":"Subdivision","value":"NW"},{"id":4,"name":"Milepost","value":"0.0713"},{"id":17,"name":"Train ID","value":"814-13"},{"id":16,"name":"Locomotive ID","value":"4023"},{"id":130,"name":"Impact","value":""},{"id":150,"name":"Time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5" t="str">
        <f t="shared" si="74"/>
        <v>start /low /b %USERPROFILE%\Documents\GitHub\eaglep3\Utilities\DownloadLogsFromS3.py --loco 4023 --day 2017-06-13</v>
      </c>
      <c r="AN197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691</v>
      </c>
      <c r="B198" s="7">
        <v>4024</v>
      </c>
      <c r="C198" s="21" t="s">
        <v>204</v>
      </c>
      <c r="D198" s="21" t="s">
        <v>954</v>
      </c>
      <c r="E198" s="13">
        <v>42899.413773148146</v>
      </c>
      <c r="F198" s="13">
        <v>42899.43141203704</v>
      </c>
      <c r="G198" s="7">
        <v>1</v>
      </c>
      <c r="H198" s="21" t="s">
        <v>520</v>
      </c>
      <c r="I198" s="13">
        <v>42899.440729166665</v>
      </c>
      <c r="J198" s="7">
        <v>0</v>
      </c>
      <c r="K198" s="92" t="str">
        <f t="shared" si="60"/>
        <v>4023/4024</v>
      </c>
      <c r="L198" s="21" t="str">
        <f>VLOOKUP(A198,'Trips&amp;Operators'!$C$1:$G$99999,5,FALSE)</f>
        <v>SANTIZO D. EDY</v>
      </c>
      <c r="M198" s="6">
        <f t="shared" si="61"/>
        <v>9.3171296248328872E-3</v>
      </c>
      <c r="N198" s="7">
        <f t="shared" si="82"/>
        <v>13.416666659759358</v>
      </c>
      <c r="O198" s="7"/>
      <c r="P198" s="7"/>
      <c r="Q198" s="22"/>
      <c r="R198" s="173"/>
      <c r="S198" s="176">
        <f t="shared" si="83"/>
        <v>1</v>
      </c>
      <c r="T198" s="202" t="str">
        <f t="shared" si="62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63"/>
        <v>https://d0f6bd738d7f1b3e5a7ca70fe4ff75f0.us-east-1.aws.found.io/app/kibana#/discover/Steve-Slow-Train-Analysis-(2080s-and-2083s)?_g=(refreshInterval:(display:Off,pause:!f,section:0,value:0),time:(from:'2017-06-13T08:55:50-0600',mode:absolute,to:'2017-06-13T11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8" s="204" t="str">
        <f t="shared" si="64"/>
        <v>N</v>
      </c>
      <c r="X198" s="204">
        <f t="shared" si="81"/>
        <v>1</v>
      </c>
      <c r="Y198" s="204">
        <f t="shared" si="79"/>
        <v>0.1007</v>
      </c>
      <c r="Z198" s="204">
        <f t="shared" si="80"/>
        <v>5.8975999999999997</v>
      </c>
      <c r="AA198" s="204">
        <f t="shared" si="67"/>
        <v>5.7968999999999999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8"/>
        <v>0815-13</v>
      </c>
      <c r="AE198" s="80" t="str">
        <f t="shared" si="69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198" s="77" t="str">
        <f t="shared" si="70"/>
        <v>"C:\Program Files (x86)\AstroGrep\AstroGrep.exe" /e /r /s /spath="%USERPROFILE%\AppData\Local\Temp\OnboardLogs" /stypes="app*4024*20170613*" /stext=" 16:.+((SYSTEM_STATE.+slice.+state.+changed )|(ment ac)|(multiple cpu faults)|(system.+state.+changed )|(\[timeout)|(PRM\|1\|D)|(kpr)|(kdp)|(train st.+moving)|(\|lc)|(penalty))"</v>
      </c>
      <c r="AG198" s="1" t="str">
        <f t="shared" si="71"/>
        <v>NW</v>
      </c>
      <c r="AH198" s="81" t="str">
        <f t="shared" si="72"/>
        <v>"%USERPROFILE%\Documents\GitHub\eaglep3\Utilities\RefineRTDCRunTimes.py" --tripid 815-13 --locoid 4024 --swversion DE.1.0.9.0 --startMP 204:1007 --initTime 2017-06-13T09:55:50 --startdatetime 2017-06-13T10:21:14 --delay 1 --endMP 300:58976 --enddatetime 2017-06-13T10:34:39 --enforcementcount 0 &gt;&gt;C:\Users\stu\Documents\GitHub\eaglep3-reporting\EC\2017-06-13-refined-times.txt</v>
      </c>
      <c r="AI198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{"issue":{"subject":"","project_id":79,"tracker_id":40,"status_id":1,"priority_id":2,"assigned_to_id":23,"start_date":"2017-06-13","description":"","custom_fields":[{"id":1,"name":"Subdivision","value":"NW"},{"id":4,"name":"Milepost","value":"5.8976"},{"id":17,"name":"Train ID","value":"815-13"},{"id":16,"name":"Locomotive ID","value":"4024"},{"id":130,"name":"Impact","value":""},{"id":150,"name":"Time of Event (Mountain Time)","value":"10:34:39"},{"id":151,"name":"Denver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4"/>
        <v>start /low /b %USERPROFILE%\Documents\GitHub\eaglep3\Utilities\DownloadLogsFromS3.py --loco 4024 --day 2017-06-13</v>
      </c>
      <c r="AN198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697</v>
      </c>
      <c r="B199" s="7">
        <v>4023</v>
      </c>
      <c r="C199" s="21" t="s">
        <v>204</v>
      </c>
      <c r="D199" s="21" t="s">
        <v>955</v>
      </c>
      <c r="E199" s="13">
        <v>42899.441446759258</v>
      </c>
      <c r="F199" s="13">
        <v>42899.443240740744</v>
      </c>
      <c r="G199" s="7">
        <v>1</v>
      </c>
      <c r="H199" s="21" t="s">
        <v>942</v>
      </c>
      <c r="I199" s="13">
        <v>42899.456030092595</v>
      </c>
      <c r="J199" s="7">
        <v>0</v>
      </c>
      <c r="K199" s="92" t="str">
        <f t="shared" si="60"/>
        <v>4023/4024</v>
      </c>
      <c r="L199" s="21" t="str">
        <f>VLOOKUP(A199,'Trips&amp;Operators'!$C$1:$G$99999,5,FALSE)</f>
        <v>SANTIZO D. EDY</v>
      </c>
      <c r="M199" s="6">
        <f t="shared" si="61"/>
        <v>1.2789351851097308E-2</v>
      </c>
      <c r="N199" s="7">
        <f t="shared" si="82"/>
        <v>18.416666665580124</v>
      </c>
      <c r="O199" s="7"/>
      <c r="P199" s="7"/>
      <c r="Q199" s="22"/>
      <c r="R199" s="173"/>
      <c r="S199" s="176">
        <f t="shared" si="83"/>
        <v>1</v>
      </c>
      <c r="T199" s="202" t="str">
        <f t="shared" si="62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63"/>
        <v>https://d0f6bd738d7f1b3e5a7ca70fe4ff75f0.us-east-1.aws.found.io/app/kibana#/discover/Steve-Slow-Train-Analysis-(2080s-and-2083s)?_g=(refreshInterval:(display:Off,pause:!f,section:0,value:0),time:(from:'2017-06-13T09:35:41-0600',mode:absolute,to:'2017-06-13T11:56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9" s="204" t="str">
        <f t="shared" si="64"/>
        <v>N</v>
      </c>
      <c r="X199" s="204">
        <f t="shared" si="81"/>
        <v>1</v>
      </c>
      <c r="Y199" s="204">
        <f t="shared" si="79"/>
        <v>5.8655999999999997</v>
      </c>
      <c r="Z199" s="204">
        <f t="shared" si="80"/>
        <v>7.3599999999999999E-2</v>
      </c>
      <c r="AA199" s="204">
        <f t="shared" si="67"/>
        <v>5.7919999999999998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8"/>
        <v>0816-13</v>
      </c>
      <c r="AE199" s="80" t="str">
        <f t="shared" si="69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199" s="77" t="str">
        <f t="shared" si="70"/>
        <v>"C:\Program Files (x86)\AstroGrep\AstroGrep.exe" /e /r /s /spath="%USERPROFILE%\AppData\Local\Temp\OnboardLogs" /stypes="app*4023*20170613*" /stext=" 16:.+((SYSTEM_STATE.+slice.+state.+changed )|(ment ac)|(multiple cpu faults)|(system.+state.+changed )|(\[timeout)|(PRM\|1\|D)|(kpr)|(kdp)|(train st.+moving)|(\|lc)|(penalty))"</v>
      </c>
      <c r="AG199" s="1" t="str">
        <f t="shared" si="71"/>
        <v>NW</v>
      </c>
      <c r="AH199" s="81" t="str">
        <f t="shared" si="72"/>
        <v>"%USERPROFILE%\Documents\GitHub\eaglep3\Utilities\RefineRTDCRunTimes.py" --tripid 816-13 --locoid 4023 --swversion DE.1.0.9.0 --startMP 300:58656 --initTime 2017-06-13T10:35:41 --startdatetime 2017-06-13T10:38:16 --delay 1 --endMP 204:736 --enddatetime 2017-06-13T10:56:41 --enforcementcount 0 &gt;&gt;C:\Users\stu\Documents\GitHub\eaglep3-reporting\EC\2017-06-13-refined-times.txt</v>
      </c>
      <c r="AI199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{"issue":{"subject":"","project_id":79,"tracker_id":40,"status_id":1,"priority_id":2,"assigned_to_id":23,"start_date":"2017-06-13","description":"","custom_fields":[{"id":1,"name":"Subdivision","value":"NW"},{"id":4,"name":"Milepost","value":"0.0736"},{"id":17,"name":"Train ID","value":"816-13"},{"id":16,"name":"Locomotive ID","value":"4023"},{"id":130,"name":"Impact","value":""},{"id":150,"name":"Time of Event (Mountain Time)","value":"10:56:41"},{"id":151,"name":"Denver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74"/>
        <v>start /low /b %USERPROFILE%\Documents\GitHub\eaglep3\Utilities\DownloadLogsFromS3.py --loco 4023 --day 2017-06-13</v>
      </c>
      <c r="AN199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16:56:41"},{"id":29,"name":"Sharepoint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700</v>
      </c>
      <c r="B200" s="7">
        <v>4024</v>
      </c>
      <c r="C200" s="21" t="s">
        <v>204</v>
      </c>
      <c r="D200" s="21" t="s">
        <v>956</v>
      </c>
      <c r="E200" s="13">
        <v>42899.456944444442</v>
      </c>
      <c r="F200" s="13">
        <v>42899.473067129627</v>
      </c>
      <c r="G200" s="7">
        <v>0</v>
      </c>
      <c r="H200" s="21" t="s">
        <v>585</v>
      </c>
      <c r="I200" s="13">
        <v>42899.482199074075</v>
      </c>
      <c r="J200" s="7">
        <v>0</v>
      </c>
      <c r="K200" s="92" t="str">
        <f t="shared" si="60"/>
        <v>4023/4024</v>
      </c>
      <c r="L200" s="21" t="str">
        <f>VLOOKUP(A200,'Trips&amp;Operators'!$C$1:$G$99999,5,FALSE)</f>
        <v>SANTIZO D. EDY</v>
      </c>
      <c r="M200" s="6">
        <f t="shared" si="61"/>
        <v>9.1319444472901523E-3</v>
      </c>
      <c r="N200" s="7">
        <f t="shared" si="82"/>
        <v>13.150000004097819</v>
      </c>
      <c r="O200" s="7"/>
      <c r="P200" s="7"/>
      <c r="Q200" s="22"/>
      <c r="R200" s="173"/>
      <c r="S200" s="176">
        <f t="shared" si="83"/>
        <v>1</v>
      </c>
      <c r="T200" s="202" t="str">
        <f t="shared" si="62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63"/>
        <v>https://d0f6bd738d7f1b3e5a7ca70fe4ff75f0.us-east-1.aws.found.io/app/kibana#/discover/Steve-Slow-Train-Analysis-(2080s-and-2083s)?_g=(refreshInterval:(display:Off,pause:!f,section:0,value:0),time:(from:'2017-06-13T09:58:00-0600',mode:absolute,to:'2017-06-13T12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0" s="204" t="str">
        <f t="shared" si="64"/>
        <v>N</v>
      </c>
      <c r="X200" s="204">
        <f t="shared" si="81"/>
        <v>1</v>
      </c>
      <c r="Y200" s="204">
        <f t="shared" si="79"/>
        <v>0.1018</v>
      </c>
      <c r="Z200" s="204">
        <f t="shared" si="80"/>
        <v>5.8952</v>
      </c>
      <c r="AA200" s="204">
        <f t="shared" si="67"/>
        <v>5.7934000000000001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8"/>
        <v>0817-13</v>
      </c>
      <c r="AE200" s="80" t="str">
        <f t="shared" si="69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00" s="77" t="str">
        <f t="shared" si="70"/>
        <v>"C:\Program Files (x86)\AstroGrep\AstroGrep.exe" /e /r /s /spath="%USERPROFILE%\AppData\Local\Temp\OnboardLogs" /stypes="app*4024*20170613*" /stext=" 17:.+((SYSTEM_STATE.+slice.+state.+changed )|(ment ac)|(multiple cpu faults)|(system.+state.+changed )|(\[timeout)|(PRM\|1\|D)|(kpr)|(kdp)|(train st.+moving)|(\|lc)|(penalty))"</v>
      </c>
      <c r="AG200" s="1" t="str">
        <f t="shared" si="71"/>
        <v>NW</v>
      </c>
      <c r="AH200" s="81" t="str">
        <f t="shared" si="72"/>
        <v>"%USERPROFILE%\Documents\GitHub\eaglep3\Utilities\RefineRTDCRunTimes.py" --tripid 817-13 --locoid 4024 --swversion DE.1.0.9.0 --startMP 204:1018 --initTime 2017-06-13T10:58:00 --startdatetime 2017-06-13T11:21:13 --delay 0 --endMP 300:58952 --enddatetime 2017-06-13T11:34:22 --enforcementcount 0 &gt;&gt;C:\Users\stu\Documents\GitHub\eaglep3-reporting\EC\2017-06-13-refined-times.txt</v>
      </c>
      <c r="AI200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{"issue":{"subject":"","project_id":79,"tracker_id":40,"status_id":1,"priority_id":2,"assigned_to_id":23,"start_date":"2017-06-13","description":"","custom_fields":[{"id":1,"name":"Subdivision","value":"NW"},{"id":4,"name":"Milepost","value":"5.8952"},{"id":17,"name":"Train ID","value":"817-13"},{"id":16,"name":"Locomotive ID","value":"4024"},{"id":130,"name":"Impact","value":""},{"id":150,"name":"Time of Event (Mountain Time)","value":"11:34:22"},{"id":151,"name":"Denver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4"/>
        <v>start /low /b %USERPROFILE%\Documents\GitHub\eaglep3\Utilities\DownloadLogsFromS3.py --loco 4024 --day 2017-06-13</v>
      </c>
      <c r="AN200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707</v>
      </c>
      <c r="B201" s="7">
        <v>4023</v>
      </c>
      <c r="C201" s="21" t="s">
        <v>204</v>
      </c>
      <c r="D201" s="21" t="s">
        <v>483</v>
      </c>
      <c r="E201" s="13">
        <v>42899.483194444445</v>
      </c>
      <c r="F201" s="13">
        <v>42899.484363425923</v>
      </c>
      <c r="G201" s="7">
        <v>1</v>
      </c>
      <c r="H201" s="21" t="s">
        <v>957</v>
      </c>
      <c r="I201" s="13">
        <v>42899.496261574073</v>
      </c>
      <c r="J201" s="7">
        <v>0</v>
      </c>
      <c r="K201" s="92" t="str">
        <f t="shared" si="60"/>
        <v>4023/4024</v>
      </c>
      <c r="L201" s="21" t="str">
        <f>VLOOKUP(A201,'Trips&amp;Operators'!$C$1:$G$99999,5,FALSE)</f>
        <v>SANTIZO D. EDY</v>
      </c>
      <c r="M201" s="6">
        <f t="shared" si="61"/>
        <v>1.1898148150066845E-2</v>
      </c>
      <c r="N201" s="7">
        <f t="shared" si="82"/>
        <v>17.133333336096257</v>
      </c>
      <c r="O201" s="7"/>
      <c r="P201" s="7"/>
      <c r="Q201" s="22"/>
      <c r="R201" s="173"/>
      <c r="S201" s="176">
        <f t="shared" si="83"/>
        <v>1</v>
      </c>
      <c r="T201" s="202" t="str">
        <f t="shared" si="62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63"/>
        <v>https://d0f6bd738d7f1b3e5a7ca70fe4ff75f0.us-east-1.aws.found.io/app/kibana#/discover/Steve-Slow-Train-Analysis-(2080s-and-2083s)?_g=(refreshInterval:(display:Off,pause:!f,section:0,value:0),time:(from:'2017-06-13T10:35:48-0600',mode:absolute,to:'2017-06-13T12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1" s="204" t="str">
        <f t="shared" si="64"/>
        <v>N</v>
      </c>
      <c r="X201" s="204">
        <f t="shared" si="81"/>
        <v>1</v>
      </c>
      <c r="Y201" s="204">
        <f t="shared" si="79"/>
        <v>5.8632</v>
      </c>
      <c r="Z201" s="204">
        <f t="shared" si="80"/>
        <v>7.2900000000000006E-2</v>
      </c>
      <c r="AA201" s="204">
        <f t="shared" si="67"/>
        <v>5.7903000000000002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8"/>
        <v>0818-13</v>
      </c>
      <c r="AE201" s="80" t="str">
        <f t="shared" si="69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01" s="77" t="str">
        <f t="shared" si="70"/>
        <v>"C:\Program Files (x86)\AstroGrep\AstroGrep.exe" /e /r /s /spath="%USERPROFILE%\AppData\Local\Temp\OnboardLogs" /stypes="app*4023*20170613*" /stext=" 17:.+((SYSTEM_STATE.+slice.+state.+changed )|(ment ac)|(multiple cpu faults)|(system.+state.+changed )|(\[timeout)|(PRM\|1\|D)|(kpr)|(kdp)|(train st.+moving)|(\|lc)|(penalty))"</v>
      </c>
      <c r="AG201" s="1" t="str">
        <f t="shared" si="71"/>
        <v>NW</v>
      </c>
      <c r="AH201" s="81" t="str">
        <f t="shared" si="72"/>
        <v>"%USERPROFILE%\Documents\GitHub\eaglep3\Utilities\RefineRTDCRunTimes.py" --tripid 818-13 --locoid 4023 --swversion DE.1.0.9.0 --startMP 300:58632 --initTime 2017-06-13T11:35:48 --startdatetime 2017-06-13T11:37:29 --delay 1 --endMP 204:729 --enddatetime 2017-06-13T11:54:37 --enforcementcount 0 &gt;&gt;C:\Users\stu\Documents\GitHub\eaglep3-reporting\EC\2017-06-13-refined-times.txt</v>
      </c>
      <c r="AI201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{"issue":{"subject":"","project_id":79,"tracker_id":40,"status_id":1,"priority_id":2,"assigned_to_id":23,"start_date":"2017-06-13","description":"","custom_fields":[{"id":1,"name":"Subdivision","value":"NW"},{"id":4,"name":"Milepost","value":"0.0729"},{"id":17,"name":"Train ID","value":"818-13"},{"id":16,"name":"Locomotive ID","value":"4023"},{"id":130,"name":"Impact","value":""},{"id":150,"name":"Time of Event (Mountain Time)","value":"11:54:37"},{"id":151,"name":"Denver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4"/>
        <v>start /low /b %USERPROFILE%\Documents\GitHub\eaglep3\Utilities\DownloadLogsFromS3.py --loco 4023 --day 2017-06-13</v>
      </c>
      <c r="AN201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713</v>
      </c>
      <c r="B202" s="7">
        <v>4024</v>
      </c>
      <c r="C202" s="21" t="s">
        <v>204</v>
      </c>
      <c r="D202" s="21" t="s">
        <v>958</v>
      </c>
      <c r="E202" s="13">
        <v>42899.497071759259</v>
      </c>
      <c r="F202" s="13">
        <v>42899.514733796299</v>
      </c>
      <c r="G202" s="7">
        <v>1</v>
      </c>
      <c r="H202" s="21" t="s">
        <v>959</v>
      </c>
      <c r="I202" s="13">
        <v>42899.523854166669</v>
      </c>
      <c r="J202" s="7">
        <v>0</v>
      </c>
      <c r="K202" s="92" t="str">
        <f t="shared" si="60"/>
        <v>4023/4024</v>
      </c>
      <c r="L202" s="21" t="str">
        <f>VLOOKUP(A202,'Trips&amp;Operators'!$C$1:$G$99999,5,FALSE)</f>
        <v>SANTIZO D. EDY</v>
      </c>
      <c r="M202" s="6">
        <f t="shared" si="61"/>
        <v>9.1203703705104999E-3</v>
      </c>
      <c r="N202" s="7">
        <f t="shared" si="82"/>
        <v>13.13333333353512</v>
      </c>
      <c r="O202" s="7"/>
      <c r="P202" s="7"/>
      <c r="Q202" s="22"/>
      <c r="R202" s="173"/>
      <c r="S202" s="176">
        <f t="shared" si="83"/>
        <v>1</v>
      </c>
      <c r="T202" s="202" t="str">
        <f t="shared" si="62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63"/>
        <v>https://d0f6bd738d7f1b3e5a7ca70fe4ff75f0.us-east-1.aws.found.io/app/kibana#/discover/Steve-Slow-Train-Analysis-(2080s-and-2083s)?_g=(refreshInterval:(display:Off,pause:!f,section:0,value:0),time:(from:'2017-06-13T10:55:47-0600',mode:absolute,to:'2017-06-13T13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2" s="204" t="str">
        <f t="shared" si="64"/>
        <v>N</v>
      </c>
      <c r="X202" s="204">
        <f t="shared" si="81"/>
        <v>1</v>
      </c>
      <c r="Y202" s="204">
        <f t="shared" si="79"/>
        <v>0.1013</v>
      </c>
      <c r="Z202" s="204">
        <f t="shared" si="80"/>
        <v>5.8958000000000004</v>
      </c>
      <c r="AA202" s="204">
        <f t="shared" si="67"/>
        <v>5.7945000000000002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8"/>
        <v>0819-13</v>
      </c>
      <c r="AE202" s="80" t="str">
        <f t="shared" si="69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02" s="77" t="str">
        <f t="shared" si="70"/>
        <v>"C:\Program Files (x86)\AstroGrep\AstroGrep.exe" /e /r /s /spath="%USERPROFILE%\AppData\Local\Temp\OnboardLogs" /stypes="app*4024*20170613*" /stext=" 18:.+((SYSTEM_STATE.+slice.+state.+changed )|(ment ac)|(multiple cpu faults)|(system.+state.+changed )|(\[timeout)|(PRM\|1\|D)|(kpr)|(kdp)|(train st.+moving)|(\|lc)|(penalty))"</v>
      </c>
      <c r="AG202" s="1" t="str">
        <f t="shared" si="71"/>
        <v>NW</v>
      </c>
      <c r="AH202" s="81" t="str">
        <f t="shared" si="72"/>
        <v>"%USERPROFILE%\Documents\GitHub\eaglep3\Utilities\RefineRTDCRunTimes.py" --tripid 819-13 --locoid 4024 --swversion DE.1.0.9.0 --startMP 204:1013 --initTime 2017-06-13T11:55:47 --startdatetime 2017-06-13T12:21:13 --delay 1 --endMP 300:58958 --enddatetime 2017-06-13T12:34:21 --enforcementcount 0 &gt;&gt;C:\Users\stu\Documents\GitHub\eaglep3-reporting\EC\2017-06-13-refined-times.txt</v>
      </c>
      <c r="AI202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{"issue":{"subject":"","project_id":79,"tracker_id":40,"status_id":1,"priority_id":2,"assigned_to_id":23,"start_date":"2017-06-13","description":"","custom_fields":[{"id":1,"name":"Subdivision","value":"NW"},{"id":4,"name":"Milepost","value":"5.8958"},{"id":17,"name":"Train ID","value":"819-13"},{"id":16,"name":"Locomotive ID","value":"4024"},{"id":130,"name":"Impact","value":""},{"id":150,"name":"Time of Event (Mountain Time)","value":"12:34:21"},{"id":151,"name":"Denver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4"/>
        <v>start /low /b %USERPROFILE%\Documents\GitHub\eaglep3\Utilities\DownloadLogsFromS3.py --loco 4024 --day 2017-06-13</v>
      </c>
      <c r="AN202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719</v>
      </c>
      <c r="B203" s="7">
        <v>4023</v>
      </c>
      <c r="C203" s="21" t="s">
        <v>204</v>
      </c>
      <c r="D203" s="21" t="s">
        <v>960</v>
      </c>
      <c r="E203" s="13">
        <v>42899.524618055555</v>
      </c>
      <c r="F203" s="13">
        <v>42899.525902777779</v>
      </c>
      <c r="G203" s="7">
        <v>1</v>
      </c>
      <c r="H203" s="21" t="s">
        <v>961</v>
      </c>
      <c r="I203" s="13">
        <v>42899.538159722222</v>
      </c>
      <c r="J203" s="7">
        <v>0</v>
      </c>
      <c r="K203" s="92" t="str">
        <f t="shared" si="60"/>
        <v>4023/4024</v>
      </c>
      <c r="L203" s="21" t="str">
        <f>VLOOKUP(A203,'Trips&amp;Operators'!$C$1:$G$99999,5,FALSE)</f>
        <v>SANTIZO D. EDY</v>
      </c>
      <c r="M203" s="6">
        <f t="shared" si="61"/>
        <v>1.2256944442924578E-2</v>
      </c>
      <c r="N203" s="7">
        <f t="shared" si="82"/>
        <v>17.649999997811392</v>
      </c>
      <c r="O203" s="7"/>
      <c r="P203" s="7"/>
      <c r="Q203" s="22"/>
      <c r="R203" s="173"/>
      <c r="S203" s="176">
        <f t="shared" si="83"/>
        <v>1</v>
      </c>
      <c r="T203" s="202" t="str">
        <f t="shared" si="62"/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63"/>
        <v>https://d0f6bd738d7f1b3e5a7ca70fe4ff75f0.us-east-1.aws.found.io/app/kibana#/discover/Steve-Slow-Train-Analysis-(2080s-and-2083s)?_g=(refreshInterval:(display:Off,pause:!f,section:0,value:0),time:(from:'2017-06-13T11:35:27-0600',mode:absolute,to:'2017-06-13T13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3" s="204" t="str">
        <f t="shared" si="64"/>
        <v>N</v>
      </c>
      <c r="X203" s="204">
        <f t="shared" si="81"/>
        <v>1</v>
      </c>
      <c r="Y203" s="204">
        <f t="shared" si="79"/>
        <v>5.8640999999999996</v>
      </c>
      <c r="Z203" s="204">
        <f t="shared" si="80"/>
        <v>7.1900000000000006E-2</v>
      </c>
      <c r="AA203" s="204">
        <f t="shared" si="67"/>
        <v>5.7921999999999993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8"/>
        <v>0820-13</v>
      </c>
      <c r="AE203" s="80" t="str">
        <f t="shared" si="69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03" s="77" t="str">
        <f t="shared" si="70"/>
        <v>"C:\Program Files (x86)\AstroGrep\AstroGrep.exe" /e /r /s /spath="%USERPROFILE%\AppData\Local\Temp\OnboardLogs" /stypes="app*4023*20170613*" /stext=" 18:.+((SYSTEM_STATE.+slice.+state.+changed )|(ment ac)|(multiple cpu faults)|(system.+state.+changed )|(\[timeout)|(PRM\|1\|D)|(kpr)|(kdp)|(train st.+moving)|(\|lc)|(penalty))"</v>
      </c>
      <c r="AG203" s="1" t="str">
        <f t="shared" si="71"/>
        <v>NW</v>
      </c>
      <c r="AH203" s="81" t="str">
        <f t="shared" si="72"/>
        <v>"%USERPROFILE%\Documents\GitHub\eaglep3\Utilities\RefineRTDCRunTimes.py" --tripid 820-13 --locoid 4023 --swversion DE.1.0.9.0 --startMP 300:58641 --initTime 2017-06-13T12:35:27 --startdatetime 2017-06-13T12:37:18 --delay 1 --endMP 204:719 --enddatetime 2017-06-13T12:54:57 --enforcementcount 0 &gt;&gt;C:\Users\stu\Documents\GitHub\eaglep3-reporting\EC\2017-06-13-refined-times.txt</v>
      </c>
      <c r="AI203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{"issue":{"subject":"","project_id":79,"tracker_id":40,"status_id":1,"priority_id":2,"assigned_to_id":23,"start_date":"2017-06-13","description":"","custom_fields":[{"id":1,"name":"Subdivision","value":"NW"},{"id":4,"name":"Milepost","value":"0.0719"},{"id":17,"name":"Train ID","value":"820-13"},{"id":16,"name":"Locomotive ID","value":"4023"},{"id":130,"name":"Impact","value":""},{"id":150,"name":"Time of Event (Mountain Time)","value":"12:54:57"},{"id":151,"name":"Denver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74"/>
        <v>start /low /b %USERPROFILE%\Documents\GitHub\eaglep3\Utilities\DownloadLogsFromS3.py --loco 4023 --day 2017-06-13</v>
      </c>
      <c r="AN203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18:54:57"},{"id":29,"name":"Sharepoint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724</v>
      </c>
      <c r="B204" s="7">
        <v>4024</v>
      </c>
      <c r="C204" s="21" t="s">
        <v>204</v>
      </c>
      <c r="D204" s="21" t="s">
        <v>951</v>
      </c>
      <c r="E204" s="13">
        <v>42899.544212962966</v>
      </c>
      <c r="F204" s="13">
        <v>42899.556481481479</v>
      </c>
      <c r="G204" s="7">
        <v>2</v>
      </c>
      <c r="H204" s="21" t="s">
        <v>962</v>
      </c>
      <c r="I204" s="13">
        <v>42899.566053240742</v>
      </c>
      <c r="J204" s="7">
        <v>0</v>
      </c>
      <c r="K204" s="92" t="str">
        <f t="shared" si="60"/>
        <v>4023/4024</v>
      </c>
      <c r="L204" s="21" t="str">
        <f>VLOOKUP(A204,'Trips&amp;Operators'!$C$1:$G$99999,5,FALSE)</f>
        <v>BRUDER RICHARD</v>
      </c>
      <c r="M204" s="6">
        <f t="shared" si="61"/>
        <v>9.5717592630535364E-3</v>
      </c>
      <c r="N204" s="7">
        <f t="shared" si="82"/>
        <v>13.783333338797092</v>
      </c>
      <c r="O204" s="7"/>
      <c r="P204" s="7"/>
      <c r="Q204" s="22"/>
      <c r="R204" s="173"/>
      <c r="S204" s="176">
        <f t="shared" si="83"/>
        <v>1</v>
      </c>
      <c r="T204" s="202" t="str">
        <f t="shared" si="62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63"/>
        <v>https://d0f6bd738d7f1b3e5a7ca70fe4ff75f0.us-east-1.aws.found.io/app/kibana#/discover/Steve-Slow-Train-Analysis-(2080s-and-2083s)?_g=(refreshInterval:(display:Off,pause:!f,section:0,value:0),time:(from:'2017-06-13T12:03:40-0600',mode:absolute,to:'2017-06-13T14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4" s="204" t="str">
        <f t="shared" si="64"/>
        <v>N</v>
      </c>
      <c r="X204" s="204">
        <f t="shared" si="81"/>
        <v>1</v>
      </c>
      <c r="Y204" s="204">
        <f t="shared" si="79"/>
        <v>0.1009</v>
      </c>
      <c r="Z204" s="204">
        <f t="shared" si="80"/>
        <v>5.8940999999999999</v>
      </c>
      <c r="AA204" s="204">
        <f t="shared" si="67"/>
        <v>5.7931999999999997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8"/>
        <v>0821-13</v>
      </c>
      <c r="AE204" s="80" t="str">
        <f t="shared" si="69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04" s="77" t="str">
        <f t="shared" si="70"/>
        <v>"C:\Program Files (x86)\AstroGrep\AstroGrep.exe" /e /r /s /spath="%USERPROFILE%\AppData\Local\Temp\OnboardLogs" /stypes="app*4024*20170613*" /stext=" 19:.+((SYSTEM_STATE.+slice.+state.+changed )|(ment ac)|(multiple cpu faults)|(system.+state.+changed )|(\[timeout)|(PRM\|1\|D)|(kpr)|(kdp)|(train st.+moving)|(\|lc)|(penalty))"</v>
      </c>
      <c r="AG204" s="1" t="str">
        <f t="shared" si="71"/>
        <v>NW</v>
      </c>
      <c r="AH204" s="81" t="str">
        <f t="shared" si="72"/>
        <v>"%USERPROFILE%\Documents\GitHub\eaglep3\Utilities\RefineRTDCRunTimes.py" --tripid 821-13 --locoid 4024 --swversion DE.1.0.9.0 --startMP 204:1009 --initTime 2017-06-13T13:03:40 --startdatetime 2017-06-13T13:21:20 --delay 2 --endMP 300:58941 --enddatetime 2017-06-13T13:35:07 --enforcementcount 0 &gt;&gt;C:\Users\stu\Documents\GitHub\eaglep3-reporting\EC\2017-06-13-refined-times.txt</v>
      </c>
      <c r="AI204" s="99" t="str">
        <f t="shared" si="73"/>
        <v>echo {"issue":{"subject":"","project_id":79,"tracker_id":40,"status_id":1,"priority_id":2,"assigned_to_id":23,"start_date":"2017-06-13","description":"","custom_fields":[{"id":1,"name":"Subdivision","value":"NW"},{"id":4,"name":"Milepost","value":"5.8941"},{"id":17,"name":"Train ID","value":"821-13"},{"id":16,"name":"Locomotive ID","value":"4024"},{"id":130,"name":"Impact","value":""},{"id":150,"name":"Time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4"/>
        <v>start /low /b %USERPROFILE%\Documents\GitHub\eaglep3\Utilities\DownloadLogsFromS3.py --loco 4024 --day 2017-06-13</v>
      </c>
      <c r="AN204" s="154" t="str">
        <f t="shared" si="7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730</v>
      </c>
      <c r="B205" s="7">
        <v>4023</v>
      </c>
      <c r="C205" s="21" t="s">
        <v>204</v>
      </c>
      <c r="D205" s="21" t="s">
        <v>576</v>
      </c>
      <c r="E205" s="13">
        <v>42899.567337962966</v>
      </c>
      <c r="F205" s="13">
        <v>42899.570231481484</v>
      </c>
      <c r="G205" s="7">
        <v>2</v>
      </c>
      <c r="H205" s="21" t="s">
        <v>963</v>
      </c>
      <c r="I205" s="13">
        <v>42899.579930555556</v>
      </c>
      <c r="J205" s="7">
        <v>0</v>
      </c>
      <c r="K205" s="92" t="str">
        <f t="shared" ref="K205:K261" si="84">IF(ISEVEN(B205),(B205-1)&amp;"/"&amp;B205,B205&amp;"/"&amp;(B205+1))</f>
        <v>4023/4024</v>
      </c>
      <c r="L205" s="21" t="str">
        <f>VLOOKUP(A205,'Trips&amp;Operators'!$C$1:$G$99999,5,FALSE)</f>
        <v>BRUDER RICHARD</v>
      </c>
      <c r="M205" s="6">
        <f t="shared" ref="M205:M261" si="85">I205-F205</f>
        <v>9.6990740712499246E-3</v>
      </c>
      <c r="N205" s="7">
        <f t="shared" si="82"/>
        <v>13.966666662599891</v>
      </c>
      <c r="O205" s="7"/>
      <c r="P205" s="7"/>
      <c r="Q205" s="22"/>
      <c r="R205" s="173"/>
      <c r="S205" s="176">
        <f t="shared" si="83"/>
        <v>1</v>
      </c>
      <c r="T205" s="202" t="str">
        <f t="shared" ref="T205:T261" si="86">IF(ISEVEN(LEFT(AD205,4)),"Southbound","NorthBound")</f>
        <v>Southbound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61" si="8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-13T12:36:58-0600',mode:absolute,to:'2017-06-13T14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5" s="204" t="str">
        <f t="shared" ref="W205:W261" si="88">IF(AA205&lt;IF(AG205="EC",23,5.65),"Y","N")</f>
        <v>N</v>
      </c>
      <c r="X205" s="204">
        <f t="shared" si="81"/>
        <v>1</v>
      </c>
      <c r="Y205" s="204">
        <f t="shared" ref="Y205:Y220" si="89">RIGHT(D205,LEN(D205)-4)/10000</f>
        <v>5.8634000000000004</v>
      </c>
      <c r="Z205" s="204">
        <f t="shared" ref="Z205:Z220" si="90">RIGHT(H205,LEN(H205)-4)/10000</f>
        <v>7.6100000000000001E-2</v>
      </c>
      <c r="AA205" s="204">
        <f t="shared" ref="AA205:AA268" si="91">ABS(Z205-Y205)</f>
        <v>5.7873000000000001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1" si="92">IF(LEN(A205)=6,"0"&amp;A205,A205)</f>
        <v>0822-13</v>
      </c>
      <c r="AE205" s="80" t="str">
        <f t="shared" ref="AE205:AE261" si="9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05" s="77" t="str">
        <f t="shared" ref="AF205:AF261" si="9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/stypes="app*4023*20170613*" /stext=" 19:.+((SYSTEM_STATE.+slice.+state.+changed )|(ment ac)|(multiple cpu faults)|(system.+state.+changed )|(\[timeout)|(PRM\|1\|D)|(kpr)|(kdp)|(train st.+moving)|(\|lc)|(penalty))"</v>
      </c>
      <c r="AG205" s="1" t="str">
        <f t="shared" ref="AG205:AG261" si="95">IFERROR(IF(VALUE(LEFT(AD205,2))&lt;=2,"EC",IF(OR(VALUE(LEFT(AD205,2))=8,VALUE(LEFT(AD205,2))=18),"NW","Other")),"Other")</f>
        <v>NW</v>
      </c>
      <c r="AH205" s="81" t="str">
        <f t="shared" ref="AH205:AH261" si="9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822-13 --locoid 4023 --swversion DE.1.0.9.0 --startMP 300:58634 --initTime 2017-06-13T13:36:58 --startdatetime 2017-06-13T13:41:08 --delay 2 --endMP 204:761 --enddatetime 2017-06-13T13:55:06 --enforcementcount 0 &gt;&gt;C:\Users\stu\Documents\GitHub\eaglep3-reporting\EC\2017-06-13-refined-times.txt</v>
      </c>
      <c r="AI205" s="99" t="str">
        <f t="shared" ref="AI205:AI261" si="9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{"issue":{"subject":"","project_id":79,"tracker_id":40,"status_id":1,"priority_id":2,"assigned_to_id":23,"start_date":"2017-06-13","description":"","custom_fields":[{"id":1,"name":"Subdivision","value":"NW"},{"id":4,"name":"Milepost","value":"0.0761"},{"id":17,"name":"Train ID","value":"822-13"},{"id":16,"name":"Locomotive ID","value":"4023"},{"id":130,"name":"Impact","value":""},{"id":150,"name":"Time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61" si="98">"start /low /b "&amp;dls3logs&amp;" --loco "&amp;B205&amp;" --day "&amp;TEXT(F205,"YYYY-MM-DD")</f>
        <v>start /low /b %USERPROFILE%\Documents\GitHub\eaglep3\Utilities\DownloadLogsFromS3.py --loco 4023 --day 2017-06-13</v>
      </c>
      <c r="AN205" s="154" t="str">
        <f t="shared" ref="AN205:AN261" si="9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736</v>
      </c>
      <c r="B206" s="7">
        <v>4024</v>
      </c>
      <c r="C206" s="21" t="s">
        <v>204</v>
      </c>
      <c r="D206" s="21" t="s">
        <v>964</v>
      </c>
      <c r="E206" s="13">
        <v>42899.595335648148</v>
      </c>
      <c r="F206" s="13">
        <v>42899.598252314812</v>
      </c>
      <c r="G206" s="7">
        <v>1</v>
      </c>
      <c r="H206" s="21" t="s">
        <v>482</v>
      </c>
      <c r="I206" s="13">
        <v>42899.608148148145</v>
      </c>
      <c r="J206" s="7">
        <v>0</v>
      </c>
      <c r="K206" s="92" t="str">
        <f t="shared" si="84"/>
        <v>4023/4024</v>
      </c>
      <c r="L206" s="21" t="str">
        <f>VLOOKUP(A206,'Trips&amp;Operators'!$C$1:$G$99999,5,FALSE)</f>
        <v>BRUDER RICHARD</v>
      </c>
      <c r="M206" s="6">
        <f t="shared" si="85"/>
        <v>9.8958333328482695E-3</v>
      </c>
      <c r="N206" s="7">
        <f t="shared" si="82"/>
        <v>14.249999999301508</v>
      </c>
      <c r="O206" s="7"/>
      <c r="P206" s="7"/>
      <c r="Q206" s="22"/>
      <c r="R206" s="173"/>
      <c r="S206" s="176">
        <f t="shared" si="83"/>
        <v>1</v>
      </c>
      <c r="T206" s="202" t="str">
        <f t="shared" si="86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87"/>
        <v>https://d0f6bd738d7f1b3e5a7ca70fe4ff75f0.us-east-1.aws.found.io/app/kibana#/discover/Steve-Slow-Train-Analysis-(2080s-and-2083s)?_g=(refreshInterval:(display:Off,pause:!f,section:0,value:0),time:(from:'2017-06-13T13:17:17-0600',mode:absolute,to:'2017-06-13T15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204" t="str">
        <f t="shared" si="88"/>
        <v>N</v>
      </c>
      <c r="X206" s="204">
        <f t="shared" si="81"/>
        <v>1</v>
      </c>
      <c r="Y206" s="204">
        <f t="shared" si="89"/>
        <v>0.10249999999999999</v>
      </c>
      <c r="Z206" s="204">
        <f t="shared" si="90"/>
        <v>5.8949999999999996</v>
      </c>
      <c r="AA206" s="204">
        <f t="shared" si="91"/>
        <v>5.7924999999999995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2"/>
        <v>0823-13</v>
      </c>
      <c r="AE206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06" s="77" t="str">
        <f t="shared" si="94"/>
        <v>"C:\Program Files (x86)\AstroGrep\AstroGrep.exe" /e /r /s /spath="%USERPROFILE%\AppData\Local\Temp\OnboardLogs" /stypes="app*4024*20170613*" /stext=" 20:.+((SYSTEM_STATE.+slice.+state.+changed )|(ment ac)|(multiple cpu faults)|(system.+state.+changed )|(\[timeout)|(PRM\|1\|D)|(kpr)|(kdp)|(train st.+moving)|(\|lc)|(penalty))"</v>
      </c>
      <c r="AG206" s="1" t="str">
        <f t="shared" si="95"/>
        <v>NW</v>
      </c>
      <c r="AH206" s="81" t="str">
        <f t="shared" si="96"/>
        <v>"%USERPROFILE%\Documents\GitHub\eaglep3\Utilities\RefineRTDCRunTimes.py" --tripid 823-13 --locoid 4024 --swversion DE.1.0.9.0 --startMP 204:1025 --initTime 2017-06-13T14:17:17 --startdatetime 2017-06-13T14:21:29 --delay 1 --endMP 300:58950 --enddatetime 2017-06-13T14:35:44 --enforcementcount 0 &gt;&gt;C:\Users\stu\Documents\GitHub\eaglep3-reporting\EC\2017-06-13-refined-times.txt</v>
      </c>
      <c r="AI206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{"issue":{"subject":"","project_id":79,"tracker_id":40,"status_id":1,"priority_id":2,"assigned_to_id":23,"start_date":"2017-06-13","description":"","custom_fields":[{"id":1,"name":"Subdivision","value":"NW"},{"id":4,"name":"Milepost","value":"5.895"},{"id":17,"name":"Train ID","value":"823-13"},{"id":16,"name":"Locomotive ID","value":"4024"},{"id":130,"name":"Impact","value":""},{"id":150,"name":"Time of Event (Mountain Time)","value":"14:35:44"},{"id":151,"name":"Denver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98"/>
        <v>start /low /b %USERPROFILE%\Documents\GitHub\eaglep3\Utilities\DownloadLogsFromS3.py --loco 4024 --day 2017-06-13</v>
      </c>
      <c r="AN206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739</v>
      </c>
      <c r="B207" s="7">
        <v>4023</v>
      </c>
      <c r="C207" s="21" t="s">
        <v>204</v>
      </c>
      <c r="D207" s="21" t="s">
        <v>965</v>
      </c>
      <c r="E207" s="13">
        <v>42899.609432870369</v>
      </c>
      <c r="F207" s="13">
        <v>42899.611597222225</v>
      </c>
      <c r="G207" s="7">
        <v>1</v>
      </c>
      <c r="H207" s="21" t="s">
        <v>966</v>
      </c>
      <c r="I207" s="13">
        <v>42899.62158564815</v>
      </c>
      <c r="J207" s="7">
        <v>0</v>
      </c>
      <c r="K207" s="92" t="str">
        <f t="shared" si="84"/>
        <v>4023/4024</v>
      </c>
      <c r="L207" s="21" t="str">
        <f>VLOOKUP(A207,'Trips&amp;Operators'!$C$1:$G$99999,5,FALSE)</f>
        <v>BRUDER RICHARD</v>
      </c>
      <c r="M207" s="6">
        <f t="shared" si="85"/>
        <v>9.9884259252576157E-3</v>
      </c>
      <c r="N207" s="7">
        <f t="shared" si="82"/>
        <v>14.383333332370967</v>
      </c>
      <c r="O207" s="7"/>
      <c r="P207" s="7"/>
      <c r="Q207" s="22"/>
      <c r="R207" s="173"/>
      <c r="S207" s="176">
        <f t="shared" si="83"/>
        <v>1</v>
      </c>
      <c r="T207" s="202" t="str">
        <f t="shared" si="86"/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87"/>
        <v>https://d0f6bd738d7f1b3e5a7ca70fe4ff75f0.us-east-1.aws.found.io/app/kibana#/discover/Steve-Slow-Train-Analysis-(2080s-and-2083s)?_g=(refreshInterval:(display:Off,pause:!f,section:0,value:0),time:(from:'2017-06-13T13:37:35-0600',mode:absolute,to:'2017-06-13T15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7" s="204" t="str">
        <f t="shared" si="88"/>
        <v>N</v>
      </c>
      <c r="X207" s="204">
        <f t="shared" si="81"/>
        <v>1</v>
      </c>
      <c r="Y207" s="204">
        <f t="shared" si="89"/>
        <v>5.8630000000000004</v>
      </c>
      <c r="Z207" s="204">
        <f t="shared" si="90"/>
        <v>7.3800000000000004E-2</v>
      </c>
      <c r="AA207" s="204">
        <f t="shared" si="91"/>
        <v>5.7892000000000001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2"/>
        <v>0824-13</v>
      </c>
      <c r="AE207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07" s="77" t="str">
        <f t="shared" si="94"/>
        <v>"C:\Program Files (x86)\AstroGrep\AstroGrep.exe" /e /r /s /spath="%USERPROFILE%\AppData\Local\Temp\OnboardLogs" /stypes="app*4023*20170613*" /stext=" 20:.+((SYSTEM_STATE.+slice.+state.+changed )|(ment ac)|(multiple cpu faults)|(system.+state.+changed )|(\[timeout)|(PRM\|1\|D)|(kpr)|(kdp)|(train st.+moving)|(\|lc)|(penalty))"</v>
      </c>
      <c r="AG207" s="1" t="str">
        <f t="shared" si="95"/>
        <v>NW</v>
      </c>
      <c r="AH207" s="81" t="str">
        <f t="shared" si="96"/>
        <v>"%USERPROFILE%\Documents\GitHub\eaglep3\Utilities\RefineRTDCRunTimes.py" --tripid 824-13 --locoid 4023 --swversion DE.1.0.9.0 --startMP 300:58630 --initTime 2017-06-13T14:37:35 --startdatetime 2017-06-13T14:40:42 --delay 1 --endMP 204:738 --enddatetime 2017-06-13T14:55:05 --enforcementcount 0 &gt;&gt;C:\Users\stu\Documents\GitHub\eaglep3-reporting\EC\2017-06-13-refined-times.txt</v>
      </c>
      <c r="AI207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{"issue":{"subject":"","project_id":79,"tracker_id":40,"status_id":1,"priority_id":2,"assigned_to_id":23,"start_date":"2017-06-13","description":"","custom_fields":[{"id":1,"name":"Subdivision","value":"NW"},{"id":4,"name":"Milepost","value":"0.0738"},{"id":17,"name":"Train ID","value":"824-13"},{"id":16,"name":"Locomotive ID","value":"4023"},{"id":130,"name":"Impact","value":""},{"id":150,"name":"Time of Event (Mountain Time)","value":"14:55:05"},{"id":151,"name":"Denver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8"/>
        <v>start /low /b %USERPROFILE%\Documents\GitHub\eaglep3\Utilities\DownloadLogsFromS3.py --loco 4023 --day 2017-06-13</v>
      </c>
      <c r="AN207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20:55:05"},{"id":29,"name":"Sharepoint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745</v>
      </c>
      <c r="B208" s="7">
        <v>4024</v>
      </c>
      <c r="C208" s="21" t="s">
        <v>204</v>
      </c>
      <c r="D208" s="21" t="s">
        <v>519</v>
      </c>
      <c r="E208" s="13">
        <v>42899.63449074074</v>
      </c>
      <c r="F208" s="13">
        <v>42899.639768518522</v>
      </c>
      <c r="G208" s="7">
        <v>1</v>
      </c>
      <c r="H208" s="21" t="s">
        <v>514</v>
      </c>
      <c r="I208" s="13">
        <v>42899.64947916667</v>
      </c>
      <c r="J208" s="7">
        <v>0</v>
      </c>
      <c r="K208" s="92" t="str">
        <f t="shared" si="84"/>
        <v>4023/4024</v>
      </c>
      <c r="L208" s="21" t="str">
        <f>VLOOKUP(A208,'Trips&amp;Operators'!$C$1:$G$99999,5,FALSE)</f>
        <v>BRUDER RICHARD</v>
      </c>
      <c r="M208" s="6">
        <f t="shared" si="85"/>
        <v>9.710648148029577E-3</v>
      </c>
      <c r="N208" s="7">
        <f t="shared" si="82"/>
        <v>13.983333333162591</v>
      </c>
      <c r="O208" s="7"/>
      <c r="P208" s="7"/>
      <c r="Q208" s="22"/>
      <c r="R208" s="173"/>
      <c r="S208" s="176">
        <f t="shared" si="83"/>
        <v>1</v>
      </c>
      <c r="T208" s="202" t="str">
        <f t="shared" si="86"/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87"/>
        <v>https://d0f6bd738d7f1b3e5a7ca70fe4ff75f0.us-east-1.aws.found.io/app/kibana#/discover/Steve-Slow-Train-Analysis-(2080s-and-2083s)?_g=(refreshInterval:(display:Off,pause:!f,section:0,value:0),time:(from:'2017-06-13T14:13:40-0600',mode:absolute,to:'2017-06-13T16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8" s="204" t="str">
        <f t="shared" si="88"/>
        <v>N</v>
      </c>
      <c r="X208" s="204">
        <f t="shared" ref="X208:X239" si="100">VALUE(LEFT(AD208,4))-VALUE(LEFT(AD207,4))</f>
        <v>1</v>
      </c>
      <c r="Y208" s="204">
        <f t="shared" si="89"/>
        <v>0.1004</v>
      </c>
      <c r="Z208" s="204">
        <f t="shared" si="90"/>
        <v>5.8943000000000003</v>
      </c>
      <c r="AA208" s="204">
        <f t="shared" si="91"/>
        <v>5.7939000000000007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2"/>
        <v>0825-13</v>
      </c>
      <c r="AE208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08" s="77" t="str">
        <f t="shared" si="94"/>
        <v>"C:\Program Files (x86)\AstroGrep\AstroGrep.exe" /e /r /s /spath="%USERPROFILE%\AppData\Local\Temp\OnboardLogs" /stypes="app*4024*20170613*" /stext=" 21:.+((SYSTEM_STATE.+slice.+state.+changed )|(ment ac)|(multiple cpu faults)|(system.+state.+changed )|(\[timeout)|(PRM\|1\|D)|(kpr)|(kdp)|(train st.+moving)|(\|lc)|(penalty))"</v>
      </c>
      <c r="AG208" s="1" t="str">
        <f t="shared" si="95"/>
        <v>NW</v>
      </c>
      <c r="AH208" s="81" t="str">
        <f t="shared" si="96"/>
        <v>"%USERPROFILE%\Documents\GitHub\eaglep3\Utilities\RefineRTDCRunTimes.py" --tripid 825-13 --locoid 4024 --swversion DE.1.0.9.0 --startMP 204:1004 --initTime 2017-06-13T15:13:40 --startdatetime 2017-06-13T15:21:16 --delay 1 --endMP 300:58943 --enddatetime 2017-06-13T15:35:15 --enforcementcount 0 &gt;&gt;C:\Users\stu\Documents\GitHub\eaglep3-reporting\EC\2017-06-13-refined-times.txt</v>
      </c>
      <c r="AI208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{"issue":{"subject":"","project_id":79,"tracker_id":40,"status_id":1,"priority_id":2,"assigned_to_id":23,"start_date":"2017-06-13","description":"","custom_fields":[{"id":1,"name":"Subdivision","value":"NW"},{"id":4,"name":"Milepost","value":"5.8943"},{"id":17,"name":"Train ID","value":"825-13"},{"id":16,"name":"Locomotive ID","value":"4024"},{"id":130,"name":"Impact","value":""},{"id":150,"name":"Time of Event (Mountain Time)","value":"15:35:15"},{"id":151,"name":"Denver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8"/>
        <v>start /low /b %USERPROFILE%\Documents\GitHub\eaglep3\Utilities\DownloadLogsFromS3.py --loco 4024 --day 2017-06-13</v>
      </c>
      <c r="AN208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608</v>
      </c>
      <c r="B209" s="7">
        <v>4023</v>
      </c>
      <c r="C209" s="21" t="s">
        <v>204</v>
      </c>
      <c r="D209" s="21" t="s">
        <v>941</v>
      </c>
      <c r="E209" s="13">
        <v>42899.650775462964</v>
      </c>
      <c r="F209" s="13">
        <v>42899.652685185189</v>
      </c>
      <c r="G209" s="7">
        <v>1</v>
      </c>
      <c r="H209" s="21" t="s">
        <v>967</v>
      </c>
      <c r="I209" s="13">
        <v>42899.663912037038</v>
      </c>
      <c r="J209" s="7">
        <v>0</v>
      </c>
      <c r="K209" s="92" t="str">
        <f t="shared" si="84"/>
        <v>4023/4024</v>
      </c>
      <c r="L209" s="21" t="str">
        <f>VLOOKUP(A209,'Trips&amp;Operators'!$C$1:$G$99999,5,FALSE)</f>
        <v>BRUDER RICHARD</v>
      </c>
      <c r="M209" s="6">
        <f t="shared" si="85"/>
        <v>1.1226851849642117E-2</v>
      </c>
      <c r="N209" s="7">
        <f t="shared" si="82"/>
        <v>16.166666663484648</v>
      </c>
      <c r="O209" s="7"/>
      <c r="P209" s="7"/>
      <c r="Q209" s="22"/>
      <c r="R209" s="173"/>
      <c r="S209" s="176">
        <f t="shared" si="83"/>
        <v>1</v>
      </c>
      <c r="T209" s="202" t="str">
        <f t="shared" si="86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87"/>
        <v>https://d0f6bd738d7f1b3e5a7ca70fe4ff75f0.us-east-1.aws.found.io/app/kibana#/discover/Steve-Slow-Train-Analysis-(2080s-and-2083s)?_g=(refreshInterval:(display:Off,pause:!f,section:0,value:0),time:(from:'2017-06-13T14:37:07-0600',mode:absolute,to:'2017-06-13T16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9" s="204" t="str">
        <f t="shared" si="88"/>
        <v>N</v>
      </c>
      <c r="X209" s="204">
        <f t="shared" si="100"/>
        <v>1</v>
      </c>
      <c r="Y209" s="204">
        <f t="shared" si="89"/>
        <v>5.8625999999999996</v>
      </c>
      <c r="Z209" s="204">
        <f t="shared" si="90"/>
        <v>7.2400000000000006E-2</v>
      </c>
      <c r="AA209" s="204">
        <f t="shared" si="91"/>
        <v>5.7901999999999996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2"/>
        <v>0826-13</v>
      </c>
      <c r="AE209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09" s="77" t="str">
        <f t="shared" si="94"/>
        <v>"C:\Program Files (x86)\AstroGrep\AstroGrep.exe" /e /r /s /spath="%USERPROFILE%\AppData\Local\Temp\OnboardLogs" /stypes="app*4023*20170613*" /stext=" 21:.+((SYSTEM_STATE.+slice.+state.+changed )|(ment ac)|(multiple cpu faults)|(system.+state.+changed )|(\[timeout)|(PRM\|1\|D)|(kpr)|(kdp)|(train st.+moving)|(\|lc)|(penalty))"</v>
      </c>
      <c r="AG209" s="1" t="str">
        <f t="shared" si="95"/>
        <v>NW</v>
      </c>
      <c r="AH209" s="81" t="str">
        <f t="shared" si="96"/>
        <v>"%USERPROFILE%\Documents\GitHub\eaglep3\Utilities\RefineRTDCRunTimes.py" --tripid 826-13 --locoid 4023 --swversion DE.1.0.9.0 --startMP 300:58626 --initTime 2017-06-13T15:37:07 --startdatetime 2017-06-13T15:39:52 --delay 1 --endMP 204:724 --enddatetime 2017-06-13T15:56:02 --enforcementcount 0 &gt;&gt;C:\Users\stu\Documents\GitHub\eaglep3-reporting\EC\2017-06-13-refined-times.txt</v>
      </c>
      <c r="AI209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{"issue":{"subject":"","project_id":79,"tracker_id":40,"status_id":1,"priority_id":2,"assigned_to_id":23,"start_date":"2017-06-13","description":"","custom_fields":[{"id":1,"name":"Subdivision","value":"NW"},{"id":4,"name":"Milepost","value":"0.0724"},{"id":17,"name":"Train ID","value":"826-13"},{"id":16,"name":"Locomotive ID","value":"4023"},{"id":130,"name":"Impact","value":""},{"id":150,"name":"Time of Event (Mountain Time)","value":"15:56:02"},{"id":151,"name":"Denver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8"/>
        <v>start /low /b %USERPROFILE%\Documents\GitHub\eaglep3\Utilities\DownloadLogsFromS3.py --loco 4023 --day 2017-06-13</v>
      </c>
      <c r="AN209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751</v>
      </c>
      <c r="B210" s="7">
        <v>4056</v>
      </c>
      <c r="C210" s="21" t="s">
        <v>204</v>
      </c>
      <c r="D210" s="21" t="s">
        <v>968</v>
      </c>
      <c r="E210" s="13">
        <v>42899.656990740739</v>
      </c>
      <c r="F210" s="13">
        <v>42899.660717592589</v>
      </c>
      <c r="G210" s="7">
        <v>2</v>
      </c>
      <c r="H210" s="21" t="s">
        <v>969</v>
      </c>
      <c r="I210" s="13">
        <v>42899.670868055553</v>
      </c>
      <c r="J210" s="7">
        <v>0</v>
      </c>
      <c r="K210" s="92" t="str">
        <f t="shared" si="84"/>
        <v>4055/4056</v>
      </c>
      <c r="L210" s="21" t="str">
        <f>VLOOKUP(A210,'Trips&amp;Operators'!$C$1:$G$99999,5,FALSE)</f>
        <v>SAFIEF AEIMEN</v>
      </c>
      <c r="M210" s="6">
        <f t="shared" si="85"/>
        <v>1.0150462963792961E-2</v>
      </c>
      <c r="N210" s="7">
        <f t="shared" si="82"/>
        <v>14.616666667861864</v>
      </c>
      <c r="O210" s="7"/>
      <c r="P210" s="7"/>
      <c r="Q210" s="22"/>
      <c r="R210" s="173"/>
      <c r="S210" s="176">
        <f t="shared" si="83"/>
        <v>1</v>
      </c>
      <c r="T210" s="202" t="str">
        <f t="shared" si="86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87"/>
        <v>https://d0f6bd738d7f1b3e5a7ca70fe4ff75f0.us-east-1.aws.found.io/app/kibana#/discover/Steve-Slow-Train-Analysis-(2080s-and-2083s)?_g=(refreshInterval:(display:Off,pause:!f,section:0,value:0),time:(from:'2017-06-13T14:46:04-0600',mode:absolute,to:'2017-06-13T17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204" t="str">
        <f t="shared" si="88"/>
        <v>N</v>
      </c>
      <c r="X210" s="204">
        <f t="shared" si="100"/>
        <v>1</v>
      </c>
      <c r="Y210" s="204">
        <f t="shared" si="89"/>
        <v>9.4600000000000004E-2</v>
      </c>
      <c r="Z210" s="204">
        <f t="shared" si="90"/>
        <v>5.8912000000000004</v>
      </c>
      <c r="AA210" s="204">
        <f t="shared" si="91"/>
        <v>5.7966000000000006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2"/>
        <v>0827-13</v>
      </c>
      <c r="AE210" s="80" t="str">
        <f t="shared" si="93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210" s="77" t="str">
        <f t="shared" si="94"/>
        <v>"C:\Program Files (x86)\AstroGrep\AstroGrep.exe" /e /r /s /spath="%USERPROFILE%\AppData\Local\Temp\OnboardLogs" /stypes="app*4056*20170613*" /stext=" 22:.+((SYSTEM_STATE.+slice.+state.+changed )|(ment ac)|(multiple cpu faults)|(system.+state.+changed )|(\[timeout)|(PRM\|1\|D)|(kpr)|(kdp)|(train st.+moving)|(\|lc)|(penalty))"</v>
      </c>
      <c r="AG210" s="1" t="str">
        <f t="shared" si="95"/>
        <v>NW</v>
      </c>
      <c r="AH210" s="81" t="str">
        <f t="shared" si="96"/>
        <v>"%USERPROFILE%\Documents\GitHub\eaglep3\Utilities\RefineRTDCRunTimes.py" --tripid 827-13 --locoid 4056 --swversion DE.1.0.9.0 --startMP 204:946 --initTime 2017-06-13T15:46:04 --startdatetime 2017-06-13T15:51:26 --delay 2 --endMP 300:58912 --enddatetime 2017-06-13T16:06:03 --enforcementcount 0 &gt;&gt;C:\Users\stu\Documents\GitHub\eaglep3-reporting\EC\2017-06-13-refined-times.txt</v>
      </c>
      <c r="AI210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{"issue":{"subject":"","project_id":79,"tracker_id":40,"status_id":1,"priority_id":2,"assigned_to_id":23,"start_date":"2017-06-13","description":"","custom_fields":[{"id":1,"name":"Subdivision","value":"NW"},{"id":4,"name":"Milepost","value":"5.8912"},{"id":17,"name":"Train ID","value":"827-13"},{"id":16,"name":"Locomotive ID","value":"4056"},{"id":130,"name":"Impact","value":""},{"id":150,"name":"Time of Event (Mountain Time)","value":"16:06:03"},{"id":151,"name":"Denver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8"/>
        <v>start /low /b %USERPROFILE%\Documents\GitHub\eaglep3\Utilities\DownloadLogsFromS3.py --loco 4056 --day 2017-06-13</v>
      </c>
      <c r="AN210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754</v>
      </c>
      <c r="B211" s="7">
        <v>4055</v>
      </c>
      <c r="C211" s="21" t="s">
        <v>204</v>
      </c>
      <c r="D211" s="21" t="s">
        <v>580</v>
      </c>
      <c r="E211" s="13">
        <v>42899.672407407408</v>
      </c>
      <c r="F211" s="13">
        <v>42899.67459490741</v>
      </c>
      <c r="G211" s="7">
        <v>1</v>
      </c>
      <c r="H211" s="21" t="s">
        <v>970</v>
      </c>
      <c r="I211" s="13">
        <v>42899.684664351851</v>
      </c>
      <c r="J211" s="7">
        <v>0</v>
      </c>
      <c r="K211" s="92" t="str">
        <f t="shared" si="84"/>
        <v>4055/4056</v>
      </c>
      <c r="L211" s="21" t="str">
        <f>VLOOKUP(A211,'Trips&amp;Operators'!$C$1:$G$99999,5,FALSE)</f>
        <v>SAFIEF AEIMEN</v>
      </c>
      <c r="M211" s="6">
        <f t="shared" si="85"/>
        <v>1.006944444088731E-2</v>
      </c>
      <c r="N211" s="7">
        <f t="shared" si="82"/>
        <v>14.499999994877726</v>
      </c>
      <c r="O211" s="7"/>
      <c r="P211" s="7"/>
      <c r="Q211" s="22"/>
      <c r="R211" s="173"/>
      <c r="S211" s="176">
        <f t="shared" si="83"/>
        <v>1</v>
      </c>
      <c r="T211" s="202" t="str">
        <f t="shared" si="86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87"/>
        <v>https://d0f6bd738d7f1b3e5a7ca70fe4ff75f0.us-east-1.aws.found.io/app/kibana#/discover/Steve-Slow-Train-Analysis-(2080s-and-2083s)?_g=(refreshInterval:(display:Off,pause:!f,section:0,value:0),time:(from:'2017-06-13T15:08:16-0600',mode:absolute,to:'2017-06-13T17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1" s="204" t="str">
        <f t="shared" si="88"/>
        <v>N</v>
      </c>
      <c r="X211" s="204">
        <f t="shared" si="100"/>
        <v>1</v>
      </c>
      <c r="Y211" s="204">
        <f t="shared" si="89"/>
        <v>5.8596000000000004</v>
      </c>
      <c r="Z211" s="204">
        <f t="shared" si="90"/>
        <v>6.5000000000000002E-2</v>
      </c>
      <c r="AA211" s="204">
        <f t="shared" si="91"/>
        <v>5.7946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2"/>
        <v>0828-13</v>
      </c>
      <c r="AE211" s="80" t="str">
        <f t="shared" si="93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211" s="77" t="str">
        <f t="shared" si="94"/>
        <v>"C:\Program Files (x86)\AstroGrep\AstroGrep.exe" /e /r /s /spath="%USERPROFILE%\AppData\Local\Temp\OnboardLogs" /stypes="app*4055*20170613*" /stext=" 22:.+((SYSTEM_STATE.+slice.+state.+changed )|(ment ac)|(multiple cpu faults)|(system.+state.+changed )|(\[timeout)|(PRM\|1\|D)|(kpr)|(kdp)|(train st.+moving)|(\|lc)|(penalty))"</v>
      </c>
      <c r="AG211" s="1" t="str">
        <f t="shared" si="95"/>
        <v>NW</v>
      </c>
      <c r="AH211" s="81" t="str">
        <f t="shared" si="96"/>
        <v>"%USERPROFILE%\Documents\GitHub\eaglep3\Utilities\RefineRTDCRunTimes.py" --tripid 828-13 --locoid 4055 --swversion DE.1.0.9.0 --startMP 300:58596 --initTime 2017-06-13T16:08:16 --startdatetime 2017-06-13T16:11:25 --delay 1 --endMP 204:650 --enddatetime 2017-06-13T16:25:55 --enforcementcount 0 &gt;&gt;C:\Users\stu\Documents\GitHub\eaglep3-reporting\EC\2017-06-13-refined-times.txt</v>
      </c>
      <c r="AI211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{"issue":{"subject":"","project_id":79,"tracker_id":40,"status_id":1,"priority_id":2,"assigned_to_id":23,"start_date":"2017-06-13","description":"","custom_fields":[{"id":1,"name":"Subdivision","value":"NW"},{"id":4,"name":"Milepost","value":"0.065"},{"id":17,"name":"Train ID","value":"828-13"},{"id":16,"name":"Locomotive ID","value":"4055"},{"id":130,"name":"Impact","value":""},{"id":150,"name":"Time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8"/>
        <v>start /low /b %USERPROFILE%\Documents\GitHub\eaglep3\Utilities\DownloadLogsFromS3.py --loco 4055 --day 2017-06-13</v>
      </c>
      <c r="AN211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756</v>
      </c>
      <c r="B212" s="7">
        <v>4024</v>
      </c>
      <c r="C212" s="21" t="s">
        <v>204</v>
      </c>
      <c r="D212" s="21" t="s">
        <v>519</v>
      </c>
      <c r="E212" s="13">
        <v>42899.678518518522</v>
      </c>
      <c r="F212" s="13">
        <v>42899.681504629632</v>
      </c>
      <c r="G212" s="7">
        <v>1</v>
      </c>
      <c r="H212" s="21" t="s">
        <v>971</v>
      </c>
      <c r="I212" s="13">
        <v>42899.69122685185</v>
      </c>
      <c r="J212" s="7">
        <v>0</v>
      </c>
      <c r="K212" s="92" t="str">
        <f t="shared" si="84"/>
        <v>4023/4024</v>
      </c>
      <c r="L212" s="21" t="str">
        <f>VLOOKUP(A212,'Trips&amp;Operators'!$C$1:$G$99999,5,FALSE)</f>
        <v>BRUDER RICHARD</v>
      </c>
      <c r="M212" s="6">
        <f t="shared" si="85"/>
        <v>9.7222222175332718E-3</v>
      </c>
      <c r="N212" s="7">
        <f t="shared" si="82"/>
        <v>13.999999993247911</v>
      </c>
      <c r="O212" s="7"/>
      <c r="P212" s="7"/>
      <c r="Q212" s="22"/>
      <c r="R212" s="173"/>
      <c r="S212" s="176">
        <f t="shared" si="83"/>
        <v>1</v>
      </c>
      <c r="T212" s="202" t="str">
        <f t="shared" si="86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87"/>
        <v>https://d0f6bd738d7f1b3e5a7ca70fe4ff75f0.us-east-1.aws.found.io/app/kibana#/discover/Steve-Slow-Train-Analysis-(2080s-and-2083s)?_g=(refreshInterval:(display:Off,pause:!f,section:0,value:0),time:(from:'2017-06-13T15:17:04-0600',mode:absolute,to:'2017-06-13T17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204" t="str">
        <f t="shared" si="88"/>
        <v>N</v>
      </c>
      <c r="X212" s="204">
        <f t="shared" si="100"/>
        <v>1</v>
      </c>
      <c r="Y212" s="204">
        <f t="shared" si="89"/>
        <v>0.1004</v>
      </c>
      <c r="Z212" s="204">
        <f t="shared" si="90"/>
        <v>5.8945999999999996</v>
      </c>
      <c r="AA212" s="204">
        <f t="shared" si="91"/>
        <v>5.7942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2"/>
        <v>0829-13</v>
      </c>
      <c r="AE212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12" s="77" t="str">
        <f t="shared" si="94"/>
        <v>"C:\Program Files (x86)\AstroGrep\AstroGrep.exe" /e /r /s /spath="%USERPROFILE%\AppData\Local\Temp\OnboardLogs" /stypes="app*4024*20170613*" /stext=" 22:.+((SYSTEM_STATE.+slice.+state.+changed )|(ment ac)|(multiple cpu faults)|(system.+state.+changed )|(\[timeout)|(PRM\|1\|D)|(kpr)|(kdp)|(train st.+moving)|(\|lc)|(penalty))"</v>
      </c>
      <c r="AG212" s="1" t="str">
        <f t="shared" si="95"/>
        <v>NW</v>
      </c>
      <c r="AH212" s="81" t="str">
        <f t="shared" si="96"/>
        <v>"%USERPROFILE%\Documents\GitHub\eaglep3\Utilities\RefineRTDCRunTimes.py" --tripid 829-13 --locoid 4024 --swversion DE.1.0.9.0 --startMP 204:1004 --initTime 2017-06-13T16:17:04 --startdatetime 2017-06-13T16:21:22 --delay 1 --endMP 300:58946 --enddatetime 2017-06-13T16:35:22 --enforcementcount 0 &gt;&gt;C:\Users\stu\Documents\GitHub\eaglep3-reporting\EC\2017-06-13-refined-times.txt</v>
      </c>
      <c r="AI212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{"issue":{"subject":"","project_id":79,"tracker_id":40,"status_id":1,"priority_id":2,"assigned_to_id":23,"start_date":"2017-06-13","description":"","custom_fields":[{"id":1,"name":"Subdivision","value":"NW"},{"id":4,"name":"Milepost","value":"5.8946"},{"id":17,"name":"Train ID","value":"829-13"},{"id":16,"name":"Locomotive ID","value":"4024"},{"id":130,"name":"Impact","value":""},{"id":150,"name":"Time of Event (Mountain Time)","value":"16:35:22"},{"id":151,"name":"Denver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8"/>
        <v>start /low /b %USERPROFILE%\Documents\GitHub\eaglep3\Utilities\DownloadLogsFromS3.py --loco 4024 --day 2017-06-13</v>
      </c>
      <c r="AN212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760</v>
      </c>
      <c r="B213" s="7">
        <v>4023</v>
      </c>
      <c r="C213" s="21" t="s">
        <v>204</v>
      </c>
      <c r="D213" s="21" t="s">
        <v>483</v>
      </c>
      <c r="E213" s="13">
        <v>42899.69253472222</v>
      </c>
      <c r="F213" s="13">
        <v>42899.695173611108</v>
      </c>
      <c r="G213" s="7">
        <v>1</v>
      </c>
      <c r="H213" s="21" t="s">
        <v>972</v>
      </c>
      <c r="I213" s="13">
        <v>42899.705625000002</v>
      </c>
      <c r="J213" s="7">
        <v>0</v>
      </c>
      <c r="K213" s="92" t="str">
        <f t="shared" si="84"/>
        <v>4023/4024</v>
      </c>
      <c r="L213" s="21" t="str">
        <f>VLOOKUP(A213,'Trips&amp;Operators'!$C$1:$G$99999,5,FALSE)</f>
        <v>BRUDER RICHARD</v>
      </c>
      <c r="M213" s="6">
        <f t="shared" si="85"/>
        <v>1.0451388894580305E-2</v>
      </c>
      <c r="N213" s="7">
        <f t="shared" si="82"/>
        <v>15.050000008195639</v>
      </c>
      <c r="O213" s="7"/>
      <c r="P213" s="7"/>
      <c r="Q213" s="22"/>
      <c r="R213" s="173"/>
      <c r="S213" s="176">
        <f t="shared" si="83"/>
        <v>1</v>
      </c>
      <c r="T213" s="202" t="str">
        <f t="shared" si="86"/>
        <v>Southbound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87"/>
        <v>https://d0f6bd738d7f1b3e5a7ca70fe4ff75f0.us-east-1.aws.found.io/app/kibana#/discover/Steve-Slow-Train-Analysis-(2080s-and-2083s)?_g=(refreshInterval:(display:Off,pause:!f,section:0,value:0),time:(from:'2017-06-13T15:37:15-0600',mode:absolute,to:'2017-06-13T17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3" s="204" t="str">
        <f t="shared" si="88"/>
        <v>N</v>
      </c>
      <c r="X213" s="204">
        <f t="shared" si="100"/>
        <v>1</v>
      </c>
      <c r="Y213" s="204">
        <f t="shared" si="89"/>
        <v>5.8632</v>
      </c>
      <c r="Z213" s="204">
        <f t="shared" si="90"/>
        <v>7.1999999999999995E-2</v>
      </c>
      <c r="AA213" s="204">
        <f t="shared" si="91"/>
        <v>5.7911999999999999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2"/>
        <v>0830-13</v>
      </c>
      <c r="AE213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13" s="77" t="str">
        <f t="shared" si="94"/>
        <v>"C:\Program Files (x86)\AstroGrep\AstroGrep.exe" /e /r /s /spath="%USERPROFILE%\AppData\Local\Temp\OnboardLogs" /stypes="app*4023*20170613*" /stext=" 22:.+((SYSTEM_STATE.+slice.+state.+changed )|(ment ac)|(multiple cpu faults)|(system.+state.+changed )|(\[timeout)|(PRM\|1\|D)|(kpr)|(kdp)|(train st.+moving)|(\|lc)|(penalty))"</v>
      </c>
      <c r="AG213" s="1" t="str">
        <f t="shared" si="95"/>
        <v>NW</v>
      </c>
      <c r="AH213" s="81" t="str">
        <f t="shared" si="96"/>
        <v>"%USERPROFILE%\Documents\GitHub\eaglep3\Utilities\RefineRTDCRunTimes.py" --tripid 830-13 --locoid 4023 --swversion DE.1.0.9.0 --startMP 300:58632 --initTime 2017-06-13T16:37:15 --startdatetime 2017-06-13T16:41:03 --delay 1 --endMP 204:720 --enddatetime 2017-06-13T16:56:06 --enforcementcount 0 &gt;&gt;C:\Users\stu\Documents\GitHub\eaglep3-reporting\EC\2017-06-13-refined-times.txt</v>
      </c>
      <c r="AI213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{"issue":{"subject":"","project_id":79,"tracker_id":40,"status_id":1,"priority_id":2,"assigned_to_id":23,"start_date":"2017-06-13","description":"","custom_fields":[{"id":1,"name":"Subdivision","value":"NW"},{"id":4,"name":"Milepost","value":"0.072"},{"id":17,"name":"Train ID","value":"830-13"},{"id":16,"name":"Locomotive ID","value":"4023"},{"id":130,"name":"Impact","value":""},{"id":150,"name":"Time of Event (Mountain Time)","value":"16:56:06"},{"id":151,"name":"Denver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8"/>
        <v>start /low /b %USERPROFILE%\Documents\GitHub\eaglep3\Utilities\DownloadLogsFromS3.py --loco 4023 --day 2017-06-13</v>
      </c>
      <c r="AN213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22:56:06"},{"id":29,"name":"Sharepoint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761</v>
      </c>
      <c r="B214" s="7">
        <v>4056</v>
      </c>
      <c r="C214" s="21" t="s">
        <v>204</v>
      </c>
      <c r="D214" s="21" t="s">
        <v>973</v>
      </c>
      <c r="E214" s="13">
        <v>42899.698657407411</v>
      </c>
      <c r="F214" s="13">
        <v>42899.702824074076</v>
      </c>
      <c r="G214" s="7">
        <v>2</v>
      </c>
      <c r="H214" s="21" t="s">
        <v>482</v>
      </c>
      <c r="I214" s="13">
        <v>42899.713263888887</v>
      </c>
      <c r="J214" s="7">
        <v>0</v>
      </c>
      <c r="K214" s="92" t="str">
        <f t="shared" si="84"/>
        <v>4055/4056</v>
      </c>
      <c r="L214" s="21" t="str">
        <f>VLOOKUP(A214,'Trips&amp;Operators'!$C$1:$G$99999,5,FALSE)</f>
        <v>NELSON ARIANE</v>
      </c>
      <c r="M214" s="6">
        <f t="shared" si="85"/>
        <v>1.0439814810524695E-2</v>
      </c>
      <c r="N214" s="7">
        <f t="shared" si="82"/>
        <v>15.03333332715556</v>
      </c>
      <c r="O214" s="7"/>
      <c r="P214" s="7"/>
      <c r="Q214" s="22"/>
      <c r="R214" s="173"/>
      <c r="S214" s="176">
        <f t="shared" si="83"/>
        <v>1</v>
      </c>
      <c r="T214" s="202" t="str">
        <f t="shared" si="86"/>
        <v>NorthBound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87"/>
        <v>https://d0f6bd738d7f1b3e5a7ca70fe4ff75f0.us-east-1.aws.found.io/app/kibana#/discover/Steve-Slow-Train-Analysis-(2080s-and-2083s)?_g=(refreshInterval:(display:Off,pause:!f,section:0,value:0),time:(from:'2017-06-13T15:46:04-0600',mode:absolute,to:'2017-06-13T18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4" s="204" t="str">
        <f t="shared" si="88"/>
        <v>N</v>
      </c>
      <c r="X214" s="204">
        <f t="shared" si="100"/>
        <v>1</v>
      </c>
      <c r="Y214" s="204">
        <f t="shared" si="89"/>
        <v>9.7199999999999995E-2</v>
      </c>
      <c r="Z214" s="204">
        <f t="shared" si="90"/>
        <v>5.8949999999999996</v>
      </c>
      <c r="AA214" s="204">
        <f t="shared" si="91"/>
        <v>5.7977999999999996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2"/>
        <v>0831-13</v>
      </c>
      <c r="AE214" s="80" t="str">
        <f t="shared" si="93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214" s="77" t="str">
        <f t="shared" si="94"/>
        <v>"C:\Program Files (x86)\AstroGrep\AstroGrep.exe" /e /r /s /spath="%USERPROFILE%\AppData\Local\Temp\OnboardLogs" /stypes="app*4056*20170613*" /stext=" 23:.+((SYSTEM_STATE.+slice.+state.+changed )|(ment ac)|(multiple cpu faults)|(system.+state.+changed )|(\[timeout)|(PRM\|1\|D)|(kpr)|(kdp)|(train st.+moving)|(\|lc)|(penalty))"</v>
      </c>
      <c r="AG214" s="1" t="str">
        <f t="shared" si="95"/>
        <v>NW</v>
      </c>
      <c r="AH214" s="81" t="str">
        <f t="shared" si="96"/>
        <v>"%USERPROFILE%\Documents\GitHub\eaglep3\Utilities\RefineRTDCRunTimes.py" --tripid 831-13 --locoid 4056 --swversion DE.1.0.9.0 --startMP 204:972 --initTime 2017-06-13T16:46:04 --startdatetime 2017-06-13T16:52:04 --delay 2 --endMP 300:58950 --enddatetime 2017-06-13T17:07:06 --enforcementcount 0 &gt;&gt;C:\Users\stu\Documents\GitHub\eaglep3-reporting\EC\2017-06-13-refined-times.txt</v>
      </c>
      <c r="AI214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{"issue":{"subject":"","project_id":79,"tracker_id":40,"status_id":1,"priority_id":2,"assigned_to_id":23,"start_date":"2017-06-13","description":"","custom_fields":[{"id":1,"name":"Subdivision","value":"NW"},{"id":4,"name":"Milepost","value":"5.895"},{"id":17,"name":"Train ID","value":"831-13"},{"id":16,"name":"Locomotive ID","value":"4056"},{"id":130,"name":"Impact","value":""},{"id":150,"name":"Time of Event (Mountain Time)","value":"17:07:06"},{"id":151,"name":"Denver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8"/>
        <v>start /low /b %USERPROFILE%\Documents\GitHub\eaglep3\Utilities\DownloadLogsFromS3.py --loco 4056 --day 2017-06-13</v>
      </c>
      <c r="AN214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766</v>
      </c>
      <c r="B215" s="7">
        <v>4055</v>
      </c>
      <c r="C215" s="21" t="s">
        <v>204</v>
      </c>
      <c r="D215" s="21" t="s">
        <v>952</v>
      </c>
      <c r="E215" s="13">
        <v>42899.714606481481</v>
      </c>
      <c r="F215" s="13">
        <v>42899.716574074075</v>
      </c>
      <c r="G215" s="7">
        <v>1</v>
      </c>
      <c r="H215" s="21" t="s">
        <v>974</v>
      </c>
      <c r="I215" s="13">
        <v>42899.727037037039</v>
      </c>
      <c r="J215" s="7">
        <v>0</v>
      </c>
      <c r="K215" s="92" t="str">
        <f t="shared" si="84"/>
        <v>4055/4056</v>
      </c>
      <c r="L215" s="21" t="str">
        <f>VLOOKUP(A215,'Trips&amp;Operators'!$C$1:$G$99999,5,FALSE)</f>
        <v>NELSON ARIANE</v>
      </c>
      <c r="M215" s="6">
        <f t="shared" si="85"/>
        <v>1.0462962964083999E-2</v>
      </c>
      <c r="N215" s="7">
        <f t="shared" si="82"/>
        <v>15.066666668280959</v>
      </c>
      <c r="O215" s="7"/>
      <c r="P215" s="7"/>
      <c r="Q215" s="22"/>
      <c r="R215" s="173"/>
      <c r="S215" s="176">
        <f t="shared" si="83"/>
        <v>1</v>
      </c>
      <c r="T215" s="202" t="str">
        <f t="shared" si="86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87"/>
        <v>https://d0f6bd738d7f1b3e5a7ca70fe4ff75f0.us-east-1.aws.found.io/app/kibana#/discover/Steve-Slow-Train-Analysis-(2080s-and-2083s)?_g=(refreshInterval:(display:Off,pause:!f,section:0,value:0),time:(from:'2017-06-13T16:09:02-0600',mode:absolute,to:'2017-06-13T18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04" t="str">
        <f t="shared" si="88"/>
        <v>N</v>
      </c>
      <c r="X215" s="204">
        <f t="shared" si="100"/>
        <v>1</v>
      </c>
      <c r="Y215" s="204">
        <f t="shared" si="89"/>
        <v>5.8644999999999996</v>
      </c>
      <c r="Z215" s="204">
        <f t="shared" si="90"/>
        <v>6.9199999999999998E-2</v>
      </c>
      <c r="AA215" s="204">
        <f t="shared" si="91"/>
        <v>5.7952999999999992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2"/>
        <v>0832-13</v>
      </c>
      <c r="AE215" s="80" t="str">
        <f t="shared" si="93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215" s="77" t="str">
        <f t="shared" si="94"/>
        <v>"C:\Program Files (x86)\AstroGrep\AstroGrep.exe" /e /r /s /spath="%USERPROFILE%\AppData\Local\Temp\OnboardLogs" /stypes="app*4055*20170613*" /stext=" 23:.+((SYSTEM_STATE.+slice.+state.+changed )|(ment ac)|(multiple cpu faults)|(system.+state.+changed )|(\[timeout)|(PRM\|1\|D)|(kpr)|(kdp)|(train st.+moving)|(\|lc)|(penalty))"</v>
      </c>
      <c r="AG215" s="1" t="str">
        <f t="shared" si="95"/>
        <v>NW</v>
      </c>
      <c r="AH215" s="81" t="str">
        <f t="shared" si="96"/>
        <v>"%USERPROFILE%\Documents\GitHub\eaglep3\Utilities\RefineRTDCRunTimes.py" --tripid 832-13 --locoid 4055 --swversion DE.1.0.9.0 --startMP 300:58645 --initTime 2017-06-13T17:09:02 --startdatetime 2017-06-13T17:11:52 --delay 1 --endMP 204:692 --enddatetime 2017-06-13T17:26:56 --enforcementcount 0 &gt;&gt;C:\Users\stu\Documents\GitHub\eaglep3-reporting\EC\2017-06-13-refined-times.txt</v>
      </c>
      <c r="AI215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{"issue":{"subject":"","project_id":79,"tracker_id":40,"status_id":1,"priority_id":2,"assigned_to_id":23,"start_date":"2017-06-13","description":"","custom_fields":[{"id":1,"name":"Subdivision","value":"NW"},{"id":4,"name":"Milepost","value":"0.0692"},{"id":17,"name":"Train ID","value":"832-13"},{"id":16,"name":"Locomotive ID","value":"4055"},{"id":130,"name":"Impact","value":""},{"id":150,"name":"Time of Event (Mountain Time)","value":"17:26:56"},{"id":151,"name":"Denver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8"/>
        <v>start /low /b %USERPROFILE%\Documents\GitHub\eaglep3\Utilities\DownloadLogsFromS3.py --loco 4055 --day 2017-06-13</v>
      </c>
      <c r="AN215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768</v>
      </c>
      <c r="B216" s="7">
        <v>4024</v>
      </c>
      <c r="C216" s="21" t="s">
        <v>204</v>
      </c>
      <c r="D216" s="21" t="s">
        <v>519</v>
      </c>
      <c r="E216" s="13">
        <v>42899.718229166669</v>
      </c>
      <c r="F216" s="13">
        <v>42899.723113425927</v>
      </c>
      <c r="G216" s="7">
        <v>1</v>
      </c>
      <c r="H216" s="21" t="s">
        <v>971</v>
      </c>
      <c r="I216" s="13">
        <v>42899.732905092591</v>
      </c>
      <c r="J216" s="7">
        <v>0</v>
      </c>
      <c r="K216" s="92" t="str">
        <f t="shared" si="84"/>
        <v>4023/4024</v>
      </c>
      <c r="L216" s="21" t="str">
        <f>VLOOKUP(A216,'Trips&amp;Operators'!$C$1:$G$99999,5,FALSE)</f>
        <v>BRUDER RICHARD</v>
      </c>
      <c r="M216" s="6">
        <f t="shared" si="85"/>
        <v>9.7916666636592709E-3</v>
      </c>
      <c r="N216" s="7">
        <f t="shared" si="82"/>
        <v>14.09999999566935</v>
      </c>
      <c r="O216" s="7"/>
      <c r="P216" s="7"/>
      <c r="Q216" s="22"/>
      <c r="R216" s="173"/>
      <c r="S216" s="176">
        <f t="shared" si="83"/>
        <v>1</v>
      </c>
      <c r="T216" s="202" t="str">
        <f t="shared" si="86"/>
        <v>NorthBound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87"/>
        <v>https://d0f6bd738d7f1b3e5a7ca70fe4ff75f0.us-east-1.aws.found.io/app/kibana#/discover/Steve-Slow-Train-Analysis-(2080s-and-2083s)?_g=(refreshInterval:(display:Off,pause:!f,section:0,value:0),time:(from:'2017-06-13T16:14:15-0600',mode:absolute,to:'2017-06-13T18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6" s="204" t="str">
        <f t="shared" si="88"/>
        <v>N</v>
      </c>
      <c r="X216" s="204">
        <f t="shared" si="100"/>
        <v>1</v>
      </c>
      <c r="Y216" s="204">
        <f t="shared" si="89"/>
        <v>0.1004</v>
      </c>
      <c r="Z216" s="204">
        <f t="shared" si="90"/>
        <v>5.8945999999999996</v>
      </c>
      <c r="AA216" s="204">
        <f t="shared" si="91"/>
        <v>5.7942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2"/>
        <v>0833-13</v>
      </c>
      <c r="AE216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16" s="77" t="str">
        <f t="shared" si="94"/>
        <v>"C:\Program Files (x86)\AstroGrep\AstroGrep.exe" /e /r /s /spath="%USERPROFILE%\AppData\Local\Temp\OnboardLogs" /stypes="app*4024*20170613*" /stext=" 23:.+((SYSTEM_STATE.+slice.+state.+changed )|(ment ac)|(multiple cpu faults)|(system.+state.+changed )|(\[timeout)|(PRM\|1\|D)|(kpr)|(kdp)|(train st.+moving)|(\|lc)|(penalty))"</v>
      </c>
      <c r="AG216" s="1" t="str">
        <f t="shared" si="95"/>
        <v>NW</v>
      </c>
      <c r="AH216" s="81" t="str">
        <f t="shared" si="96"/>
        <v>"%USERPROFILE%\Documents\GitHub\eaglep3\Utilities\RefineRTDCRunTimes.py" --tripid 833-13 --locoid 4024 --swversion DE.1.0.9.0 --startMP 204:1004 --initTime 2017-06-13T17:14:15 --startdatetime 2017-06-13T17:21:17 --delay 1 --endMP 300:58946 --enddatetime 2017-06-13T17:35:23 --enforcementcount 0 &gt;&gt;C:\Users\stu\Documents\GitHub\eaglep3-reporting\EC\2017-06-13-refined-times.txt</v>
      </c>
      <c r="AI216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{"issue":{"subject":"","project_id":79,"tracker_id":40,"status_id":1,"priority_id":2,"assigned_to_id":23,"start_date":"2017-06-13","description":"","custom_fields":[{"id":1,"name":"Subdivision","value":"NW"},{"id":4,"name":"Milepost","value":"5.8946"},{"id":17,"name":"Train ID","value":"833-13"},{"id":16,"name":"Locomotive ID","value":"4024"},{"id":130,"name":"Impact","value":""},{"id":150,"name":"Time of Event (Mountain Time)","value":"17:35:23"},{"id":151,"name":"Denver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8"/>
        <v>start /low /b %USERPROFILE%\Documents\GitHub\eaglep3\Utilities\DownloadLogsFromS3.py --loco 4024 --day 2017-06-13</v>
      </c>
      <c r="AN216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772</v>
      </c>
      <c r="B217" s="7">
        <v>4023</v>
      </c>
      <c r="C217" s="21" t="s">
        <v>204</v>
      </c>
      <c r="D217" s="21" t="s">
        <v>513</v>
      </c>
      <c r="E217" s="13">
        <v>42899.734039351853</v>
      </c>
      <c r="F217" s="13">
        <v>42899.73605324074</v>
      </c>
      <c r="G217" s="7">
        <v>1</v>
      </c>
      <c r="H217" s="21" t="s">
        <v>975</v>
      </c>
      <c r="I217" s="13">
        <v>42899.746608796297</v>
      </c>
      <c r="J217" s="7">
        <v>0</v>
      </c>
      <c r="K217" s="92" t="str">
        <f t="shared" si="84"/>
        <v>4023/4024</v>
      </c>
      <c r="L217" s="21" t="str">
        <f>VLOOKUP(A217,'Trips&amp;Operators'!$C$1:$G$99999,5,FALSE)</f>
        <v>BRUDER RICHARD</v>
      </c>
      <c r="M217" s="6">
        <f t="shared" si="85"/>
        <v>1.0555555556493346E-2</v>
      </c>
      <c r="N217" s="7">
        <f t="shared" si="82"/>
        <v>15.200000001350418</v>
      </c>
      <c r="O217" s="7"/>
      <c r="P217" s="7"/>
      <c r="Q217" s="22"/>
      <c r="R217" s="173"/>
      <c r="S217" s="176">
        <f t="shared" si="83"/>
        <v>1</v>
      </c>
      <c r="T217" s="202" t="str">
        <f t="shared" si="86"/>
        <v>Southbound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87"/>
        <v>https://d0f6bd738d7f1b3e5a7ca70fe4ff75f0.us-east-1.aws.found.io/app/kibana#/discover/Steve-Slow-Train-Analysis-(2080s-and-2083s)?_g=(refreshInterval:(display:Off,pause:!f,section:0,value:0),time:(from:'2017-06-13T16:37:01-0600',mode:absolute,to:'2017-06-13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204" t="str">
        <f t="shared" si="88"/>
        <v>N</v>
      </c>
      <c r="X217" s="204">
        <f t="shared" si="100"/>
        <v>1</v>
      </c>
      <c r="Y217" s="204">
        <f t="shared" si="89"/>
        <v>5.8638000000000003</v>
      </c>
      <c r="Z217" s="204">
        <f t="shared" si="90"/>
        <v>7.22E-2</v>
      </c>
      <c r="AA217" s="204">
        <f t="shared" si="91"/>
        <v>5.7916000000000007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2"/>
        <v>0834-13</v>
      </c>
      <c r="AE217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17" s="77" t="str">
        <f t="shared" si="94"/>
        <v>"C:\Program Files (x86)\AstroGrep\AstroGrep.exe" /e /r /s /spath="%USERPROFILE%\AppData\Local\Temp\OnboardLogs" /stypes="app*4023*20170613*" /stext=" 23:.+((SYSTEM_STATE.+slice.+state.+changed )|(ment ac)|(multiple cpu faults)|(system.+state.+changed )|(\[timeout)|(PRM\|1\|D)|(kpr)|(kdp)|(train st.+moving)|(\|lc)|(penalty))"</v>
      </c>
      <c r="AG217" s="1" t="str">
        <f t="shared" si="95"/>
        <v>NW</v>
      </c>
      <c r="AH217" s="81" t="str">
        <f t="shared" si="96"/>
        <v>"%USERPROFILE%\Documents\GitHub\eaglep3\Utilities\RefineRTDCRunTimes.py" --tripid 834-13 --locoid 4023 --swversion DE.1.0.9.0 --startMP 300:58638 --initTime 2017-06-13T17:37:01 --startdatetime 2017-06-13T17:39:55 --delay 1 --endMP 204:722 --enddatetime 2017-06-13T17:55:07 --enforcementcount 0 &gt;&gt;C:\Users\stu\Documents\GitHub\eaglep3-reporting\EC\2017-06-13-refined-times.txt</v>
      </c>
      <c r="AI217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{"issue":{"subject":"","project_id":79,"tracker_id":40,"status_id":1,"priority_id":2,"assigned_to_id":23,"start_date":"2017-06-13","description":"","custom_fields":[{"id":1,"name":"Subdivision","value":"NW"},{"id":4,"name":"Milepost","value":"0.0722"},{"id":17,"name":"Train ID","value":"834-13"},{"id":16,"name":"Locomotive ID","value":"4023"},{"id":130,"name":"Impact","value":""},{"id":150,"name":"Time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8"/>
        <v>start /low /b %USERPROFILE%\Documents\GitHub\eaglep3\Utilities\DownloadLogsFromS3.py --loco 4023 --day 2017-06-13</v>
      </c>
      <c r="AN217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s="20" customFormat="1" x14ac:dyDescent="0.25">
      <c r="A218" s="32" t="s">
        <v>774</v>
      </c>
      <c r="B218" s="7">
        <v>4056</v>
      </c>
      <c r="C218" s="21" t="s">
        <v>204</v>
      </c>
      <c r="D218" s="21" t="s">
        <v>976</v>
      </c>
      <c r="E218" s="13">
        <v>42899.740694444445</v>
      </c>
      <c r="F218" s="13">
        <v>42899.744016203702</v>
      </c>
      <c r="G218" s="7">
        <v>1</v>
      </c>
      <c r="H218" s="21" t="s">
        <v>977</v>
      </c>
      <c r="I218" s="13">
        <v>42899.755300925928</v>
      </c>
      <c r="J218" s="7">
        <v>0</v>
      </c>
      <c r="K218" s="92" t="str">
        <f t="shared" si="84"/>
        <v>4055/4056</v>
      </c>
      <c r="L218" s="21" t="str">
        <f>VLOOKUP(A218,'Trips&amp;Operators'!$C$1:$G$99999,5,FALSE)</f>
        <v>SAFIEF AEIMEN</v>
      </c>
      <c r="M218" s="6">
        <f t="shared" si="85"/>
        <v>1.1284722226264421E-2</v>
      </c>
      <c r="N218" s="7">
        <f t="shared" si="82"/>
        <v>16.250000005820766</v>
      </c>
      <c r="O218" s="7"/>
      <c r="P218" s="7"/>
      <c r="Q218" s="22"/>
      <c r="R218" s="173"/>
      <c r="S218" s="176">
        <f t="shared" si="83"/>
        <v>1</v>
      </c>
      <c r="T218" s="202" t="str">
        <f t="shared" si="86"/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 t="shared" si="87"/>
        <v>https://d0f6bd738d7f1b3e5a7ca70fe4ff75f0.us-east-1.aws.found.io/app/kibana#/discover/Steve-Slow-Train-Analysis-(2080s-and-2083s)?_g=(refreshInterval:(display:Off,pause:!f,section:0,value:0),time:(from:'2017-06-13T16:46:36-0600',mode:absolute,to:'2017-06-13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8" s="204" t="str">
        <f t="shared" si="88"/>
        <v>N</v>
      </c>
      <c r="X218" s="204">
        <f t="shared" si="100"/>
        <v>1</v>
      </c>
      <c r="Y218" s="204">
        <f t="shared" si="89"/>
        <v>9.8100000000000007E-2</v>
      </c>
      <c r="Z218" s="204">
        <f t="shared" si="90"/>
        <v>5.8929</v>
      </c>
      <c r="AA218" s="204">
        <f t="shared" si="91"/>
        <v>5.7948000000000004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2"/>
        <v>0835-13</v>
      </c>
      <c r="AE218" s="80" t="str">
        <f t="shared" si="93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218" s="77" t="str">
        <f t="shared" si="94"/>
        <v>"C:\Program Files (x86)\AstroGrep\AstroGrep.exe" /e /r /s /spath="%USERPROFILE%\AppData\Local\Temp\OnboardLogs" /stypes="app*4056*20170614*" /stext=" 00:.+((SYSTEM_STATE.+slice.+state.+changed )|(ment ac)|(multiple cpu faults)|(system.+state.+changed )|(\[timeout)|(PRM\|1\|D)|(kpr)|(kdp)|(train st.+moving)|(\|lc)|(penalty))"</v>
      </c>
      <c r="AG218" s="1" t="str">
        <f t="shared" si="95"/>
        <v>NW</v>
      </c>
      <c r="AH218" s="81" t="str">
        <f t="shared" si="96"/>
        <v>"%USERPROFILE%\Documents\GitHub\eaglep3\Utilities\RefineRTDCRunTimes.py" --tripid 835-13 --locoid 4056 --swversion DE.1.0.9.0 --startMP 204:981 --initTime 2017-06-13T17:46:36 --startdatetime 2017-06-13T17:51:23 --delay 1 --endMP 300:58929 --enddatetime 2017-06-13T18:07:38 --enforcementcount 0 &gt;&gt;C:\Users\stu\Documents\GitHub\eaglep3-reporting\EC\2017-06-13-refined-times.txt</v>
      </c>
      <c r="AI218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{"issue":{"subject":"","project_id":79,"tracker_id":40,"status_id":1,"priority_id":2,"assigned_to_id":23,"start_date":"2017-06-13","description":"","custom_fields":[{"id":1,"name":"Subdivision","value":"NW"},{"id":4,"name":"Milepost","value":"5.8929"},{"id":17,"name":"Train ID","value":"835-13"},{"id":16,"name":"Locomotive ID","value":"4056"},{"id":130,"name":"Impact","value":""},{"id":150,"name":"Time of Event (Mountain Time)","value":"18:07:38"},{"id":151,"name":"Denver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5" t="str">
        <f t="shared" si="98"/>
        <v>start /low /b %USERPROFILE%\Documents\GitHub\eaglep3\Utilities\DownloadLogsFromS3.py --loco 4056 --day 2017-06-13</v>
      </c>
      <c r="AN218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778</v>
      </c>
      <c r="B219" s="7">
        <v>4055</v>
      </c>
      <c r="C219" s="21" t="s">
        <v>204</v>
      </c>
      <c r="D219" s="21" t="s">
        <v>978</v>
      </c>
      <c r="E219" s="13">
        <v>42899.75675925926</v>
      </c>
      <c r="F219" s="13">
        <v>42899.758506944447</v>
      </c>
      <c r="G219" s="7">
        <v>1</v>
      </c>
      <c r="H219" s="21" t="s">
        <v>979</v>
      </c>
      <c r="I219" s="13">
        <v>42899.768240740741</v>
      </c>
      <c r="J219" s="7">
        <v>0</v>
      </c>
      <c r="K219" s="92" t="str">
        <f t="shared" si="84"/>
        <v>4055/4056</v>
      </c>
      <c r="L219" s="21" t="str">
        <f>VLOOKUP(A219,'Trips&amp;Operators'!$C$1:$G$99999,5,FALSE)</f>
        <v>SAFIEF AEIMEN</v>
      </c>
      <c r="M219" s="6">
        <f t="shared" si="85"/>
        <v>9.7337962943129241E-3</v>
      </c>
      <c r="N219" s="7">
        <f t="shared" si="82"/>
        <v>14.016666663810611</v>
      </c>
      <c r="O219" s="7"/>
      <c r="P219" s="7"/>
      <c r="Q219" s="22"/>
      <c r="R219" s="173"/>
      <c r="S219" s="176">
        <f t="shared" si="83"/>
        <v>1</v>
      </c>
      <c r="T219" s="202" t="str">
        <f t="shared" si="86"/>
        <v>Southbound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 t="shared" si="87"/>
        <v>https://d0f6bd738d7f1b3e5a7ca70fe4ff75f0.us-east-1.aws.found.io/app/kibana#/discover/Steve-Slow-Train-Analysis-(2080s-and-2083s)?_g=(refreshInterval:(display:Off,pause:!f,section:0,value:0),time:(from:'2017-06-13T17:09:44-0600',mode:absolute,to:'2017-06-13T19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9" s="204" t="str">
        <f t="shared" si="88"/>
        <v>N</v>
      </c>
      <c r="X219" s="204">
        <f t="shared" si="100"/>
        <v>1</v>
      </c>
      <c r="Y219" s="204">
        <f t="shared" si="89"/>
        <v>5.8623000000000003</v>
      </c>
      <c r="Z219" s="204">
        <f t="shared" si="90"/>
        <v>7.17E-2</v>
      </c>
      <c r="AA219" s="204">
        <f t="shared" si="91"/>
        <v>5.7906000000000004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2"/>
        <v>0836-13</v>
      </c>
      <c r="AE219" s="80" t="str">
        <f t="shared" si="93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219" s="77" t="str">
        <f t="shared" si="94"/>
        <v>"C:\Program Files (x86)\AstroGrep\AstroGrep.exe" /e /r /s /spath="%USERPROFILE%\AppData\Local\Temp\OnboardLogs" /stypes="app*4055*20170614*" /stext=" 00:.+((SYSTEM_STATE.+slice.+state.+changed )|(ment ac)|(multiple cpu faults)|(system.+state.+changed )|(\[timeout)|(PRM\|1\|D)|(kpr)|(kdp)|(train st.+moving)|(\|lc)|(penalty))"</v>
      </c>
      <c r="AG219" s="1" t="str">
        <f t="shared" si="95"/>
        <v>NW</v>
      </c>
      <c r="AH219" s="81" t="str">
        <f t="shared" si="96"/>
        <v>"%USERPROFILE%\Documents\GitHub\eaglep3\Utilities\RefineRTDCRunTimes.py" --tripid 836-13 --locoid 4055 --swversion DE.1.0.9.0 --startMP 300:58623 --initTime 2017-06-13T18:09:44 --startdatetime 2017-06-13T18:12:15 --delay 1 --endMP 204:717 --enddatetime 2017-06-13T18:26:16 --enforcementcount 0 &gt;&gt;C:\Users\stu\Documents\GitHub\eaglep3-reporting\EC\2017-06-13-refined-times.txt</v>
      </c>
      <c r="AI219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{"issue":{"subject":"","project_id":79,"tracker_id":40,"status_id":1,"priority_id":2,"assigned_to_id":23,"start_date":"2017-06-13","description":"","custom_fields":[{"id":1,"name":"Subdivision","value":"NW"},{"id":4,"name":"Milepost","value":"0.0717"},{"id":17,"name":"Train ID","value":"836-13"},{"id":16,"name":"Locomotive ID","value":"4055"},{"id":130,"name":"Impact","value":""},{"id":150,"name":"Time of Event (Mountain Time)","value":"18:26:16"},{"id":151,"name":"Denver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8"/>
        <v>start /low /b %USERPROFILE%\Documents\GitHub\eaglep3\Utilities\DownloadLogsFromS3.py --loco 4055 --day 2017-06-13</v>
      </c>
      <c r="AN219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779</v>
      </c>
      <c r="B220" s="7">
        <v>4024</v>
      </c>
      <c r="C220" s="21" t="s">
        <v>204</v>
      </c>
      <c r="D220" s="21" t="s">
        <v>954</v>
      </c>
      <c r="E220" s="13">
        <v>42899.761307870373</v>
      </c>
      <c r="F220" s="13">
        <v>42899.76489583333</v>
      </c>
      <c r="G220" s="7">
        <v>1</v>
      </c>
      <c r="H220" s="21" t="s">
        <v>514</v>
      </c>
      <c r="I220" s="13">
        <v>42899.77480324074</v>
      </c>
      <c r="J220" s="7">
        <v>0</v>
      </c>
      <c r="K220" s="92" t="str">
        <f t="shared" si="84"/>
        <v>4023/4024</v>
      </c>
      <c r="L220" s="21" t="str">
        <f>VLOOKUP(A220,'Trips&amp;Operators'!$C$1:$G$99999,5,FALSE)</f>
        <v>BRUDER RICHARD</v>
      </c>
      <c r="M220" s="6">
        <f t="shared" si="85"/>
        <v>9.9074074096279219E-3</v>
      </c>
      <c r="N220" s="7">
        <f t="shared" si="82"/>
        <v>14.266666669864208</v>
      </c>
      <c r="O220" s="7"/>
      <c r="P220" s="7"/>
      <c r="Q220" s="22"/>
      <c r="R220" s="173"/>
      <c r="S220" s="176">
        <f t="shared" si="83"/>
        <v>1</v>
      </c>
      <c r="T220" s="202" t="str">
        <f t="shared" si="86"/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87"/>
        <v>https://d0f6bd738d7f1b3e5a7ca70fe4ff75f0.us-east-1.aws.found.io/app/kibana#/discover/Steve-Slow-Train-Analysis-(2080s-and-2083s)?_g=(refreshInterval:(display:Off,pause:!f,section:0,value:0),time:(from:'2017-06-13T17:16:17-0600',mode:absolute,to:'2017-06-13T19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0" s="204" t="str">
        <f t="shared" si="88"/>
        <v>N</v>
      </c>
      <c r="X220" s="204">
        <f t="shared" si="100"/>
        <v>1</v>
      </c>
      <c r="Y220" s="204">
        <f t="shared" si="89"/>
        <v>0.1007</v>
      </c>
      <c r="Z220" s="204">
        <f t="shared" si="90"/>
        <v>5.8943000000000003</v>
      </c>
      <c r="AA220" s="204">
        <f t="shared" si="91"/>
        <v>5.7936000000000005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2"/>
        <v>0837-13</v>
      </c>
      <c r="AE220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20" s="77" t="str">
        <f t="shared" si="94"/>
        <v>"C:\Program Files (x86)\AstroGrep\AstroGrep.exe" /e /r /s /spath="%USERPROFILE%\AppData\Local\Temp\OnboardLogs" /stypes="app*4024*20170614*" /stext=" 00:.+((SYSTEM_STATE.+slice.+state.+changed )|(ment ac)|(multiple cpu faults)|(system.+state.+changed )|(\[timeout)|(PRM\|1\|D)|(kpr)|(kdp)|(train st.+moving)|(\|lc)|(penalty))"</v>
      </c>
      <c r="AG220" s="1" t="str">
        <f t="shared" si="95"/>
        <v>NW</v>
      </c>
      <c r="AH220" s="81" t="str">
        <f t="shared" si="96"/>
        <v>"%USERPROFILE%\Documents\GitHub\eaglep3\Utilities\RefineRTDCRunTimes.py" --tripid 837-13 --locoid 4024 --swversion DE.1.0.9.0 --startMP 204:1007 --initTime 2017-06-13T18:16:17 --startdatetime 2017-06-13T18:21:27 --delay 1 --endMP 300:58943 --enddatetime 2017-06-13T18:35:43 --enforcementcount 0 &gt;&gt;C:\Users\stu\Documents\GitHub\eaglep3-reporting\EC\2017-06-13-refined-times.txt</v>
      </c>
      <c r="AI220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{"issue":{"subject":"","project_id":79,"tracker_id":40,"status_id":1,"priority_id":2,"assigned_to_id":23,"start_date":"2017-06-13","description":"","custom_fields":[{"id":1,"name":"Subdivision","value":"NW"},{"id":4,"name":"Milepost","value":"5.8943"},{"id":17,"name":"Train ID","value":"837-13"},{"id":16,"name":"Locomotive ID","value":"4024"},{"id":130,"name":"Impact","value":""},{"id":150,"name":"Time of Event (Mountain Time)","value":"18:35:43"},{"id":151,"name":"Denver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8"/>
        <v>start /low /b %USERPROFILE%\Documents\GitHub\eaglep3\Utilities\DownloadLogsFromS3.py --loco 4024 --day 2017-06-13</v>
      </c>
      <c r="AN220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2" t="s">
        <v>783</v>
      </c>
      <c r="B221" s="7">
        <v>4023</v>
      </c>
      <c r="C221" s="21" t="s">
        <v>204</v>
      </c>
      <c r="D221" s="21" t="s">
        <v>954</v>
      </c>
      <c r="E221" s="13">
        <v>42899.761307870373</v>
      </c>
      <c r="F221" s="13">
        <v>42899.777372685188</v>
      </c>
      <c r="G221" s="7">
        <v>1</v>
      </c>
      <c r="H221" s="21" t="s">
        <v>514</v>
      </c>
      <c r="I221" s="13">
        <v>42899.789629629631</v>
      </c>
      <c r="J221" s="7">
        <v>0</v>
      </c>
      <c r="K221" s="92" t="str">
        <f t="shared" si="84"/>
        <v>4023/4024</v>
      </c>
      <c r="L221" s="21" t="str">
        <f>VLOOKUP(A221,'Trips&amp;Operators'!$C$1:$G$99999,5,FALSE)</f>
        <v>BRUDER RICHARD</v>
      </c>
      <c r="M221" s="6">
        <f t="shared" si="85"/>
        <v>1.2256944442924578E-2</v>
      </c>
      <c r="N221" s="7">
        <f t="shared" si="82"/>
        <v>17.649999997811392</v>
      </c>
      <c r="O221" s="7"/>
      <c r="P221" s="7"/>
      <c r="Q221" s="22"/>
      <c r="R221" s="173"/>
      <c r="S221" s="176">
        <f t="shared" si="83"/>
        <v>1</v>
      </c>
      <c r="T221" s="202" t="str">
        <f t="shared" si="86"/>
        <v>Southbound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87"/>
        <v>https://d0f6bd738d7f1b3e5a7ca70fe4ff75f0.us-east-1.aws.found.io/app/kibana#/discover/Steve-Slow-Train-Analysis-(2080s-and-2083s)?_g=(refreshInterval:(display:Off,pause:!f,section:0,value:0),time:(from:'2017-06-13T17:16:17-0600',mode:absolute,to:'2017-06-13T19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1" s="204" t="str">
        <f t="shared" si="88"/>
        <v>N</v>
      </c>
      <c r="X221" s="204">
        <f t="shared" si="100"/>
        <v>1</v>
      </c>
      <c r="Y221" s="204">
        <v>5.8623000000000003</v>
      </c>
      <c r="Z221" s="204">
        <v>7.17E-2</v>
      </c>
      <c r="AA221" s="204">
        <f t="shared" si="91"/>
        <v>5.7906000000000004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2"/>
        <v>0838-13</v>
      </c>
      <c r="AE221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21" s="77" t="str">
        <f t="shared" si="94"/>
        <v>"C:\Program Files (x86)\AstroGrep\AstroGrep.exe" /e /r /s /spath="%USERPROFILE%\AppData\Local\Temp\OnboardLogs" /stypes="app*4023*20170614*" /stext=" 00:.+((SYSTEM_STATE.+slice.+state.+changed )|(ment ac)|(multiple cpu faults)|(system.+state.+changed )|(\[timeout)|(PRM\|1\|D)|(kpr)|(kdp)|(train st.+moving)|(\|lc)|(penalty))"</v>
      </c>
      <c r="AG221" s="1" t="str">
        <f t="shared" si="95"/>
        <v>NW</v>
      </c>
      <c r="AH221" s="81" t="str">
        <f t="shared" ref="AH221" si="101">refinertdcruntimes&amp;" --tripid "&amp;A221&amp;" --locoid "&amp;B221&amp;" --swversion "&amp;C221&amp;" --startMP "&amp;D221&amp;" --initTime "&amp;TEXT(E221,"yyyy-mm-ddTHH:MM:SS")&amp;" --startdatetime "&amp;TEXT(F221,"yyyy-mm-ddTHH:MM:SS")&amp;" --delay "&amp;G221&amp;" --endMP "&amp;H221&amp;" --enddatetime "&amp;TEXT(I221,"yyyy-mm-ddTHH:MM:SS")&amp;" --enforcementcount "&amp;J221&amp;IF(outputrefinedruntimes," &gt;&gt;"&amp;RefinedRTDCRunTimesOutputFile,"")</f>
        <v>"%USERPROFILE%\Documents\GitHub\eaglep3\Utilities\RefineRTDCRunTimes.py" --tripid 838-13 --locoid 4023 --swversion DE.1.0.9.0 --startMP 204:1007 --initTime 2017-06-13T18:16:17 --startdatetime 2017-06-13T18:39:25 --delay 1 --endMP 300:58943 --enddatetime 2017-06-13T18:57:04 --enforcementcount 0 &gt;&gt;C:\Users\stu\Documents\GitHub\eaglep3-reporting\EC\2017-06-13-refined-times.txt</v>
      </c>
      <c r="AI221" s="99" t="str">
        <f t="shared" ref="AI221" si="102">"echo {""issue"":{""subject"":"""&amp;R221&amp;""",""project_id"":79,""tracker_id"":40,""status_id"":"&amp;redmine_status&amp;",""priority_id"":"&amp;redmine_priority&amp;",""assigned_to_id"":"&amp;redmine_assignee&amp;",""start_date"":"""&amp;TEXT(I221,"YYYY-mm-dd")&amp;""",""description"":"""&amp;AJ221&amp;""",""custom_fields"":[{""id"":1,""name"":""Subdivision"",""value"":"""&amp;AG221&amp;"""},{""id"":4,""name"":""Milepost"",""value"":"""&amp;Z221&amp;"""},{""id"":17,""name"":""Train ID"",""value"":"""&amp;A221&amp;"""},{""id"":16,""name"":""Locomotive ID"",""value"":"""&amp;B221&amp;"""},{""id"":130,""name"":""Impact"",""value"":"""&amp;AK221&amp;"""},{""id"":150,""name"":""Time of Event (Mountain Time)"",""value"":"""&amp;TEXT(I221,"hh:mm:ss")&amp;"""},{""id"":151,""name"":""Denver Issue ID"",""value"":"""&amp;"""},{""id"":178,""name"":""Operational Impact"",""value"":"""&amp;redmine_op_impact&amp;"""},{""id"":179,""name"":""Denver Segment Assigned"",""value"":"""&amp;AL221&amp;"""}]}}"&amp;"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{"issue":{"subject":"","project_id":79,"tracker_id":40,"status_id":1,"priority_id":2,"assigned_to_id":23,"start_date":"2017-06-13","description":"","custom_fields":[{"id":1,"name":"Subdivision","value":"NW"},{"id":4,"name":"Milepost","value":"0.0717"},{"id":17,"name":"Train ID","value":"838-13"},{"id":16,"name":"Locomotive ID","value":"4023"},{"id":130,"name":"Impact","value":""},{"id":150,"name":"Time of Event (Mountain Time)","value":"18:57:04"},{"id":151,"name":"Denver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5" t="str">
        <f t="shared" ref="AM221" si="103">"start /low /b "&amp;dls3logs&amp;" --loco "&amp;B221&amp;" --day "&amp;TEXT(F221,"YYYY-MM-DD")</f>
        <v>start /low /b %USERPROFILE%\Documents\GitHub\eaglep3\Utilities\DownloadLogsFromS3.py --loco 4023 --day 2017-06-13</v>
      </c>
      <c r="AN221" s="154" t="str">
        <f t="shared" ref="AN221" si="104">"echo {""issue"":{""subject"":"""&amp;R221&amp;""",""project_id"":30,""tracker_id"":4,""status_id"":"&amp;redmine_status_wcr&amp;",""priority_id"":"&amp;redmine_priority_wcr&amp;",""assigned_to_id"":"&amp;redmine_assignee_wcr&amp;",""start_date"":"""&amp;TEXT(I221-utc_offset/24,"YYYY-mm-dd")&amp;""",""description"":"""&amp;AJ221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781</v>
      </c>
      <c r="B222" s="7">
        <v>4056</v>
      </c>
      <c r="C222" s="21" t="s">
        <v>204</v>
      </c>
      <c r="D222" s="21" t="s">
        <v>980</v>
      </c>
      <c r="E222" s="13">
        <v>42899.770891203705</v>
      </c>
      <c r="F222" s="13">
        <v>42899.785902777781</v>
      </c>
      <c r="G222" s="7">
        <v>1</v>
      </c>
      <c r="H222" s="21" t="s">
        <v>981</v>
      </c>
      <c r="I222" s="13">
        <v>42899.795636574076</v>
      </c>
      <c r="J222" s="7">
        <v>0</v>
      </c>
      <c r="K222" s="92" t="str">
        <f t="shared" si="84"/>
        <v>4055/4056</v>
      </c>
      <c r="L222" s="21" t="str">
        <f>VLOOKUP(A222,'Trips&amp;Operators'!$C$1:$G$99999,5,FALSE)</f>
        <v>SAFIEF AEIMEN</v>
      </c>
      <c r="M222" s="6">
        <f t="shared" si="85"/>
        <v>9.7337962943129241E-3</v>
      </c>
      <c r="N222" s="7">
        <f t="shared" si="82"/>
        <v>14.016666663810611</v>
      </c>
      <c r="O222" s="7"/>
      <c r="P222" s="7"/>
      <c r="Q222" s="22"/>
      <c r="R222" s="173"/>
      <c r="S222" s="176">
        <f t="shared" si="83"/>
        <v>1</v>
      </c>
      <c r="T222" s="202" t="str">
        <f t="shared" si="86"/>
        <v>NorthBound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87"/>
        <v>https://d0f6bd738d7f1b3e5a7ca70fe4ff75f0.us-east-1.aws.found.io/app/kibana#/discover/Steve-Slow-Train-Analysis-(2080s-and-2083s)?_g=(refreshInterval:(display:Off,pause:!f,section:0,value:0),time:(from:'2017-06-13T17:30:05-0600',mode:absolute,to:'2017-06-13T20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2" s="204" t="str">
        <f t="shared" si="88"/>
        <v>N</v>
      </c>
      <c r="X222" s="204">
        <f t="shared" si="100"/>
        <v>1</v>
      </c>
      <c r="Y222" s="204">
        <f t="shared" ref="Y222:Y261" si="105">RIGHT(D222,LEN(D222)-4)/10000</f>
        <v>0.1014</v>
      </c>
      <c r="Z222" s="204">
        <f t="shared" ref="Z222:Z261" si="106">RIGHT(H222,LEN(H222)-4)/10000</f>
        <v>5.8935000000000004</v>
      </c>
      <c r="AA222" s="204">
        <f t="shared" si="91"/>
        <v>5.7921000000000005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2"/>
        <v>0839-13</v>
      </c>
      <c r="AE222" s="80" t="str">
        <f t="shared" si="93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222" s="77" t="str">
        <f t="shared" si="94"/>
        <v>"C:\Program Files (x86)\AstroGrep\AstroGrep.exe" /e /r /s /spath="%USERPROFILE%\AppData\Local\Temp\OnboardLogs" /stypes="app*4056*20170614*" /stext=" 01:.+((SYSTEM_STATE.+slice.+state.+changed )|(ment ac)|(multiple cpu faults)|(system.+state.+changed )|(\[timeout)|(PRM\|1\|D)|(kpr)|(kdp)|(train st.+moving)|(\|lc)|(penalty))"</v>
      </c>
      <c r="AG222" s="1" t="str">
        <f t="shared" si="95"/>
        <v>NW</v>
      </c>
      <c r="AH222" s="81" t="str">
        <f t="shared" si="96"/>
        <v>"%USERPROFILE%\Documents\GitHub\eaglep3\Utilities\RefineRTDCRunTimes.py" --tripid 839-13 --locoid 4056 --swversion DE.1.0.9.0 --startMP 204:1014 --initTime 2017-06-13T18:30:05 --startdatetime 2017-06-13T18:51:42 --delay 1 --endMP 300:58935 --enddatetime 2017-06-13T19:05:43 --enforcementcount 0 &gt;&gt;C:\Users\stu\Documents\GitHub\eaglep3-reporting\EC\2017-06-13-refined-times.txt</v>
      </c>
      <c r="AI222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{"issue":{"subject":"","project_id":79,"tracker_id":40,"status_id":1,"priority_id":2,"assigned_to_id":23,"start_date":"2017-06-13","description":"","custom_fields":[{"id":1,"name":"Subdivision","value":"NW"},{"id":4,"name":"Milepost","value":"5.8935"},{"id":17,"name":"Train ID","value":"839-13"},{"id":16,"name":"Locomotive ID","value":"4056"},{"id":130,"name":"Impact","value":""},{"id":150,"name":"Time of Event (Mountain Time)","value":"19:05:43"},{"id":151,"name":"Denver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8"/>
        <v>start /low /b %USERPROFILE%\Documents\GitHub\eaglep3\Utilities\DownloadLogsFromS3.py --loco 4056 --day 2017-06-13</v>
      </c>
      <c r="AN222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792</v>
      </c>
      <c r="B223" s="7">
        <v>4023</v>
      </c>
      <c r="C223" s="21" t="s">
        <v>204</v>
      </c>
      <c r="D223" s="21" t="s">
        <v>577</v>
      </c>
      <c r="E223" s="13">
        <v>42899.817777777775</v>
      </c>
      <c r="F223" s="13">
        <v>42899.819803240738</v>
      </c>
      <c r="G223" s="7">
        <v>1</v>
      </c>
      <c r="H223" s="21" t="s">
        <v>942</v>
      </c>
      <c r="I223" s="13">
        <v>42899.831736111111</v>
      </c>
      <c r="J223" s="7">
        <v>0</v>
      </c>
      <c r="K223" s="92" t="str">
        <f t="shared" si="84"/>
        <v>4023/4024</v>
      </c>
      <c r="L223" s="21" t="str">
        <f>VLOOKUP(A223,'Trips&amp;Operators'!$C$1:$G$99999,5,FALSE)</f>
        <v>BRUDER RICHARD</v>
      </c>
      <c r="M223" s="6">
        <f t="shared" si="85"/>
        <v>1.1932870373129845E-2</v>
      </c>
      <c r="N223" s="7">
        <f t="shared" ref="N223:N254" si="107">24*60*SUM($M223:$M223)</f>
        <v>17.183333337306976</v>
      </c>
      <c r="O223" s="7"/>
      <c r="P223" s="7"/>
      <c r="Q223" s="22"/>
      <c r="R223" s="173"/>
      <c r="S223" s="176">
        <f t="shared" ref="S223:S254" si="108">SUM(U223:U223)/IF(AG223="EC",12,1)</f>
        <v>1</v>
      </c>
      <c r="T223" s="202" t="str">
        <f t="shared" si="86"/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03" t="str">
        <f t="shared" si="87"/>
        <v>https://d0f6bd738d7f1b3e5a7ca70fe4ff75f0.us-east-1.aws.found.io/app/kibana#/discover/Steve-Slow-Train-Analysis-(2080s-and-2083s)?_g=(refreshInterval:(display:Off,pause:!f,section:0,value:0),time:(from:'2017-06-13T18:37:36-0600',mode:absolute,to:'2017-06-13T20:57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3" s="204" t="str">
        <f t="shared" si="88"/>
        <v>N</v>
      </c>
      <c r="X223" s="204">
        <f t="shared" si="100"/>
        <v>1</v>
      </c>
      <c r="Y223" s="204">
        <f t="shared" si="105"/>
        <v>5.8620999999999999</v>
      </c>
      <c r="Z223" s="204">
        <f t="shared" si="106"/>
        <v>7.3599999999999999E-2</v>
      </c>
      <c r="AA223" s="204">
        <f t="shared" si="91"/>
        <v>5.7885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2"/>
        <v>0840-13</v>
      </c>
      <c r="AE223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23" s="77" t="str">
        <f t="shared" si="94"/>
        <v>"C:\Program Files (x86)\AstroGrep\AstroGrep.exe" /e /r /s /spath="%USERPROFILE%\AppData\Local\Temp\OnboardLogs" /stypes="app*4023*20170614*" /stext=" 01:.+((SYSTEM_STATE.+slice.+state.+changed )|(ment ac)|(multiple cpu faults)|(system.+state.+changed )|(\[timeout)|(PRM\|1\|D)|(kpr)|(kdp)|(train st.+moving)|(\|lc)|(penalty))"</v>
      </c>
      <c r="AG223" s="1" t="str">
        <f t="shared" si="95"/>
        <v>NW</v>
      </c>
      <c r="AH223" s="81" t="str">
        <f t="shared" si="96"/>
        <v>"%USERPROFILE%\Documents\GitHub\eaglep3\Utilities\RefineRTDCRunTimes.py" --tripid 840-13 --locoid 4023 --swversion DE.1.0.9.0 --startMP 300:58621 --initTime 2017-06-13T19:37:36 --startdatetime 2017-06-13T19:40:31 --delay 1 --endMP 204:736 --enddatetime 2017-06-13T19:57:42 --enforcementcount 0 &gt;&gt;C:\Users\stu\Documents\GitHub\eaglep3-reporting\EC\2017-06-13-refined-times.txt</v>
      </c>
      <c r="AI223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{"issue":{"subject":"","project_id":79,"tracker_id":40,"status_id":1,"priority_id":2,"assigned_to_id":23,"start_date":"2017-06-13","description":"","custom_fields":[{"id":1,"name":"Subdivision","value":"NW"},{"id":4,"name":"Milepost","value":"0.0736"},{"id":17,"name":"Train ID","value":"840-13"},{"id":16,"name":"Locomotive ID","value":"4023"},{"id":130,"name":"Impact","value":""},{"id":150,"name":"Time of Event (Mountain Time)","value":"19:57:42"},{"id":151,"name":"Denver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8"/>
        <v>start /low /b %USERPROFILE%\Documents\GitHub\eaglep3\Utilities\DownloadLogsFromS3.py --loco 4023 --day 2017-06-13</v>
      </c>
      <c r="AN223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617</v>
      </c>
      <c r="B224" s="7">
        <v>4024</v>
      </c>
      <c r="C224" s="21" t="s">
        <v>204</v>
      </c>
      <c r="D224" s="21" t="s">
        <v>980</v>
      </c>
      <c r="E224" s="13">
        <v>42899.802604166667</v>
      </c>
      <c r="F224" s="13">
        <v>42899.806435185186</v>
      </c>
      <c r="G224" s="7">
        <v>1</v>
      </c>
      <c r="H224" s="21" t="s">
        <v>583</v>
      </c>
      <c r="I224" s="13">
        <v>42899.816759259258</v>
      </c>
      <c r="J224" s="7">
        <v>0</v>
      </c>
      <c r="K224" s="92" t="str">
        <f t="shared" si="84"/>
        <v>4023/4024</v>
      </c>
      <c r="L224" s="21" t="str">
        <f>VLOOKUP(A224,'Trips&amp;Operators'!$C$1:$G$99999,5,FALSE)</f>
        <v>BRUDER RICHARD</v>
      </c>
      <c r="M224" s="6">
        <f t="shared" si="85"/>
        <v>1.0324074071832001E-2</v>
      </c>
      <c r="N224" s="7">
        <f t="shared" si="107"/>
        <v>14.866666663438082</v>
      </c>
      <c r="O224" s="7"/>
      <c r="P224" s="7"/>
      <c r="Q224" s="22"/>
      <c r="R224" s="173"/>
      <c r="S224" s="176">
        <f t="shared" si="108"/>
        <v>1</v>
      </c>
      <c r="T224" s="202" t="str">
        <f t="shared" si="86"/>
        <v>NorthBound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03" t="str">
        <f t="shared" si="87"/>
        <v>https://d0f6bd738d7f1b3e5a7ca70fe4ff75f0.us-east-1.aws.found.io/app/kibana#/discover/Steve-Slow-Train-Analysis-(2080s-and-2083s)?_g=(refreshInterval:(display:Off,pause:!f,section:0,value:0),time:(from:'2017-06-13T18:15:45-0600',mode:absolute,to:'2017-06-13T20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4" s="204" t="str">
        <f t="shared" si="88"/>
        <v>N</v>
      </c>
      <c r="X224" s="204">
        <f t="shared" si="100"/>
        <v>1</v>
      </c>
      <c r="Y224" s="204">
        <f t="shared" si="105"/>
        <v>0.1014</v>
      </c>
      <c r="Z224" s="204">
        <f t="shared" si="106"/>
        <v>5.8944000000000001</v>
      </c>
      <c r="AA224" s="204">
        <f t="shared" si="91"/>
        <v>5.7930000000000001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2"/>
        <v>0841-13</v>
      </c>
      <c r="AE224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24" s="77" t="str">
        <f t="shared" si="94"/>
        <v>"C:\Program Files (x86)\AstroGrep\AstroGrep.exe" /e /r /s /spath="%USERPROFILE%\AppData\Local\Temp\OnboardLogs" /stypes="app*4024*20170614*" /stext=" 01:.+((SYSTEM_STATE.+slice.+state.+changed )|(ment ac)|(multiple cpu faults)|(system.+state.+changed )|(\[timeout)|(PRM\|1\|D)|(kpr)|(kdp)|(train st.+moving)|(\|lc)|(penalty))"</v>
      </c>
      <c r="AG224" s="1" t="str">
        <f t="shared" si="95"/>
        <v>NW</v>
      </c>
      <c r="AH224" s="81" t="str">
        <f t="shared" si="96"/>
        <v>"%USERPROFILE%\Documents\GitHub\eaglep3\Utilities\RefineRTDCRunTimes.py" --tripid 841-13 --locoid 4024 --swversion DE.1.0.9.0 --startMP 204:1014 --initTime 2017-06-13T19:15:45 --startdatetime 2017-06-13T19:21:16 --delay 1 --endMP 300:58944 --enddatetime 2017-06-13T19:36:08 --enforcementcount 0 &gt;&gt;C:\Users\stu\Documents\GitHub\eaglep3-reporting\EC\2017-06-13-refined-times.txt</v>
      </c>
      <c r="AI224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{"issue":{"subject":"","project_id":79,"tracker_id":40,"status_id":1,"priority_id":2,"assigned_to_id":23,"start_date":"2017-06-13","description":"","custom_fields":[{"id":1,"name":"Subdivision","value":"NW"},{"id":4,"name":"Milepost","value":"5.8944"},{"id":17,"name":"Train ID","value":"841-13"},{"id":16,"name":"Locomotive ID","value":"4024"},{"id":130,"name":"Impact","value":""},{"id":150,"name":"Time of Event (Mountain Time)","value":"19:36:08"},{"id":151,"name":"Denver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8"/>
        <v>start /low /b %USERPROFILE%\Documents\GitHub\eaglep3\Utilities\DownloadLogsFromS3.py --loco 4024 --day 2017-06-13</v>
      </c>
      <c r="AN224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798</v>
      </c>
      <c r="B225" s="7">
        <v>4023</v>
      </c>
      <c r="C225" s="21" t="s">
        <v>204</v>
      </c>
      <c r="D225" s="21" t="s">
        <v>502</v>
      </c>
      <c r="E225" s="13">
        <v>42899.858657407407</v>
      </c>
      <c r="F225" s="13">
        <v>42899.860474537039</v>
      </c>
      <c r="G225" s="7">
        <v>1</v>
      </c>
      <c r="H225" s="21" t="s">
        <v>982</v>
      </c>
      <c r="I225" s="13">
        <v>42899.871793981481</v>
      </c>
      <c r="J225" s="7">
        <v>0</v>
      </c>
      <c r="K225" s="92" t="str">
        <f t="shared" si="84"/>
        <v>4023/4024</v>
      </c>
      <c r="L225" s="21" t="str">
        <f>VLOOKUP(A225,'Trips&amp;Operators'!$C$1:$G$99999,5,FALSE)</f>
        <v>BRUDER RICHARD</v>
      </c>
      <c r="M225" s="6">
        <f t="shared" si="85"/>
        <v>1.1319444442051463E-2</v>
      </c>
      <c r="N225" s="7">
        <f t="shared" si="107"/>
        <v>16.299999996554106</v>
      </c>
      <c r="O225" s="7"/>
      <c r="P225" s="7"/>
      <c r="Q225" s="22"/>
      <c r="R225" s="173"/>
      <c r="S225" s="176">
        <f t="shared" si="108"/>
        <v>1</v>
      </c>
      <c r="T225" s="202" t="str">
        <f t="shared" si="86"/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03" t="str">
        <f t="shared" si="87"/>
        <v>https://d0f6bd738d7f1b3e5a7ca70fe4ff75f0.us-east-1.aws.found.io/app/kibana#/discover/Steve-Slow-Train-Analysis-(2080s-and-2083s)?_g=(refreshInterval:(display:Off,pause:!f,section:0,value:0),time:(from:'2017-06-13T19:36:28-0600',mode:absolute,to:'2017-06-13T21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04" t="str">
        <f t="shared" si="88"/>
        <v>N</v>
      </c>
      <c r="X225" s="204">
        <f t="shared" si="100"/>
        <v>1</v>
      </c>
      <c r="Y225" s="204">
        <f t="shared" si="105"/>
        <v>5.8635999999999999</v>
      </c>
      <c r="Z225" s="204">
        <f t="shared" si="106"/>
        <v>7.2599999999999998E-2</v>
      </c>
      <c r="AA225" s="204">
        <f t="shared" si="91"/>
        <v>5.7910000000000004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2"/>
        <v>0842-13</v>
      </c>
      <c r="AE225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25" s="77" t="str">
        <f t="shared" si="94"/>
        <v>"C:\Program Files (x86)\AstroGrep\AstroGrep.exe" /e /r /s /spath="%USERPROFILE%\AppData\Local\Temp\OnboardLogs" /stypes="app*4023*20170614*" /stext=" 02:.+((SYSTEM_STATE.+slice.+state.+changed )|(ment ac)|(multiple cpu faults)|(system.+state.+changed )|(\[timeout)|(PRM\|1\|D)|(kpr)|(kdp)|(train st.+moving)|(\|lc)|(penalty))"</v>
      </c>
      <c r="AG225" s="1" t="str">
        <f t="shared" si="95"/>
        <v>NW</v>
      </c>
      <c r="AH225" s="81" t="str">
        <f t="shared" si="96"/>
        <v>"%USERPROFILE%\Documents\GitHub\eaglep3\Utilities\RefineRTDCRunTimes.py" --tripid 842-13 --locoid 4023 --swversion DE.1.0.9.0 --startMP 300:58636 --initTime 2017-06-13T20:36:28 --startdatetime 2017-06-13T20:39:05 --delay 1 --endMP 204:726 --enddatetime 2017-06-13T20:55:23 --enforcementcount 0 &gt;&gt;C:\Users\stu\Documents\GitHub\eaglep3-reporting\EC\2017-06-13-refined-times.txt</v>
      </c>
      <c r="AI225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{"issue":{"subject":"","project_id":79,"tracker_id":40,"status_id":1,"priority_id":2,"assigned_to_id":23,"start_date":"2017-06-13","description":"","custom_fields":[{"id":1,"name":"Subdivision","value":"NW"},{"id":4,"name":"Milepost","value":"0.0726"},{"id":17,"name":"Train ID","value":"842-13"},{"id":16,"name":"Locomotive ID","value":"4023"},{"id":130,"name":"Impact","value":""},{"id":150,"name":"Time of Event (Mountain Time)","value":"20:55:23"},{"id":151,"name":"Denver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8"/>
        <v>start /low /b %USERPROFILE%\Documents\GitHub\eaglep3\Utilities\DownloadLogsFromS3.py --loco 4023 --day 2017-06-13</v>
      </c>
      <c r="AN225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795</v>
      </c>
      <c r="B226" s="7">
        <v>4024</v>
      </c>
      <c r="C226" s="21" t="s">
        <v>204</v>
      </c>
      <c r="D226" s="21" t="s">
        <v>579</v>
      </c>
      <c r="E226" s="13">
        <v>42899.844722222224</v>
      </c>
      <c r="F226" s="13">
        <v>42899.848136574074</v>
      </c>
      <c r="G226" s="7">
        <v>1</v>
      </c>
      <c r="H226" s="21" t="s">
        <v>516</v>
      </c>
      <c r="I226" s="13">
        <v>42899.857708333337</v>
      </c>
      <c r="J226" s="7">
        <v>0</v>
      </c>
      <c r="K226" s="92" t="str">
        <f t="shared" si="84"/>
        <v>4023/4024</v>
      </c>
      <c r="L226" s="21" t="str">
        <f>VLOOKUP(A226,'Trips&amp;Operators'!$C$1:$G$99999,5,FALSE)</f>
        <v>BRUDER RICHARD</v>
      </c>
      <c r="M226" s="6">
        <f t="shared" si="85"/>
        <v>9.5717592630535364E-3</v>
      </c>
      <c r="N226" s="7">
        <f t="shared" si="107"/>
        <v>13.783333338797092</v>
      </c>
      <c r="O226" s="7"/>
      <c r="P226" s="7"/>
      <c r="Q226" s="22"/>
      <c r="R226" s="173"/>
      <c r="S226" s="176">
        <f t="shared" si="108"/>
        <v>1</v>
      </c>
      <c r="T226" s="202" t="str">
        <f t="shared" si="86"/>
        <v>NorthBound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03" t="str">
        <f t="shared" si="87"/>
        <v>https://d0f6bd738d7f1b3e5a7ca70fe4ff75f0.us-east-1.aws.found.io/app/kibana#/discover/Steve-Slow-Train-Analysis-(2080s-and-2083s)?_g=(refreshInterval:(display:Off,pause:!f,section:0,value:0),time:(from:'2017-06-13T19:16:24-0600',mode:absolute,to:'2017-06-13T21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6" s="204" t="str">
        <f t="shared" si="88"/>
        <v>N</v>
      </c>
      <c r="X226" s="204">
        <f t="shared" si="100"/>
        <v>1</v>
      </c>
      <c r="Y226" s="204">
        <f t="shared" si="105"/>
        <v>0.1016</v>
      </c>
      <c r="Z226" s="204">
        <f t="shared" si="106"/>
        <v>5.8956</v>
      </c>
      <c r="AA226" s="204">
        <f t="shared" si="91"/>
        <v>5.7939999999999996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2"/>
        <v>0843-13</v>
      </c>
      <c r="AE226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26" s="77" t="str">
        <f t="shared" si="94"/>
        <v>"C:\Program Files (x86)\AstroGrep\AstroGrep.exe" /e /r /s /spath="%USERPROFILE%\AppData\Local\Temp\OnboardLogs" /stypes="app*4024*20170614*" /stext=" 02:.+((SYSTEM_STATE.+slice.+state.+changed )|(ment ac)|(multiple cpu faults)|(system.+state.+changed )|(\[timeout)|(PRM\|1\|D)|(kpr)|(kdp)|(train st.+moving)|(\|lc)|(penalty))"</v>
      </c>
      <c r="AG226" s="1" t="str">
        <f t="shared" si="95"/>
        <v>NW</v>
      </c>
      <c r="AH226" s="81" t="str">
        <f t="shared" si="96"/>
        <v>"%USERPROFILE%\Documents\GitHub\eaglep3\Utilities\RefineRTDCRunTimes.py" --tripid 843-13 --locoid 4024 --swversion DE.1.0.9.0 --startMP 204:1016 --initTime 2017-06-13T20:16:24 --startdatetime 2017-06-13T20:21:19 --delay 1 --endMP 300:58956 --enddatetime 2017-06-13T20:35:06 --enforcementcount 0 &gt;&gt;C:\Users\stu\Documents\GitHub\eaglep3-reporting\EC\2017-06-13-refined-times.txt</v>
      </c>
      <c r="AI226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{"issue":{"subject":"","project_id":79,"tracker_id":40,"status_id":1,"priority_id":2,"assigned_to_id":23,"start_date":"2017-06-13","description":"","custom_fields":[{"id":1,"name":"Subdivision","value":"NW"},{"id":4,"name":"Milepost","value":"5.8956"},{"id":17,"name":"Train ID","value":"843-13"},{"id":16,"name":"Locomotive ID","value":"4024"},{"id":130,"name":"Impact","value":""},{"id":150,"name":"Time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8"/>
        <v>start /low /b %USERPROFILE%\Documents\GitHub\eaglep3\Utilities\DownloadLogsFromS3.py --loco 4024 --day 2017-06-13</v>
      </c>
      <c r="AN226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802</v>
      </c>
      <c r="B227" s="7">
        <v>4023</v>
      </c>
      <c r="C227" s="21" t="s">
        <v>204</v>
      </c>
      <c r="D227" s="21" t="s">
        <v>584</v>
      </c>
      <c r="E227" s="13">
        <v>42899.900590277779</v>
      </c>
      <c r="F227" s="13">
        <v>42899.902800925927</v>
      </c>
      <c r="G227" s="7">
        <v>1</v>
      </c>
      <c r="H227" s="21" t="s">
        <v>983</v>
      </c>
      <c r="I227" s="13">
        <v>42899.913518518515</v>
      </c>
      <c r="J227" s="7">
        <v>0</v>
      </c>
      <c r="K227" s="92" t="str">
        <f t="shared" si="84"/>
        <v>4023/4024</v>
      </c>
      <c r="L227" s="21" t="str">
        <f>VLOOKUP(A227,'Trips&amp;Operators'!$C$1:$G$99999,5,FALSE)</f>
        <v>SAFIEF AEIMEN</v>
      </c>
      <c r="M227" s="6">
        <f t="shared" si="85"/>
        <v>1.0717592587752733E-2</v>
      </c>
      <c r="N227" s="7">
        <f t="shared" si="107"/>
        <v>15.433333326363936</v>
      </c>
      <c r="O227" s="7"/>
      <c r="P227" s="7"/>
      <c r="Q227" s="22"/>
      <c r="R227" s="173"/>
      <c r="S227" s="176">
        <f t="shared" si="108"/>
        <v>1</v>
      </c>
      <c r="T227" s="202" t="str">
        <f t="shared" si="86"/>
        <v>Southbound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03" t="str">
        <f t="shared" si="87"/>
        <v>https://d0f6bd738d7f1b3e5a7ca70fe4ff75f0.us-east-1.aws.found.io/app/kibana#/discover/Steve-Slow-Train-Analysis-(2080s-and-2083s)?_g=(refreshInterval:(display:Off,pause:!f,section:0,value:0),time:(from:'2017-06-13T20:36:51-0600',mode:absolute,to:'2017-06-13T22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7" s="204" t="str">
        <f t="shared" si="88"/>
        <v>N</v>
      </c>
      <c r="X227" s="204">
        <f t="shared" si="100"/>
        <v>1</v>
      </c>
      <c r="Y227" s="204">
        <f t="shared" si="105"/>
        <v>5.8604000000000003</v>
      </c>
      <c r="Z227" s="204">
        <f t="shared" si="106"/>
        <v>6.9599999999999995E-2</v>
      </c>
      <c r="AA227" s="204">
        <f t="shared" si="91"/>
        <v>5.7907999999999999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2"/>
        <v>0844-13</v>
      </c>
      <c r="AE227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27" s="77" t="str">
        <f t="shared" si="94"/>
        <v>"C:\Program Files (x86)\AstroGrep\AstroGrep.exe" /e /r /s /spath="%USERPROFILE%\AppData\Local\Temp\OnboardLogs" /stypes="app*4023*20170614*" /stext=" 03:.+((SYSTEM_STATE.+slice.+state.+changed )|(ment ac)|(multiple cpu faults)|(system.+state.+changed )|(\[timeout)|(PRM\|1\|D)|(kpr)|(kdp)|(train st.+moving)|(\|lc)|(penalty))"</v>
      </c>
      <c r="AG227" s="1" t="str">
        <f t="shared" si="95"/>
        <v>NW</v>
      </c>
      <c r="AH227" s="81" t="str">
        <f t="shared" si="96"/>
        <v>"%USERPROFILE%\Documents\GitHub\eaglep3\Utilities\RefineRTDCRunTimes.py" --tripid 844-13 --locoid 4023 --swversion DE.1.0.9.0 --startMP 300:58604 --initTime 2017-06-13T21:36:51 --startdatetime 2017-06-13T21:40:02 --delay 1 --endMP 204:696 --enddatetime 2017-06-13T21:55:28 --enforcementcount 0 &gt;&gt;C:\Users\stu\Documents\GitHub\eaglep3-reporting\EC\2017-06-13-refined-times.txt</v>
      </c>
      <c r="AI227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{"issue":{"subject":"","project_id":79,"tracker_id":40,"status_id":1,"priority_id":2,"assigned_to_id":23,"start_date":"2017-06-13","description":"","custom_fields":[{"id":1,"name":"Subdivision","value":"NW"},{"id":4,"name":"Milepost","value":"0.0696"},{"id":17,"name":"Train ID","value":"844-13"},{"id":16,"name":"Locomotive ID","value":"4023"},{"id":130,"name":"Impact","value":""},{"id":150,"name":"Time of Event (Mountain Time)","value":"21:55:28"},{"id":151,"name":"Denver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8"/>
        <v>start /low /b %USERPROFILE%\Documents\GitHub\eaglep3\Utilities\DownloadLogsFromS3.py --loco 4023 --day 2017-06-13</v>
      </c>
      <c r="AN227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619</v>
      </c>
      <c r="B228" s="7">
        <v>4024</v>
      </c>
      <c r="C228" s="21" t="s">
        <v>204</v>
      </c>
      <c r="D228" s="21" t="s">
        <v>980</v>
      </c>
      <c r="E228" s="13">
        <v>42899.87568287037</v>
      </c>
      <c r="F228" s="13">
        <v>42899.889803240738</v>
      </c>
      <c r="G228" s="7">
        <v>2</v>
      </c>
      <c r="H228" s="21" t="s">
        <v>969</v>
      </c>
      <c r="I228" s="13">
        <v>42899.89947916667</v>
      </c>
      <c r="J228" s="7">
        <v>0</v>
      </c>
      <c r="K228" s="92" t="str">
        <f t="shared" si="84"/>
        <v>4023/4024</v>
      </c>
      <c r="L228" s="21" t="str">
        <f>VLOOKUP(A228,'Trips&amp;Operators'!$C$1:$G$99999,5,FALSE)</f>
        <v>SAFIEF AEIMEN</v>
      </c>
      <c r="M228" s="6">
        <f t="shared" si="85"/>
        <v>9.6759259322425351E-3</v>
      </c>
      <c r="N228" s="7">
        <f t="shared" si="107"/>
        <v>13.93333334242925</v>
      </c>
      <c r="O228" s="7"/>
      <c r="P228" s="7"/>
      <c r="Q228" s="22"/>
      <c r="R228" s="173"/>
      <c r="S228" s="176">
        <f t="shared" si="108"/>
        <v>1</v>
      </c>
      <c r="T228" s="202" t="str">
        <f t="shared" si="86"/>
        <v>NorthBound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03" t="str">
        <f t="shared" si="87"/>
        <v>https://d0f6bd738d7f1b3e5a7ca70fe4ff75f0.us-east-1.aws.found.io/app/kibana#/discover/Steve-Slow-Train-Analysis-(2080s-and-2083s)?_g=(refreshInterval:(display:Off,pause:!f,section:0,value:0),time:(from:'2017-06-13T20:00:59-0600',mode:absolute,to:'2017-06-13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8" s="204" t="str">
        <f t="shared" si="88"/>
        <v>N</v>
      </c>
      <c r="X228" s="204">
        <f t="shared" si="100"/>
        <v>1</v>
      </c>
      <c r="Y228" s="204">
        <f t="shared" si="105"/>
        <v>0.1014</v>
      </c>
      <c r="Z228" s="204">
        <f t="shared" si="106"/>
        <v>5.8912000000000004</v>
      </c>
      <c r="AA228" s="204">
        <f t="shared" si="91"/>
        <v>5.7898000000000005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2"/>
        <v>0845-13</v>
      </c>
      <c r="AE228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28" s="77" t="str">
        <f t="shared" si="94"/>
        <v>"C:\Program Files (x86)\AstroGrep\AstroGrep.exe" /e /r /s /spath="%USERPROFILE%\AppData\Local\Temp\OnboardLogs" /stypes="app*4024*20170614*" /stext=" 03:.+((SYSTEM_STATE.+slice.+state.+changed )|(ment ac)|(multiple cpu faults)|(system.+state.+changed )|(\[timeout)|(PRM\|1\|D)|(kpr)|(kdp)|(train st.+moving)|(\|lc)|(penalty))"</v>
      </c>
      <c r="AG228" s="1" t="str">
        <f t="shared" si="95"/>
        <v>NW</v>
      </c>
      <c r="AH228" s="81" t="str">
        <f t="shared" si="96"/>
        <v>"%USERPROFILE%\Documents\GitHub\eaglep3\Utilities\RefineRTDCRunTimes.py" --tripid 845-13 --locoid 4024 --swversion DE.1.0.9.0 --startMP 204:1014 --initTime 2017-06-13T21:00:59 --startdatetime 2017-06-13T21:21:19 --delay 2 --endMP 300:58912 --enddatetime 2017-06-13T21:35:15 --enforcementcount 0 &gt;&gt;C:\Users\stu\Documents\GitHub\eaglep3-reporting\EC\2017-06-13-refined-times.txt</v>
      </c>
      <c r="AI228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{"issue":{"subject":"","project_id":79,"tracker_id":40,"status_id":1,"priority_id":2,"assigned_to_id":23,"start_date":"2017-06-13","description":"","custom_fields":[{"id":1,"name":"Subdivision","value":"NW"},{"id":4,"name":"Milepost","value":"5.8912"},{"id":17,"name":"Train ID","value":"845-13"},{"id":16,"name":"Locomotive ID","value":"4024"},{"id":130,"name":"Impact","value":""},{"id":150,"name":"Time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8"/>
        <v>start /low /b %USERPROFILE%\Documents\GitHub\eaglep3\Utilities\DownloadLogsFromS3.py --loco 4024 --day 2017-06-13</v>
      </c>
      <c r="AN228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805</v>
      </c>
      <c r="B229" s="7">
        <v>4024</v>
      </c>
      <c r="C229" s="21" t="s">
        <v>204</v>
      </c>
      <c r="D229" s="21" t="s">
        <v>984</v>
      </c>
      <c r="E229" s="13">
        <v>42899.915173611109</v>
      </c>
      <c r="F229" s="13">
        <v>42899.931504629632</v>
      </c>
      <c r="G229" s="7">
        <v>1</v>
      </c>
      <c r="H229" s="21" t="s">
        <v>985</v>
      </c>
      <c r="I229" s="13">
        <v>42899.941747685189</v>
      </c>
      <c r="J229" s="7">
        <v>0</v>
      </c>
      <c r="K229" s="92" t="str">
        <f t="shared" si="84"/>
        <v>4023/4024</v>
      </c>
      <c r="L229" s="21" t="str">
        <f>VLOOKUP(A229,'Trips&amp;Operators'!$C$1:$G$99999,5,FALSE)</f>
        <v>SAFIEF AEIMEN</v>
      </c>
      <c r="M229" s="6">
        <f t="shared" si="85"/>
        <v>1.0243055556202307E-2</v>
      </c>
      <c r="N229" s="7">
        <f t="shared" si="107"/>
        <v>14.750000000931323</v>
      </c>
      <c r="O229" s="7"/>
      <c r="P229" s="7"/>
      <c r="Q229" s="22"/>
      <c r="R229" s="173"/>
      <c r="S229" s="176">
        <f t="shared" si="108"/>
        <v>1</v>
      </c>
      <c r="T229" s="202" t="str">
        <f t="shared" si="86"/>
        <v>NorthBound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03" t="str">
        <f t="shared" si="87"/>
        <v>https://d0f6bd738d7f1b3e5a7ca70fe4ff75f0.us-east-1.aws.found.io/app/kibana#/discover/Steve-Slow-Train-Analysis-(2080s-and-2083s)?_g=(refreshInterval:(display:Off,pause:!f,section:0,value:0),time:(from:'2017-06-13T20:57:51-0600',mode:absolute,to:'2017-06-13T23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9" s="204" t="str">
        <f t="shared" si="88"/>
        <v>N</v>
      </c>
      <c r="X229" s="204">
        <f t="shared" si="100"/>
        <v>2</v>
      </c>
      <c r="Y229" s="204">
        <f t="shared" si="105"/>
        <v>9.8500000000000004E-2</v>
      </c>
      <c r="Z229" s="204">
        <f t="shared" si="106"/>
        <v>5.8917999999999999</v>
      </c>
      <c r="AA229" s="204">
        <f t="shared" si="91"/>
        <v>5.7933000000000003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2"/>
        <v>0847-13</v>
      </c>
      <c r="AE229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29" s="77" t="str">
        <f t="shared" si="94"/>
        <v>"C:\Program Files (x86)\AstroGrep\AstroGrep.exe" /e /r /s /spath="%USERPROFILE%\AppData\Local\Temp\OnboardLogs" /stypes="app*4024*20170614*" /stext=" 04:.+((SYSTEM_STATE.+slice.+state.+changed )|(ment ac)|(multiple cpu faults)|(system.+state.+changed )|(\[timeout)|(PRM\|1\|D)|(kpr)|(kdp)|(train st.+moving)|(\|lc)|(penalty))"</v>
      </c>
      <c r="AG229" s="1" t="str">
        <f t="shared" si="95"/>
        <v>NW</v>
      </c>
      <c r="AH229" s="81" t="str">
        <f t="shared" si="96"/>
        <v>"%USERPROFILE%\Documents\GitHub\eaglep3\Utilities\RefineRTDCRunTimes.py" --tripid 847-13 --locoid 4024 --swversion DE.1.0.9.0 --startMP 204:985 --initTime 2017-06-13T21:57:51 --startdatetime 2017-06-13T22:21:22 --delay 1 --endMP 300:58918 --enddatetime 2017-06-13T22:36:07 --enforcementcount 0 &gt;&gt;C:\Users\stu\Documents\GitHub\eaglep3-reporting\EC\2017-06-13-refined-times.txt</v>
      </c>
      <c r="AI229" s="99" t="str">
        <f t="shared" si="97"/>
        <v>echo {"issue":{"subject":"","project_id":79,"tracker_id":40,"status_id":1,"priority_id":2,"assigned_to_id":23,"start_date":"2017-06-13","description":"","custom_fields":[{"id":1,"name":"Subdivision","value":"NW"},{"id":4,"name":"Milepost","value":"5.8918"},{"id":17,"name":"Train ID","value":"847-13"},{"id":16,"name":"Locomotive ID","value":"4024"},{"id":130,"name":"Impact","value":""},{"id":150,"name":"Time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8"/>
        <v>start /low /b %USERPROFILE%\Documents\GitHub\eaglep3\Utilities\DownloadLogsFromS3.py --loco 4024 --day 2017-06-13</v>
      </c>
      <c r="AN229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04:36:07"},{"id":29,"name":"Sharepoint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622</v>
      </c>
      <c r="B230" s="7">
        <v>4041</v>
      </c>
      <c r="C230" s="21" t="s">
        <v>204</v>
      </c>
      <c r="D230" s="21" t="s">
        <v>909</v>
      </c>
      <c r="E230" s="13">
        <v>42899.114976851852</v>
      </c>
      <c r="F230" s="13">
        <v>42899.1175</v>
      </c>
      <c r="G230" s="7">
        <v>1</v>
      </c>
      <c r="H230" s="21" t="s">
        <v>564</v>
      </c>
      <c r="I230" s="13">
        <v>42899.117662037039</v>
      </c>
      <c r="J230" s="7">
        <v>0</v>
      </c>
      <c r="K230" s="92" t="str">
        <f t="shared" si="84"/>
        <v>4041/4042</v>
      </c>
      <c r="L230" s="21" t="str">
        <f>VLOOKUP(A230,'Trips&amp;Operators'!$C$1:$G$99999,5,FALSE)</f>
        <v>STARKS ANGELINA</v>
      </c>
      <c r="M230" s="6">
        <f t="shared" si="85"/>
        <v>1.6203703853534535E-4</v>
      </c>
      <c r="N230" s="7">
        <f t="shared" si="107"/>
        <v>0.2333333354908973</v>
      </c>
      <c r="O230" s="7"/>
      <c r="P230" s="7"/>
      <c r="Q230" s="22"/>
      <c r="R230" s="173"/>
      <c r="S230" s="176">
        <f t="shared" si="108"/>
        <v>1</v>
      </c>
      <c r="T230" s="202" t="str">
        <f t="shared" si="86"/>
        <v>Southbound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03" t="str">
        <f t="shared" si="87"/>
        <v>https://d0f6bd738d7f1b3e5a7ca70fe4ff75f0.us-east-1.aws.found.io/app/kibana#/discover/Steve-Slow-Train-Analysis-(2080s-and-2083s)?_g=(refreshInterval:(display:Off,pause:!f,section:0,value:0),time:(from:'2017-06-13T01:45:34-0600',mode:absolute,to:'2017-06-13T03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0" s="204" t="str">
        <f t="shared" si="88"/>
        <v>Y</v>
      </c>
      <c r="X230" s="204">
        <f t="shared" si="100"/>
        <v>-547</v>
      </c>
      <c r="Y230" s="204">
        <f t="shared" si="105"/>
        <v>2.512</v>
      </c>
      <c r="Z230" s="204">
        <f t="shared" si="106"/>
        <v>1.6899999999999998E-2</v>
      </c>
      <c r="AA230" s="204">
        <f t="shared" si="91"/>
        <v>2.4950999999999999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2"/>
        <v>0300-13</v>
      </c>
      <c r="AE230" s="80" t="str">
        <f t="shared" si="93"/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AF230" s="77" t="str">
        <f t="shared" si="94"/>
        <v>"C:\Program Files (x86)\AstroGrep\AstroGrep.exe" /e /r /s /spath="%USERPROFILE%\AppData\Local\Temp\OnboardLogs" /stypes="app*4041*20170613*" /stext=" 08:.+((SYSTEM_STATE.+slice.+state.+changed )|(ment ac)|(multiple cpu faults)|(system.+state.+changed )|(\[timeout)|(PRM\|1\|D)|(kpr)|(kdp)|(train st.+moving)|(\|lc)|(penalty))"</v>
      </c>
      <c r="AG230" s="1" t="str">
        <f t="shared" si="95"/>
        <v>Other</v>
      </c>
      <c r="AH230" s="81" t="str">
        <f t="shared" si="96"/>
        <v>"%USERPROFILE%\Documents\GitHub\eaglep3\Utilities\RefineRTDCRunTimes.py" --tripid 300-13 --locoid 4041 --swversion DE.1.0.9.0 --startMP 300:25120 --initTime 2017-06-13T02:45:34 --startdatetime 2017-06-13T02:49:12 --delay 1 --endMP 204:169 --enddatetime 2017-06-13T02:49:26 --enforcementcount 0 &gt;&gt;C:\Users\stu\Documents\GitHub\eaglep3-reporting\EC\2017-06-13-refined-times.txt</v>
      </c>
      <c r="AI230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{"issue":{"subject":"","project_id":79,"tracker_id":40,"status_id":1,"priority_id":2,"assigned_to_id":23,"start_date":"2017-06-13","description":"","custom_fields":[{"id":1,"name":"Subdivision","value":"Other"},{"id":4,"name":"Milepost","value":"0.0169"},{"id":17,"name":"Train ID","value":"300-13"},{"id":16,"name":"Locomotive ID","value":"4041"},{"id":130,"name":"Impact","value":""},{"id":150,"name":"Time of Event (Mountain Time)","value":"02:49:26"},{"id":151,"name":"Denver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8"/>
        <v>start /low /b %USERPROFILE%\Documents\GitHub\eaglep3\Utilities\DownloadLogsFromS3.py --loco 4041 --day 2017-06-13</v>
      </c>
      <c r="AN230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08:49:26"},{"id":29,"name":"Sharepoint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784</v>
      </c>
      <c r="B231" s="7">
        <v>4054</v>
      </c>
      <c r="C231" s="21" t="s">
        <v>204</v>
      </c>
      <c r="D231" s="21" t="s">
        <v>358</v>
      </c>
      <c r="E231" s="13">
        <v>42899.777314814812</v>
      </c>
      <c r="F231" s="13">
        <v>42899.782048611109</v>
      </c>
      <c r="G231" s="7">
        <v>1</v>
      </c>
      <c r="H231" s="21" t="s">
        <v>356</v>
      </c>
      <c r="I231" s="13">
        <v>42899.788136574076</v>
      </c>
      <c r="J231" s="7">
        <v>0</v>
      </c>
      <c r="K231" s="92" t="str">
        <f t="shared" si="84"/>
        <v>4053/4054</v>
      </c>
      <c r="L231" s="21" t="str">
        <f>VLOOKUP(A231,'Trips&amp;Operators'!$C$1:$G$99999,5,FALSE)</f>
        <v>LEVIN SCOTT</v>
      </c>
      <c r="M231" s="6">
        <f t="shared" si="85"/>
        <v>6.0879629672854207E-3</v>
      </c>
      <c r="N231" s="7">
        <f t="shared" si="107"/>
        <v>8.7666666728910059</v>
      </c>
      <c r="O231" s="7"/>
      <c r="P231" s="7"/>
      <c r="Q231" s="22"/>
      <c r="R231" s="173"/>
      <c r="S231" s="176">
        <f t="shared" si="108"/>
        <v>1</v>
      </c>
      <c r="T231" s="202" t="str">
        <f t="shared" si="86"/>
        <v>NorthBound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03" t="str">
        <f t="shared" si="87"/>
        <v>https://d0f6bd738d7f1b3e5a7ca70fe4ff75f0.us-east-1.aws.found.io/app/kibana#/discover/Steve-Slow-Train-Analysis-(2080s-and-2083s)?_g=(refreshInterval:(display:Off,pause:!f,section:0,value:0),time:(from:'2017-06-13T17:39:20-0600',mode:absolute,to:'2017-06-13T19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1" s="204" t="str">
        <f t="shared" si="88"/>
        <v>Y</v>
      </c>
      <c r="X231" s="204">
        <f t="shared" si="100"/>
        <v>1</v>
      </c>
      <c r="Y231" s="204">
        <f t="shared" si="105"/>
        <v>4.4699999999999997E-2</v>
      </c>
      <c r="Z231" s="204">
        <f t="shared" si="106"/>
        <v>2.3346</v>
      </c>
      <c r="AA231" s="204">
        <f t="shared" si="91"/>
        <v>2.2898999999999998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2"/>
        <v>0301-13</v>
      </c>
      <c r="AE231" s="80" t="str">
        <f t="shared" si="93"/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AF231" s="77" t="str">
        <f t="shared" si="94"/>
        <v>"C:\Program Files (x86)\AstroGrep\AstroGrep.exe" /e /r /s /spath="%USERPROFILE%\AppData\Local\Temp\OnboardLogs" /stypes="app*4054*20170614*" /stext=" 00:.+((SYSTEM_STATE.+slice.+state.+changed )|(ment ac)|(multiple cpu faults)|(system.+state.+changed )|(\[timeout)|(PRM\|1\|D)|(kpr)|(kdp)|(train st.+moving)|(\|lc)|(penalty))"</v>
      </c>
      <c r="AG231" s="1" t="str">
        <f t="shared" si="95"/>
        <v>Other</v>
      </c>
      <c r="AH231" s="81" t="str">
        <f t="shared" si="96"/>
        <v>"%USERPROFILE%\Documents\GitHub\eaglep3\Utilities\RefineRTDCRunTimes.py" --tripid 301-13 --locoid 4054 --swversion DE.1.0.9.0 --startMP 204:447 --initTime 2017-06-13T18:39:20 --startdatetime 2017-06-13T18:46:09 --delay 1 --endMP 300:23346 --enddatetime 2017-06-13T18:54:55 --enforcementcount 0 &gt;&gt;C:\Users\stu\Documents\GitHub\eaglep3-reporting\EC\2017-06-13-refined-times.txt</v>
      </c>
      <c r="AI231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{"issue":{"subject":"","project_id":79,"tracker_id":40,"status_id":1,"priority_id":2,"assigned_to_id":23,"start_date":"2017-06-13","description":"","custom_fields":[{"id":1,"name":"Subdivision","value":"Other"},{"id":4,"name":"Milepost","value":"2.3346"},{"id":17,"name":"Train ID","value":"301-13"},{"id":16,"name":"Locomotive ID","value":"4054"},{"id":130,"name":"Impact","value":""},{"id":150,"name":"Time of Event (Mountain Time)","value":"18:54:55"},{"id":151,"name":"Denver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8"/>
        <v>start /low /b %USERPROFILE%\Documents\GitHub\eaglep3\Utilities\DownloadLogsFromS3.py --loco 4054 --day 2017-06-13</v>
      </c>
      <c r="AN231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s="20" customFormat="1" x14ac:dyDescent="0.25">
      <c r="A232" s="32" t="s">
        <v>626</v>
      </c>
      <c r="B232" s="7">
        <v>4001</v>
      </c>
      <c r="C232" s="21" t="s">
        <v>204</v>
      </c>
      <c r="D232" s="21" t="s">
        <v>910</v>
      </c>
      <c r="E232" s="13">
        <v>42899.137337962966</v>
      </c>
      <c r="F232" s="13">
        <v>42899.140335648146</v>
      </c>
      <c r="G232" s="7">
        <v>4</v>
      </c>
      <c r="H232" s="21" t="s">
        <v>353</v>
      </c>
      <c r="I232" s="13">
        <v>42899.14644675926</v>
      </c>
      <c r="J232" s="7">
        <v>0</v>
      </c>
      <c r="K232" s="92" t="str">
        <f t="shared" si="84"/>
        <v>4001/4002</v>
      </c>
      <c r="L232" s="21" t="str">
        <f>VLOOKUP(A232,'Trips&amp;Operators'!$C$1:$G$99999,5,FALSE)</f>
        <v>BONDS REYNALDO</v>
      </c>
      <c r="M232" s="6">
        <f t="shared" si="85"/>
        <v>6.1111111135687679E-3</v>
      </c>
      <c r="N232" s="7">
        <f t="shared" si="107"/>
        <v>8.8000000035390258</v>
      </c>
      <c r="O232" s="7"/>
      <c r="P232" s="7"/>
      <c r="Q232" s="22"/>
      <c r="R232" s="173"/>
      <c r="S232" s="176">
        <f t="shared" si="108"/>
        <v>1</v>
      </c>
      <c r="T232" s="202" t="str">
        <f t="shared" si="86"/>
        <v>Southbound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03" t="str">
        <f t="shared" si="87"/>
        <v>https://d0f6bd738d7f1b3e5a7ca70fe4ff75f0.us-east-1.aws.found.io/app/kibana#/discover/Steve-Slow-Train-Analysis-(2080s-and-2083s)?_g=(refreshInterval:(display:Off,pause:!f,section:0,value:0),time:(from:'2017-06-13T02:17:46-0600',mode:absolute,to:'2017-06-13T04:30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2" s="204" t="str">
        <f t="shared" si="88"/>
        <v>Y</v>
      </c>
      <c r="X232" s="204">
        <f t="shared" si="100"/>
        <v>1</v>
      </c>
      <c r="Y232" s="204">
        <f t="shared" si="105"/>
        <v>2.3214000000000001</v>
      </c>
      <c r="Z232" s="204">
        <f t="shared" si="106"/>
        <v>1.43E-2</v>
      </c>
      <c r="AA232" s="204">
        <f t="shared" si="91"/>
        <v>2.3071000000000002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2"/>
        <v>0302-13</v>
      </c>
      <c r="AE232" s="80" t="str">
        <f t="shared" si="93"/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AF232" s="77" t="str">
        <f t="shared" si="94"/>
        <v>"C:\Program Files (x86)\AstroGrep\AstroGrep.exe" /e /r /s /spath="%USERPROFILE%\AppData\Local\Temp\OnboardLogs" /stypes="app*4001*20170613*" /stext=" 09:.+((SYSTEM_STATE.+slice.+state.+changed )|(ment ac)|(multiple cpu faults)|(system.+state.+changed )|(\[timeout)|(PRM\|1\|D)|(kpr)|(kdp)|(train st.+moving)|(\|lc)|(penalty))"</v>
      </c>
      <c r="AG232" s="1" t="str">
        <f t="shared" si="95"/>
        <v>Other</v>
      </c>
      <c r="AH232" s="81" t="str">
        <f t="shared" si="96"/>
        <v>"%USERPROFILE%\Documents\GitHub\eaglep3\Utilities\RefineRTDCRunTimes.py" --tripid 302-13 --locoid 4001 --swversion DE.1.0.9.0 --startMP 300:23214 --initTime 2017-06-13T03:17:46 --startdatetime 2017-06-13T03:22:05 --delay 4 --endMP 204:143 --enddatetime 2017-06-13T03:30:53 --enforcementcount 0 &gt;&gt;C:\Users\stu\Documents\GitHub\eaglep3-reporting\EC\2017-06-13-refined-times.txt</v>
      </c>
      <c r="AI232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{"issue":{"subject":"","project_id":79,"tracker_id":40,"status_id":1,"priority_id":2,"assigned_to_id":23,"start_date":"2017-06-13","description":"","custom_fields":[{"id":1,"name":"Subdivision","value":"Other"},{"id":4,"name":"Milepost","value":"0.0143"},{"id":17,"name":"Train ID","value":"302-13"},{"id":16,"name":"Locomotive ID","value":"4001"},{"id":130,"name":"Impact","value":""},{"id":150,"name":"Time of Event (Mountain Time)","value":"03:30:53"},{"id":151,"name":"Denver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5" t="str">
        <f t="shared" si="98"/>
        <v>start /low /b %USERPROFILE%\Documents\GitHub\eaglep3\Utilities\DownloadLogsFromS3.py --loco 4001 --day 2017-06-13</v>
      </c>
      <c r="AN232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09:30:53"},{"id":29,"name":"Sharepoint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789</v>
      </c>
      <c r="B233" s="7">
        <v>4042</v>
      </c>
      <c r="C233" s="21" t="s">
        <v>204</v>
      </c>
      <c r="D233" s="21" t="s">
        <v>911</v>
      </c>
      <c r="E233" s="13">
        <v>42899.799456018518</v>
      </c>
      <c r="F233" s="13">
        <v>42899.801053240742</v>
      </c>
      <c r="G233" s="7">
        <v>1</v>
      </c>
      <c r="H233" s="21" t="s">
        <v>912</v>
      </c>
      <c r="I233" s="13">
        <v>42899.806273148148</v>
      </c>
      <c r="J233" s="7">
        <v>0</v>
      </c>
      <c r="K233" s="92" t="str">
        <f t="shared" si="84"/>
        <v>4041/4042</v>
      </c>
      <c r="L233" s="21" t="str">
        <f>VLOOKUP(A233,'Trips&amp;Operators'!$C$1:$G$99999,5,FALSE)</f>
        <v>BRANDNER MELINDA</v>
      </c>
      <c r="M233" s="6">
        <f t="shared" si="85"/>
        <v>5.2199074052623473E-3</v>
      </c>
      <c r="N233" s="7">
        <f t="shared" si="107"/>
        <v>7.5166666635777801</v>
      </c>
      <c r="O233" s="7"/>
      <c r="P233" s="7"/>
      <c r="Q233" s="22"/>
      <c r="R233" s="173"/>
      <c r="S233" s="176">
        <f t="shared" si="108"/>
        <v>1</v>
      </c>
      <c r="T233" s="202" t="str">
        <f t="shared" si="86"/>
        <v>NorthBound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03" t="str">
        <f t="shared" si="87"/>
        <v>https://d0f6bd738d7f1b3e5a7ca70fe4ff75f0.us-east-1.aws.found.io/app/kibana#/discover/Steve-Slow-Train-Analysis-(2080s-and-2083s)?_g=(refreshInterval:(display:Off,pause:!f,section:0,value:0),time:(from:'2017-06-13T18:11:13-0600',mode:absolute,to:'2017-06-13T20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3" s="204" t="str">
        <f t="shared" si="88"/>
        <v>Y</v>
      </c>
      <c r="X233" s="204">
        <f t="shared" si="100"/>
        <v>1</v>
      </c>
      <c r="Y233" s="204">
        <f t="shared" si="105"/>
        <v>5.0799999999999998E-2</v>
      </c>
      <c r="Z233" s="204">
        <f t="shared" si="106"/>
        <v>2.3005</v>
      </c>
      <c r="AA233" s="204">
        <f t="shared" si="91"/>
        <v>2.2496999999999998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92"/>
        <v>0303-13</v>
      </c>
      <c r="AE233" s="80" t="str">
        <f t="shared" si="93"/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AF233" s="77" t="str">
        <f t="shared" si="94"/>
        <v>"C:\Program Files (x86)\AstroGrep\AstroGrep.exe" /e /r /s /spath="%USERPROFILE%\AppData\Local\Temp\OnboardLogs" /stypes="app*4042*20170614*" /stext=" 01:.+((SYSTEM_STATE.+slice.+state.+changed )|(ment ac)|(multiple cpu faults)|(system.+state.+changed )|(\[timeout)|(PRM\|1\|D)|(kpr)|(kdp)|(train st.+moving)|(\|lc)|(penalty))"</v>
      </c>
      <c r="AG233" s="1" t="str">
        <f t="shared" si="95"/>
        <v>Other</v>
      </c>
      <c r="AH233" s="81" t="str">
        <f t="shared" si="96"/>
        <v>"%USERPROFILE%\Documents\GitHub\eaglep3\Utilities\RefineRTDCRunTimes.py" --tripid 303-13 --locoid 4042 --swversion DE.1.0.9.0 --startMP 204:508 --initTime 2017-06-13T19:11:13 --startdatetime 2017-06-13T19:13:31 --delay 1 --endMP 300:23005 --enddatetime 2017-06-13T19:21:02 --enforcementcount 0 &gt;&gt;C:\Users\stu\Documents\GitHub\eaglep3-reporting\EC\2017-06-13-refined-times.txt</v>
      </c>
      <c r="AI233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{"issue":{"subject":"","project_id":79,"tracker_id":40,"status_id":1,"priority_id":2,"assigned_to_id":23,"start_date":"2017-06-13","description":"","custom_fields":[{"id":1,"name":"Subdivision","value":"Other"},{"id":4,"name":"Milepost","value":"2.3005"},{"id":17,"name":"Train ID","value":"303-13"},{"id":16,"name":"Locomotive ID","value":"4042"},{"id":130,"name":"Impact","value":""},{"id":150,"name":"Time of Event (Mountain Time)","value":"19:21:02"},{"id":151,"name":"Denver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8"/>
        <v>start /low /b %USERPROFILE%\Documents\GitHub\eaglep3\Utilities\DownloadLogsFromS3.py --loco 4042 --day 2017-06-13</v>
      </c>
      <c r="AN233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629</v>
      </c>
      <c r="B234" s="7">
        <v>4005</v>
      </c>
      <c r="C234" s="21" t="s">
        <v>204</v>
      </c>
      <c r="D234" s="21" t="s">
        <v>913</v>
      </c>
      <c r="E234" s="13">
        <v>42899.158101851855</v>
      </c>
      <c r="F234" s="13">
        <v>42899.161319444444</v>
      </c>
      <c r="G234" s="7">
        <v>4</v>
      </c>
      <c r="H234" s="21" t="s">
        <v>361</v>
      </c>
      <c r="I234" s="13">
        <v>42899.16710648148</v>
      </c>
      <c r="J234" s="7">
        <v>0</v>
      </c>
      <c r="K234" s="92" t="str">
        <f t="shared" si="84"/>
        <v>4005/4006</v>
      </c>
      <c r="L234" s="21" t="str">
        <f>VLOOKUP(A234,'Trips&amp;Operators'!$C$1:$G$99999,5,FALSE)</f>
        <v>MAELZER KURT</v>
      </c>
      <c r="M234" s="6">
        <f t="shared" si="85"/>
        <v>5.7870370364980772E-3</v>
      </c>
      <c r="N234" s="7">
        <f t="shared" si="107"/>
        <v>8.3333333325572312</v>
      </c>
      <c r="O234" s="7"/>
      <c r="P234" s="7"/>
      <c r="Q234" s="22"/>
      <c r="R234" s="173"/>
      <c r="S234" s="176">
        <f t="shared" si="108"/>
        <v>1</v>
      </c>
      <c r="T234" s="202" t="str">
        <f t="shared" si="86"/>
        <v>Southbound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03" t="str">
        <f t="shared" si="87"/>
        <v>https://d0f6bd738d7f1b3e5a7ca70fe4ff75f0.us-east-1.aws.found.io/app/kibana#/discover/Steve-Slow-Train-Analysis-(2080s-and-2083s)?_g=(refreshInterval:(display:Off,pause:!f,section:0,value:0),time:(from:'2017-06-13T02:47:40-0600',mode:absolute,to:'2017-06-13T05:00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4" s="204" t="str">
        <f t="shared" si="88"/>
        <v>Y</v>
      </c>
      <c r="X234" s="204">
        <f t="shared" si="100"/>
        <v>1</v>
      </c>
      <c r="Y234" s="204">
        <f t="shared" si="105"/>
        <v>2.2810999999999999</v>
      </c>
      <c r="Z234" s="204">
        <f t="shared" si="106"/>
        <v>1.41E-2</v>
      </c>
      <c r="AA234" s="204">
        <f t="shared" si="91"/>
        <v>2.2669999999999999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92"/>
        <v>0304-13</v>
      </c>
      <c r="AE234" s="80" t="str">
        <f t="shared" si="93"/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AF234" s="77" t="str">
        <f t="shared" si="94"/>
        <v>"C:\Program Files (x86)\AstroGrep\AstroGrep.exe" /e /r /s /spath="%USERPROFILE%\AppData\Local\Temp\OnboardLogs" /stypes="app*4005*20170613*" /stext=" 10:.+((SYSTEM_STATE.+slice.+state.+changed )|(ment ac)|(multiple cpu faults)|(system.+state.+changed )|(\[timeout)|(PRM\|1\|D)|(kpr)|(kdp)|(train st.+moving)|(\|lc)|(penalty))"</v>
      </c>
      <c r="AG234" s="1" t="str">
        <f t="shared" si="95"/>
        <v>Other</v>
      </c>
      <c r="AH234" s="81" t="str">
        <f t="shared" si="96"/>
        <v>"%USERPROFILE%\Documents\GitHub\eaglep3\Utilities\RefineRTDCRunTimes.py" --tripid 304-13 --locoid 4005 --swversion DE.1.0.9.0 --startMP 300:22811 --initTime 2017-06-13T03:47:40 --startdatetime 2017-06-13T03:52:18 --delay 4 --endMP 204:141 --enddatetime 2017-06-13T04:00:38 --enforcementcount 0 &gt;&gt;C:\Users\stu\Documents\GitHub\eaglep3-reporting\EC\2017-06-13-refined-times.txt</v>
      </c>
      <c r="AI234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{"issue":{"subject":"","project_id":79,"tracker_id":40,"status_id":1,"priority_id":2,"assigned_to_id":23,"start_date":"2017-06-13","description":"","custom_fields":[{"id":1,"name":"Subdivision","value":"Other"},{"id":4,"name":"Milepost","value":"0.0141"},{"id":17,"name":"Train ID","value":"304-13"},{"id":16,"name":"Locomotive ID","value":"4005"},{"id":130,"name":"Impact","value":""},{"id":150,"name":"Time of Event (Mountain Time)","value":"04:00:38"},{"id":151,"name":"Denver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8"/>
        <v>start /low /b %USERPROFILE%\Documents\GitHub\eaglep3\Utilities\DownloadLogsFromS3.py --loco 4005 --day 2017-06-13</v>
      </c>
      <c r="AN234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10:00:38"},{"id":29,"name":"Sharepoint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631</v>
      </c>
      <c r="B235" s="7">
        <v>4045</v>
      </c>
      <c r="C235" s="21" t="s">
        <v>204</v>
      </c>
      <c r="D235" s="21" t="s">
        <v>914</v>
      </c>
      <c r="E235" s="13">
        <v>42899.168252314812</v>
      </c>
      <c r="F235" s="13">
        <v>42899.172349537039</v>
      </c>
      <c r="G235" s="7">
        <v>5</v>
      </c>
      <c r="H235" s="21" t="s">
        <v>195</v>
      </c>
      <c r="I235" s="13">
        <v>42899.180196759262</v>
      </c>
      <c r="J235" s="7">
        <v>0</v>
      </c>
      <c r="K235" s="92" t="str">
        <f t="shared" si="84"/>
        <v>4045/4046</v>
      </c>
      <c r="L235" s="21" t="str">
        <f>VLOOKUP(A235,'Trips&amp;Operators'!$C$1:$G$99999,5,FALSE)</f>
        <v>LALONDE GREGORY</v>
      </c>
      <c r="M235" s="6">
        <f t="shared" si="85"/>
        <v>7.8472222230629995E-3</v>
      </c>
      <c r="N235" s="7">
        <f t="shared" si="107"/>
        <v>11.300000001210719</v>
      </c>
      <c r="O235" s="7"/>
      <c r="P235" s="7"/>
      <c r="Q235" s="22"/>
      <c r="R235" s="173"/>
      <c r="S235" s="176">
        <f t="shared" si="108"/>
        <v>1</v>
      </c>
      <c r="T235" s="202" t="str">
        <f t="shared" si="86"/>
        <v>Southbound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03" t="str">
        <f t="shared" si="87"/>
        <v>https://d0f6bd738d7f1b3e5a7ca70fe4ff75f0.us-east-1.aws.found.io/app/kibana#/discover/Steve-Slow-Train-Analysis-(2080s-and-2083s)?_g=(refreshInterval:(display:Off,pause:!f,section:0,value:0),time:(from:'2017-06-13T03:02:17-0600',mode:absolute,to:'2017-06-13T05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5" s="204" t="str">
        <f t="shared" si="88"/>
        <v>Y</v>
      </c>
      <c r="X235" s="204">
        <f t="shared" si="100"/>
        <v>2</v>
      </c>
      <c r="Y235" s="204">
        <f t="shared" si="105"/>
        <v>2.3458999999999999</v>
      </c>
      <c r="Z235" s="204">
        <f t="shared" si="106"/>
        <v>1.52E-2</v>
      </c>
      <c r="AA235" s="204">
        <f t="shared" si="91"/>
        <v>2.3306999999999998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92"/>
        <v>0306-13</v>
      </c>
      <c r="AE235" s="80" t="str">
        <f t="shared" si="93"/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AF235" s="77" t="str">
        <f t="shared" si="94"/>
        <v>"C:\Program Files (x86)\AstroGrep\AstroGrep.exe" /e /r /s /spath="%USERPROFILE%\AppData\Local\Temp\OnboardLogs" /stypes="app*4045*20170613*" /stext=" 10:.+((SYSTEM_STATE.+slice.+state.+changed )|(ment ac)|(multiple cpu faults)|(system.+state.+changed )|(\[timeout)|(PRM\|1\|D)|(kpr)|(kdp)|(train st.+moving)|(\|lc)|(penalty))"</v>
      </c>
      <c r="AG235" s="1" t="str">
        <f t="shared" si="95"/>
        <v>Other</v>
      </c>
      <c r="AH235" s="81" t="str">
        <f t="shared" si="96"/>
        <v>"%USERPROFILE%\Documents\GitHub\eaglep3\Utilities\RefineRTDCRunTimes.py" --tripid 306-13 --locoid 4045 --swversion DE.1.0.9.0 --startMP 300:23459 --initTime 2017-06-13T04:02:17 --startdatetime 2017-06-13T04:08:11 --delay 5 --endMP 204:152 --enddatetime 2017-06-13T04:19:29 --enforcementcount 0 &gt;&gt;C:\Users\stu\Documents\GitHub\eaglep3-reporting\EC\2017-06-13-refined-times.txt</v>
      </c>
      <c r="AI235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{"issue":{"subject":"","project_id":79,"tracker_id":40,"status_id":1,"priority_id":2,"assigned_to_id":23,"start_date":"2017-06-13","description":"","custom_fields":[{"id":1,"name":"Subdivision","value":"Other"},{"id":4,"name":"Milepost","value":"0.0152"},{"id":17,"name":"Train ID","value":"306-13"},{"id":16,"name":"Locomotive ID","value":"4045"},{"id":130,"name":"Impact","value":""},{"id":150,"name":"Time of Event (Mountain Time)","value":"04:19:29"},{"id":151,"name":"Denver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98"/>
        <v>start /low /b %USERPROFILE%\Documents\GitHub\eaglep3\Utilities\DownloadLogsFromS3.py --loco 4045 --day 2017-06-13</v>
      </c>
      <c r="AN235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10:19:29"},{"id":29,"name":"Sharepoint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816</v>
      </c>
      <c r="B236" s="7">
        <v>4032</v>
      </c>
      <c r="C236" s="21" t="s">
        <v>204</v>
      </c>
      <c r="D236" s="21" t="s">
        <v>915</v>
      </c>
      <c r="E236" s="13">
        <v>42900.03497685185</v>
      </c>
      <c r="F236" s="13">
        <v>42900.036030092589</v>
      </c>
      <c r="G236" s="7">
        <v>1</v>
      </c>
      <c r="H236" s="21" t="s">
        <v>356</v>
      </c>
      <c r="I236" s="13">
        <v>42900.045752314814</v>
      </c>
      <c r="J236" s="7">
        <v>0</v>
      </c>
      <c r="K236" s="92" t="str">
        <f t="shared" si="84"/>
        <v>4031/4032</v>
      </c>
      <c r="L236" s="21" t="str">
        <f>VLOOKUP(A236,'Trips&amp;Operators'!$C$1:$G$99999,5,FALSE)</f>
        <v>HAITHCOX MICHAEL</v>
      </c>
      <c r="M236" s="6">
        <f t="shared" si="85"/>
        <v>9.7222222248092294E-3</v>
      </c>
      <c r="N236" s="7">
        <f t="shared" si="107"/>
        <v>14.00000000372529</v>
      </c>
      <c r="O236" s="7"/>
      <c r="P236" s="7"/>
      <c r="Q236" s="22"/>
      <c r="R236" s="173"/>
      <c r="S236" s="176">
        <f t="shared" si="108"/>
        <v>1</v>
      </c>
      <c r="T236" s="202" t="str">
        <f t="shared" si="86"/>
        <v>NorthBound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03" t="str">
        <f t="shared" si="87"/>
        <v>https://d0f6bd738d7f1b3e5a7ca70fe4ff75f0.us-east-1.aws.found.io/app/kibana#/discover/Steve-Slow-Train-Analysis-(2080s-and-2083s)?_g=(refreshInterval:(display:Off,pause:!f,section:0,value:0),time:(from:'2017-06-13T23:50:22-0600',mode:absolute,to:'2017-06-14T02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6" s="204" t="str">
        <f t="shared" si="88"/>
        <v>Y</v>
      </c>
      <c r="X236" s="204">
        <f t="shared" si="100"/>
        <v>1</v>
      </c>
      <c r="Y236" s="204">
        <f t="shared" si="105"/>
        <v>3.4099999999999998E-2</v>
      </c>
      <c r="Z236" s="204">
        <f t="shared" si="106"/>
        <v>2.3346</v>
      </c>
      <c r="AA236" s="204">
        <f t="shared" si="91"/>
        <v>2.3005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92"/>
        <v>0307-13</v>
      </c>
      <c r="AE236" s="80" t="str">
        <f t="shared" si="93"/>
        <v>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 &amp; aws s3 cp s3://rtdc.mdm.uploadarchive.raw/RTDC4032/ "%USERPROFILE%\AppData\Local\Temp\OnboardLogs"\RTDC4032\2017-06-15 --exclude "*" --recursive --include "*20170615*" &amp; "%USERPROFILE%\Documents\GitHub\mrs-test-scripts\Headless Mode &amp; Sideloading\WalkAndUnGZ.bat" "%USERPROFILE%\AppData\Local\Temp\OnboardLogs"\RTDC4032\2017-06-15</v>
      </c>
      <c r="AF236" s="77" t="str">
        <f t="shared" si="94"/>
        <v>"C:\Program Files (x86)\AstroGrep\AstroGrep.exe" /e /r /s /spath="%USERPROFILE%\AppData\Local\Temp\OnboardLogs" /stypes="app*4032*20170614*" /stext=" 07:.+((SYSTEM_STATE.+slice.+state.+changed )|(ment ac)|(multiple cpu faults)|(system.+state.+changed )|(\[timeout)|(PRM\|1\|D)|(kpr)|(kdp)|(train st.+moving)|(\|lc)|(penalty))"</v>
      </c>
      <c r="AG236" s="1" t="str">
        <f t="shared" si="95"/>
        <v>Other</v>
      </c>
      <c r="AH236" s="81" t="str">
        <f t="shared" si="96"/>
        <v>"%USERPROFILE%\Documents\GitHub\eaglep3\Utilities\RefineRTDCRunTimes.py" --tripid 307-13 --locoid 4032 --swversion DE.1.0.9.0 --startMP 204:341 --initTime 2017-06-14T00:50:22 --startdatetime 2017-06-14T00:51:53 --delay 1 --endMP 300:23346 --enddatetime 2017-06-14T01:05:53 --enforcementcount 0 &gt;&gt;C:\Users\stu\Documents\GitHub\eaglep3-reporting\EC\2017-06-13-refined-times.txt</v>
      </c>
      <c r="AI236" s="99" t="str">
        <f t="shared" si="97"/>
        <v>echo {"issue":{"subject":"","project_id":79,"tracker_id":40,"status_id":1,"priority_id":2,"assigned_to_id":23,"start_date":"2017-06-14","description":"","custom_fields":[{"id":1,"name":"Subdivision","value":"Other"},{"id":4,"name":"Milepost","value":"2.3346"},{"id":17,"name":"Train ID","value":"307-13"},{"id":16,"name":"Locomotive ID","value":"4032"},{"id":130,"name":"Impact","value":""},{"id":150,"name":"Time of Event (Mountain Time)","value":"01:05:53"},{"id":151,"name":"Denver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8"/>
        <v>start /low /b %USERPROFILE%\Documents\GitHub\eaglep3\Utilities\DownloadLogsFromS3.py --loco 4032 --day 2017-06-14</v>
      </c>
      <c r="AN236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07:05:53"},{"id":29,"name":"Sharepoint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633</v>
      </c>
      <c r="B237" s="7">
        <v>4053</v>
      </c>
      <c r="C237" s="21" t="s">
        <v>204</v>
      </c>
      <c r="D237" s="21" t="s">
        <v>916</v>
      </c>
      <c r="E237" s="13">
        <v>42899.180358796293</v>
      </c>
      <c r="F237" s="13">
        <v>42899.184201388889</v>
      </c>
      <c r="G237" s="7">
        <v>2</v>
      </c>
      <c r="H237" s="21" t="s">
        <v>511</v>
      </c>
      <c r="I237" s="13">
        <v>42899.190555555557</v>
      </c>
      <c r="J237" s="7">
        <v>0</v>
      </c>
      <c r="K237" s="92" t="str">
        <f t="shared" si="84"/>
        <v>4053/4054</v>
      </c>
      <c r="L237" s="21" t="str">
        <f>VLOOKUP(A237,'Trips&amp;Operators'!$C$1:$G$99999,5,FALSE)</f>
        <v>MACDONALD THOMAS</v>
      </c>
      <c r="M237" s="6">
        <f t="shared" si="85"/>
        <v>6.3541666677338071E-3</v>
      </c>
      <c r="N237" s="7">
        <f t="shared" si="107"/>
        <v>9.1500000015366822</v>
      </c>
      <c r="O237" s="7"/>
      <c r="P237" s="7"/>
      <c r="Q237" s="22"/>
      <c r="R237" s="173"/>
      <c r="S237" s="176">
        <f t="shared" si="108"/>
        <v>1</v>
      </c>
      <c r="T237" s="202" t="str">
        <f t="shared" si="86"/>
        <v>Southbound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03" t="str">
        <f t="shared" si="87"/>
        <v>https://d0f6bd738d7f1b3e5a7ca70fe4ff75f0.us-east-1.aws.found.io/app/kibana#/discover/Steve-Slow-Train-Analysis-(2080s-and-2083s)?_g=(refreshInterval:(display:Off,pause:!f,section:0,value:0),time:(from:'2017-06-13T03:19:43-0600',mode:absolute,to:'2017-06-13T05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7" s="204" t="str">
        <f t="shared" si="88"/>
        <v>Y</v>
      </c>
      <c r="X237" s="204">
        <f t="shared" si="100"/>
        <v>1</v>
      </c>
      <c r="Y237" s="204">
        <f t="shared" si="105"/>
        <v>2.5116000000000001</v>
      </c>
      <c r="Z237" s="204">
        <f t="shared" si="106"/>
        <v>1.67E-2</v>
      </c>
      <c r="AA237" s="204">
        <f t="shared" si="91"/>
        <v>2.4948999999999999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92"/>
        <v>0308-13</v>
      </c>
      <c r="AE237" s="80" t="str">
        <f t="shared" si="93"/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AF237" s="77" t="str">
        <f t="shared" si="94"/>
        <v>"C:\Program Files (x86)\AstroGrep\AstroGrep.exe" /e /r /s /spath="%USERPROFILE%\AppData\Local\Temp\OnboardLogs" /stypes="app*4053*20170613*" /stext=" 10:.+((SYSTEM_STATE.+slice.+state.+changed )|(ment ac)|(multiple cpu faults)|(system.+state.+changed )|(\[timeout)|(PRM\|1\|D)|(kpr)|(kdp)|(train st.+moving)|(\|lc)|(penalty))"</v>
      </c>
      <c r="AG237" s="1" t="str">
        <f t="shared" si="95"/>
        <v>Other</v>
      </c>
      <c r="AH237" s="81" t="str">
        <f t="shared" si="96"/>
        <v>"%USERPROFILE%\Documents\GitHub\eaglep3\Utilities\RefineRTDCRunTimes.py" --tripid 308-13 --locoid 4053 --swversion DE.1.0.9.0 --startMP 300:25116 --initTime 2017-06-13T04:19:43 --startdatetime 2017-06-13T04:25:15 --delay 2 --endMP 204:167 --enddatetime 2017-06-13T04:34:24 --enforcementcount 0 &gt;&gt;C:\Users\stu\Documents\GitHub\eaglep3-reporting\EC\2017-06-13-refined-times.txt</v>
      </c>
      <c r="AI237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{"issue":{"subject":"","project_id":79,"tracker_id":40,"status_id":1,"priority_id":2,"assigned_to_id":23,"start_date":"2017-06-13","description":"","custom_fields":[{"id":1,"name":"Subdivision","value":"Other"},{"id":4,"name":"Milepost","value":"0.0167"},{"id":17,"name":"Train ID","value":"308-13"},{"id":16,"name":"Locomotive ID","value":"4053"},{"id":130,"name":"Impact","value":""},{"id":150,"name":"Time of Event (Mountain Time)","value":"04:34:24"},{"id":151,"name":"Denver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8"/>
        <v>start /low /b %USERPROFILE%\Documents\GitHub\eaglep3\Utilities\DownloadLogsFromS3.py --loco 4053 --day 2017-06-13</v>
      </c>
      <c r="AN237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819</v>
      </c>
      <c r="B238" s="7">
        <v>4002</v>
      </c>
      <c r="C238" s="21" t="s">
        <v>204</v>
      </c>
      <c r="D238" s="21" t="s">
        <v>917</v>
      </c>
      <c r="E238" s="13">
        <v>42900.051111111112</v>
      </c>
      <c r="F238" s="13">
        <v>42900.052418981482</v>
      </c>
      <c r="G238" s="7">
        <v>1</v>
      </c>
      <c r="H238" s="21" t="s">
        <v>918</v>
      </c>
      <c r="I238" s="13">
        <v>42900.057800925926</v>
      </c>
      <c r="J238" s="7">
        <v>0</v>
      </c>
      <c r="K238" s="92" t="str">
        <f t="shared" si="84"/>
        <v>4001/4002</v>
      </c>
      <c r="L238" s="21" t="str">
        <f>VLOOKUP(A238,'Trips&amp;Operators'!$C$1:$G$99999,5,FALSE)</f>
        <v>SMITH MICHAEL</v>
      </c>
      <c r="M238" s="6">
        <f t="shared" si="85"/>
        <v>5.3819444437976927E-3</v>
      </c>
      <c r="N238" s="7">
        <f t="shared" si="107"/>
        <v>7.7499999990686774</v>
      </c>
      <c r="O238" s="7"/>
      <c r="P238" s="7"/>
      <c r="Q238" s="22"/>
      <c r="R238" s="173"/>
      <c r="S238" s="176">
        <f t="shared" si="108"/>
        <v>1</v>
      </c>
      <c r="T238" s="202" t="str">
        <f t="shared" si="86"/>
        <v>NorthBound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03" t="str">
        <f t="shared" si="87"/>
        <v>https://d0f6bd738d7f1b3e5a7ca70fe4ff75f0.us-east-1.aws.found.io/app/kibana#/discover/Steve-Slow-Train-Analysis-(2080s-and-2083s)?_g=(refreshInterval:(display:Off,pause:!f,section:0,value:0),time:(from:'2017-06-14T00:13:36-0600',mode:absolute,to:'2017-06-14T02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8" s="204" t="str">
        <f t="shared" si="88"/>
        <v>Y</v>
      </c>
      <c r="X238" s="204">
        <f t="shared" si="100"/>
        <v>1</v>
      </c>
      <c r="Y238" s="204">
        <f t="shared" si="105"/>
        <v>4.5900000000000003E-2</v>
      </c>
      <c r="Z238" s="204">
        <f t="shared" si="106"/>
        <v>2.3306</v>
      </c>
      <c r="AA238" s="204">
        <f t="shared" si="91"/>
        <v>2.2847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92"/>
        <v>0309-13</v>
      </c>
      <c r="AE238" s="80" t="str">
        <f t="shared" si="93"/>
        <v>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 &amp; 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</v>
      </c>
      <c r="AF238" s="77" t="str">
        <f t="shared" si="94"/>
        <v>"C:\Program Files (x86)\AstroGrep\AstroGrep.exe" /e /r /s /spath="%USERPROFILE%\AppData\Local\Temp\OnboardLogs" /stypes="app*4002*20170614*" /stext=" 07:.+((SYSTEM_STATE.+slice.+state.+changed )|(ment ac)|(multiple cpu faults)|(system.+state.+changed )|(\[timeout)|(PRM\|1\|D)|(kpr)|(kdp)|(train st.+moving)|(\|lc)|(penalty))"</v>
      </c>
      <c r="AG238" s="1" t="str">
        <f t="shared" si="95"/>
        <v>Other</v>
      </c>
      <c r="AH238" s="81" t="str">
        <f t="shared" si="96"/>
        <v>"%USERPROFILE%\Documents\GitHub\eaglep3\Utilities\RefineRTDCRunTimes.py" --tripid 309-13 --locoid 4002 --swversion DE.1.0.9.0 --startMP 204:459 --initTime 2017-06-14T01:13:36 --startdatetime 2017-06-14T01:15:29 --delay 1 --endMP 300:23306 --enddatetime 2017-06-14T01:23:14 --enforcementcount 0 &gt;&gt;C:\Users\stu\Documents\GitHub\eaglep3-reporting\EC\2017-06-13-refined-times.txt</v>
      </c>
      <c r="AI238" s="99" t="str">
        <f t="shared" si="97"/>
        <v>echo {"issue":{"subject":"","project_id":79,"tracker_id":40,"status_id":1,"priority_id":2,"assigned_to_id":23,"start_date":"2017-06-14","description":"","custom_fields":[{"id":1,"name":"Subdivision","value":"Other"},{"id":4,"name":"Milepost","value":"2.3306"},{"id":17,"name":"Train ID","value":"309-13"},{"id":16,"name":"Locomotive ID","value":"4002"},{"id":130,"name":"Impact","value":""},{"id":150,"name":"Time of Event (Mountain Time)","value":"01:23:14"},{"id":151,"name":"Denver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8"/>
        <v>start /low /b %USERPROFILE%\Documents\GitHub\eaglep3\Utilities\DownloadLogsFromS3.py --loco 4002 --day 2017-06-14</v>
      </c>
      <c r="AN238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07:23:14"},{"id":29,"name":"Sharepoint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638</v>
      </c>
      <c r="B239" s="7">
        <v>4019</v>
      </c>
      <c r="C239" s="21" t="s">
        <v>204</v>
      </c>
      <c r="D239" s="21" t="s">
        <v>919</v>
      </c>
      <c r="E239" s="13">
        <v>42899.202592592592</v>
      </c>
      <c r="F239" s="13">
        <v>42899.205300925925</v>
      </c>
      <c r="G239" s="7">
        <v>1</v>
      </c>
      <c r="H239" s="21" t="s">
        <v>920</v>
      </c>
      <c r="I239" s="13">
        <v>42899.211608796293</v>
      </c>
      <c r="J239" s="7">
        <v>0</v>
      </c>
      <c r="K239" s="92" t="str">
        <f t="shared" si="84"/>
        <v>4019/4020</v>
      </c>
      <c r="L239" s="21" t="str">
        <f>VLOOKUP(A239,'Trips&amp;Operators'!$C$1:$G$99999,5,FALSE)</f>
        <v>LOZA FIDEL</v>
      </c>
      <c r="M239" s="6">
        <f t="shared" si="85"/>
        <v>6.3078703678911552E-3</v>
      </c>
      <c r="N239" s="7">
        <f t="shared" si="107"/>
        <v>9.0833333297632635</v>
      </c>
      <c r="O239" s="7"/>
      <c r="P239" s="7"/>
      <c r="Q239" s="22"/>
      <c r="R239" s="173"/>
      <c r="S239" s="176">
        <f t="shared" si="108"/>
        <v>1</v>
      </c>
      <c r="T239" s="202" t="str">
        <f t="shared" si="86"/>
        <v>Southbound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03" t="str">
        <f t="shared" si="87"/>
        <v>https://d0f6bd738d7f1b3e5a7ca70fe4ff75f0.us-east-1.aws.found.io/app/kibana#/discover/Steve-Slow-Train-Analysis-(2080s-and-2083s)?_g=(refreshInterval:(display:Off,pause:!f,section:0,value:0),time:(from:'2017-06-13T03:51:44-0600',mode:absolute,to:'2017-06-13T06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9" s="204" t="str">
        <f t="shared" si="88"/>
        <v>Y</v>
      </c>
      <c r="X239" s="204">
        <f t="shared" si="100"/>
        <v>1</v>
      </c>
      <c r="Y239" s="204">
        <f t="shared" si="105"/>
        <v>2.544</v>
      </c>
      <c r="Z239" s="204">
        <f t="shared" si="106"/>
        <v>1.32E-2</v>
      </c>
      <c r="AA239" s="204">
        <f t="shared" si="91"/>
        <v>2.5308000000000002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92"/>
        <v>0310-13</v>
      </c>
      <c r="AE239" s="80" t="str">
        <f t="shared" si="93"/>
        <v>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 &amp; 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</v>
      </c>
      <c r="AF239" s="77" t="str">
        <f t="shared" si="94"/>
        <v>"C:\Program Files (x86)\AstroGrep\AstroGrep.exe" /e /r /s /spath="%USERPROFILE%\AppData\Local\Temp\OnboardLogs" /stypes="app*4019*20170613*" /stext=" 11:.+((SYSTEM_STATE.+slice.+state.+changed )|(ment ac)|(multiple cpu faults)|(system.+state.+changed )|(\[timeout)|(PRM\|1\|D)|(kpr)|(kdp)|(train st.+moving)|(\|lc)|(penalty))"</v>
      </c>
      <c r="AG239" s="1" t="str">
        <f t="shared" si="95"/>
        <v>Other</v>
      </c>
      <c r="AH239" s="81" t="str">
        <f t="shared" si="96"/>
        <v>"%USERPROFILE%\Documents\GitHub\eaglep3\Utilities\RefineRTDCRunTimes.py" --tripid 310-13 --locoid 4019 --swversion DE.1.0.9.0 --startMP 300:25440 --initTime 2017-06-13T04:51:44 --startdatetime 2017-06-13T04:55:38 --delay 1 --endMP 204:132 --enddatetime 2017-06-13T05:04:43 --enforcementcount 0 &gt;&gt;C:\Users\stu\Documents\GitHub\eaglep3-reporting\EC\2017-06-13-refined-times.txt</v>
      </c>
      <c r="AI239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{"issue":{"subject":"","project_id":79,"tracker_id":40,"status_id":1,"priority_id":2,"assigned_to_id":23,"start_date":"2017-06-13","description":"","custom_fields":[{"id":1,"name":"Subdivision","value":"Other"},{"id":4,"name":"Milepost","value":"0.0132"},{"id":17,"name":"Train ID","value":"310-13"},{"id":16,"name":"Locomotive ID","value":"4019"},{"id":130,"name":"Impact","value":""},{"id":150,"name":"Time of Event (Mountain Time)","value":"05:04:43"},{"id":151,"name":"Denver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8"/>
        <v>start /low /b %USERPROFILE%\Documents\GitHub\eaglep3\Utilities\DownloadLogsFromS3.py --loco 4019 --day 2017-06-13</v>
      </c>
      <c r="AN239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820</v>
      </c>
      <c r="B240" s="7">
        <v>4006</v>
      </c>
      <c r="C240" s="21" t="s">
        <v>204</v>
      </c>
      <c r="D240" s="21" t="s">
        <v>921</v>
      </c>
      <c r="E240" s="13">
        <v>42900.068657407406</v>
      </c>
      <c r="F240" s="13">
        <v>42900.07</v>
      </c>
      <c r="G240" s="7">
        <v>1</v>
      </c>
      <c r="H240" s="21" t="s">
        <v>356</v>
      </c>
      <c r="I240" s="13">
        <v>42900.078888888886</v>
      </c>
      <c r="J240" s="7">
        <v>0</v>
      </c>
      <c r="K240" s="92" t="str">
        <f t="shared" si="84"/>
        <v>4005/4006</v>
      </c>
      <c r="L240" s="21" t="str">
        <f>VLOOKUP(A240,'Trips&amp;Operators'!$C$1:$G$99999,5,FALSE)</f>
        <v>FORTUNATO FRANK</v>
      </c>
      <c r="M240" s="6">
        <f t="shared" si="85"/>
        <v>8.8888888858491555E-3</v>
      </c>
      <c r="N240" s="7">
        <f t="shared" si="107"/>
        <v>12.799999995622784</v>
      </c>
      <c r="O240" s="7"/>
      <c r="P240" s="7"/>
      <c r="Q240" s="22"/>
      <c r="R240" s="173"/>
      <c r="S240" s="176">
        <f t="shared" si="108"/>
        <v>1</v>
      </c>
      <c r="T240" s="202" t="str">
        <f t="shared" si="86"/>
        <v>NorthBound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03" t="str">
        <f t="shared" si="87"/>
        <v>https://d0f6bd738d7f1b3e5a7ca70fe4ff75f0.us-east-1.aws.found.io/app/kibana#/discover/Steve-Slow-Train-Analysis-(2080s-and-2083s)?_g=(refreshInterval:(display:Off,pause:!f,section:0,value:0),time:(from:'2017-06-14T00:38:52-0600',mode:absolute,to:'2017-06-14T02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0" s="204" t="str">
        <f t="shared" si="88"/>
        <v>Y</v>
      </c>
      <c r="X240" s="204">
        <f t="shared" ref="X240:X261" si="109">VALUE(LEFT(AD240,4))-VALUE(LEFT(AD239,4))</f>
        <v>1</v>
      </c>
      <c r="Y240" s="204">
        <f t="shared" si="105"/>
        <v>3.9199999999999999E-2</v>
      </c>
      <c r="Z240" s="204">
        <f t="shared" si="106"/>
        <v>2.3346</v>
      </c>
      <c r="AA240" s="204">
        <f t="shared" si="91"/>
        <v>2.2953999999999999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92"/>
        <v>0311-13</v>
      </c>
      <c r="AE240" s="80" t="str">
        <f t="shared" si="93"/>
        <v>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 &amp; 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</v>
      </c>
      <c r="AF240" s="77" t="str">
        <f t="shared" si="94"/>
        <v>"C:\Program Files (x86)\AstroGrep\AstroGrep.exe" /e /r /s /spath="%USERPROFILE%\AppData\Local\Temp\OnboardLogs" /stypes="app*4006*20170614*" /stext=" 07:.+((SYSTEM_STATE.+slice.+state.+changed )|(ment ac)|(multiple cpu faults)|(system.+state.+changed )|(\[timeout)|(PRM\|1\|D)|(kpr)|(kdp)|(train st.+moving)|(\|lc)|(penalty))"</v>
      </c>
      <c r="AG240" s="1" t="str">
        <f t="shared" si="95"/>
        <v>Other</v>
      </c>
      <c r="AH240" s="81" t="str">
        <f t="shared" si="96"/>
        <v>"%USERPROFILE%\Documents\GitHub\eaglep3\Utilities\RefineRTDCRunTimes.py" --tripid 311-13 --locoid 4006 --swversion DE.1.0.9.0 --startMP 204:392 --initTime 2017-06-14T01:38:52 --startdatetime 2017-06-14T01:40:48 --delay 1 --endMP 300:23346 --enddatetime 2017-06-14T01:53:36 --enforcementcount 0 &gt;&gt;C:\Users\stu\Documents\GitHub\eaglep3-reporting\EC\2017-06-13-refined-times.txt</v>
      </c>
      <c r="AI240" s="99" t="str">
        <f t="shared" si="97"/>
        <v>echo {"issue":{"subject":"","project_id":79,"tracker_id":40,"status_id":1,"priority_id":2,"assigned_to_id":23,"start_date":"2017-06-14","description":"","custom_fields":[{"id":1,"name":"Subdivision","value":"Other"},{"id":4,"name":"Milepost","value":"2.3346"},{"id":17,"name":"Train ID","value":"311-13"},{"id":16,"name":"Locomotive ID","value":"4006"},{"id":130,"name":"Impact","value":""},{"id":150,"name":"Time of Event (Mountain Time)","value":"01:53:36"},{"id":151,"name":"Denver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98"/>
        <v>start /low /b %USERPROFILE%\Documents\GitHub\eaglep3\Utilities\DownloadLogsFromS3.py --loco 4006 --day 2017-06-14</v>
      </c>
      <c r="AN240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07:53:36"},{"id":29,"name":"Sharepoint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646</v>
      </c>
      <c r="B241" s="7">
        <v>4061</v>
      </c>
      <c r="C241" s="21" t="s">
        <v>204</v>
      </c>
      <c r="D241" s="21" t="s">
        <v>922</v>
      </c>
      <c r="E241" s="13">
        <v>42899.222615740742</v>
      </c>
      <c r="F241" s="13">
        <v>42899.226168981484</v>
      </c>
      <c r="G241" s="7">
        <v>5</v>
      </c>
      <c r="H241" s="21" t="s">
        <v>445</v>
      </c>
      <c r="I241" s="13">
        <v>42899.232939814814</v>
      </c>
      <c r="J241" s="7">
        <v>0</v>
      </c>
      <c r="K241" s="92" t="str">
        <f t="shared" si="84"/>
        <v>4061/4062</v>
      </c>
      <c r="L241" s="21" t="str">
        <f>VLOOKUP(A241,'Trips&amp;Operators'!$C$1:$G$99999,5,FALSE)</f>
        <v>DAVIDSON DAVID</v>
      </c>
      <c r="M241" s="6">
        <f t="shared" si="85"/>
        <v>6.7708333299378864E-3</v>
      </c>
      <c r="N241" s="7">
        <f t="shared" si="107"/>
        <v>9.7499999951105565</v>
      </c>
      <c r="O241" s="7"/>
      <c r="P241" s="7"/>
      <c r="Q241" s="22"/>
      <c r="R241" s="173"/>
      <c r="S241" s="176">
        <f t="shared" si="108"/>
        <v>1</v>
      </c>
      <c r="T241" s="202" t="str">
        <f t="shared" si="86"/>
        <v>Southbound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03" t="str">
        <f t="shared" si="87"/>
        <v>https://d0f6bd738d7f1b3e5a7ca70fe4ff75f0.us-east-1.aws.found.io/app/kibana#/discover/Steve-Slow-Train-Analysis-(2080s-and-2083s)?_g=(refreshInterval:(display:Off,pause:!f,section:0,value:0),time:(from:'2017-06-13T04:20:34-0600',mode:absolute,to:'2017-06-13T06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1" s="204" t="str">
        <f t="shared" si="88"/>
        <v>Y</v>
      </c>
      <c r="X241" s="204">
        <f t="shared" si="109"/>
        <v>1</v>
      </c>
      <c r="Y241" s="204">
        <f t="shared" si="105"/>
        <v>2.3328000000000002</v>
      </c>
      <c r="Z241" s="204">
        <f t="shared" si="106"/>
        <v>1.5599999999999999E-2</v>
      </c>
      <c r="AA241" s="204">
        <f t="shared" si="91"/>
        <v>2.3172000000000001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92"/>
        <v>0312-13</v>
      </c>
      <c r="AE241" s="80" t="str">
        <f t="shared" si="93"/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AF241" s="77" t="str">
        <f t="shared" si="94"/>
        <v>"C:\Program Files (x86)\AstroGrep\AstroGrep.exe" /e /r /s /spath="%USERPROFILE%\AppData\Local\Temp\OnboardLogs" /stypes="app*4061*20170613*" /stext=" 11:.+((SYSTEM_STATE.+slice.+state.+changed )|(ment ac)|(multiple cpu faults)|(system.+state.+changed )|(\[timeout)|(PRM\|1\|D)|(kpr)|(kdp)|(train st.+moving)|(\|lc)|(penalty))"</v>
      </c>
      <c r="AG241" s="1" t="str">
        <f t="shared" si="95"/>
        <v>Other</v>
      </c>
      <c r="AH241" s="81" t="str">
        <f t="shared" si="96"/>
        <v>"%USERPROFILE%\Documents\GitHub\eaglep3\Utilities\RefineRTDCRunTimes.py" --tripid 312-13 --locoid 4061 --swversion DE.1.0.9.0 --startMP 300:23328 --initTime 2017-06-13T05:20:34 --startdatetime 2017-06-13T05:25:41 --delay 5 --endMP 204:156 --enddatetime 2017-06-13T05:35:26 --enforcementcount 0 &gt;&gt;C:\Users\stu\Documents\GitHub\eaglep3-reporting\EC\2017-06-13-refined-times.txt</v>
      </c>
      <c r="AI241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{"issue":{"subject":"","project_id":79,"tracker_id":40,"status_id":1,"priority_id":2,"assigned_to_id":23,"start_date":"2017-06-13","description":"","custom_fields":[{"id":1,"name":"Subdivision","value":"Other"},{"id":4,"name":"Milepost","value":"0.0156"},{"id":17,"name":"Train ID","value":"312-13"},{"id":16,"name":"Locomotive ID","value":"4061"},{"id":130,"name":"Impact","value":""},{"id":150,"name":"Time of Event (Mountain Time)","value":"05:35:26"},{"id":151,"name":"Denver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98"/>
        <v>start /low /b %USERPROFILE%\Documents\GitHub\eaglep3\Utilities\DownloadLogsFromS3.py --loco 4061 --day 2017-06-13</v>
      </c>
      <c r="AN241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545</v>
      </c>
      <c r="B242" s="7">
        <v>4016</v>
      </c>
      <c r="C242" s="21" t="s">
        <v>204</v>
      </c>
      <c r="D242" s="21" t="s">
        <v>573</v>
      </c>
      <c r="E242" s="13">
        <v>42899.091643518521</v>
      </c>
      <c r="F242" s="13">
        <v>42899.093148148146</v>
      </c>
      <c r="G242" s="7">
        <v>1</v>
      </c>
      <c r="H242" s="21" t="s">
        <v>524</v>
      </c>
      <c r="I242" s="13">
        <v>42899.109733796293</v>
      </c>
      <c r="J242" s="7">
        <v>0</v>
      </c>
      <c r="K242" s="92" t="str">
        <f t="shared" si="84"/>
        <v>4015/4016</v>
      </c>
      <c r="L242" s="21" t="str">
        <f>VLOOKUP(A242,'Trips&amp;Operators'!$C$1:$G$99999,5,FALSE)</f>
        <v>GUZMAN DANNY</v>
      </c>
      <c r="M242" s="6">
        <f t="shared" si="85"/>
        <v>1.6585648147156462E-2</v>
      </c>
      <c r="N242" s="7">
        <f t="shared" si="107"/>
        <v>23.883333331905305</v>
      </c>
      <c r="O242" s="7"/>
      <c r="P242" s="7"/>
      <c r="Q242" s="22"/>
      <c r="R242" s="173"/>
      <c r="S242" s="176">
        <f t="shared" si="108"/>
        <v>1</v>
      </c>
      <c r="T242" s="202" t="str">
        <f t="shared" si="86"/>
        <v>NorthBound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03" t="str">
        <f t="shared" si="87"/>
        <v>https://d0f6bd738d7f1b3e5a7ca70fe4ff75f0.us-east-1.aws.found.io/app/kibana#/discover/Steve-Slow-Train-Analysis-(2080s-and-2083s)?_g=(refreshInterval:(display:Off,pause:!f,section:0,value:0),time:(from:'2017-06-13T01:11:58-0600',mode:absolute,to:'2017-06-13T03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2" s="204" t="str">
        <f t="shared" si="88"/>
        <v>Y</v>
      </c>
      <c r="X242" s="204">
        <f t="shared" si="109"/>
        <v>1</v>
      </c>
      <c r="Y242" s="204">
        <f t="shared" si="105"/>
        <v>5.1499999999999997E-2</v>
      </c>
      <c r="Z242" s="204">
        <f t="shared" si="106"/>
        <v>2.3308</v>
      </c>
      <c r="AA242" s="204">
        <f t="shared" si="91"/>
        <v>2.2793000000000001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92"/>
        <v>0313-12</v>
      </c>
      <c r="AE242" s="80" t="str">
        <f t="shared" si="93"/>
        <v>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 &amp; 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</v>
      </c>
      <c r="AF242" s="77" t="str">
        <f t="shared" si="94"/>
        <v>"C:\Program Files (x86)\AstroGrep\AstroGrep.exe" /e /r /s /spath="%USERPROFILE%\AppData\Local\Temp\OnboardLogs" /stypes="app*4016*20170613*" /stext=" 08:.+((SYSTEM_STATE.+slice.+state.+changed )|(ment ac)|(multiple cpu faults)|(system.+state.+changed )|(\[timeout)|(PRM\|1\|D)|(kpr)|(kdp)|(train st.+moving)|(\|lc)|(penalty))"</v>
      </c>
      <c r="AG242" s="1" t="str">
        <f t="shared" si="95"/>
        <v>Other</v>
      </c>
      <c r="AH242" s="81" t="str">
        <f t="shared" si="96"/>
        <v>"%USERPROFILE%\Documents\GitHub\eaglep3\Utilities\RefineRTDCRunTimes.py" --tripid 313-12 --locoid 4016 --swversion DE.1.0.9.0 --startMP 204:515 --initTime 2017-06-13T02:11:58 --startdatetime 2017-06-13T02:14:08 --delay 1 --endMP 300:23308 --enddatetime 2017-06-13T02:38:01 --enforcementcount 0 &gt;&gt;C:\Users\stu\Documents\GitHub\eaglep3-reporting\EC\2017-06-13-refined-times.txt</v>
      </c>
      <c r="AI242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{"issue":{"subject":"","project_id":79,"tracker_id":40,"status_id":1,"priority_id":2,"assigned_to_id":23,"start_date":"2017-06-13","description":"","custom_fields":[{"id":1,"name":"Subdivision","value":"Other"},{"id":4,"name":"Milepost","value":"2.3308"},{"id":17,"name":"Train ID","value":"313-12"},{"id":16,"name":"Locomotive ID","value":"4016"},{"id":130,"name":"Impact","value":""},{"id":150,"name":"Time of Event (Mountain Time)","value":"02:38:01"},{"id":151,"name":"Denver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98"/>
        <v>start /low /b %USERPROFILE%\Documents\GitHub\eaglep3\Utilities\DownloadLogsFromS3.py --loco 4016 --day 2017-06-13</v>
      </c>
      <c r="AN242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08:38:01"},{"id":29,"name":"Sharepoint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821</v>
      </c>
      <c r="B243" s="7">
        <v>4046</v>
      </c>
      <c r="C243" s="21" t="s">
        <v>204</v>
      </c>
      <c r="D243" s="21" t="s">
        <v>355</v>
      </c>
      <c r="E243" s="13">
        <v>42900.089953703704</v>
      </c>
      <c r="F243" s="13">
        <v>42900.091863425929</v>
      </c>
      <c r="G243" s="7">
        <v>1</v>
      </c>
      <c r="H243" s="21" t="s">
        <v>356</v>
      </c>
      <c r="I243" s="13">
        <v>42900.102118055554</v>
      </c>
      <c r="J243" s="7">
        <v>0</v>
      </c>
      <c r="K243" s="92" t="str">
        <f t="shared" si="84"/>
        <v>4045/4046</v>
      </c>
      <c r="L243" s="21" t="str">
        <f>VLOOKUP(A243,'Trips&amp;Operators'!$C$1:$G$99999,5,FALSE)</f>
        <v>LAMAR NEKESHA</v>
      </c>
      <c r="M243" s="6">
        <f t="shared" si="85"/>
        <v>1.0254629625706002E-2</v>
      </c>
      <c r="N243" s="7">
        <f t="shared" si="107"/>
        <v>14.766666661016643</v>
      </c>
      <c r="O243" s="7"/>
      <c r="P243" s="7"/>
      <c r="Q243" s="22"/>
      <c r="R243" s="173"/>
      <c r="S243" s="176">
        <f t="shared" si="108"/>
        <v>1</v>
      </c>
      <c r="T243" s="202" t="str">
        <f t="shared" si="86"/>
        <v>NorthBound</v>
      </c>
      <c r="U243" s="20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03" t="str">
        <f t="shared" si="87"/>
        <v>https://d0f6bd738d7f1b3e5a7ca70fe4ff75f0.us-east-1.aws.found.io/app/kibana#/discover/Steve-Slow-Train-Analysis-(2080s-and-2083s)?_g=(refreshInterval:(display:Off,pause:!f,section:0,value:0),time:(from:'2017-06-14T01:09:32-0600',mode:absolute,to:'2017-06-14T03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3" s="204" t="str">
        <f t="shared" si="88"/>
        <v>Y</v>
      </c>
      <c r="X243" s="204">
        <f t="shared" si="109"/>
        <v>0</v>
      </c>
      <c r="Y243" s="204">
        <f t="shared" si="105"/>
        <v>4.5100000000000001E-2</v>
      </c>
      <c r="Z243" s="204">
        <f t="shared" si="106"/>
        <v>2.3346</v>
      </c>
      <c r="AA243" s="204">
        <f t="shared" si="91"/>
        <v>2.2894999999999999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92"/>
        <v>0313-13</v>
      </c>
      <c r="AE243" s="80" t="str">
        <f t="shared" si="93"/>
        <v>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 &amp; 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</v>
      </c>
      <c r="AF243" s="77" t="str">
        <f t="shared" si="94"/>
        <v>"C:\Program Files (x86)\AstroGrep\AstroGrep.exe" /e /r /s /spath="%USERPROFILE%\AppData\Local\Temp\OnboardLogs" /stypes="app*4046*20170614*" /stext=" 08:.+((SYSTEM_STATE.+slice.+state.+changed )|(ment ac)|(multiple cpu faults)|(system.+state.+changed )|(\[timeout)|(PRM\|1\|D)|(kpr)|(kdp)|(train st.+moving)|(\|lc)|(penalty))"</v>
      </c>
      <c r="AG243" s="1" t="str">
        <f t="shared" si="95"/>
        <v>Other</v>
      </c>
      <c r="AH243" s="81" t="str">
        <f t="shared" si="96"/>
        <v>"%USERPROFILE%\Documents\GitHub\eaglep3\Utilities\RefineRTDCRunTimes.py" --tripid 313-13 --locoid 4046 --swversion DE.1.0.9.0 --startMP 204:451 --initTime 2017-06-14T02:09:32 --startdatetime 2017-06-14T02:12:17 --delay 1 --endMP 300:23346 --enddatetime 2017-06-14T02:27:03 --enforcementcount 0 &gt;&gt;C:\Users\stu\Documents\GitHub\eaglep3-reporting\EC\2017-06-13-refined-times.txt</v>
      </c>
      <c r="AI243" s="99" t="str">
        <f t="shared" si="97"/>
        <v>echo {"issue":{"subject":"","project_id":79,"tracker_id":40,"status_id":1,"priority_id":2,"assigned_to_id":23,"start_date":"2017-06-14","description":"","custom_fields":[{"id":1,"name":"Subdivision","value":"Other"},{"id":4,"name":"Milepost","value":"2.3346"},{"id":17,"name":"Train ID","value":"313-13"},{"id":16,"name":"Locomotive ID","value":"4046"},{"id":130,"name":"Impact","value":""},{"id":150,"name":"Time of Event (Mountain Time)","value":"02:27:03"},{"id":151,"name":"Denver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98"/>
        <v>start /low /b %USERPROFILE%\Documents\GitHub\eaglep3\Utilities\DownloadLogsFromS3.py --loco 4046 --day 2017-06-14</v>
      </c>
      <c r="AN243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08:27:03"},{"id":29,"name":"Sharepoint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637</v>
      </c>
      <c r="B244" s="7">
        <v>4056</v>
      </c>
      <c r="C244" s="21" t="s">
        <v>204</v>
      </c>
      <c r="D244" s="21" t="s">
        <v>986</v>
      </c>
      <c r="E244" s="13">
        <v>42899.195162037038</v>
      </c>
      <c r="F244" s="13">
        <v>42899.199108796296</v>
      </c>
      <c r="G244" s="7">
        <v>5</v>
      </c>
      <c r="H244" s="21" t="s">
        <v>981</v>
      </c>
      <c r="I244" s="13">
        <v>42899.205034722225</v>
      </c>
      <c r="J244" s="7">
        <v>0</v>
      </c>
      <c r="K244" s="92" t="str">
        <f t="shared" si="84"/>
        <v>4055/4056</v>
      </c>
      <c r="L244" s="21" t="str">
        <f>VLOOKUP(A244,'Trips&amp;Operators'!$C$1:$G$99999,5,FALSE)</f>
        <v>HELVIE ADAM</v>
      </c>
      <c r="M244" s="6">
        <f t="shared" si="85"/>
        <v>5.9259259287500754E-3</v>
      </c>
      <c r="N244" s="7">
        <f t="shared" si="107"/>
        <v>8.5333333374001086</v>
      </c>
      <c r="O244" s="7"/>
      <c r="P244" s="7"/>
      <c r="Q244" s="22"/>
      <c r="R244" s="173"/>
      <c r="S244" s="176">
        <f t="shared" si="108"/>
        <v>0</v>
      </c>
      <c r="T244" s="202" t="str">
        <f t="shared" si="86"/>
        <v>NorthBound</v>
      </c>
      <c r="U244" s="202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03" t="str">
        <f t="shared" si="87"/>
        <v>https://d0f6bd738d7f1b3e5a7ca70fe4ff75f0.us-east-1.aws.found.io/app/kibana#/discover/Steve-Slow-Train-Analysis-(2080s-and-2083s)?_g=(refreshInterval:(display:Off,pause:!f,section:0,value:0),time:(from:'2017-06-13T03:41:02-0600',mode:absolute,to:'2017-06-13T05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4" s="204" t="str">
        <f t="shared" si="88"/>
        <v>Y</v>
      </c>
      <c r="X244" s="204">
        <f t="shared" si="109"/>
        <v>588</v>
      </c>
      <c r="Y244" s="204">
        <f t="shared" si="105"/>
        <v>3.0322</v>
      </c>
      <c r="Z244" s="204">
        <f t="shared" si="106"/>
        <v>5.8935000000000004</v>
      </c>
      <c r="AA244" s="204">
        <f t="shared" si="91"/>
        <v>2.8613000000000004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92"/>
        <v>0901-13</v>
      </c>
      <c r="AE244" s="80" t="str">
        <f t="shared" si="93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244" s="77" t="str">
        <f t="shared" si="94"/>
        <v>"C:\Program Files (x86)\AstroGrep\AstroGrep.exe" /e /r /s /spath="%USERPROFILE%\AppData\Local\Temp\OnboardLogs" /stypes="app*4056*20170613*" /stext=" 10:.+((SYSTEM_STATE.+slice.+state.+changed )|(ment ac)|(multiple cpu faults)|(system.+state.+changed )|(\[timeout)|(PRM\|1\|D)|(kpr)|(kdp)|(train st.+moving)|(\|lc)|(penalty))"</v>
      </c>
      <c r="AG244" s="1" t="str">
        <f t="shared" si="95"/>
        <v>Other</v>
      </c>
      <c r="AH244" s="81" t="str">
        <f t="shared" si="96"/>
        <v>"%USERPROFILE%\Documents\GitHub\eaglep3\Utilities\RefineRTDCRunTimes.py" --tripid 901-13 --locoid 4056 --swversion DE.1.0.9.0 --startMP 300:30322 --initTime 2017-06-13T04:41:02 --startdatetime 2017-06-13T04:46:43 --delay 5 --endMP 300:58935 --enddatetime 2017-06-13T04:55:15 --enforcementcount 0 &gt;&gt;C:\Users\stu\Documents\GitHub\eaglep3-reporting\EC\2017-06-13-refined-times.txt</v>
      </c>
      <c r="AI244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{"issue":{"subject":"","project_id":79,"tracker_id":40,"status_id":1,"priority_id":2,"assigned_to_id":23,"start_date":"2017-06-13","description":"","custom_fields":[{"id":1,"name":"Subdivision","value":"Other"},{"id":4,"name":"Milepost","value":"5.8935"},{"id":17,"name":"Train ID","value":"901-13"},{"id":16,"name":"Locomotive ID","value":"4056"},{"id":130,"name":"Impact","value":""},{"id":150,"name":"Time of Event (Mountain Time)","value":"04:55:15"},{"id":151,"name":"Denver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98"/>
        <v>start /low /b %USERPROFILE%\Documents\GitHub\eaglep3\Utilities\DownloadLogsFromS3.py --loco 4056 --day 2017-06-13</v>
      </c>
      <c r="AN244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10:55:15"},{"id":29,"name":"Sharepoint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649</v>
      </c>
      <c r="B245" s="7">
        <v>4023</v>
      </c>
      <c r="C245" s="21" t="s">
        <v>204</v>
      </c>
      <c r="D245" s="21" t="s">
        <v>987</v>
      </c>
      <c r="E245" s="13">
        <v>42899.234548611108</v>
      </c>
      <c r="F245" s="13">
        <v>42899.240127314813</v>
      </c>
      <c r="G245" s="7">
        <v>7</v>
      </c>
      <c r="H245" s="21" t="s">
        <v>988</v>
      </c>
      <c r="I245" s="13">
        <v>42899.246770833335</v>
      </c>
      <c r="J245" s="7">
        <v>0</v>
      </c>
      <c r="K245" s="92" t="str">
        <f t="shared" si="84"/>
        <v>4023/4024</v>
      </c>
      <c r="L245" s="21" t="str">
        <f>VLOOKUP(A245,'Trips&amp;Operators'!$C$1:$G$99999,5,FALSE)</f>
        <v>SANTIZO D. EDY</v>
      </c>
      <c r="M245" s="6">
        <f t="shared" si="85"/>
        <v>6.6435185217414983E-3</v>
      </c>
      <c r="N245" s="7">
        <f t="shared" si="107"/>
        <v>9.5666666713077575</v>
      </c>
      <c r="O245" s="7"/>
      <c r="P245" s="7"/>
      <c r="Q245" s="22"/>
      <c r="R245" s="173"/>
      <c r="S245" s="176">
        <f t="shared" si="108"/>
        <v>1</v>
      </c>
      <c r="T245" s="202" t="str">
        <f t="shared" si="86"/>
        <v>Southbound</v>
      </c>
      <c r="U245" s="202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03" t="str">
        <f t="shared" si="87"/>
        <v>https://d0f6bd738d7f1b3e5a7ca70fe4ff75f0.us-east-1.aws.found.io/app/kibana#/discover/Steve-Slow-Train-Analysis-(2080s-and-2083s)?_g=(refreshInterval:(display:Off,pause:!f,section:0,value:0),time:(from:'2017-06-13T04:37:45-0600',mode:absolute,to:'2017-06-13T06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5" s="204" t="str">
        <f t="shared" si="88"/>
        <v>Y</v>
      </c>
      <c r="X245" s="204">
        <f t="shared" si="109"/>
        <v>1</v>
      </c>
      <c r="Y245" s="204">
        <f t="shared" si="105"/>
        <v>1.2045999999999999</v>
      </c>
      <c r="Z245" s="204">
        <f t="shared" si="106"/>
        <v>7.3300000000000004E-2</v>
      </c>
      <c r="AA245" s="204">
        <f t="shared" si="91"/>
        <v>1.1313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92"/>
        <v>0902-13</v>
      </c>
      <c r="AE245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45" s="77" t="str">
        <f t="shared" si="94"/>
        <v>"C:\Program Files (x86)\AstroGrep\AstroGrep.exe" /e /r /s /spath="%USERPROFILE%\AppData\Local\Temp\OnboardLogs" /stypes="app*4023*20170613*" /stext=" 11:.+((SYSTEM_STATE.+slice.+state.+changed )|(ment ac)|(multiple cpu faults)|(system.+state.+changed )|(\[timeout)|(PRM\|1\|D)|(kpr)|(kdp)|(train st.+moving)|(\|lc)|(penalty))"</v>
      </c>
      <c r="AG245" s="1" t="str">
        <f t="shared" si="95"/>
        <v>Other</v>
      </c>
      <c r="AH245" s="81" t="str">
        <f t="shared" si="96"/>
        <v>"%USERPROFILE%\Documents\GitHub\eaglep3\Utilities\RefineRTDCRunTimes.py" --tripid 902-13 --locoid 4023 --swversion DE.1.0.9.0 --startMP 300:12046 --initTime 2017-06-13T05:37:45 --startdatetime 2017-06-13T05:45:47 --delay 7 --endMP 204:733 --enddatetime 2017-06-13T05:55:21 --enforcementcount 0 &gt;&gt;C:\Users\stu\Documents\GitHub\eaglep3-reporting\EC\2017-06-13-refined-times.txt</v>
      </c>
      <c r="AI245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{"issue":{"subject":"","project_id":79,"tracker_id":40,"status_id":1,"priority_id":2,"assigned_to_id":23,"start_date":"2017-06-13","description":"","custom_fields":[{"id":1,"name":"Subdivision","value":"Other"},{"id":4,"name":"Milepost","value":"0.0733"},{"id":17,"name":"Train ID","value":"902-13"},{"id":16,"name":"Locomotive ID","value":"4023"},{"id":130,"name":"Impact","value":""},{"id":150,"name":"Time of Event (Mountain Time)","value":"05:55:21"},{"id":151,"name":"Denver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98"/>
        <v>start /low /b %USERPROFILE%\Documents\GitHub\eaglep3\Utilities\DownloadLogsFromS3.py --loco 4023 --day 2017-06-13</v>
      </c>
      <c r="AN245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11:55:21"},{"id":29,"name":"Sharepoint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677</v>
      </c>
      <c r="B246" s="7">
        <v>4056</v>
      </c>
      <c r="C246" s="21" t="s">
        <v>204</v>
      </c>
      <c r="D246" s="21" t="s">
        <v>989</v>
      </c>
      <c r="E246" s="13">
        <v>42899.352210648147</v>
      </c>
      <c r="F246" s="13">
        <v>42899.353460648148</v>
      </c>
      <c r="G246" s="7">
        <v>1</v>
      </c>
      <c r="H246" s="21" t="s">
        <v>990</v>
      </c>
      <c r="I246" s="13">
        <v>42899.358229166668</v>
      </c>
      <c r="J246" s="7">
        <v>0</v>
      </c>
      <c r="K246" s="92" t="str">
        <f t="shared" si="84"/>
        <v>4055/4056</v>
      </c>
      <c r="L246" s="21" t="str">
        <f>VLOOKUP(A246,'Trips&amp;Operators'!$C$1:$G$99999,5,FALSE)</f>
        <v>HELVIE ADAM</v>
      </c>
      <c r="M246" s="6">
        <f t="shared" si="85"/>
        <v>4.7685185199952684E-3</v>
      </c>
      <c r="N246" s="7">
        <f t="shared" si="107"/>
        <v>6.8666666687931865</v>
      </c>
      <c r="O246" s="7"/>
      <c r="P246" s="7"/>
      <c r="Q246" s="22"/>
      <c r="R246" s="173"/>
      <c r="S246" s="176">
        <f t="shared" si="108"/>
        <v>1</v>
      </c>
      <c r="T246" s="202" t="str">
        <f t="shared" si="86"/>
        <v>NorthBound</v>
      </c>
      <c r="U246" s="202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03" t="str">
        <f t="shared" si="87"/>
        <v>https://d0f6bd738d7f1b3e5a7ca70fe4ff75f0.us-east-1.aws.found.io/app/kibana#/discover/Steve-Slow-Train-Analysis-(2080s-and-2083s)?_g=(refreshInterval:(display:Off,pause:!f,section:0,value:0),time:(from:'2017-06-13T07:27:11-0600',mode:absolute,to:'2017-06-13T09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6" s="204" t="str">
        <f t="shared" si="88"/>
        <v>Y</v>
      </c>
      <c r="X246" s="204">
        <f t="shared" si="109"/>
        <v>1</v>
      </c>
      <c r="Y246" s="204">
        <f t="shared" si="105"/>
        <v>0.10630000000000001</v>
      </c>
      <c r="Z246" s="204">
        <f t="shared" si="106"/>
        <v>2.4268999999999998</v>
      </c>
      <c r="AA246" s="204">
        <f t="shared" si="91"/>
        <v>2.3205999999999998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92"/>
        <v>0903-13</v>
      </c>
      <c r="AE246" s="80" t="str">
        <f t="shared" si="93"/>
        <v>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 &amp; 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</v>
      </c>
      <c r="AF246" s="77" t="str">
        <f t="shared" si="94"/>
        <v>"C:\Program Files (x86)\AstroGrep\AstroGrep.exe" /e /r /s /spath="%USERPROFILE%\AppData\Local\Temp\OnboardLogs" /stypes="app*4056*20170613*" /stext=" 14:.+((SYSTEM_STATE.+slice.+state.+changed )|(ment ac)|(multiple cpu faults)|(system.+state.+changed )|(\[timeout)|(PRM\|1\|D)|(kpr)|(kdp)|(train st.+moving)|(\|lc)|(penalty))"</v>
      </c>
      <c r="AG246" s="1" t="str">
        <f t="shared" si="95"/>
        <v>Other</v>
      </c>
      <c r="AH246" s="81" t="str">
        <f t="shared" si="96"/>
        <v>"%USERPROFILE%\Documents\GitHub\eaglep3\Utilities\RefineRTDCRunTimes.py" --tripid 903-13 --locoid 4056 --swversion DE.1.0.9.0 --startMP 204:1063 --initTime 2017-06-13T08:27:11 --startdatetime 2017-06-13T08:28:59 --delay 1 --endMP 300:24269 --enddatetime 2017-06-13T08:35:51 --enforcementcount 0 &gt;&gt;C:\Users\stu\Documents\GitHub\eaglep3-reporting\EC\2017-06-13-refined-times.txt</v>
      </c>
      <c r="AI246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{"issue":{"subject":"","project_id":79,"tracker_id":40,"status_id":1,"priority_id":2,"assigned_to_id":23,"start_date":"2017-06-13","description":"","custom_fields":[{"id":1,"name":"Subdivision","value":"Other"},{"id":4,"name":"Milepost","value":"2.4269"},{"id":17,"name":"Train ID","value":"903-13"},{"id":16,"name":"Locomotive ID","value":"4056"},{"id":130,"name":"Impact","value":""},{"id":150,"name":"Time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98"/>
        <v>start /low /b %USERPROFILE%\Documents\GitHub\eaglep3\Utilities\DownloadLogsFromS3.py --loco 4056 --day 2017-06-13</v>
      </c>
      <c r="AN246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748</v>
      </c>
      <c r="B247" s="7">
        <v>4055</v>
      </c>
      <c r="C247" s="21" t="s">
        <v>204</v>
      </c>
      <c r="D247" s="21" t="s">
        <v>991</v>
      </c>
      <c r="E247" s="13">
        <v>42899.644212962965</v>
      </c>
      <c r="F247" s="13">
        <v>42899.646597222221</v>
      </c>
      <c r="G247" s="7">
        <v>3</v>
      </c>
      <c r="H247" s="21" t="s">
        <v>992</v>
      </c>
      <c r="I247" s="13">
        <v>42899.652442129627</v>
      </c>
      <c r="J247" s="7">
        <v>0</v>
      </c>
      <c r="K247" s="92" t="str">
        <f t="shared" si="84"/>
        <v>4055/4056</v>
      </c>
      <c r="L247" s="21" t="str">
        <f>VLOOKUP(A247,'Trips&amp;Operators'!$C$1:$G$99999,5,FALSE)</f>
        <v>SAFIEF AEIMEN</v>
      </c>
      <c r="M247" s="6">
        <f t="shared" si="85"/>
        <v>5.8449074058444239E-3</v>
      </c>
      <c r="N247" s="7">
        <f t="shared" si="107"/>
        <v>8.4166666644159704</v>
      </c>
      <c r="O247" s="7"/>
      <c r="P247" s="7"/>
      <c r="Q247" s="22"/>
      <c r="R247" s="173"/>
      <c r="S247" s="176">
        <f t="shared" si="108"/>
        <v>1</v>
      </c>
      <c r="T247" s="202" t="str">
        <f t="shared" si="86"/>
        <v>Southbound</v>
      </c>
      <c r="U247" s="202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203" t="str">
        <f t="shared" si="87"/>
        <v>https://d0f6bd738d7f1b3e5a7ca70fe4ff75f0.us-east-1.aws.found.io/app/kibana#/discover/Steve-Slow-Train-Analysis-(2080s-and-2083s)?_g=(refreshInterval:(display:Off,pause:!f,section:0,value:0),time:(from:'2017-06-13T14:27:40-0600',mode:absolute,to:'2017-06-13T16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7" s="204" t="str">
        <f t="shared" si="88"/>
        <v>Y</v>
      </c>
      <c r="X247" s="204">
        <f t="shared" si="109"/>
        <v>1</v>
      </c>
      <c r="Y247" s="204">
        <f t="shared" si="105"/>
        <v>2.3456999999999999</v>
      </c>
      <c r="Z247" s="204">
        <f t="shared" si="106"/>
        <v>6.7799999999999999E-2</v>
      </c>
      <c r="AA247" s="204">
        <f t="shared" si="91"/>
        <v>2.2778999999999998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92"/>
        <v>0904-13</v>
      </c>
      <c r="AE247" s="80" t="str">
        <f t="shared" si="93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247" s="77" t="str">
        <f t="shared" si="94"/>
        <v>"C:\Program Files (x86)\AstroGrep\AstroGrep.exe" /e /r /s /spath="%USERPROFILE%\AppData\Local\Temp\OnboardLogs" /stypes="app*4055*20170613*" /stext=" 21:.+((SYSTEM_STATE.+slice.+state.+changed )|(ment ac)|(multiple cpu faults)|(system.+state.+changed )|(\[timeout)|(PRM\|1\|D)|(kpr)|(kdp)|(train st.+moving)|(\|lc)|(penalty))"</v>
      </c>
      <c r="AG247" s="1" t="str">
        <f t="shared" si="95"/>
        <v>Other</v>
      </c>
      <c r="AH247" s="81" t="str">
        <f t="shared" si="96"/>
        <v>"%USERPROFILE%\Documents\GitHub\eaglep3\Utilities\RefineRTDCRunTimes.py" --tripid 904-13 --locoid 4055 --swversion DE.1.0.9.0 --startMP 300:23457 --initTime 2017-06-13T15:27:40 --startdatetime 2017-06-13T15:31:06 --delay 3 --endMP 204:678 --enddatetime 2017-06-13T15:39:31 --enforcementcount 0 &gt;&gt;C:\Users\stu\Documents\GitHub\eaglep3-reporting\EC\2017-06-13-refined-times.txt</v>
      </c>
      <c r="AI247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{"issue":{"subject":"","project_id":79,"tracker_id":40,"status_id":1,"priority_id":2,"assigned_to_id":23,"start_date":"2017-06-13","description":"","custom_fields":[{"id":1,"name":"Subdivision","value":"Other"},{"id":4,"name":"Milepost","value":"0.0678"},{"id":17,"name":"Train ID","value":"904-13"},{"id":16,"name":"Locomotive ID","value":"4055"},{"id":130,"name":"Impact","value":""},{"id":150,"name":"Time of Event (Mountain Time)","value":"15:39:31"},{"id":151,"name":"Denver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98"/>
        <v>start /low /b %USERPROFILE%\Documents\GitHub\eaglep3\Utilities\DownloadLogsFromS3.py --loco 4055 --day 2017-06-13</v>
      </c>
      <c r="AN247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21:39:31"},{"id":29,"name":"Sharepoint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788</v>
      </c>
      <c r="B248" s="7">
        <v>4055</v>
      </c>
      <c r="C248" s="21" t="s">
        <v>204</v>
      </c>
      <c r="D248" s="21" t="s">
        <v>978</v>
      </c>
      <c r="E248" s="13">
        <v>42899.797025462962</v>
      </c>
      <c r="F248" s="13">
        <v>42899.798750000002</v>
      </c>
      <c r="G248" s="7">
        <v>1</v>
      </c>
      <c r="H248" s="21" t="s">
        <v>993</v>
      </c>
      <c r="I248" s="13">
        <v>42899.806469907409</v>
      </c>
      <c r="J248" s="7">
        <v>0</v>
      </c>
      <c r="K248" s="92" t="str">
        <f t="shared" si="84"/>
        <v>4055/4056</v>
      </c>
      <c r="L248" s="21" t="str">
        <f>VLOOKUP(A248,'Trips&amp;Operators'!$C$1:$G$99999,5,FALSE)</f>
        <v>SAFIEF AEIMEN</v>
      </c>
      <c r="M248" s="6">
        <f t="shared" si="85"/>
        <v>7.7199074075906537E-3</v>
      </c>
      <c r="N248" s="7">
        <f t="shared" si="107"/>
        <v>11.116666666930541</v>
      </c>
      <c r="O248" s="7"/>
      <c r="P248" s="7"/>
      <c r="Q248" s="22"/>
      <c r="R248" s="173"/>
      <c r="S248" s="176">
        <f t="shared" si="108"/>
        <v>0</v>
      </c>
      <c r="T248" s="202" t="str">
        <f t="shared" si="86"/>
        <v>Southbound</v>
      </c>
      <c r="U248" s="202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03" t="str">
        <f t="shared" si="87"/>
        <v>https://d0f6bd738d7f1b3e5a7ca70fe4ff75f0.us-east-1.aws.found.io/app/kibana#/discover/Steve-Slow-Train-Analysis-(2080s-and-2083s)?_g=(refreshInterval:(display:Off,pause:!f,section:0,value:0),time:(from:'2017-06-13T18:07:43-0600',mode:absolute,to:'2017-06-13T20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8" s="204" t="str">
        <f t="shared" si="88"/>
        <v>Y</v>
      </c>
      <c r="X248" s="204">
        <f t="shared" si="109"/>
        <v>2</v>
      </c>
      <c r="Y248" s="204">
        <f t="shared" si="105"/>
        <v>5.8623000000000003</v>
      </c>
      <c r="Z248" s="204">
        <f t="shared" si="106"/>
        <v>2.8793000000000002</v>
      </c>
      <c r="AA248" s="204">
        <f t="shared" si="91"/>
        <v>2.9830000000000001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92"/>
        <v>0906-13</v>
      </c>
      <c r="AE248" s="80" t="str">
        <f t="shared" si="93"/>
        <v>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 &amp; 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</v>
      </c>
      <c r="AF248" s="77" t="str">
        <f t="shared" si="94"/>
        <v>"C:\Program Files (x86)\AstroGrep\AstroGrep.exe" /e /r /s /spath="%USERPROFILE%\AppData\Local\Temp\OnboardLogs" /stypes="app*4055*20170614*" /stext=" 01:.+((SYSTEM_STATE.+slice.+state.+changed )|(ment ac)|(multiple cpu faults)|(system.+state.+changed )|(\[timeout)|(PRM\|1\|D)|(kpr)|(kdp)|(train st.+moving)|(\|lc)|(penalty))"</v>
      </c>
      <c r="AG248" s="1" t="str">
        <f t="shared" si="95"/>
        <v>Other</v>
      </c>
      <c r="AH248" s="81" t="str">
        <f t="shared" si="96"/>
        <v>"%USERPROFILE%\Documents\GitHub\eaglep3\Utilities\RefineRTDCRunTimes.py" --tripid 906-13 --locoid 4055 --swversion DE.1.0.9.0 --startMP 300:58623 --initTime 2017-06-13T19:07:43 --startdatetime 2017-06-13T19:10:12 --delay 1 --endMP 300:28793 --enddatetime 2017-06-13T19:21:19 --enforcementcount 0 &gt;&gt;C:\Users\stu\Documents\GitHub\eaglep3-reporting\EC\2017-06-13-refined-times.txt</v>
      </c>
      <c r="AI248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{"issue":{"subject":"","project_id":79,"tracker_id":40,"status_id":1,"priority_id":2,"assigned_to_id":23,"start_date":"2017-06-13","description":"","custom_fields":[{"id":1,"name":"Subdivision","value":"Other"},{"id":4,"name":"Milepost","value":"2.8793"},{"id":17,"name":"Train ID","value":"906-13"},{"id":16,"name":"Locomotive ID","value":"4055"},{"id":130,"name":"Impact","value":""},{"id":150,"name":"Time of Event (Mountain Time)","value":"19:21:19"},{"id":151,"name":"Denver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98"/>
        <v>start /low /b %USERPROFILE%\Documents\GitHub\eaglep3\Utilities\DownloadLogsFromS3.py --loco 4055 --day 2017-06-13</v>
      </c>
      <c r="AN248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01:21:19"},{"id":29,"name":"Sharepoint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808</v>
      </c>
      <c r="B249" s="7">
        <v>4023</v>
      </c>
      <c r="C249" s="21" t="s">
        <v>204</v>
      </c>
      <c r="D249" s="21" t="s">
        <v>582</v>
      </c>
      <c r="E249" s="13">
        <v>42899.942881944444</v>
      </c>
      <c r="F249" s="13">
        <v>42899.954513888886</v>
      </c>
      <c r="G249" s="7">
        <v>1</v>
      </c>
      <c r="H249" s="21" t="s">
        <v>994</v>
      </c>
      <c r="I249" s="13">
        <v>42899.956886574073</v>
      </c>
      <c r="J249" s="7">
        <v>0</v>
      </c>
      <c r="K249" s="92" t="str">
        <f t="shared" si="84"/>
        <v>4023/4024</v>
      </c>
      <c r="L249" s="21" t="str">
        <f>VLOOKUP(A249,'Trips&amp;Operators'!$C$1:$G$99999,5,FALSE)</f>
        <v>SAFIEF AEIMEN</v>
      </c>
      <c r="M249" s="6">
        <f t="shared" si="85"/>
        <v>2.3726851868559606E-3</v>
      </c>
      <c r="N249" s="7">
        <f t="shared" si="107"/>
        <v>3.4166666690725833</v>
      </c>
      <c r="O249" s="7"/>
      <c r="P249" s="7"/>
      <c r="Q249" s="22"/>
      <c r="R249" s="173"/>
      <c r="S249" s="176">
        <f t="shared" si="108"/>
        <v>0</v>
      </c>
      <c r="T249" s="202" t="str">
        <f t="shared" si="86"/>
        <v>Southbound</v>
      </c>
      <c r="U249" s="202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03" t="str">
        <f t="shared" si="87"/>
        <v>https://d0f6bd738d7f1b3e5a7ca70fe4ff75f0.us-east-1.aws.found.io/app/kibana#/discover/Steve-Slow-Train-Analysis-(2080s-and-2083s)?_g=(refreshInterval:(display:Off,pause:!f,section:0,value:0),time:(from:'2017-06-13T21:37:45-0600',mode:absolute,to:'2017-06-13T23:57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9" s="204" t="str">
        <f t="shared" si="88"/>
        <v>Y</v>
      </c>
      <c r="X249" s="204">
        <f t="shared" si="109"/>
        <v>2</v>
      </c>
      <c r="Y249" s="204">
        <f t="shared" si="105"/>
        <v>5.86</v>
      </c>
      <c r="Z249" s="204">
        <f t="shared" si="106"/>
        <v>2.1528</v>
      </c>
      <c r="AA249" s="204">
        <f t="shared" si="91"/>
        <v>3.7072000000000003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92"/>
        <v>0908-13</v>
      </c>
      <c r="AE249" s="80" t="str">
        <f t="shared" si="93"/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AF249" s="77" t="str">
        <f t="shared" si="94"/>
        <v>"C:\Program Files (x86)\AstroGrep\AstroGrep.exe" /e /r /s /spath="%USERPROFILE%\AppData\Local\Temp\OnboardLogs" /stypes="app*4023*20170614*" /stext=" 04:.+((SYSTEM_STATE.+slice.+state.+changed )|(ment ac)|(multiple cpu faults)|(system.+state.+changed )|(\[timeout)|(PRM\|1\|D)|(kpr)|(kdp)|(train st.+moving)|(\|lc)|(penalty))"</v>
      </c>
      <c r="AG249" s="1" t="str">
        <f t="shared" si="95"/>
        <v>Other</v>
      </c>
      <c r="AH249" s="81" t="str">
        <f t="shared" si="96"/>
        <v>"%USERPROFILE%\Documents\GitHub\eaglep3\Utilities\RefineRTDCRunTimes.py" --tripid 908-13 --locoid 4023 --swversion DE.1.0.9.0 --startMP 300:58600 --initTime 2017-06-13T22:37:45 --startdatetime 2017-06-13T22:54:30 --delay 1 --endMP 300:21528 --enddatetime 2017-06-13T22:57:55 --enforcementcount 0 &gt;&gt;C:\Users\stu\Documents\GitHub\eaglep3-reporting\EC\2017-06-13-refined-times.txt</v>
      </c>
      <c r="AI249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{"issue":{"subject":"","project_id":79,"tracker_id":40,"status_id":1,"priority_id":2,"assigned_to_id":23,"start_date":"2017-06-13","description":"","custom_fields":[{"id":1,"name":"Subdivision","value":"Other"},{"id":4,"name":"Milepost","value":"2.1528"},{"id":17,"name":"Train ID","value":"908-13"},{"id":16,"name":"Locomotive ID","value":"4023"},{"id":130,"name":"Impact","value":""},{"id":150,"name":"Time of Event (Mountain Time)","value":"22:57:55"},{"id":151,"name":"Denver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98"/>
        <v>start /low /b %USERPROFILE%\Documents\GitHub\eaglep3\Utilities\DownloadLogsFromS3.py --loco 4023 --day 2017-06-13</v>
      </c>
      <c r="AN249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04:57:55"},{"id":29,"name":"Sharepoint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808</v>
      </c>
      <c r="B250" s="7">
        <v>4024</v>
      </c>
      <c r="C250" s="21" t="s">
        <v>204</v>
      </c>
      <c r="D250" s="21" t="s">
        <v>995</v>
      </c>
      <c r="E250" s="13">
        <v>42899.951747685183</v>
      </c>
      <c r="F250" s="13">
        <v>42899.954513888886</v>
      </c>
      <c r="G250" s="7">
        <v>1</v>
      </c>
      <c r="H250" s="21" t="s">
        <v>572</v>
      </c>
      <c r="I250" s="13">
        <v>42899.956886574073</v>
      </c>
      <c r="J250" s="7">
        <v>0</v>
      </c>
      <c r="K250" s="92" t="str">
        <f t="shared" si="84"/>
        <v>4023/4024</v>
      </c>
      <c r="L250" s="21" t="str">
        <f>VLOOKUP(A250,'Trips&amp;Operators'!$C$1:$G$99999,5,FALSE)</f>
        <v>SAFIEF AEIMEN</v>
      </c>
      <c r="M250" s="6">
        <f t="shared" si="85"/>
        <v>2.3726851868559606E-3</v>
      </c>
      <c r="N250" s="7">
        <f t="shared" si="107"/>
        <v>3.4166666690725833</v>
      </c>
      <c r="O250" s="7"/>
      <c r="P250" s="7"/>
      <c r="Q250" s="22"/>
      <c r="R250" s="173"/>
      <c r="S250" s="176">
        <f t="shared" si="108"/>
        <v>0</v>
      </c>
      <c r="T250" s="202" t="str">
        <f t="shared" si="86"/>
        <v>Southbound</v>
      </c>
      <c r="U250" s="202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203" t="str">
        <f t="shared" si="87"/>
        <v>https://d0f6bd738d7f1b3e5a7ca70fe4ff75f0.us-east-1.aws.found.io/app/kibana#/discover/Steve-Slow-Train-Analysis-(2080s-and-2083s)?_g=(refreshInterval:(display:Off,pause:!f,section:0,value:0),time:(from:'2017-06-13T21:50:31-0600',mode:absolute,to:'2017-06-13T23:57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0" s="204" t="str">
        <f t="shared" si="88"/>
        <v>Y</v>
      </c>
      <c r="X250" s="204">
        <f t="shared" si="109"/>
        <v>0</v>
      </c>
      <c r="Y250" s="204">
        <f t="shared" si="105"/>
        <v>2.1835</v>
      </c>
      <c r="Z250" s="204">
        <f t="shared" si="106"/>
        <v>2.3296999999999999</v>
      </c>
      <c r="AA250" s="204">
        <f t="shared" si="91"/>
        <v>0.14619999999999989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92"/>
        <v>0908-13</v>
      </c>
      <c r="AE250" s="80" t="str">
        <f t="shared" si="93"/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AF250" s="77" t="str">
        <f t="shared" si="94"/>
        <v>"C:\Program Files (x86)\AstroGrep\AstroGrep.exe" /e /r /s /spath="%USERPROFILE%\AppData\Local\Temp\OnboardLogs" /stypes="app*4024*20170614*" /stext=" 04:.+((SYSTEM_STATE.+slice.+state.+changed )|(ment ac)|(multiple cpu faults)|(system.+state.+changed )|(\[timeout)|(PRM\|1\|D)|(kpr)|(kdp)|(train st.+moving)|(\|lc)|(penalty))"</v>
      </c>
      <c r="AG250" s="1" t="str">
        <f t="shared" si="95"/>
        <v>Other</v>
      </c>
      <c r="AH250" s="81" t="str">
        <f t="shared" si="96"/>
        <v>"%USERPROFILE%\Documents\GitHub\eaglep3\Utilities\RefineRTDCRunTimes.py" --tripid 908-13 --locoid 4024 --swversion DE.1.0.9.0 --startMP 300:21835 --initTime 2017-06-13T22:50:31 --startdatetime 2017-06-13T22:54:30 --delay 1 --endMP 300:23297 --enddatetime 2017-06-13T22:57:55 --enforcementcount 0 &gt;&gt;C:\Users\stu\Documents\GitHub\eaglep3-reporting\EC\2017-06-13-refined-times.txt</v>
      </c>
      <c r="AI250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{"issue":{"subject":"","project_id":79,"tracker_id":40,"status_id":1,"priority_id":2,"assigned_to_id":23,"start_date":"2017-06-13","description":"","custom_fields":[{"id":1,"name":"Subdivision","value":"Other"},{"id":4,"name":"Milepost","value":"2.3297"},{"id":17,"name":"Train ID","value":"908-13"},{"id":16,"name":"Locomotive ID","value":"4024"},{"id":130,"name":"Impact","value":""},{"id":150,"name":"Time of Event (Mountain Time)","value":"22:57:55"},{"id":151,"name":"Denver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98"/>
        <v>start /low /b %USERPROFILE%\Documents\GitHub\eaglep3\Utilities\DownloadLogsFromS3.py --loco 4024 --day 2017-06-13</v>
      </c>
      <c r="AN250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04:57:55"},{"id":29,"name":"Sharepoint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603</v>
      </c>
      <c r="B251" s="7">
        <v>4027</v>
      </c>
      <c r="C251" s="21" t="s">
        <v>204</v>
      </c>
      <c r="D251" s="21" t="s">
        <v>923</v>
      </c>
      <c r="E251" s="13">
        <v>42899.748263888891</v>
      </c>
      <c r="F251" s="13">
        <v>42899.752465277779</v>
      </c>
      <c r="G251" s="7">
        <v>5</v>
      </c>
      <c r="H251" s="21" t="s">
        <v>924</v>
      </c>
      <c r="I251" s="13">
        <v>42899.764803240738</v>
      </c>
      <c r="J251" s="7">
        <v>0</v>
      </c>
      <c r="K251" s="92" t="str">
        <f t="shared" si="84"/>
        <v>4027/4028</v>
      </c>
      <c r="L251" s="21" t="str">
        <f>VLOOKUP(A251,'Trips&amp;Operators'!$C$1:$G$99999,5,FALSE)</f>
        <v>CHANDLER KELVIN</v>
      </c>
      <c r="M251" s="6">
        <f t="shared" si="85"/>
        <v>1.2337962958554272E-2</v>
      </c>
      <c r="N251" s="7">
        <f t="shared" si="107"/>
        <v>17.766666660318151</v>
      </c>
      <c r="O251" s="7"/>
      <c r="P251" s="7"/>
      <c r="Q251" s="22"/>
      <c r="R251" s="173"/>
      <c r="S251" s="176">
        <f t="shared" si="108"/>
        <v>0</v>
      </c>
      <c r="T251" s="202" t="e">
        <f t="shared" si="86"/>
        <v>#VALUE!</v>
      </c>
      <c r="U251" s="202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03" t="str">
        <f t="shared" si="87"/>
        <v>https://d0f6bd738d7f1b3e5a7ca70fe4ff75f0.us-east-1.aws.found.io/app/kibana#/discover/Steve-Slow-Train-Analysis-(2080s-and-2083s)?_g=(refreshInterval:(display:Off,pause:!f,section:0,value:0),time:(from:'2017-06-13T16:57:30-0600',mode:absolute,to:'2017-06-13T19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51" s="204" t="str">
        <f t="shared" si="88"/>
        <v>Y</v>
      </c>
      <c r="X251" s="204" t="e">
        <f t="shared" si="109"/>
        <v>#VALUE!</v>
      </c>
      <c r="Y251" s="204">
        <f t="shared" si="105"/>
        <v>2.2176</v>
      </c>
      <c r="Z251" s="204">
        <f t="shared" si="106"/>
        <v>0.19</v>
      </c>
      <c r="AA251" s="204">
        <f t="shared" si="91"/>
        <v>2.0276000000000001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92"/>
        <v>50-13</v>
      </c>
      <c r="AE251" s="80" t="str">
        <f t="shared" si="93"/>
        <v>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 &amp; aws s3 cp s3://rtdc.mdm.uploadarchive.raw/RTDC4027/ "%USERPROFILE%\AppData\Local\Temp\OnboardLogs"\RTDC4027\2017-06-14 --exclude "*" --recursive --include "*20170614*" &amp; "%USERPROFILE%\Documents\GitHub\mrs-test-scripts\Headless Mode &amp; Sideloading\WalkAndUnGZ.bat" "%USERPROFILE%\AppData\Local\Temp\OnboardLogs"\RTDC4027\2017-06-14</v>
      </c>
      <c r="AF251" s="77" t="str">
        <f t="shared" si="94"/>
        <v>"C:\Program Files (x86)\AstroGrep\AstroGrep.exe" /e /r /s /spath="%USERPROFILE%\AppData\Local\Temp\OnboardLogs" /stypes="app*4027*20170614*" /stext=" 00:.+((SYSTEM_STATE.+slice.+state.+changed )|(ment ac)|(multiple cpu faults)|(system.+state.+changed )|(\[timeout)|(PRM\|1\|D)|(kpr)|(kdp)|(train st.+moving)|(\|lc)|(penalty))"</v>
      </c>
      <c r="AG251" s="1" t="str">
        <f t="shared" si="95"/>
        <v>Other</v>
      </c>
      <c r="AH251" s="81" t="str">
        <f t="shared" si="96"/>
        <v>"%USERPROFILE%\Documents\GitHub\eaglep3\Utilities\RefineRTDCRunTimes.py" --tripid 50-13 --locoid 4027 --swversion DE.1.0.9.0 --startMP 300:22176 --initTime 2017-06-13T17:57:30 --startdatetime 2017-06-13T18:03:33 --delay 5 --endMP 204:1900 --enddatetime 2017-06-13T18:21:19 --enforcementcount 0 &gt;&gt;C:\Users\stu\Documents\GitHub\eaglep3-reporting\EC\2017-06-13-refined-times.txt</v>
      </c>
      <c r="AI251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{"issue":{"subject":"","project_id":79,"tracker_id":40,"status_id":1,"priority_id":2,"assigned_to_id":23,"start_date":"2017-06-13","description":"","custom_fields":[{"id":1,"name":"Subdivision","value":"Other"},{"id":4,"name":"Milepost","value":"0.19"},{"id":17,"name":"Train ID","value":"50-13"},{"id":16,"name":"Locomotive ID","value":"4027"},{"id":130,"name":"Impact","value":""},{"id":150,"name":"Time of Event (Mountain Time)","value":"18:21:19"},{"id":151,"name":"Denver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98"/>
        <v>start /low /b %USERPROFILE%\Documents\GitHub\eaglep3\Utilities\DownloadLogsFromS3.py --loco 4027 --day 2017-06-13</v>
      </c>
      <c r="AN251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603</v>
      </c>
      <c r="B252" s="7">
        <v>4029</v>
      </c>
      <c r="C252" s="21" t="s">
        <v>204</v>
      </c>
      <c r="D252" s="21" t="s">
        <v>925</v>
      </c>
      <c r="E252" s="13">
        <v>42899.441435185188</v>
      </c>
      <c r="F252" s="13">
        <v>42899.447256944448</v>
      </c>
      <c r="G252" s="7">
        <v>8</v>
      </c>
      <c r="H252" s="21" t="s">
        <v>926</v>
      </c>
      <c r="I252" s="13">
        <v>42899.454953703702</v>
      </c>
      <c r="J252" s="7">
        <v>0</v>
      </c>
      <c r="K252" s="92" t="str">
        <f t="shared" si="84"/>
        <v>4029/4030</v>
      </c>
      <c r="L252" s="21" t="str">
        <f>VLOOKUP(A252,'Trips&amp;Operators'!$C$1:$G$99999,5,FALSE)</f>
        <v>CHANDLER KELVIN</v>
      </c>
      <c r="M252" s="6">
        <f t="shared" si="85"/>
        <v>7.696759254031349E-3</v>
      </c>
      <c r="N252" s="7">
        <f t="shared" si="107"/>
        <v>11.083333325805143</v>
      </c>
      <c r="O252" s="7"/>
      <c r="P252" s="7"/>
      <c r="Q252" s="22"/>
      <c r="R252" s="173"/>
      <c r="S252" s="176">
        <f t="shared" si="108"/>
        <v>0</v>
      </c>
      <c r="T252" s="202" t="e">
        <f t="shared" si="86"/>
        <v>#VALUE!</v>
      </c>
      <c r="U252" s="202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203" t="str">
        <f t="shared" si="87"/>
        <v>https://d0f6bd738d7f1b3e5a7ca70fe4ff75f0.us-east-1.aws.found.io/app/kibana#/discover/Steve-Slow-Train-Analysis-(2080s-and-2083s)?_g=(refreshInterval:(display:Off,pause:!f,section:0,value:0),time:(from:'2017-06-13T09:35:40-0600',mode:absolute,to:'2017-06-13T11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52" s="204" t="str">
        <f t="shared" si="88"/>
        <v>Y</v>
      </c>
      <c r="X252" s="204" t="e">
        <f t="shared" si="109"/>
        <v>#VALUE!</v>
      </c>
      <c r="Y252" s="204">
        <f t="shared" si="105"/>
        <v>2.3431999999999999</v>
      </c>
      <c r="Z252" s="204">
        <f t="shared" si="106"/>
        <v>0.1149</v>
      </c>
      <c r="AA252" s="204">
        <f t="shared" si="91"/>
        <v>2.2282999999999999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92"/>
        <v>50-13</v>
      </c>
      <c r="AE252" s="80" t="str">
        <f t="shared" si="93"/>
        <v>aws s3 cp s3://rtdc.mdm.uploadarchive.raw/RTDC4029/ "%USERPROFILE%\AppData\Local\Temp\OnboardLogs"\RTDC4029\2017-06-13 --exclude "*" --recursive --include "*20170613*" &amp; "%USERPROFILE%\Documents\GitHub\mrs-test-scripts\Headless Mode &amp; Sideloading\WalkAndUnGZ.bat" "%USERPROFILE%\AppData\Local\Temp\OnboardLogs"\RTDC4029\2017-06-13 &amp; 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</v>
      </c>
      <c r="AF252" s="77" t="str">
        <f t="shared" si="94"/>
        <v>"C:\Program Files (x86)\AstroGrep\AstroGrep.exe" /e /r /s /spath="%USERPROFILE%\AppData\Local\Temp\OnboardLogs" /stypes="app*4029*20170613*" /stext=" 16:.+((SYSTEM_STATE.+slice.+state.+changed )|(ment ac)|(multiple cpu faults)|(system.+state.+changed )|(\[timeout)|(PRM\|1\|D)|(kpr)|(kdp)|(train st.+moving)|(\|lc)|(penalty))"</v>
      </c>
      <c r="AG252" s="1" t="str">
        <f t="shared" si="95"/>
        <v>Other</v>
      </c>
      <c r="AH252" s="81" t="str">
        <f t="shared" si="96"/>
        <v>"%USERPROFILE%\Documents\GitHub\eaglep3\Utilities\RefineRTDCRunTimes.py" --tripid 50-13 --locoid 4029 --swversion DE.1.0.9.0 --startMP 300:23432 --initTime 2017-06-13T10:35:40 --startdatetime 2017-06-13T10:44:03 --delay 8 --endMP 204:1149 --enddatetime 2017-06-13T10:55:08 --enforcementcount 0 &gt;&gt;C:\Users\stu\Documents\GitHub\eaglep3-reporting\EC\2017-06-13-refined-times.txt</v>
      </c>
      <c r="AI252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{"issue":{"subject":"","project_id":79,"tracker_id":40,"status_id":1,"priority_id":2,"assigned_to_id":23,"start_date":"2017-06-13","description":"","custom_fields":[{"id":1,"name":"Subdivision","value":"Other"},{"id":4,"name":"Milepost","value":"0.1149"},{"id":17,"name":"Train ID","value":"50-13"},{"id":16,"name":"Locomotive ID","value":"4029"},{"id":130,"name":"Impact","value":""},{"id":150,"name":"Time of Event (Mountain Time)","value":"10:55:08"},{"id":151,"name":"Denver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98"/>
        <v>start /low /b %USERPROFILE%\Documents\GitHub\eaglep3\Utilities\DownloadLogsFromS3.py --loco 4029 --day 2017-06-13</v>
      </c>
      <c r="AN252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16:55:08"},{"id":29,"name":"Sharepoint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623</v>
      </c>
      <c r="B253" s="7">
        <v>4042</v>
      </c>
      <c r="C253" s="21" t="s">
        <v>204</v>
      </c>
      <c r="D253" s="21" t="s">
        <v>927</v>
      </c>
      <c r="E253" s="13">
        <v>42899.12667824074</v>
      </c>
      <c r="F253" s="13">
        <v>42899.138773148145</v>
      </c>
      <c r="G253" s="7">
        <v>2</v>
      </c>
      <c r="H253" s="21" t="s">
        <v>928</v>
      </c>
      <c r="I253" s="13">
        <v>42899.13989583333</v>
      </c>
      <c r="J253" s="7">
        <v>0</v>
      </c>
      <c r="K253" s="92" t="str">
        <f t="shared" si="84"/>
        <v>4041/4042</v>
      </c>
      <c r="L253" s="21" t="str">
        <f>VLOOKUP(A253,'Trips&amp;Operators'!$C$1:$G$99999,5,FALSE)</f>
        <v>SPECTOR MICHAEL</v>
      </c>
      <c r="M253" s="6">
        <f t="shared" si="85"/>
        <v>1.1226851856918074E-3</v>
      </c>
      <c r="N253" s="7">
        <f t="shared" si="107"/>
        <v>1.6166666673962027</v>
      </c>
      <c r="O253" s="7"/>
      <c r="P253" s="7"/>
      <c r="Q253" s="22"/>
      <c r="R253" s="173"/>
      <c r="S253" s="176">
        <f t="shared" si="108"/>
        <v>0</v>
      </c>
      <c r="T253" s="202" t="e">
        <f t="shared" si="86"/>
        <v>#VALUE!</v>
      </c>
      <c r="U253" s="202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203" t="str">
        <f t="shared" si="87"/>
        <v>https://d0f6bd738d7f1b3e5a7ca70fe4ff75f0.us-east-1.aws.found.io/app/kibana#/discover/Steve-Slow-Train-Analysis-(2080s-and-2083s)?_g=(refreshInterval:(display:Off,pause:!f,section:0,value:0),time:(from:'2017-06-13T02:02:25-0600',mode:absolute,to:'2017-06-13T04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3" s="204" t="str">
        <f t="shared" si="88"/>
        <v>Y</v>
      </c>
      <c r="X253" s="204" t="e">
        <f t="shared" si="109"/>
        <v>#VALUE!</v>
      </c>
      <c r="Y253" s="204">
        <f t="shared" si="105"/>
        <v>4.1799999999999997E-2</v>
      </c>
      <c r="Z253" s="204">
        <f t="shared" si="106"/>
        <v>0.37880000000000003</v>
      </c>
      <c r="AA253" s="204">
        <f t="shared" si="91"/>
        <v>0.33700000000000002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92"/>
        <v>51-13</v>
      </c>
      <c r="AE253" s="80" t="str">
        <f t="shared" si="93"/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AF253" s="77" t="str">
        <f t="shared" si="94"/>
        <v>"C:\Program Files (x86)\AstroGrep\AstroGrep.exe" /e /r /s /spath="%USERPROFILE%\AppData\Local\Temp\OnboardLogs" /stypes="app*4042*20170613*" /stext=" 09:.+((SYSTEM_STATE.+slice.+state.+changed )|(ment ac)|(multiple cpu faults)|(system.+state.+changed )|(\[timeout)|(PRM\|1\|D)|(kpr)|(kdp)|(train st.+moving)|(\|lc)|(penalty))"</v>
      </c>
      <c r="AG253" s="1" t="str">
        <f t="shared" si="95"/>
        <v>Other</v>
      </c>
      <c r="AH253" s="81" t="str">
        <f t="shared" si="96"/>
        <v>"%USERPROFILE%\Documents\GitHub\eaglep3\Utilities\RefineRTDCRunTimes.py" --tripid 51-13 --locoid 4042 --swversion DE.1.0.9.0 --startMP 204:418 --initTime 2017-06-13T03:02:25 --startdatetime 2017-06-13T03:19:50 --delay 2 --endMP 204:3788 --enddatetime 2017-06-13T03:21:27 --enforcementcount 0 &gt;&gt;C:\Users\stu\Documents\GitHub\eaglep3-reporting\EC\2017-06-13-refined-times.txt</v>
      </c>
      <c r="AI253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{"issue":{"subject":"","project_id":79,"tracker_id":40,"status_id":1,"priority_id":2,"assigned_to_id":23,"start_date":"2017-06-13","description":"","custom_fields":[{"id":1,"name":"Subdivision","value":"Other"},{"id":4,"name":"Milepost","value":"0.3788"},{"id":17,"name":"Train ID","value":"51-13"},{"id":16,"name":"Locomotive ID","value":"4042"},{"id":130,"name":"Impact","value":""},{"id":150,"name":"Time of Event (Mountain Time)","value":"03:21:27"},{"id":151,"name":"Denver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98"/>
        <v>start /low /b %USERPROFILE%\Documents\GitHub\eaglep3\Utilities\DownloadLogsFromS3.py --loco 4042 --day 2017-06-13</v>
      </c>
      <c r="AN253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09:21:27"},{"id":29,"name":"Sharepoint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627</v>
      </c>
      <c r="B254" s="7">
        <v>4041</v>
      </c>
      <c r="C254" s="21" t="s">
        <v>204</v>
      </c>
      <c r="D254" s="21" t="s">
        <v>929</v>
      </c>
      <c r="E254" s="13">
        <v>42899.141261574077</v>
      </c>
      <c r="F254" s="13">
        <v>42899.147569444445</v>
      </c>
      <c r="G254" s="7">
        <v>1</v>
      </c>
      <c r="H254" s="21" t="s">
        <v>930</v>
      </c>
      <c r="I254" s="13">
        <v>42899.14875</v>
      </c>
      <c r="J254" s="7">
        <v>0</v>
      </c>
      <c r="K254" s="92" t="str">
        <f t="shared" si="84"/>
        <v>4041/4042</v>
      </c>
      <c r="L254" s="21" t="str">
        <f>VLOOKUP(A254,'Trips&amp;Operators'!$C$1:$G$99999,5,FALSE)</f>
        <v>SPECTOR MICHAEL</v>
      </c>
      <c r="M254" s="6">
        <f t="shared" si="85"/>
        <v>1.1805555550381541E-3</v>
      </c>
      <c r="N254" s="7">
        <f t="shared" si="107"/>
        <v>1.6999999992549419</v>
      </c>
      <c r="O254" s="7"/>
      <c r="P254" s="7"/>
      <c r="Q254" s="22"/>
      <c r="R254" s="173"/>
      <c r="S254" s="176">
        <f t="shared" si="108"/>
        <v>0</v>
      </c>
      <c r="T254" s="202" t="e">
        <f t="shared" si="86"/>
        <v>#VALUE!</v>
      </c>
      <c r="U254" s="202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203" t="str">
        <f t="shared" si="87"/>
        <v>https://d0f6bd738d7f1b3e5a7ca70fe4ff75f0.us-east-1.aws.found.io/app/kibana#/discover/Steve-Slow-Train-Analysis-(2080s-and-2083s)?_g=(refreshInterval:(display:Off,pause:!f,section:0,value:0),time:(from:'2017-06-13T02:23:25-0600',mode:absolute,to:'2017-06-13T04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54" s="204" t="str">
        <f t="shared" si="88"/>
        <v>Y</v>
      </c>
      <c r="X254" s="204" t="e">
        <f t="shared" si="109"/>
        <v>#VALUE!</v>
      </c>
      <c r="Y254" s="204">
        <f t="shared" si="105"/>
        <v>0.34770000000000001</v>
      </c>
      <c r="Z254" s="204">
        <f t="shared" si="106"/>
        <v>0.1162</v>
      </c>
      <c r="AA254" s="204">
        <f t="shared" si="91"/>
        <v>0.23150000000000001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92"/>
        <v>52-13</v>
      </c>
      <c r="AE254" s="80" t="str">
        <f t="shared" si="93"/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AF254" s="77" t="str">
        <f t="shared" si="94"/>
        <v>"C:\Program Files (x86)\AstroGrep\AstroGrep.exe" /e /r /s /spath="%USERPROFILE%\AppData\Local\Temp\OnboardLogs" /stypes="app*4041*20170613*" /stext=" 09:.+((SYSTEM_STATE.+slice.+state.+changed )|(ment ac)|(multiple cpu faults)|(system.+state.+changed )|(\[timeout)|(PRM\|1\|D)|(kpr)|(kdp)|(train st.+moving)|(\|lc)|(penalty))"</v>
      </c>
      <c r="AG254" s="1" t="str">
        <f t="shared" si="95"/>
        <v>Other</v>
      </c>
      <c r="AH254" s="81" t="str">
        <f t="shared" si="96"/>
        <v>"%USERPROFILE%\Documents\GitHub\eaglep3\Utilities\RefineRTDCRunTimes.py" --tripid 52-13 --locoid 4041 --swversion DE.1.0.9.0 --startMP 204:3477 --initTime 2017-06-13T03:23:25 --startdatetime 2017-06-13T03:32:30 --delay 1 --endMP 204:1162 --enddatetime 2017-06-13T03:34:12 --enforcementcount 0 &gt;&gt;C:\Users\stu\Documents\GitHub\eaglep3-reporting\EC\2017-06-13-refined-times.txt</v>
      </c>
      <c r="AI254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{"issue":{"subject":"","project_id":79,"tracker_id":40,"status_id":1,"priority_id":2,"assigned_to_id":23,"start_date":"2017-06-13","description":"","custom_fields":[{"id":1,"name":"Subdivision","value":"Other"},{"id":4,"name":"Milepost","value":"0.1162"},{"id":17,"name":"Train ID","value":"52-13"},{"id":16,"name":"Locomotive ID","value":"4041"},{"id":130,"name":"Impact","value":""},{"id":150,"name":"Time of Event (Mountain Time)","value":"03:34:12"},{"id":151,"name":"Denver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98"/>
        <v>start /low /b %USERPROFILE%\Documents\GitHub\eaglep3\Utilities\DownloadLogsFromS3.py --loco 4041 --day 2017-06-13</v>
      </c>
      <c r="AN254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09:34:12"},{"id":29,"name":"Sharepoint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706</v>
      </c>
      <c r="B255" s="7">
        <v>4030</v>
      </c>
      <c r="C255" s="21" t="s">
        <v>204</v>
      </c>
      <c r="D255" s="21" t="s">
        <v>930</v>
      </c>
      <c r="E255" s="13">
        <v>42899.479930555557</v>
      </c>
      <c r="F255" s="13">
        <v>42899.482083333336</v>
      </c>
      <c r="G255" s="7">
        <v>1</v>
      </c>
      <c r="H255" s="21" t="s">
        <v>931</v>
      </c>
      <c r="I255" s="13">
        <v>42899.489733796298</v>
      </c>
      <c r="J255" s="7">
        <v>0</v>
      </c>
      <c r="K255" s="92" t="str">
        <f t="shared" si="84"/>
        <v>4029/4030</v>
      </c>
      <c r="L255" s="21" t="str">
        <f>VLOOKUP(A255,'Trips&amp;Operators'!$C$1:$G$99999,5,FALSE)</f>
        <v>MAELZER KURT</v>
      </c>
      <c r="M255" s="6">
        <f t="shared" si="85"/>
        <v>7.6504629614646547E-3</v>
      </c>
      <c r="N255" s="7">
        <f t="shared" ref="N255:N261" si="110">24*60*SUM($M255:$M255)</f>
        <v>11.016666664509103</v>
      </c>
      <c r="O255" s="7"/>
      <c r="P255" s="7"/>
      <c r="Q255" s="22"/>
      <c r="R255" s="173"/>
      <c r="S255" s="176">
        <f t="shared" ref="S255:S261" si="111">SUM(U255:U255)/IF(AG255="EC",12,1)</f>
        <v>0</v>
      </c>
      <c r="T255" s="202" t="e">
        <f t="shared" si="86"/>
        <v>#VALUE!</v>
      </c>
      <c r="U255" s="202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203" t="str">
        <f t="shared" si="87"/>
        <v>https://d0f6bd738d7f1b3e5a7ca70fe4ff75f0.us-east-1.aws.found.io/app/kibana#/discover/Steve-Slow-Train-Analysis-(2080s-and-2083s)?_g=(refreshInterval:(display:Off,pause:!f,section:0,value:0),time:(from:'2017-06-13T10:31:06-0600',mode:absolute,to:'2017-06-13T12:45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5" s="204" t="str">
        <f t="shared" si="88"/>
        <v>Y</v>
      </c>
      <c r="X255" s="204" t="e">
        <f t="shared" si="109"/>
        <v>#VALUE!</v>
      </c>
      <c r="Y255" s="204">
        <f t="shared" si="105"/>
        <v>0.1162</v>
      </c>
      <c r="Z255" s="204">
        <f t="shared" si="106"/>
        <v>2.4230999999999998</v>
      </c>
      <c r="AA255" s="204">
        <f t="shared" si="91"/>
        <v>2.3068999999999997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92"/>
        <v>53-13</v>
      </c>
      <c r="AE255" s="80" t="str">
        <f t="shared" si="93"/>
        <v>aws s3 cp s3://rtdc.mdm.uploadarchive.raw/RTDC4030/ "%USERPROFILE%\AppData\Local\Temp\OnboardLogs"\RTDC4030\2017-06-13 --exclude "*" --recursive --include "*20170613*" &amp; "%USERPROFILE%\Documents\GitHub\mrs-test-scripts\Headless Mode &amp; Sideloading\WalkAndUnGZ.bat" "%USERPROFILE%\AppData\Local\Temp\OnboardLogs"\RTDC4030\2017-06-13 &amp; aws s3 cp s3://rtdc.mdm.uploadarchive.raw/RTDC4030/ "%USERPROFILE%\AppData\Local\Temp\OnboardLogs"\RTDC4030\2017-06-14 --exclude "*" --recursive --include "*20170614*" &amp; "%USERPROFILE%\Documents\GitHub\mrs-test-scripts\Headless Mode &amp; Sideloading\WalkAndUnGZ.bat" "%USERPROFILE%\AppData\Local\Temp\OnboardLogs"\RTDC4030\2017-06-14</v>
      </c>
      <c r="AF255" s="77" t="str">
        <f t="shared" si="94"/>
        <v>"C:\Program Files (x86)\AstroGrep\AstroGrep.exe" /e /r /s /spath="%USERPROFILE%\AppData\Local\Temp\OnboardLogs" /stypes="app*4030*20170613*" /stext=" 17:.+((SYSTEM_STATE.+slice.+state.+changed )|(ment ac)|(multiple cpu faults)|(system.+state.+changed )|(\[timeout)|(PRM\|1\|D)|(kpr)|(kdp)|(train st.+moving)|(\|lc)|(penalty))"</v>
      </c>
      <c r="AG255" s="1" t="str">
        <f t="shared" si="95"/>
        <v>Other</v>
      </c>
      <c r="AH255" s="81" t="str">
        <f t="shared" si="96"/>
        <v>"%USERPROFILE%\Documents\GitHub\eaglep3\Utilities\RefineRTDCRunTimes.py" --tripid 53-13 --locoid 4030 --swversion DE.1.0.9.0 --startMP 204:1162 --initTime 2017-06-13T11:31:06 --startdatetime 2017-06-13T11:34:12 --delay 1 --endMP 300:24231 --enddatetime 2017-06-13T11:45:13 --enforcementcount 0 &gt;&gt;C:\Users\stu\Documents\GitHub\eaglep3-reporting\EC\2017-06-13-refined-times.txt</v>
      </c>
      <c r="AI255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{"issue":{"subject":"","project_id":79,"tracker_id":40,"status_id":1,"priority_id":2,"assigned_to_id":23,"start_date":"2017-06-13","description":"","custom_fields":[{"id":1,"name":"Subdivision","value":"Other"},{"id":4,"name":"Milepost","value":"2.4231"},{"id":17,"name":"Train ID","value":"53-13"},{"id":16,"name":"Locomotive ID","value":"4030"},{"id":130,"name":"Impact","value":""},{"id":150,"name":"Time of Event (Mountain Time)","value":"11:45:13"},{"id":151,"name":"Denver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98"/>
        <v>start /low /b %USERPROFILE%\Documents\GitHub\eaglep3\Utilities\DownloadLogsFromS3.py --loco 4030 --day 2017-06-13</v>
      </c>
      <c r="AN255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17:45:13"},{"id":29,"name":"Sharepoint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729</v>
      </c>
      <c r="B256" s="7">
        <v>4041</v>
      </c>
      <c r="C256" s="21" t="s">
        <v>204</v>
      </c>
      <c r="D256" s="21" t="s">
        <v>932</v>
      </c>
      <c r="E256" s="13">
        <v>42899.570729166669</v>
      </c>
      <c r="F256" s="13">
        <v>42899.57203703704</v>
      </c>
      <c r="G256" s="7">
        <v>1</v>
      </c>
      <c r="H256" s="21" t="s">
        <v>351</v>
      </c>
      <c r="I256" s="13">
        <v>42899.573564814818</v>
      </c>
      <c r="J256" s="7">
        <v>0</v>
      </c>
      <c r="K256" s="92" t="str">
        <f t="shared" si="84"/>
        <v>4041/4042</v>
      </c>
      <c r="L256" s="21" t="str">
        <f>VLOOKUP(A256,'Trips&amp;Operators'!$C$1:$G$99999,5,FALSE)</f>
        <v>CHANDLER KELVIN</v>
      </c>
      <c r="M256" s="6">
        <f t="shared" si="85"/>
        <v>1.527777778392192E-3</v>
      </c>
      <c r="N256" s="7">
        <f t="shared" si="110"/>
        <v>2.2000000008847564</v>
      </c>
      <c r="O256" s="7"/>
      <c r="P256" s="7"/>
      <c r="Q256" s="22"/>
      <c r="R256" s="173"/>
      <c r="S256" s="176">
        <f t="shared" si="111"/>
        <v>0</v>
      </c>
      <c r="T256" s="202" t="e">
        <f t="shared" si="86"/>
        <v>#VALUE!</v>
      </c>
      <c r="U256" s="202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203" t="str">
        <f t="shared" si="87"/>
        <v>https://d0f6bd738d7f1b3e5a7ca70fe4ff75f0.us-east-1.aws.found.io/app/kibana#/discover/Steve-Slow-Train-Analysis-(2080s-and-2083s)?_g=(refreshInterval:(display:Off,pause:!f,section:0,value:0),time:(from:'2017-06-13T12:41:51-0600',mode:absolute,to:'2017-06-13T14:45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56" s="204" t="str">
        <f t="shared" si="88"/>
        <v>Y</v>
      </c>
      <c r="X256" s="204" t="e">
        <f t="shared" si="109"/>
        <v>#VALUE!</v>
      </c>
      <c r="Y256" s="204">
        <f t="shared" si="105"/>
        <v>0.3296</v>
      </c>
      <c r="Z256" s="204">
        <f t="shared" si="106"/>
        <v>1.4999999999999999E-2</v>
      </c>
      <c r="AA256" s="204">
        <f t="shared" si="91"/>
        <v>0.31459999999999999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92"/>
        <v>61-13</v>
      </c>
      <c r="AE256" s="80" t="str">
        <f t="shared" si="93"/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AF256" s="77" t="str">
        <f t="shared" si="94"/>
        <v>"C:\Program Files (x86)\AstroGrep\AstroGrep.exe" /e /r /s /spath="%USERPROFILE%\AppData\Local\Temp\OnboardLogs" /stypes="app*4041*20170613*" /stext=" 19:.+((SYSTEM_STATE.+slice.+state.+changed )|(ment ac)|(multiple cpu faults)|(system.+state.+changed )|(\[timeout)|(PRM\|1\|D)|(kpr)|(kdp)|(train st.+moving)|(\|lc)|(penalty))"</v>
      </c>
      <c r="AG256" s="1" t="str">
        <f t="shared" si="95"/>
        <v>Other</v>
      </c>
      <c r="AH256" s="81" t="str">
        <f t="shared" si="96"/>
        <v>"%USERPROFILE%\Documents\GitHub\eaglep3\Utilities\RefineRTDCRunTimes.py" --tripid 61-13 --locoid 4041 --swversion DE.1.0.9.0 --startMP 204:3296 --initTime 2017-06-13T13:41:51 --startdatetime 2017-06-13T13:43:44 --delay 1 --endMP 204:150 --enddatetime 2017-06-13T13:45:56 --enforcementcount 0 &gt;&gt;C:\Users\stu\Documents\GitHub\eaglep3-reporting\EC\2017-06-13-refined-times.txt</v>
      </c>
      <c r="AI256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{"issue":{"subject":"","project_id":79,"tracker_id":40,"status_id":1,"priority_id":2,"assigned_to_id":23,"start_date":"2017-06-13","description":"","custom_fields":[{"id":1,"name":"Subdivision","value":"Other"},{"id":4,"name":"Milepost","value":"0.015"},{"id":17,"name":"Train ID","value":"61-13"},{"id":16,"name":"Locomotive ID","value":"4041"},{"id":130,"name":"Impact","value":""},{"id":150,"name":"Time of Event (Mountain Time)","value":"13:45:56"},{"id":151,"name":"Denver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98"/>
        <v>start /low /b %USERPROFILE%\Documents\GitHub\eaglep3\Utilities\DownloadLogsFromS3.py --loco 4041 --day 2017-06-13</v>
      </c>
      <c r="AN256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19:45:56"},{"id":29,"name":"Sharepoint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729</v>
      </c>
      <c r="B257" s="7">
        <v>4042</v>
      </c>
      <c r="C257" s="21" t="s">
        <v>204</v>
      </c>
      <c r="D257" s="21" t="s">
        <v>933</v>
      </c>
      <c r="E257" s="13">
        <v>42899.562164351853</v>
      </c>
      <c r="F257" s="13">
        <v>42899.57203703704</v>
      </c>
      <c r="G257" s="7">
        <v>1</v>
      </c>
      <c r="H257" s="21" t="s">
        <v>934</v>
      </c>
      <c r="I257" s="13">
        <v>42899.573564814818</v>
      </c>
      <c r="J257" s="7">
        <v>0</v>
      </c>
      <c r="K257" s="92" t="str">
        <f t="shared" si="84"/>
        <v>4041/4042</v>
      </c>
      <c r="L257" s="21" t="str">
        <f>VLOOKUP(A257,'Trips&amp;Operators'!$C$1:$G$99999,5,FALSE)</f>
        <v>CHANDLER KELVIN</v>
      </c>
      <c r="M257" s="6">
        <f t="shared" si="85"/>
        <v>1.527777778392192E-3</v>
      </c>
      <c r="N257" s="7">
        <f t="shared" si="110"/>
        <v>2.2000000008847564</v>
      </c>
      <c r="O257" s="7"/>
      <c r="P257" s="7"/>
      <c r="Q257" s="22"/>
      <c r="R257" s="173"/>
      <c r="S257" s="176">
        <f t="shared" si="111"/>
        <v>0</v>
      </c>
      <c r="T257" s="202" t="e">
        <f t="shared" si="86"/>
        <v>#VALUE!</v>
      </c>
      <c r="U257" s="202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203" t="str">
        <f t="shared" si="87"/>
        <v>https://d0f6bd738d7f1b3e5a7ca70fe4ff75f0.us-east-1.aws.found.io/app/kibana#/discover/Steve-Slow-Train-Analysis-(2080s-and-2083s)?_g=(refreshInterval:(display:Off,pause:!f,section:0,value:0),time:(from:'2017-06-13T12:29:31-0600',mode:absolute,to:'2017-06-13T14:45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7" s="204" t="str">
        <f t="shared" si="88"/>
        <v>Y</v>
      </c>
      <c r="X257" s="204" t="e">
        <f t="shared" si="109"/>
        <v>#VALUE!</v>
      </c>
      <c r="Y257" s="204">
        <f t="shared" si="105"/>
        <v>0.14879999999999999</v>
      </c>
      <c r="Z257" s="204">
        <f t="shared" si="106"/>
        <v>0.36049999999999999</v>
      </c>
      <c r="AA257" s="204">
        <f t="shared" si="91"/>
        <v>0.2117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92"/>
        <v>61-13</v>
      </c>
      <c r="AE257" s="80" t="str">
        <f t="shared" si="93"/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AF257" s="77" t="str">
        <f t="shared" si="94"/>
        <v>"C:\Program Files (x86)\AstroGrep\AstroGrep.exe" /e /r /s /spath="%USERPROFILE%\AppData\Local\Temp\OnboardLogs" /stypes="app*4042*20170613*" /stext=" 19:.+((SYSTEM_STATE.+slice.+state.+changed )|(ment ac)|(multiple cpu faults)|(system.+state.+changed )|(\[timeout)|(PRM\|1\|D)|(kpr)|(kdp)|(train st.+moving)|(\|lc)|(penalty))"</v>
      </c>
      <c r="AG257" s="1" t="str">
        <f t="shared" si="95"/>
        <v>Other</v>
      </c>
      <c r="AH257" s="81" t="str">
        <f t="shared" si="96"/>
        <v>"%USERPROFILE%\Documents\GitHub\eaglep3\Utilities\RefineRTDCRunTimes.py" --tripid 61-13 --locoid 4042 --swversion DE.1.0.9.0 --startMP 204:1488 --initTime 2017-06-13T13:29:31 --startdatetime 2017-06-13T13:43:44 --delay 1 --endMP 204:3605 --enddatetime 2017-06-13T13:45:56 --enforcementcount 0 &gt;&gt;C:\Users\stu\Documents\GitHub\eaglep3-reporting\EC\2017-06-13-refined-times.txt</v>
      </c>
      <c r="AI257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{"issue":{"subject":"","project_id":79,"tracker_id":40,"status_id":1,"priority_id":2,"assigned_to_id":23,"start_date":"2017-06-13","description":"","custom_fields":[{"id":1,"name":"Subdivision","value":"Other"},{"id":4,"name":"Milepost","value":"0.3605"},{"id":17,"name":"Train ID","value":"61-13"},{"id":16,"name":"Locomotive ID","value":"4042"},{"id":130,"name":"Impact","value":""},{"id":150,"name":"Time of Event (Mountain Time)","value":"13:45:56"},{"id":151,"name":"Denver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98"/>
        <v>start /low /b %USERPROFILE%\Documents\GitHub\eaglep3\Utilities\DownloadLogsFromS3.py --loco 4042 --day 2017-06-13</v>
      </c>
      <c r="AN257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19:45:56"},{"id":29,"name":"Sharepoint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765</v>
      </c>
      <c r="B258" s="7">
        <v>4020</v>
      </c>
      <c r="C258" s="21" t="s">
        <v>204</v>
      </c>
      <c r="D258" s="21" t="s">
        <v>574</v>
      </c>
      <c r="E258" s="13">
        <v>42899.707499999997</v>
      </c>
      <c r="F258" s="13">
        <v>42899.714837962965</v>
      </c>
      <c r="G258" s="7">
        <v>2</v>
      </c>
      <c r="H258" s="21" t="s">
        <v>524</v>
      </c>
      <c r="I258" s="13">
        <v>42899.723252314812</v>
      </c>
      <c r="J258" s="7">
        <v>0</v>
      </c>
      <c r="K258" s="92" t="str">
        <f t="shared" si="84"/>
        <v>4019/4020</v>
      </c>
      <c r="L258" s="21" t="str">
        <f>VLOOKUP(A258,'Trips&amp;Operators'!$C$1:$G$99999,5,FALSE)</f>
        <v>STORY SAMANTHA</v>
      </c>
      <c r="M258" s="6">
        <f t="shared" si="85"/>
        <v>8.4143518470227718E-3</v>
      </c>
      <c r="N258" s="7">
        <f t="shared" si="110"/>
        <v>12.116666659712791</v>
      </c>
      <c r="O258" s="7"/>
      <c r="P258" s="7"/>
      <c r="Q258" s="22"/>
      <c r="R258" s="173"/>
      <c r="S258" s="176">
        <f t="shared" si="111"/>
        <v>0</v>
      </c>
      <c r="T258" s="202" t="e">
        <f t="shared" si="86"/>
        <v>#VALUE!</v>
      </c>
      <c r="U258" s="202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203" t="str">
        <f t="shared" si="87"/>
        <v>https://d0f6bd738d7f1b3e5a7ca70fe4ff75f0.us-east-1.aws.found.io/app/kibana#/discover/Steve-Slow-Train-Analysis-(2080s-and-2083s)?_g=(refreshInterval:(display:Off,pause:!f,section:0,value:0),time:(from:'2017-06-13T15:58:48-0600',mode:absolute,to:'2017-06-13T18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8" s="204" t="str">
        <f t="shared" si="88"/>
        <v>Y</v>
      </c>
      <c r="X258" s="204" t="e">
        <f t="shared" si="109"/>
        <v>#VALUE!</v>
      </c>
      <c r="Y258" s="204">
        <f t="shared" si="105"/>
        <v>0.1484</v>
      </c>
      <c r="Z258" s="204">
        <f t="shared" si="106"/>
        <v>2.3308</v>
      </c>
      <c r="AA258" s="204">
        <f t="shared" si="91"/>
        <v>2.1823999999999999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92"/>
        <v>63-13</v>
      </c>
      <c r="AE258" s="80" t="str">
        <f t="shared" si="93"/>
        <v>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 &amp; 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</v>
      </c>
      <c r="AF258" s="77" t="str">
        <f t="shared" si="94"/>
        <v>"C:\Program Files (x86)\AstroGrep\AstroGrep.exe" /e /r /s /spath="%USERPROFILE%\AppData\Local\Temp\OnboardLogs" /stypes="app*4020*20170613*" /stext=" 23:.+((SYSTEM_STATE.+slice.+state.+changed )|(ment ac)|(multiple cpu faults)|(system.+state.+changed )|(\[timeout)|(PRM\|1\|D)|(kpr)|(kdp)|(train st.+moving)|(\|lc)|(penalty))"</v>
      </c>
      <c r="AG258" s="1" t="str">
        <f t="shared" si="95"/>
        <v>Other</v>
      </c>
      <c r="AH258" s="81" t="str">
        <f t="shared" si="96"/>
        <v>"%USERPROFILE%\Documents\GitHub\eaglep3\Utilities\RefineRTDCRunTimes.py" --tripid 63-13 --locoid 4020 --swversion DE.1.0.9.0 --startMP 204:1484 --initTime 2017-06-13T16:58:48 --startdatetime 2017-06-13T17:09:22 --delay 2 --endMP 300:23308 --enddatetime 2017-06-13T17:21:29 --enforcementcount 0 &gt;&gt;C:\Users\stu\Documents\GitHub\eaglep3-reporting\EC\2017-06-13-refined-times.txt</v>
      </c>
      <c r="AI258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{"issue":{"subject":"","project_id":79,"tracker_id":40,"status_id":1,"priority_id":2,"assigned_to_id":23,"start_date":"2017-06-13","description":"","custom_fields":[{"id":1,"name":"Subdivision","value":"Other"},{"id":4,"name":"Milepost","value":"2.3308"},{"id":17,"name":"Train ID","value":"63-13"},{"id":16,"name":"Locomotive ID","value":"4020"},{"id":130,"name":"Impact","value":""},{"id":150,"name":"Time of Event (Mountain Time)","value":"17:21:29"},{"id":151,"name":"Denver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98"/>
        <v>start /low /b %USERPROFILE%\Documents\GitHub\eaglep3\Utilities\DownloadLogsFromS3.py --loco 4020 --day 2017-06-13</v>
      </c>
      <c r="AN258" s="154" t="str">
        <f t="shared" si="99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23:21:29"},{"id":29,"name":"Sharepoint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769</v>
      </c>
      <c r="B259" s="7">
        <v>4049</v>
      </c>
      <c r="C259" s="21" t="s">
        <v>204</v>
      </c>
      <c r="D259" s="21" t="s">
        <v>932</v>
      </c>
      <c r="E259" s="13">
        <v>42899.737986111111</v>
      </c>
      <c r="F259" s="13">
        <v>42899.752326388887</v>
      </c>
      <c r="G259" s="7">
        <v>1</v>
      </c>
      <c r="H259" s="21" t="s">
        <v>561</v>
      </c>
      <c r="I259" s="13">
        <v>42899.757523148146</v>
      </c>
      <c r="J259" s="7">
        <v>0</v>
      </c>
      <c r="K259" s="92" t="str">
        <f t="shared" si="84"/>
        <v>4049/4050</v>
      </c>
      <c r="L259" s="21" t="str">
        <f>VLOOKUP(A259,'Trips&amp;Operators'!$C$1:$G$99999,5,FALSE)</f>
        <v>CHANDLER KELVIN</v>
      </c>
      <c r="M259" s="6">
        <f t="shared" si="85"/>
        <v>5.1967592589790002E-3</v>
      </c>
      <c r="N259" s="7">
        <f t="shared" si="110"/>
        <v>7.4833333329297602</v>
      </c>
      <c r="O259" s="7"/>
      <c r="P259" s="7"/>
      <c r="Q259" s="22"/>
      <c r="R259" s="173"/>
      <c r="S259" s="176">
        <f t="shared" si="111"/>
        <v>0</v>
      </c>
      <c r="T259" s="202" t="e">
        <f t="shared" si="86"/>
        <v>#VALUE!</v>
      </c>
      <c r="U259" s="202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203" t="str">
        <f t="shared" si="87"/>
        <v>https://d0f6bd738d7f1b3e5a7ca70fe4ff75f0.us-east-1.aws.found.io/app/kibana#/discover/Steve-Slow-Train-Analysis-(2080s-and-2083s)?_g=(refreshInterval:(display:Off,pause:!f,section:0,value:0),time:(from:'2017-06-13T16:42:42-0600',mode:absolute,to:'2017-06-13T19:10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9" s="204" t="str">
        <f t="shared" si="88"/>
        <v>Y</v>
      </c>
      <c r="X259" s="204" t="e">
        <f t="shared" si="109"/>
        <v>#VALUE!</v>
      </c>
      <c r="Y259" s="204">
        <f t="shared" si="105"/>
        <v>0.3296</v>
      </c>
      <c r="Z259" s="204">
        <f t="shared" si="106"/>
        <v>1.6E-2</v>
      </c>
      <c r="AA259" s="204">
        <f t="shared" si="91"/>
        <v>0.31359999999999999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92"/>
        <v>65-13</v>
      </c>
      <c r="AE259" s="80" t="str">
        <f t="shared" si="93"/>
        <v>aws s3 cp s3://rtdc.mdm.uploadarchive.raw/RTDC4049/ "%USERPROFILE%\AppData\Local\Temp\OnboardLogs"\RTDC4049\2017-06-13 --exclude "*" --recursive --include "*20170613*" &amp; "%USERPROFILE%\Documents\GitHub\mrs-test-scripts\Headless Mode &amp; Sideloading\WalkAndUnGZ.bat" "%USERPROFILE%\AppData\Local\Temp\OnboardLogs"\RTDC4049\2017-06-13 &amp; aws s3 cp s3://rtdc.mdm.uploadarchive.raw/RTDC4049/ "%USERPROFILE%\AppData\Local\Temp\OnboardLogs"\RTDC4049\2017-06-14 --exclude "*" --recursive --include "*20170614*" &amp; "%USERPROFILE%\Documents\GitHub\mrs-test-scripts\Headless Mode &amp; Sideloading\WalkAndUnGZ.bat" "%USERPROFILE%\AppData\Local\Temp\OnboardLogs"\RTDC4049\2017-06-14</v>
      </c>
      <c r="AF259" s="77" t="str">
        <f t="shared" si="94"/>
        <v>"C:\Program Files (x86)\AstroGrep\AstroGrep.exe" /e /r /s /spath="%USERPROFILE%\AppData\Local\Temp\OnboardLogs" /stypes="app*4049*20170614*" /stext=" 00:.+((SYSTEM_STATE.+slice.+state.+changed )|(ment ac)|(multiple cpu faults)|(system.+state.+changed )|(\[timeout)|(PRM\|1\|D)|(kpr)|(kdp)|(train st.+moving)|(\|lc)|(penalty))"</v>
      </c>
      <c r="AG259" s="1" t="str">
        <f t="shared" si="95"/>
        <v>Other</v>
      </c>
      <c r="AH259" s="81" t="str">
        <f t="shared" si="96"/>
        <v>"%USERPROFILE%\Documents\GitHub\eaglep3\Utilities\RefineRTDCRunTimes.py" --tripid 65-13 --locoid 4049 --swversion DE.1.0.9.0 --startMP 204:3296 --initTime 2017-06-13T17:42:42 --startdatetime 2017-06-13T18:03:21 --delay 1 --endMP 204:160 --enddatetime 2017-06-13T18:10:50 --enforcementcount 0 &gt;&gt;C:\Users\stu\Documents\GitHub\eaglep3-reporting\EC\2017-06-13-refined-times.txt</v>
      </c>
      <c r="AI259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{"issue":{"subject":"","project_id":79,"tracker_id":40,"status_id":1,"priority_id":2,"assigned_to_id":23,"start_date":"2017-06-13","description":"","custom_fields":[{"id":1,"name":"Subdivision","value":"Other"},{"id":4,"name":"Milepost","value":"0.016"},{"id":17,"name":"Train ID","value":"65-13"},{"id":16,"name":"Locomotive ID","value":"4049"},{"id":130,"name":"Impact","value":""},{"id":150,"name":"Time of Event (Mountain Time)","value":"18:10:50"},{"id":151,"name":"Denver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98"/>
        <v>start /low /b %USERPROFILE%\Documents\GitHub\eaglep3\Utilities\DownloadLogsFromS3.py --loco 4049 --day 2017-06-13</v>
      </c>
      <c r="AN259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769</v>
      </c>
      <c r="B260" s="7">
        <v>4050</v>
      </c>
      <c r="C260" s="21" t="s">
        <v>204</v>
      </c>
      <c r="D260" s="21" t="s">
        <v>575</v>
      </c>
      <c r="E260" s="13">
        <v>42899.721446759257</v>
      </c>
      <c r="F260" s="13">
        <v>42899.752326388887</v>
      </c>
      <c r="G260" s="7">
        <v>1</v>
      </c>
      <c r="H260" s="21" t="s">
        <v>935</v>
      </c>
      <c r="I260" s="13">
        <v>42899.757523148146</v>
      </c>
      <c r="J260" s="7">
        <v>0</v>
      </c>
      <c r="K260" s="92" t="str">
        <f t="shared" si="84"/>
        <v>4049/4050</v>
      </c>
      <c r="L260" s="21" t="str">
        <f>VLOOKUP(A260,'Trips&amp;Operators'!$C$1:$G$99999,5,FALSE)</f>
        <v>CHANDLER KELVIN</v>
      </c>
      <c r="M260" s="6">
        <f t="shared" si="85"/>
        <v>5.1967592589790002E-3</v>
      </c>
      <c r="N260" s="7">
        <f t="shared" si="110"/>
        <v>7.4833333329297602</v>
      </c>
      <c r="O260" s="7"/>
      <c r="P260" s="7"/>
      <c r="Q260" s="22"/>
      <c r="R260" s="173"/>
      <c r="S260" s="176">
        <f t="shared" si="111"/>
        <v>0</v>
      </c>
      <c r="T260" s="202" t="e">
        <f t="shared" si="86"/>
        <v>#VALUE!</v>
      </c>
      <c r="U260" s="202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203" t="str">
        <f t="shared" si="87"/>
        <v>https://d0f6bd738d7f1b3e5a7ca70fe4ff75f0.us-east-1.aws.found.io/app/kibana#/discover/Steve-Slow-Train-Analysis-(2080s-and-2083s)?_g=(refreshInterval:(display:Off,pause:!f,section:0,value:0),time:(from:'2017-06-13T16:18:53-0600',mode:absolute,to:'2017-06-13T19:10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0" s="204" t="str">
        <f t="shared" si="88"/>
        <v>Y</v>
      </c>
      <c r="X260" s="204" t="e">
        <f t="shared" si="109"/>
        <v>#VALUE!</v>
      </c>
      <c r="Y260" s="204">
        <f t="shared" si="105"/>
        <v>0.115</v>
      </c>
      <c r="Z260" s="204">
        <f t="shared" si="106"/>
        <v>0.36170000000000002</v>
      </c>
      <c r="AA260" s="204">
        <f t="shared" si="91"/>
        <v>0.24670000000000003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92"/>
        <v>65-13</v>
      </c>
      <c r="AE260" s="80" t="str">
        <f t="shared" si="93"/>
        <v>aws s3 cp s3://rtdc.mdm.uploadarchive.raw/RTDC4050/ "%USERPROFILE%\AppData\Local\Temp\OnboardLogs"\RTDC4050\2017-06-13 --exclude "*" --recursive --include "*20170613*" &amp; "%USERPROFILE%\Documents\GitHub\mrs-test-scripts\Headless Mode &amp; Sideloading\WalkAndUnGZ.bat" "%USERPROFILE%\AppData\Local\Temp\OnboardLogs"\RTDC4050\2017-06-13 &amp; aws s3 cp s3://rtdc.mdm.uploadarchive.raw/RTDC4050/ "%USERPROFILE%\AppData\Local\Temp\OnboardLogs"\RTDC4050\2017-06-14 --exclude "*" --recursive --include "*20170614*" &amp; "%USERPROFILE%\Documents\GitHub\mrs-test-scripts\Headless Mode &amp; Sideloading\WalkAndUnGZ.bat" "%USERPROFILE%\AppData\Local\Temp\OnboardLogs"\RTDC4050\2017-06-14</v>
      </c>
      <c r="AF260" s="77" t="str">
        <f t="shared" si="94"/>
        <v>"C:\Program Files (x86)\AstroGrep\AstroGrep.exe" /e /r /s /spath="%USERPROFILE%\AppData\Local\Temp\OnboardLogs" /stypes="app*4050*20170614*" /stext=" 00:.+((SYSTEM_STATE.+slice.+state.+changed )|(ment ac)|(multiple cpu faults)|(system.+state.+changed )|(\[timeout)|(PRM\|1\|D)|(kpr)|(kdp)|(train st.+moving)|(\|lc)|(penalty))"</v>
      </c>
      <c r="AG260" s="1" t="str">
        <f t="shared" si="95"/>
        <v>Other</v>
      </c>
      <c r="AH260" s="81" t="str">
        <f t="shared" si="96"/>
        <v>"%USERPROFILE%\Documents\GitHub\eaglep3\Utilities\RefineRTDCRunTimes.py" --tripid 65-13 --locoid 4050 --swversion DE.1.0.9.0 --startMP 204:1150 --initTime 2017-06-13T17:18:53 --startdatetime 2017-06-13T18:03:21 --delay 1 --endMP 204:3617 --enddatetime 2017-06-13T18:10:50 --enforcementcount 0 &gt;&gt;C:\Users\stu\Documents\GitHub\eaglep3-reporting\EC\2017-06-13-refined-times.txt</v>
      </c>
      <c r="AI260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{"issue":{"subject":"","project_id":79,"tracker_id":40,"status_id":1,"priority_id":2,"assigned_to_id":23,"start_date":"2017-06-13","description":"","custom_fields":[{"id":1,"name":"Subdivision","value":"Other"},{"id":4,"name":"Milepost","value":"0.3617"},{"id":17,"name":"Train ID","value":"65-13"},{"id":16,"name":"Locomotive ID","value":"4050"},{"id":130,"name":"Impact","value":""},{"id":150,"name":"Time of Event (Mountain Time)","value":"18:10:50"},{"id":151,"name":"Denver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98"/>
        <v>start /low /b %USERPROFILE%\Documents\GitHub\eaglep3\Utilities\DownloadLogsFromS3.py --loco 4050 --day 2017-06-13</v>
      </c>
      <c r="AN260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769</v>
      </c>
      <c r="B261" s="7">
        <v>4062</v>
      </c>
      <c r="C261" s="21" t="s">
        <v>204</v>
      </c>
      <c r="D261" s="21" t="s">
        <v>936</v>
      </c>
      <c r="E261" s="13">
        <v>42899.751504629632</v>
      </c>
      <c r="F261" s="13">
        <v>42899.752326388887</v>
      </c>
      <c r="G261" s="7">
        <v>0</v>
      </c>
      <c r="H261" s="21" t="s">
        <v>918</v>
      </c>
      <c r="I261" s="13">
        <v>42899.757523148146</v>
      </c>
      <c r="J261" s="7">
        <v>0</v>
      </c>
      <c r="K261" s="92" t="str">
        <f t="shared" si="84"/>
        <v>4061/4062</v>
      </c>
      <c r="L261" s="21" t="str">
        <f>VLOOKUP(A261,'Trips&amp;Operators'!$C$1:$G$99999,5,FALSE)</f>
        <v>CHANDLER KELVIN</v>
      </c>
      <c r="M261" s="6">
        <f t="shared" si="85"/>
        <v>5.1967592589790002E-3</v>
      </c>
      <c r="N261" s="7">
        <f t="shared" si="110"/>
        <v>7.4833333329297602</v>
      </c>
      <c r="O261" s="7"/>
      <c r="P261" s="7"/>
      <c r="Q261" s="22"/>
      <c r="R261" s="173"/>
      <c r="S261" s="176">
        <f t="shared" si="111"/>
        <v>0</v>
      </c>
      <c r="T261" s="202" t="e">
        <f t="shared" si="86"/>
        <v>#VALUE!</v>
      </c>
      <c r="U261" s="202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203" t="str">
        <f t="shared" si="87"/>
        <v>https://d0f6bd738d7f1b3e5a7ca70fe4ff75f0.us-east-1.aws.found.io/app/kibana#/discover/Steve-Slow-Train-Analysis-(2080s-and-2083s)?_g=(refreshInterval:(display:Off,pause:!f,section:0,value:0),time:(from:'2017-06-13T17:02:10-0600',mode:absolute,to:'2017-06-13T19:10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61" s="204" t="str">
        <f t="shared" si="88"/>
        <v>Y</v>
      </c>
      <c r="X261" s="204" t="e">
        <f t="shared" si="109"/>
        <v>#VALUE!</v>
      </c>
      <c r="Y261" s="204">
        <f t="shared" si="105"/>
        <v>0.11749999999999999</v>
      </c>
      <c r="Z261" s="204">
        <f t="shared" si="106"/>
        <v>2.3306</v>
      </c>
      <c r="AA261" s="204">
        <f t="shared" si="91"/>
        <v>2.2130999999999998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92"/>
        <v>65-13</v>
      </c>
      <c r="AE261" s="80" t="str">
        <f t="shared" si="93"/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AF261" s="77" t="str">
        <f t="shared" si="94"/>
        <v>"C:\Program Files (x86)\AstroGrep\AstroGrep.exe" /e /r /s /spath="%USERPROFILE%\AppData\Local\Temp\OnboardLogs" /stypes="app*4062*20170614*" /stext=" 00:.+((SYSTEM_STATE.+slice.+state.+changed )|(ment ac)|(multiple cpu faults)|(system.+state.+changed )|(\[timeout)|(PRM\|1\|D)|(kpr)|(kdp)|(train st.+moving)|(\|lc)|(penalty))"</v>
      </c>
      <c r="AG261" s="1" t="str">
        <f t="shared" si="95"/>
        <v>Other</v>
      </c>
      <c r="AH261" s="81" t="str">
        <f t="shared" si="96"/>
        <v>"%USERPROFILE%\Documents\GitHub\eaglep3\Utilities\RefineRTDCRunTimes.py" --tripid 65-13 --locoid 4062 --swversion DE.1.0.9.0 --startMP 204:1175 --initTime 2017-06-13T18:02:10 --startdatetime 2017-06-13T18:03:21 --delay 0 --endMP 300:23306 --enddatetime 2017-06-13T18:10:50 --enforcementcount 0 &gt;&gt;C:\Users\stu\Documents\GitHub\eaglep3-reporting\EC\2017-06-13-refined-times.txt</v>
      </c>
      <c r="AI261" s="99" t="str">
        <f t="shared" si="97"/>
        <v>echo {"issue":{"subject":"","project_id":79,"tracker_id":40,"status_id":1,"priority_id":2,"assigned_to_id":23,"start_date":"2017-06-13","description":"","custom_fields":[{"id":1,"name":"Subdivision","value":"Other"},{"id":4,"name":"Milepost","value":"2.3306"},{"id":17,"name":"Train ID","value":"65-13"},{"id":16,"name":"Locomotive ID","value":"4062"},{"id":130,"name":"Impact","value":""},{"id":150,"name":"Time of Event (Mountain Time)","value":"18:10:50"},{"id":151,"name":"Denver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98"/>
        <v>start /low /b %USERPROFILE%\Documents\GitHub\eaglep3\Utilities\DownloadLogsFromS3.py --loco 4062 --day 2017-06-13</v>
      </c>
      <c r="AN261" s="154" t="str">
        <f t="shared" si="99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00:10:50"},{"id":29,"name":"Sharepoint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40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4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72">
    <sortState ref="A13:AG272">
      <sortCondition ref="AG13:AG261"/>
      <sortCondition ref="AD13:AD261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61">
    <cfRule type="cellIs" dxfId="10" priority="415" operator="equal">
      <formula>"Y"</formula>
    </cfRule>
  </conditionalFormatting>
  <conditionalFormatting sqref="X276:X1048576 X13:X261">
    <cfRule type="cellIs" dxfId="9" priority="398" operator="greaterThan">
      <formula>1</formula>
    </cfRule>
  </conditionalFormatting>
  <conditionalFormatting sqref="X276:X1048576 X12:X261">
    <cfRule type="cellIs" dxfId="8" priority="395" operator="equal">
      <formula>0</formula>
    </cfRule>
  </conditionalFormatting>
  <conditionalFormatting sqref="A13:S26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AK13:AK261</xm:sqref>
        </x14:dataValidation>
        <x14:dataValidation type="list" allowBlank="1" showInputMessage="1" showErrorMessage="1">
          <x14:formula1>
            <xm:f>'Redmine List Values'!$C$2:$C$15</xm:f>
          </x14:formula1>
          <xm:sqref>AL13:AL261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COUNTIF($O$7:$O$277,"=Y")</f>
        <v>1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COUNTA($O$7:$O$277)-O2</f>
        <v>30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- 2017-06-13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42899.634594907409</v>
      </c>
      <c r="B7" s="30" t="s">
        <v>591</v>
      </c>
      <c r="C7" s="30" t="s">
        <v>606</v>
      </c>
      <c r="D7" s="30" t="s">
        <v>49</v>
      </c>
      <c r="E7" s="30" t="s">
        <v>189</v>
      </c>
      <c r="F7" s="42">
        <v>0</v>
      </c>
      <c r="G7" s="42">
        <v>76</v>
      </c>
      <c r="H7" s="42">
        <v>27410</v>
      </c>
      <c r="I7" s="42">
        <v>27374</v>
      </c>
      <c r="J7" s="30" t="s">
        <v>190</v>
      </c>
      <c r="K7" s="42">
        <v>27350</v>
      </c>
      <c r="L7" s="134" t="s">
        <v>51</v>
      </c>
      <c r="M7" s="135">
        <f t="shared" ref="M7:M37" si="0">CONVERT((I7-K7)/10000,"mi","ft")*IF(L7="Increasing Mileposts (1)",-1,1)</f>
        <v>12.672000000000001</v>
      </c>
      <c r="N7" s="136" t="str">
        <f>VLOOKUP(C7,'Trips&amp;Operators'!$C$1:$G$99999,5,FALSE)</f>
        <v>ROBINSON KADDIBA</v>
      </c>
      <c r="O7" s="210" t="s">
        <v>182</v>
      </c>
      <c r="P7" s="137" t="s">
        <v>399</v>
      </c>
      <c r="Q7" s="30"/>
      <c r="R7" s="84" t="str">
        <f>VLOOKUP(C7,'Train Runs'!$A$13:$AE$9931,31,0)</f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S7" s="87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-06-13T13:38:52-0600',mode:absolute,to:'2017-06-13T18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89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/stypes="*4031*201706132*" /stext=" 21:.+((SYSTEM_STATE.+slice.+state.+changed )|(ment ac)|(multiple cpu faults)|(system.+state.+changed )|(\[timeout)|(PRM\|1\|D)|(kpr)|(kdp)|(train st.+moving)|(\|lc)|(penalty))"</v>
      </c>
      <c r="U7" s="9" t="str">
        <f t="shared" ref="U7:U37" si="2">MID(B7,13,4)</f>
        <v>4031</v>
      </c>
      <c r="V7" s="31">
        <f t="shared" ref="V7:V37" si="3">A7-utc_offset/24</f>
        <v>42899.884594907409</v>
      </c>
      <c r="W7" s="45" t="str">
        <f t="shared" ref="W7:W37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7" si="5">IF(AND(E7="TRACK WARRANT AUTHORITY",G7&lt;10),"OMIT","KEEP")</f>
        <v>KEEP</v>
      </c>
      <c r="Y7" s="99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arrival","project_id":79,"tracker_id":40,"status_id":1,"priority_id":2,"assigned_to_id":23,"start_date":"2017-06-13","description":"","custom_fields":[{"id":1,"name":"Subdivision","value":"EC"},{"id":4,"name":"Milepost","value":"2.735"},{"id":17,"name":"Train ID","value":"182-13"},{"id":16,"name":"Locomotive ID","value":"4031"},{"id":130,"name":"Impact","value":""},{"id":150,"name":"Time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7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/cygdrive/c/Users/stu/AppData/Local/Temp/OnboardLogs/RTDC4031 --include="*4031*201706132*"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"%USERPROFILE%\AppData\Local\Temp\OnboardLogs"\RTDC4031\*4031*201706132* &gt;&gt; 2017-06-13-SliceDisagreementCheck.txt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4031 --day 2017-06-13</v>
      </c>
    </row>
    <row r="8" spans="1:32" s="1" customFormat="1" x14ac:dyDescent="0.25">
      <c r="A8" s="31">
        <v>42899.791608796295</v>
      </c>
      <c r="B8" s="30" t="s">
        <v>417</v>
      </c>
      <c r="C8" s="30" t="s">
        <v>616</v>
      </c>
      <c r="D8" s="30" t="s">
        <v>49</v>
      </c>
      <c r="E8" s="30" t="s">
        <v>189</v>
      </c>
      <c r="F8" s="42">
        <v>0</v>
      </c>
      <c r="G8" s="42">
        <v>166</v>
      </c>
      <c r="H8" s="42">
        <v>27403</v>
      </c>
      <c r="I8" s="42">
        <v>27177</v>
      </c>
      <c r="J8" s="30" t="s">
        <v>190</v>
      </c>
      <c r="K8" s="42">
        <v>27350</v>
      </c>
      <c r="L8" s="134" t="s">
        <v>51</v>
      </c>
      <c r="M8" s="135">
        <f t="shared" si="0"/>
        <v>-91.343999999999994</v>
      </c>
      <c r="N8" s="136" t="str">
        <f>VLOOKUP(C8,'Trips&amp;Operators'!$C$1:$G$99999,5,FALSE)</f>
        <v>BRANDNER MELINDA</v>
      </c>
      <c r="O8" s="210" t="s">
        <v>182</v>
      </c>
      <c r="P8" s="137" t="s">
        <v>399</v>
      </c>
      <c r="Q8" s="30"/>
      <c r="R8" s="84" t="str">
        <f>VLOOKUP(C8,'Train Runs'!$A$13:$AE$9931,31,0)</f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S8" s="87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-06-13T17:21:52-0600',mode:absolute,to:'2017-06-13T20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9" t="str">
        <f t="shared" si="1"/>
        <v>"C:\Program Files (x86)\AstroGrep\AstroGrep.exe" /e /r /s /spath="%USERPROFILE%\AppData\Local\Temp\OnboardLogs" /stypes="*4041*201706140*" /stext=" 00:.+((SYSTEM_STATE.+slice.+state.+changed )|(ment ac)|(multiple cpu faults)|(system.+state.+changed )|(\[timeout)|(PRM\|1\|D)|(kpr)|(kdp)|(train st.+moving)|(\|lc)|(penalty))"</v>
      </c>
      <c r="U8" s="9" t="str">
        <f t="shared" si="2"/>
        <v>4041</v>
      </c>
      <c r="V8" s="31">
        <f t="shared" si="3"/>
        <v>42900.041608796295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arrival","project_id":79,"tracker_id":40,"status_id":1,"priority_id":2,"assigned_to_id":23,"start_date":"2017-06-13","description":"","custom_fields":[{"id":1,"name":"Subdivision","value":"EC"},{"id":4,"name":"Milepost","value":"2.735"},{"id":17,"name":"Train ID","value":"212-13"},{"id":16,"name":"Locomotive ID","value":"4041"},{"id":130,"name":"Impact","value":""},{"id":150,"name":"Time of Event (Mountain Time)","value":"18:59:55"},{"id":151,"name":"Denver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/cygdrive/c/Users/stu/AppData/Local/Temp/OnboardLogs/RTDC4041 --include="*4041*201706140*"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"%USERPROFILE%\AppData\Local\Temp\OnboardLogs"\RTDC4041\*4041*201706140* &gt;&gt; 2017-06-13-SliceDisagreementCheck.txt</v>
      </c>
      <c r="AE8" s="148" t="str">
        <f t="shared" ref="AE8:AE37" si="9">"start /low /b "&amp;dls3logs&amp;" --loco "&amp;U8&amp;" --day "&amp;TEXT(V8,"YYYY-MM-DD")</f>
        <v>start /low /b %USERPROFILE%\Documents\GitHub\eaglep3\Utilities\DownloadLogsFromS3.py --loco 4041 --day 2017-06-14</v>
      </c>
    </row>
    <row r="9" spans="1:32" s="1" customFormat="1" x14ac:dyDescent="0.25">
      <c r="A9" s="31">
        <v>42899.634976851848</v>
      </c>
      <c r="B9" s="30" t="s">
        <v>591</v>
      </c>
      <c r="C9" s="30" t="s">
        <v>606</v>
      </c>
      <c r="D9" s="30" t="s">
        <v>98</v>
      </c>
      <c r="E9" s="30" t="s">
        <v>189</v>
      </c>
      <c r="F9" s="42">
        <v>10</v>
      </c>
      <c r="G9" s="42">
        <v>61</v>
      </c>
      <c r="H9" s="42">
        <v>27346</v>
      </c>
      <c r="I9" s="42">
        <v>27292</v>
      </c>
      <c r="J9" s="30" t="s">
        <v>190</v>
      </c>
      <c r="K9" s="42">
        <v>27350</v>
      </c>
      <c r="L9" s="134" t="s">
        <v>51</v>
      </c>
      <c r="M9" s="135">
        <f t="shared" si="0"/>
        <v>-30.623999999999999</v>
      </c>
      <c r="N9" s="136" t="str">
        <f>VLOOKUP(C9,'Trips&amp;Operators'!$C$1:$G$99999,5,FALSE)</f>
        <v>ROBINSON KADDIBA</v>
      </c>
      <c r="O9" s="210" t="s">
        <v>182</v>
      </c>
      <c r="P9" s="137" t="s">
        <v>399</v>
      </c>
      <c r="Q9" s="30"/>
      <c r="R9" s="84" t="str">
        <f>VLOOKUP(C9,'Train Runs'!$A$13:$AE$9931,31,0)</f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S9" s="87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-06-13T13:38:52-0600',mode:absolute,to:'2017-06-13T18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9" t="str">
        <f t="shared" si="1"/>
        <v>"C:\Program Files (x86)\AstroGrep\AstroGrep.exe" /e /r /s /spath="%USERPROFILE%\AppData\Local\Temp\OnboardLogs" /stypes="*4031*201706132*"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42899.884976851848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arrival","project_id":79,"tracker_id":40,"status_id":1,"priority_id":2,"assigned_to_id":23,"start_date":"2017-06-13","description":"","custom_fields":[{"id":1,"name":"Subdivision","value":"EC"},{"id":4,"name":"Milepost","value":"2.735"},{"id":17,"name":"Train ID","value":"182-13"},{"id":16,"name":"Locomotive ID","value":"4031"},{"id":130,"name":"Impact","value":""},{"id":150,"name":"Time of Event (Mountain Time)","value":"15:14:22"},{"id":151,"name":"Denver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/cygdrive/c/Users/stu/AppData/Local/Temp/OnboardLogs/RTDC4031 --include="*4031*201706132*"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"%USERPROFILE%\AppData\Local\Temp\OnboardLogs"\RTDC4031\*4031*201706132* &gt;&gt; 2017-06-13-SliceDisagreementCheck.txt</v>
      </c>
      <c r="AE9" s="148" t="str">
        <f t="shared" si="9"/>
        <v>start /low /b %USERPROFILE%\Documents\GitHub\eaglep3\Utilities\DownloadLogsFromS3.py --loco 4031 --day 2017-06-13</v>
      </c>
    </row>
    <row r="10" spans="1:32" s="1" customFormat="1" x14ac:dyDescent="0.25">
      <c r="A10" s="31">
        <v>42899.634201388886</v>
      </c>
      <c r="B10" s="30" t="s">
        <v>591</v>
      </c>
      <c r="C10" s="30" t="s">
        <v>606</v>
      </c>
      <c r="D10" s="30" t="s">
        <v>49</v>
      </c>
      <c r="E10" s="30" t="s">
        <v>189</v>
      </c>
      <c r="F10" s="42">
        <v>140</v>
      </c>
      <c r="G10" s="42">
        <v>194</v>
      </c>
      <c r="H10" s="42">
        <v>27654</v>
      </c>
      <c r="I10" s="42">
        <v>27471</v>
      </c>
      <c r="J10" s="30" t="s">
        <v>190</v>
      </c>
      <c r="K10" s="42">
        <v>27350</v>
      </c>
      <c r="L10" s="134" t="s">
        <v>51</v>
      </c>
      <c r="M10" s="135">
        <f t="shared" si="0"/>
        <v>63.887999999999998</v>
      </c>
      <c r="N10" s="136" t="str">
        <f>VLOOKUP(C10,'Trips&amp;Operators'!$C$1:$G$99999,5,FALSE)</f>
        <v>ROBINSON KADDIBA</v>
      </c>
      <c r="O10" s="210" t="s">
        <v>182</v>
      </c>
      <c r="P10" s="137" t="s">
        <v>399</v>
      </c>
      <c r="Q10" s="30"/>
      <c r="R10" s="84" t="str">
        <f>VLOOKUP(C10,'Train Runs'!$A$13:$AE$9931,31,0)</f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S10" s="87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-06-13T13:38:52-0600',mode:absolute,to:'2017-06-13T18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89" t="str">
        <f t="shared" si="1"/>
        <v>"C:\Program Files (x86)\AstroGrep\AstroGrep.exe" /e /r /s /spath="%USERPROFILE%\AppData\Local\Temp\OnboardLogs" /stypes="*4031*201706132*"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4031</v>
      </c>
      <c r="V10" s="31">
        <f t="shared" si="3"/>
        <v>42899.884201388886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arrival","project_id":79,"tracker_id":40,"status_id":1,"priority_id":2,"assigned_to_id":23,"start_date":"2017-06-13","description":"","custom_fields":[{"id":1,"name":"Subdivision","value":"EC"},{"id":4,"name":"Milepost","value":"2.735"},{"id":17,"name":"Train ID","value":"182-13"},{"id":16,"name":"Locomotive ID","value":"4031"},{"id":130,"name":"Impact","value":""},{"id":150,"name":"Time of Event (Mountain Time)","value":"15:13:15"},{"id":151,"name":"Denver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/cygdrive/c/Users/stu/AppData/Local/Temp/OnboardLogs/RTDC4031 --include="*4031*201706132*"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"%USERPROFILE%\AppData\Local\Temp\OnboardLogs"\RTDC4031\*4031*201706132* &gt;&gt; 2017-06-13-SliceDisagreementCheck.txt</v>
      </c>
      <c r="AE10" s="148" t="str">
        <f t="shared" si="9"/>
        <v>start /low /b %USERPROFILE%\Documents\GitHub\eaglep3\Utilities\DownloadLogsFromS3.py --loco 4031 --day 2017-06-13</v>
      </c>
    </row>
    <row r="11" spans="1:32" s="1" customFormat="1" x14ac:dyDescent="0.25">
      <c r="A11" s="31">
        <v>42899.446469907409</v>
      </c>
      <c r="B11" s="30" t="s">
        <v>428</v>
      </c>
      <c r="C11" s="30" t="s">
        <v>602</v>
      </c>
      <c r="D11" s="30" t="s">
        <v>49</v>
      </c>
      <c r="E11" s="30" t="s">
        <v>189</v>
      </c>
      <c r="F11" s="42">
        <v>0</v>
      </c>
      <c r="G11" s="42">
        <v>522</v>
      </c>
      <c r="H11" s="42">
        <v>55147</v>
      </c>
      <c r="I11" s="42">
        <v>56837</v>
      </c>
      <c r="J11" s="30" t="s">
        <v>190</v>
      </c>
      <c r="K11" s="42">
        <v>58118</v>
      </c>
      <c r="L11" s="134" t="s">
        <v>50</v>
      </c>
      <c r="M11" s="135">
        <f t="shared" si="0"/>
        <v>676.36799999999994</v>
      </c>
      <c r="N11" s="136" t="str">
        <f>VLOOKUP(C11,'Trips&amp;Operators'!$C$1:$G$99999,5,FALSE)</f>
        <v>LOZA FIDEL</v>
      </c>
      <c r="O11" s="210" t="s">
        <v>182</v>
      </c>
      <c r="P11" s="137" t="s">
        <v>399</v>
      </c>
      <c r="Q11" s="30"/>
      <c r="R11" s="84" t="str">
        <f>VLOOKUP(C11,'Train Runs'!$A$13:$AE$9931,31,0)</f>
        <v>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 &amp; 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</v>
      </c>
      <c r="S11" s="87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-06-13T09:28:27-0600',mode:absolute,to:'2017-06-13T12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89" t="str">
        <f t="shared" si="1"/>
        <v>"C:\Program Files (x86)\AstroGrep\AstroGrep.exe" /e /r /s /spath="%USERPROFILE%\AppData\Local\Temp\OnboardLogs" /stypes="*4020*201706131*"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4020</v>
      </c>
      <c r="V11" s="31">
        <f t="shared" si="3"/>
        <v>42899.696469907409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arrival","project_id":79,"tracker_id":40,"status_id":1,"priority_id":2,"assigned_to_id":23,"start_date":"2017-06-13","description":"","custom_fields":[{"id":1,"name":"Subdivision","value":"EC"},{"id":4,"name":"Milepost","value":"5.8118"},{"id":17,"name":"Train ID","value":"155-13"},{"id":16,"name":"Locomotive ID","value":"4020"},{"id":130,"name":"Impact","value":""},{"id":150,"name":"Time of Event (Mountain Time)","value":"10:42:55"},{"id":151,"name":"Denver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/cygdrive/c/Users/stu/AppData/Local/Temp/OnboardLogs/RTDC4020 --include="*4020*201706131*"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"%USERPROFILE%\AppData\Local\Temp\OnboardLogs"\RTDC4020\*4020*201706131* &gt;&gt; 2017-06-13-SliceDisagreementCheck.txt</v>
      </c>
      <c r="AE11" s="148" t="str">
        <f t="shared" si="9"/>
        <v>start /low /b %USERPROFILE%\Documents\GitHub\eaglep3\Utilities\DownloadLogsFromS3.py --loco 4020 --day 2017-06-13</v>
      </c>
    </row>
    <row r="12" spans="1:32" s="1" customFormat="1" x14ac:dyDescent="0.25">
      <c r="A12" s="31">
        <v>42899.291689814818</v>
      </c>
      <c r="B12" s="30" t="s">
        <v>594</v>
      </c>
      <c r="C12" s="30" t="s">
        <v>595</v>
      </c>
      <c r="D12" s="30" t="s">
        <v>49</v>
      </c>
      <c r="E12" s="30" t="s">
        <v>189</v>
      </c>
      <c r="F12" s="42">
        <v>0</v>
      </c>
      <c r="G12" s="42">
        <v>176</v>
      </c>
      <c r="H12" s="42">
        <v>62255</v>
      </c>
      <c r="I12" s="42">
        <v>62561</v>
      </c>
      <c r="J12" s="30" t="s">
        <v>190</v>
      </c>
      <c r="K12" s="42">
        <v>63068</v>
      </c>
      <c r="L12" s="134" t="s">
        <v>50</v>
      </c>
      <c r="M12" s="135">
        <f t="shared" si="0"/>
        <v>267.69600000000003</v>
      </c>
      <c r="N12" s="136" t="str">
        <f>VLOOKUP(C12,'Trips&amp;Operators'!$C$1:$G$99999,5,FALSE)</f>
        <v>STARKS ANGELINA</v>
      </c>
      <c r="O12" s="210" t="s">
        <v>182</v>
      </c>
      <c r="P12" s="137" t="s">
        <v>1020</v>
      </c>
      <c r="Q12" s="30"/>
      <c r="R12" s="84" t="str">
        <f>VLOOKUP(C12,'Train Runs'!$A$13:$AE$9931,31,0)</f>
        <v>aws s3 cp s3://rtdc.mdm.uploadarchive.raw/RTDC4032/ "%USERPROFILE%\AppData\Local\Temp\OnboardLogs"\RTDC4032\2017-06-13 --exclude "*" --recursive --include "*20170613*" &amp; "%USERPROFILE%\Documents\GitHub\mrs-test-scripts\Headless Mode &amp; Sideloading\WalkAndUnGZ.bat" "%USERPROFILE%\AppData\Local\Temp\OnboardLogs"\RTDC4032\2017-06-13 &amp; aws s3 cp s3://rtdc.mdm.uploadarchive.raw/RTDC4032/ "%USERPROFILE%\AppData\Local\Temp\OnboardLogs"\RTDC4032\2017-06-14 --exclude "*" --recursive --include "*20170614*" &amp; "%USERPROFILE%\Documents\GitHub\mrs-test-scripts\Headless Mode &amp; Sideloading\WalkAndUnGZ.bat" "%USERPROFILE%\AppData\Local\Temp\OnboardLogs"\RTDC4032\2017-06-14</v>
      </c>
      <c r="S12" s="87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-06-13T05:39:54-0600',mode:absolute,to:'2017-06-13T08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9" t="str">
        <f t="shared" si="1"/>
        <v>"C:\Program Files (x86)\AstroGrep\AstroGrep.exe" /e /r /s /spath="%USERPROFILE%\AppData\Local\Temp\OnboardLogs" /stypes="*4032*201706131*"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4032</v>
      </c>
      <c r="V12" s="31">
        <f t="shared" si="3"/>
        <v>42899.541689814818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{"issue":{"subject":"Form C","project_id":79,"tracker_id":40,"status_id":1,"priority_id":2,"assigned_to_id":23,"start_date":"2017-06-13","description":"","custom_fields":[{"id":1,"name":"Subdivision","value":"EC"},{"id":4,"name":"Milepost","value":"6.3068"},{"id":17,"name":"Train ID","value":"125-13"},{"id":16,"name":"Locomotive ID","value":"4032"},{"id":130,"name":"Impact","value":""},{"id":150,"name":"Time of Event (Mountain Time)","value":"07:00:02"},{"id":151,"name":"Denver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/cygdrive/c/Users/stu/AppData/Local/Temp/OnboardLogs/RTDC4032 --include="*4032*201706131*"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"%USERPROFILE%\AppData\Local\Temp\OnboardLogs"\RTDC4032\*4032*201706131* &gt;&gt; 2017-06-13-SliceDisagreementCheck.txt</v>
      </c>
      <c r="AE12" s="148" t="str">
        <f t="shared" si="9"/>
        <v>start /low /b %USERPROFILE%\Documents\GitHub\eaglep3\Utilities\DownloadLogsFromS3.py --loco 4032 --day 2017-06-13</v>
      </c>
    </row>
    <row r="13" spans="1:32" s="1" customFormat="1" x14ac:dyDescent="0.25">
      <c r="A13" s="31">
        <v>42899.311539351853</v>
      </c>
      <c r="B13" s="30" t="s">
        <v>447</v>
      </c>
      <c r="C13" s="30" t="s">
        <v>596</v>
      </c>
      <c r="D13" s="30" t="s">
        <v>49</v>
      </c>
      <c r="E13" s="30" t="s">
        <v>189</v>
      </c>
      <c r="F13" s="42">
        <v>0</v>
      </c>
      <c r="G13" s="42">
        <v>341</v>
      </c>
      <c r="H13" s="42">
        <v>61045</v>
      </c>
      <c r="I13" s="42">
        <v>61891</v>
      </c>
      <c r="J13" s="30" t="s">
        <v>190</v>
      </c>
      <c r="K13" s="42">
        <v>63068</v>
      </c>
      <c r="L13" s="134" t="s">
        <v>50</v>
      </c>
      <c r="M13" s="135">
        <f t="shared" si="0"/>
        <v>621.45600000000002</v>
      </c>
      <c r="N13" s="136" t="str">
        <f>VLOOKUP(C13,'Trips&amp;Operators'!$C$1:$G$99999,5,FALSE)</f>
        <v>BONDS REYNALDO</v>
      </c>
      <c r="O13" s="210" t="s">
        <v>182</v>
      </c>
      <c r="P13" s="137" t="s">
        <v>1020</v>
      </c>
      <c r="Q13" s="30"/>
      <c r="R13" s="84" t="str">
        <f>VLOOKUP(C13,'Train Runs'!$A$13:$AE$9931,31,0)</f>
        <v>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 &amp; aws s3 cp s3://rtdc.mdm.uploadarchive.raw/RTDC4002/ "%USERPROFILE%\AppData\Local\Temp\OnboardLogs"\RTDC4002\2017-06-14 --exclude "*" --recursive --include "*20170614*" &amp; "%USERPROFILE%\Documents\GitHub\mrs-test-scripts\Headless Mode &amp; Sideloading\WalkAndUnGZ.bat" "%USERPROFILE%\AppData\Local\Temp\OnboardLogs"\RTDC4002\2017-06-14</v>
      </c>
      <c r="S13" s="87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-06-13T06:11:49-0600',mode:absolute,to:'2017-06-13T08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3" s="89" t="str">
        <f t="shared" si="1"/>
        <v>"C:\Program Files (x86)\AstroGrep\AstroGrep.exe" /e /r /s /spath="%USERPROFILE%\AppData\Local\Temp\OnboardLogs" /stypes="*4002*201706131*" /stext=" 13:.+((SYSTEM_STATE.+slice.+state.+changed )|(ment ac)|(multiple cpu faults)|(system.+state.+changed )|(\[timeout)|(PRM\|1\|D)|(kpr)|(kdp)|(train st.+moving)|(\|lc)|(penalty))"</v>
      </c>
      <c r="U13" s="9" t="str">
        <f t="shared" si="2"/>
        <v>4002</v>
      </c>
      <c r="V13" s="31">
        <f t="shared" si="3"/>
        <v>42899.561539351853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{"issue":{"subject":"Form C","project_id":79,"tracker_id":40,"status_id":1,"priority_id":2,"assigned_to_id":23,"start_date":"2017-06-13","description":"","custom_fields":[{"id":1,"name":"Subdivision","value":"EC"},{"id":4,"name":"Milepost","value":"6.3068"},{"id":17,"name":"Train ID","value":"129-13"},{"id":16,"name":"Locomotive ID","value":"4002"},{"id":130,"name":"Impact","value":""},{"id":150,"name":"Time of Event (Mountain Time)","value":"07:28:37"},{"id":151,"name":"Denver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/cygdrive/c/Users/stu/AppData/Local/Temp/OnboardLogs/RTDC4002 --include="*4002*201706131*"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"%USERPROFILE%\AppData\Local\Temp\OnboardLogs"\RTDC4002\*4002*201706131* &gt;&gt; 2017-06-13-SliceDisagreementCheck.txt</v>
      </c>
      <c r="AE13" s="148" t="str">
        <f t="shared" si="9"/>
        <v>start /low /b %USERPROFILE%\Documents\GitHub\eaglep3\Utilities\DownloadLogsFromS3.py --loco 4002 --day 2017-06-13</v>
      </c>
    </row>
    <row r="14" spans="1:32" x14ac:dyDescent="0.25">
      <c r="A14" s="31">
        <v>42899.396226851852</v>
      </c>
      <c r="B14" s="30" t="s">
        <v>599</v>
      </c>
      <c r="C14" s="30" t="s">
        <v>600</v>
      </c>
      <c r="D14" s="30" t="s">
        <v>49</v>
      </c>
      <c r="E14" s="30" t="s">
        <v>189</v>
      </c>
      <c r="F14" s="42">
        <v>0</v>
      </c>
      <c r="G14" s="42">
        <v>471</v>
      </c>
      <c r="H14" s="42">
        <v>61104</v>
      </c>
      <c r="I14" s="42">
        <v>62312</v>
      </c>
      <c r="J14" s="30" t="s">
        <v>190</v>
      </c>
      <c r="K14" s="42">
        <v>63069</v>
      </c>
      <c r="L14" s="134" t="s">
        <v>50</v>
      </c>
      <c r="M14" s="135">
        <f t="shared" si="0"/>
        <v>399.69600000000003</v>
      </c>
      <c r="N14" s="136" t="str">
        <f>VLOOKUP(C14,'Trips&amp;Operators'!$C$1:$G$99999,5,FALSE)</f>
        <v>DAVIDSON DAVID</v>
      </c>
      <c r="O14" s="210" t="s">
        <v>182</v>
      </c>
      <c r="P14" s="137" t="s">
        <v>399</v>
      </c>
      <c r="Q14" s="30"/>
      <c r="R14" s="84" t="str">
        <f>VLOOKUP(C14,'Train Runs'!$A$13:$AE$9931,31,0)</f>
        <v>aws s3 cp s3://rtdc.mdm.uploadarchive.raw/RTDC4062/ "%USERPROFILE%\AppData\Local\Temp\OnboardLogs"\RTDC4062\2017-06-13 --exclude "*" --recursive --include "*20170613*" &amp; "%USERPROFILE%\Documents\GitHub\mrs-test-scripts\Headless Mode &amp; Sideloading\WalkAndUnGZ.bat" "%USERPROFILE%\AppData\Local\Temp\OnboardLogs"\RTDC4062\2017-06-13 &amp; aws s3 cp s3://rtdc.mdm.uploadarchive.raw/RTDC4062/ "%USERPROFILE%\AppData\Local\Temp\OnboardLogs"\RTDC4062\2017-06-14 --exclude "*" --recursive --include "*20170614*" &amp; "%USERPROFILE%\Documents\GitHub\mrs-test-scripts\Headless Mode &amp; Sideloading\WalkAndUnGZ.bat" "%USERPROFILE%\AppData\Local\Temp\OnboardLogs"\RTDC4062\2017-06-14</v>
      </c>
      <c r="S14" s="87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-06-13T08:15:20-0600',mode:absolute,to:'2017-06-13T10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4" s="89" t="str">
        <f t="shared" si="1"/>
        <v>"C:\Program Files (x86)\AstroGrep\AstroGrep.exe" /e /r /s /spath="%USERPROFILE%\AppData\Local\Temp\OnboardLogs" /stypes="*4062*201706131*"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4062</v>
      </c>
      <c r="V14" s="31">
        <f t="shared" si="3"/>
        <v>42899.646226851852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arrival","project_id":79,"tracker_id":40,"status_id":1,"priority_id":2,"assigned_to_id":23,"start_date":"2017-06-13","description":"","custom_fields":[{"id":1,"name":"Subdivision","value":"EC"},{"id":4,"name":"Milepost","value":"6.3069"},{"id":17,"name":"Train ID","value":"145-13"},{"id":16,"name":"Locomotive ID","value":"4062"},{"id":130,"name":"Impact","value":""},{"id":150,"name":"Time of Event (Mountain Time)","value":"09:30:34"},{"id":151,"name":"Denver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/cygdrive/c/Users/stu/AppData/Local/Temp/OnboardLogs/RTDC4062 --include="*4062*201706131*"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"%USERPROFILE%\AppData\Local\Temp\OnboardLogs"\RTDC4062\*4062*201706131* &gt;&gt; 2017-06-13-SliceDisagreementCheck.txt</v>
      </c>
      <c r="AE14" s="148" t="str">
        <f t="shared" si="9"/>
        <v>start /low /b %USERPROFILE%\Documents\GitHub\eaglep3\Utilities\DownloadLogsFromS3.py --loco 4062 --day 2017-06-13</v>
      </c>
      <c r="AF14" s="1"/>
    </row>
    <row r="15" spans="1:32" x14ac:dyDescent="0.25">
      <c r="A15" s="31">
        <v>42899.405312499999</v>
      </c>
      <c r="B15" s="30" t="s">
        <v>525</v>
      </c>
      <c r="C15" s="30" t="s">
        <v>601</v>
      </c>
      <c r="D15" s="30" t="s">
        <v>49</v>
      </c>
      <c r="E15" s="30" t="s">
        <v>189</v>
      </c>
      <c r="F15" s="42">
        <v>0</v>
      </c>
      <c r="G15" s="42">
        <v>455</v>
      </c>
      <c r="H15" s="42">
        <v>62345</v>
      </c>
      <c r="I15" s="42">
        <v>63628</v>
      </c>
      <c r="J15" s="30" t="s">
        <v>190</v>
      </c>
      <c r="K15" s="42">
        <v>63069</v>
      </c>
      <c r="L15" s="134" t="s">
        <v>50</v>
      </c>
      <c r="M15" s="135">
        <f t="shared" si="0"/>
        <v>-295.15199999999999</v>
      </c>
      <c r="N15" s="136" t="str">
        <f>VLOOKUP(C15,'Trips&amp;Operators'!$C$1:$G$99999,5,FALSE)</f>
        <v>MAELZER KURT</v>
      </c>
      <c r="O15" s="210" t="s">
        <v>182</v>
      </c>
      <c r="P15" s="137" t="s">
        <v>399</v>
      </c>
      <c r="Q15" s="30"/>
      <c r="R15" s="84" t="str">
        <f>VLOOKUP(C15,'Train Runs'!$A$13:$AE$9931,31,0)</f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S15" s="87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-06-13T08:26:08-0600',mode:absolute,to:'2017-06-13T11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5" s="89" t="str">
        <f t="shared" si="1"/>
        <v>"C:\Program Files (x86)\AstroGrep\AstroGrep.exe" /e /r /s /spath="%USERPROFILE%\AppData\Local\Temp\OnboardLogs" /stypes="*4006*201706131*"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4006</v>
      </c>
      <c r="V15" s="31">
        <f t="shared" si="3"/>
        <v>42899.655312499999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arrival","project_id":79,"tracker_id":40,"status_id":1,"priority_id":2,"assigned_to_id":23,"start_date":"2017-06-13","description":"","custom_fields":[{"id":1,"name":"Subdivision","value":"EC"},{"id":4,"name":"Milepost","value":"6.3069"},{"id":17,"name":"Train ID","value":"147-13"},{"id":16,"name":"Locomotive ID","value":"4006"},{"id":130,"name":"Impact","value":""},{"id":150,"name":"Time of Event (Mountain Time)","value":"09:43:39"},{"id":151,"name":"Denver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/cygdrive/c/Users/stu/AppData/Local/Temp/OnboardLogs/RTDC4006 --include="*4006*201706131*"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"%USERPROFILE%\AppData\Local\Temp\OnboardLogs"\RTDC4006\*4006*201706131* &gt;&gt; 2017-06-13-SliceDisagreementCheck.txt</v>
      </c>
      <c r="AE15" s="148" t="str">
        <f t="shared" si="9"/>
        <v>start /low /b %USERPROFILE%\Documents\GitHub\eaglep3\Utilities\DownloadLogsFromS3.py --loco 4006 --day 2017-06-13</v>
      </c>
      <c r="AF15" s="1"/>
    </row>
    <row r="16" spans="1:32" x14ac:dyDescent="0.25">
      <c r="A16" s="31">
        <v>42899.848055555558</v>
      </c>
      <c r="B16" s="30" t="s">
        <v>591</v>
      </c>
      <c r="C16" s="30" t="s">
        <v>618</v>
      </c>
      <c r="D16" s="30" t="s">
        <v>98</v>
      </c>
      <c r="E16" s="30" t="s">
        <v>189</v>
      </c>
      <c r="F16" s="42">
        <v>90</v>
      </c>
      <c r="G16" s="42">
        <v>142</v>
      </c>
      <c r="H16" s="42">
        <v>63035</v>
      </c>
      <c r="I16" s="42">
        <v>62753</v>
      </c>
      <c r="J16" s="30" t="s">
        <v>190</v>
      </c>
      <c r="K16" s="42">
        <v>63309</v>
      </c>
      <c r="L16" s="134" t="s">
        <v>51</v>
      </c>
      <c r="M16" s="135">
        <f t="shared" si="0"/>
        <v>-293.56799999999998</v>
      </c>
      <c r="N16" s="136" t="str">
        <f>VLOOKUP(C16,'Trips&amp;Operators'!$C$1:$G$99999,5,FALSE)</f>
        <v>HAITHCOX MICHAEL</v>
      </c>
      <c r="O16" s="210" t="s">
        <v>182</v>
      </c>
      <c r="P16" s="137" t="s">
        <v>399</v>
      </c>
      <c r="Q16" s="30"/>
      <c r="R16" s="84" t="str">
        <f>VLOOKUP(C16,'Train Runs'!$A$13:$AE$9931,31,0)</f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S16" s="87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-06-13T18:50:49-0600',mode:absolute,to:'2017-06-13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9" t="str">
        <f t="shared" si="1"/>
        <v>"C:\Program Files (x86)\AstroGrep\AstroGrep.exe" /e /r /s /spath="%USERPROFILE%\AppData\Local\Temp\OnboardLogs" /stypes="*4031*201706140*"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42900.098055555558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arrival","project_id":79,"tracker_id":40,"status_id":1,"priority_id":2,"assigned_to_id":23,"start_date":"2017-06-13","description":"","custom_fields":[{"id":1,"name":"Subdivision","value":"EC"},{"id":4,"name":"Milepost","value":"6.3309"},{"id":17,"name":"Train ID","value":"222-13"},{"id":16,"name":"Locomotive ID","value":"4031"},{"id":130,"name":"Impact","value":""},{"id":150,"name":"Time of Event (Mountain Time)","value":"20:21:12"},{"id":151,"name":"Denver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/cygdrive/c/Users/stu/AppData/Local/Temp/OnboardLogs/RTDC4031 --include="*4031*201706140*"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"%USERPROFILE%\AppData\Local\Temp\OnboardLogs"\RTDC4031\*4031*201706140* &gt;&gt; 2017-06-13-SliceDisagreementCheck.txt</v>
      </c>
      <c r="AE16" s="148" t="str">
        <f t="shared" si="9"/>
        <v>start /low /b %USERPROFILE%\Documents\GitHub\eaglep3\Utilities\DownloadLogsFromS3.py --loco 4031 --day 2017-06-14</v>
      </c>
      <c r="AF16" s="1"/>
    </row>
    <row r="17" spans="1:32" x14ac:dyDescent="0.25">
      <c r="A17" s="31">
        <v>42899.587361111109</v>
      </c>
      <c r="B17" s="30" t="s">
        <v>360</v>
      </c>
      <c r="C17" s="30" t="s">
        <v>605</v>
      </c>
      <c r="D17" s="30" t="s">
        <v>98</v>
      </c>
      <c r="E17" s="30" t="s">
        <v>202</v>
      </c>
      <c r="F17" s="42">
        <v>300</v>
      </c>
      <c r="G17" s="42">
        <v>350</v>
      </c>
      <c r="H17" s="42">
        <v>20411</v>
      </c>
      <c r="I17" s="42">
        <v>21098</v>
      </c>
      <c r="J17" s="30" t="s">
        <v>203</v>
      </c>
      <c r="K17" s="42">
        <v>20338</v>
      </c>
      <c r="L17" s="134" t="s">
        <v>50</v>
      </c>
      <c r="M17" s="135">
        <f t="shared" si="0"/>
        <v>-401.28</v>
      </c>
      <c r="N17" s="136" t="str">
        <f>VLOOKUP(C17,'Trips&amp;Operators'!$C$1:$G$99999,5,FALSE)</f>
        <v>BRANDNER MELINDA</v>
      </c>
      <c r="O17" s="210" t="s">
        <v>182</v>
      </c>
      <c r="P17" s="137"/>
      <c r="Q17" s="30"/>
      <c r="R17" s="84" t="str">
        <f>VLOOKUP(C17,'Train Runs'!$A$13:$AE$9931,31,0)</f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S17" s="87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-06-13T12:51:02-0600',mode:absolute,to:'2017-06-13T15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7" s="89" t="str">
        <f t="shared" si="1"/>
        <v>"C:\Program Files (x86)\AstroGrep\AstroGrep.exe" /e /r /s /spath="%USERPROFILE%\AppData\Local\Temp\OnboardLogs" /stypes="*4042*201706132*"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4042</v>
      </c>
      <c r="V17" s="31">
        <f t="shared" si="3"/>
        <v>42899.837361111109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{"issue":{"subject":"","project_id":79,"tracker_id":40,"status_id":1,"priority_id":2,"assigned_to_id":23,"start_date":"2017-06-13","description":"","custom_fields":[{"id":1,"name":"Subdivision","value":"EC"},{"id":4,"name":"Milepost","value":"2.0338"},{"id":17,"name":"Train ID","value":"183-13"},{"id":16,"name":"Locomotive ID","value":"4042"},{"id":130,"name":"Impact","value":""},{"id":150,"name":"Time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/cygdrive/c/Users/stu/AppData/Local/Temp/OnboardLogs/RTDC4042 --include="*4042*201706132*"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"%USERPROFILE%\AppData\Local\Temp\OnboardLogs"\RTDC4042\*4042*201706132* &gt;&gt; 2017-06-13-SliceDisagreementCheck.txt</v>
      </c>
      <c r="AE17" s="148" t="str">
        <f t="shared" si="9"/>
        <v>start /low /b %USERPROFILE%\Documents\GitHub\eaglep3\Utilities\DownloadLogsFromS3.py --loco 4042 --day 2017-06-13</v>
      </c>
      <c r="AF17" s="1"/>
    </row>
    <row r="18" spans="1:32" x14ac:dyDescent="0.25">
      <c r="A18" s="31">
        <v>42899.286898148152</v>
      </c>
      <c r="B18" s="30" t="s">
        <v>403</v>
      </c>
      <c r="C18" s="30" t="s">
        <v>593</v>
      </c>
      <c r="D18" s="30" t="s">
        <v>49</v>
      </c>
      <c r="E18" s="30" t="s">
        <v>202</v>
      </c>
      <c r="F18" s="42">
        <v>400</v>
      </c>
      <c r="G18" s="42">
        <v>463</v>
      </c>
      <c r="H18" s="42">
        <v>116638</v>
      </c>
      <c r="I18" s="42">
        <v>117700</v>
      </c>
      <c r="J18" s="30" t="s">
        <v>203</v>
      </c>
      <c r="K18" s="42">
        <v>116838</v>
      </c>
      <c r="L18" s="134" t="s">
        <v>50</v>
      </c>
      <c r="M18" s="135">
        <f t="shared" si="0"/>
        <v>-455.13600000000002</v>
      </c>
      <c r="N18" s="136" t="str">
        <f>VLOOKUP(C18,'Trips&amp;Operators'!$C$1:$G$99999,5,FALSE)</f>
        <v>MACDONALD THOMAS</v>
      </c>
      <c r="O18" s="210" t="s">
        <v>182</v>
      </c>
      <c r="P18" s="137"/>
      <c r="Q18" s="30"/>
      <c r="R18" s="84" t="str">
        <f>VLOOKUP(C18,'Train Runs'!$A$13:$AE$9931,31,0)</f>
        <v>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 &amp; 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</v>
      </c>
      <c r="S18" s="87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-06-13T05:26:15-0600',mode:absolute,to:'2017-06-13T08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89" t="str">
        <f t="shared" si="1"/>
        <v>"C:\Program Files (x86)\AstroGrep\AstroGrep.exe" /e /r /s /spath="%USERPROFILE%\AppData\Local\Temp\OnboardLogs" /stypes="*4054*201706131*"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4054</v>
      </c>
      <c r="V18" s="31">
        <f t="shared" si="3"/>
        <v>42899.536898148152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{"issue":{"subject":"","project_id":79,"tracker_id":40,"status_id":1,"priority_id":2,"assigned_to_id":23,"start_date":"2017-06-13","description":"","custom_fields":[{"id":1,"name":"Subdivision","value":"EC"},{"id":4,"name":"Milepost","value":"11.6838"},{"id":17,"name":"Train ID","value":"123-13"},{"id":16,"name":"Locomotive ID","value":"4054"},{"id":130,"name":"Impact","value":""},{"id":150,"name":"Time of Event (Mountain Time)","value":"06:53:08"},{"id":151,"name":"Denver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/cygdrive/c/Users/stu/AppData/Local/Temp/OnboardLogs/RTDC4054 --include="*4054*201706131*"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"%USERPROFILE%\AppData\Local\Temp\OnboardLogs"\RTDC4054\*4054*201706131* &gt;&gt; 2017-06-13-SliceDisagreementCheck.txt</v>
      </c>
      <c r="AE18" s="148" t="str">
        <f t="shared" si="9"/>
        <v>start /low /b %USERPROFILE%\Documents\GitHub\eaglep3\Utilities\DownloadLogsFromS3.py --loco 4054 --day 2017-06-13</v>
      </c>
      <c r="AF18" s="1"/>
    </row>
    <row r="19" spans="1:32" x14ac:dyDescent="0.25">
      <c r="A19" s="31">
        <v>42899.707199074073</v>
      </c>
      <c r="B19" s="30" t="s">
        <v>417</v>
      </c>
      <c r="C19" s="30" t="s">
        <v>610</v>
      </c>
      <c r="D19" s="30" t="s">
        <v>49</v>
      </c>
      <c r="E19" s="30" t="s">
        <v>202</v>
      </c>
      <c r="F19" s="42">
        <v>400</v>
      </c>
      <c r="G19" s="42">
        <v>498</v>
      </c>
      <c r="H19" s="42">
        <v>121160</v>
      </c>
      <c r="I19" s="42">
        <v>119609</v>
      </c>
      <c r="J19" s="30" t="s">
        <v>203</v>
      </c>
      <c r="K19" s="42">
        <v>119716</v>
      </c>
      <c r="L19" s="134" t="s">
        <v>51</v>
      </c>
      <c r="M19" s="135">
        <f t="shared" si="0"/>
        <v>-56.496000000000002</v>
      </c>
      <c r="N19" s="136" t="str">
        <f>VLOOKUP(C19,'Trips&amp;Operators'!$C$1:$G$99999,5,FALSE)</f>
        <v>BRANDNER MELINDA</v>
      </c>
      <c r="O19" s="210" t="s">
        <v>182</v>
      </c>
      <c r="P19" s="137"/>
      <c r="Q19" s="30"/>
      <c r="R19" s="84" t="str">
        <f>VLOOKUP(C19,'Train Runs'!$A$13:$AE$9931,31,0)</f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S19" s="87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-06-13T15:35:37-0600',mode:absolute,to:'2017-06-13T18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9" t="str">
        <f t="shared" si="1"/>
        <v>"C:\Program Files (x86)\AstroGrep\AstroGrep.exe" /e /r /s /spath="%USERPROFILE%\AppData\Local\Temp\OnboardLogs" /stypes="*4041*201706132*"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4041</v>
      </c>
      <c r="V19" s="31">
        <f t="shared" si="3"/>
        <v>42899.957199074073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{"issue":{"subject":"","project_id":79,"tracker_id":40,"status_id":1,"priority_id":2,"assigned_to_id":23,"start_date":"2017-06-13","description":"","custom_fields":[{"id":1,"name":"Subdivision","value":"EC"},{"id":4,"name":"Milepost","value":"11.9716"},{"id":17,"name":"Train ID","value":"198-13"},{"id":16,"name":"Locomotive ID","value":"4041"},{"id":130,"name":"Impact","value":""},{"id":150,"name":"Time of Event (Mountain Time)","value":"16:58:22"},{"id":151,"name":"Denver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/cygdrive/c/Users/stu/AppData/Local/Temp/OnboardLogs/RTDC4041 --include="*4041*201706132*"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"%USERPROFILE%\AppData\Local\Temp\OnboardLogs"\RTDC4041\*4041*201706132* &gt;&gt; 2017-06-13-SliceDisagreementCheck.txt</v>
      </c>
      <c r="AE19" s="148" t="str">
        <f t="shared" si="9"/>
        <v>start /low /b %USERPROFILE%\Documents\GitHub\eaglep3\Utilities\DownloadLogsFromS3.py --loco 4041 --day 2017-06-13</v>
      </c>
      <c r="AF19" s="1"/>
    </row>
    <row r="20" spans="1:32" x14ac:dyDescent="0.25">
      <c r="A20" s="31">
        <v>42899.780775462961</v>
      </c>
      <c r="B20" s="30" t="s">
        <v>525</v>
      </c>
      <c r="C20" s="30" t="s">
        <v>615</v>
      </c>
      <c r="D20" s="30" t="s">
        <v>98</v>
      </c>
      <c r="E20" s="30" t="s">
        <v>202</v>
      </c>
      <c r="F20" s="42">
        <v>700</v>
      </c>
      <c r="G20" s="42">
        <v>753</v>
      </c>
      <c r="H20" s="42">
        <v>174821</v>
      </c>
      <c r="I20" s="42">
        <v>177778</v>
      </c>
      <c r="J20" s="30" t="s">
        <v>203</v>
      </c>
      <c r="K20" s="42">
        <v>161962</v>
      </c>
      <c r="L20" s="134" t="s">
        <v>50</v>
      </c>
      <c r="M20" s="135">
        <f t="shared" si="0"/>
        <v>-8350.848</v>
      </c>
      <c r="N20" s="136" t="str">
        <f>VLOOKUP(C20,'Trips&amp;Operators'!$C$1:$G$99999,5,FALSE)</f>
        <v>FORTUNATO FRANK</v>
      </c>
      <c r="O20" s="210" t="s">
        <v>182</v>
      </c>
      <c r="P20" s="137"/>
      <c r="Q20" s="30"/>
      <c r="R20" s="84" t="str">
        <f>VLOOKUP(C20,'Train Runs'!$A$13:$AE$9931,31,0)</f>
        <v>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 &amp; aws s3 cp s3://rtdc.mdm.uploadarchive.raw/RTDC4006/ "%USERPROFILE%\AppData\Local\Temp\OnboardLogs"\RTDC4006\2017-06-14 --exclude "*" --recursive --include "*20170614*" &amp; "%USERPROFILE%\Documents\GitHub\mrs-test-scripts\Headless Mode &amp; Sideloading\WalkAndUnGZ.bat" "%USERPROFILE%\AppData\Local\Temp\OnboardLogs"\RTDC4006\2017-06-14</v>
      </c>
      <c r="S20" s="87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-06-13T17:09:58-0600',mode:absolute,to:'2017-06-13T19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9" t="str">
        <f t="shared" si="1"/>
        <v>"C:\Program Files (x86)\AstroGrep\AstroGrep.exe" /e /r /s /spath="%USERPROFILE%\AppData\Local\Temp\OnboardLogs" /stypes="*4006*201706140*"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4006</v>
      </c>
      <c r="V20" s="31">
        <f t="shared" si="3"/>
        <v>42900.030775462961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{"issue":{"subject":"","project_id":79,"tracker_id":40,"status_id":1,"priority_id":2,"assigned_to_id":23,"start_date":"2017-06-13","description":"","custom_fields":[{"id":1,"name":"Subdivision","value":"EC"},{"id":4,"name":"Milepost","value":"16.1962"},{"id":17,"name":"Train ID","value":"217-13"},{"id":16,"name":"Locomotive ID","value":"4006"},{"id":130,"name":"Impact","value":""},{"id":150,"name":"Time of Event (Mountain Time)","value":"18:44:19"},{"id":151,"name":"Denver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/cygdrive/c/Users/stu/AppData/Local/Temp/OnboardLogs/RTDC4006 --include="*4006*201706140*"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"%USERPROFILE%\AppData\Local\Temp\OnboardLogs"\RTDC4006\*4006*201706140* &gt;&gt; 2017-06-13-SliceDisagreementCheck.txt</v>
      </c>
      <c r="AE20" s="148" t="str">
        <f t="shared" si="9"/>
        <v>start /low /b %USERPROFILE%\Documents\GitHub\eaglep3\Utilities\DownloadLogsFromS3.py --loco 4006 --day 2017-06-14</v>
      </c>
      <c r="AF20" s="1"/>
    </row>
    <row r="21" spans="1:32" x14ac:dyDescent="0.25">
      <c r="A21" s="31">
        <v>42899.458113425928</v>
      </c>
      <c r="B21" s="30" t="s">
        <v>589</v>
      </c>
      <c r="C21" s="30" t="s">
        <v>604</v>
      </c>
      <c r="D21" s="30" t="s">
        <v>98</v>
      </c>
      <c r="E21" s="30" t="s">
        <v>202</v>
      </c>
      <c r="F21" s="42">
        <v>150</v>
      </c>
      <c r="G21" s="42">
        <v>202</v>
      </c>
      <c r="H21" s="42">
        <v>228615</v>
      </c>
      <c r="I21" s="42">
        <v>228325</v>
      </c>
      <c r="J21" s="30" t="s">
        <v>203</v>
      </c>
      <c r="K21" s="42">
        <v>229055</v>
      </c>
      <c r="L21" s="134" t="s">
        <v>51</v>
      </c>
      <c r="M21" s="135">
        <f t="shared" si="0"/>
        <v>-385.44</v>
      </c>
      <c r="N21" s="136" t="str">
        <f>VLOOKUP(C21,'Trips&amp;Operators'!$C$1:$G$99999,5,FALSE)</f>
        <v>MACDONALD THOMAS</v>
      </c>
      <c r="O21" s="210" t="s">
        <v>182</v>
      </c>
      <c r="P21" s="137"/>
      <c r="Q21" s="30"/>
      <c r="R21" s="84" t="str">
        <f>VLOOKUP(C21,'Train Runs'!$A$13:$AE$9931,31,0)</f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S21" s="87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-06-13T09:54:16-0600',mode:absolute,to:'2017-06-13T12:18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89" t="str">
        <f t="shared" si="1"/>
        <v>"C:\Program Files (x86)\AstroGrep\AstroGrep.exe" /e /r /s /spath="%USERPROFILE%\AppData\Local\Temp\OnboardLogs" /stypes="*4053*201706131*"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4053</v>
      </c>
      <c r="V21" s="31">
        <f t="shared" si="3"/>
        <v>42899.708113425928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{"issue":{"subject":"","project_id":79,"tracker_id":40,"status_id":1,"priority_id":2,"assigned_to_id":23,"start_date":"2017-06-13","description":"","custom_fields":[{"id":1,"name":"Subdivision","value":"EC"},{"id":4,"name":"Milepost","value":"22.9055"},{"id":17,"name":"Train ID","value":"152-13"},{"id":16,"name":"Locomotive ID","value":"4053"},{"id":130,"name":"Impact","value":""},{"id":150,"name":"Time of Event (Mountain Time)","value":"10:59:41"},{"id":151,"name":"Denver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/cygdrive/c/Users/stu/AppData/Local/Temp/OnboardLogs/RTDC4053 --include="*4053*201706131*"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"%USERPROFILE%\AppData\Local\Temp\OnboardLogs"\RTDC4053\*4053*201706131* &gt;&gt; 2017-06-13-SliceDisagreementCheck.txt</v>
      </c>
      <c r="AE21" s="148" t="str">
        <f t="shared" si="9"/>
        <v>start /low /b %USERPROFILE%\Documents\GitHub\eaglep3\Utilities\DownloadLogsFromS3.py --loco 4053 --day 2017-06-13</v>
      </c>
      <c r="AF21" s="1"/>
    </row>
    <row r="22" spans="1:32" x14ac:dyDescent="0.25">
      <c r="A22" s="31">
        <v>42899.264664351853</v>
      </c>
      <c r="B22" s="30" t="s">
        <v>589</v>
      </c>
      <c r="C22" s="30" t="s">
        <v>590</v>
      </c>
      <c r="D22" s="30" t="s">
        <v>49</v>
      </c>
      <c r="E22" s="30" t="s">
        <v>183</v>
      </c>
      <c r="F22" s="42">
        <v>0</v>
      </c>
      <c r="G22" s="42">
        <v>64</v>
      </c>
      <c r="H22" s="42">
        <v>207</v>
      </c>
      <c r="I22" s="42">
        <v>147</v>
      </c>
      <c r="J22" s="30" t="s">
        <v>184</v>
      </c>
      <c r="K22" s="42">
        <v>1</v>
      </c>
      <c r="L22" s="134" t="s">
        <v>51</v>
      </c>
      <c r="M22" s="135">
        <f t="shared" si="0"/>
        <v>77.087999999999994</v>
      </c>
      <c r="N22" s="136" t="str">
        <f>VLOOKUP(C22,'Trips&amp;Operators'!$C$1:$G$99999,5,FALSE)</f>
        <v>MACDONALD THOMAS</v>
      </c>
      <c r="O22" s="210" t="s">
        <v>182</v>
      </c>
      <c r="P22" s="137"/>
      <c r="Q22" s="30"/>
      <c r="R22" s="84" t="str">
        <f>VLOOKUP(C22,'Train Runs'!$A$13:$AE$9931,31,0)</f>
        <v>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 &amp; aws s3 cp s3://rtdc.mdm.uploadarchive.raw/RTDC4053/ "%USERPROFILE%\AppData\Local\Temp\OnboardLogs"\RTDC4053\2017-06-14 --exclude "*" --recursive --include "*20170614*" &amp; "%USERPROFILE%\Documents\GitHub\mrs-test-scripts\Headless Mode &amp; Sideloading\WalkAndUnGZ.bat" "%USERPROFILE%\AppData\Local\Temp\OnboardLogs"\RTDC4053\2017-06-14</v>
      </c>
      <c r="S22" s="87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-06-13T04:40:07-0600',mode:absolute,to:'2017-06-13T07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2" s="89" t="str">
        <f t="shared" si="1"/>
        <v>"C:\Program Files (x86)\AstroGrep\AstroGrep.exe" /e /r /s /spath="%USERPROFILE%\AppData\Local\Temp\OnboardLogs" /stypes="*4053*201706131*" /stext=" 12:.+((SYSTEM_STATE.+slice.+state.+changed )|(ment ac)|(multiple cpu faults)|(system.+state.+changed )|(\[timeout)|(PRM\|1\|D)|(kpr)|(kdp)|(train st.+moving)|(\|lc)|(penalty))"</v>
      </c>
      <c r="U22" s="9" t="str">
        <f t="shared" si="2"/>
        <v>4053</v>
      </c>
      <c r="V22" s="31">
        <f t="shared" si="3"/>
        <v>42899.514664351853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{"issue":{"subject":"","project_id":79,"tracker_id":40,"status_id":1,"priority_id":2,"assigned_to_id":23,"start_date":"2017-06-13","description":"","custom_fields":[{"id":1,"name":"Subdivision","value":"EC"},{"id":4,"name":"Milepost","value":"0.0001"},{"id":17,"name":"Train ID","value":"110-13"},{"id":16,"name":"Locomotive ID","value":"4053"},{"id":130,"name":"Impact","value":""},{"id":150,"name":"Time of Event (Mountain Time)","value":"06:21:07"},{"id":151,"name":"Denver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/cygdrive/c/Users/stu/AppData/Local/Temp/OnboardLogs/RTDC4053 --include="*4053*201706131*"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"%USERPROFILE%\AppData\Local\Temp\OnboardLogs"\RTDC4053\*4053*201706131* &gt;&gt; 2017-06-13-SliceDisagreementCheck.txt</v>
      </c>
      <c r="AE22" s="148" t="str">
        <f t="shared" si="9"/>
        <v>start /low /b %USERPROFILE%\Documents\GitHub\eaglep3\Utilities\DownloadLogsFromS3.py --loco 4053 --day 2017-06-13</v>
      </c>
      <c r="AF22" s="1"/>
    </row>
    <row r="23" spans="1:32" x14ac:dyDescent="0.25">
      <c r="A23" s="31">
        <v>42899.275879629633</v>
      </c>
      <c r="B23" s="30" t="s">
        <v>591</v>
      </c>
      <c r="C23" s="30" t="s">
        <v>592</v>
      </c>
      <c r="D23" s="30" t="s">
        <v>49</v>
      </c>
      <c r="E23" s="30" t="s">
        <v>183</v>
      </c>
      <c r="F23" s="42">
        <v>0</v>
      </c>
      <c r="G23" s="42">
        <v>49</v>
      </c>
      <c r="H23" s="42">
        <v>178</v>
      </c>
      <c r="I23" s="42">
        <v>143</v>
      </c>
      <c r="J23" s="30" t="s">
        <v>184</v>
      </c>
      <c r="K23" s="42">
        <v>1</v>
      </c>
      <c r="L23" s="134" t="s">
        <v>51</v>
      </c>
      <c r="M23" s="135">
        <f t="shared" si="0"/>
        <v>74.975999999999999</v>
      </c>
      <c r="N23" s="136" t="str">
        <f>VLOOKUP(C23,'Trips&amp;Operators'!$C$1:$G$99999,5,FALSE)</f>
        <v>STARKS ANGELINA</v>
      </c>
      <c r="O23" s="210" t="s">
        <v>182</v>
      </c>
      <c r="P23" s="137"/>
      <c r="Q23" s="30"/>
      <c r="R23" s="84" t="str">
        <f>VLOOKUP(C23,'Train Runs'!$A$13:$AE$9931,31,0)</f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S23" s="87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-06-13T04:53:55-0600',mode:absolute,to:'2017-06-13T07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89" t="str">
        <f t="shared" si="1"/>
        <v>"C:\Program Files (x86)\AstroGrep\AstroGrep.exe" /e /r /s /spath="%USERPROFILE%\AppData\Local\Temp\OnboardLogs" /stypes="*4031*201706131*"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4031</v>
      </c>
      <c r="V23" s="31">
        <f t="shared" si="3"/>
        <v>42899.525879629633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{"issue":{"subject":"","project_id":79,"tracker_id":40,"status_id":1,"priority_id":2,"assigned_to_id":23,"start_date":"2017-06-13","description":"","custom_fields":[{"id":1,"name":"Subdivision","value":"EC"},{"id":4,"name":"Milepost","value":"0.0001"},{"id":17,"name":"Train ID","value":"112-13"},{"id":16,"name":"Locomotive ID","value":"4031"},{"id":130,"name":"Impact","value":""},{"id":150,"name":"Time of Event (Mountain Time)","value":"06:37:16"},{"id":151,"name":"Denver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/cygdrive/c/Users/stu/AppData/Local/Temp/OnboardLogs/RTDC4031 --include="*4031*201706131*"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"%USERPROFILE%\AppData\Local\Temp\OnboardLogs"\RTDC4031\*4031*201706131* &gt;&gt; 2017-06-13-SliceDisagreementCheck.txt</v>
      </c>
      <c r="AE23" s="148" t="str">
        <f t="shared" si="9"/>
        <v>start /low /b %USERPROFILE%\Documents\GitHub\eaglep3\Utilities\DownloadLogsFromS3.py --loco 4031 --day 2017-06-13</v>
      </c>
      <c r="AF23" s="1"/>
    </row>
    <row r="24" spans="1:32" x14ac:dyDescent="0.25">
      <c r="A24" s="31">
        <v>42899.725497685184</v>
      </c>
      <c r="B24" s="30" t="s">
        <v>417</v>
      </c>
      <c r="C24" s="30" t="s">
        <v>610</v>
      </c>
      <c r="D24" s="30" t="s">
        <v>49</v>
      </c>
      <c r="E24" s="30" t="s">
        <v>183</v>
      </c>
      <c r="F24" s="42">
        <v>0</v>
      </c>
      <c r="G24" s="42">
        <v>46</v>
      </c>
      <c r="H24" s="42">
        <v>130</v>
      </c>
      <c r="I24" s="42">
        <v>65</v>
      </c>
      <c r="J24" s="30" t="s">
        <v>184</v>
      </c>
      <c r="K24" s="42">
        <v>1</v>
      </c>
      <c r="L24" s="134" t="s">
        <v>51</v>
      </c>
      <c r="M24" s="135">
        <f t="shared" si="0"/>
        <v>33.792000000000002</v>
      </c>
      <c r="N24" s="136" t="str">
        <f>VLOOKUP(C24,'Trips&amp;Operators'!$C$1:$G$99999,5,FALSE)</f>
        <v>BRANDNER MELINDA</v>
      </c>
      <c r="O24" s="210" t="s">
        <v>182</v>
      </c>
      <c r="P24" s="137"/>
      <c r="Q24" s="30"/>
      <c r="R24" s="84" t="str">
        <f>VLOOKUP(C24,'Train Runs'!$A$13:$AE$9931,31,0)</f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S24" s="87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-06-13T15:35:37-0600',mode:absolute,to:'2017-06-13T18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89" t="str">
        <f t="shared" si="1"/>
        <v>"C:\Program Files (x86)\AstroGrep\AstroGrep.exe" /e /r /s /spath="%USERPROFILE%\AppData\Local\Temp\OnboardLogs" /stypes="*4041*201706132*"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4041</v>
      </c>
      <c r="V24" s="31">
        <f t="shared" si="3"/>
        <v>42899.975497685184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{"issue":{"subject":"","project_id":79,"tracker_id":40,"status_id":1,"priority_id":2,"assigned_to_id":23,"start_date":"2017-06-13","description":"","custom_fields":[{"id":1,"name":"Subdivision","value":"EC"},{"id":4,"name":"Milepost","value":"0.0001"},{"id":17,"name":"Train ID","value":"198-13"},{"id":16,"name":"Locomotive ID","value":"4041"},{"id":130,"name":"Impact","value":""},{"id":150,"name":"Time of Event (Mountain Time)","value":"17:24:43"},{"id":151,"name":"Denver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/cygdrive/c/Users/stu/AppData/Local/Temp/OnboardLogs/RTDC4041 --include="*4041*201706132*"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"%USERPROFILE%\AppData\Local\Temp\OnboardLogs"\RTDC4041\*4041*201706132* &gt;&gt; 2017-06-13-SliceDisagreementCheck.txt</v>
      </c>
      <c r="AE24" s="148" t="str">
        <f t="shared" si="9"/>
        <v>start /low /b %USERPROFILE%\Documents\GitHub\eaglep3\Utilities\DownloadLogsFromS3.py --loco 4041 --day 2017-06-13</v>
      </c>
      <c r="AF24" s="1"/>
    </row>
    <row r="25" spans="1:32" x14ac:dyDescent="0.25">
      <c r="A25" s="31">
        <v>42899.734942129631</v>
      </c>
      <c r="B25" s="30" t="s">
        <v>446</v>
      </c>
      <c r="C25" s="30" t="s">
        <v>611</v>
      </c>
      <c r="D25" s="30" t="s">
        <v>49</v>
      </c>
      <c r="E25" s="30" t="s">
        <v>183</v>
      </c>
      <c r="F25" s="42">
        <v>0</v>
      </c>
      <c r="G25" s="42">
        <v>87</v>
      </c>
      <c r="H25" s="42">
        <v>232</v>
      </c>
      <c r="I25" s="42">
        <v>165</v>
      </c>
      <c r="J25" s="30" t="s">
        <v>184</v>
      </c>
      <c r="K25" s="42">
        <v>1</v>
      </c>
      <c r="L25" s="134" t="s">
        <v>51</v>
      </c>
      <c r="M25" s="135">
        <f t="shared" si="0"/>
        <v>86.592000000000013</v>
      </c>
      <c r="N25" s="136" t="str">
        <f>VLOOKUP(C25,'Trips&amp;Operators'!$C$1:$G$99999,5,FALSE)</f>
        <v>DAVIS MICHAEL</v>
      </c>
      <c r="O25" s="210" t="s">
        <v>182</v>
      </c>
      <c r="P25" s="137"/>
      <c r="Q25" s="30"/>
      <c r="R25" s="84" t="str">
        <f>VLOOKUP(C25,'Train Runs'!$A$13:$AE$9931,31,0)</f>
        <v>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 &amp; aws s3 cp s3://rtdc.mdm.uploadarchive.raw/RTDC4001/ "%USERPROFILE%\AppData\Local\Temp\OnboardLogs"\RTDC4001\2017-06-14 --exclude "*" --recursive --include "*20170614*" &amp; "%USERPROFILE%\Documents\GitHub\mrs-test-scripts\Headless Mode &amp; Sideloading\WalkAndUnGZ.bat" "%USERPROFILE%\AppData\Local\Temp\OnboardLogs"\RTDC4001\2017-06-14</v>
      </c>
      <c r="S25" s="87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-06-13T15:55:06-0600',mode:absolute,to:'2017-06-13T18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89" t="str">
        <f t="shared" si="1"/>
        <v>"C:\Program Files (x86)\AstroGrep\AstroGrep.exe" /e /r /s /spath="%USERPROFILE%\AppData\Local\Temp\OnboardLogs" /stypes="*4001*201706132*"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4001</v>
      </c>
      <c r="V25" s="31">
        <f t="shared" si="3"/>
        <v>42899.984942129631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{"issue":{"subject":"","project_id":79,"tracker_id":40,"status_id":1,"priority_id":2,"assigned_to_id":23,"start_date":"2017-06-13","description":"","custom_fields":[{"id":1,"name":"Subdivision","value":"EC"},{"id":4,"name":"Milepost","value":"0.0001"},{"id":17,"name":"Train ID","value":"200-13"},{"id":16,"name":"Locomotive ID","value":"4001"},{"id":130,"name":"Impact","value":""},{"id":150,"name":"Time of Event (Mountain Time)","value":"17:38:19"},{"id":151,"name":"Denver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/cygdrive/c/Users/stu/AppData/Local/Temp/OnboardLogs/RTDC4001 --include="*4001*201706132*"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"%USERPROFILE%\AppData\Local\Temp\OnboardLogs"\RTDC4001\*4001*201706132* &gt;&gt; 2017-06-13-SliceDisagreementCheck.txt</v>
      </c>
      <c r="AE25" s="148" t="str">
        <f t="shared" si="9"/>
        <v>start /low /b %USERPROFILE%\Documents\GitHub\eaglep3\Utilities\DownloadLogsFromS3.py --loco 4001 --day 2017-06-13</v>
      </c>
      <c r="AF25" s="1"/>
    </row>
    <row r="26" spans="1:32" x14ac:dyDescent="0.25">
      <c r="A26" s="31">
        <v>42899.754583333335</v>
      </c>
      <c r="B26" s="30" t="s">
        <v>532</v>
      </c>
      <c r="C26" s="30" t="s">
        <v>614</v>
      </c>
      <c r="D26" s="30" t="s">
        <v>49</v>
      </c>
      <c r="E26" s="30" t="s">
        <v>183</v>
      </c>
      <c r="F26" s="42">
        <v>0</v>
      </c>
      <c r="G26" s="42">
        <v>50</v>
      </c>
      <c r="H26" s="42">
        <v>178</v>
      </c>
      <c r="I26" s="42">
        <v>138</v>
      </c>
      <c r="J26" s="30" t="s">
        <v>184</v>
      </c>
      <c r="K26" s="42">
        <v>1</v>
      </c>
      <c r="L26" s="134" t="s">
        <v>51</v>
      </c>
      <c r="M26" s="135">
        <f t="shared" si="0"/>
        <v>72.335999999999999</v>
      </c>
      <c r="N26" s="136" t="str">
        <f>VLOOKUP(C26,'Trips&amp;Operators'!$C$1:$G$99999,5,FALSE)</f>
        <v>STEWART MICHAEL</v>
      </c>
      <c r="O26" s="210" t="s">
        <v>182</v>
      </c>
      <c r="P26" s="137"/>
      <c r="Q26" s="30"/>
      <c r="R26" s="84" t="str">
        <f>VLOOKUP(C26,'Train Runs'!$A$13:$AE$9931,31,0)</f>
        <v>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 &amp; aws s3 cp s3://rtdc.mdm.uploadarchive.raw/RTDC4005/ "%USERPROFILE%\AppData\Local\Temp\OnboardLogs"\RTDC4005\2017-06-14 --exclude "*" --recursive --include "*20170614*" &amp; "%USERPROFILE%\Documents\GitHub\mrs-test-scripts\Headless Mode &amp; Sideloading\WalkAndUnGZ.bat" "%USERPROFILE%\AppData\Local\Temp\OnboardLogs"\RTDC4005\2017-06-14</v>
      </c>
      <c r="S26" s="87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-06-13T16:23:29-0600',mode:absolute,to:'2017-06-13T19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9" t="str">
        <f t="shared" si="1"/>
        <v>"C:\Program Files (x86)\AstroGrep\AstroGrep.exe" /e /r /s /spath="%USERPROFILE%\AppData\Local\Temp\OnboardLogs" /stypes="*4005*201706140*"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4005</v>
      </c>
      <c r="V26" s="31">
        <f t="shared" si="3"/>
        <v>42900.004583333335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{"issue":{"subject":"","project_id":79,"tracker_id":40,"status_id":1,"priority_id":2,"assigned_to_id":23,"start_date":"2017-06-13","description":"","custom_fields":[{"id":1,"name":"Subdivision","value":"EC"},{"id":4,"name":"Milepost","value":"0.0001"},{"id":17,"name":"Train ID","value":"204-13"},{"id":16,"name":"Locomotive ID","value":"4005"},{"id":130,"name":"Impact","value":""},{"id":150,"name":"Time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/cygdrive/c/Users/stu/AppData/Local/Temp/OnboardLogs/RTDC4005 --include="*4005*201706140*"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"%USERPROFILE%\AppData\Local\Temp\OnboardLogs"\RTDC4005\*4005*201706140* &gt;&gt; 2017-06-13-SliceDisagreementCheck.txt</v>
      </c>
      <c r="AE26" s="148" t="str">
        <f t="shared" si="9"/>
        <v>start /low /b %USERPROFILE%\Documents\GitHub\eaglep3\Utilities\DownloadLogsFromS3.py --loco 4005 --day 2017-06-14</v>
      </c>
      <c r="AF26" s="1"/>
    </row>
    <row r="27" spans="1:32" x14ac:dyDescent="0.25">
      <c r="A27" s="31">
        <v>42899.797118055554</v>
      </c>
      <c r="B27" s="30" t="s">
        <v>417</v>
      </c>
      <c r="C27" s="30" t="s">
        <v>616</v>
      </c>
      <c r="D27" s="30" t="s">
        <v>49</v>
      </c>
      <c r="E27" s="30" t="s">
        <v>183</v>
      </c>
      <c r="F27" s="42">
        <v>0</v>
      </c>
      <c r="G27" s="42">
        <v>70</v>
      </c>
      <c r="H27" s="42">
        <v>240</v>
      </c>
      <c r="I27" s="42">
        <v>149</v>
      </c>
      <c r="J27" s="30" t="s">
        <v>184</v>
      </c>
      <c r="K27" s="42">
        <v>1</v>
      </c>
      <c r="L27" s="134" t="s">
        <v>51</v>
      </c>
      <c r="M27" s="135">
        <f t="shared" si="0"/>
        <v>78.144000000000005</v>
      </c>
      <c r="N27" s="136" t="str">
        <f>VLOOKUP(C27,'Trips&amp;Operators'!$C$1:$G$99999,5,FALSE)</f>
        <v>BRANDNER MELINDA</v>
      </c>
      <c r="O27" s="210" t="s">
        <v>182</v>
      </c>
      <c r="P27" s="137"/>
      <c r="Q27" s="30"/>
      <c r="R27" s="84" t="str">
        <f>VLOOKUP(C27,'Train Runs'!$A$13:$AE$9931,31,0)</f>
        <v>aws s3 cp s3://rtdc.mdm.uploadarchive.raw/RTDC4041/ "%USERPROFILE%\AppData\Local\Temp\OnboardLogs"\RTDC4041\2017-06-13 --exclude "*" --recursive --include "*20170613*" &amp; "%USERPROFILE%\Documents\GitHub\mrs-test-scripts\Headless Mode &amp; Sideloading\WalkAndUnGZ.bat" "%USERPROFILE%\AppData\Local\Temp\OnboardLogs"\RTDC4041\2017-06-13 &amp; aws s3 cp s3://rtdc.mdm.uploadarchive.raw/RTDC4041/ "%USERPROFILE%\AppData\Local\Temp\OnboardLogs"\RTDC4041\2017-06-14 --exclude "*" --recursive --include "*20170614*" &amp; "%USERPROFILE%\Documents\GitHub\mrs-test-scripts\Headless Mode &amp; Sideloading\WalkAndUnGZ.bat" "%USERPROFILE%\AppData\Local\Temp\OnboardLogs"\RTDC4041\2017-06-14</v>
      </c>
      <c r="S27" s="87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-06-13T17:21:52-0600',mode:absolute,to:'2017-06-13T20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89" t="str">
        <f t="shared" si="1"/>
        <v>"C:\Program Files (x86)\AstroGrep\AstroGrep.exe" /e /r /s /spath="%USERPROFILE%\AppData\Local\Temp\OnboardLogs" /stypes="*4041*201706140*"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4041</v>
      </c>
      <c r="V27" s="31">
        <f t="shared" si="3"/>
        <v>42900.047118055554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{"issue":{"subject":"","project_id":79,"tracker_id":40,"status_id":1,"priority_id":2,"assigned_to_id":23,"start_date":"2017-06-13","description":"","custom_fields":[{"id":1,"name":"Subdivision","value":"EC"},{"id":4,"name":"Milepost","value":"0.0001"},{"id":17,"name":"Train ID","value":"212-13"},{"id":16,"name":"Locomotive ID","value":"4041"},{"id":130,"name":"Impact","value":""},{"id":150,"name":"Time of Event (Mountain Time)","value":"19:07:51"},{"id":151,"name":"Denver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/cygdrive/c/Users/stu/AppData/Local/Temp/OnboardLogs/RTDC4041 --include="*4041*201706140*"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"%USERPROFILE%\AppData\Local\Temp\OnboardLogs"\RTDC4041\*4041*201706140* &gt;&gt; 2017-06-13-SliceDisagreementCheck.txt</v>
      </c>
      <c r="AE27" s="148" t="str">
        <f t="shared" si="9"/>
        <v>start /low /b %USERPROFILE%\Documents\GitHub\eaglep3\Utilities\DownloadLogsFromS3.py --loco 4041 --day 2017-06-14</v>
      </c>
      <c r="AF27" s="1"/>
    </row>
    <row r="28" spans="1:32" x14ac:dyDescent="0.25">
      <c r="A28" s="31">
        <v>42899.921273148146</v>
      </c>
      <c r="B28" s="30" t="s">
        <v>458</v>
      </c>
      <c r="C28" s="30" t="s">
        <v>620</v>
      </c>
      <c r="D28" s="30" t="s">
        <v>49</v>
      </c>
      <c r="E28" s="30" t="s">
        <v>183</v>
      </c>
      <c r="F28" s="42">
        <v>0</v>
      </c>
      <c r="G28" s="42">
        <v>43</v>
      </c>
      <c r="H28" s="42">
        <v>149</v>
      </c>
      <c r="I28" s="42">
        <v>119</v>
      </c>
      <c r="J28" s="30" t="s">
        <v>184</v>
      </c>
      <c r="K28" s="42">
        <v>1</v>
      </c>
      <c r="L28" s="134" t="s">
        <v>51</v>
      </c>
      <c r="M28" s="135">
        <f t="shared" si="0"/>
        <v>62.304000000000002</v>
      </c>
      <c r="N28" s="136" t="str">
        <f>VLOOKUP(C28,'Trips&amp;Operators'!$C$1:$G$99999,5,FALSE)</f>
        <v>LAMAR NEKESHA</v>
      </c>
      <c r="O28" s="210" t="s">
        <v>182</v>
      </c>
      <c r="P28" s="137"/>
      <c r="Q28" s="30"/>
      <c r="R28" s="84" t="str">
        <f>VLOOKUP(C28,'Train Runs'!$A$13:$AE$9931,31,0)</f>
        <v>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 &amp; aws s3 cp s3://rtdc.mdm.uploadarchive.raw/RTDC4045/ "%USERPROFILE%\AppData\Local\Temp\OnboardLogs"\RTDC4045\2017-06-14 --exclude "*" --recursive --include "*20170614*" &amp; "%USERPROFILE%\Documents\GitHub\mrs-test-scripts\Headless Mode &amp; Sideloading\WalkAndUnGZ.bat" "%USERPROFILE%\AppData\Local\Temp\OnboardLogs"\RTDC4045\2017-06-14</v>
      </c>
      <c r="S28" s="87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-06-13T20:15:32-0600',mode:absolute,to:'2017-06-13T23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8" s="89" t="str">
        <f t="shared" si="1"/>
        <v>"C:\Program Files (x86)\AstroGrep\AstroGrep.exe" /e /r /s /spath="%USERPROFILE%\AppData\Local\Temp\OnboardLogs" /stypes="*4045*201706140*" /stext=" 04:.+((SYSTEM_STATE.+slice.+state.+changed )|(ment ac)|(multiple cpu faults)|(system.+state.+changed )|(\[timeout)|(PRM\|1\|D)|(kpr)|(kdp)|(train st.+moving)|(\|lc)|(penalty))"</v>
      </c>
      <c r="U28" s="9" t="str">
        <f t="shared" si="2"/>
        <v>4045</v>
      </c>
      <c r="V28" s="31">
        <f t="shared" si="3"/>
        <v>42900.171273148146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{"issue":{"subject":"","project_id":79,"tracker_id":40,"status_id":1,"priority_id":2,"assigned_to_id":23,"start_date":"2017-06-13","description":"","custom_fields":[{"id":1,"name":"Subdivision","value":"EC"},{"id":4,"name":"Milepost","value":"0.0001"},{"id":17,"name":"Train ID","value":"228-13"},{"id":16,"name":"Locomotive ID","value":"4045"},{"id":130,"name":"Impact","value":""},{"id":150,"name":"Time of Event (Mountain Time)","value":"22:06:38"},{"id":151,"name":"Denver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/cygdrive/c/Users/stu/AppData/Local/Temp/OnboardLogs/RTDC4045 --include="*4045*201706140*"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"%USERPROFILE%\AppData\Local\Temp\OnboardLogs"\RTDC4045\*4045*201706140* &gt;&gt; 2017-06-13-SliceDisagreementCheck.txt</v>
      </c>
      <c r="AE28" s="148" t="str">
        <f t="shared" si="9"/>
        <v>start /low /b %USERPROFILE%\Documents\GitHub\eaglep3\Utilities\DownloadLogsFromS3.py --loco 4045 --day 2017-06-14</v>
      </c>
      <c r="AF28" s="1"/>
    </row>
    <row r="29" spans="1:32" x14ac:dyDescent="0.25">
      <c r="A29" s="31">
        <v>42900.026030092595</v>
      </c>
      <c r="B29" s="30" t="s">
        <v>591</v>
      </c>
      <c r="C29" s="30" t="s">
        <v>621</v>
      </c>
      <c r="D29" s="30" t="s">
        <v>49</v>
      </c>
      <c r="E29" s="30" t="s">
        <v>183</v>
      </c>
      <c r="F29" s="42">
        <v>0</v>
      </c>
      <c r="G29" s="42">
        <v>20</v>
      </c>
      <c r="H29" s="42">
        <v>32</v>
      </c>
      <c r="I29" s="42">
        <v>15</v>
      </c>
      <c r="J29" s="30" t="s">
        <v>184</v>
      </c>
      <c r="K29" s="42">
        <v>1</v>
      </c>
      <c r="L29" s="134" t="s">
        <v>51</v>
      </c>
      <c r="M29" s="135">
        <f t="shared" si="0"/>
        <v>7.3920000000000003</v>
      </c>
      <c r="N29" s="136" t="str">
        <f>VLOOKUP(C29,'Trips&amp;Operators'!$C$1:$G$99999,5,FALSE)</f>
        <v>HAITHCOX MICHAEL</v>
      </c>
      <c r="O29" s="210" t="s">
        <v>182</v>
      </c>
      <c r="P29" s="137"/>
      <c r="Q29" s="30"/>
      <c r="R29" s="84" t="str">
        <f>VLOOKUP(C29,'Train Runs'!$A$13:$AE$9931,31,0)</f>
        <v>aws s3 cp s3://rtdc.mdm.uploadarchive.raw/RTDC4031/ "%USERPROFILE%\AppData\Local\Temp\OnboardLogs"\RTDC4031\2017-06-13 --exclude "*" --recursive --include "*20170613*" &amp; "%USERPROFILE%\Documents\GitHub\mrs-test-scripts\Headless Mode &amp; Sideloading\WalkAndUnGZ.bat" "%USERPROFILE%\AppData\Local\Temp\OnboardLogs"\RTDC4031\2017-06-13 &amp; 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</v>
      </c>
      <c r="S29" s="87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-06-13T22:44:49-0600',mode:absolute,to:'2017-06-14T01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9" t="str">
        <f t="shared" si="1"/>
        <v>"C:\Program Files (x86)\AstroGrep\AstroGrep.exe" /e /r /s /spath="%USERPROFILE%\AppData\Local\Temp\OnboardLogs" /stypes="*4031*201706140*" /stext=" 06:.+((SYSTEM_STATE.+slice.+state.+changed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42900.276030092595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ID","value":"238-13"},{"id":16,"name":"Locomotive ID","value":"4031"},{"id":130,"name":"Impact","value":""},{"id":150,"name":"Time of Event (Mountain Time)","value":"00:37:29"},{"id":151,"name":"Denver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/cygdrive/c/Users/stu/AppData/Local/Temp/OnboardLogs/RTDC4031 --include="*4031*201706140*"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"%USERPROFILE%\AppData\Local\Temp\OnboardLogs"\RTDC4031\*4031*201706140* &gt;&gt; 2017-06-13-SliceDisagreementCheck.txt</v>
      </c>
      <c r="AE29" s="148" t="str">
        <f t="shared" si="9"/>
        <v>start /low /b %USERPROFILE%\Documents\GitHub\eaglep3\Utilities\DownloadLogsFromS3.py --loco 4031 --day 2017-06-14</v>
      </c>
      <c r="AF29" s="1"/>
    </row>
    <row r="30" spans="1:32" x14ac:dyDescent="0.25">
      <c r="A30" s="31">
        <v>42899.744039351855</v>
      </c>
      <c r="B30" s="30" t="s">
        <v>612</v>
      </c>
      <c r="C30" s="30" t="s">
        <v>613</v>
      </c>
      <c r="D30" s="30" t="s">
        <v>49</v>
      </c>
      <c r="E30" s="30" t="s">
        <v>183</v>
      </c>
      <c r="F30" s="42">
        <v>0</v>
      </c>
      <c r="G30" s="42">
        <v>17</v>
      </c>
      <c r="H30" s="42">
        <v>839</v>
      </c>
      <c r="I30" s="42">
        <v>833</v>
      </c>
      <c r="J30" s="30" t="s">
        <v>184</v>
      </c>
      <c r="K30" s="42">
        <v>826</v>
      </c>
      <c r="L30" s="134" t="s">
        <v>51</v>
      </c>
      <c r="M30" s="135">
        <f t="shared" si="0"/>
        <v>3.6960000000000002</v>
      </c>
      <c r="N30" s="136" t="e">
        <f>VLOOKUP(C30,'Trips&amp;Operators'!$C$1:$G$99999,5,FALSE)</f>
        <v>#N/A</v>
      </c>
      <c r="O30" s="210" t="s">
        <v>182</v>
      </c>
      <c r="P30" s="137"/>
      <c r="Q30" s="30"/>
      <c r="R30" s="84" t="str">
        <f>VLOOKUP(C30,'Train Runs'!$A$13:$AE$9931,31,0)</f>
        <v>aws s3 cp s3://rtdc.mdm.uploadarchive.raw/RTDC4061/ "%USERPROFILE%\AppData\Local\Temp\OnboardLogs"\RTDC4061\2017-06-13 --exclude "*" --recursive --include "*20170613*" &amp; "%USERPROFILE%\Documents\GitHub\mrs-test-scripts\Headless Mode &amp; Sideloading\WalkAndUnGZ.bat" "%USERPROFILE%\AppData\Local\Temp\OnboardLogs"\RTDC4061\2017-06-13 &amp; aws s3 cp s3://rtdc.mdm.uploadarchive.raw/RTDC4061/ "%USERPROFILE%\AppData\Local\Temp\OnboardLogs"\RTDC4061\2017-06-14 --exclude "*" --recursive --include "*20170614*" &amp; "%USERPROFILE%\Documents\GitHub\mrs-test-scripts\Headless Mode &amp; Sideloading\WalkAndUnGZ.bat" "%USERPROFILE%\AppData\Local\Temp\OnboardLogs"\RTDC4061\2017-06-14</v>
      </c>
      <c r="S30" s="87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-06-13T15:12:08-0600',mode:absolute,to:'2017-06-13T18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0" s="89" t="str">
        <f t="shared" si="1"/>
        <v>"C:\Program Files (x86)\AstroGrep\AstroGrep.exe" /e /r /s /spath="%USERPROFILE%\AppData\Local\Temp\OnboardLogs" /stypes="*4061*201706132*"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4061</v>
      </c>
      <c r="V30" s="31">
        <f t="shared" si="3"/>
        <v>42899.994039351855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{"issue":{"subject":"","project_id":79,"tracker_id":40,"status_id":1,"priority_id":2,"assigned_to_id":23,"start_date":"2017-06-13","description":"","custom_fields":[{"id":1,"name":"Subdivision","value":"EC"},{"id":4,"name":"Milepost","value":"0.0826"},{"id":17,"name":"Train ID","value":"202-13"},{"id":16,"name":"Locomotive ID","value":"4061"},{"id":130,"name":"Impact","value":""},{"id":150,"name":"Time of Event (Mountain Time)","value":"17:51:25"},{"id":151,"name":"Denver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/cygdrive/c/Users/stu/AppData/Local/Temp/OnboardLogs/RTDC4061 --include="*4061*201706132*"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"%USERPROFILE%\AppData\Local\Temp\OnboardLogs"\RTDC4061\*4061*201706132* &gt;&gt; 2017-06-13-SliceDisagreementCheck.txt</v>
      </c>
      <c r="AE30" s="148" t="str">
        <f t="shared" si="9"/>
        <v>start /low /b %USERPROFILE%\Documents\GitHub\eaglep3\Utilities\DownloadLogsFromS3.py --loco 4061 --day 2017-06-13</v>
      </c>
      <c r="AF30" s="1"/>
    </row>
    <row r="31" spans="1:32" x14ac:dyDescent="0.25">
      <c r="A31" s="31">
        <v>42899.610023148147</v>
      </c>
      <c r="B31" s="30" t="s">
        <v>360</v>
      </c>
      <c r="C31" s="30" t="s">
        <v>605</v>
      </c>
      <c r="D31" s="30" t="s">
        <v>49</v>
      </c>
      <c r="E31" s="30" t="s">
        <v>183</v>
      </c>
      <c r="F31" s="42">
        <v>0</v>
      </c>
      <c r="G31" s="42">
        <v>76</v>
      </c>
      <c r="H31" s="42">
        <v>233205</v>
      </c>
      <c r="I31" s="42">
        <v>233276</v>
      </c>
      <c r="J31" s="30" t="s">
        <v>184</v>
      </c>
      <c r="K31" s="42">
        <v>233491</v>
      </c>
      <c r="L31" s="134" t="s">
        <v>50</v>
      </c>
      <c r="M31" s="135">
        <f t="shared" si="0"/>
        <v>113.52</v>
      </c>
      <c r="N31" s="136" t="str">
        <f>VLOOKUP(C31,'Trips&amp;Operators'!$C$1:$G$99999,5,FALSE)</f>
        <v>BRANDNER MELINDA</v>
      </c>
      <c r="O31" s="210" t="s">
        <v>182</v>
      </c>
      <c r="P31" s="137"/>
      <c r="Q31" s="30"/>
      <c r="R31" s="84" t="str">
        <f>VLOOKUP(C31,'Train Runs'!$A$13:$AE$9931,31,0)</f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S31" s="87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-06-13T12:51:02-0600',mode:absolute,to:'2017-06-13T15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1" s="89" t="str">
        <f t="shared" si="1"/>
        <v>"C:\Program Files (x86)\AstroGrep\AstroGrep.exe" /e /r /s /spath="%USERPROFILE%\AppData\Local\Temp\OnboardLogs" /stypes="*4042*201706132*" /stext=" 20:.+((SYSTEM_STATE.+slice.+state.+changed )|(ment ac)|(multiple cpu faults)|(system.+state.+changed )|(\[timeout)|(PRM\|1\|D)|(kpr)|(kdp)|(train st.+moving)|(\|lc)|(penalty))"</v>
      </c>
      <c r="U31" s="9" t="str">
        <f t="shared" si="2"/>
        <v>4042</v>
      </c>
      <c r="V31" s="31">
        <f t="shared" si="3"/>
        <v>42899.860023148147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{"issue":{"subject":"","project_id":79,"tracker_id":40,"status_id":1,"priority_id":2,"assigned_to_id":23,"start_date":"2017-06-13","description":"","custom_fields":[{"id":1,"name":"Subdivision","value":"EC"},{"id":4,"name":"Milepost","value":"23.3491"},{"id":17,"name":"Train ID","value":"183-13"},{"id":16,"name":"Locomotive ID","value":"4042"},{"id":130,"name":"Impact","value":""},{"id":150,"name":"Time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/cygdrive/c/Users/stu/AppData/Local/Temp/OnboardLogs/RTDC4042 --include="*4042*201706132*"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"%USERPROFILE%\AppData\Local\Temp\OnboardLogs"\RTDC4042\*4042*201706132* &gt;&gt; 2017-06-13-SliceDisagreementCheck.txt</v>
      </c>
      <c r="AE31" s="148" t="str">
        <f t="shared" si="9"/>
        <v>start /low /b %USERPROFILE%\Documents\GitHub\eaglep3\Utilities\DownloadLogsFromS3.py --loco 4042 --day 2017-06-13</v>
      </c>
      <c r="AF31" s="1"/>
    </row>
    <row r="32" spans="1:32" x14ac:dyDescent="0.25">
      <c r="A32" s="31">
        <v>42899.682708333334</v>
      </c>
      <c r="B32" s="30" t="s">
        <v>360</v>
      </c>
      <c r="C32" s="30" t="s">
        <v>609</v>
      </c>
      <c r="D32" s="30" t="s">
        <v>49</v>
      </c>
      <c r="E32" s="30" t="s">
        <v>183</v>
      </c>
      <c r="F32" s="42">
        <v>0</v>
      </c>
      <c r="G32" s="42">
        <v>41</v>
      </c>
      <c r="H32" s="42">
        <v>233342</v>
      </c>
      <c r="I32" s="42">
        <v>233372</v>
      </c>
      <c r="J32" s="30" t="s">
        <v>184</v>
      </c>
      <c r="K32" s="42">
        <v>233491</v>
      </c>
      <c r="L32" s="134" t="s">
        <v>50</v>
      </c>
      <c r="M32" s="135">
        <f t="shared" si="0"/>
        <v>62.832000000000001</v>
      </c>
      <c r="N32" s="136" t="str">
        <f>VLOOKUP(C32,'Trips&amp;Operators'!$C$1:$G$99999,5,FALSE)</f>
        <v>BRANDNER MELINDA</v>
      </c>
      <c r="O32" s="210" t="s">
        <v>182</v>
      </c>
      <c r="P32" s="137"/>
      <c r="Q32" s="30"/>
      <c r="R32" s="84" t="str">
        <f>VLOOKUP(C32,'Train Runs'!$A$13:$AE$9931,31,0)</f>
        <v>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 &amp; aws s3 cp s3://rtdc.mdm.uploadarchive.raw/RTDC4042/ "%USERPROFILE%\AppData\Local\Temp\OnboardLogs"\RTDC4042\2017-06-14 --exclude "*" --recursive --include "*20170614*" &amp; "%USERPROFILE%\Documents\GitHub\mrs-test-scripts\Headless Mode &amp; Sideloading\WalkAndUnGZ.bat" "%USERPROFILE%\AppData\Local\Temp\OnboardLogs"\RTDC4042\2017-06-14</v>
      </c>
      <c r="S32" s="87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-06-13T14:38:43-0600',mode:absolute,to:'2017-06-13T17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2" s="89" t="str">
        <f t="shared" si="1"/>
        <v>"C:\Program Files (x86)\AstroGrep\AstroGrep.exe" /e /r /s /spath="%USERPROFILE%\AppData\Local\Temp\OnboardLogs" /stypes="*4042*201706132*"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4042</v>
      </c>
      <c r="V32" s="31">
        <f t="shared" si="3"/>
        <v>42899.932708333334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{"issue":{"subject":"","project_id":79,"tracker_id":40,"status_id":1,"priority_id":2,"assigned_to_id":23,"start_date":"2017-06-13","description":"","custom_fields":[{"id":1,"name":"Subdivision","value":"EC"},{"id":4,"name":"Milepost","value":"23.3491"},{"id":17,"name":"Train ID","value":"197-13"},{"id":16,"name":"Locomotive ID","value":"4042"},{"id":130,"name":"Impact","value":""},{"id":150,"name":"Time of Event (Mountain Time)","value":"16:23:06"},{"id":151,"name":"Denver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/cygdrive/c/Users/stu/AppData/Local/Temp/OnboardLogs/RTDC4042 --include="*4042*201706132*"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"%USERPROFILE%\AppData\Local\Temp\OnboardLogs"\RTDC4042\*4042*201706132* &gt;&gt; 2017-06-13-SliceDisagreementCheck.txt</v>
      </c>
      <c r="AE32" s="148" t="str">
        <f t="shared" si="9"/>
        <v>start /low /b %USERPROFILE%\Documents\GitHub\eaglep3\Utilities\DownloadLogsFromS3.py --loco 4042 --day 2017-06-13</v>
      </c>
      <c r="AF32" s="1"/>
    </row>
    <row r="33" spans="1:32" x14ac:dyDescent="0.25">
      <c r="A33" s="31">
        <v>42899.661956018521</v>
      </c>
      <c r="B33" s="30" t="s">
        <v>607</v>
      </c>
      <c r="C33" s="30" t="s">
        <v>608</v>
      </c>
      <c r="D33" s="30" t="s">
        <v>49</v>
      </c>
      <c r="E33" s="30" t="s">
        <v>364</v>
      </c>
      <c r="F33" s="42">
        <v>0</v>
      </c>
      <c r="G33" s="42">
        <v>116</v>
      </c>
      <c r="H33" s="42">
        <v>5217</v>
      </c>
      <c r="I33" s="42">
        <v>5031</v>
      </c>
      <c r="J33" s="30" t="s">
        <v>365</v>
      </c>
      <c r="K33" s="42">
        <v>4790</v>
      </c>
      <c r="L33" s="134" t="s">
        <v>51</v>
      </c>
      <c r="M33" s="135">
        <f t="shared" si="0"/>
        <v>127.248</v>
      </c>
      <c r="N33" s="136" t="str">
        <f>VLOOKUP(C33,'Trips&amp;Operators'!$C$1:$G$99999,5,FALSE)</f>
        <v>BRUDER RICHARD</v>
      </c>
      <c r="O33" s="210" t="s">
        <v>182</v>
      </c>
      <c r="P33" s="137" t="s">
        <v>588</v>
      </c>
      <c r="Q33" s="30"/>
      <c r="R33" s="84" t="str">
        <f>VLOOKUP(C33,'Train Runs'!$A$13:$AE$9931,31,0)</f>
        <v>aws s3 cp s3://rtdc.mdm.uploadarchive.raw/RTDC4023/ "%USERPROFILE%\AppData\Local\Temp\OnboardLogs"\RTDC4023\2017-06-13 --exclude "*" --recursive --include "*20170613*" &amp; "%USERPROFILE%\Documents\GitHub\mrs-test-scripts\Headless Mode &amp; Sideloading\WalkAndUnGZ.bat" "%USERPROFILE%\AppData\Local\Temp\OnboardLogs"\RTDC4023\2017-06-13 &amp; aws s3 cp s3://rtdc.mdm.uploadarchive.raw/RTDC4023/ "%USERPROFILE%\AppData\Local\Temp\OnboardLogs"\RTDC4023\2017-06-14 --exclude "*" --recursive --include "*20170614*" &amp; "%USERPROFILE%\Documents\GitHub\mrs-test-scripts\Headless Mode &amp; Sideloading\WalkAndUnGZ.bat" "%USERPROFILE%\AppData\Local\Temp\OnboardLogs"\RTDC4023\2017-06-14</v>
      </c>
      <c r="S33" s="87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-06-13T14:37:07-0600',mode:absolute,to:'2017-06-13T16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3" s="89" t="str">
        <f t="shared" si="1"/>
        <v>"C:\Program Files (x86)\AstroGrep\AstroGrep.exe" /e /r /s /spath="%USERPROFILE%\AppData\Local\Temp\OnboardLogs" /stypes="*4023*201706132*" /stext=" 21:.+((SYSTEM_STATE.+slice.+state.+changed )|(ment ac)|(multiple cpu faults)|(system.+state.+changed )|(\[timeout)|(PRM\|1\|D)|(kpr)|(kdp)|(train st.+moving)|(\|lc)|(penalty))"</v>
      </c>
      <c r="U33" s="9" t="str">
        <f t="shared" si="2"/>
        <v>4023</v>
      </c>
      <c r="V33" s="31">
        <f t="shared" si="3"/>
        <v>42899.911956018521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{"issue":{"subject":"DUS 28S STOP, cleared after","project_id":79,"tracker_id":40,"status_id":1,"priority_id":2,"assigned_to_id":23,"start_date":"2017-06-13","description":"","custom_fields":[{"id":1,"name":"Subdivision","value":"NW"},{"id":4,"name":"Milepost","value":"0.479"},{"id":17,"name":"Train ID","value":"826-13"},{"id":16,"name":"Locomotive ID","value":"4023"},{"id":130,"name":"Impact","value":""},{"id":150,"name":"Time of Event (Mountain Time)","value":"15:53:13"},{"id":151,"name":"Denver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/cygdrive/c/Users/stu/AppData/Local/Temp/OnboardLogs/RTDC4023 --include="*4023*201706132*"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"%USERPROFILE%\AppData\Local\Temp\OnboardLogs"\RTDC4023\*4023*201706132* &gt;&gt; 2017-06-13-SliceDisagreementCheck.txt</v>
      </c>
      <c r="AE33" s="148" t="str">
        <f t="shared" si="9"/>
        <v>start /low /b %USERPROFILE%\Documents\GitHub\eaglep3\Utilities\DownloadLogsFromS3.py --loco 4023 --day 2017-06-13</v>
      </c>
      <c r="AF33" s="1"/>
    </row>
    <row r="34" spans="1:32" x14ac:dyDescent="0.25">
      <c r="A34" s="31">
        <v>42899.811099537037</v>
      </c>
      <c r="B34" s="30" t="s">
        <v>597</v>
      </c>
      <c r="C34" s="30" t="s">
        <v>617</v>
      </c>
      <c r="D34" s="30" t="s">
        <v>49</v>
      </c>
      <c r="E34" s="30" t="s">
        <v>364</v>
      </c>
      <c r="F34" s="42">
        <v>0</v>
      </c>
      <c r="G34" s="42">
        <v>516</v>
      </c>
      <c r="H34" s="42">
        <v>32092</v>
      </c>
      <c r="I34" s="42">
        <v>33397</v>
      </c>
      <c r="J34" s="30" t="s">
        <v>365</v>
      </c>
      <c r="K34" s="42">
        <v>33236</v>
      </c>
      <c r="L34" s="134" t="s">
        <v>50</v>
      </c>
      <c r="M34" s="135">
        <f t="shared" si="0"/>
        <v>-85.007999999999996</v>
      </c>
      <c r="N34" s="136" t="str">
        <f>VLOOKUP(C34,'Trips&amp;Operators'!$C$1:$G$99999,5,FALSE)</f>
        <v>BRUDER RICHARD</v>
      </c>
      <c r="O34" s="210" t="s">
        <v>413</v>
      </c>
      <c r="P34" s="137" t="s">
        <v>414</v>
      </c>
      <c r="Q34" s="30"/>
      <c r="R34" s="84" t="str">
        <f>VLOOKUP(C34,'Train Runs'!$A$13:$AE$9931,31,0)</f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S34" s="87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-06-13T18:15:45-0600',mode:absolute,to:'2017-06-13T20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4" s="89" t="str">
        <f t="shared" si="1"/>
        <v>"C:\Program Files (x86)\AstroGrep\AstroGrep.exe" /e /r /s /spath="%USERPROFILE%\AppData\Local\Temp\OnboardLogs" /stypes="*4024*201706140*"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4024</v>
      </c>
      <c r="V34" s="31">
        <f t="shared" si="3"/>
        <v>42900.061099537037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{"issue":{"subject":"Wi-MAX data drop","project_id":79,"tracker_id":40,"status_id":1,"priority_id":2,"assigned_to_id":23,"start_date":"2017-06-13","description":"","custom_fields":[{"id":1,"name":"Subdivision","value":"NW"},{"id":4,"name":"Milepost","value":"3.3236"},{"id":17,"name":"Train ID","value":"841-13"},{"id":16,"name":"Locomotive ID","value":"4024"},{"id":130,"name":"Impact","value":""},{"id":150,"name":"Time of Event (Mountain Time)","value":"19:27:59"},{"id":151,"name":"Denver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/cygdrive/c/Users/stu/AppData/Local/Temp/OnboardLogs/RTDC4024 --include="*4024*201706140*"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"%USERPROFILE%\AppData\Local\Temp\OnboardLogs"\RTDC4024\*4024*201706140* &gt;&gt; 2017-06-13-SliceDisagreementCheck.txt</v>
      </c>
      <c r="AE34" s="148" t="str">
        <f t="shared" si="9"/>
        <v>start /low /b %USERPROFILE%\Documents\GitHub\eaglep3\Utilities\DownloadLogsFromS3.py --loco 4024 --day 2017-06-14</v>
      </c>
      <c r="AF34" s="1"/>
    </row>
    <row r="35" spans="1:32" x14ac:dyDescent="0.25">
      <c r="A35" s="31">
        <v>42899.35701388889</v>
      </c>
      <c r="B35" s="30" t="s">
        <v>597</v>
      </c>
      <c r="C35" s="30" t="s">
        <v>598</v>
      </c>
      <c r="D35" s="30" t="s">
        <v>49</v>
      </c>
      <c r="E35" s="30" t="s">
        <v>183</v>
      </c>
      <c r="F35" s="42">
        <v>0</v>
      </c>
      <c r="G35" s="42">
        <v>122</v>
      </c>
      <c r="H35" s="42">
        <v>58589</v>
      </c>
      <c r="I35" s="42">
        <v>58741</v>
      </c>
      <c r="J35" s="30" t="s">
        <v>184</v>
      </c>
      <c r="K35" s="42">
        <v>59048</v>
      </c>
      <c r="L35" s="134" t="s">
        <v>50</v>
      </c>
      <c r="M35" s="135">
        <f t="shared" si="0"/>
        <v>162.096</v>
      </c>
      <c r="N35" s="136" t="str">
        <f>VLOOKUP(C35,'Trips&amp;Operators'!$C$1:$G$99999,5,FALSE)</f>
        <v>SANTIZO D. EDY</v>
      </c>
      <c r="O35" s="210" t="s">
        <v>182</v>
      </c>
      <c r="P35" s="137"/>
      <c r="Q35" s="30"/>
      <c r="R35" s="84" t="str">
        <f>VLOOKUP(C35,'Train Runs'!$A$13:$AE$9931,31,0)</f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S35" s="87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-06-13T06:56:26-0600',mode:absolute,to:'2017-06-13T09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5" s="89" t="str">
        <f t="shared" si="1"/>
        <v>"C:\Program Files (x86)\AstroGrep\AstroGrep.exe" /e /r /s /spath="%USERPROFILE%\AppData\Local\Temp\OnboardLogs" /stypes="*4024*201706131*" /stext=" 14:.+((SYSTEM_STATE.+slice.+state.+changed )|(ment ac)|(multiple cpu faults)|(system.+state.+changed )|(\[timeout)|(PRM\|1\|D)|(kpr)|(kdp)|(train st.+moving)|(\|lc)|(penalty))"</v>
      </c>
      <c r="U35" s="9" t="str">
        <f t="shared" si="2"/>
        <v>4024</v>
      </c>
      <c r="V35" s="31">
        <f t="shared" si="3"/>
        <v>42899.60701388889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{"issue":{"subject":"","project_id":79,"tracker_id":40,"status_id":1,"priority_id":2,"assigned_to_id":23,"start_date":"2017-06-13","description":"","custom_fields":[{"id":1,"name":"Subdivision","value":"NW"},{"id":4,"name":"Milepost","value":"5.9048"},{"id":17,"name":"Train ID","value":"811-13"},{"id":16,"name":"Locomotive ID","value":"4024"},{"id":130,"name":"Impact","value":""},{"id":150,"name":"Time of Event (Mountain Time)","value":"08:34:06"},{"id":151,"name":"Denver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/cygdrive/c/Users/stu/AppData/Local/Temp/OnboardLogs/RTDC4024 --include="*4024*201706131*"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"%USERPROFILE%\AppData\Local\Temp\OnboardLogs"\RTDC4024\*4024*201706131* &gt;&gt; 2017-06-13-SliceDisagreementCheck.txt</v>
      </c>
      <c r="AE35" s="148" t="str">
        <f t="shared" si="9"/>
        <v>start /low /b %USERPROFILE%\Documents\GitHub\eaglep3\Utilities\DownloadLogsFromS3.py --loco 4024 --day 2017-06-13</v>
      </c>
      <c r="AF35" s="1"/>
    </row>
    <row r="36" spans="1:32" x14ac:dyDescent="0.25">
      <c r="A36" s="31">
        <v>42899.89947916667</v>
      </c>
      <c r="B36" s="30" t="s">
        <v>597</v>
      </c>
      <c r="C36" s="30" t="s">
        <v>619</v>
      </c>
      <c r="D36" s="30" t="s">
        <v>49</v>
      </c>
      <c r="E36" s="30" t="s">
        <v>183</v>
      </c>
      <c r="F36" s="42">
        <v>0</v>
      </c>
      <c r="G36" s="42">
        <v>56</v>
      </c>
      <c r="H36" s="42">
        <v>58903</v>
      </c>
      <c r="I36" s="42">
        <v>58944</v>
      </c>
      <c r="J36" s="30" t="s">
        <v>184</v>
      </c>
      <c r="K36" s="42">
        <v>59048</v>
      </c>
      <c r="L36" s="134" t="s">
        <v>50</v>
      </c>
      <c r="M36" s="135">
        <f t="shared" si="0"/>
        <v>54.911999999999999</v>
      </c>
      <c r="N36" s="136" t="str">
        <f>VLOOKUP(C36,'Trips&amp;Operators'!$C$1:$G$99999,5,FALSE)</f>
        <v>SAFIEF AEIMEN</v>
      </c>
      <c r="O36" s="210" t="s">
        <v>182</v>
      </c>
      <c r="P36" s="137"/>
      <c r="Q36" s="30"/>
      <c r="R36" s="84" t="str">
        <f>VLOOKUP(C36,'Train Runs'!$A$13:$AE$9931,31,0)</f>
        <v>aws s3 cp s3://rtdc.mdm.uploadarchive.raw/RTDC4024/ "%USERPROFILE%\AppData\Local\Temp\OnboardLogs"\RTDC4024\2017-06-13 --exclude "*" --recursive --include "*20170613*" &amp; "%USERPROFILE%\Documents\GitHub\mrs-test-scripts\Headless Mode &amp; Sideloading\WalkAndUnGZ.bat" "%USERPROFILE%\AppData\Local\Temp\OnboardLogs"\RTDC4024\2017-06-13 &amp; aws s3 cp s3://rtdc.mdm.uploadarchive.raw/RTDC4024/ "%USERPROFILE%\AppData\Local\Temp\OnboardLogs"\RTDC4024\2017-06-14 --exclude "*" --recursive --include "*20170614*" &amp; "%USERPROFILE%\Documents\GitHub\mrs-test-scripts\Headless Mode &amp; Sideloading\WalkAndUnGZ.bat" "%USERPROFILE%\AppData\Local\Temp\OnboardLogs"\RTDC4024\2017-06-14</v>
      </c>
      <c r="S36" s="87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-06-13T20:00:59-0600',mode:absolute,to:'2017-06-13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6" s="89" t="str">
        <f t="shared" si="1"/>
        <v>"C:\Program Files (x86)\AstroGrep\AstroGrep.exe" /e /r /s /spath="%USERPROFILE%\AppData\Local\Temp\OnboardLogs" /stypes="*4024*201706140*" /stext=" 03:.+((SYSTEM_STATE.+slice.+state.+changed )|(ment ac)|(multiple cpu faults)|(system.+state.+changed )|(\[timeout)|(PRM\|1\|D)|(kpr)|(kdp)|(train st.+moving)|(\|lc)|(penalty))"</v>
      </c>
      <c r="U36" s="9" t="str">
        <f t="shared" si="2"/>
        <v>4024</v>
      </c>
      <c r="V36" s="31">
        <f t="shared" si="3"/>
        <v>42900.14947916667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{"issue":{"subject":"","project_id":79,"tracker_id":40,"status_id":1,"priority_id":2,"assigned_to_id":23,"start_date":"2017-06-13","description":"","custom_fields":[{"id":1,"name":"Subdivision","value":"NW"},{"id":4,"name":"Milepost","value":"5.9048"},{"id":17,"name":"Train ID","value":"845-13"},{"id":16,"name":"Locomotive ID","value":"4024"},{"id":130,"name":"Impact","value":""},{"id":150,"name":"Time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/cygdrive/c/Users/stu/AppData/Local/Temp/OnboardLogs/RTDC4024 --include="*4024*201706140*"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"%USERPROFILE%\AppData\Local\Temp\OnboardLogs"\RTDC4024\*4024*201706140* &gt;&gt; 2017-06-13-SliceDisagreementCheck.txt</v>
      </c>
      <c r="AE36" s="148" t="str">
        <f t="shared" si="9"/>
        <v>start /low /b %USERPROFILE%\Documents\GitHub\eaglep3\Utilities\DownloadLogsFromS3.py --loco 4024 --day 2017-06-14</v>
      </c>
      <c r="AF36" s="1"/>
    </row>
    <row r="37" spans="1:32" x14ac:dyDescent="0.25">
      <c r="A37" s="31">
        <v>42899.454942129632</v>
      </c>
      <c r="B37" s="30" t="s">
        <v>531</v>
      </c>
      <c r="C37" s="30" t="s">
        <v>603</v>
      </c>
      <c r="D37" s="30" t="s">
        <v>98</v>
      </c>
      <c r="E37" s="30" t="s">
        <v>183</v>
      </c>
      <c r="F37" s="42">
        <v>0</v>
      </c>
      <c r="G37" s="42">
        <v>9</v>
      </c>
      <c r="H37" s="42">
        <v>826</v>
      </c>
      <c r="I37" s="42">
        <v>0</v>
      </c>
      <c r="J37" s="30" t="s">
        <v>184</v>
      </c>
      <c r="K37" s="42">
        <v>826</v>
      </c>
      <c r="L37" s="134" t="s">
        <v>51</v>
      </c>
      <c r="M37" s="135">
        <f t="shared" si="0"/>
        <v>-436.12799999999999</v>
      </c>
      <c r="N37" s="136" t="str">
        <f>VLOOKUP(C37,'Trips&amp;Operators'!$C$1:$G$99999,5,FALSE)</f>
        <v>CHANDLER KELVIN</v>
      </c>
      <c r="O37" s="210" t="s">
        <v>182</v>
      </c>
      <c r="P37" s="137"/>
      <c r="Q37" s="30"/>
      <c r="R37" s="84" t="str">
        <f>VLOOKUP(C37,'Train Runs'!$A$13:$AE$9931,31,0)</f>
        <v>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 &amp; aws s3 cp s3://rtdc.mdm.uploadarchive.raw/RTDC4027/ "%USERPROFILE%\AppData\Local\Temp\OnboardLogs"\RTDC4027\2017-06-14 --exclude "*" --recursive --include "*20170614*" &amp; "%USERPROFILE%\Documents\GitHub\mrs-test-scripts\Headless Mode &amp; Sideloading\WalkAndUnGZ.bat" "%USERPROFILE%\AppData\Local\Temp\OnboardLogs"\RTDC4027\2017-06-14</v>
      </c>
      <c r="S37" s="87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-06-13T16:57:30-0600',mode:absolute,to:'2017-06-13T19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89" t="str">
        <f t="shared" si="1"/>
        <v>"C:\Program Files (x86)\AstroGrep\AstroGrep.exe" /e /r /s /spath="%USERPROFILE%\AppData\Local\Temp\OnboardLogs" /stypes="*4029*201706131*" /stext=" 16:.+((SYSTEM_STATE.+slice.+state.+changed )|(ment ac)|(multiple cpu faults)|(system.+state.+changed )|(\[timeout)|(PRM\|1\|D)|(kpr)|(kdp)|(train st.+moving)|(\|lc)|(penalty))"</v>
      </c>
      <c r="U37" s="9" t="str">
        <f t="shared" si="2"/>
        <v>4029</v>
      </c>
      <c r="V37" s="31">
        <f t="shared" si="3"/>
        <v>42899.704942129632</v>
      </c>
      <c r="W37" s="45" t="str">
        <f t="shared" si="4"/>
        <v>Other</v>
      </c>
      <c r="X37" s="45" t="str">
        <f t="shared" si="5"/>
        <v>OMIT</v>
      </c>
      <c r="Y37" s="99" t="str">
        <f t="shared" si="6"/>
        <v>echo {"issue":{"subject":"","project_id":79,"tracker_id":40,"status_id":1,"priority_id":2,"assigned_to_id":23,"start_date":"2017-06-13","description":"","custom_fields":[{"id":1,"name":"Subdivision","value":"Other"},{"id":4,"name":"Milepost","value":"0.0826"},{"id":17,"name":"Train ID","value":"50-13"},{"id":16,"name":"Locomotive ID","value":"4029"},{"id":130,"name":"Impact","value":""},{"id":150,"name":"Time of Event (Mountain Time)","value":"10:55:07"},{"id":151,"name":"Denver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/cygdrive/c/Users/stu/AppData/Local/Temp/OnboardLogs/RTDC4029 --include="*4029*201706131*"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"%USERPROFILE%\AppData\Local\Temp\OnboardLogs"\RTDC4029\*4029*201706131* &gt;&gt; 2017-06-13-SliceDisagreementCheck.txt</v>
      </c>
      <c r="AE37" s="148" t="str">
        <f t="shared" si="9"/>
        <v>start /low /b %USERPROFILE%\Documents\GitHub\eaglep3\Utilities\DownloadLogsFromS3.py --loco 4029 --day 2017-06-13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Z75"/>
      <c r="AC75"/>
      <c r="AE75"/>
    </row>
  </sheetData>
  <autoFilter ref="A6:AC75">
    <sortState ref="A7:AC75">
      <sortCondition ref="W7:W37"/>
      <sortCondition ref="E7:E37"/>
      <sortCondition ref="K7:K37"/>
      <sortCondition ref="F7:F3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9"/>
  <sheetViews>
    <sheetView workbookViewId="0">
      <selection activeCell="A3" sqref="A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2017-06-13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-13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Runs'!$A$13:$A$99928,1,FALSE)</f>
        <v>#N/A</v>
      </c>
    </row>
    <row r="4" spans="1:10" x14ac:dyDescent="0.25">
      <c r="A4" s="202"/>
      <c r="B4" s="42" t="str">
        <f>A4&amp;"-"&amp;IF(DAY(Variables!$A$2)&lt;10,0,"")&amp;DAY(Variables!$A$2)</f>
        <v>-13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Runs'!$A$13:$A$99928,1,FALSE)</f>
        <v>#N/A</v>
      </c>
    </row>
    <row r="5" spans="1:10" x14ac:dyDescent="0.25">
      <c r="A5" s="202"/>
      <c r="B5" s="42" t="str">
        <f>A5&amp;"-"&amp;IF(DAY(Variables!$A$2)&lt;10,0,"")&amp;DAY(Variables!$A$2)</f>
        <v>-13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Runs'!$A$13:$A$99928,1,FALSE)</f>
        <v>#N/A</v>
      </c>
    </row>
    <row r="6" spans="1:10" x14ac:dyDescent="0.25">
      <c r="A6" s="202"/>
      <c r="B6" s="42" t="str">
        <f>A6&amp;"-"&amp;IF(DAY(Variables!$A$2)&lt;10,0,"")&amp;DAY(Variables!$A$2)</f>
        <v>-13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Runs'!$A$13:$A$99928,1,FALSE)</f>
        <v>#N/A</v>
      </c>
    </row>
    <row r="7" spans="1:10" x14ac:dyDescent="0.25">
      <c r="A7" s="202"/>
      <c r="B7" s="42" t="str">
        <f>A7&amp;"-"&amp;IF(DAY(Variables!$A$2)&lt;10,0,"")&amp;DAY(Variables!$A$2)</f>
        <v>-13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Runs'!$A$13:$A$99928,1,FALSE)</f>
        <v>#N/A</v>
      </c>
    </row>
    <row r="8" spans="1:10" x14ac:dyDescent="0.25">
      <c r="A8" s="202"/>
      <c r="B8" s="42" t="str">
        <f>A8&amp;"-"&amp;IF(DAY(Variables!$A$2)&lt;10,0,"")&amp;DAY(Variables!$A$2)</f>
        <v>-13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Runs'!$A$13:$A$99928,1,FALSE)</f>
        <v>#N/A</v>
      </c>
    </row>
    <row r="9" spans="1:10" x14ac:dyDescent="0.25">
      <c r="A9" s="202"/>
      <c r="B9" s="42" t="str">
        <f>A9&amp;"-"&amp;IF(DAY(Variables!$A$2)&lt;10,0,"")&amp;DAY(Variables!$A$2)</f>
        <v>-13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Runs'!$A$13:$A$99928,1,FALSE)</f>
        <v>#N/A</v>
      </c>
    </row>
    <row r="10" spans="1:10" x14ac:dyDescent="0.25">
      <c r="A10" s="202"/>
      <c r="B10" s="42" t="str">
        <f>A10&amp;"-"&amp;IF(DAY(Variables!$A$2)&lt;10,0,"")&amp;DAY(Variables!$A$2)</f>
        <v>-13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Runs'!$A$13:$A$99928,1,FALSE)</f>
        <v>#N/A</v>
      </c>
    </row>
    <row r="11" spans="1:10" x14ac:dyDescent="0.25">
      <c r="A11" s="202"/>
      <c r="B11" s="42" t="str">
        <f>A11&amp;"-"&amp;IF(DAY(Variables!$A$2)&lt;10,0,"")&amp;DAY(Variables!$A$2)</f>
        <v>-13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Runs'!$A$13:$A$99928,1,FALSE)</f>
        <v>#N/A</v>
      </c>
    </row>
    <row r="12" spans="1:10" x14ac:dyDescent="0.25">
      <c r="A12" s="202"/>
      <c r="B12" s="42" t="str">
        <f>A12&amp;"-"&amp;IF(DAY(Variables!$A$2)&lt;10,0,"")&amp;DAY(Variables!$A$2)</f>
        <v>-13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Runs'!$A$13:$A$99928,1,FALSE)</f>
        <v>#N/A</v>
      </c>
    </row>
    <row r="13" spans="1:10" x14ac:dyDescent="0.25">
      <c r="A13" s="202"/>
      <c r="B13" s="42" t="str">
        <f>A13&amp;"-"&amp;IF(DAY(Variables!$A$2)&lt;10,0,"")&amp;DAY(Variables!$A$2)</f>
        <v>-13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Runs'!$A$13:$A$99928,1,FALSE)</f>
        <v>#N/A</v>
      </c>
    </row>
    <row r="14" spans="1:10" x14ac:dyDescent="0.25">
      <c r="A14" s="202"/>
      <c r="B14" s="42" t="str">
        <f>A14&amp;"-"&amp;IF(DAY(Variables!$A$2)&lt;10,0,"")&amp;DAY(Variables!$A$2)</f>
        <v>-13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Runs'!$A$13:$A$99928,1,FALSE)</f>
        <v>#N/A</v>
      </c>
    </row>
    <row r="15" spans="1:10" x14ac:dyDescent="0.25">
      <c r="A15" s="202"/>
      <c r="B15" s="42" t="str">
        <f>A15&amp;"-"&amp;IF(DAY(Variables!$A$2)&lt;10,0,"")&amp;DAY(Variables!$A$2)</f>
        <v>-13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Runs'!$A$13:$A$99928,1,FALSE)</f>
        <v>#N/A</v>
      </c>
    </row>
    <row r="16" spans="1:10" x14ac:dyDescent="0.25">
      <c r="A16" s="202"/>
      <c r="B16" s="42" t="str">
        <f>A16&amp;"-"&amp;IF(DAY(Variables!$A$2)&lt;10,0,"")&amp;DAY(Variables!$A$2)</f>
        <v>-13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Runs'!$A$13:$A$99928,1,FALSE)</f>
        <v>#N/A</v>
      </c>
    </row>
    <row r="17" spans="1:10" x14ac:dyDescent="0.25">
      <c r="A17" s="202"/>
      <c r="B17" s="42" t="str">
        <f>A17&amp;"-"&amp;IF(DAY(Variables!$A$2)&lt;10,0,"")&amp;DAY(Variables!$A$2)</f>
        <v>-13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Runs'!$A$13:$A$99928,1,FALSE)</f>
        <v>#N/A</v>
      </c>
    </row>
    <row r="18" spans="1:10" x14ac:dyDescent="0.25">
      <c r="A18" s="202"/>
      <c r="B18" s="42" t="str">
        <f>A18&amp;"-"&amp;IF(DAY(Variables!$A$2)&lt;10,0,"")&amp;DAY(Variables!$A$2)</f>
        <v>-13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Runs'!$A$13:$A$99928,1,FALSE)</f>
        <v>#N/A</v>
      </c>
    </row>
    <row r="19" spans="1:10" x14ac:dyDescent="0.25">
      <c r="A19" s="202"/>
      <c r="B19" s="42" t="str">
        <f>A19&amp;"-"&amp;IF(DAY(Variables!$A$2)&lt;10,0,"")&amp;DAY(Variables!$A$2)</f>
        <v>-13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9" s="30" t="e">
        <f>VLOOKUP(B19,'Train Runs'!$A$13:$A$99928,1,FALSE)</f>
        <v>#N/A</v>
      </c>
    </row>
    <row r="20" spans="1:10" x14ac:dyDescent="0.25">
      <c r="A20" s="202"/>
      <c r="B20" s="42" t="str">
        <f>A20&amp;"-"&amp;IF(DAY(Variables!$A$2)&lt;10,0,"")&amp;DAY(Variables!$A$2)</f>
        <v>-13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0" s="30" t="e">
        <f>VLOOKUP(B20,'Train Runs'!$A$13:$A$99928,1,FALSE)</f>
        <v>#N/A</v>
      </c>
    </row>
    <row r="21" spans="1:10" x14ac:dyDescent="0.25">
      <c r="A21" s="202"/>
      <c r="B21" s="42" t="str">
        <f>A21&amp;"-"&amp;IF(DAY(Variables!$A$2)&lt;10,0,"")&amp;DAY(Variables!$A$2)</f>
        <v>-13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1" s="30" t="e">
        <f>VLOOKUP(B21,'Train Runs'!$A$13:$A$99928,1,FALSE)</f>
        <v>#N/A</v>
      </c>
    </row>
    <row r="22" spans="1:10" x14ac:dyDescent="0.25">
      <c r="A22" s="202"/>
      <c r="B22" s="42" t="str">
        <f>A22&amp;"-"&amp;IF(DAY(Variables!$A$2)&lt;10,0,"")&amp;DAY(Variables!$A$2)</f>
        <v>-13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2" s="30" t="e">
        <f>VLOOKUP(B22,'Train Runs'!$A$13:$A$99928,1,FALSE)</f>
        <v>#N/A</v>
      </c>
    </row>
    <row r="23" spans="1:10" x14ac:dyDescent="0.25">
      <c r="A23" s="202"/>
      <c r="B23" s="42" t="str">
        <f>A23&amp;"-"&amp;IF(DAY(Variables!$A$2)&lt;10,0,"")&amp;DAY(Variables!$A$2)</f>
        <v>-13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3" s="30" t="e">
        <f>VLOOKUP(B23,'Train Runs'!$A$13:$A$99928,1,FALSE)</f>
        <v>#N/A</v>
      </c>
    </row>
    <row r="24" spans="1:10" x14ac:dyDescent="0.25">
      <c r="A24" s="202"/>
      <c r="B24" s="42" t="str">
        <f>A24&amp;"-"&amp;IF(DAY(Variables!$A$2)&lt;10,0,"")&amp;DAY(Variables!$A$2)</f>
        <v>-13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4" s="30" t="e">
        <f>VLOOKUP(B24,'Train Runs'!$A$13:$A$99928,1,FALSE)</f>
        <v>#N/A</v>
      </c>
    </row>
    <row r="25" spans="1:10" x14ac:dyDescent="0.25">
      <c r="A25" s="202"/>
      <c r="B25" s="42" t="str">
        <f>A25&amp;"-"&amp;IF(DAY(Variables!$A$2)&lt;10,0,"")&amp;DAY(Variables!$A$2)</f>
        <v>-13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5" s="30" t="e">
        <f>VLOOKUP(B25,'Train Runs'!$A$13:$A$99928,1,FALSE)</f>
        <v>#N/A</v>
      </c>
    </row>
    <row r="26" spans="1:10" x14ac:dyDescent="0.25">
      <c r="A26" s="202"/>
      <c r="B26" s="42" t="str">
        <f>A26&amp;"-"&amp;IF(DAY(Variables!$A$2)&lt;10,0,"")&amp;DAY(Variables!$A$2)</f>
        <v>-13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6" s="30" t="e">
        <f>VLOOKUP(B26,'Train Runs'!$A$13:$A$99928,1,FALSE)</f>
        <v>#N/A</v>
      </c>
    </row>
    <row r="27" spans="1:10" x14ac:dyDescent="0.25">
      <c r="A27" s="202"/>
      <c r="B27" s="42" t="str">
        <f>A27&amp;"-"&amp;IF(DAY(Variables!$A$2)&lt;10,0,"")&amp;DAY(Variables!$A$2)</f>
        <v>-13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7" s="30" t="e">
        <f>VLOOKUP(B27,'Train Runs'!$A$13:$A$99928,1,FALSE)</f>
        <v>#N/A</v>
      </c>
    </row>
    <row r="28" spans="1:10" x14ac:dyDescent="0.25">
      <c r="A28" s="202"/>
      <c r="B28" s="42" t="str">
        <f>A28&amp;"-"&amp;IF(DAY(Variables!$A$2)&lt;10,0,"")&amp;DAY(Variables!$A$2)</f>
        <v>-13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8" s="30" t="e">
        <f>VLOOKUP(B28,'Train Runs'!$A$13:$A$99928,1,FALSE)</f>
        <v>#N/A</v>
      </c>
    </row>
    <row r="29" spans="1:10" x14ac:dyDescent="0.25">
      <c r="A29" s="202"/>
      <c r="B29" s="42" t="str">
        <f>A29&amp;"-"&amp;IF(DAY(Variables!$A$2)&lt;10,0,"")&amp;DAY(Variables!$A$2)</f>
        <v>-13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9" s="30" t="e">
        <f>VLOOKUP(B29,'Train Runs'!$A$13:$A$99928,1,FALSE)</f>
        <v>#N/A</v>
      </c>
    </row>
    <row r="30" spans="1:10" x14ac:dyDescent="0.25">
      <c r="A30" s="202"/>
      <c r="B30" s="42" t="str">
        <f>A30&amp;"-"&amp;IF(DAY(Variables!$A$2)&lt;10,0,"")&amp;DAY(Variables!$A$2)</f>
        <v>-13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0" s="30" t="e">
        <f>VLOOKUP(B30,'Train Runs'!$A$13:$A$99928,1,FALSE)</f>
        <v>#N/A</v>
      </c>
    </row>
    <row r="31" spans="1:10" x14ac:dyDescent="0.25">
      <c r="A31" s="202"/>
      <c r="B31" s="42" t="str">
        <f>A31&amp;"-"&amp;IF(DAY(Variables!$A$2)&lt;10,0,"")&amp;DAY(Variables!$A$2)</f>
        <v>-13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1" s="30" t="e">
        <f>VLOOKUP(B31,'Train Runs'!$A$13:$A$99928,1,FALSE)</f>
        <v>#N/A</v>
      </c>
    </row>
    <row r="32" spans="1:10" x14ac:dyDescent="0.25">
      <c r="A32" s="202"/>
      <c r="B32" s="42" t="str">
        <f>A32&amp;"-"&amp;IF(DAY(Variables!$A$2)&lt;10,0,"")&amp;DAY(Variables!$A$2)</f>
        <v>-13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2" s="30" t="e">
        <f>VLOOKUP(B32,'Train Runs'!$A$13:$A$99928,1,FALSE)</f>
        <v>#N/A</v>
      </c>
    </row>
    <row r="33" spans="1:10" x14ac:dyDescent="0.25">
      <c r="A33" s="202"/>
      <c r="B33" s="42" t="str">
        <f>A33&amp;"-"&amp;IF(DAY(Variables!$A$2)&lt;10,0,"")&amp;DAY(Variables!$A$2)</f>
        <v>-13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ref="I33:I5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3" s="30" t="e">
        <f>VLOOKUP(B33,'Train Runs'!$A$13:$A$99928,1,FALSE)</f>
        <v>#N/A</v>
      </c>
    </row>
    <row r="34" spans="1:10" x14ac:dyDescent="0.25">
      <c r="A34" s="202"/>
      <c r="B34" s="42" t="str">
        <f>A34&amp;"-"&amp;IF(DAY(Variables!$A$2)&lt;10,0,"")&amp;DAY(Variables!$A$2)</f>
        <v>-13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4" s="30" t="e">
        <f>VLOOKUP(B34,'Train Runs'!$A$13:$A$99928,1,FALSE)</f>
        <v>#N/A</v>
      </c>
    </row>
    <row r="35" spans="1:10" x14ac:dyDescent="0.25">
      <c r="A35" s="202"/>
      <c r="B35" s="42" t="str">
        <f>A35&amp;"-"&amp;IF(DAY(Variables!$A$2)&lt;10,0,"")&amp;DAY(Variables!$A$2)</f>
        <v>-13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5" s="30" t="e">
        <f>VLOOKUP(B35,'Train Runs'!$A$13:$A$99928,1,FALSE)</f>
        <v>#N/A</v>
      </c>
    </row>
    <row r="36" spans="1:10" x14ac:dyDescent="0.25">
      <c r="A36" s="202"/>
      <c r="B36" s="42" t="str">
        <f>A36&amp;"-"&amp;IF(DAY(Variables!$A$2)&lt;10,0,"")&amp;DAY(Variables!$A$2)</f>
        <v>-13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6" s="30" t="e">
        <f>VLOOKUP(B36,'Train Runs'!$A$13:$A$99928,1,FALSE)</f>
        <v>#N/A</v>
      </c>
    </row>
    <row r="37" spans="1:10" x14ac:dyDescent="0.25">
      <c r="A37" s="202"/>
      <c r="B37" s="42" t="str">
        <f>A37&amp;"-"&amp;IF(DAY(Variables!$A$2)&lt;10,0,"")&amp;DAY(Variables!$A$2)</f>
        <v>-13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7" s="30" t="e">
        <f>VLOOKUP(B37,'Train Runs'!$A$13:$A$99928,1,FALSE)</f>
        <v>#N/A</v>
      </c>
    </row>
    <row r="38" spans="1:10" x14ac:dyDescent="0.25">
      <c r="A38" s="202"/>
      <c r="B38" s="42" t="str">
        <f>A38&amp;"-"&amp;IF(DAY(Variables!$A$2)&lt;10,0,"")&amp;DAY(Variables!$A$2)</f>
        <v>-13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8" s="30" t="e">
        <f>VLOOKUP(B38,'Train Runs'!$A$13:$A$99928,1,FALSE)</f>
        <v>#N/A</v>
      </c>
    </row>
    <row r="39" spans="1:10" x14ac:dyDescent="0.25">
      <c r="A39" s="202"/>
      <c r="B39" s="42" t="str">
        <f>A39&amp;"-"&amp;IF(DAY(Variables!$A$2)&lt;10,0,"")&amp;DAY(Variables!$A$2)</f>
        <v>-13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9" s="30" t="e">
        <f>VLOOKUP(B39,'Train Runs'!$A$13:$A$99928,1,FALSE)</f>
        <v>#N/A</v>
      </c>
    </row>
    <row r="40" spans="1:10" x14ac:dyDescent="0.25">
      <c r="A40" s="202"/>
      <c r="B40" s="42" t="str">
        <f>A40&amp;"-"&amp;IF(DAY(Variables!$A$2)&lt;10,0,"")&amp;DAY(Variables!$A$2)</f>
        <v>-13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0" s="30" t="e">
        <f>VLOOKUP(B40,'Train Runs'!$A$13:$A$99928,1,FALSE)</f>
        <v>#N/A</v>
      </c>
    </row>
    <row r="41" spans="1:10" x14ac:dyDescent="0.25">
      <c r="A41" s="202"/>
      <c r="B41" s="42" t="str">
        <f>A41&amp;"-"&amp;IF(DAY(Variables!$A$2)&lt;10,0,"")&amp;DAY(Variables!$A$2)</f>
        <v>-13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1" s="30" t="e">
        <f>VLOOKUP(B41,'Train Runs'!$A$13:$A$99928,1,FALSE)</f>
        <v>#N/A</v>
      </c>
    </row>
    <row r="42" spans="1:10" x14ac:dyDescent="0.25">
      <c r="A42" s="202"/>
      <c r="B42" s="42" t="str">
        <f>A42&amp;"-"&amp;IF(DAY(Variables!$A$2)&lt;10,0,"")&amp;DAY(Variables!$A$2)</f>
        <v>-13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2" s="30" t="e">
        <f>VLOOKUP(B42,'Train Runs'!$A$13:$A$99928,1,FALSE)</f>
        <v>#N/A</v>
      </c>
    </row>
    <row r="43" spans="1:10" x14ac:dyDescent="0.25">
      <c r="A43" s="202"/>
      <c r="B43" s="42" t="str">
        <f>A43&amp;"-"&amp;IF(DAY(Variables!$A$2)&lt;10,0,"")&amp;DAY(Variables!$A$2)</f>
        <v>-13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3" s="30" t="e">
        <f>VLOOKUP(B43,'Train Runs'!$A$13:$A$99928,1,FALSE)</f>
        <v>#N/A</v>
      </c>
    </row>
    <row r="44" spans="1:10" x14ac:dyDescent="0.25">
      <c r="A44" s="202"/>
      <c r="B44" s="42" t="str">
        <f>A44&amp;"-"&amp;IF(DAY(Variables!$A$2)&lt;10,0,"")&amp;DAY(Variables!$A$2)</f>
        <v>-13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4" s="30" t="e">
        <f>VLOOKUP(B44,'Train Runs'!$A$13:$A$99928,1,FALSE)</f>
        <v>#N/A</v>
      </c>
    </row>
    <row r="45" spans="1:10" x14ac:dyDescent="0.25">
      <c r="A45" s="202"/>
      <c r="B45" s="42" t="str">
        <f>A45&amp;"-"&amp;IF(DAY(Variables!$A$2)&lt;10,0,"")&amp;DAY(Variables!$A$2)</f>
        <v>-13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5" s="30" t="e">
        <f>VLOOKUP(B45,'Train Runs'!$A$13:$A$99928,1,FALSE)</f>
        <v>#N/A</v>
      </c>
    </row>
    <row r="46" spans="1:10" x14ac:dyDescent="0.25">
      <c r="A46" s="202"/>
      <c r="B46" s="42" t="str">
        <f>A46&amp;"-"&amp;IF(DAY(Variables!$A$2)&lt;10,0,"")&amp;DAY(Variables!$A$2)</f>
        <v>-13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6" s="30" t="e">
        <f>VLOOKUP(B46,'Train Runs'!$A$13:$A$99928,1,FALSE)</f>
        <v>#N/A</v>
      </c>
    </row>
    <row r="47" spans="1:10" x14ac:dyDescent="0.25">
      <c r="A47" s="202"/>
      <c r="B47" s="42" t="str">
        <f>A47&amp;"-"&amp;IF(DAY(Variables!$A$2)&lt;10,0,"")&amp;DAY(Variables!$A$2)</f>
        <v>-13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7" s="30" t="e">
        <f>VLOOKUP(B47,'Train Runs'!$A$13:$A$99928,1,FALSE)</f>
        <v>#N/A</v>
      </c>
    </row>
    <row r="48" spans="1:10" x14ac:dyDescent="0.25">
      <c r="A48" s="202"/>
      <c r="B48" s="42" t="str">
        <f>A48&amp;"-"&amp;IF(DAY(Variables!$A$2)&lt;10,0,"")&amp;DAY(Variables!$A$2)</f>
        <v>-13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8" s="30" t="e">
        <f>VLOOKUP(B48,'Train Runs'!$A$13:$A$99928,1,FALSE)</f>
        <v>#N/A</v>
      </c>
    </row>
    <row r="49" spans="1:10" x14ac:dyDescent="0.25">
      <c r="A49" s="202"/>
      <c r="B49" s="42" t="str">
        <f>A49&amp;"-"&amp;IF(DAY(Variables!$A$2)&lt;10,0,"")&amp;DAY(Variables!$A$2)</f>
        <v>-13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9" s="30" t="e">
        <f>VLOOKUP(B49,'Train Runs'!$A$13:$A$99928,1,FALSE)</f>
        <v>#N/A</v>
      </c>
    </row>
    <row r="50" spans="1:10" x14ac:dyDescent="0.25">
      <c r="A50" s="202"/>
      <c r="B50" s="42" t="str">
        <f>A50&amp;"-"&amp;IF(DAY(Variables!$A$2)&lt;10,0,"")&amp;DAY(Variables!$A$2)</f>
        <v>-13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0" s="30" t="e">
        <f>VLOOKUP(B50,'Train Runs'!$A$13:$A$99928,1,FALSE)</f>
        <v>#N/A</v>
      </c>
    </row>
    <row r="51" spans="1:10" x14ac:dyDescent="0.25">
      <c r="A51" s="202"/>
      <c r="B51" s="42" t="str">
        <f>A51&amp;"-"&amp;IF(DAY(Variables!$A$2)&lt;10,0,"")&amp;DAY(Variables!$A$2)</f>
        <v>-13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1" s="30" t="e">
        <f>VLOOKUP(B51,'Train Runs'!$A$13:$A$99928,1,FALSE)</f>
        <v>#N/A</v>
      </c>
    </row>
    <row r="52" spans="1:10" x14ac:dyDescent="0.25">
      <c r="A52" s="202"/>
      <c r="B52" s="42" t="str">
        <f>A52&amp;"-"&amp;IF(DAY(Variables!$A$2)&lt;10,0,"")&amp;DAY(Variables!$A$2)</f>
        <v>-13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2" s="30" t="e">
        <f>VLOOKUP(B52,'Train Runs'!$A$13:$A$99928,1,FALSE)</f>
        <v>#N/A</v>
      </c>
    </row>
    <row r="53" spans="1:10" x14ac:dyDescent="0.25">
      <c r="A53" s="202"/>
      <c r="B53" s="42" t="str">
        <f>A53&amp;"-"&amp;IF(DAY(Variables!$A$2)&lt;10,0,"")&amp;DAY(Variables!$A$2)</f>
        <v>-13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3" s="30" t="e">
        <f>VLOOKUP(B53,'Train Runs'!$A$13:$A$99928,1,FALSE)</f>
        <v>#N/A</v>
      </c>
    </row>
    <row r="54" spans="1:10" x14ac:dyDescent="0.25">
      <c r="A54" s="202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202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202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202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202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202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202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</sheetData>
  <autoFilter ref="A2:J6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42899.032569444447</v>
      </c>
      <c r="B2" s="20" t="s">
        <v>425</v>
      </c>
      <c r="C2" s="20" t="s">
        <v>541</v>
      </c>
      <c r="D2" s="141">
        <v>2090000</v>
      </c>
      <c r="E2" s="20" t="s">
        <v>504</v>
      </c>
      <c r="F2" s="20" t="s">
        <v>194</v>
      </c>
      <c r="G2" s="8" t="str">
        <f>E2&amp;" "&amp;F2</f>
        <v>HAITHCOX MICHAEL</v>
      </c>
    </row>
    <row r="3" spans="1:7" x14ac:dyDescent="0.25">
      <c r="A3" s="8">
        <v>42899.049097222225</v>
      </c>
      <c r="B3" s="20" t="s">
        <v>467</v>
      </c>
      <c r="C3" s="20" t="s">
        <v>542</v>
      </c>
      <c r="D3" s="141">
        <v>2970000</v>
      </c>
      <c r="E3" s="20" t="s">
        <v>382</v>
      </c>
      <c r="F3" s="20" t="s">
        <v>383</v>
      </c>
      <c r="G3" s="8" t="str">
        <f t="shared" ref="G3:G66" si="0">E3&amp;" "&amp;F3</f>
        <v>GUZMAN DANNY</v>
      </c>
    </row>
    <row r="4" spans="1:7" x14ac:dyDescent="0.25">
      <c r="A4" s="8">
        <v>42899.049756944441</v>
      </c>
      <c r="B4" s="20" t="s">
        <v>402</v>
      </c>
      <c r="C4" s="20" t="s">
        <v>543</v>
      </c>
      <c r="D4" s="141">
        <v>2230000</v>
      </c>
      <c r="E4" s="20" t="s">
        <v>344</v>
      </c>
      <c r="F4" s="20" t="s">
        <v>194</v>
      </c>
      <c r="G4" s="8" t="str">
        <f t="shared" si="0"/>
        <v>SMITH MICHAEL</v>
      </c>
    </row>
    <row r="5" spans="1:7" x14ac:dyDescent="0.25">
      <c r="A5" s="8">
        <v>42899.068553240744</v>
      </c>
      <c r="B5" s="20" t="s">
        <v>429</v>
      </c>
      <c r="C5" s="20" t="s">
        <v>544</v>
      </c>
      <c r="D5" s="141">
        <v>2090000</v>
      </c>
      <c r="E5" s="20" t="s">
        <v>504</v>
      </c>
      <c r="F5" s="20" t="s">
        <v>194</v>
      </c>
      <c r="G5" s="8" t="str">
        <f t="shared" si="0"/>
        <v>HAITHCOX MICHAEL</v>
      </c>
    </row>
    <row r="6" spans="1:7" x14ac:dyDescent="0.25">
      <c r="A6" s="8">
        <v>42899.090115740742</v>
      </c>
      <c r="B6" s="20" t="s">
        <v>454</v>
      </c>
      <c r="C6" s="20" t="s">
        <v>545</v>
      </c>
      <c r="D6" s="141">
        <v>2970000</v>
      </c>
      <c r="E6" s="20" t="s">
        <v>382</v>
      </c>
      <c r="F6" s="20" t="s">
        <v>383</v>
      </c>
      <c r="G6" s="8" t="str">
        <f t="shared" si="0"/>
        <v>GUZMAN DANNY</v>
      </c>
    </row>
    <row r="7" spans="1:7" x14ac:dyDescent="0.25">
      <c r="A7" s="8">
        <v>42899.09065972222</v>
      </c>
      <c r="B7" s="20" t="s">
        <v>454</v>
      </c>
      <c r="C7" s="20" t="s">
        <v>545</v>
      </c>
      <c r="D7" s="141">
        <v>2970000</v>
      </c>
      <c r="E7" s="20" t="s">
        <v>382</v>
      </c>
      <c r="F7" s="20" t="s">
        <v>383</v>
      </c>
      <c r="G7" s="8" t="str">
        <f t="shared" si="0"/>
        <v>GUZMAN DANNY</v>
      </c>
    </row>
    <row r="8" spans="1:7" x14ac:dyDescent="0.25">
      <c r="A8" s="8">
        <v>42899.091990740744</v>
      </c>
      <c r="B8" s="20" t="s">
        <v>454</v>
      </c>
      <c r="C8" s="20" t="s">
        <v>545</v>
      </c>
      <c r="D8" s="141">
        <v>2970000</v>
      </c>
      <c r="E8" s="20" t="s">
        <v>382</v>
      </c>
      <c r="F8" s="20" t="s">
        <v>383</v>
      </c>
      <c r="G8" s="8" t="str">
        <f t="shared" si="0"/>
        <v>GUZMAN DANNY</v>
      </c>
    </row>
    <row r="9" spans="1:7" ht="15.75" thickBot="1" x14ac:dyDescent="0.3">
      <c r="A9" s="24">
        <v>42899.115486111114</v>
      </c>
      <c r="B9" s="20" t="s">
        <v>417</v>
      </c>
      <c r="C9" s="20" t="s">
        <v>622</v>
      </c>
      <c r="D9" s="141">
        <v>1110000</v>
      </c>
      <c r="E9" s="20" t="s">
        <v>529</v>
      </c>
      <c r="F9" s="20" t="s">
        <v>530</v>
      </c>
      <c r="G9" s="8" t="str">
        <f t="shared" si="0"/>
        <v>STARKS ANGELINA</v>
      </c>
    </row>
    <row r="10" spans="1:7" x14ac:dyDescent="0.25">
      <c r="A10" s="8">
        <v>42899.127511574072</v>
      </c>
      <c r="B10" s="20" t="s">
        <v>360</v>
      </c>
      <c r="C10" s="20" t="s">
        <v>623</v>
      </c>
      <c r="D10" s="141">
        <v>1090000</v>
      </c>
      <c r="E10" s="20" t="s">
        <v>624</v>
      </c>
      <c r="F10" s="20" t="s">
        <v>194</v>
      </c>
      <c r="G10" s="8" t="str">
        <f t="shared" si="0"/>
        <v>SPECTOR MICHAEL</v>
      </c>
    </row>
    <row r="11" spans="1:7" x14ac:dyDescent="0.25">
      <c r="A11" s="8">
        <v>42899.129201388889</v>
      </c>
      <c r="B11" s="20" t="s">
        <v>594</v>
      </c>
      <c r="C11" s="20" t="s">
        <v>625</v>
      </c>
      <c r="D11" s="141">
        <v>1110000</v>
      </c>
      <c r="E11" s="20" t="s">
        <v>529</v>
      </c>
      <c r="F11" s="20" t="s">
        <v>530</v>
      </c>
      <c r="G11" s="8" t="str">
        <f t="shared" si="0"/>
        <v>STARKS ANGELINA</v>
      </c>
    </row>
    <row r="12" spans="1:7" x14ac:dyDescent="0.25">
      <c r="A12" s="8">
        <v>42899.137800925928</v>
      </c>
      <c r="B12" s="20" t="s">
        <v>446</v>
      </c>
      <c r="C12" s="20" t="s">
        <v>626</v>
      </c>
      <c r="D12" s="141">
        <v>940000</v>
      </c>
      <c r="E12" s="20" t="s">
        <v>527</v>
      </c>
      <c r="F12" s="20" t="s">
        <v>528</v>
      </c>
      <c r="G12" s="8" t="str">
        <f t="shared" si="0"/>
        <v>BONDS REYNALDO</v>
      </c>
    </row>
    <row r="13" spans="1:7" x14ac:dyDescent="0.25">
      <c r="A13" s="8">
        <v>42899.141782407409</v>
      </c>
      <c r="B13" s="20" t="s">
        <v>417</v>
      </c>
      <c r="C13" s="20" t="s">
        <v>627</v>
      </c>
      <c r="D13" s="141">
        <v>1090000</v>
      </c>
      <c r="E13" s="20" t="s">
        <v>624</v>
      </c>
      <c r="F13" s="20" t="s">
        <v>194</v>
      </c>
      <c r="G13" s="8" t="str">
        <f t="shared" si="0"/>
        <v>SPECTOR MICHAEL</v>
      </c>
    </row>
    <row r="14" spans="1:7" x14ac:dyDescent="0.25">
      <c r="A14" s="8">
        <v>42899.149189814816</v>
      </c>
      <c r="B14" s="20" t="s">
        <v>447</v>
      </c>
      <c r="C14" s="20" t="s">
        <v>628</v>
      </c>
      <c r="D14" s="141">
        <v>940000</v>
      </c>
      <c r="E14" s="20" t="s">
        <v>527</v>
      </c>
      <c r="F14" s="20" t="s">
        <v>528</v>
      </c>
      <c r="G14" s="8" t="str">
        <f t="shared" si="0"/>
        <v>BONDS REYNALDO</v>
      </c>
    </row>
    <row r="15" spans="1:7" x14ac:dyDescent="0.25">
      <c r="A15" s="8">
        <v>42899.158576388887</v>
      </c>
      <c r="B15" s="20" t="s">
        <v>532</v>
      </c>
      <c r="C15" s="20" t="s">
        <v>629</v>
      </c>
      <c r="D15" s="141">
        <v>2010000</v>
      </c>
      <c r="E15" s="20" t="s">
        <v>493</v>
      </c>
      <c r="F15" s="20" t="s">
        <v>494</v>
      </c>
      <c r="G15" s="8" t="str">
        <f t="shared" si="0"/>
        <v>MAELZER KURT</v>
      </c>
    </row>
    <row r="16" spans="1:7" x14ac:dyDescent="0.25">
      <c r="A16" s="8">
        <v>42899.164027777777</v>
      </c>
      <c r="B16" s="20" t="s">
        <v>591</v>
      </c>
      <c r="C16" s="20" t="s">
        <v>630</v>
      </c>
      <c r="D16" s="141">
        <v>1110000</v>
      </c>
      <c r="E16" s="20" t="s">
        <v>529</v>
      </c>
      <c r="F16" s="20" t="s">
        <v>530</v>
      </c>
      <c r="G16" s="8" t="str">
        <f t="shared" si="0"/>
        <v>STARKS ANGELINA</v>
      </c>
    </row>
    <row r="17" spans="1:7" x14ac:dyDescent="0.25">
      <c r="A17" s="8">
        <v>42899.168680555558</v>
      </c>
      <c r="B17" s="20" t="s">
        <v>458</v>
      </c>
      <c r="C17" s="20" t="s">
        <v>631</v>
      </c>
      <c r="D17" s="141">
        <v>2530000</v>
      </c>
      <c r="E17" s="20" t="s">
        <v>484</v>
      </c>
      <c r="F17" s="20" t="s">
        <v>485</v>
      </c>
      <c r="G17" s="8" t="str">
        <f t="shared" si="0"/>
        <v>LALONDE GREGORY</v>
      </c>
    </row>
    <row r="18" spans="1:7" x14ac:dyDescent="0.25">
      <c r="A18" s="8">
        <v>42899.169178240743</v>
      </c>
      <c r="B18" s="20" t="s">
        <v>525</v>
      </c>
      <c r="C18" s="20" t="s">
        <v>632</v>
      </c>
      <c r="D18" s="141">
        <v>2010000</v>
      </c>
      <c r="E18" s="20" t="s">
        <v>493</v>
      </c>
      <c r="F18" s="20" t="s">
        <v>494</v>
      </c>
      <c r="G18" s="8" t="str">
        <f t="shared" si="0"/>
        <v>MAELZER KURT</v>
      </c>
    </row>
    <row r="19" spans="1:7" x14ac:dyDescent="0.25">
      <c r="A19" s="8">
        <v>42899.169756944444</v>
      </c>
      <c r="B19" s="20" t="s">
        <v>525</v>
      </c>
      <c r="C19" s="20" t="s">
        <v>632</v>
      </c>
      <c r="D19" s="141">
        <v>2010000</v>
      </c>
      <c r="E19" s="20" t="s">
        <v>493</v>
      </c>
      <c r="F19" s="20" t="s">
        <v>494</v>
      </c>
      <c r="G19" s="8" t="str">
        <f t="shared" si="0"/>
        <v>MAELZER KURT</v>
      </c>
    </row>
    <row r="20" spans="1:7" x14ac:dyDescent="0.25">
      <c r="A20" s="8">
        <v>42899.171249999999</v>
      </c>
      <c r="B20" s="20" t="s">
        <v>525</v>
      </c>
      <c r="C20" s="20" t="s">
        <v>632</v>
      </c>
      <c r="D20" s="141">
        <v>2010000</v>
      </c>
      <c r="E20" s="20" t="s">
        <v>493</v>
      </c>
      <c r="F20" s="20" t="s">
        <v>494</v>
      </c>
      <c r="G20" s="8" t="str">
        <f t="shared" si="0"/>
        <v>MAELZER KURT</v>
      </c>
    </row>
    <row r="21" spans="1:7" x14ac:dyDescent="0.25">
      <c r="A21" s="8">
        <v>42899.181944444441</v>
      </c>
      <c r="B21" s="20" t="s">
        <v>589</v>
      </c>
      <c r="C21" s="20" t="s">
        <v>633</v>
      </c>
      <c r="D21" s="141">
        <v>2560000</v>
      </c>
      <c r="E21" s="20" t="s">
        <v>488</v>
      </c>
      <c r="F21" s="20" t="s">
        <v>369</v>
      </c>
      <c r="G21" s="8" t="str">
        <f t="shared" si="0"/>
        <v>MACDONALD THOMAS</v>
      </c>
    </row>
    <row r="22" spans="1:7" x14ac:dyDescent="0.25">
      <c r="A22" s="26">
        <v>42899.183344907404</v>
      </c>
      <c r="B22" s="20" t="s">
        <v>457</v>
      </c>
      <c r="C22" s="20" t="s">
        <v>634</v>
      </c>
      <c r="D22" s="141">
        <v>2530000</v>
      </c>
      <c r="E22" s="20" t="s">
        <v>484</v>
      </c>
      <c r="F22" s="20" t="s">
        <v>485</v>
      </c>
      <c r="G22" s="8" t="str">
        <f t="shared" si="0"/>
        <v>LALONDE GREGORY</v>
      </c>
    </row>
    <row r="23" spans="1:7" x14ac:dyDescent="0.25">
      <c r="A23" s="8">
        <v>42899.193483796298</v>
      </c>
      <c r="B23" s="20" t="s">
        <v>403</v>
      </c>
      <c r="C23" s="20" t="s">
        <v>635</v>
      </c>
      <c r="D23" s="141">
        <v>2560000</v>
      </c>
      <c r="E23" s="20" t="s">
        <v>488</v>
      </c>
      <c r="F23" s="20" t="s">
        <v>369</v>
      </c>
      <c r="G23" s="8" t="str">
        <f t="shared" si="0"/>
        <v>MACDONALD THOMAS</v>
      </c>
    </row>
    <row r="24" spans="1:7" x14ac:dyDescent="0.25">
      <c r="A24" s="8">
        <v>42899.193518518521</v>
      </c>
      <c r="B24" s="20" t="s">
        <v>446</v>
      </c>
      <c r="C24" s="20" t="s">
        <v>636</v>
      </c>
      <c r="D24" s="141">
        <v>940000</v>
      </c>
      <c r="E24" s="20" t="s">
        <v>527</v>
      </c>
      <c r="F24" s="20" t="s">
        <v>528</v>
      </c>
      <c r="G24" s="8" t="str">
        <f t="shared" si="0"/>
        <v>BONDS REYNALDO</v>
      </c>
    </row>
    <row r="25" spans="1:7" x14ac:dyDescent="0.25">
      <c r="A25" s="8">
        <v>42899.195648148147</v>
      </c>
      <c r="B25" s="20" t="s">
        <v>461</v>
      </c>
      <c r="C25" s="20" t="s">
        <v>637</v>
      </c>
      <c r="D25" s="141">
        <v>1540000</v>
      </c>
      <c r="E25" s="20" t="s">
        <v>533</v>
      </c>
      <c r="F25" s="20" t="s">
        <v>534</v>
      </c>
      <c r="G25" s="8" t="str">
        <f t="shared" si="0"/>
        <v>HELVIE ADAM</v>
      </c>
    </row>
    <row r="26" spans="1:7" x14ac:dyDescent="0.25">
      <c r="A26" s="8">
        <v>42899.202256944445</v>
      </c>
      <c r="B26" s="20" t="s">
        <v>403</v>
      </c>
      <c r="C26" s="20" t="s">
        <v>635</v>
      </c>
      <c r="D26" s="141">
        <v>2560000</v>
      </c>
      <c r="E26" s="20" t="s">
        <v>488</v>
      </c>
      <c r="F26" s="20" t="s">
        <v>369</v>
      </c>
      <c r="G26" s="8" t="str">
        <f t="shared" si="0"/>
        <v>MACDONALD THOMAS</v>
      </c>
    </row>
    <row r="27" spans="1:7" x14ac:dyDescent="0.25">
      <c r="A27" s="8">
        <v>42899.203240740739</v>
      </c>
      <c r="B27" s="20" t="s">
        <v>426</v>
      </c>
      <c r="C27" s="20" t="s">
        <v>638</v>
      </c>
      <c r="D27" s="141">
        <v>890000</v>
      </c>
      <c r="E27" s="20" t="s">
        <v>639</v>
      </c>
      <c r="F27" s="20" t="s">
        <v>640</v>
      </c>
      <c r="G27" s="8" t="str">
        <f t="shared" si="0"/>
        <v>LOZA FIDEL</v>
      </c>
    </row>
    <row r="28" spans="1:7" x14ac:dyDescent="0.25">
      <c r="A28" s="8">
        <v>42899.204513888886</v>
      </c>
      <c r="B28" s="20" t="s">
        <v>594</v>
      </c>
      <c r="C28" s="20" t="s">
        <v>641</v>
      </c>
      <c r="D28" s="141">
        <v>1110000</v>
      </c>
      <c r="E28" s="20" t="s">
        <v>529</v>
      </c>
      <c r="F28" s="20" t="s">
        <v>530</v>
      </c>
      <c r="G28" s="8" t="str">
        <f t="shared" si="0"/>
        <v>STARKS ANGELINA</v>
      </c>
    </row>
    <row r="29" spans="1:7" x14ac:dyDescent="0.25">
      <c r="A29" s="8">
        <v>42899.20789351852</v>
      </c>
      <c r="B29" s="20" t="s">
        <v>460</v>
      </c>
      <c r="C29" s="20" t="s">
        <v>642</v>
      </c>
      <c r="D29" s="141">
        <v>1540000</v>
      </c>
      <c r="E29" s="20" t="s">
        <v>533</v>
      </c>
      <c r="F29" s="20" t="s">
        <v>534</v>
      </c>
      <c r="G29" s="8" t="str">
        <f t="shared" si="0"/>
        <v>HELVIE ADAM</v>
      </c>
    </row>
    <row r="30" spans="1:7" x14ac:dyDescent="0.25">
      <c r="A30" s="8">
        <v>42899.212870370371</v>
      </c>
      <c r="B30" s="20" t="s">
        <v>532</v>
      </c>
      <c r="C30" s="20" t="s">
        <v>643</v>
      </c>
      <c r="D30" s="141">
        <v>2010000</v>
      </c>
      <c r="E30" s="20" t="s">
        <v>493</v>
      </c>
      <c r="F30" s="20" t="s">
        <v>494</v>
      </c>
      <c r="G30" s="8" t="str">
        <f t="shared" si="0"/>
        <v>MAELZER KURT</v>
      </c>
    </row>
    <row r="31" spans="1:7" x14ac:dyDescent="0.25">
      <c r="A31" s="8">
        <v>42899.213877314818</v>
      </c>
      <c r="B31" s="20" t="s">
        <v>458</v>
      </c>
      <c r="C31" s="20" t="s">
        <v>644</v>
      </c>
      <c r="D31" s="141">
        <v>2530000</v>
      </c>
      <c r="E31" s="20" t="s">
        <v>484</v>
      </c>
      <c r="F31" s="20" t="s">
        <v>485</v>
      </c>
      <c r="G31" s="8" t="str">
        <f t="shared" si="0"/>
        <v>LALONDE GREGORY</v>
      </c>
    </row>
    <row r="32" spans="1:7" x14ac:dyDescent="0.25">
      <c r="A32" s="8">
        <v>42899.216226851851</v>
      </c>
      <c r="B32" s="20" t="s">
        <v>428</v>
      </c>
      <c r="C32" s="20" t="s">
        <v>645</v>
      </c>
      <c r="D32" s="141">
        <v>890000</v>
      </c>
      <c r="E32" s="20" t="s">
        <v>639</v>
      </c>
      <c r="F32" s="20" t="s">
        <v>640</v>
      </c>
      <c r="G32" s="8" t="str">
        <f t="shared" si="0"/>
        <v>LOZA FIDEL</v>
      </c>
    </row>
    <row r="33" spans="1:7" x14ac:dyDescent="0.25">
      <c r="A33" s="8">
        <v>42899.223402777781</v>
      </c>
      <c r="B33" s="20" t="s">
        <v>612</v>
      </c>
      <c r="C33" s="20" t="s">
        <v>646</v>
      </c>
      <c r="D33" s="141">
        <v>2600000</v>
      </c>
      <c r="E33" s="20" t="s">
        <v>486</v>
      </c>
      <c r="F33" s="20" t="s">
        <v>487</v>
      </c>
      <c r="G33" s="8" t="str">
        <f t="shared" si="0"/>
        <v>DAVIDSON DAVID</v>
      </c>
    </row>
    <row r="34" spans="1:7" x14ac:dyDescent="0.25">
      <c r="A34" s="8">
        <v>42899.225324074076</v>
      </c>
      <c r="B34" s="20" t="s">
        <v>447</v>
      </c>
      <c r="C34" s="20" t="s">
        <v>647</v>
      </c>
      <c r="D34" s="141">
        <v>940000</v>
      </c>
      <c r="E34" s="20" t="s">
        <v>527</v>
      </c>
      <c r="F34" s="20" t="s">
        <v>528</v>
      </c>
      <c r="G34" s="8" t="str">
        <f t="shared" si="0"/>
        <v>BONDS REYNALDO</v>
      </c>
    </row>
    <row r="35" spans="1:7" x14ac:dyDescent="0.25">
      <c r="A35" s="8">
        <v>42899.235138888886</v>
      </c>
      <c r="B35" s="20" t="s">
        <v>599</v>
      </c>
      <c r="C35" s="20" t="s">
        <v>648</v>
      </c>
      <c r="D35" s="141">
        <v>2600000</v>
      </c>
      <c r="E35" s="20" t="s">
        <v>486</v>
      </c>
      <c r="F35" s="20" t="s">
        <v>487</v>
      </c>
      <c r="G35" s="8" t="str">
        <f t="shared" si="0"/>
        <v>DAVIDSON DAVID</v>
      </c>
    </row>
    <row r="36" spans="1:7" x14ac:dyDescent="0.25">
      <c r="A36" s="8">
        <v>42899.235972222225</v>
      </c>
      <c r="B36" s="20" t="s">
        <v>607</v>
      </c>
      <c r="C36" s="20" t="s">
        <v>649</v>
      </c>
      <c r="D36" s="141">
        <v>1360000</v>
      </c>
      <c r="E36" s="20" t="s">
        <v>535</v>
      </c>
      <c r="F36" s="20" t="s">
        <v>536</v>
      </c>
      <c r="G36" s="8" t="str">
        <f t="shared" si="0"/>
        <v>SANTIZO D. EDY</v>
      </c>
    </row>
    <row r="37" spans="1:7" x14ac:dyDescent="0.25">
      <c r="A37" s="8">
        <v>42899.236956018518</v>
      </c>
      <c r="B37" s="20" t="s">
        <v>589</v>
      </c>
      <c r="C37" s="20" t="s">
        <v>590</v>
      </c>
      <c r="D37" s="141">
        <v>2560000</v>
      </c>
      <c r="E37" s="20" t="s">
        <v>488</v>
      </c>
      <c r="F37" s="20" t="s">
        <v>369</v>
      </c>
      <c r="G37" s="8" t="str">
        <f t="shared" si="0"/>
        <v>MACDONALD THOMAS</v>
      </c>
    </row>
    <row r="38" spans="1:7" x14ac:dyDescent="0.25">
      <c r="A38" s="8">
        <v>42899.241875</v>
      </c>
      <c r="B38" s="20" t="s">
        <v>461</v>
      </c>
      <c r="C38" s="20" t="s">
        <v>650</v>
      </c>
      <c r="D38" s="141">
        <v>1540000</v>
      </c>
      <c r="E38" s="20" t="s">
        <v>533</v>
      </c>
      <c r="F38" s="20" t="s">
        <v>534</v>
      </c>
      <c r="G38" s="8" t="str">
        <f t="shared" si="0"/>
        <v>HELVIE ADAM</v>
      </c>
    </row>
    <row r="39" spans="1:7" x14ac:dyDescent="0.25">
      <c r="A39" s="8">
        <v>42899.245578703703</v>
      </c>
      <c r="B39" s="20" t="s">
        <v>525</v>
      </c>
      <c r="C39" s="20" t="s">
        <v>651</v>
      </c>
      <c r="D39" s="141">
        <v>2010000</v>
      </c>
      <c r="E39" s="20" t="s">
        <v>493</v>
      </c>
      <c r="F39" s="20" t="s">
        <v>494</v>
      </c>
      <c r="G39" s="8" t="str">
        <f t="shared" si="0"/>
        <v>MAELZER KURT</v>
      </c>
    </row>
    <row r="40" spans="1:7" x14ac:dyDescent="0.25">
      <c r="A40" s="8">
        <v>42899.246076388888</v>
      </c>
      <c r="B40" s="25" t="s">
        <v>591</v>
      </c>
      <c r="C40" s="20" t="s">
        <v>592</v>
      </c>
      <c r="D40" s="141">
        <v>1110000</v>
      </c>
      <c r="E40" s="20" t="s">
        <v>529</v>
      </c>
      <c r="F40" s="20" t="s">
        <v>530</v>
      </c>
      <c r="G40" s="8" t="str">
        <f t="shared" si="0"/>
        <v>STARKS ANGELINA</v>
      </c>
    </row>
    <row r="41" spans="1:7" x14ac:dyDescent="0.25">
      <c r="A41" s="8">
        <v>42899.248090277775</v>
      </c>
      <c r="B41" s="20" t="s">
        <v>597</v>
      </c>
      <c r="C41" s="20" t="s">
        <v>652</v>
      </c>
      <c r="D41" s="141">
        <v>1360000</v>
      </c>
      <c r="E41" s="20" t="s">
        <v>535</v>
      </c>
      <c r="F41" s="20" t="s">
        <v>536</v>
      </c>
      <c r="G41" s="8" t="str">
        <f t="shared" si="0"/>
        <v>SANTIZO D. EDY</v>
      </c>
    </row>
    <row r="42" spans="1:7" x14ac:dyDescent="0.25">
      <c r="A42" s="8">
        <v>42899.25503472222</v>
      </c>
      <c r="B42" s="20" t="s">
        <v>460</v>
      </c>
      <c r="C42" s="20" t="s">
        <v>653</v>
      </c>
      <c r="D42" s="141">
        <v>1540000</v>
      </c>
      <c r="E42" s="20" t="s">
        <v>533</v>
      </c>
      <c r="F42" s="20" t="s">
        <v>534</v>
      </c>
      <c r="G42" s="8" t="str">
        <f t="shared" si="0"/>
        <v>HELVIE ADAM</v>
      </c>
    </row>
    <row r="43" spans="1:7" x14ac:dyDescent="0.25">
      <c r="A43" s="8">
        <v>42899.256793981483</v>
      </c>
      <c r="B43" s="20" t="s">
        <v>426</v>
      </c>
      <c r="C43" s="20" t="s">
        <v>654</v>
      </c>
      <c r="D43" s="141">
        <v>890000</v>
      </c>
      <c r="E43" s="20" t="s">
        <v>639</v>
      </c>
      <c r="F43" s="20" t="s">
        <v>640</v>
      </c>
      <c r="G43" s="8" t="str">
        <f t="shared" si="0"/>
        <v>LOZA FIDEL</v>
      </c>
    </row>
    <row r="44" spans="1:7" x14ac:dyDescent="0.25">
      <c r="A44" s="8">
        <v>42899.258981481478</v>
      </c>
      <c r="B44" s="20" t="s">
        <v>457</v>
      </c>
      <c r="C44" s="20" t="s">
        <v>655</v>
      </c>
      <c r="D44" s="141">
        <v>2530000</v>
      </c>
      <c r="E44" s="20" t="s">
        <v>484</v>
      </c>
      <c r="F44" s="20" t="s">
        <v>485</v>
      </c>
      <c r="G44" s="8" t="str">
        <f t="shared" si="0"/>
        <v>LALONDE GREGORY</v>
      </c>
    </row>
    <row r="45" spans="1:7" x14ac:dyDescent="0.25">
      <c r="A45" s="8">
        <v>42899.2653125</v>
      </c>
      <c r="B45" s="20" t="s">
        <v>446</v>
      </c>
      <c r="C45" s="20" t="s">
        <v>656</v>
      </c>
      <c r="D45" s="141">
        <v>940000</v>
      </c>
      <c r="E45" s="20" t="s">
        <v>527</v>
      </c>
      <c r="F45" s="20" t="s">
        <v>528</v>
      </c>
      <c r="G45" s="8" t="str">
        <f t="shared" si="0"/>
        <v>BONDS REYNALDO</v>
      </c>
    </row>
    <row r="46" spans="1:7" x14ac:dyDescent="0.25">
      <c r="A46" s="8">
        <v>42899.268541666665</v>
      </c>
      <c r="B46" s="20" t="s">
        <v>403</v>
      </c>
      <c r="C46" s="20" t="s">
        <v>593</v>
      </c>
      <c r="D46" s="141">
        <v>2560000</v>
      </c>
      <c r="E46" s="20" t="s">
        <v>488</v>
      </c>
      <c r="F46" s="20" t="s">
        <v>369</v>
      </c>
      <c r="G46" s="8" t="str">
        <f t="shared" si="0"/>
        <v>MACDONALD THOMAS</v>
      </c>
    </row>
    <row r="47" spans="1:7" x14ac:dyDescent="0.25">
      <c r="A47" s="8">
        <v>42899.270567129628</v>
      </c>
      <c r="B47" s="20" t="s">
        <v>612</v>
      </c>
      <c r="C47" s="20" t="s">
        <v>657</v>
      </c>
      <c r="D47" s="141">
        <v>2600000</v>
      </c>
      <c r="E47" s="20" t="s">
        <v>486</v>
      </c>
      <c r="F47" s="20" t="s">
        <v>487</v>
      </c>
      <c r="G47" s="8" t="str">
        <f t="shared" si="0"/>
        <v>DAVIDSON DAVID</v>
      </c>
    </row>
    <row r="48" spans="1:7" x14ac:dyDescent="0.25">
      <c r="A48" s="8">
        <v>42899.275185185186</v>
      </c>
      <c r="B48" s="20" t="s">
        <v>607</v>
      </c>
      <c r="C48" s="20" t="s">
        <v>658</v>
      </c>
      <c r="D48" s="141">
        <v>1360000</v>
      </c>
      <c r="E48" s="20" t="s">
        <v>535</v>
      </c>
      <c r="F48" s="20" t="s">
        <v>536</v>
      </c>
      <c r="G48" s="8" t="str">
        <f t="shared" si="0"/>
        <v>SANTIZO D. EDY</v>
      </c>
    </row>
    <row r="49" spans="1:7" x14ac:dyDescent="0.25">
      <c r="A49" s="8">
        <v>42899.278067129628</v>
      </c>
      <c r="B49" s="20" t="s">
        <v>594</v>
      </c>
      <c r="C49" s="20" t="s">
        <v>595</v>
      </c>
      <c r="D49" s="141">
        <v>1110000</v>
      </c>
      <c r="E49" s="20" t="s">
        <v>529</v>
      </c>
      <c r="F49" s="20" t="s">
        <v>530</v>
      </c>
      <c r="G49" s="8" t="str">
        <f t="shared" si="0"/>
        <v>STARKS ANGELINA</v>
      </c>
    </row>
    <row r="50" spans="1:7" x14ac:dyDescent="0.25">
      <c r="A50" s="8">
        <v>42899.282106481478</v>
      </c>
      <c r="B50" s="20" t="s">
        <v>461</v>
      </c>
      <c r="C50" s="20" t="s">
        <v>659</v>
      </c>
      <c r="D50" s="141">
        <v>1540000</v>
      </c>
      <c r="E50" s="20" t="s">
        <v>533</v>
      </c>
      <c r="F50" s="20" t="s">
        <v>534</v>
      </c>
      <c r="G50" s="8" t="str">
        <f t="shared" si="0"/>
        <v>HELVIE ADAM</v>
      </c>
    </row>
    <row r="51" spans="1:7" x14ac:dyDescent="0.25">
      <c r="A51" s="8">
        <v>42899.286134259259</v>
      </c>
      <c r="B51" s="20" t="s">
        <v>532</v>
      </c>
      <c r="C51" s="20" t="s">
        <v>660</v>
      </c>
      <c r="D51" s="141">
        <v>2010000</v>
      </c>
      <c r="E51" s="20" t="s">
        <v>493</v>
      </c>
      <c r="F51" s="20" t="s">
        <v>494</v>
      </c>
      <c r="G51" s="8" t="str">
        <f t="shared" si="0"/>
        <v>MAELZER KURT</v>
      </c>
    </row>
    <row r="52" spans="1:7" x14ac:dyDescent="0.25">
      <c r="A52" s="8">
        <v>42899.289618055554</v>
      </c>
      <c r="B52" s="20" t="s">
        <v>597</v>
      </c>
      <c r="C52" s="20" t="s">
        <v>661</v>
      </c>
      <c r="D52" s="141">
        <v>1360000</v>
      </c>
      <c r="E52" s="20" t="s">
        <v>535</v>
      </c>
      <c r="F52" s="20" t="s">
        <v>536</v>
      </c>
      <c r="G52" s="8" t="str">
        <f t="shared" si="0"/>
        <v>SANTIZO D. EDY</v>
      </c>
    </row>
    <row r="53" spans="1:7" x14ac:dyDescent="0.25">
      <c r="A53" s="8">
        <v>42899.290486111109</v>
      </c>
      <c r="B53" s="20" t="s">
        <v>458</v>
      </c>
      <c r="C53" s="20" t="s">
        <v>662</v>
      </c>
      <c r="D53" s="141">
        <v>2530000</v>
      </c>
      <c r="E53" s="20" t="s">
        <v>484</v>
      </c>
      <c r="F53" s="20" t="s">
        <v>485</v>
      </c>
      <c r="G53" s="8" t="str">
        <f t="shared" si="0"/>
        <v>LALONDE GREGORY</v>
      </c>
    </row>
    <row r="54" spans="1:7" x14ac:dyDescent="0.25">
      <c r="A54" s="8">
        <v>42899.290636574071</v>
      </c>
      <c r="B54" s="20" t="s">
        <v>428</v>
      </c>
      <c r="C54" s="20" t="s">
        <v>663</v>
      </c>
      <c r="D54" s="141">
        <v>890000</v>
      </c>
      <c r="E54" s="20" t="s">
        <v>639</v>
      </c>
      <c r="F54" s="20" t="s">
        <v>640</v>
      </c>
      <c r="G54" s="8" t="str">
        <f t="shared" si="0"/>
        <v>LOZA FIDEL</v>
      </c>
    </row>
    <row r="55" spans="1:7" x14ac:dyDescent="0.25">
      <c r="A55" s="8">
        <v>42899.296388888892</v>
      </c>
      <c r="B55" s="20" t="s">
        <v>460</v>
      </c>
      <c r="C55" s="20" t="s">
        <v>664</v>
      </c>
      <c r="D55" s="141">
        <v>1540000</v>
      </c>
      <c r="E55" s="20" t="s">
        <v>533</v>
      </c>
      <c r="F55" s="20" t="s">
        <v>534</v>
      </c>
      <c r="G55" s="8" t="str">
        <f t="shared" si="0"/>
        <v>HELVIE ADAM</v>
      </c>
    </row>
    <row r="56" spans="1:7" x14ac:dyDescent="0.25">
      <c r="A56" s="8">
        <v>42899.30027777778</v>
      </c>
      <c r="B56" s="20" t="s">
        <v>447</v>
      </c>
      <c r="C56" s="20" t="s">
        <v>596</v>
      </c>
      <c r="D56" s="141">
        <v>940000</v>
      </c>
      <c r="E56" s="20" t="s">
        <v>527</v>
      </c>
      <c r="F56" s="20" t="s">
        <v>528</v>
      </c>
      <c r="G56" s="8" t="str">
        <f t="shared" si="0"/>
        <v>BONDS REYNALDO</v>
      </c>
    </row>
    <row r="57" spans="1:7" x14ac:dyDescent="0.25">
      <c r="A57" s="8">
        <v>42899.308553240742</v>
      </c>
      <c r="B57" s="20" t="s">
        <v>589</v>
      </c>
      <c r="C57" s="20" t="s">
        <v>665</v>
      </c>
      <c r="D57" s="141">
        <v>2560000</v>
      </c>
      <c r="E57" s="20" t="s">
        <v>488</v>
      </c>
      <c r="F57" s="20" t="s">
        <v>369</v>
      </c>
      <c r="G57" s="8" t="str">
        <f t="shared" si="0"/>
        <v>MACDONALD THOMAS</v>
      </c>
    </row>
    <row r="58" spans="1:7" x14ac:dyDescent="0.25">
      <c r="A58" s="8">
        <v>42899.311041666668</v>
      </c>
      <c r="B58" s="20" t="s">
        <v>599</v>
      </c>
      <c r="C58" s="20" t="s">
        <v>666</v>
      </c>
      <c r="D58" s="141">
        <v>2600000</v>
      </c>
      <c r="E58" s="20" t="s">
        <v>486</v>
      </c>
      <c r="F58" s="20" t="s">
        <v>487</v>
      </c>
      <c r="G58" s="8" t="str">
        <f t="shared" si="0"/>
        <v>DAVIDSON DAVID</v>
      </c>
    </row>
    <row r="59" spans="1:7" x14ac:dyDescent="0.25">
      <c r="A59" s="8">
        <v>42899.316793981481</v>
      </c>
      <c r="B59" s="20" t="s">
        <v>607</v>
      </c>
      <c r="C59" s="20" t="s">
        <v>667</v>
      </c>
      <c r="D59" s="141">
        <v>1360000</v>
      </c>
      <c r="E59" s="20" t="s">
        <v>535</v>
      </c>
      <c r="F59" s="20" t="s">
        <v>536</v>
      </c>
      <c r="G59" s="8" t="str">
        <f t="shared" si="0"/>
        <v>SANTIZO D. EDY</v>
      </c>
    </row>
    <row r="60" spans="1:7" x14ac:dyDescent="0.25">
      <c r="A60" s="8">
        <v>42899.319444444445</v>
      </c>
      <c r="B60" s="20" t="s">
        <v>591</v>
      </c>
      <c r="C60" s="20" t="s">
        <v>668</v>
      </c>
      <c r="D60" s="141">
        <v>1110000</v>
      </c>
      <c r="E60" s="20" t="s">
        <v>529</v>
      </c>
      <c r="F60" s="20" t="s">
        <v>530</v>
      </c>
      <c r="G60" s="8" t="str">
        <f t="shared" si="0"/>
        <v>STARKS ANGELINA</v>
      </c>
    </row>
    <row r="61" spans="1:7" x14ac:dyDescent="0.25">
      <c r="A61" s="8">
        <v>42899.319548611114</v>
      </c>
      <c r="B61" s="20" t="s">
        <v>458</v>
      </c>
      <c r="C61" s="20" t="s">
        <v>662</v>
      </c>
      <c r="D61" s="141">
        <v>2530000</v>
      </c>
      <c r="E61" s="20" t="s">
        <v>484</v>
      </c>
      <c r="F61" s="20" t="s">
        <v>485</v>
      </c>
      <c r="G61" s="8" t="str">
        <f t="shared" si="0"/>
        <v>LALONDE GREGORY</v>
      </c>
    </row>
    <row r="62" spans="1:7" x14ac:dyDescent="0.25">
      <c r="A62" s="8">
        <v>42899.320405092592</v>
      </c>
      <c r="B62" s="20" t="s">
        <v>525</v>
      </c>
      <c r="C62" s="20" t="s">
        <v>669</v>
      </c>
      <c r="D62" s="141">
        <v>2010000</v>
      </c>
      <c r="E62" s="20" t="s">
        <v>493</v>
      </c>
      <c r="F62" s="20" t="s">
        <v>494</v>
      </c>
      <c r="G62" s="8" t="str">
        <f t="shared" si="0"/>
        <v>MAELZER KURT</v>
      </c>
    </row>
    <row r="63" spans="1:7" x14ac:dyDescent="0.25">
      <c r="A63" s="8">
        <v>42899.325729166667</v>
      </c>
      <c r="B63" s="20" t="s">
        <v>461</v>
      </c>
      <c r="C63" s="20" t="s">
        <v>670</v>
      </c>
      <c r="D63" s="141">
        <v>1540000</v>
      </c>
      <c r="E63" s="20" t="s">
        <v>533</v>
      </c>
      <c r="F63" s="20" t="s">
        <v>534</v>
      </c>
      <c r="G63" s="8" t="str">
        <f t="shared" si="0"/>
        <v>HELVIE ADAM</v>
      </c>
    </row>
    <row r="64" spans="1:7" x14ac:dyDescent="0.25">
      <c r="A64" s="26">
        <v>42899.330081018517</v>
      </c>
      <c r="B64" s="20" t="s">
        <v>426</v>
      </c>
      <c r="C64" s="20" t="s">
        <v>671</v>
      </c>
      <c r="D64" s="141">
        <v>890000</v>
      </c>
      <c r="E64" s="20" t="s">
        <v>639</v>
      </c>
      <c r="F64" s="20" t="s">
        <v>640</v>
      </c>
      <c r="G64" s="8" t="str">
        <f t="shared" si="0"/>
        <v>LOZA FIDEL</v>
      </c>
    </row>
    <row r="65" spans="1:7" x14ac:dyDescent="0.25">
      <c r="A65" s="8">
        <v>42899.330127314817</v>
      </c>
      <c r="B65" s="20" t="s">
        <v>589</v>
      </c>
      <c r="C65" s="20" t="s">
        <v>665</v>
      </c>
      <c r="D65" s="141">
        <v>2560000</v>
      </c>
      <c r="E65" s="20" t="s">
        <v>488</v>
      </c>
      <c r="F65" s="20" t="s">
        <v>369</v>
      </c>
      <c r="G65" s="8" t="str">
        <f t="shared" si="0"/>
        <v>MACDONALD THOMAS</v>
      </c>
    </row>
    <row r="66" spans="1:7" x14ac:dyDescent="0.25">
      <c r="A66" s="8">
        <v>42899.331203703703</v>
      </c>
      <c r="B66" s="20" t="s">
        <v>597</v>
      </c>
      <c r="C66" s="20" t="s">
        <v>598</v>
      </c>
      <c r="D66" s="141">
        <v>1360000</v>
      </c>
      <c r="E66" s="20" t="s">
        <v>535</v>
      </c>
      <c r="F66" s="20" t="s">
        <v>536</v>
      </c>
      <c r="G66" s="8" t="str">
        <f t="shared" si="0"/>
        <v>SANTIZO D. EDY</v>
      </c>
    </row>
    <row r="67" spans="1:7" x14ac:dyDescent="0.25">
      <c r="A67" s="8">
        <v>42899.33253472222</v>
      </c>
      <c r="B67" s="20" t="s">
        <v>457</v>
      </c>
      <c r="C67" s="20" t="s">
        <v>672</v>
      </c>
      <c r="D67" s="141">
        <v>2530000</v>
      </c>
      <c r="E67" s="20" t="s">
        <v>484</v>
      </c>
      <c r="F67" s="20" t="s">
        <v>485</v>
      </c>
      <c r="G67" s="8" t="str">
        <f t="shared" ref="G67:G130" si="1">E67&amp;" "&amp;F67</f>
        <v>LALONDE GREGORY</v>
      </c>
    </row>
    <row r="68" spans="1:7" x14ac:dyDescent="0.25">
      <c r="A68" s="8">
        <v>42899.337511574071</v>
      </c>
      <c r="B68" s="20" t="s">
        <v>460</v>
      </c>
      <c r="C68" s="20" t="s">
        <v>673</v>
      </c>
      <c r="D68" s="141">
        <v>1540000</v>
      </c>
      <c r="E68" s="20" t="s">
        <v>533</v>
      </c>
      <c r="F68" s="20" t="s">
        <v>534</v>
      </c>
      <c r="G68" s="8" t="str">
        <f t="shared" si="1"/>
        <v>HELVIE ADAM</v>
      </c>
    </row>
    <row r="69" spans="1:7" x14ac:dyDescent="0.25">
      <c r="A69" s="8">
        <v>42899.339699074073</v>
      </c>
      <c r="B69" s="20" t="s">
        <v>591</v>
      </c>
      <c r="C69" s="20" t="s">
        <v>668</v>
      </c>
      <c r="D69" s="141">
        <v>1110000</v>
      </c>
      <c r="E69" s="20" t="s">
        <v>529</v>
      </c>
      <c r="F69" s="20" t="s">
        <v>530</v>
      </c>
      <c r="G69" s="8" t="str">
        <f t="shared" si="1"/>
        <v>STARKS ANGELINA</v>
      </c>
    </row>
    <row r="70" spans="1:7" x14ac:dyDescent="0.25">
      <c r="A70" s="8">
        <v>42899.340486111112</v>
      </c>
      <c r="B70" s="20" t="s">
        <v>446</v>
      </c>
      <c r="C70" s="20" t="s">
        <v>674</v>
      </c>
      <c r="D70" s="141">
        <v>940000</v>
      </c>
      <c r="E70" s="20" t="s">
        <v>527</v>
      </c>
      <c r="F70" s="20" t="s">
        <v>528</v>
      </c>
      <c r="G70" s="8" t="str">
        <f t="shared" si="1"/>
        <v>BONDS REYNALDO</v>
      </c>
    </row>
    <row r="71" spans="1:7" x14ac:dyDescent="0.25">
      <c r="A71" s="8">
        <v>42899.34270833333</v>
      </c>
      <c r="B71" s="20" t="s">
        <v>612</v>
      </c>
      <c r="C71" s="20" t="s">
        <v>675</v>
      </c>
      <c r="D71" s="141">
        <v>2600000</v>
      </c>
      <c r="E71" s="20" t="s">
        <v>486</v>
      </c>
      <c r="F71" s="20" t="s">
        <v>487</v>
      </c>
      <c r="G71" s="8" t="str">
        <f t="shared" si="1"/>
        <v>DAVIDSON DAVID</v>
      </c>
    </row>
    <row r="72" spans="1:7" x14ac:dyDescent="0.25">
      <c r="A72" s="8">
        <v>42899.343680555554</v>
      </c>
      <c r="B72" s="20" t="s">
        <v>403</v>
      </c>
      <c r="C72" s="20" t="s">
        <v>676</v>
      </c>
      <c r="D72" s="141">
        <v>2560000</v>
      </c>
      <c r="E72" s="20" t="s">
        <v>488</v>
      </c>
      <c r="F72" s="20" t="s">
        <v>369</v>
      </c>
      <c r="G72" s="8" t="str">
        <f t="shared" si="1"/>
        <v>MACDONALD THOMAS</v>
      </c>
    </row>
    <row r="73" spans="1:7" x14ac:dyDescent="0.25">
      <c r="A73" s="8">
        <v>42899.350624999999</v>
      </c>
      <c r="B73" s="20" t="s">
        <v>426</v>
      </c>
      <c r="C73" s="20" t="s">
        <v>671</v>
      </c>
      <c r="D73" s="141">
        <v>890000</v>
      </c>
      <c r="E73" s="20" t="s">
        <v>639</v>
      </c>
      <c r="F73" s="20" t="s">
        <v>640</v>
      </c>
      <c r="G73" s="8" t="str">
        <f t="shared" si="1"/>
        <v>LOZA FIDEL</v>
      </c>
    </row>
    <row r="74" spans="1:7" x14ac:dyDescent="0.25">
      <c r="A74" s="8">
        <v>42899.351886574077</v>
      </c>
      <c r="B74" s="20" t="s">
        <v>403</v>
      </c>
      <c r="C74" s="20" t="s">
        <v>676</v>
      </c>
      <c r="D74" s="141">
        <v>2560000</v>
      </c>
      <c r="E74" s="20" t="s">
        <v>488</v>
      </c>
      <c r="F74" s="20" t="s">
        <v>369</v>
      </c>
      <c r="G74" s="8" t="str">
        <f t="shared" si="1"/>
        <v>MACDONALD THOMAS</v>
      </c>
    </row>
    <row r="75" spans="1:7" x14ac:dyDescent="0.25">
      <c r="A75" s="8">
        <v>42899.352569444447</v>
      </c>
      <c r="B75" s="20" t="s">
        <v>461</v>
      </c>
      <c r="C75" s="20" t="s">
        <v>677</v>
      </c>
      <c r="D75" s="141">
        <v>1540000</v>
      </c>
      <c r="E75" s="20" t="s">
        <v>533</v>
      </c>
      <c r="F75" s="20" t="s">
        <v>534</v>
      </c>
      <c r="G75" s="8" t="str">
        <f t="shared" si="1"/>
        <v>HELVIE ADAM</v>
      </c>
    </row>
    <row r="76" spans="1:7" x14ac:dyDescent="0.25">
      <c r="A76" s="8">
        <v>42899.353912037041</v>
      </c>
      <c r="B76" s="20" t="s">
        <v>594</v>
      </c>
      <c r="C76" s="20" t="s">
        <v>678</v>
      </c>
      <c r="D76" s="141">
        <v>1110000</v>
      </c>
      <c r="E76" s="20" t="s">
        <v>529</v>
      </c>
      <c r="F76" s="20" t="s">
        <v>530</v>
      </c>
      <c r="G76" s="8" t="str">
        <f t="shared" si="1"/>
        <v>STARKS ANGELINA</v>
      </c>
    </row>
    <row r="77" spans="1:7" x14ac:dyDescent="0.25">
      <c r="A77" s="8">
        <v>42899.356782407405</v>
      </c>
      <c r="B77" s="20" t="s">
        <v>532</v>
      </c>
      <c r="C77" s="20" t="s">
        <v>679</v>
      </c>
      <c r="D77" s="141">
        <v>2010000</v>
      </c>
      <c r="E77" s="20" t="s">
        <v>493</v>
      </c>
      <c r="F77" s="20" t="s">
        <v>494</v>
      </c>
      <c r="G77" s="8" t="str">
        <f t="shared" si="1"/>
        <v>MAELZER KURT</v>
      </c>
    </row>
    <row r="78" spans="1:7" x14ac:dyDescent="0.25">
      <c r="A78" s="8">
        <v>42899.358553240738</v>
      </c>
      <c r="B78" s="20" t="s">
        <v>607</v>
      </c>
      <c r="C78" s="20" t="s">
        <v>680</v>
      </c>
      <c r="D78" s="141">
        <v>1360000</v>
      </c>
      <c r="E78" s="20" t="s">
        <v>535</v>
      </c>
      <c r="F78" s="20" t="s">
        <v>536</v>
      </c>
      <c r="G78" s="8" t="str">
        <f t="shared" si="1"/>
        <v>SANTIZO D. EDY</v>
      </c>
    </row>
    <row r="79" spans="1:7" x14ac:dyDescent="0.25">
      <c r="A79" s="8">
        <v>42899.360150462962</v>
      </c>
      <c r="B79" s="20" t="s">
        <v>458</v>
      </c>
      <c r="C79" s="20" t="s">
        <v>681</v>
      </c>
      <c r="D79" s="141">
        <v>2530000</v>
      </c>
      <c r="E79" s="20" t="s">
        <v>484</v>
      </c>
      <c r="F79" s="20" t="s">
        <v>485</v>
      </c>
      <c r="G79" s="8" t="str">
        <f t="shared" si="1"/>
        <v>LALONDE GREGORY</v>
      </c>
    </row>
    <row r="80" spans="1:7" x14ac:dyDescent="0.25">
      <c r="A80" s="8">
        <v>42899.360891203702</v>
      </c>
      <c r="B80" s="20" t="s">
        <v>446</v>
      </c>
      <c r="C80" s="20" t="s">
        <v>674</v>
      </c>
      <c r="D80" s="141">
        <v>940000</v>
      </c>
      <c r="E80" s="20" t="s">
        <v>527</v>
      </c>
      <c r="F80" s="20" t="s">
        <v>528</v>
      </c>
      <c r="G80" s="8" t="str">
        <f t="shared" si="1"/>
        <v>BONDS REYNALDO</v>
      </c>
    </row>
    <row r="81" spans="1:7" x14ac:dyDescent="0.25">
      <c r="A81" s="8">
        <v>42899.363819444443</v>
      </c>
      <c r="B81" s="20" t="s">
        <v>428</v>
      </c>
      <c r="C81" s="20" t="s">
        <v>682</v>
      </c>
      <c r="D81" s="141">
        <v>890000</v>
      </c>
      <c r="E81" s="20" t="s">
        <v>639</v>
      </c>
      <c r="F81" s="20" t="s">
        <v>640</v>
      </c>
      <c r="G81" s="8" t="str">
        <f t="shared" si="1"/>
        <v>LOZA FIDEL</v>
      </c>
    </row>
    <row r="82" spans="1:7" x14ac:dyDescent="0.25">
      <c r="A82" s="8">
        <v>42899.372708333336</v>
      </c>
      <c r="B82" s="20" t="s">
        <v>597</v>
      </c>
      <c r="C82" s="20" t="s">
        <v>683</v>
      </c>
      <c r="D82" s="141">
        <v>1360000</v>
      </c>
      <c r="E82" s="20" t="s">
        <v>535</v>
      </c>
      <c r="F82" s="20" t="s">
        <v>536</v>
      </c>
      <c r="G82" s="8" t="str">
        <f t="shared" si="1"/>
        <v>SANTIZO D. EDY</v>
      </c>
    </row>
    <row r="83" spans="1:7" x14ac:dyDescent="0.25">
      <c r="A83" s="8">
        <v>42899.373171296298</v>
      </c>
      <c r="B83" s="20" t="s">
        <v>612</v>
      </c>
      <c r="C83" s="20" t="s">
        <v>675</v>
      </c>
      <c r="D83" s="141">
        <v>2600000</v>
      </c>
      <c r="E83" s="20" t="s">
        <v>486</v>
      </c>
      <c r="F83" s="20" t="s">
        <v>487</v>
      </c>
      <c r="G83" s="8" t="str">
        <f t="shared" si="1"/>
        <v>DAVIDSON DAVID</v>
      </c>
    </row>
    <row r="84" spans="1:7" x14ac:dyDescent="0.25">
      <c r="A84" s="8">
        <v>42899.373391203706</v>
      </c>
      <c r="B84" s="20" t="s">
        <v>447</v>
      </c>
      <c r="C84" s="20" t="s">
        <v>684</v>
      </c>
      <c r="D84" s="141">
        <v>940000</v>
      </c>
      <c r="E84" s="20" t="s">
        <v>527</v>
      </c>
      <c r="F84" s="20" t="s">
        <v>528</v>
      </c>
      <c r="G84" s="8" t="str">
        <f t="shared" si="1"/>
        <v>BONDS REYNALDO</v>
      </c>
    </row>
    <row r="85" spans="1:7" x14ac:dyDescent="0.25">
      <c r="A85" s="8">
        <v>42899.380636574075</v>
      </c>
      <c r="B85" s="20" t="s">
        <v>532</v>
      </c>
      <c r="C85" s="20" t="s">
        <v>679</v>
      </c>
      <c r="D85" s="141">
        <v>2010000</v>
      </c>
      <c r="E85" s="20" t="s">
        <v>493</v>
      </c>
      <c r="F85" s="20" t="s">
        <v>494</v>
      </c>
      <c r="G85" s="8" t="str">
        <f t="shared" si="1"/>
        <v>MAELZER KURT</v>
      </c>
    </row>
    <row r="86" spans="1:7" x14ac:dyDescent="0.25">
      <c r="A86" s="8">
        <v>42899.382152777776</v>
      </c>
      <c r="B86" s="20" t="s">
        <v>589</v>
      </c>
      <c r="C86" s="20" t="s">
        <v>685</v>
      </c>
      <c r="D86" s="141">
        <v>2560000</v>
      </c>
      <c r="E86" s="20" t="s">
        <v>488</v>
      </c>
      <c r="F86" s="20" t="s">
        <v>369</v>
      </c>
      <c r="G86" s="8" t="str">
        <f t="shared" si="1"/>
        <v>MACDONALD THOMAS</v>
      </c>
    </row>
    <row r="87" spans="1:7" x14ac:dyDescent="0.25">
      <c r="A87" s="8">
        <v>42899.386053240742</v>
      </c>
      <c r="B87" s="20" t="s">
        <v>599</v>
      </c>
      <c r="C87" s="20" t="s">
        <v>600</v>
      </c>
      <c r="D87" s="141">
        <v>2600000</v>
      </c>
      <c r="E87" s="20" t="s">
        <v>486</v>
      </c>
      <c r="F87" s="20" t="s">
        <v>487</v>
      </c>
      <c r="G87" s="8" t="str">
        <f t="shared" si="1"/>
        <v>DAVIDSON DAVID</v>
      </c>
    </row>
    <row r="88" spans="1:7" x14ac:dyDescent="0.25">
      <c r="A88" s="8">
        <v>42899.39130787037</v>
      </c>
      <c r="B88" s="20" t="s">
        <v>458</v>
      </c>
      <c r="C88" s="20" t="s">
        <v>681</v>
      </c>
      <c r="D88" s="141">
        <v>2530000</v>
      </c>
      <c r="E88" s="20" t="s">
        <v>484</v>
      </c>
      <c r="F88" s="20" t="s">
        <v>485</v>
      </c>
      <c r="G88" s="8" t="str">
        <f t="shared" si="1"/>
        <v>LALONDE GREGORY</v>
      </c>
    </row>
    <row r="89" spans="1:7" x14ac:dyDescent="0.25">
      <c r="A89" s="8">
        <v>42899.392685185187</v>
      </c>
      <c r="B89" s="20" t="s">
        <v>591</v>
      </c>
      <c r="C89" s="20" t="s">
        <v>686</v>
      </c>
      <c r="D89" s="141">
        <v>1110000</v>
      </c>
      <c r="E89" s="20" t="s">
        <v>529</v>
      </c>
      <c r="F89" s="20" t="s">
        <v>530</v>
      </c>
      <c r="G89" s="8" t="str">
        <f t="shared" si="1"/>
        <v>STARKS ANGELINA</v>
      </c>
    </row>
    <row r="90" spans="1:7" x14ac:dyDescent="0.25">
      <c r="A90" s="8">
        <v>42899.393437500003</v>
      </c>
      <c r="B90" s="20" t="s">
        <v>525</v>
      </c>
      <c r="C90" s="20" t="s">
        <v>601</v>
      </c>
      <c r="D90" s="141">
        <v>2010000</v>
      </c>
      <c r="E90" s="20" t="s">
        <v>493</v>
      </c>
      <c r="F90" s="20" t="s">
        <v>494</v>
      </c>
      <c r="G90" s="8" t="str">
        <f t="shared" si="1"/>
        <v>MAELZER KURT</v>
      </c>
    </row>
    <row r="91" spans="1:7" x14ac:dyDescent="0.25">
      <c r="A91" s="8">
        <v>42899.395914351851</v>
      </c>
      <c r="B91" s="20" t="s">
        <v>426</v>
      </c>
      <c r="C91" s="20" t="s">
        <v>687</v>
      </c>
      <c r="D91" s="141">
        <v>890000</v>
      </c>
      <c r="E91" s="20" t="s">
        <v>639</v>
      </c>
      <c r="F91" s="20" t="s">
        <v>640</v>
      </c>
      <c r="G91" s="8" t="str">
        <f t="shared" si="1"/>
        <v>LOZA FIDEL</v>
      </c>
    </row>
    <row r="92" spans="1:7" x14ac:dyDescent="0.25">
      <c r="A92" s="8">
        <v>42899.400659722225</v>
      </c>
      <c r="B92" s="20" t="s">
        <v>607</v>
      </c>
      <c r="C92" s="20" t="s">
        <v>688</v>
      </c>
      <c r="D92" s="141">
        <v>1360000</v>
      </c>
      <c r="E92" s="20" t="s">
        <v>535</v>
      </c>
      <c r="F92" s="20" t="s">
        <v>536</v>
      </c>
      <c r="G92" s="8" t="str">
        <f t="shared" si="1"/>
        <v>SANTIZO D. EDY</v>
      </c>
    </row>
    <row r="93" spans="1:7" x14ac:dyDescent="0.25">
      <c r="A93" s="8">
        <v>42899.401412037034</v>
      </c>
      <c r="B93" s="20" t="s">
        <v>589</v>
      </c>
      <c r="C93" s="20" t="s">
        <v>685</v>
      </c>
      <c r="D93" s="141">
        <v>2560000</v>
      </c>
      <c r="E93" s="20" t="s">
        <v>488</v>
      </c>
      <c r="F93" s="20" t="s">
        <v>369</v>
      </c>
      <c r="G93" s="8" t="str">
        <f t="shared" si="1"/>
        <v>MACDONALD THOMAS</v>
      </c>
    </row>
    <row r="94" spans="1:7" x14ac:dyDescent="0.25">
      <c r="A94" s="8">
        <v>42899.403726851851</v>
      </c>
      <c r="B94" s="20" t="s">
        <v>457</v>
      </c>
      <c r="C94" s="20" t="s">
        <v>689</v>
      </c>
      <c r="D94" s="141">
        <v>2530000</v>
      </c>
      <c r="E94" s="20" t="s">
        <v>484</v>
      </c>
      <c r="F94" s="20" t="s">
        <v>485</v>
      </c>
      <c r="G94" s="8" t="str">
        <f t="shared" si="1"/>
        <v>LALONDE GREGORY</v>
      </c>
    </row>
    <row r="95" spans="1:7" x14ac:dyDescent="0.25">
      <c r="A95" s="8">
        <v>42899.410509259258</v>
      </c>
      <c r="B95" s="20" t="s">
        <v>446</v>
      </c>
      <c r="C95" s="20" t="s">
        <v>690</v>
      </c>
      <c r="D95" s="141">
        <v>940000</v>
      </c>
      <c r="E95" s="20" t="s">
        <v>527</v>
      </c>
      <c r="F95" s="20" t="s">
        <v>528</v>
      </c>
      <c r="G95" s="8" t="str">
        <f t="shared" si="1"/>
        <v>BONDS REYNALDO</v>
      </c>
    </row>
    <row r="96" spans="1:7" x14ac:dyDescent="0.25">
      <c r="A96" s="8">
        <v>42899.412754629629</v>
      </c>
      <c r="B96" s="20" t="s">
        <v>591</v>
      </c>
      <c r="C96" s="20" t="s">
        <v>686</v>
      </c>
      <c r="D96" s="141">
        <v>1110000</v>
      </c>
      <c r="E96" s="20" t="s">
        <v>529</v>
      </c>
      <c r="F96" s="20" t="s">
        <v>530</v>
      </c>
      <c r="G96" s="8" t="str">
        <f t="shared" si="1"/>
        <v>STARKS ANGELINA</v>
      </c>
    </row>
    <row r="97" spans="1:7" x14ac:dyDescent="0.25">
      <c r="A97" s="8">
        <v>42899.414097222223</v>
      </c>
      <c r="B97" s="20" t="s">
        <v>597</v>
      </c>
      <c r="C97" s="20" t="s">
        <v>691</v>
      </c>
      <c r="D97" s="141">
        <v>1360000</v>
      </c>
      <c r="E97" s="20" t="s">
        <v>535</v>
      </c>
      <c r="F97" s="20" t="s">
        <v>536</v>
      </c>
      <c r="G97" s="8" t="str">
        <f t="shared" si="1"/>
        <v>SANTIZO D. EDY</v>
      </c>
    </row>
    <row r="98" spans="1:7" x14ac:dyDescent="0.25">
      <c r="A98" s="8">
        <v>42899.415243055555</v>
      </c>
      <c r="B98" s="20" t="s">
        <v>403</v>
      </c>
      <c r="C98" s="20" t="s">
        <v>692</v>
      </c>
      <c r="D98" s="141">
        <v>2560000</v>
      </c>
      <c r="E98" s="20" t="s">
        <v>488</v>
      </c>
      <c r="F98" s="20" t="s">
        <v>369</v>
      </c>
      <c r="G98" s="8" t="str">
        <f t="shared" si="1"/>
        <v>MACDONALD THOMAS</v>
      </c>
    </row>
    <row r="99" spans="1:7" x14ac:dyDescent="0.25">
      <c r="A99" s="8">
        <v>42899.415706018517</v>
      </c>
      <c r="B99" s="20" t="s">
        <v>612</v>
      </c>
      <c r="C99" s="20" t="s">
        <v>693</v>
      </c>
      <c r="D99" s="141">
        <v>2600000</v>
      </c>
      <c r="E99" s="20" t="s">
        <v>486</v>
      </c>
      <c r="F99" s="20" t="s">
        <v>487</v>
      </c>
      <c r="G99" s="8" t="str">
        <f t="shared" si="1"/>
        <v>DAVIDSON DAVID</v>
      </c>
    </row>
    <row r="100" spans="1:7" x14ac:dyDescent="0.25">
      <c r="A100" s="8">
        <v>42899.423703703702</v>
      </c>
      <c r="B100" s="20" t="s">
        <v>426</v>
      </c>
      <c r="C100" s="20" t="s">
        <v>687</v>
      </c>
      <c r="D100" s="141">
        <v>890000</v>
      </c>
      <c r="E100" s="20" t="s">
        <v>639</v>
      </c>
      <c r="F100" s="20" t="s">
        <v>640</v>
      </c>
      <c r="G100" s="8" t="str">
        <f t="shared" si="1"/>
        <v>LOZA FIDEL</v>
      </c>
    </row>
    <row r="101" spans="1:7" x14ac:dyDescent="0.25">
      <c r="A101" s="8">
        <v>42899.426006944443</v>
      </c>
      <c r="B101" s="20" t="s">
        <v>594</v>
      </c>
      <c r="C101" s="20" t="s">
        <v>694</v>
      </c>
      <c r="D101" s="141">
        <v>1540000</v>
      </c>
      <c r="E101" s="20" t="s">
        <v>533</v>
      </c>
      <c r="F101" s="20" t="s">
        <v>534</v>
      </c>
      <c r="G101" s="8" t="str">
        <f t="shared" si="1"/>
        <v>HELVIE ADAM</v>
      </c>
    </row>
    <row r="102" spans="1:7" x14ac:dyDescent="0.25">
      <c r="A102" s="8">
        <v>42899.428761574076</v>
      </c>
      <c r="B102" s="20" t="s">
        <v>532</v>
      </c>
      <c r="C102" s="20" t="s">
        <v>695</v>
      </c>
      <c r="D102" s="141">
        <v>2010000</v>
      </c>
      <c r="E102" s="20" t="s">
        <v>493</v>
      </c>
      <c r="F102" s="20" t="s">
        <v>494</v>
      </c>
      <c r="G102" s="8" t="str">
        <f t="shared" si="1"/>
        <v>MAELZER KURT</v>
      </c>
    </row>
    <row r="103" spans="1:7" x14ac:dyDescent="0.25">
      <c r="A103" s="8">
        <v>42899.433182870373</v>
      </c>
      <c r="B103" s="20" t="s">
        <v>446</v>
      </c>
      <c r="C103" s="20" t="s">
        <v>690</v>
      </c>
      <c r="D103" s="141">
        <v>940000</v>
      </c>
      <c r="E103" s="20" t="s">
        <v>527</v>
      </c>
      <c r="F103" s="20" t="s">
        <v>528</v>
      </c>
      <c r="G103" s="8" t="str">
        <f t="shared" si="1"/>
        <v>BONDS REYNALDO</v>
      </c>
    </row>
    <row r="104" spans="1:7" x14ac:dyDescent="0.25">
      <c r="A104" s="8">
        <v>42899.433506944442</v>
      </c>
      <c r="B104" s="20" t="s">
        <v>458</v>
      </c>
      <c r="C104" s="20" t="s">
        <v>696</v>
      </c>
      <c r="D104" s="141">
        <v>2530000</v>
      </c>
      <c r="E104" s="20" t="s">
        <v>484</v>
      </c>
      <c r="F104" s="20" t="s">
        <v>485</v>
      </c>
      <c r="G104" s="8" t="str">
        <f t="shared" si="1"/>
        <v>LALONDE GREGORY</v>
      </c>
    </row>
    <row r="105" spans="1:7" x14ac:dyDescent="0.25">
      <c r="A105" s="8">
        <v>42899.436759259261</v>
      </c>
      <c r="B105" s="20" t="s">
        <v>428</v>
      </c>
      <c r="C105" s="20" t="s">
        <v>602</v>
      </c>
      <c r="D105" s="141">
        <v>890000</v>
      </c>
      <c r="E105" s="20" t="s">
        <v>639</v>
      </c>
      <c r="F105" s="20" t="s">
        <v>640</v>
      </c>
      <c r="G105" s="8" t="str">
        <f t="shared" si="1"/>
        <v>LOZA FIDEL</v>
      </c>
    </row>
    <row r="106" spans="1:7" x14ac:dyDescent="0.25">
      <c r="A106" s="8">
        <v>42899.44189814815</v>
      </c>
      <c r="B106" s="20" t="s">
        <v>607</v>
      </c>
      <c r="C106" s="20" t="s">
        <v>697</v>
      </c>
      <c r="D106" s="141">
        <v>1360000</v>
      </c>
      <c r="E106" s="20" t="s">
        <v>535</v>
      </c>
      <c r="F106" s="20" t="s">
        <v>536</v>
      </c>
      <c r="G106" s="8" t="str">
        <f t="shared" si="1"/>
        <v>SANTIZO D. EDY</v>
      </c>
    </row>
    <row r="107" spans="1:7" x14ac:dyDescent="0.25">
      <c r="A107" s="8">
        <v>42899.442662037036</v>
      </c>
      <c r="B107" s="20" t="s">
        <v>612</v>
      </c>
      <c r="C107" s="20" t="s">
        <v>693</v>
      </c>
      <c r="D107" s="141">
        <v>2600000</v>
      </c>
      <c r="E107" s="20" t="s">
        <v>486</v>
      </c>
      <c r="F107" s="20" t="s">
        <v>487</v>
      </c>
      <c r="G107" s="8" t="str">
        <f t="shared" si="1"/>
        <v>DAVIDSON DAVID</v>
      </c>
    </row>
    <row r="108" spans="1:7" x14ac:dyDescent="0.25">
      <c r="A108" s="8">
        <v>42899.442858796298</v>
      </c>
      <c r="B108" s="20" t="s">
        <v>531</v>
      </c>
      <c r="C108" s="20" t="s">
        <v>603</v>
      </c>
      <c r="D108" s="141">
        <v>1800000</v>
      </c>
      <c r="E108" s="20" t="s">
        <v>380</v>
      </c>
      <c r="F108" s="20" t="s">
        <v>381</v>
      </c>
      <c r="G108" s="8" t="str">
        <f t="shared" si="1"/>
        <v>CHANDLER KELVIN</v>
      </c>
    </row>
    <row r="109" spans="1:7" x14ac:dyDescent="0.25">
      <c r="A109" s="8">
        <v>42899.447928240741</v>
      </c>
      <c r="B109" s="20" t="s">
        <v>447</v>
      </c>
      <c r="C109" s="20" t="s">
        <v>698</v>
      </c>
      <c r="D109" s="141">
        <v>920000</v>
      </c>
      <c r="E109" s="20" t="s">
        <v>418</v>
      </c>
      <c r="F109" s="20" t="s">
        <v>194</v>
      </c>
      <c r="G109" s="8" t="str">
        <f t="shared" si="1"/>
        <v>DAVIS MICHAEL</v>
      </c>
    </row>
    <row r="110" spans="1:7" x14ac:dyDescent="0.25">
      <c r="A110" s="8">
        <v>42899.454027777778</v>
      </c>
      <c r="B110" s="20" t="s">
        <v>532</v>
      </c>
      <c r="C110" s="20" t="s">
        <v>695</v>
      </c>
      <c r="D110" s="141">
        <v>2010000</v>
      </c>
      <c r="E110" s="20" t="s">
        <v>493</v>
      </c>
      <c r="F110" s="20" t="s">
        <v>494</v>
      </c>
      <c r="G110" s="8" t="str">
        <f t="shared" si="1"/>
        <v>MAELZER KURT</v>
      </c>
    </row>
    <row r="111" spans="1:7" x14ac:dyDescent="0.25">
      <c r="A111" s="8">
        <v>42899.454699074071</v>
      </c>
      <c r="B111" s="20" t="s">
        <v>589</v>
      </c>
      <c r="C111" s="20" t="s">
        <v>604</v>
      </c>
      <c r="D111" s="141">
        <v>2560000</v>
      </c>
      <c r="E111" s="20" t="s">
        <v>488</v>
      </c>
      <c r="F111" s="20" t="s">
        <v>369</v>
      </c>
      <c r="G111" s="8" t="str">
        <f t="shared" si="1"/>
        <v>MACDONALD THOMAS</v>
      </c>
    </row>
    <row r="112" spans="1:7" x14ac:dyDescent="0.25">
      <c r="A112" s="8">
        <v>42899.455567129633</v>
      </c>
      <c r="B112" s="20" t="s">
        <v>599</v>
      </c>
      <c r="C112" s="20" t="s">
        <v>699</v>
      </c>
      <c r="D112" s="141">
        <v>2600000</v>
      </c>
      <c r="E112" s="20" t="s">
        <v>486</v>
      </c>
      <c r="F112" s="20" t="s">
        <v>487</v>
      </c>
      <c r="G112" s="8" t="str">
        <f t="shared" si="1"/>
        <v>DAVIDSON DAVID</v>
      </c>
    </row>
    <row r="113" spans="1:7" x14ac:dyDescent="0.25">
      <c r="A113" s="8">
        <v>42899.457245370373</v>
      </c>
      <c r="B113" s="20" t="s">
        <v>597</v>
      </c>
      <c r="C113" s="20" t="s">
        <v>700</v>
      </c>
      <c r="D113" s="141">
        <v>1360000</v>
      </c>
      <c r="E113" s="20" t="s">
        <v>535</v>
      </c>
      <c r="F113" s="20" t="s">
        <v>536</v>
      </c>
      <c r="G113" s="8" t="str">
        <f t="shared" si="1"/>
        <v>SANTIZO D. EDY</v>
      </c>
    </row>
    <row r="114" spans="1:7" x14ac:dyDescent="0.25">
      <c r="A114" s="8">
        <v>42899.462881944448</v>
      </c>
      <c r="B114" s="20" t="s">
        <v>458</v>
      </c>
      <c r="C114" s="20" t="s">
        <v>696</v>
      </c>
      <c r="D114" s="141">
        <v>2530000</v>
      </c>
      <c r="E114" s="20" t="s">
        <v>484</v>
      </c>
      <c r="F114" s="20" t="s">
        <v>485</v>
      </c>
      <c r="G114" s="8" t="str">
        <f t="shared" si="1"/>
        <v>LALONDE GREGORY</v>
      </c>
    </row>
    <row r="115" spans="1:7" x14ac:dyDescent="0.25">
      <c r="A115" s="8">
        <v>42899.463518518518</v>
      </c>
      <c r="B115" s="20" t="s">
        <v>591</v>
      </c>
      <c r="C115" s="20" t="s">
        <v>701</v>
      </c>
      <c r="D115" s="141">
        <v>1540000</v>
      </c>
      <c r="E115" s="20" t="s">
        <v>533</v>
      </c>
      <c r="F115" s="20" t="s">
        <v>534</v>
      </c>
      <c r="G115" s="8" t="str">
        <f t="shared" si="1"/>
        <v>HELVIE ADAM</v>
      </c>
    </row>
    <row r="116" spans="1:7" x14ac:dyDescent="0.25">
      <c r="A116" s="8">
        <v>42899.47042824074</v>
      </c>
      <c r="B116" s="20" t="s">
        <v>525</v>
      </c>
      <c r="C116" s="20" t="s">
        <v>702</v>
      </c>
      <c r="D116" s="141">
        <v>880000</v>
      </c>
      <c r="E116" s="20" t="s">
        <v>703</v>
      </c>
      <c r="F116" s="20" t="s">
        <v>194</v>
      </c>
      <c r="G116" s="8" t="str">
        <f t="shared" si="1"/>
        <v>STEWART MICHAEL</v>
      </c>
    </row>
    <row r="117" spans="1:7" x14ac:dyDescent="0.25">
      <c r="A117" s="8">
        <v>42899.470856481479</v>
      </c>
      <c r="B117" s="20" t="s">
        <v>426</v>
      </c>
      <c r="C117" s="20" t="s">
        <v>704</v>
      </c>
      <c r="D117" s="141">
        <v>890000</v>
      </c>
      <c r="E117" s="20" t="s">
        <v>639</v>
      </c>
      <c r="F117" s="20" t="s">
        <v>640</v>
      </c>
      <c r="G117" s="8" t="str">
        <f t="shared" si="1"/>
        <v>LOZA FIDEL</v>
      </c>
    </row>
    <row r="118" spans="1:7" x14ac:dyDescent="0.25">
      <c r="A118" s="8">
        <v>42899.474386574075</v>
      </c>
      <c r="B118" s="20" t="s">
        <v>589</v>
      </c>
      <c r="C118" s="20" t="s">
        <v>604</v>
      </c>
      <c r="D118" s="141">
        <v>2560000</v>
      </c>
      <c r="E118" s="20" t="s">
        <v>488</v>
      </c>
      <c r="F118" s="20" t="s">
        <v>369</v>
      </c>
      <c r="G118" s="8" t="str">
        <f t="shared" si="1"/>
        <v>MACDONALD THOMAS</v>
      </c>
    </row>
    <row r="119" spans="1:7" x14ac:dyDescent="0.25">
      <c r="A119" s="8">
        <v>42899.475995370369</v>
      </c>
      <c r="B119" s="20" t="s">
        <v>457</v>
      </c>
      <c r="C119" s="20" t="s">
        <v>705</v>
      </c>
      <c r="D119" s="141">
        <v>1810000</v>
      </c>
      <c r="E119" s="20" t="s">
        <v>370</v>
      </c>
      <c r="F119" s="20" t="s">
        <v>191</v>
      </c>
      <c r="G119" s="8" t="str">
        <f t="shared" si="1"/>
        <v>NEWELL JAMES</v>
      </c>
    </row>
    <row r="120" spans="1:7" x14ac:dyDescent="0.25">
      <c r="A120" s="8">
        <v>42899.480486111112</v>
      </c>
      <c r="B120" s="20" t="s">
        <v>526</v>
      </c>
      <c r="C120" s="20" t="s">
        <v>706</v>
      </c>
      <c r="D120" s="141">
        <v>2010000</v>
      </c>
      <c r="E120" s="20" t="s">
        <v>493</v>
      </c>
      <c r="F120" s="20" t="s">
        <v>494</v>
      </c>
      <c r="G120" s="8" t="str">
        <f t="shared" si="1"/>
        <v>MAELZER KURT</v>
      </c>
    </row>
    <row r="121" spans="1:7" x14ac:dyDescent="0.25">
      <c r="A121" s="8">
        <v>42899.483553240738</v>
      </c>
      <c r="B121" s="20" t="s">
        <v>607</v>
      </c>
      <c r="C121" s="20" t="s">
        <v>707</v>
      </c>
      <c r="D121" s="141">
        <v>1360000</v>
      </c>
      <c r="E121" s="20" t="s">
        <v>535</v>
      </c>
      <c r="F121" s="20" t="s">
        <v>536</v>
      </c>
      <c r="G121" s="8" t="str">
        <f t="shared" si="1"/>
        <v>SANTIZO D. EDY</v>
      </c>
    </row>
    <row r="122" spans="1:7" x14ac:dyDescent="0.25">
      <c r="A122" s="8">
        <v>42899.485358796293</v>
      </c>
      <c r="B122" s="25" t="s">
        <v>591</v>
      </c>
      <c r="C122" s="20" t="s">
        <v>701</v>
      </c>
      <c r="D122" s="141">
        <v>1540000</v>
      </c>
      <c r="E122" s="20" t="s">
        <v>533</v>
      </c>
      <c r="F122" s="20" t="s">
        <v>534</v>
      </c>
      <c r="G122" s="8" t="str">
        <f t="shared" si="1"/>
        <v>HELVIE ADAM</v>
      </c>
    </row>
    <row r="123" spans="1:7" x14ac:dyDescent="0.25">
      <c r="A123" s="8">
        <v>42899.486400462964</v>
      </c>
      <c r="B123" s="20" t="s">
        <v>446</v>
      </c>
      <c r="C123" s="20" t="s">
        <v>708</v>
      </c>
      <c r="D123" s="141">
        <v>920000</v>
      </c>
      <c r="E123" s="20" t="s">
        <v>418</v>
      </c>
      <c r="F123" s="20" t="s">
        <v>194</v>
      </c>
      <c r="G123" s="8" t="str">
        <f t="shared" si="1"/>
        <v>DAVIS MICHAEL</v>
      </c>
    </row>
    <row r="124" spans="1:7" x14ac:dyDescent="0.25">
      <c r="A124" s="8">
        <v>42899.48878472222</v>
      </c>
      <c r="B124" s="20" t="s">
        <v>403</v>
      </c>
      <c r="C124" s="20" t="s">
        <v>709</v>
      </c>
      <c r="D124" s="141">
        <v>1300000</v>
      </c>
      <c r="E124" s="20" t="s">
        <v>710</v>
      </c>
      <c r="F124" s="20" t="s">
        <v>711</v>
      </c>
      <c r="G124" s="8" t="str">
        <f t="shared" si="1"/>
        <v>LEVIN SCOTT</v>
      </c>
    </row>
    <row r="125" spans="1:7" x14ac:dyDescent="0.25">
      <c r="A125" s="8">
        <v>42899.489085648151</v>
      </c>
      <c r="B125" s="20" t="s">
        <v>612</v>
      </c>
      <c r="C125" s="20" t="s">
        <v>712</v>
      </c>
      <c r="D125" s="141">
        <v>2600000</v>
      </c>
      <c r="E125" s="20" t="s">
        <v>486</v>
      </c>
      <c r="F125" s="20" t="s">
        <v>487</v>
      </c>
      <c r="G125" s="8" t="str">
        <f t="shared" si="1"/>
        <v>DAVIDSON DAVID</v>
      </c>
    </row>
    <row r="126" spans="1:7" x14ac:dyDescent="0.25">
      <c r="A126" s="8">
        <v>42899.496261574073</v>
      </c>
      <c r="B126" s="20" t="s">
        <v>426</v>
      </c>
      <c r="C126" s="20" t="s">
        <v>704</v>
      </c>
      <c r="D126" s="141">
        <v>890000</v>
      </c>
      <c r="E126" s="20" t="s">
        <v>639</v>
      </c>
      <c r="F126" s="20" t="s">
        <v>640</v>
      </c>
      <c r="G126" s="8" t="str">
        <f t="shared" si="1"/>
        <v>LOZA FIDEL</v>
      </c>
    </row>
    <row r="127" spans="1:7" x14ac:dyDescent="0.25">
      <c r="A127" s="8">
        <v>42899.497488425928</v>
      </c>
      <c r="B127" s="20" t="s">
        <v>597</v>
      </c>
      <c r="C127" s="20" t="s">
        <v>713</v>
      </c>
      <c r="D127" s="141">
        <v>1360000</v>
      </c>
      <c r="E127" s="20" t="s">
        <v>535</v>
      </c>
      <c r="F127" s="20" t="s">
        <v>536</v>
      </c>
      <c r="G127" s="8" t="str">
        <f t="shared" si="1"/>
        <v>SANTIZO D. EDY</v>
      </c>
    </row>
    <row r="128" spans="1:7" x14ac:dyDescent="0.25">
      <c r="A128" s="8">
        <v>42899.49895833333</v>
      </c>
      <c r="B128" s="20" t="s">
        <v>594</v>
      </c>
      <c r="C128" s="20" t="s">
        <v>714</v>
      </c>
      <c r="D128" s="141">
        <v>2140000</v>
      </c>
      <c r="E128" s="20" t="s">
        <v>415</v>
      </c>
      <c r="F128" s="20" t="s">
        <v>416</v>
      </c>
      <c r="G128" s="8" t="str">
        <f t="shared" si="1"/>
        <v>ROBINSON KADDIBA</v>
      </c>
    </row>
    <row r="129" spans="1:7" x14ac:dyDescent="0.25">
      <c r="A129" s="8">
        <v>42899.505810185183</v>
      </c>
      <c r="B129" s="20" t="s">
        <v>458</v>
      </c>
      <c r="C129" s="20" t="s">
        <v>715</v>
      </c>
      <c r="D129" s="141">
        <v>1810000</v>
      </c>
      <c r="E129" s="20" t="s">
        <v>370</v>
      </c>
      <c r="F129" s="20" t="s">
        <v>191</v>
      </c>
      <c r="G129" s="8" t="str">
        <f t="shared" si="1"/>
        <v>NEWELL JAMES</v>
      </c>
    </row>
    <row r="130" spans="1:7" x14ac:dyDescent="0.25">
      <c r="A130" s="8">
        <v>42899.507233796299</v>
      </c>
      <c r="B130" s="20" t="s">
        <v>532</v>
      </c>
      <c r="C130" s="20" t="s">
        <v>716</v>
      </c>
      <c r="D130" s="141">
        <v>880000</v>
      </c>
      <c r="E130" s="20" t="s">
        <v>703</v>
      </c>
      <c r="F130" s="20" t="s">
        <v>194</v>
      </c>
      <c r="G130" s="8" t="str">
        <f t="shared" si="1"/>
        <v>STEWART MICHAEL</v>
      </c>
    </row>
    <row r="131" spans="1:7" x14ac:dyDescent="0.25">
      <c r="A131" s="8">
        <v>42899.50849537037</v>
      </c>
      <c r="B131" s="20" t="s">
        <v>446</v>
      </c>
      <c r="C131" s="20" t="s">
        <v>708</v>
      </c>
      <c r="D131" s="141">
        <v>920000</v>
      </c>
      <c r="E131" s="20" t="s">
        <v>418</v>
      </c>
      <c r="F131" s="20" t="s">
        <v>194</v>
      </c>
      <c r="G131" s="8" t="str">
        <f t="shared" ref="G131:G194" si="2">E131&amp;" "&amp;F131</f>
        <v>DAVIS MICHAEL</v>
      </c>
    </row>
    <row r="132" spans="1:7" x14ac:dyDescent="0.25">
      <c r="A132" s="8">
        <v>42899.510868055557</v>
      </c>
      <c r="B132" s="20" t="s">
        <v>428</v>
      </c>
      <c r="C132" s="20" t="s">
        <v>717</v>
      </c>
      <c r="D132" s="141">
        <v>2360000</v>
      </c>
      <c r="E132" s="20" t="s">
        <v>489</v>
      </c>
      <c r="F132" s="20" t="s">
        <v>490</v>
      </c>
      <c r="G132" s="8" t="str">
        <f t="shared" si="2"/>
        <v>BRANDNER MELINDA</v>
      </c>
    </row>
    <row r="133" spans="1:7" x14ac:dyDescent="0.25">
      <c r="A133" s="8">
        <v>42899.515868055554</v>
      </c>
      <c r="B133" s="20" t="s">
        <v>612</v>
      </c>
      <c r="C133" s="20" t="s">
        <v>712</v>
      </c>
      <c r="D133" s="141">
        <v>2600000</v>
      </c>
      <c r="E133" s="20" t="s">
        <v>486</v>
      </c>
      <c r="F133" s="20" t="s">
        <v>487</v>
      </c>
      <c r="G133" s="8" t="str">
        <f t="shared" si="2"/>
        <v>DAVIDSON DAVID</v>
      </c>
    </row>
    <row r="134" spans="1:7" x14ac:dyDescent="0.25">
      <c r="A134" s="8">
        <v>42899.52306712963</v>
      </c>
      <c r="B134" s="20" t="s">
        <v>447</v>
      </c>
      <c r="C134" s="20" t="s">
        <v>718</v>
      </c>
      <c r="D134" s="141">
        <v>920000</v>
      </c>
      <c r="E134" s="20" t="s">
        <v>418</v>
      </c>
      <c r="F134" s="20" t="s">
        <v>194</v>
      </c>
      <c r="G134" s="8" t="str">
        <f t="shared" si="2"/>
        <v>DAVIS MICHAEL</v>
      </c>
    </row>
    <row r="135" spans="1:7" x14ac:dyDescent="0.25">
      <c r="A135" s="8">
        <v>42899.524976851855</v>
      </c>
      <c r="B135" s="20" t="s">
        <v>607</v>
      </c>
      <c r="C135" s="20" t="s">
        <v>719</v>
      </c>
      <c r="D135" s="141">
        <v>1360000</v>
      </c>
      <c r="E135" s="20" t="s">
        <v>535</v>
      </c>
      <c r="F135" s="20" t="s">
        <v>536</v>
      </c>
      <c r="G135" s="8" t="str">
        <f t="shared" si="2"/>
        <v>SANTIZO D. EDY</v>
      </c>
    </row>
    <row r="136" spans="1:7" x14ac:dyDescent="0.25">
      <c r="A136" s="8">
        <v>42899.528402777774</v>
      </c>
      <c r="B136" s="20" t="s">
        <v>589</v>
      </c>
      <c r="C136" s="20" t="s">
        <v>720</v>
      </c>
      <c r="D136" s="141">
        <v>1300000</v>
      </c>
      <c r="E136" s="20" t="s">
        <v>710</v>
      </c>
      <c r="F136" s="20" t="s">
        <v>711</v>
      </c>
      <c r="G136" s="8" t="str">
        <f t="shared" si="2"/>
        <v>LEVIN SCOTT</v>
      </c>
    </row>
    <row r="137" spans="1:7" x14ac:dyDescent="0.25">
      <c r="A137" s="8">
        <v>42899.531354166669</v>
      </c>
      <c r="B137" s="20" t="s">
        <v>599</v>
      </c>
      <c r="C137" s="20" t="s">
        <v>721</v>
      </c>
      <c r="D137" s="141">
        <v>2540000</v>
      </c>
      <c r="E137" s="20" t="s">
        <v>537</v>
      </c>
      <c r="F137" s="20" t="s">
        <v>538</v>
      </c>
      <c r="G137" s="8" t="str">
        <f t="shared" si="2"/>
        <v>MCREYNOLDS KYLE</v>
      </c>
    </row>
    <row r="138" spans="1:7" x14ac:dyDescent="0.25">
      <c r="A138" s="8">
        <v>42899.537280092591</v>
      </c>
      <c r="B138" s="20" t="s">
        <v>458</v>
      </c>
      <c r="C138" s="20" t="s">
        <v>715</v>
      </c>
      <c r="D138" s="141">
        <v>1810000</v>
      </c>
      <c r="E138" s="20" t="s">
        <v>370</v>
      </c>
      <c r="F138" s="20" t="s">
        <v>191</v>
      </c>
      <c r="G138" s="8" t="str">
        <f t="shared" si="2"/>
        <v>NEWELL JAMES</v>
      </c>
    </row>
    <row r="139" spans="1:7" x14ac:dyDescent="0.25">
      <c r="A139" s="8">
        <v>42899.537581018521</v>
      </c>
      <c r="B139" s="20" t="s">
        <v>591</v>
      </c>
      <c r="C139" s="20" t="s">
        <v>722</v>
      </c>
      <c r="D139" s="141">
        <v>2140000</v>
      </c>
      <c r="E139" s="20" t="s">
        <v>415</v>
      </c>
      <c r="F139" s="20" t="s">
        <v>416</v>
      </c>
      <c r="G139" s="8" t="str">
        <f t="shared" si="2"/>
        <v>ROBINSON KADDIBA</v>
      </c>
    </row>
    <row r="140" spans="1:7" x14ac:dyDescent="0.25">
      <c r="A140" s="8">
        <v>42899.538680555554</v>
      </c>
      <c r="B140" s="20" t="s">
        <v>525</v>
      </c>
      <c r="C140" s="20" t="s">
        <v>723</v>
      </c>
      <c r="D140" s="141">
        <v>880000</v>
      </c>
      <c r="E140" s="20" t="s">
        <v>703</v>
      </c>
      <c r="F140" s="20" t="s">
        <v>194</v>
      </c>
      <c r="G140" s="8" t="str">
        <f t="shared" si="2"/>
        <v>STEWART MICHAEL</v>
      </c>
    </row>
    <row r="141" spans="1:7" x14ac:dyDescent="0.25">
      <c r="A141" s="8">
        <v>42899.545023148145</v>
      </c>
      <c r="B141" s="20" t="s">
        <v>597</v>
      </c>
      <c r="C141" s="20" t="s">
        <v>724</v>
      </c>
      <c r="D141" s="141">
        <v>1770000</v>
      </c>
      <c r="E141" s="20" t="s">
        <v>491</v>
      </c>
      <c r="F141" s="20" t="s">
        <v>492</v>
      </c>
      <c r="G141" s="8" t="str">
        <f t="shared" si="2"/>
        <v>BRUDER RICHARD</v>
      </c>
    </row>
    <row r="142" spans="1:7" x14ac:dyDescent="0.25">
      <c r="A142" s="8">
        <v>42899.547523148147</v>
      </c>
      <c r="B142" s="20" t="s">
        <v>589</v>
      </c>
      <c r="C142" s="20" t="s">
        <v>720</v>
      </c>
      <c r="D142" s="141">
        <v>1300000</v>
      </c>
      <c r="E142" s="20" t="s">
        <v>710</v>
      </c>
      <c r="F142" s="20" t="s">
        <v>711</v>
      </c>
      <c r="G142" s="8" t="str">
        <f t="shared" si="2"/>
        <v>LEVIN SCOTT</v>
      </c>
    </row>
    <row r="143" spans="1:7" x14ac:dyDescent="0.25">
      <c r="A143" s="8">
        <v>42899.549351851849</v>
      </c>
      <c r="B143" s="20" t="s">
        <v>457</v>
      </c>
      <c r="C143" s="20" t="s">
        <v>725</v>
      </c>
      <c r="D143" s="141">
        <v>1810000</v>
      </c>
      <c r="E143" s="20" t="s">
        <v>370</v>
      </c>
      <c r="F143" s="20" t="s">
        <v>191</v>
      </c>
      <c r="G143" s="8" t="str">
        <f t="shared" si="2"/>
        <v>NEWELL JAMES</v>
      </c>
    </row>
    <row r="144" spans="1:7" x14ac:dyDescent="0.25">
      <c r="A144" s="8">
        <v>42899.549432870372</v>
      </c>
      <c r="B144" s="20" t="s">
        <v>426</v>
      </c>
      <c r="C144" s="20" t="s">
        <v>726</v>
      </c>
      <c r="D144" s="141">
        <v>2360000</v>
      </c>
      <c r="E144" s="20" t="s">
        <v>489</v>
      </c>
      <c r="F144" s="20" t="s">
        <v>490</v>
      </c>
      <c r="G144" s="8" t="str">
        <f t="shared" si="2"/>
        <v>BRANDNER MELINDA</v>
      </c>
    </row>
    <row r="145" spans="1:7" x14ac:dyDescent="0.25">
      <c r="A145" s="8">
        <v>42899.559398148151</v>
      </c>
      <c r="B145" s="20" t="s">
        <v>403</v>
      </c>
      <c r="C145" s="20" t="s">
        <v>727</v>
      </c>
      <c r="D145" s="141">
        <v>1300000</v>
      </c>
      <c r="E145" s="20" t="s">
        <v>710</v>
      </c>
      <c r="F145" s="20" t="s">
        <v>711</v>
      </c>
      <c r="G145" s="8" t="str">
        <f t="shared" si="2"/>
        <v>LEVIN SCOTT</v>
      </c>
    </row>
    <row r="146" spans="1:7" x14ac:dyDescent="0.25">
      <c r="A146" s="8">
        <v>42899.559513888889</v>
      </c>
      <c r="B146" s="20" t="s">
        <v>446</v>
      </c>
      <c r="C146" s="20" t="s">
        <v>728</v>
      </c>
      <c r="D146" s="141">
        <v>920000</v>
      </c>
      <c r="E146" s="20" t="s">
        <v>418</v>
      </c>
      <c r="F146" s="20" t="s">
        <v>194</v>
      </c>
      <c r="G146" s="8" t="str">
        <f t="shared" si="2"/>
        <v>DAVIS MICHAEL</v>
      </c>
    </row>
    <row r="147" spans="1:7" x14ac:dyDescent="0.25">
      <c r="A147" s="8">
        <v>42899.5625462963</v>
      </c>
      <c r="B147" s="20" t="s">
        <v>360</v>
      </c>
      <c r="C147" s="20" t="s">
        <v>729</v>
      </c>
      <c r="D147" s="141">
        <v>1800000</v>
      </c>
      <c r="E147" s="20" t="s">
        <v>380</v>
      </c>
      <c r="F147" s="20" t="s">
        <v>381</v>
      </c>
      <c r="G147" s="8" t="str">
        <f t="shared" si="2"/>
        <v>CHANDLER KELVIN</v>
      </c>
    </row>
    <row r="148" spans="1:7" x14ac:dyDescent="0.25">
      <c r="A148" s="8">
        <v>42899.56826388889</v>
      </c>
      <c r="B148" s="20" t="s">
        <v>607</v>
      </c>
      <c r="C148" s="20" t="s">
        <v>730</v>
      </c>
      <c r="D148" s="141">
        <v>1770000</v>
      </c>
      <c r="E148" s="20" t="s">
        <v>491</v>
      </c>
      <c r="F148" s="20" t="s">
        <v>492</v>
      </c>
      <c r="G148" s="8" t="str">
        <f t="shared" si="2"/>
        <v>BRUDER RICHARD</v>
      </c>
    </row>
    <row r="149" spans="1:7" x14ac:dyDescent="0.25">
      <c r="A149" s="8">
        <v>42899.569733796299</v>
      </c>
      <c r="B149" s="20" t="s">
        <v>612</v>
      </c>
      <c r="C149" s="20" t="s">
        <v>731</v>
      </c>
      <c r="D149" s="141">
        <v>2540000</v>
      </c>
      <c r="E149" s="20" t="s">
        <v>537</v>
      </c>
      <c r="F149" s="20" t="s">
        <v>538</v>
      </c>
      <c r="G149" s="8" t="str">
        <f t="shared" si="2"/>
        <v>MCREYNOLDS KYLE</v>
      </c>
    </row>
    <row r="150" spans="1:7" x14ac:dyDescent="0.25">
      <c r="A150" s="8">
        <v>42899.570960648147</v>
      </c>
      <c r="B150" s="20" t="s">
        <v>594</v>
      </c>
      <c r="C150" s="20" t="s">
        <v>732</v>
      </c>
      <c r="D150" s="141">
        <v>2140000</v>
      </c>
      <c r="E150" s="20" t="s">
        <v>415</v>
      </c>
      <c r="F150" s="20" t="s">
        <v>416</v>
      </c>
      <c r="G150" s="8" t="str">
        <f t="shared" si="2"/>
        <v>ROBINSON KADDIBA</v>
      </c>
    </row>
    <row r="151" spans="1:7" x14ac:dyDescent="0.25">
      <c r="A151" s="8">
        <v>42899.571226851855</v>
      </c>
      <c r="B151" s="20" t="s">
        <v>417</v>
      </c>
      <c r="C151" s="20" t="s">
        <v>729</v>
      </c>
      <c r="D151" s="141">
        <v>1800000</v>
      </c>
      <c r="E151" s="20" t="s">
        <v>380</v>
      </c>
      <c r="F151" s="20" t="s">
        <v>381</v>
      </c>
      <c r="G151" s="8" t="str">
        <f t="shared" si="2"/>
        <v>CHANDLER KELVIN</v>
      </c>
    </row>
    <row r="152" spans="1:7" x14ac:dyDescent="0.25">
      <c r="A152" s="8">
        <v>42899.578055555554</v>
      </c>
      <c r="B152" s="20" t="s">
        <v>360</v>
      </c>
      <c r="C152" s="20" t="s">
        <v>605</v>
      </c>
      <c r="D152" s="141">
        <v>2360000</v>
      </c>
      <c r="E152" s="20" t="s">
        <v>489</v>
      </c>
      <c r="F152" s="20" t="s">
        <v>490</v>
      </c>
      <c r="G152" s="8" t="str">
        <f t="shared" si="2"/>
        <v>BRANDNER MELINDA</v>
      </c>
    </row>
    <row r="153" spans="1:7" x14ac:dyDescent="0.25">
      <c r="A153" s="8">
        <v>42899.579351851855</v>
      </c>
      <c r="B153" s="20" t="s">
        <v>458</v>
      </c>
      <c r="C153" s="20" t="s">
        <v>733</v>
      </c>
      <c r="D153" s="141">
        <v>1810000</v>
      </c>
      <c r="E153" s="20" t="s">
        <v>370</v>
      </c>
      <c r="F153" s="20" t="s">
        <v>191</v>
      </c>
      <c r="G153" s="8" t="str">
        <f t="shared" si="2"/>
        <v>NEWELL JAMES</v>
      </c>
    </row>
    <row r="154" spans="1:7" x14ac:dyDescent="0.25">
      <c r="A154" s="8">
        <v>42899.579560185186</v>
      </c>
      <c r="B154" s="20" t="s">
        <v>532</v>
      </c>
      <c r="C154" s="20" t="s">
        <v>734</v>
      </c>
      <c r="D154" s="141">
        <v>880000</v>
      </c>
      <c r="E154" s="20" t="s">
        <v>703</v>
      </c>
      <c r="F154" s="20" t="s">
        <v>194</v>
      </c>
      <c r="G154" s="8" t="str">
        <f t="shared" si="2"/>
        <v>STEWART MICHAEL</v>
      </c>
    </row>
    <row r="155" spans="1:7" x14ac:dyDescent="0.25">
      <c r="A155" s="8">
        <v>42899.587858796294</v>
      </c>
      <c r="B155" s="20" t="s">
        <v>612</v>
      </c>
      <c r="C155" s="20" t="s">
        <v>731</v>
      </c>
      <c r="D155" s="141">
        <v>2540000</v>
      </c>
      <c r="E155" s="20" t="s">
        <v>537</v>
      </c>
      <c r="F155" s="20" t="s">
        <v>538</v>
      </c>
      <c r="G155" s="8" t="str">
        <f t="shared" si="2"/>
        <v>MCREYNOLDS KYLE</v>
      </c>
    </row>
    <row r="156" spans="1:7" x14ac:dyDescent="0.25">
      <c r="A156" s="8">
        <v>42899.592662037037</v>
      </c>
      <c r="B156" s="20" t="s">
        <v>447</v>
      </c>
      <c r="C156" s="20" t="s">
        <v>735</v>
      </c>
      <c r="D156" s="141">
        <v>920000</v>
      </c>
      <c r="E156" s="20" t="s">
        <v>418</v>
      </c>
      <c r="F156" s="20" t="s">
        <v>194</v>
      </c>
      <c r="G156" s="8" t="str">
        <f t="shared" si="2"/>
        <v>DAVIS MICHAEL</v>
      </c>
    </row>
    <row r="157" spans="1:7" x14ac:dyDescent="0.25">
      <c r="A157" s="8">
        <v>42899.595902777779</v>
      </c>
      <c r="B157" s="20" t="s">
        <v>597</v>
      </c>
      <c r="C157" s="20" t="s">
        <v>736</v>
      </c>
      <c r="D157" s="141">
        <v>1770000</v>
      </c>
      <c r="E157" s="20" t="s">
        <v>491</v>
      </c>
      <c r="F157" s="20" t="s">
        <v>492</v>
      </c>
      <c r="G157" s="8" t="str">
        <f t="shared" si="2"/>
        <v>BRUDER RICHARD</v>
      </c>
    </row>
    <row r="158" spans="1:7" x14ac:dyDescent="0.25">
      <c r="A158" s="8">
        <v>42899.600682870368</v>
      </c>
      <c r="B158" s="20" t="s">
        <v>599</v>
      </c>
      <c r="C158" s="20" t="s">
        <v>737</v>
      </c>
      <c r="D158" s="141">
        <v>2540000</v>
      </c>
      <c r="E158" s="20" t="s">
        <v>537</v>
      </c>
      <c r="F158" s="20" t="s">
        <v>538</v>
      </c>
      <c r="G158" s="8" t="str">
        <f t="shared" si="2"/>
        <v>MCREYNOLDS KYLE</v>
      </c>
    </row>
    <row r="159" spans="1:7" x14ac:dyDescent="0.25">
      <c r="A159" s="8">
        <v>42899.601076388892</v>
      </c>
      <c r="B159" s="20" t="s">
        <v>589</v>
      </c>
      <c r="C159" s="20" t="s">
        <v>738</v>
      </c>
      <c r="D159" s="141">
        <v>1300000</v>
      </c>
      <c r="E159" s="20" t="s">
        <v>710</v>
      </c>
      <c r="F159" s="20" t="s">
        <v>711</v>
      </c>
      <c r="G159" s="8" t="str">
        <f t="shared" si="2"/>
        <v>LEVIN SCOTT</v>
      </c>
    </row>
    <row r="160" spans="1:7" x14ac:dyDescent="0.25">
      <c r="A160" s="8">
        <v>42899.609953703701</v>
      </c>
      <c r="B160" s="20" t="s">
        <v>607</v>
      </c>
      <c r="C160" s="20" t="s">
        <v>739</v>
      </c>
      <c r="D160" s="141">
        <v>1770000</v>
      </c>
      <c r="E160" s="20" t="s">
        <v>491</v>
      </c>
      <c r="F160" s="20" t="s">
        <v>492</v>
      </c>
      <c r="G160" s="8" t="str">
        <f t="shared" si="2"/>
        <v>BRUDER RICHARD</v>
      </c>
    </row>
    <row r="161" spans="1:7" x14ac:dyDescent="0.25">
      <c r="A161" s="8">
        <v>42899.610729166663</v>
      </c>
      <c r="B161" s="20" t="s">
        <v>591</v>
      </c>
      <c r="C161" s="20" t="s">
        <v>606</v>
      </c>
      <c r="D161" s="141">
        <v>2140000</v>
      </c>
      <c r="E161" s="20" t="s">
        <v>415</v>
      </c>
      <c r="F161" s="20" t="s">
        <v>416</v>
      </c>
      <c r="G161" s="8" t="str">
        <f t="shared" si="2"/>
        <v>ROBINSON KADDIBA</v>
      </c>
    </row>
    <row r="162" spans="1:7" x14ac:dyDescent="0.25">
      <c r="A162" s="8">
        <v>42899.611331018517</v>
      </c>
      <c r="B162" s="20" t="s">
        <v>525</v>
      </c>
      <c r="C162" s="20" t="s">
        <v>740</v>
      </c>
      <c r="D162" s="141">
        <v>880000</v>
      </c>
      <c r="E162" s="20" t="s">
        <v>703</v>
      </c>
      <c r="F162" s="20" t="s">
        <v>194</v>
      </c>
      <c r="G162" s="8" t="str">
        <f t="shared" si="2"/>
        <v>STEWART MICHAEL</v>
      </c>
    </row>
    <row r="163" spans="1:7" x14ac:dyDescent="0.25">
      <c r="A163" s="8">
        <v>42899.620162037034</v>
      </c>
      <c r="B163" s="20" t="s">
        <v>417</v>
      </c>
      <c r="C163" s="20" t="s">
        <v>741</v>
      </c>
      <c r="D163" s="141">
        <v>2360000</v>
      </c>
      <c r="E163" s="20" t="s">
        <v>489</v>
      </c>
      <c r="F163" s="20" t="s">
        <v>490</v>
      </c>
      <c r="G163" s="8" t="str">
        <f t="shared" si="2"/>
        <v>BRANDNER MELINDA</v>
      </c>
    </row>
    <row r="164" spans="1:7" x14ac:dyDescent="0.25">
      <c r="A164" s="8">
        <v>42899.620555555557</v>
      </c>
      <c r="B164" s="20" t="s">
        <v>457</v>
      </c>
      <c r="C164" s="20" t="s">
        <v>742</v>
      </c>
      <c r="D164" s="141">
        <v>1810000</v>
      </c>
      <c r="E164" s="20" t="s">
        <v>370</v>
      </c>
      <c r="F164" s="20" t="s">
        <v>191</v>
      </c>
      <c r="G164" s="8" t="str">
        <f t="shared" si="2"/>
        <v>NEWELL JAMES</v>
      </c>
    </row>
    <row r="165" spans="1:7" x14ac:dyDescent="0.25">
      <c r="A165" s="8">
        <v>42899.630798611113</v>
      </c>
      <c r="B165" s="20" t="s">
        <v>446</v>
      </c>
      <c r="C165" s="20" t="s">
        <v>743</v>
      </c>
      <c r="D165" s="141">
        <v>920000</v>
      </c>
      <c r="E165" s="20" t="s">
        <v>418</v>
      </c>
      <c r="F165" s="20" t="s">
        <v>194</v>
      </c>
      <c r="G165" s="8" t="str">
        <f t="shared" si="2"/>
        <v>DAVIS MICHAEL</v>
      </c>
    </row>
    <row r="166" spans="1:7" x14ac:dyDescent="0.25">
      <c r="A166" s="8">
        <v>42899.633611111109</v>
      </c>
      <c r="B166" s="20" t="s">
        <v>403</v>
      </c>
      <c r="C166" s="20" t="s">
        <v>744</v>
      </c>
      <c r="D166" s="141">
        <v>1300000</v>
      </c>
      <c r="E166" s="20" t="s">
        <v>710</v>
      </c>
      <c r="F166" s="20" t="s">
        <v>711</v>
      </c>
      <c r="G166" s="8" t="str">
        <f t="shared" si="2"/>
        <v>LEVIN SCOTT</v>
      </c>
    </row>
    <row r="167" spans="1:7" x14ac:dyDescent="0.25">
      <c r="A167" s="8">
        <v>42899.634965277779</v>
      </c>
      <c r="B167" s="20" t="s">
        <v>597</v>
      </c>
      <c r="C167" s="20" t="s">
        <v>745</v>
      </c>
      <c r="D167" s="141">
        <v>1770000</v>
      </c>
      <c r="E167" s="20" t="s">
        <v>491</v>
      </c>
      <c r="F167" s="20" t="s">
        <v>492</v>
      </c>
      <c r="G167" s="8" t="str">
        <f t="shared" si="2"/>
        <v>BRUDER RICHARD</v>
      </c>
    </row>
    <row r="168" spans="1:7" x14ac:dyDescent="0.25">
      <c r="A168" s="8">
        <v>42899.636620370373</v>
      </c>
      <c r="B168" s="20" t="s">
        <v>612</v>
      </c>
      <c r="C168" s="20" t="s">
        <v>746</v>
      </c>
      <c r="D168" s="141">
        <v>2540000</v>
      </c>
      <c r="E168" s="20" t="s">
        <v>537</v>
      </c>
      <c r="F168" s="20" t="s">
        <v>538</v>
      </c>
      <c r="G168" s="8" t="str">
        <f t="shared" si="2"/>
        <v>MCREYNOLDS KYLE</v>
      </c>
    </row>
    <row r="169" spans="1:7" x14ac:dyDescent="0.25">
      <c r="A169" s="8">
        <v>42899.640914351854</v>
      </c>
      <c r="B169" s="20" t="s">
        <v>591</v>
      </c>
      <c r="C169" s="20" t="s">
        <v>606</v>
      </c>
      <c r="D169" s="141">
        <v>2140000</v>
      </c>
      <c r="E169" s="20" t="s">
        <v>415</v>
      </c>
      <c r="F169" s="20" t="s">
        <v>416</v>
      </c>
      <c r="G169" s="8" t="str">
        <f t="shared" si="2"/>
        <v>ROBINSON KADDIBA</v>
      </c>
    </row>
    <row r="170" spans="1:7" x14ac:dyDescent="0.25">
      <c r="A170" s="8">
        <v>42899.642708333333</v>
      </c>
      <c r="B170" s="20" t="s">
        <v>594</v>
      </c>
      <c r="C170" s="20" t="s">
        <v>747</v>
      </c>
      <c r="D170" s="141">
        <v>2140000</v>
      </c>
      <c r="E170" s="20" t="s">
        <v>415</v>
      </c>
      <c r="F170" s="20" t="s">
        <v>416</v>
      </c>
      <c r="G170" s="8" t="str">
        <f t="shared" si="2"/>
        <v>ROBINSON KADDIBA</v>
      </c>
    </row>
    <row r="171" spans="1:7" x14ac:dyDescent="0.25">
      <c r="A171" s="8">
        <v>42899.644780092596</v>
      </c>
      <c r="B171" s="20" t="s">
        <v>460</v>
      </c>
      <c r="C171" s="20" t="s">
        <v>748</v>
      </c>
      <c r="D171" s="141">
        <v>2630000</v>
      </c>
      <c r="E171" s="20" t="s">
        <v>448</v>
      </c>
      <c r="F171" s="20" t="s">
        <v>449</v>
      </c>
      <c r="G171" s="8" t="str">
        <f t="shared" si="2"/>
        <v>SAFIEF AEIMEN</v>
      </c>
    </row>
    <row r="172" spans="1:7" x14ac:dyDescent="0.25">
      <c r="A172" s="8">
        <v>42899.651180555556</v>
      </c>
      <c r="B172" s="20" t="s">
        <v>607</v>
      </c>
      <c r="C172" s="20" t="s">
        <v>608</v>
      </c>
      <c r="D172" s="141">
        <v>1770000</v>
      </c>
      <c r="E172" s="20" t="s">
        <v>491</v>
      </c>
      <c r="F172" s="20" t="s">
        <v>492</v>
      </c>
      <c r="G172" s="8" t="str">
        <f t="shared" si="2"/>
        <v>BRUDER RICHARD</v>
      </c>
    </row>
    <row r="173" spans="1:7" x14ac:dyDescent="0.25">
      <c r="A173" s="8">
        <v>42899.651736111111</v>
      </c>
      <c r="B173" s="20" t="s">
        <v>458</v>
      </c>
      <c r="C173" s="20" t="s">
        <v>749</v>
      </c>
      <c r="D173" s="141">
        <v>1810000</v>
      </c>
      <c r="E173" s="20" t="s">
        <v>370</v>
      </c>
      <c r="F173" s="20" t="s">
        <v>191</v>
      </c>
      <c r="G173" s="8" t="str">
        <f t="shared" si="2"/>
        <v>NEWELL JAMES</v>
      </c>
    </row>
    <row r="174" spans="1:7" x14ac:dyDescent="0.25">
      <c r="A174" s="8">
        <v>42899.65185185185</v>
      </c>
      <c r="B174" s="20" t="s">
        <v>532</v>
      </c>
      <c r="C174" s="20" t="s">
        <v>750</v>
      </c>
      <c r="D174" s="141">
        <v>880000</v>
      </c>
      <c r="E174" s="20" t="s">
        <v>703</v>
      </c>
      <c r="F174" s="20" t="s">
        <v>194</v>
      </c>
      <c r="G174" s="8" t="str">
        <f t="shared" si="2"/>
        <v>STEWART MICHAEL</v>
      </c>
    </row>
    <row r="175" spans="1:7" x14ac:dyDescent="0.25">
      <c r="A175" s="8">
        <v>42899.652592592596</v>
      </c>
      <c r="B175" s="20" t="s">
        <v>360</v>
      </c>
      <c r="C175" s="20" t="s">
        <v>609</v>
      </c>
      <c r="D175" s="141">
        <v>2360000</v>
      </c>
      <c r="E175" s="20" t="s">
        <v>489</v>
      </c>
      <c r="F175" s="20" t="s">
        <v>490</v>
      </c>
      <c r="G175" s="8" t="str">
        <f t="shared" si="2"/>
        <v>BRANDNER MELINDA</v>
      </c>
    </row>
    <row r="176" spans="1:7" x14ac:dyDescent="0.25">
      <c r="A176" s="8">
        <v>42899.653368055559</v>
      </c>
      <c r="B176" s="20" t="s">
        <v>446</v>
      </c>
      <c r="C176" s="20" t="s">
        <v>743</v>
      </c>
      <c r="D176" s="141">
        <v>920000</v>
      </c>
      <c r="E176" s="20" t="s">
        <v>418</v>
      </c>
      <c r="F176" s="20" t="s">
        <v>194</v>
      </c>
      <c r="G176" s="8" t="str">
        <f t="shared" si="2"/>
        <v>DAVIS MICHAEL</v>
      </c>
    </row>
    <row r="177" spans="1:7" x14ac:dyDescent="0.25">
      <c r="A177" s="8">
        <v>42899.657905092594</v>
      </c>
      <c r="B177" s="20" t="s">
        <v>461</v>
      </c>
      <c r="C177" s="20" t="s">
        <v>751</v>
      </c>
      <c r="D177" s="141">
        <v>2630000</v>
      </c>
      <c r="E177" s="20" t="s">
        <v>448</v>
      </c>
      <c r="F177" s="20" t="s">
        <v>449</v>
      </c>
      <c r="G177" s="8" t="str">
        <f t="shared" si="2"/>
        <v>SAFIEF AEIMEN</v>
      </c>
    </row>
    <row r="178" spans="1:7" x14ac:dyDescent="0.25">
      <c r="A178" s="8">
        <v>42899.662627314814</v>
      </c>
      <c r="B178" s="20" t="s">
        <v>612</v>
      </c>
      <c r="C178" s="20" t="s">
        <v>746</v>
      </c>
      <c r="D178" s="141">
        <v>2540000</v>
      </c>
      <c r="E178" s="20" t="s">
        <v>537</v>
      </c>
      <c r="F178" s="20" t="s">
        <v>538</v>
      </c>
      <c r="G178" s="8" t="str">
        <f t="shared" si="2"/>
        <v>MCREYNOLDS KYLE</v>
      </c>
    </row>
    <row r="179" spans="1:7" x14ac:dyDescent="0.25">
      <c r="A179" s="8">
        <v>42899.667083333334</v>
      </c>
      <c r="B179" s="20" t="s">
        <v>447</v>
      </c>
      <c r="C179" s="20" t="s">
        <v>752</v>
      </c>
      <c r="D179" s="141">
        <v>920000</v>
      </c>
      <c r="E179" s="20" t="s">
        <v>418</v>
      </c>
      <c r="F179" s="20" t="s">
        <v>194</v>
      </c>
      <c r="G179" s="8" t="str">
        <f t="shared" si="2"/>
        <v>DAVIS MICHAEL</v>
      </c>
    </row>
    <row r="180" spans="1:7" x14ac:dyDescent="0.25">
      <c r="A180" s="8">
        <v>42899.672280092593</v>
      </c>
      <c r="B180" s="20" t="s">
        <v>589</v>
      </c>
      <c r="C180" s="20" t="s">
        <v>753</v>
      </c>
      <c r="D180" s="141">
        <v>1300000</v>
      </c>
      <c r="E180" s="20" t="s">
        <v>710</v>
      </c>
      <c r="F180" s="20" t="s">
        <v>711</v>
      </c>
      <c r="G180" s="8" t="str">
        <f t="shared" si="2"/>
        <v>LEVIN SCOTT</v>
      </c>
    </row>
    <row r="181" spans="1:7" x14ac:dyDescent="0.25">
      <c r="A181" s="8">
        <v>42899.672847222224</v>
      </c>
      <c r="B181" s="20" t="s">
        <v>460</v>
      </c>
      <c r="C181" s="20" t="s">
        <v>754</v>
      </c>
      <c r="D181" s="141">
        <v>2630000</v>
      </c>
      <c r="E181" s="20" t="s">
        <v>448</v>
      </c>
      <c r="F181" s="20" t="s">
        <v>449</v>
      </c>
      <c r="G181" s="8" t="str">
        <f t="shared" si="2"/>
        <v>SAFIEF AEIMEN</v>
      </c>
    </row>
    <row r="182" spans="1:7" x14ac:dyDescent="0.25">
      <c r="A182" s="8">
        <v>42899.675405092596</v>
      </c>
      <c r="B182" s="20" t="s">
        <v>599</v>
      </c>
      <c r="C182" s="20" t="s">
        <v>755</v>
      </c>
      <c r="D182" s="141">
        <v>2540000</v>
      </c>
      <c r="E182" s="20" t="s">
        <v>537</v>
      </c>
      <c r="F182" s="20" t="s">
        <v>538</v>
      </c>
      <c r="G182" s="8" t="str">
        <f t="shared" si="2"/>
        <v>MCREYNOLDS KYLE</v>
      </c>
    </row>
    <row r="183" spans="1:7" x14ac:dyDescent="0.25">
      <c r="A183" s="8">
        <v>42899.678912037038</v>
      </c>
      <c r="B183" s="20" t="s">
        <v>597</v>
      </c>
      <c r="C183" s="20" t="s">
        <v>756</v>
      </c>
      <c r="D183" s="141">
        <v>1770000</v>
      </c>
      <c r="E183" s="20" t="s">
        <v>491</v>
      </c>
      <c r="F183" s="20" t="s">
        <v>492</v>
      </c>
      <c r="G183" s="8" t="str">
        <f t="shared" si="2"/>
        <v>BRUDER RICHARD</v>
      </c>
    </row>
    <row r="184" spans="1:7" x14ac:dyDescent="0.25">
      <c r="A184" s="8">
        <v>42899.68414351852</v>
      </c>
      <c r="B184" s="20" t="s">
        <v>525</v>
      </c>
      <c r="C184" s="20" t="s">
        <v>757</v>
      </c>
      <c r="D184" s="141">
        <v>880000</v>
      </c>
      <c r="E184" s="20" t="s">
        <v>703</v>
      </c>
      <c r="F184" s="20" t="s">
        <v>194</v>
      </c>
      <c r="G184" s="8" t="str">
        <f t="shared" si="2"/>
        <v>STEWART MICHAEL</v>
      </c>
    </row>
    <row r="185" spans="1:7" x14ac:dyDescent="0.25">
      <c r="A185" s="8">
        <v>42899.684236111112</v>
      </c>
      <c r="B185" s="20" t="s">
        <v>591</v>
      </c>
      <c r="C185" s="20" t="s">
        <v>758</v>
      </c>
      <c r="D185" s="141">
        <v>2140000</v>
      </c>
      <c r="E185" s="20" t="s">
        <v>415</v>
      </c>
      <c r="F185" s="20" t="s">
        <v>416</v>
      </c>
      <c r="G185" s="8" t="str">
        <f t="shared" si="2"/>
        <v>ROBINSON KADDIBA</v>
      </c>
    </row>
    <row r="186" spans="1:7" x14ac:dyDescent="0.25">
      <c r="A186" s="8">
        <v>42899.692013888889</v>
      </c>
      <c r="B186" s="20" t="s">
        <v>417</v>
      </c>
      <c r="C186" s="20" t="s">
        <v>610</v>
      </c>
      <c r="D186" s="141">
        <v>2360000</v>
      </c>
      <c r="E186" s="20" t="s">
        <v>489</v>
      </c>
      <c r="F186" s="20" t="s">
        <v>490</v>
      </c>
      <c r="G186" s="8" t="str">
        <f t="shared" si="2"/>
        <v>BRANDNER MELINDA</v>
      </c>
    </row>
    <row r="187" spans="1:7" x14ac:dyDescent="0.25">
      <c r="A187" s="8">
        <v>42899.692152777781</v>
      </c>
      <c r="B187" s="20" t="s">
        <v>457</v>
      </c>
      <c r="C187" s="20" t="s">
        <v>759</v>
      </c>
      <c r="D187" s="141">
        <v>1810000</v>
      </c>
      <c r="E187" s="20" t="s">
        <v>370</v>
      </c>
      <c r="F187" s="20" t="s">
        <v>191</v>
      </c>
      <c r="G187" s="8" t="str">
        <f t="shared" si="2"/>
        <v>NEWELL JAMES</v>
      </c>
    </row>
    <row r="188" spans="1:7" x14ac:dyDescent="0.25">
      <c r="A188" s="8">
        <v>42899.693113425928</v>
      </c>
      <c r="B188" s="20" t="s">
        <v>607</v>
      </c>
      <c r="C188" s="20" t="s">
        <v>760</v>
      </c>
      <c r="D188" s="141">
        <v>1770000</v>
      </c>
      <c r="E188" s="20" t="s">
        <v>491</v>
      </c>
      <c r="F188" s="20" t="s">
        <v>492</v>
      </c>
      <c r="G188" s="8" t="str">
        <f t="shared" si="2"/>
        <v>BRUDER RICHARD</v>
      </c>
    </row>
    <row r="189" spans="1:7" x14ac:dyDescent="0.25">
      <c r="A189" s="8">
        <v>42899.699560185189</v>
      </c>
      <c r="B189" s="20" t="s">
        <v>461</v>
      </c>
      <c r="C189" s="20" t="s">
        <v>761</v>
      </c>
      <c r="D189" s="141">
        <v>2450000</v>
      </c>
      <c r="E189" s="20" t="s">
        <v>762</v>
      </c>
      <c r="F189" s="20" t="s">
        <v>763</v>
      </c>
      <c r="G189" s="8" t="str">
        <f t="shared" si="2"/>
        <v>NELSON ARIANE</v>
      </c>
    </row>
    <row r="190" spans="1:7" x14ac:dyDescent="0.25">
      <c r="A190" s="8">
        <v>42899.703969907408</v>
      </c>
      <c r="B190" s="20" t="s">
        <v>403</v>
      </c>
      <c r="C190" s="20" t="s">
        <v>764</v>
      </c>
      <c r="D190" s="141">
        <v>1300000</v>
      </c>
      <c r="E190" s="20" t="s">
        <v>710</v>
      </c>
      <c r="F190" s="20" t="s">
        <v>711</v>
      </c>
      <c r="G190" s="8" t="str">
        <f t="shared" si="2"/>
        <v>LEVIN SCOTT</v>
      </c>
    </row>
    <row r="191" spans="1:7" x14ac:dyDescent="0.25">
      <c r="A191" s="8">
        <v>42899.705497685187</v>
      </c>
      <c r="B191" s="20" t="s">
        <v>446</v>
      </c>
      <c r="C191" s="20" t="s">
        <v>611</v>
      </c>
      <c r="D191" s="141">
        <v>920000</v>
      </c>
      <c r="E191" s="20" t="s">
        <v>418</v>
      </c>
      <c r="F191" s="20" t="s">
        <v>194</v>
      </c>
      <c r="G191" s="8" t="str">
        <f t="shared" si="2"/>
        <v>DAVIS MICHAEL</v>
      </c>
    </row>
    <row r="192" spans="1:7" x14ac:dyDescent="0.25">
      <c r="A192" s="8">
        <v>42899.707939814813</v>
      </c>
      <c r="B192" s="20" t="s">
        <v>428</v>
      </c>
      <c r="C192" s="20" t="s">
        <v>765</v>
      </c>
      <c r="D192" s="141">
        <v>1740000</v>
      </c>
      <c r="E192" s="20" t="s">
        <v>539</v>
      </c>
      <c r="F192" s="20" t="s">
        <v>540</v>
      </c>
      <c r="G192" s="8" t="str">
        <f t="shared" si="2"/>
        <v>STORY SAMANTHA</v>
      </c>
    </row>
    <row r="193" spans="1:7" x14ac:dyDescent="0.25">
      <c r="A193" s="8">
        <v>42899.715243055558</v>
      </c>
      <c r="B193" s="20" t="s">
        <v>460</v>
      </c>
      <c r="C193" s="20" t="s">
        <v>766</v>
      </c>
      <c r="D193" s="141">
        <v>2450000</v>
      </c>
      <c r="E193" s="20" t="s">
        <v>762</v>
      </c>
      <c r="F193" s="20" t="s">
        <v>763</v>
      </c>
      <c r="G193" s="8" t="str">
        <f t="shared" si="2"/>
        <v>NELSON ARIANE</v>
      </c>
    </row>
    <row r="194" spans="1:7" x14ac:dyDescent="0.25">
      <c r="A194" s="8">
        <v>42899.716319444444</v>
      </c>
      <c r="B194" s="20" t="s">
        <v>594</v>
      </c>
      <c r="C194" s="20" t="s">
        <v>767</v>
      </c>
      <c r="D194" s="141">
        <v>2140000</v>
      </c>
      <c r="E194" s="20" t="s">
        <v>415</v>
      </c>
      <c r="F194" s="20" t="s">
        <v>416</v>
      </c>
      <c r="G194" s="8" t="str">
        <f t="shared" si="2"/>
        <v>ROBINSON KADDIBA</v>
      </c>
    </row>
    <row r="195" spans="1:7" x14ac:dyDescent="0.25">
      <c r="A195" s="8">
        <v>42899.718657407408</v>
      </c>
      <c r="B195" s="20" t="s">
        <v>597</v>
      </c>
      <c r="C195" s="20" t="s">
        <v>768</v>
      </c>
      <c r="D195" s="141">
        <v>1770000</v>
      </c>
      <c r="E195" s="20" t="s">
        <v>491</v>
      </c>
      <c r="F195" s="20" t="s">
        <v>492</v>
      </c>
      <c r="G195" s="8" t="str">
        <f t="shared" ref="G195:G258" si="3">E195&amp;" "&amp;F195</f>
        <v>BRUDER RICHARD</v>
      </c>
    </row>
    <row r="196" spans="1:7" x14ac:dyDescent="0.25">
      <c r="A196" s="8">
        <v>42899.721898148149</v>
      </c>
      <c r="B196" s="20" t="s">
        <v>401</v>
      </c>
      <c r="C196" s="20" t="s">
        <v>769</v>
      </c>
      <c r="D196" s="141">
        <v>1800000</v>
      </c>
      <c r="E196" s="20" t="s">
        <v>380</v>
      </c>
      <c r="F196" s="20" t="s">
        <v>381</v>
      </c>
      <c r="G196" s="8" t="str">
        <f t="shared" si="3"/>
        <v>CHANDLER KELVIN</v>
      </c>
    </row>
    <row r="197" spans="1:7" x14ac:dyDescent="0.25">
      <c r="A197" s="8">
        <v>42899.724965277775</v>
      </c>
      <c r="B197" s="20" t="s">
        <v>532</v>
      </c>
      <c r="C197" s="20" t="s">
        <v>614</v>
      </c>
      <c r="D197" s="141">
        <v>880000</v>
      </c>
      <c r="E197" s="20" t="s">
        <v>703</v>
      </c>
      <c r="F197" s="20" t="s">
        <v>194</v>
      </c>
      <c r="G197" s="8" t="str">
        <f t="shared" si="3"/>
        <v>STEWART MICHAEL</v>
      </c>
    </row>
    <row r="198" spans="1:7" x14ac:dyDescent="0.25">
      <c r="A198" s="8">
        <v>42899.72923611111</v>
      </c>
      <c r="B198" s="20" t="s">
        <v>360</v>
      </c>
      <c r="C198" s="20" t="s">
        <v>770</v>
      </c>
      <c r="D198" s="141">
        <v>2360000</v>
      </c>
      <c r="E198" s="20" t="s">
        <v>489</v>
      </c>
      <c r="F198" s="20" t="s">
        <v>490</v>
      </c>
      <c r="G198" s="8" t="str">
        <f t="shared" si="3"/>
        <v>BRANDNER MELINDA</v>
      </c>
    </row>
    <row r="199" spans="1:7" x14ac:dyDescent="0.25">
      <c r="A199" s="8">
        <v>42899.733807870369</v>
      </c>
      <c r="B199" s="20" t="s">
        <v>458</v>
      </c>
      <c r="C199" s="20" t="s">
        <v>771</v>
      </c>
      <c r="D199" s="141">
        <v>1810000</v>
      </c>
      <c r="E199" s="20" t="s">
        <v>370</v>
      </c>
      <c r="F199" s="20" t="s">
        <v>191</v>
      </c>
      <c r="G199" s="8" t="str">
        <f t="shared" si="3"/>
        <v>NEWELL JAMES</v>
      </c>
    </row>
    <row r="200" spans="1:7" x14ac:dyDescent="0.25">
      <c r="A200" s="8">
        <v>42899.734560185185</v>
      </c>
      <c r="B200" s="20" t="s">
        <v>607</v>
      </c>
      <c r="C200" s="20" t="s">
        <v>772</v>
      </c>
      <c r="D200" s="141">
        <v>1770000</v>
      </c>
      <c r="E200" s="20" t="s">
        <v>491</v>
      </c>
      <c r="F200" s="20" t="s">
        <v>492</v>
      </c>
      <c r="G200" s="8" t="str">
        <f t="shared" si="3"/>
        <v>BRUDER RICHARD</v>
      </c>
    </row>
    <row r="201" spans="1:7" x14ac:dyDescent="0.25">
      <c r="A201" s="8">
        <v>42899.738344907404</v>
      </c>
      <c r="B201" s="20" t="s">
        <v>400</v>
      </c>
      <c r="C201" s="20" t="s">
        <v>769</v>
      </c>
      <c r="D201" s="141">
        <v>1800000</v>
      </c>
      <c r="E201" s="20" t="s">
        <v>380</v>
      </c>
      <c r="F201" s="20" t="s">
        <v>381</v>
      </c>
      <c r="G201" s="8" t="str">
        <f t="shared" si="3"/>
        <v>CHANDLER KELVIN</v>
      </c>
    </row>
    <row r="202" spans="1:7" x14ac:dyDescent="0.25">
      <c r="A202" s="26">
        <v>42899.738888888889</v>
      </c>
      <c r="B202" s="20" t="s">
        <v>447</v>
      </c>
      <c r="C202" s="20" t="s">
        <v>773</v>
      </c>
      <c r="D202" s="141">
        <v>2230000</v>
      </c>
      <c r="E202" s="20" t="s">
        <v>344</v>
      </c>
      <c r="F202" s="20" t="s">
        <v>194</v>
      </c>
      <c r="G202" s="8" t="str">
        <f t="shared" si="3"/>
        <v>SMITH MICHAEL</v>
      </c>
    </row>
    <row r="203" spans="1:7" x14ac:dyDescent="0.25">
      <c r="A203" s="8">
        <v>42899.741469907407</v>
      </c>
      <c r="B203" s="20" t="s">
        <v>461</v>
      </c>
      <c r="C203" s="20" t="s">
        <v>774</v>
      </c>
      <c r="D203" s="141">
        <v>2630000</v>
      </c>
      <c r="E203" s="20" t="s">
        <v>448</v>
      </c>
      <c r="F203" s="20" t="s">
        <v>449</v>
      </c>
      <c r="G203" s="8" t="str">
        <f t="shared" si="3"/>
        <v>SAFIEF AEIMEN</v>
      </c>
    </row>
    <row r="204" spans="1:7" x14ac:dyDescent="0.25">
      <c r="A204" s="8">
        <v>42899.745034722226</v>
      </c>
      <c r="B204" s="20" t="s">
        <v>589</v>
      </c>
      <c r="C204" s="20" t="s">
        <v>775</v>
      </c>
      <c r="D204" s="141">
        <v>1300000</v>
      </c>
      <c r="E204" s="20" t="s">
        <v>710</v>
      </c>
      <c r="F204" s="20" t="s">
        <v>711</v>
      </c>
      <c r="G204" s="8" t="str">
        <f t="shared" si="3"/>
        <v>LEVIN SCOTT</v>
      </c>
    </row>
    <row r="205" spans="1:7" x14ac:dyDescent="0.25">
      <c r="A205" s="8">
        <v>42899.747928240744</v>
      </c>
      <c r="B205" s="20" t="s">
        <v>401</v>
      </c>
      <c r="C205" s="20" t="s">
        <v>776</v>
      </c>
      <c r="D205" s="141">
        <v>2540000</v>
      </c>
      <c r="E205" s="20" t="s">
        <v>537</v>
      </c>
      <c r="F205" s="20" t="s">
        <v>538</v>
      </c>
      <c r="G205" s="8" t="str">
        <f t="shared" si="3"/>
        <v>MCREYNOLDS KYLE</v>
      </c>
    </row>
    <row r="206" spans="1:7" x14ac:dyDescent="0.25">
      <c r="A206" s="8">
        <v>42899.748460648145</v>
      </c>
      <c r="B206" s="20" t="s">
        <v>401</v>
      </c>
      <c r="C206" s="20" t="s">
        <v>776</v>
      </c>
      <c r="D206" s="141">
        <v>2540000</v>
      </c>
      <c r="E206" s="20" t="s">
        <v>537</v>
      </c>
      <c r="F206" s="20" t="s">
        <v>538</v>
      </c>
      <c r="G206" s="8" t="str">
        <f t="shared" si="3"/>
        <v>MCREYNOLDS KYLE</v>
      </c>
    </row>
    <row r="207" spans="1:7" x14ac:dyDescent="0.25">
      <c r="A207" s="8">
        <v>42899.748854166668</v>
      </c>
      <c r="B207" s="20" t="s">
        <v>342</v>
      </c>
      <c r="C207" s="20" t="s">
        <v>603</v>
      </c>
      <c r="D207" s="141">
        <v>2680000</v>
      </c>
      <c r="E207" s="20" t="s">
        <v>419</v>
      </c>
      <c r="F207" s="20" t="s">
        <v>420</v>
      </c>
      <c r="G207" s="8" t="str">
        <f t="shared" si="3"/>
        <v>DUNCAN SHEILA</v>
      </c>
    </row>
    <row r="208" spans="1:7" x14ac:dyDescent="0.25">
      <c r="A208" s="8">
        <v>42899.749444444446</v>
      </c>
      <c r="B208" s="20" t="s">
        <v>401</v>
      </c>
      <c r="C208" s="20" t="s">
        <v>776</v>
      </c>
      <c r="D208" s="141">
        <v>2540000</v>
      </c>
      <c r="E208" s="20" t="s">
        <v>537</v>
      </c>
      <c r="F208" s="20" t="s">
        <v>538</v>
      </c>
      <c r="G208" s="8" t="str">
        <f t="shared" si="3"/>
        <v>MCREYNOLDS KYLE</v>
      </c>
    </row>
    <row r="209" spans="1:7" x14ac:dyDescent="0.25">
      <c r="A209" s="8">
        <v>42899.750844907408</v>
      </c>
      <c r="B209" s="20" t="s">
        <v>599</v>
      </c>
      <c r="C209" s="20" t="s">
        <v>769</v>
      </c>
      <c r="D209" s="141">
        <v>1800000</v>
      </c>
      <c r="E209" s="20" t="s">
        <v>380</v>
      </c>
      <c r="F209" s="20" t="s">
        <v>381</v>
      </c>
      <c r="G209" s="8" t="str">
        <f t="shared" si="3"/>
        <v>CHANDLER KELVIN</v>
      </c>
    </row>
    <row r="210" spans="1:7" x14ac:dyDescent="0.25">
      <c r="A210" s="8">
        <v>42899.751770833333</v>
      </c>
      <c r="B210" s="20" t="s">
        <v>599</v>
      </c>
      <c r="C210" s="20" t="s">
        <v>769</v>
      </c>
      <c r="D210" s="141">
        <v>1800000</v>
      </c>
      <c r="E210" s="20" t="s">
        <v>380</v>
      </c>
      <c r="F210" s="20" t="s">
        <v>381</v>
      </c>
      <c r="G210" s="8" t="str">
        <f t="shared" si="3"/>
        <v>CHANDLER KELVIN</v>
      </c>
    </row>
    <row r="211" spans="1:7" x14ac:dyDescent="0.25">
      <c r="A211" s="8">
        <v>42899.757187499999</v>
      </c>
      <c r="B211" s="20" t="s">
        <v>591</v>
      </c>
      <c r="C211" s="20" t="s">
        <v>777</v>
      </c>
      <c r="D211" s="141">
        <v>2140000</v>
      </c>
      <c r="E211" s="20" t="s">
        <v>415</v>
      </c>
      <c r="F211" s="20" t="s">
        <v>416</v>
      </c>
      <c r="G211" s="8" t="str">
        <f t="shared" si="3"/>
        <v>ROBINSON KADDIBA</v>
      </c>
    </row>
    <row r="212" spans="1:7" x14ac:dyDescent="0.25">
      <c r="A212" s="8">
        <v>42899.757465277777</v>
      </c>
      <c r="B212" s="20" t="s">
        <v>460</v>
      </c>
      <c r="C212" s="20" t="s">
        <v>778</v>
      </c>
      <c r="D212" s="141">
        <v>2630000</v>
      </c>
      <c r="E212" s="20" t="s">
        <v>448</v>
      </c>
      <c r="F212" s="20" t="s">
        <v>449</v>
      </c>
      <c r="G212" s="8" t="str">
        <f t="shared" si="3"/>
        <v>SAFIEF AEIMEN</v>
      </c>
    </row>
    <row r="213" spans="1:7" x14ac:dyDescent="0.25">
      <c r="A213" s="8">
        <v>42899.7575462963</v>
      </c>
      <c r="B213" s="20" t="s">
        <v>525</v>
      </c>
      <c r="C213" s="20" t="s">
        <v>615</v>
      </c>
      <c r="D213" s="141">
        <v>3000000</v>
      </c>
      <c r="E213" s="20" t="s">
        <v>430</v>
      </c>
      <c r="F213" s="20" t="s">
        <v>431</v>
      </c>
      <c r="G213" s="8" t="str">
        <f t="shared" si="3"/>
        <v>FORTUNATO FRANK</v>
      </c>
    </row>
    <row r="214" spans="1:7" x14ac:dyDescent="0.25">
      <c r="A214" s="8">
        <v>42899.761655092596</v>
      </c>
      <c r="B214" s="20" t="s">
        <v>597</v>
      </c>
      <c r="C214" s="20" t="s">
        <v>779</v>
      </c>
      <c r="D214" s="141">
        <v>1770000</v>
      </c>
      <c r="E214" s="20" t="s">
        <v>491</v>
      </c>
      <c r="F214" s="20" t="s">
        <v>492</v>
      </c>
      <c r="G214" s="8" t="str">
        <f t="shared" si="3"/>
        <v>BRUDER RICHARD</v>
      </c>
    </row>
    <row r="215" spans="1:7" x14ac:dyDescent="0.25">
      <c r="A215" s="8">
        <v>42899.765740740739</v>
      </c>
      <c r="B215" s="20" t="s">
        <v>417</v>
      </c>
      <c r="C215" s="20" t="s">
        <v>616</v>
      </c>
      <c r="D215" s="141">
        <v>2360000</v>
      </c>
      <c r="E215" s="20" t="s">
        <v>489</v>
      </c>
      <c r="F215" s="20" t="s">
        <v>490</v>
      </c>
      <c r="G215" s="8" t="str">
        <f t="shared" si="3"/>
        <v>BRANDNER MELINDA</v>
      </c>
    </row>
    <row r="216" spans="1:7" x14ac:dyDescent="0.25">
      <c r="A216" s="8">
        <v>42899.768043981479</v>
      </c>
      <c r="B216" s="20" t="s">
        <v>457</v>
      </c>
      <c r="C216" s="20" t="s">
        <v>780</v>
      </c>
      <c r="D216" s="141">
        <v>3090000</v>
      </c>
      <c r="E216" s="20" t="s">
        <v>378</v>
      </c>
      <c r="F216" s="20" t="s">
        <v>379</v>
      </c>
      <c r="G216" s="8" t="str">
        <f t="shared" si="3"/>
        <v>LAMAR NEKESHA</v>
      </c>
    </row>
    <row r="217" spans="1:7" x14ac:dyDescent="0.25">
      <c r="A217" s="8">
        <v>42899.771284722221</v>
      </c>
      <c r="B217" s="20" t="s">
        <v>461</v>
      </c>
      <c r="C217" s="20" t="s">
        <v>781</v>
      </c>
      <c r="D217" s="141">
        <v>2630000</v>
      </c>
      <c r="E217" s="20" t="s">
        <v>448</v>
      </c>
      <c r="F217" s="20" t="s">
        <v>449</v>
      </c>
      <c r="G217" s="8" t="str">
        <f t="shared" si="3"/>
        <v>SAFIEF AEIMEN</v>
      </c>
    </row>
    <row r="218" spans="1:7" x14ac:dyDescent="0.25">
      <c r="A218" s="8">
        <v>42899.776041666664</v>
      </c>
      <c r="B218" s="20" t="s">
        <v>446</v>
      </c>
      <c r="C218" s="20" t="s">
        <v>782</v>
      </c>
      <c r="D218" s="141">
        <v>2230000</v>
      </c>
      <c r="E218" s="20" t="s">
        <v>344</v>
      </c>
      <c r="F218" s="20" t="s">
        <v>194</v>
      </c>
      <c r="G218" s="8" t="str">
        <f t="shared" si="3"/>
        <v>SMITH MICHAEL</v>
      </c>
    </row>
    <row r="219" spans="1:7" x14ac:dyDescent="0.25">
      <c r="A219" s="8">
        <v>42899.776134259257</v>
      </c>
      <c r="B219" s="20" t="s">
        <v>607</v>
      </c>
      <c r="C219" s="20" t="s">
        <v>783</v>
      </c>
      <c r="D219" s="141">
        <v>1770000</v>
      </c>
      <c r="E219" s="20" t="s">
        <v>491</v>
      </c>
      <c r="F219" s="20" t="s">
        <v>492</v>
      </c>
      <c r="G219" s="8" t="str">
        <f t="shared" si="3"/>
        <v>BRUDER RICHARD</v>
      </c>
    </row>
    <row r="220" spans="1:7" x14ac:dyDescent="0.25">
      <c r="A220" s="8">
        <v>42899.777673611112</v>
      </c>
      <c r="B220" s="20" t="s">
        <v>403</v>
      </c>
      <c r="C220" s="20" t="s">
        <v>784</v>
      </c>
      <c r="D220" s="141">
        <v>1300000</v>
      </c>
      <c r="E220" s="20" t="s">
        <v>710</v>
      </c>
      <c r="F220" s="20" t="s">
        <v>711</v>
      </c>
      <c r="G220" s="8" t="str">
        <f t="shared" si="3"/>
        <v>LEVIN SCOTT</v>
      </c>
    </row>
    <row r="221" spans="1:7" x14ac:dyDescent="0.25">
      <c r="A221" s="8">
        <v>42899.783946759257</v>
      </c>
      <c r="B221" s="20" t="s">
        <v>400</v>
      </c>
      <c r="C221" s="20" t="s">
        <v>785</v>
      </c>
      <c r="D221" s="141">
        <v>2540000</v>
      </c>
      <c r="E221" s="20" t="s">
        <v>537</v>
      </c>
      <c r="F221" s="20" t="s">
        <v>538</v>
      </c>
      <c r="G221" s="8" t="str">
        <f t="shared" si="3"/>
        <v>MCREYNOLDS KYLE</v>
      </c>
    </row>
    <row r="222" spans="1:7" x14ac:dyDescent="0.25">
      <c r="A222" s="8">
        <v>42899.787476851852</v>
      </c>
      <c r="B222" s="20" t="s">
        <v>594</v>
      </c>
      <c r="C222" s="20" t="s">
        <v>786</v>
      </c>
      <c r="D222" s="141">
        <v>2090000</v>
      </c>
      <c r="E222" s="20" t="s">
        <v>504</v>
      </c>
      <c r="F222" s="20" t="s">
        <v>194</v>
      </c>
      <c r="G222" s="8" t="str">
        <f t="shared" si="3"/>
        <v>HAITHCOX MICHAEL</v>
      </c>
    </row>
    <row r="223" spans="1:7" x14ac:dyDescent="0.25">
      <c r="A223" s="8">
        <v>42899.79414351852</v>
      </c>
      <c r="B223" s="20" t="s">
        <v>532</v>
      </c>
      <c r="C223" s="20" t="s">
        <v>787</v>
      </c>
      <c r="D223" s="141">
        <v>3000000</v>
      </c>
      <c r="E223" s="20" t="s">
        <v>430</v>
      </c>
      <c r="F223" s="20" t="s">
        <v>431</v>
      </c>
      <c r="G223" s="8" t="str">
        <f t="shared" si="3"/>
        <v>FORTUNATO FRANK</v>
      </c>
    </row>
    <row r="224" spans="1:7" x14ac:dyDescent="0.25">
      <c r="A224" s="8">
        <v>42899.797673611109</v>
      </c>
      <c r="B224" t="s">
        <v>460</v>
      </c>
      <c r="C224" t="s">
        <v>788</v>
      </c>
      <c r="D224" s="141">
        <v>2630000</v>
      </c>
      <c r="E224" t="s">
        <v>448</v>
      </c>
      <c r="F224" s="20" t="s">
        <v>449</v>
      </c>
      <c r="G224" s="8" t="str">
        <f t="shared" si="3"/>
        <v>SAFIEF AEIMEN</v>
      </c>
    </row>
    <row r="225" spans="1:7" x14ac:dyDescent="0.25">
      <c r="A225" s="8">
        <v>42899.799930555557</v>
      </c>
      <c r="B225" t="s">
        <v>360</v>
      </c>
      <c r="C225" t="s">
        <v>789</v>
      </c>
      <c r="D225" s="141">
        <v>2360000</v>
      </c>
      <c r="E225" t="s">
        <v>489</v>
      </c>
      <c r="F225" s="20" t="s">
        <v>490</v>
      </c>
      <c r="G225" s="8" t="str">
        <f t="shared" si="3"/>
        <v>BRANDNER MELINDA</v>
      </c>
    </row>
    <row r="226" spans="1:7" x14ac:dyDescent="0.25">
      <c r="A226" s="8">
        <v>42899.802997685183</v>
      </c>
      <c r="B226" t="s">
        <v>597</v>
      </c>
      <c r="C226" t="s">
        <v>617</v>
      </c>
      <c r="D226" s="141">
        <v>1770000</v>
      </c>
      <c r="E226" t="s">
        <v>491</v>
      </c>
      <c r="F226" s="20" t="s">
        <v>492</v>
      </c>
      <c r="G226" s="8" t="str">
        <f t="shared" si="3"/>
        <v>BRUDER RICHARD</v>
      </c>
    </row>
    <row r="227" spans="1:7" x14ac:dyDescent="0.25">
      <c r="A227" s="8">
        <v>42899.808472222219</v>
      </c>
      <c r="B227" t="s">
        <v>447</v>
      </c>
      <c r="C227" t="s">
        <v>790</v>
      </c>
      <c r="D227" s="141">
        <v>2230000</v>
      </c>
      <c r="E227" t="s">
        <v>344</v>
      </c>
      <c r="F227" s="20" t="s">
        <v>194</v>
      </c>
      <c r="G227" s="8" t="str">
        <f t="shared" si="3"/>
        <v>SMITH MICHAEL</v>
      </c>
    </row>
    <row r="228" spans="1:7" x14ac:dyDescent="0.25">
      <c r="A228" s="8">
        <v>42899.809004629627</v>
      </c>
      <c r="B228" t="s">
        <v>458</v>
      </c>
      <c r="C228" t="s">
        <v>791</v>
      </c>
      <c r="D228" s="141">
        <v>3090000</v>
      </c>
      <c r="E228" t="s">
        <v>378</v>
      </c>
      <c r="F228" s="20" t="s">
        <v>379</v>
      </c>
      <c r="G228" s="8" t="str">
        <f t="shared" si="3"/>
        <v>LAMAR NEKESHA</v>
      </c>
    </row>
    <row r="229" spans="1:7" x14ac:dyDescent="0.25">
      <c r="A229" s="8">
        <v>42899.818124999998</v>
      </c>
      <c r="B229" t="s">
        <v>607</v>
      </c>
      <c r="C229" t="s">
        <v>792</v>
      </c>
      <c r="D229" s="141">
        <v>1770000</v>
      </c>
      <c r="E229" t="s">
        <v>491</v>
      </c>
      <c r="F229" s="20" t="s">
        <v>492</v>
      </c>
      <c r="G229" s="8" t="str">
        <f t="shared" si="3"/>
        <v>BRUDER RICHARD</v>
      </c>
    </row>
    <row r="230" spans="1:7" x14ac:dyDescent="0.25">
      <c r="A230" s="8">
        <v>42899.819050925929</v>
      </c>
      <c r="B230" t="s">
        <v>401</v>
      </c>
      <c r="C230" t="s">
        <v>793</v>
      </c>
      <c r="D230" s="141">
        <v>2540000</v>
      </c>
      <c r="E230" t="s">
        <v>537</v>
      </c>
      <c r="F230" s="20" t="s">
        <v>538</v>
      </c>
      <c r="G230" s="8" t="str">
        <f t="shared" si="3"/>
        <v>MCREYNOLDS KYLE</v>
      </c>
    </row>
    <row r="231" spans="1:7" x14ac:dyDescent="0.25">
      <c r="A231" s="8">
        <v>42899.82744212963</v>
      </c>
      <c r="B231" t="s">
        <v>591</v>
      </c>
      <c r="C231" t="s">
        <v>618</v>
      </c>
      <c r="D231" s="141">
        <v>2090000</v>
      </c>
      <c r="E231" t="s">
        <v>504</v>
      </c>
      <c r="F231" s="20" t="s">
        <v>194</v>
      </c>
      <c r="G231" s="8" t="str">
        <f t="shared" si="3"/>
        <v>HAITHCOX MICHAEL</v>
      </c>
    </row>
    <row r="232" spans="1:7" x14ac:dyDescent="0.25">
      <c r="A232" s="8">
        <v>42899.832418981481</v>
      </c>
      <c r="B232" t="s">
        <v>525</v>
      </c>
      <c r="C232" t="s">
        <v>794</v>
      </c>
      <c r="D232" s="141">
        <v>3000000</v>
      </c>
      <c r="E232" t="s">
        <v>430</v>
      </c>
      <c r="F232" s="20" t="s">
        <v>431</v>
      </c>
      <c r="G232" s="8" t="str">
        <f t="shared" si="3"/>
        <v>FORTUNATO FRANK</v>
      </c>
    </row>
    <row r="233" spans="1:7" x14ac:dyDescent="0.25">
      <c r="A233" s="8">
        <v>42899.845150462963</v>
      </c>
      <c r="B233" t="s">
        <v>597</v>
      </c>
      <c r="C233" t="s">
        <v>795</v>
      </c>
      <c r="D233" s="141">
        <v>1770000</v>
      </c>
      <c r="E233" t="s">
        <v>491</v>
      </c>
      <c r="F233" s="20" t="s">
        <v>492</v>
      </c>
      <c r="G233" s="8" t="str">
        <f t="shared" si="3"/>
        <v>BRUDER RICHARD</v>
      </c>
    </row>
    <row r="234" spans="1:7" x14ac:dyDescent="0.25">
      <c r="A234" s="8">
        <v>42899.846365740741</v>
      </c>
      <c r="B234" t="s">
        <v>446</v>
      </c>
      <c r="C234" t="s">
        <v>796</v>
      </c>
      <c r="D234" s="141">
        <v>2230000</v>
      </c>
      <c r="E234" t="s">
        <v>344</v>
      </c>
      <c r="F234" s="20" t="s">
        <v>194</v>
      </c>
      <c r="G234" s="8" t="str">
        <f t="shared" si="3"/>
        <v>SMITH MICHAEL</v>
      </c>
    </row>
    <row r="235" spans="1:7" x14ac:dyDescent="0.25">
      <c r="A235" s="8">
        <v>42899.850289351853</v>
      </c>
      <c r="B235" t="s">
        <v>457</v>
      </c>
      <c r="C235" t="s">
        <v>797</v>
      </c>
      <c r="D235" s="141">
        <v>3090000</v>
      </c>
      <c r="E235" t="s">
        <v>378</v>
      </c>
      <c r="F235" s="20" t="s">
        <v>379</v>
      </c>
      <c r="G235" s="8" t="str">
        <f t="shared" si="3"/>
        <v>LAMAR NEKESHA</v>
      </c>
    </row>
    <row r="236" spans="1:7" x14ac:dyDescent="0.25">
      <c r="A236" s="8">
        <v>42899.859178240738</v>
      </c>
      <c r="B236" t="s">
        <v>607</v>
      </c>
      <c r="C236" t="s">
        <v>798</v>
      </c>
      <c r="D236" s="141">
        <v>1770000</v>
      </c>
      <c r="E236" t="s">
        <v>491</v>
      </c>
      <c r="F236" s="20" t="s">
        <v>492</v>
      </c>
      <c r="G236" s="8" t="str">
        <f t="shared" si="3"/>
        <v>BRUDER RICHARD</v>
      </c>
    </row>
    <row r="237" spans="1:7" x14ac:dyDescent="0.25">
      <c r="A237" s="8">
        <v>42899.861539351848</v>
      </c>
      <c r="B237" t="s">
        <v>532</v>
      </c>
      <c r="C237" t="s">
        <v>799</v>
      </c>
      <c r="D237" s="141">
        <v>3000000</v>
      </c>
      <c r="E237" t="s">
        <v>430</v>
      </c>
      <c r="F237" s="20" t="s">
        <v>431</v>
      </c>
      <c r="G237" s="8" t="str">
        <f t="shared" si="3"/>
        <v>FORTUNATO FRANK</v>
      </c>
    </row>
    <row r="238" spans="1:7" x14ac:dyDescent="0.25">
      <c r="A238" s="8">
        <v>42899.864074074074</v>
      </c>
      <c r="B238" t="s">
        <v>594</v>
      </c>
      <c r="C238" t="s">
        <v>800</v>
      </c>
      <c r="D238" s="141">
        <v>2090000</v>
      </c>
      <c r="E238" t="s">
        <v>504</v>
      </c>
      <c r="F238" s="20" t="s">
        <v>194</v>
      </c>
      <c r="G238" s="8" t="str">
        <f t="shared" si="3"/>
        <v>HAITHCOX MICHAEL</v>
      </c>
    </row>
    <row r="239" spans="1:7" x14ac:dyDescent="0.25">
      <c r="A239" s="8">
        <v>42899.876875000002</v>
      </c>
      <c r="B239" t="s">
        <v>597</v>
      </c>
      <c r="C239" t="s">
        <v>619</v>
      </c>
      <c r="D239" s="141">
        <v>2630000</v>
      </c>
      <c r="E239" t="s">
        <v>448</v>
      </c>
      <c r="F239" s="20" t="s">
        <v>449</v>
      </c>
      <c r="G239" s="8" t="str">
        <f t="shared" si="3"/>
        <v>SAFIEF AEIMEN</v>
      </c>
    </row>
    <row r="240" spans="1:7" x14ac:dyDescent="0.25">
      <c r="A240" s="8">
        <v>42899.886064814818</v>
      </c>
      <c r="B240" t="s">
        <v>458</v>
      </c>
      <c r="C240" t="s">
        <v>620</v>
      </c>
      <c r="D240" s="141">
        <v>3090000</v>
      </c>
      <c r="E240" t="s">
        <v>378</v>
      </c>
      <c r="F240" s="20" t="s">
        <v>379</v>
      </c>
      <c r="G240" s="8" t="str">
        <f t="shared" si="3"/>
        <v>LAMAR NEKESHA</v>
      </c>
    </row>
    <row r="241" spans="1:7" x14ac:dyDescent="0.25">
      <c r="A241" s="8">
        <v>42899.888206018521</v>
      </c>
      <c r="B241" t="s">
        <v>447</v>
      </c>
      <c r="C241" t="s">
        <v>801</v>
      </c>
      <c r="D241" s="141">
        <v>2230000</v>
      </c>
      <c r="E241" t="s">
        <v>344</v>
      </c>
      <c r="F241" s="20" t="s">
        <v>194</v>
      </c>
      <c r="G241" s="8" t="str">
        <f t="shared" si="3"/>
        <v>SMITH MICHAEL</v>
      </c>
    </row>
    <row r="242" spans="1:7" x14ac:dyDescent="0.25">
      <c r="A242" s="8">
        <v>42899.901273148149</v>
      </c>
      <c r="B242" t="s">
        <v>607</v>
      </c>
      <c r="C242" t="s">
        <v>802</v>
      </c>
      <c r="D242" s="141">
        <v>2630000</v>
      </c>
      <c r="E242" t="s">
        <v>448</v>
      </c>
      <c r="F242" s="20" t="s">
        <v>449</v>
      </c>
      <c r="G242" s="8" t="str">
        <f t="shared" si="3"/>
        <v>SAFIEF AEIMEN</v>
      </c>
    </row>
    <row r="243" spans="1:7" x14ac:dyDescent="0.25">
      <c r="A243" s="8">
        <v>42899.90221064815</v>
      </c>
      <c r="B243" t="s">
        <v>525</v>
      </c>
      <c r="C243" t="s">
        <v>803</v>
      </c>
      <c r="D243" s="141">
        <v>3000000</v>
      </c>
      <c r="E243" t="s">
        <v>430</v>
      </c>
      <c r="F243" s="20" t="s">
        <v>431</v>
      </c>
      <c r="G243" s="8" t="str">
        <f t="shared" si="3"/>
        <v>FORTUNATO FRANK</v>
      </c>
    </row>
    <row r="244" spans="1:7" x14ac:dyDescent="0.25">
      <c r="A244" s="8">
        <v>42899.906689814816</v>
      </c>
      <c r="B244" t="s">
        <v>591</v>
      </c>
      <c r="C244" t="s">
        <v>804</v>
      </c>
      <c r="D244" s="141">
        <v>2090000</v>
      </c>
      <c r="E244" t="s">
        <v>504</v>
      </c>
      <c r="F244" s="20" t="s">
        <v>194</v>
      </c>
      <c r="G244" s="8" t="str">
        <f t="shared" si="3"/>
        <v>HAITHCOX MICHAEL</v>
      </c>
    </row>
    <row r="245" spans="1:7" x14ac:dyDescent="0.25">
      <c r="A245" s="8">
        <v>42899.915625000001</v>
      </c>
      <c r="B245" t="s">
        <v>597</v>
      </c>
      <c r="C245" t="s">
        <v>805</v>
      </c>
      <c r="D245" s="141">
        <v>2630000</v>
      </c>
      <c r="E245" t="s">
        <v>448</v>
      </c>
      <c r="F245" s="20" t="s">
        <v>449</v>
      </c>
      <c r="G245" s="8" t="str">
        <f t="shared" si="3"/>
        <v>SAFIEF AEIMEN</v>
      </c>
    </row>
    <row r="246" spans="1:7" x14ac:dyDescent="0.25">
      <c r="A246" s="8">
        <v>42899.927789351852</v>
      </c>
      <c r="B246" t="s">
        <v>446</v>
      </c>
      <c r="C246" t="s">
        <v>806</v>
      </c>
      <c r="D246" s="141">
        <v>2230000</v>
      </c>
      <c r="E246" t="s">
        <v>344</v>
      </c>
      <c r="F246" s="20" t="s">
        <v>194</v>
      </c>
      <c r="G246" s="8" t="str">
        <f t="shared" si="3"/>
        <v>SMITH MICHAEL</v>
      </c>
    </row>
    <row r="247" spans="1:7" x14ac:dyDescent="0.25">
      <c r="A247" s="8">
        <v>42899.93172453704</v>
      </c>
      <c r="B247" t="s">
        <v>457</v>
      </c>
      <c r="C247" t="s">
        <v>807</v>
      </c>
      <c r="D247" s="141">
        <v>3090000</v>
      </c>
      <c r="E247" t="s">
        <v>378</v>
      </c>
      <c r="F247" s="20" t="s">
        <v>379</v>
      </c>
      <c r="G247" s="8" t="str">
        <f t="shared" si="3"/>
        <v>LAMAR NEKESHA</v>
      </c>
    </row>
    <row r="248" spans="1:7" x14ac:dyDescent="0.25">
      <c r="A248" s="8">
        <v>42899.943344907406</v>
      </c>
      <c r="B248" t="s">
        <v>607</v>
      </c>
      <c r="C248" t="s">
        <v>808</v>
      </c>
      <c r="D248" s="141">
        <v>2630000</v>
      </c>
      <c r="E248" t="s">
        <v>448</v>
      </c>
      <c r="F248" s="20" t="s">
        <v>449</v>
      </c>
      <c r="G248" s="8" t="str">
        <f t="shared" si="3"/>
        <v>SAFIEF AEIMEN</v>
      </c>
    </row>
    <row r="249" spans="1:7" x14ac:dyDescent="0.25">
      <c r="A249" s="8">
        <v>42899.944560185184</v>
      </c>
      <c r="B249" t="s">
        <v>594</v>
      </c>
      <c r="C249" t="s">
        <v>809</v>
      </c>
      <c r="D249" s="141">
        <v>2090000</v>
      </c>
      <c r="E249" t="s">
        <v>504</v>
      </c>
      <c r="F249" s="20" t="s">
        <v>194</v>
      </c>
      <c r="G249" s="8" t="str">
        <f t="shared" si="3"/>
        <v>HAITHCOX MICHAEL</v>
      </c>
    </row>
    <row r="250" spans="1:7" x14ac:dyDescent="0.25">
      <c r="A250" s="8">
        <v>42899.944733796299</v>
      </c>
      <c r="B250" t="s">
        <v>532</v>
      </c>
      <c r="C250" t="s">
        <v>810</v>
      </c>
      <c r="D250" s="141">
        <v>3000000</v>
      </c>
      <c r="E250" t="s">
        <v>430</v>
      </c>
      <c r="F250" s="20" t="s">
        <v>431</v>
      </c>
      <c r="G250" s="8" t="str">
        <f t="shared" si="3"/>
        <v>FORTUNATO FRANK</v>
      </c>
    </row>
    <row r="251" spans="1:7" x14ac:dyDescent="0.25">
      <c r="A251" s="8">
        <v>42899.952407407407</v>
      </c>
      <c r="B251" t="s">
        <v>597</v>
      </c>
      <c r="C251" t="s">
        <v>808</v>
      </c>
      <c r="D251" s="141">
        <v>2630000</v>
      </c>
      <c r="E251" t="s">
        <v>448</v>
      </c>
      <c r="F251" s="20" t="s">
        <v>449</v>
      </c>
      <c r="G251" s="8" t="str">
        <f t="shared" si="3"/>
        <v>SAFIEF AEIMEN</v>
      </c>
    </row>
    <row r="252" spans="1:7" x14ac:dyDescent="0.25">
      <c r="A252" s="8">
        <v>42899.967372685183</v>
      </c>
      <c r="B252" t="s">
        <v>458</v>
      </c>
      <c r="C252" t="s">
        <v>811</v>
      </c>
      <c r="D252" s="141">
        <v>3090000</v>
      </c>
      <c r="E252" t="s">
        <v>378</v>
      </c>
      <c r="F252" s="20" t="s">
        <v>379</v>
      </c>
      <c r="G252" s="8" t="str">
        <f t="shared" si="3"/>
        <v>LAMAR NEKESHA</v>
      </c>
    </row>
    <row r="253" spans="1:7" x14ac:dyDescent="0.25">
      <c r="A253" s="8">
        <v>42899.970995370371</v>
      </c>
      <c r="B253" t="s">
        <v>447</v>
      </c>
      <c r="C253" t="s">
        <v>812</v>
      </c>
      <c r="D253" s="141">
        <v>2230000</v>
      </c>
      <c r="E253" t="s">
        <v>344</v>
      </c>
      <c r="F253" s="20" t="s">
        <v>194</v>
      </c>
      <c r="G253" s="8" t="str">
        <f t="shared" si="3"/>
        <v>SMITH MICHAEL</v>
      </c>
    </row>
    <row r="254" spans="1:7" x14ac:dyDescent="0.25">
      <c r="A254" s="8">
        <v>42899.985891203702</v>
      </c>
      <c r="B254" t="s">
        <v>525</v>
      </c>
      <c r="C254" t="s">
        <v>813</v>
      </c>
      <c r="D254" s="141">
        <v>3000000</v>
      </c>
      <c r="E254" t="s">
        <v>430</v>
      </c>
      <c r="F254" s="20" t="s">
        <v>431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591</v>
      </c>
      <c r="C255" t="s">
        <v>621</v>
      </c>
      <c r="D255" s="141">
        <v>2090000</v>
      </c>
      <c r="E255" t="s">
        <v>504</v>
      </c>
      <c r="F255" s="20" t="s">
        <v>194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446</v>
      </c>
      <c r="C256" t="s">
        <v>814</v>
      </c>
      <c r="D256" s="141">
        <v>2230000</v>
      </c>
      <c r="E256" t="s">
        <v>344</v>
      </c>
      <c r="F256" s="20" t="s">
        <v>194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457</v>
      </c>
      <c r="C257" t="s">
        <v>815</v>
      </c>
      <c r="D257" s="141">
        <v>3090000</v>
      </c>
      <c r="E257" t="s">
        <v>378</v>
      </c>
      <c r="F257" s="20" t="s">
        <v>379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594</v>
      </c>
      <c r="C258" t="s">
        <v>816</v>
      </c>
      <c r="D258" s="141">
        <v>2090000</v>
      </c>
      <c r="E258" t="s">
        <v>504</v>
      </c>
      <c r="F258" s="20" t="s">
        <v>194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532</v>
      </c>
      <c r="C259" t="s">
        <v>817</v>
      </c>
      <c r="D259" s="141">
        <v>3000000</v>
      </c>
      <c r="E259" t="s">
        <v>430</v>
      </c>
      <c r="F259" s="20" t="s">
        <v>431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594</v>
      </c>
      <c r="C260" t="s">
        <v>816</v>
      </c>
      <c r="D260" s="141">
        <v>2090000</v>
      </c>
      <c r="E260" t="s">
        <v>504</v>
      </c>
      <c r="F260" s="20" t="s">
        <v>194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594</v>
      </c>
      <c r="C261" t="s">
        <v>816</v>
      </c>
      <c r="D261" s="141">
        <v>2090000</v>
      </c>
      <c r="E261" t="s">
        <v>504</v>
      </c>
      <c r="F261" s="20" t="s">
        <v>194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594</v>
      </c>
      <c r="C262" t="s">
        <v>816</v>
      </c>
      <c r="D262" s="141">
        <v>2090000</v>
      </c>
      <c r="E262" t="s">
        <v>504</v>
      </c>
      <c r="F262" s="20" t="s">
        <v>194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458</v>
      </c>
      <c r="C263" t="s">
        <v>818</v>
      </c>
      <c r="D263" s="141">
        <v>3090000</v>
      </c>
      <c r="E263" t="s">
        <v>378</v>
      </c>
      <c r="F263" s="20" t="s">
        <v>379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447</v>
      </c>
      <c r="C264" t="s">
        <v>819</v>
      </c>
      <c r="D264" s="141">
        <v>2230000</v>
      </c>
      <c r="E264" t="s">
        <v>344</v>
      </c>
      <c r="F264" s="20" t="s">
        <v>194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447</v>
      </c>
      <c r="C265" t="s">
        <v>819</v>
      </c>
      <c r="D265" s="141">
        <v>2230000</v>
      </c>
      <c r="E265" t="s">
        <v>344</v>
      </c>
      <c r="F265" s="20" t="s">
        <v>194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525</v>
      </c>
      <c r="C266" t="s">
        <v>820</v>
      </c>
      <c r="D266" s="141">
        <v>3000000</v>
      </c>
      <c r="E266" t="s">
        <v>430</v>
      </c>
      <c r="F266" s="20" t="s">
        <v>431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457</v>
      </c>
      <c r="C267" t="s">
        <v>821</v>
      </c>
      <c r="D267" s="141">
        <v>3090000</v>
      </c>
      <c r="E267" t="s">
        <v>378</v>
      </c>
      <c r="F267" s="20" t="s">
        <v>379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400</v>
      </c>
      <c r="C268" t="s">
        <v>427</v>
      </c>
      <c r="D268" s="141">
        <v>2680000</v>
      </c>
      <c r="E268" t="s">
        <v>419</v>
      </c>
      <c r="F268" s="20" t="s">
        <v>420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433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429</v>
      </c>
      <c r="C270" t="s">
        <v>434</v>
      </c>
      <c r="D270" s="141">
        <v>2610000</v>
      </c>
      <c r="E270" t="s">
        <v>421</v>
      </c>
      <c r="F270" s="20" t="s">
        <v>422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360</v>
      </c>
      <c r="C271" t="s">
        <v>435</v>
      </c>
      <c r="D271" s="141">
        <v>2140000</v>
      </c>
      <c r="E271" t="s">
        <v>415</v>
      </c>
      <c r="F271" s="20" t="s">
        <v>416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426</v>
      </c>
      <c r="C272" t="s">
        <v>436</v>
      </c>
      <c r="D272" s="141">
        <v>3000000</v>
      </c>
      <c r="E272" t="s">
        <v>430</v>
      </c>
      <c r="F272" s="20" t="s">
        <v>431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401</v>
      </c>
      <c r="C273" t="s">
        <v>432</v>
      </c>
      <c r="D273" s="141">
        <v>2680000</v>
      </c>
      <c r="E273" t="s">
        <v>419</v>
      </c>
      <c r="F273" s="20" t="s">
        <v>420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437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425</v>
      </c>
      <c r="C275" t="s">
        <v>438</v>
      </c>
      <c r="D275" s="141">
        <v>2610000</v>
      </c>
      <c r="E275" t="s">
        <v>421</v>
      </c>
      <c r="F275" s="20" t="s">
        <v>422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428</v>
      </c>
      <c r="C276" t="s">
        <v>439</v>
      </c>
      <c r="D276" s="141">
        <v>3000000</v>
      </c>
      <c r="E276" t="s">
        <v>430</v>
      </c>
      <c r="F276" s="20" t="s">
        <v>431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429</v>
      </c>
      <c r="C277" t="s">
        <v>440</v>
      </c>
      <c r="D277" s="141">
        <v>2610000</v>
      </c>
      <c r="E277" t="s">
        <v>421</v>
      </c>
      <c r="F277" s="20" t="s">
        <v>422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404</v>
      </c>
      <c r="C278" t="s">
        <v>405</v>
      </c>
      <c r="D278" s="141">
        <v>2970000</v>
      </c>
      <c r="E278" t="s">
        <v>382</v>
      </c>
      <c r="F278" s="20" t="s">
        <v>383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403</v>
      </c>
      <c r="C279" t="s">
        <v>409</v>
      </c>
      <c r="D279" s="141">
        <v>1810000</v>
      </c>
      <c r="E279" t="s">
        <v>370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410</v>
      </c>
      <c r="D280" s="141">
        <v>3090000</v>
      </c>
      <c r="E280" t="s">
        <v>378</v>
      </c>
      <c r="F280" s="20" t="s">
        <v>379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401</v>
      </c>
      <c r="C281" t="s">
        <v>406</v>
      </c>
      <c r="D281" s="141">
        <v>3010000</v>
      </c>
      <c r="E281" t="s">
        <v>396</v>
      </c>
      <c r="F281" s="20" t="s">
        <v>397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407</v>
      </c>
      <c r="C282" t="s">
        <v>408</v>
      </c>
      <c r="D282" s="141">
        <v>2970000</v>
      </c>
      <c r="E282" t="s">
        <v>382</v>
      </c>
      <c r="F282" s="20" t="s">
        <v>383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400</v>
      </c>
      <c r="C283" t="s">
        <v>406</v>
      </c>
      <c r="D283" s="141">
        <v>3010000</v>
      </c>
      <c r="E283" t="s">
        <v>396</v>
      </c>
      <c r="F283" s="20" t="s">
        <v>397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402</v>
      </c>
      <c r="C284" t="s">
        <v>411</v>
      </c>
      <c r="D284" s="141">
        <v>3030000</v>
      </c>
      <c r="E284" t="s">
        <v>384</v>
      </c>
      <c r="F284" s="20" t="s">
        <v>369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400</v>
      </c>
      <c r="C285" t="s">
        <v>406</v>
      </c>
      <c r="D285" s="141">
        <v>3010000</v>
      </c>
      <c r="E285" t="s">
        <v>396</v>
      </c>
      <c r="F285" s="20" t="s">
        <v>397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404</v>
      </c>
      <c r="C286" t="s">
        <v>405</v>
      </c>
      <c r="D286" s="141">
        <v>2970000</v>
      </c>
      <c r="E286" t="s">
        <v>382</v>
      </c>
      <c r="F286" s="20" t="s">
        <v>383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407</v>
      </c>
      <c r="C287" t="s">
        <v>408</v>
      </c>
      <c r="D287" s="141">
        <v>2970000</v>
      </c>
      <c r="E287" t="s">
        <v>382</v>
      </c>
      <c r="F287" s="20" t="s">
        <v>383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412</v>
      </c>
      <c r="D288" s="141">
        <v>3090000</v>
      </c>
      <c r="E288" t="s">
        <v>378</v>
      </c>
      <c r="F288" s="20" t="s">
        <v>379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404</v>
      </c>
      <c r="C289" t="s">
        <v>405</v>
      </c>
      <c r="D289" s="141">
        <v>2970000</v>
      </c>
      <c r="E289" t="s">
        <v>382</v>
      </c>
      <c r="F289" s="20" t="s">
        <v>383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401</v>
      </c>
      <c r="C290" t="s">
        <v>406</v>
      </c>
      <c r="D290" s="141">
        <v>3010000</v>
      </c>
      <c r="E290" t="s">
        <v>396</v>
      </c>
      <c r="F290" s="20" t="s">
        <v>397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401</v>
      </c>
      <c r="C291" t="s">
        <v>406</v>
      </c>
      <c r="D291" s="141">
        <v>3010000</v>
      </c>
      <c r="E291" t="s">
        <v>396</v>
      </c>
      <c r="F291" s="20" t="s">
        <v>397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401</v>
      </c>
      <c r="C292" t="s">
        <v>406</v>
      </c>
      <c r="D292" s="141">
        <v>3010000</v>
      </c>
      <c r="E292" t="s">
        <v>396</v>
      </c>
      <c r="F292" s="20" t="s">
        <v>397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401</v>
      </c>
      <c r="C293" t="s">
        <v>406</v>
      </c>
      <c r="D293" s="141">
        <v>3010000</v>
      </c>
      <c r="E293" t="s">
        <v>396</v>
      </c>
      <c r="F293" s="20" t="s">
        <v>397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407</v>
      </c>
      <c r="C294" t="s">
        <v>408</v>
      </c>
      <c r="D294" s="141">
        <v>2970000</v>
      </c>
      <c r="E294" t="s">
        <v>382</v>
      </c>
      <c r="F294" s="20" t="s">
        <v>383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389</v>
      </c>
      <c r="D295" s="141">
        <v>1800000</v>
      </c>
      <c r="E295" t="s">
        <v>380</v>
      </c>
      <c r="F295" s="20" t="s">
        <v>381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368</v>
      </c>
      <c r="C296" t="s">
        <v>390</v>
      </c>
      <c r="D296" s="141">
        <v>3030000</v>
      </c>
      <c r="E296" t="s">
        <v>384</v>
      </c>
      <c r="F296" s="20" t="s">
        <v>369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377</v>
      </c>
      <c r="C297" t="s">
        <v>373</v>
      </c>
      <c r="D297" s="141">
        <v>2970000</v>
      </c>
      <c r="E297" t="s">
        <v>382</v>
      </c>
      <c r="F297" s="20" t="s">
        <v>383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360</v>
      </c>
      <c r="C298" t="s">
        <v>391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371</v>
      </c>
      <c r="C299" t="s">
        <v>373</v>
      </c>
      <c r="D299" s="141">
        <v>2970000</v>
      </c>
      <c r="E299" t="s">
        <v>382</v>
      </c>
      <c r="F299" s="20" t="s">
        <v>383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372</v>
      </c>
      <c r="C300" t="s">
        <v>376</v>
      </c>
      <c r="D300" s="141">
        <v>3130000</v>
      </c>
      <c r="E300" t="s">
        <v>387</v>
      </c>
      <c r="F300" s="20" t="s">
        <v>388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371</v>
      </c>
      <c r="C301" t="s">
        <v>373</v>
      </c>
      <c r="D301" s="141">
        <v>2970000</v>
      </c>
      <c r="E301" t="s">
        <v>382</v>
      </c>
      <c r="F301" s="20" t="s">
        <v>383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366</v>
      </c>
      <c r="C302" t="s">
        <v>374</v>
      </c>
      <c r="D302" s="141">
        <v>3040000</v>
      </c>
      <c r="E302" t="s">
        <v>385</v>
      </c>
      <c r="F302" s="20" t="s">
        <v>386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366</v>
      </c>
      <c r="C303" t="s">
        <v>374</v>
      </c>
      <c r="D303" s="141">
        <v>3040000</v>
      </c>
      <c r="E303" t="s">
        <v>385</v>
      </c>
      <c r="F303" s="20" t="s">
        <v>386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392</v>
      </c>
      <c r="D304" s="141">
        <v>3030000</v>
      </c>
      <c r="E304" t="s">
        <v>384</v>
      </c>
      <c r="F304" s="20" t="s">
        <v>369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377</v>
      </c>
      <c r="C305" t="s">
        <v>373</v>
      </c>
      <c r="D305" s="141">
        <v>2970000</v>
      </c>
      <c r="E305" t="s">
        <v>382</v>
      </c>
      <c r="F305" s="20" t="s">
        <v>383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371</v>
      </c>
      <c r="C306" t="s">
        <v>373</v>
      </c>
      <c r="D306" s="141">
        <v>2970000</v>
      </c>
      <c r="E306" t="s">
        <v>382</v>
      </c>
      <c r="F306" s="20" t="s">
        <v>383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367</v>
      </c>
      <c r="C307" t="s">
        <v>374</v>
      </c>
      <c r="D307" s="141">
        <v>3040000</v>
      </c>
      <c r="E307" t="s">
        <v>385</v>
      </c>
      <c r="F307" s="20" t="s">
        <v>386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375</v>
      </c>
      <c r="C308" t="s">
        <v>393</v>
      </c>
      <c r="D308" s="141">
        <v>3130000</v>
      </c>
      <c r="E308" t="s">
        <v>387</v>
      </c>
      <c r="F308" s="20" t="s">
        <v>388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366</v>
      </c>
      <c r="C309" t="s">
        <v>374</v>
      </c>
      <c r="D309" s="141">
        <v>3040000</v>
      </c>
      <c r="E309" t="s">
        <v>385</v>
      </c>
      <c r="F309" s="20" t="s">
        <v>386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377</v>
      </c>
      <c r="C310" t="s">
        <v>373</v>
      </c>
      <c r="D310" s="141">
        <v>2970000</v>
      </c>
      <c r="E310" t="s">
        <v>382</v>
      </c>
      <c r="F310" s="20" t="s">
        <v>383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371</v>
      </c>
      <c r="C311" t="s">
        <v>373</v>
      </c>
      <c r="D311" s="141">
        <v>2970000</v>
      </c>
      <c r="E311" t="s">
        <v>382</v>
      </c>
      <c r="F311" s="20" t="s">
        <v>383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161</v>
      </c>
      <c r="K1" s="178" t="s">
        <v>159</v>
      </c>
      <c r="L1" s="178" t="s">
        <v>154</v>
      </c>
      <c r="M1" s="178" t="s">
        <v>164</v>
      </c>
      <c r="N1" s="178" t="s">
        <v>158</v>
      </c>
      <c r="O1" s="178" t="s">
        <v>165</v>
      </c>
      <c r="P1" s="178" t="s">
        <v>162</v>
      </c>
      <c r="Q1"/>
      <c r="R1"/>
    </row>
    <row r="2" spans="1:18" x14ac:dyDescent="0.25">
      <c r="A2" s="179">
        <v>66.27</v>
      </c>
      <c r="B2" s="179">
        <v>0</v>
      </c>
      <c r="C2" s="179">
        <v>20.149999999999999</v>
      </c>
      <c r="D2" s="8">
        <v>42899</v>
      </c>
      <c r="E2" s="179">
        <v>0.14000000000000001</v>
      </c>
      <c r="F2" s="179" t="s">
        <v>546</v>
      </c>
      <c r="G2" s="179">
        <v>317.41000000000003</v>
      </c>
      <c r="H2" s="179">
        <v>0</v>
      </c>
      <c r="I2" s="179">
        <v>0</v>
      </c>
      <c r="J2" s="179">
        <v>998.78</v>
      </c>
      <c r="K2" s="179" t="s">
        <v>549</v>
      </c>
      <c r="L2" s="179">
        <v>71.319999999999993</v>
      </c>
      <c r="M2" s="179">
        <v>1497333600</v>
      </c>
      <c r="N2" s="179">
        <v>10</v>
      </c>
      <c r="O2" s="179">
        <v>197</v>
      </c>
      <c r="P2" s="179">
        <v>5.94</v>
      </c>
      <c r="Q2"/>
      <c r="R2"/>
    </row>
    <row r="3" spans="1:18" x14ac:dyDescent="0.25">
      <c r="A3" s="179">
        <v>64.239999999999995</v>
      </c>
      <c r="B3" s="179">
        <v>0</v>
      </c>
      <c r="C3" s="179">
        <v>24.72</v>
      </c>
      <c r="D3" s="8">
        <v>42899.041666666664</v>
      </c>
      <c r="E3" s="179">
        <v>0.19</v>
      </c>
      <c r="F3" s="179" t="s">
        <v>546</v>
      </c>
      <c r="G3" s="179">
        <v>318.56</v>
      </c>
      <c r="H3" s="179">
        <v>0</v>
      </c>
      <c r="I3" s="179">
        <v>0</v>
      </c>
      <c r="J3" s="179">
        <v>1000.21</v>
      </c>
      <c r="K3" s="179" t="s">
        <v>549</v>
      </c>
      <c r="L3" s="179">
        <v>68.680000000000007</v>
      </c>
      <c r="M3" s="179">
        <v>1497337200</v>
      </c>
      <c r="N3" s="179">
        <v>10</v>
      </c>
      <c r="O3" s="179">
        <v>167</v>
      </c>
      <c r="P3" s="179">
        <v>5.12</v>
      </c>
      <c r="Q3"/>
      <c r="R3"/>
    </row>
    <row r="4" spans="1:18" x14ac:dyDescent="0.25">
      <c r="A4" s="179">
        <v>60.37</v>
      </c>
      <c r="B4" s="179">
        <v>0</v>
      </c>
      <c r="C4" s="179">
        <v>28.37</v>
      </c>
      <c r="D4" s="8">
        <v>42899.083333333336</v>
      </c>
      <c r="E4" s="179">
        <v>0.25</v>
      </c>
      <c r="F4" s="179" t="s">
        <v>546</v>
      </c>
      <c r="G4" s="179">
        <v>318.05</v>
      </c>
      <c r="H4" s="179">
        <v>0</v>
      </c>
      <c r="I4" s="179">
        <v>0</v>
      </c>
      <c r="J4" s="179">
        <v>1001.68</v>
      </c>
      <c r="K4" s="179" t="s">
        <v>547</v>
      </c>
      <c r="L4" s="179">
        <v>64.94</v>
      </c>
      <c r="M4" s="179">
        <v>1497340800</v>
      </c>
      <c r="N4" s="179">
        <v>10</v>
      </c>
      <c r="O4" s="179">
        <v>35</v>
      </c>
      <c r="P4" s="179">
        <v>5.59</v>
      </c>
      <c r="Q4"/>
      <c r="R4"/>
    </row>
    <row r="5" spans="1:18" x14ac:dyDescent="0.25">
      <c r="A5" s="179">
        <v>57.8</v>
      </c>
      <c r="B5" s="179">
        <v>0</v>
      </c>
      <c r="C5" s="179">
        <v>31.53</v>
      </c>
      <c r="D5" s="8">
        <v>42899.125</v>
      </c>
      <c r="E5" s="179">
        <v>0.32</v>
      </c>
      <c r="F5" s="179" t="s">
        <v>546</v>
      </c>
      <c r="G5" s="179">
        <v>317.54000000000002</v>
      </c>
      <c r="H5" s="179">
        <v>0</v>
      </c>
      <c r="I5" s="179">
        <v>0</v>
      </c>
      <c r="J5" s="179">
        <v>1003.31</v>
      </c>
      <c r="K5" s="179" t="s">
        <v>547</v>
      </c>
      <c r="L5" s="179">
        <v>61.75</v>
      </c>
      <c r="M5" s="179">
        <v>1497344400</v>
      </c>
      <c r="N5" s="179">
        <v>10</v>
      </c>
      <c r="O5" s="179">
        <v>354</v>
      </c>
      <c r="P5" s="179">
        <v>4.66</v>
      </c>
      <c r="Q5"/>
      <c r="R5"/>
    </row>
    <row r="6" spans="1:18" x14ac:dyDescent="0.25">
      <c r="A6" s="179">
        <v>54.67</v>
      </c>
      <c r="B6" s="179">
        <v>0</v>
      </c>
      <c r="C6" s="179">
        <v>33.380000000000003</v>
      </c>
      <c r="D6" s="8">
        <v>42899.166666666664</v>
      </c>
      <c r="E6" s="179">
        <v>0.39</v>
      </c>
      <c r="F6" s="179" t="s">
        <v>546</v>
      </c>
      <c r="G6" s="179">
        <v>317.13</v>
      </c>
      <c r="H6" s="179">
        <v>0</v>
      </c>
      <c r="I6" s="179">
        <v>0</v>
      </c>
      <c r="J6" s="179">
        <v>1004.54</v>
      </c>
      <c r="K6" s="179" t="s">
        <v>547</v>
      </c>
      <c r="L6" s="179">
        <v>58.34</v>
      </c>
      <c r="M6" s="179">
        <v>1497348000</v>
      </c>
      <c r="N6" s="179">
        <v>10</v>
      </c>
      <c r="O6" s="179">
        <v>48</v>
      </c>
      <c r="P6" s="179">
        <v>4.17</v>
      </c>
      <c r="Q6"/>
      <c r="R6"/>
    </row>
    <row r="7" spans="1:18" x14ac:dyDescent="0.25">
      <c r="A7" s="179">
        <v>52.47</v>
      </c>
      <c r="B7" s="179">
        <v>0</v>
      </c>
      <c r="C7" s="179">
        <v>33.979999999999997</v>
      </c>
      <c r="D7" s="8">
        <v>42899.208333333336</v>
      </c>
      <c r="E7" s="179">
        <v>0.44</v>
      </c>
      <c r="F7" s="179" t="s">
        <v>546</v>
      </c>
      <c r="G7" s="179">
        <v>316.92</v>
      </c>
      <c r="H7" s="179">
        <v>0</v>
      </c>
      <c r="I7" s="179">
        <v>0</v>
      </c>
      <c r="J7" s="179">
        <v>1005.47</v>
      </c>
      <c r="K7" s="179" t="s">
        <v>547</v>
      </c>
      <c r="L7" s="179">
        <v>55.78</v>
      </c>
      <c r="M7" s="179">
        <v>1497351600</v>
      </c>
      <c r="N7" s="179">
        <v>10</v>
      </c>
      <c r="O7" s="179">
        <v>40</v>
      </c>
      <c r="P7" s="179">
        <v>3.41</v>
      </c>
      <c r="Q7"/>
      <c r="R7"/>
    </row>
    <row r="8" spans="1:18" x14ac:dyDescent="0.25">
      <c r="A8" s="179">
        <v>50.68</v>
      </c>
      <c r="B8" s="179">
        <v>0</v>
      </c>
      <c r="C8" s="179">
        <v>34.549999999999997</v>
      </c>
      <c r="D8" s="8">
        <v>42899.25</v>
      </c>
      <c r="E8" s="179">
        <v>0.48</v>
      </c>
      <c r="F8" s="179" t="s">
        <v>548</v>
      </c>
      <c r="G8" s="179">
        <v>320.57</v>
      </c>
      <c r="H8" s="179">
        <v>0</v>
      </c>
      <c r="I8" s="179">
        <v>0</v>
      </c>
      <c r="J8" s="179">
        <v>1006.97</v>
      </c>
      <c r="K8" s="179" t="s">
        <v>547</v>
      </c>
      <c r="L8" s="179">
        <v>53.88</v>
      </c>
      <c r="M8" s="179">
        <v>1497355200</v>
      </c>
      <c r="N8" s="179">
        <v>10</v>
      </c>
      <c r="O8" s="179">
        <v>84</v>
      </c>
      <c r="P8" s="179">
        <v>3.15</v>
      </c>
      <c r="Q8"/>
      <c r="R8"/>
    </row>
    <row r="9" spans="1:18" x14ac:dyDescent="0.25">
      <c r="A9" s="179">
        <v>53.11</v>
      </c>
      <c r="B9" s="179">
        <v>0</v>
      </c>
      <c r="C9" s="179">
        <v>33.71</v>
      </c>
      <c r="D9" s="8">
        <v>42899.291666666664</v>
      </c>
      <c r="E9" s="179">
        <v>0.42</v>
      </c>
      <c r="F9" s="179" t="s">
        <v>548</v>
      </c>
      <c r="G9" s="179">
        <v>325.01</v>
      </c>
      <c r="H9" s="179">
        <v>0</v>
      </c>
      <c r="I9" s="179">
        <v>0</v>
      </c>
      <c r="J9" s="179">
        <v>1007.18</v>
      </c>
      <c r="K9" s="179" t="s">
        <v>547</v>
      </c>
      <c r="L9" s="179">
        <v>56.72</v>
      </c>
      <c r="M9" s="179">
        <v>1497358800</v>
      </c>
      <c r="N9" s="179">
        <v>10</v>
      </c>
      <c r="O9" s="179">
        <v>140</v>
      </c>
      <c r="P9" s="179">
        <v>4.01</v>
      </c>
      <c r="Q9"/>
      <c r="R9"/>
    </row>
    <row r="10" spans="1:18" x14ac:dyDescent="0.25">
      <c r="A10" s="179">
        <v>57.52</v>
      </c>
      <c r="B10" s="179">
        <v>0</v>
      </c>
      <c r="C10" s="179">
        <v>31</v>
      </c>
      <c r="D10" s="8">
        <v>42899.333333333336</v>
      </c>
      <c r="E10" s="179">
        <v>0.31</v>
      </c>
      <c r="F10" s="179" t="s">
        <v>548</v>
      </c>
      <c r="G10" s="179">
        <v>331.13</v>
      </c>
      <c r="H10" s="179">
        <v>0</v>
      </c>
      <c r="I10" s="179">
        <v>0</v>
      </c>
      <c r="J10" s="179">
        <v>1006.89</v>
      </c>
      <c r="K10" s="179" t="s">
        <v>547</v>
      </c>
      <c r="L10" s="179">
        <v>61.61</v>
      </c>
      <c r="M10" s="179">
        <v>1497362400</v>
      </c>
      <c r="N10" s="179">
        <v>10</v>
      </c>
      <c r="O10" s="179">
        <v>104</v>
      </c>
      <c r="P10" s="179">
        <v>4.82</v>
      </c>
      <c r="Q10"/>
      <c r="R10"/>
    </row>
    <row r="11" spans="1:18" x14ac:dyDescent="0.25">
      <c r="A11" s="179">
        <v>61.32</v>
      </c>
      <c r="B11" s="179">
        <v>0</v>
      </c>
      <c r="C11" s="179">
        <v>29.08</v>
      </c>
      <c r="D11" s="8">
        <v>42899.375</v>
      </c>
      <c r="E11" s="179">
        <v>0.25</v>
      </c>
      <c r="F11" s="179" t="s">
        <v>548</v>
      </c>
      <c r="G11" s="179">
        <v>337.48</v>
      </c>
      <c r="H11" s="179">
        <v>0</v>
      </c>
      <c r="I11" s="179">
        <v>0</v>
      </c>
      <c r="J11" s="179">
        <v>1006.23</v>
      </c>
      <c r="K11" s="179" t="s">
        <v>547</v>
      </c>
      <c r="L11" s="179">
        <v>65.75</v>
      </c>
      <c r="M11" s="179">
        <v>1497366000</v>
      </c>
      <c r="N11" s="179">
        <v>10</v>
      </c>
      <c r="O11" s="179">
        <v>103</v>
      </c>
      <c r="P11" s="179">
        <v>5.49</v>
      </c>
      <c r="Q11"/>
      <c r="R11"/>
    </row>
    <row r="12" spans="1:18" x14ac:dyDescent="0.25">
      <c r="A12" s="179">
        <v>64.97</v>
      </c>
      <c r="B12" s="179">
        <v>0</v>
      </c>
      <c r="C12" s="179">
        <v>27.53</v>
      </c>
      <c r="D12" s="8">
        <v>42899.416666666664</v>
      </c>
      <c r="E12" s="179">
        <v>0.21</v>
      </c>
      <c r="F12" s="179" t="s">
        <v>548</v>
      </c>
      <c r="G12" s="179">
        <v>345.08</v>
      </c>
      <c r="H12" s="179">
        <v>0</v>
      </c>
      <c r="I12" s="179">
        <v>0</v>
      </c>
      <c r="J12" s="179">
        <v>1005.18</v>
      </c>
      <c r="K12" s="179" t="s">
        <v>547</v>
      </c>
      <c r="L12" s="179">
        <v>69.709999999999994</v>
      </c>
      <c r="M12" s="179">
        <v>1497369600</v>
      </c>
      <c r="N12" s="179">
        <v>10</v>
      </c>
      <c r="O12" s="179">
        <v>116</v>
      </c>
      <c r="P12" s="179">
        <v>6.15</v>
      </c>
      <c r="Q12"/>
      <c r="R12"/>
    </row>
    <row r="13" spans="1:18" x14ac:dyDescent="0.25">
      <c r="A13" s="179">
        <v>68.13</v>
      </c>
      <c r="B13" s="179">
        <v>0</v>
      </c>
      <c r="C13" s="179">
        <v>26</v>
      </c>
      <c r="D13" s="8">
        <v>42899.458333333336</v>
      </c>
      <c r="E13" s="179">
        <v>0.17</v>
      </c>
      <c r="F13" s="179" t="s">
        <v>548</v>
      </c>
      <c r="G13" s="179">
        <v>352.94</v>
      </c>
      <c r="H13" s="179">
        <v>0</v>
      </c>
      <c r="I13" s="179">
        <v>0</v>
      </c>
      <c r="J13" s="179">
        <v>1003.82</v>
      </c>
      <c r="K13" s="179" t="s">
        <v>547</v>
      </c>
      <c r="L13" s="179">
        <v>73.37</v>
      </c>
      <c r="M13" s="179">
        <v>1497373200</v>
      </c>
      <c r="N13" s="179">
        <v>10</v>
      </c>
      <c r="O13" s="179">
        <v>144</v>
      </c>
      <c r="P13" s="179">
        <v>7.17</v>
      </c>
      <c r="Q13"/>
      <c r="R13"/>
    </row>
    <row r="14" spans="1:18" x14ac:dyDescent="0.25">
      <c r="A14" s="179">
        <v>71.47</v>
      </c>
      <c r="B14" s="179">
        <v>0.01</v>
      </c>
      <c r="C14" s="179">
        <v>28.87</v>
      </c>
      <c r="D14" s="8">
        <v>42899.5</v>
      </c>
      <c r="E14" s="179">
        <v>0.18</v>
      </c>
      <c r="F14" s="179" t="s">
        <v>548</v>
      </c>
      <c r="G14" s="179">
        <v>350.45</v>
      </c>
      <c r="H14" s="179">
        <v>0</v>
      </c>
      <c r="I14" s="179">
        <v>0</v>
      </c>
      <c r="J14" s="179">
        <v>1002.56</v>
      </c>
      <c r="K14" s="179" t="s">
        <v>547</v>
      </c>
      <c r="L14" s="179">
        <v>75.599999999999994</v>
      </c>
      <c r="M14" s="179">
        <v>1497376800</v>
      </c>
      <c r="N14" s="179">
        <v>10</v>
      </c>
      <c r="O14" s="179">
        <v>114</v>
      </c>
      <c r="P14" s="179">
        <v>5.64</v>
      </c>
      <c r="Q14"/>
      <c r="R14"/>
    </row>
    <row r="15" spans="1:18" x14ac:dyDescent="0.25">
      <c r="A15" s="179">
        <v>73.430000000000007</v>
      </c>
      <c r="B15" s="179">
        <v>0.02</v>
      </c>
      <c r="C15" s="179">
        <v>26.81</v>
      </c>
      <c r="D15" s="8">
        <v>42899.541666666664</v>
      </c>
      <c r="E15" s="179">
        <v>0.15</v>
      </c>
      <c r="F15" s="179" t="s">
        <v>548</v>
      </c>
      <c r="G15" s="179">
        <v>347.86</v>
      </c>
      <c r="H15" s="179">
        <v>0</v>
      </c>
      <c r="I15" s="179">
        <v>0</v>
      </c>
      <c r="J15" s="179">
        <v>1001.84</v>
      </c>
      <c r="K15" s="179" t="s">
        <v>547</v>
      </c>
      <c r="L15" s="179">
        <v>77.709999999999994</v>
      </c>
      <c r="M15" s="179">
        <v>1497380400</v>
      </c>
      <c r="N15" s="179">
        <v>10</v>
      </c>
      <c r="O15" s="179">
        <v>52</v>
      </c>
      <c r="P15" s="179">
        <v>5.78</v>
      </c>
      <c r="Q15"/>
      <c r="R15"/>
    </row>
    <row r="16" spans="1:18" x14ac:dyDescent="0.25">
      <c r="A16" s="179">
        <v>73.400000000000006</v>
      </c>
      <c r="B16" s="179">
        <v>0.01</v>
      </c>
      <c r="C16" s="179">
        <v>23.48</v>
      </c>
      <c r="D16" s="8">
        <v>42899.583333333336</v>
      </c>
      <c r="E16" s="179">
        <v>0.13</v>
      </c>
      <c r="F16" s="179" t="s">
        <v>548</v>
      </c>
      <c r="G16" s="179">
        <v>342.28</v>
      </c>
      <c r="H16" s="179">
        <v>0</v>
      </c>
      <c r="I16" s="179">
        <v>0</v>
      </c>
      <c r="J16" s="179">
        <v>1001.44</v>
      </c>
      <c r="K16" s="179" t="s">
        <v>547</v>
      </c>
      <c r="L16" s="179">
        <v>79.38</v>
      </c>
      <c r="M16" s="179">
        <v>1497384000</v>
      </c>
      <c r="N16" s="179">
        <v>10</v>
      </c>
      <c r="O16" s="179">
        <v>340</v>
      </c>
      <c r="P16" s="179">
        <v>8.73</v>
      </c>
      <c r="Q16"/>
      <c r="R16"/>
    </row>
    <row r="17" spans="1:18" x14ac:dyDescent="0.25">
      <c r="A17" s="179">
        <v>74.55</v>
      </c>
      <c r="B17" s="179">
        <v>0.03</v>
      </c>
      <c r="C17" s="179">
        <v>22.5</v>
      </c>
      <c r="D17" s="8">
        <v>42899.625</v>
      </c>
      <c r="E17" s="179">
        <v>0.12</v>
      </c>
      <c r="F17" s="179" t="s">
        <v>548</v>
      </c>
      <c r="G17" s="179">
        <v>337.47</v>
      </c>
      <c r="H17" s="179">
        <v>0</v>
      </c>
      <c r="I17" s="179">
        <v>0</v>
      </c>
      <c r="J17" s="179">
        <v>1001</v>
      </c>
      <c r="K17" s="179" t="s">
        <v>547</v>
      </c>
      <c r="L17" s="179">
        <v>80.62</v>
      </c>
      <c r="M17" s="179">
        <v>1497387600</v>
      </c>
      <c r="N17" s="179">
        <v>10</v>
      </c>
      <c r="O17" s="179">
        <v>315</v>
      </c>
      <c r="P17" s="179">
        <v>8.86</v>
      </c>
      <c r="Q17"/>
      <c r="R17"/>
    </row>
    <row r="18" spans="1:18" x14ac:dyDescent="0.25">
      <c r="A18" s="179">
        <v>74.239999999999995</v>
      </c>
      <c r="B18" s="179">
        <v>0.1</v>
      </c>
      <c r="C18" s="179">
        <v>23.33</v>
      </c>
      <c r="D18" s="8">
        <v>42899.666666666664</v>
      </c>
      <c r="E18" s="179">
        <v>0.12</v>
      </c>
      <c r="F18" s="179" t="s">
        <v>548</v>
      </c>
      <c r="G18" s="179">
        <v>334.65</v>
      </c>
      <c r="H18" s="179">
        <v>0</v>
      </c>
      <c r="I18" s="179">
        <v>0</v>
      </c>
      <c r="J18" s="179">
        <v>1000.92</v>
      </c>
      <c r="K18" s="179" t="s">
        <v>547</v>
      </c>
      <c r="L18" s="179">
        <v>80.73</v>
      </c>
      <c r="M18" s="179">
        <v>1497391200</v>
      </c>
      <c r="N18" s="179">
        <v>10</v>
      </c>
      <c r="O18" s="179">
        <v>303</v>
      </c>
      <c r="P18" s="179">
        <v>9.7899999999999991</v>
      </c>
      <c r="Q18"/>
      <c r="R18"/>
    </row>
    <row r="19" spans="1:18" x14ac:dyDescent="0.25">
      <c r="A19" s="179">
        <v>74.010000000000005</v>
      </c>
      <c r="B19" s="179">
        <v>0.19</v>
      </c>
      <c r="C19" s="179">
        <v>23.82</v>
      </c>
      <c r="D19" s="8">
        <v>42899.708333333336</v>
      </c>
      <c r="E19" s="179">
        <v>0.12</v>
      </c>
      <c r="F19" s="179" t="s">
        <v>548</v>
      </c>
      <c r="G19" s="179">
        <v>332.32</v>
      </c>
      <c r="H19" s="179">
        <v>0</v>
      </c>
      <c r="I19" s="179">
        <v>0</v>
      </c>
      <c r="J19" s="179">
        <v>1001.04</v>
      </c>
      <c r="K19" s="179" t="s">
        <v>547</v>
      </c>
      <c r="L19" s="179">
        <v>80.48</v>
      </c>
      <c r="M19" s="179">
        <v>1497394800</v>
      </c>
      <c r="N19" s="179">
        <v>10</v>
      </c>
      <c r="O19" s="179">
        <v>306</v>
      </c>
      <c r="P19" s="179">
        <v>9.7899999999999991</v>
      </c>
      <c r="Q19"/>
      <c r="R19"/>
    </row>
    <row r="20" spans="1:18" x14ac:dyDescent="0.25">
      <c r="A20" s="179">
        <v>73.84</v>
      </c>
      <c r="B20" s="179">
        <v>0.17</v>
      </c>
      <c r="C20" s="179">
        <v>25.34</v>
      </c>
      <c r="D20" s="8">
        <v>42899.75</v>
      </c>
      <c r="E20" s="179">
        <v>0.14000000000000001</v>
      </c>
      <c r="F20" s="179" t="s">
        <v>548</v>
      </c>
      <c r="G20" s="179">
        <v>331.4</v>
      </c>
      <c r="H20" s="179">
        <v>0</v>
      </c>
      <c r="I20" s="179">
        <v>0</v>
      </c>
      <c r="J20" s="179">
        <v>1001.57</v>
      </c>
      <c r="K20" s="179" t="s">
        <v>547</v>
      </c>
      <c r="L20" s="179">
        <v>79.3</v>
      </c>
      <c r="M20" s="179">
        <v>1497398400</v>
      </c>
      <c r="N20" s="179">
        <v>10</v>
      </c>
      <c r="O20" s="179">
        <v>344</v>
      </c>
      <c r="P20" s="179">
        <v>7.97</v>
      </c>
      <c r="Q20"/>
      <c r="R20"/>
    </row>
    <row r="21" spans="1:18" x14ac:dyDescent="0.25">
      <c r="A21" s="179">
        <v>71.790000000000006</v>
      </c>
      <c r="B21" s="179">
        <v>0.35</v>
      </c>
      <c r="C21" s="179">
        <v>26.26</v>
      </c>
      <c r="D21" s="8">
        <v>42899.791666666664</v>
      </c>
      <c r="E21" s="179">
        <v>0.15</v>
      </c>
      <c r="F21" s="179" t="s">
        <v>822</v>
      </c>
      <c r="G21" s="179">
        <v>330.79</v>
      </c>
      <c r="H21" s="179">
        <v>0</v>
      </c>
      <c r="I21" s="179">
        <v>0</v>
      </c>
      <c r="J21" s="179">
        <v>1002.72</v>
      </c>
      <c r="K21" s="179" t="s">
        <v>455</v>
      </c>
      <c r="L21" s="179">
        <v>77.45</v>
      </c>
      <c r="M21" s="179">
        <v>1497402000</v>
      </c>
      <c r="N21" s="179">
        <v>10</v>
      </c>
      <c r="O21" s="179">
        <v>308</v>
      </c>
      <c r="P21" s="179">
        <v>8.33</v>
      </c>
      <c r="Q21"/>
      <c r="R21"/>
    </row>
    <row r="22" spans="1:18" x14ac:dyDescent="0.25">
      <c r="A22" s="179">
        <v>68.81</v>
      </c>
      <c r="B22" s="179">
        <v>0.41</v>
      </c>
      <c r="C22" s="179">
        <v>26.04</v>
      </c>
      <c r="D22" s="8">
        <v>42899.833333333336</v>
      </c>
      <c r="E22" s="179">
        <v>0.16</v>
      </c>
      <c r="F22" s="179" t="s">
        <v>822</v>
      </c>
      <c r="G22" s="179">
        <v>330.6</v>
      </c>
      <c r="H22" s="179">
        <v>0</v>
      </c>
      <c r="I22" s="179">
        <v>0</v>
      </c>
      <c r="J22" s="179">
        <v>1004.2</v>
      </c>
      <c r="K22" s="179" t="s">
        <v>455</v>
      </c>
      <c r="L22" s="179">
        <v>74.7</v>
      </c>
      <c r="M22" s="179">
        <v>1497405600</v>
      </c>
      <c r="N22" s="179">
        <v>10</v>
      </c>
      <c r="O22" s="179">
        <v>286</v>
      </c>
      <c r="P22" s="179">
        <v>8.5399999999999991</v>
      </c>
      <c r="Q22"/>
      <c r="R22"/>
    </row>
    <row r="23" spans="1:18" x14ac:dyDescent="0.25">
      <c r="A23" s="179">
        <v>67.11</v>
      </c>
      <c r="B23" s="179">
        <v>0.47</v>
      </c>
      <c r="C23" s="179">
        <v>24.88</v>
      </c>
      <c r="D23" s="8">
        <v>42899.875</v>
      </c>
      <c r="E23" s="179">
        <v>0.17</v>
      </c>
      <c r="F23" s="179" t="s">
        <v>459</v>
      </c>
      <c r="G23" s="179">
        <v>329.99</v>
      </c>
      <c r="H23" s="179">
        <v>0</v>
      </c>
      <c r="I23" s="179">
        <v>0</v>
      </c>
      <c r="J23" s="179">
        <v>1005.61</v>
      </c>
      <c r="K23" s="179" t="s">
        <v>455</v>
      </c>
      <c r="L23" s="179">
        <v>72.319999999999993</v>
      </c>
      <c r="M23" s="179">
        <v>1497409200</v>
      </c>
      <c r="N23" s="179">
        <v>10</v>
      </c>
      <c r="O23" s="179">
        <v>291</v>
      </c>
      <c r="P23" s="179">
        <v>6.91</v>
      </c>
      <c r="Q23"/>
      <c r="R23"/>
    </row>
    <row r="24" spans="1:18" x14ac:dyDescent="0.25">
      <c r="A24" s="179">
        <v>64.819999999999993</v>
      </c>
      <c r="B24" s="179">
        <v>0.37</v>
      </c>
      <c r="C24" s="179">
        <v>25.92</v>
      </c>
      <c r="D24" s="8">
        <v>42899.916666666664</v>
      </c>
      <c r="E24" s="179">
        <v>0.19</v>
      </c>
      <c r="F24" s="179" t="s">
        <v>459</v>
      </c>
      <c r="G24" s="179">
        <v>328.36</v>
      </c>
      <c r="H24" s="179">
        <v>0</v>
      </c>
      <c r="I24" s="179">
        <v>0</v>
      </c>
      <c r="J24" s="179">
        <v>1006.71</v>
      </c>
      <c r="K24" s="179" t="s">
        <v>455</v>
      </c>
      <c r="L24" s="179">
        <v>69.819999999999993</v>
      </c>
      <c r="M24" s="179">
        <v>1497412800</v>
      </c>
      <c r="N24" s="179">
        <v>10</v>
      </c>
      <c r="O24" s="179">
        <v>4</v>
      </c>
      <c r="P24" s="179">
        <v>6.44</v>
      </c>
      <c r="Q24"/>
      <c r="R24"/>
    </row>
    <row r="25" spans="1:18" x14ac:dyDescent="0.25">
      <c r="A25" s="179">
        <v>62.67</v>
      </c>
      <c r="B25" s="179">
        <v>0.22</v>
      </c>
      <c r="C25" s="179">
        <v>25.91</v>
      </c>
      <c r="D25" s="8">
        <v>42899.958333333336</v>
      </c>
      <c r="E25" s="179">
        <v>0.21</v>
      </c>
      <c r="F25" s="179" t="s">
        <v>546</v>
      </c>
      <c r="G25" s="179">
        <v>326.22000000000003</v>
      </c>
      <c r="H25" s="179">
        <v>0</v>
      </c>
      <c r="I25" s="179">
        <v>0</v>
      </c>
      <c r="J25" s="179">
        <v>1007.72</v>
      </c>
      <c r="K25" s="179" t="s">
        <v>547</v>
      </c>
      <c r="L25" s="179">
        <v>67.56</v>
      </c>
      <c r="M25" s="179">
        <v>1497416400</v>
      </c>
      <c r="N25" s="179">
        <v>10</v>
      </c>
      <c r="O25" s="179">
        <v>184</v>
      </c>
      <c r="P25" s="179">
        <v>6.06</v>
      </c>
      <c r="Q25"/>
      <c r="R25"/>
    </row>
    <row r="26" spans="1:18" x14ac:dyDescent="0.25">
      <c r="A26" s="179">
        <v>61.23</v>
      </c>
      <c r="B26" s="179">
        <v>0.11</v>
      </c>
      <c r="C26" s="179">
        <v>26.52</v>
      </c>
      <c r="D26" s="8">
        <v>42900</v>
      </c>
      <c r="E26" s="179">
        <v>0.23</v>
      </c>
      <c r="F26" s="179" t="s">
        <v>546</v>
      </c>
      <c r="G26" s="179">
        <v>324.16000000000003</v>
      </c>
      <c r="H26" s="179">
        <v>0</v>
      </c>
      <c r="I26" s="179">
        <v>0</v>
      </c>
      <c r="J26" s="179">
        <v>1008.34</v>
      </c>
      <c r="K26" s="179" t="s">
        <v>547</v>
      </c>
      <c r="L26" s="179">
        <v>65.63</v>
      </c>
      <c r="M26" s="179">
        <v>1497420000</v>
      </c>
      <c r="N26" s="179">
        <v>10</v>
      </c>
      <c r="O26" s="179">
        <v>249</v>
      </c>
      <c r="P26" s="179">
        <v>5.07</v>
      </c>
      <c r="Q26"/>
      <c r="R26"/>
    </row>
    <row r="27" spans="1:18" x14ac:dyDescent="0.25">
      <c r="A27" s="179">
        <v>59.25</v>
      </c>
      <c r="B27" s="179">
        <v>7.0000000000000007E-2</v>
      </c>
      <c r="C27" s="179">
        <v>27.3</v>
      </c>
      <c r="D27" s="8">
        <v>42900.041666666664</v>
      </c>
      <c r="E27" s="179">
        <v>0.25</v>
      </c>
      <c r="F27" s="179" t="s">
        <v>546</v>
      </c>
      <c r="G27" s="179">
        <v>322.3</v>
      </c>
      <c r="H27" s="179">
        <v>0</v>
      </c>
      <c r="I27" s="179">
        <v>0</v>
      </c>
      <c r="J27" s="179">
        <v>1009.19</v>
      </c>
      <c r="K27" s="179" t="s">
        <v>547</v>
      </c>
      <c r="L27" s="179">
        <v>63.54</v>
      </c>
      <c r="M27" s="179">
        <v>1497423600</v>
      </c>
      <c r="N27" s="179">
        <v>10</v>
      </c>
      <c r="O27" s="179">
        <v>259</v>
      </c>
      <c r="P27" s="179">
        <v>4.8</v>
      </c>
      <c r="Q27"/>
      <c r="R27"/>
    </row>
    <row r="28" spans="1:18" x14ac:dyDescent="0.25">
      <c r="A28" s="179">
        <v>57.53</v>
      </c>
      <c r="B28" s="179">
        <v>0.03</v>
      </c>
      <c r="C28" s="179">
        <v>28.24</v>
      </c>
      <c r="D28" s="8">
        <v>42900.083333333336</v>
      </c>
      <c r="E28" s="179">
        <v>0.28000000000000003</v>
      </c>
      <c r="F28" s="179" t="s">
        <v>546</v>
      </c>
      <c r="G28" s="179">
        <v>320.64</v>
      </c>
      <c r="H28" s="179">
        <v>0</v>
      </c>
      <c r="I28" s="179">
        <v>0</v>
      </c>
      <c r="J28" s="179">
        <v>1009.89</v>
      </c>
      <c r="K28" s="179" t="s">
        <v>547</v>
      </c>
      <c r="L28" s="179">
        <v>61.85</v>
      </c>
      <c r="M28" s="179">
        <v>1497427200</v>
      </c>
      <c r="N28" s="179">
        <v>10</v>
      </c>
      <c r="O28" s="179">
        <v>246</v>
      </c>
      <c r="P28" s="179">
        <v>4.87</v>
      </c>
      <c r="Q28"/>
      <c r="R28"/>
    </row>
    <row r="29" spans="1:18" x14ac:dyDescent="0.25">
      <c r="A29" s="179">
        <v>56.06</v>
      </c>
      <c r="B29" s="179">
        <v>0</v>
      </c>
      <c r="C29" s="179">
        <v>29.29</v>
      </c>
      <c r="D29" s="8">
        <v>42900.125</v>
      </c>
      <c r="E29" s="179">
        <v>0.31</v>
      </c>
      <c r="F29" s="179" t="s">
        <v>546</v>
      </c>
      <c r="G29" s="179">
        <v>319.19</v>
      </c>
      <c r="H29" s="179">
        <v>0</v>
      </c>
      <c r="I29" s="179">
        <v>0</v>
      </c>
      <c r="J29" s="179">
        <v>1010.85</v>
      </c>
      <c r="K29" s="179" t="s">
        <v>547</v>
      </c>
      <c r="L29" s="179">
        <v>60.29</v>
      </c>
      <c r="M29" s="179">
        <v>1497430800</v>
      </c>
      <c r="N29" s="179">
        <v>10</v>
      </c>
      <c r="O29" s="179">
        <v>230</v>
      </c>
      <c r="P29" s="179">
        <v>4.7300000000000004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0"/>
  <sheetViews>
    <sheetView workbookViewId="0">
      <selection activeCell="D9" sqref="D9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42899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442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443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586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997</v>
      </c>
      <c r="J20" s="143" t="s">
        <v>87</v>
      </c>
      <c r="M20" s="157" t="s">
        <v>363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998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999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1002</v>
      </c>
      <c r="J25" s="143" t="s">
        <v>148</v>
      </c>
      <c r="M25" s="157" t="b">
        <v>1</v>
      </c>
    </row>
    <row r="26" spans="3:24" x14ac:dyDescent="0.25">
      <c r="C26" t="s">
        <v>1003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C:\Users\stu\Documents\GitHub\eaglep3-reporting\EC\2017-06-13-refined-times.txt</v>
      </c>
    </row>
    <row r="27" spans="3:24" x14ac:dyDescent="0.25">
      <c r="C27" t="s">
        <v>1004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C:\Users\stu\Documents\GitHub\eaglep3-reporting\EC\2017-06-13-Enforcements.txt</v>
      </c>
    </row>
    <row r="28" spans="3:24" x14ac:dyDescent="0.25">
      <c r="C28" t="s">
        <v>1005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C:\Users\stu\Documents\GitHub\eaglep3-reporting\EC\2017-06-13-Runs-refined.txt</v>
      </c>
    </row>
    <row r="29" spans="3:24" x14ac:dyDescent="0.25">
      <c r="C29" t="s">
        <v>1006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C:\Users\stu\Documents\GitHub\eaglep3-reporting\EC\2017-06-13-Trips.txt</v>
      </c>
    </row>
    <row r="30" spans="3:24" x14ac:dyDescent="0.25">
      <c r="C30" t="s">
        <v>1007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C:\Users\stu\Documents\GitHub\eaglep3-reporting\EC\2017-06-13-Weather.txt</v>
      </c>
    </row>
    <row r="31" spans="3:24" x14ac:dyDescent="0.25">
      <c r="C31" t="s">
        <v>1008</v>
      </c>
      <c r="J31" s="143" t="s">
        <v>198</v>
      </c>
      <c r="M31" s="157" t="s">
        <v>199</v>
      </c>
    </row>
    <row r="32" spans="3:24" x14ac:dyDescent="0.25">
      <c r="C32" t="s">
        <v>1009</v>
      </c>
    </row>
    <row r="33" spans="3:3" x14ac:dyDescent="0.25">
      <c r="C33" t="s">
        <v>1010</v>
      </c>
    </row>
    <row r="34" spans="3:3" x14ac:dyDescent="0.25">
      <c r="C34" t="s">
        <v>1011</v>
      </c>
    </row>
    <row r="35" spans="3:3" x14ac:dyDescent="0.25">
      <c r="C35" t="s">
        <v>1012</v>
      </c>
    </row>
    <row r="36" spans="3:3" x14ac:dyDescent="0.25">
      <c r="C36" t="s">
        <v>1013</v>
      </c>
    </row>
    <row r="37" spans="3:3" x14ac:dyDescent="0.25">
      <c r="C37" t="s">
        <v>1014</v>
      </c>
    </row>
    <row r="38" spans="3:3" x14ac:dyDescent="0.25">
      <c r="C38" t="s">
        <v>1015</v>
      </c>
    </row>
    <row r="39" spans="3:3" x14ac:dyDescent="0.25">
      <c r="C39" t="s">
        <v>1016</v>
      </c>
    </row>
    <row r="40" spans="3:3" x14ac:dyDescent="0.25">
      <c r="C40" t="s">
        <v>1017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2017-06-15T15:35:46Z</dcterms:modified>
</cp:coreProperties>
</file>